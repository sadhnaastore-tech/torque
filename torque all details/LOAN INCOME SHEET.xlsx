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<sst xmlns="http://schemas.openxmlformats.org/spreadsheetml/2006/main" count="171" uniqueCount="102">
  <si>
    <t>SR NO</t>
  </si>
  <si>
    <t>MONTH</t>
  </si>
  <si>
    <t>VEHICLE NO</t>
  </si>
  <si>
    <t>PARTY NAME</t>
  </si>
  <si>
    <t>MOBILE NO</t>
  </si>
  <si>
    <t>LEAD BY</t>
  </si>
  <si>
    <t>FINANCER</t>
  </si>
  <si>
    <t>DISBURSED AMT</t>
  </si>
  <si>
    <t>INSURANCE EXPENSE</t>
  </si>
  <si>
    <t>RTO EXPENSE</t>
  </si>
  <si>
    <t>COMMISSION</t>
  </si>
  <si>
    <t>OTHER PROFIT</t>
  </si>
  <si>
    <t>CREDITED ACCOUNT</t>
  </si>
  <si>
    <t>REMARKS</t>
  </si>
  <si>
    <t>OCT</t>
  </si>
  <si>
    <t>GJ23AW9309</t>
  </si>
  <si>
    <t>VIVEK GOSWAMI</t>
  </si>
  <si>
    <t>REF</t>
  </si>
  <si>
    <t>AARKA</t>
  </si>
  <si>
    <t>-</t>
  </si>
  <si>
    <t>SELF</t>
  </si>
  <si>
    <t>GJ02AT0331</t>
  </si>
  <si>
    <t>ABDUL GHANCHI</t>
  </si>
  <si>
    <t>PERIN MADAM</t>
  </si>
  <si>
    <t>329238(311349)</t>
  </si>
  <si>
    <t xml:space="preserve">SBI </t>
  </si>
  <si>
    <t>311349-181086-16500-10800-2000=100963</t>
  </si>
  <si>
    <t>GJ12AU8507</t>
  </si>
  <si>
    <t>AJAY SARVAIYA</t>
  </si>
  <si>
    <t>VARSA MADAM</t>
  </si>
  <si>
    <t>TOTAL DIS. AMT</t>
  </si>
  <si>
    <t>NOV</t>
  </si>
  <si>
    <t>GJ36V5648</t>
  </si>
  <si>
    <t>HIREN RAMOLIYA</t>
  </si>
  <si>
    <t>ASHRAFBHAI</t>
  </si>
  <si>
    <t>IDFC</t>
  </si>
  <si>
    <t>20000(03-01)</t>
  </si>
  <si>
    <t>5000(26-11-25)</t>
  </si>
  <si>
    <t>CASH 03-01 NA JAMA KARAYVA</t>
  </si>
  <si>
    <t>NEW</t>
  </si>
  <si>
    <t>FAHIM GHANCHI</t>
  </si>
  <si>
    <t>AU</t>
  </si>
  <si>
    <t>20900(27-11-25)</t>
  </si>
  <si>
    <t>G-PAY TORQUE</t>
  </si>
  <si>
    <t>30-03 NA 3763</t>
  </si>
  <si>
    <t>DEC</t>
  </si>
  <si>
    <t>GJ03AX8553</t>
  </si>
  <si>
    <t>KHODA BAMBHVA</t>
  </si>
  <si>
    <t>PAYAL MADAM</t>
  </si>
  <si>
    <t>KOGTA</t>
  </si>
  <si>
    <t>1*</t>
  </si>
  <si>
    <t>TORQUE SBI</t>
  </si>
  <si>
    <t>12 FEB NA</t>
  </si>
  <si>
    <t>GJ05CU8558</t>
  </si>
  <si>
    <t>JALSE RAVA</t>
  </si>
  <si>
    <t>SBI</t>
  </si>
  <si>
    <t>GJ12DM9360</t>
  </si>
  <si>
    <t>RASUL BHATTI</t>
  </si>
  <si>
    <t>SAHIDBHAI</t>
  </si>
  <si>
    <t>YES</t>
  </si>
  <si>
    <t>25000(HARIRAJSINH PASE)</t>
  </si>
  <si>
    <t xml:space="preserve">10000 20-04 NA </t>
  </si>
  <si>
    <t>GJ36V0301</t>
  </si>
  <si>
    <t>CHAGAN MUNDHVA</t>
  </si>
  <si>
    <t>NEHA MADAM</t>
  </si>
  <si>
    <t>66109 28 JAN NA</t>
  </si>
  <si>
    <t>JAN</t>
  </si>
  <si>
    <t>GJ10TX9668</t>
  </si>
  <si>
    <t>UKA DEVA PANCHIYA</t>
  </si>
  <si>
    <t>GJ36V1670</t>
  </si>
  <si>
    <t>ARIF MIYANA</t>
  </si>
  <si>
    <t>27170 21 FEB NA</t>
  </si>
  <si>
    <t>GJ36BB9861</t>
  </si>
  <si>
    <t>MALA KAROTRA</t>
  </si>
  <si>
    <t>AXIS</t>
  </si>
  <si>
    <t>183529(194300 LIDHA)</t>
  </si>
  <si>
    <t>35000 21-04 NA</t>
  </si>
  <si>
    <t>GJ36R8703</t>
  </si>
  <si>
    <t>KARIM KASMANI</t>
  </si>
  <si>
    <t>TOUFIK SIR</t>
  </si>
  <si>
    <t>13177 12 FEB NA (KHODABHAI +KARIMBHAI)</t>
  </si>
  <si>
    <t>FEB</t>
  </si>
  <si>
    <t>GJ31N7096</t>
  </si>
  <si>
    <t>IDRIS MEMON</t>
  </si>
  <si>
    <t>MAHINDRA</t>
  </si>
  <si>
    <t>CASH</t>
  </si>
  <si>
    <t>8300 25-02 NA BAPOR NA RIDDHI MADAM NE</t>
  </si>
  <si>
    <t>MARCH</t>
  </si>
  <si>
    <t>GJ13AX4253</t>
  </si>
  <si>
    <t>HITESH DABHI</t>
  </si>
  <si>
    <t>ALJINA MADAM</t>
  </si>
  <si>
    <t>04-04 NA 3322+10-04 NA 2300 SLAB PAY OUT</t>
  </si>
  <si>
    <t>GJ36X9792</t>
  </si>
  <si>
    <t>MUNNA KHOKHAR</t>
  </si>
  <si>
    <t>24500 30 MARCH NA JAMA</t>
  </si>
  <si>
    <t>APRIL</t>
  </si>
  <si>
    <t>GJ17TT9411</t>
  </si>
  <si>
    <t>HAKA ZAPDA</t>
  </si>
  <si>
    <t>JALPA MADAM</t>
  </si>
  <si>
    <t>GJ36AR4777</t>
  </si>
  <si>
    <t>IBRAHIM KATIYA</t>
  </si>
  <si>
    <t>HDB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</si>
</sst>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0"/>
      <name val="Arial"/>
      <scheme val="minor"/>
    </font>
    <font>
      <b/>
      <sz val="16.0"/>
      <color rgb="FFFFFFFF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sz val="14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3" fontId="3" numFmtId="0" xfId="0" applyAlignment="1" applyFill="1" applyFont="1">
      <alignment horizontal="left" readingOrder="0"/>
    </xf>
    <xf borderId="0" fillId="3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left"/>
    </xf>
    <xf borderId="0" fillId="3" fontId="4" numFmtId="0" xfId="0" applyAlignment="1" applyFont="1">
      <alignment horizontal="center"/>
    </xf>
    <xf borderId="1" fillId="3" fontId="4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vertical="bottom" wrapText="0"/>
    </xf>
    <xf borderId="0" fillId="3" fontId="4" numFmtId="0" xfId="0" applyAlignment="1" applyFont="1">
      <alignment horizontal="center" readingOrder="0"/>
    </xf>
    <xf borderId="1" fillId="5" fontId="4" numFmtId="0" xfId="0" applyAlignment="1" applyBorder="1" applyFill="1" applyFont="1">
      <alignment horizontal="left" readingOrder="0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left"/>
    </xf>
    <xf borderId="0" fillId="3" fontId="6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left"/>
    </xf>
    <xf borderId="1" fillId="4" fontId="6" numFmtId="0" xfId="0" applyAlignment="1" applyBorder="1" applyFont="1">
      <alignment horizontal="left"/>
    </xf>
    <xf borderId="0" fillId="4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75"/>
    <col customWidth="1" min="3" max="3" width="17.25"/>
    <col customWidth="1" min="4" max="4" width="24.88"/>
    <col customWidth="1" min="5" max="5" width="16.13"/>
    <col customWidth="1" min="6" max="7" width="19.0"/>
    <col customWidth="1" min="8" max="8" width="23.25"/>
    <col customWidth="1" min="9" max="9" width="30.13"/>
    <col customWidth="1" min="10" max="10" width="25.63"/>
    <col customWidth="1" min="11" max="11" width="18.5"/>
    <col customWidth="1" min="12" max="12" width="31.25"/>
    <col customWidth="1" min="13" max="13" width="36.13"/>
    <col customWidth="1" min="14" max="14" width="46.75"/>
    <col customWidth="1" min="16" max="16" width="21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>
        <v>1.0</v>
      </c>
      <c r="B2" s="5" t="s">
        <v>14</v>
      </c>
      <c r="C2" s="5" t="s">
        <v>15</v>
      </c>
      <c r="D2" s="5" t="s">
        <v>16</v>
      </c>
      <c r="E2" s="5">
        <v>9.773222819E9</v>
      </c>
      <c r="F2" s="5" t="s">
        <v>17</v>
      </c>
      <c r="G2" s="5" t="s">
        <v>18</v>
      </c>
      <c r="H2" s="5">
        <v>2964173.0</v>
      </c>
      <c r="I2" s="5" t="s">
        <v>19</v>
      </c>
      <c r="J2" s="5" t="s">
        <v>19</v>
      </c>
      <c r="K2" s="5" t="s">
        <v>19</v>
      </c>
      <c r="L2" s="5"/>
      <c r="M2" s="5" t="s">
        <v>20</v>
      </c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5">
        <v>2.0</v>
      </c>
      <c r="B3" s="5" t="s">
        <v>14</v>
      </c>
      <c r="C3" s="5" t="s">
        <v>21</v>
      </c>
      <c r="D3" s="5" t="s">
        <v>22</v>
      </c>
      <c r="E3" s="5">
        <v>9.90465555E9</v>
      </c>
      <c r="F3" s="5" t="s">
        <v>23</v>
      </c>
      <c r="G3" s="5" t="s">
        <v>18</v>
      </c>
      <c r="H3" s="5" t="s">
        <v>24</v>
      </c>
      <c r="I3" s="5">
        <v>16500.0</v>
      </c>
      <c r="J3" s="5">
        <v>10500.0</v>
      </c>
      <c r="K3" s="5" t="s">
        <v>19</v>
      </c>
      <c r="L3" s="5"/>
      <c r="M3" s="5" t="s">
        <v>25</v>
      </c>
      <c r="N3" s="8" t="s">
        <v>26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5">
        <v>3.0</v>
      </c>
      <c r="B4" s="5" t="s">
        <v>14</v>
      </c>
      <c r="C4" s="5" t="s">
        <v>27</v>
      </c>
      <c r="D4" s="5" t="s">
        <v>28</v>
      </c>
      <c r="E4" s="5">
        <v>9.909157615E9</v>
      </c>
      <c r="F4" s="9" t="s">
        <v>29</v>
      </c>
      <c r="G4" s="5" t="s">
        <v>18</v>
      </c>
      <c r="H4" s="5">
        <v>507429.0</v>
      </c>
      <c r="I4" s="5">
        <v>19000.0</v>
      </c>
      <c r="J4" s="5">
        <v>6000.0</v>
      </c>
      <c r="K4" s="5"/>
      <c r="L4" s="5">
        <v>5000.0</v>
      </c>
      <c r="M4" s="5" t="s">
        <v>25</v>
      </c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10"/>
      <c r="B5" s="10"/>
      <c r="C5" s="10"/>
      <c r="D5" s="10"/>
      <c r="E5" s="10"/>
      <c r="F5" s="10"/>
      <c r="G5" s="10" t="s">
        <v>30</v>
      </c>
      <c r="H5" s="10">
        <v>3800840.0</v>
      </c>
      <c r="I5" s="10"/>
      <c r="J5" s="10"/>
      <c r="K5" s="10"/>
      <c r="L5" s="11"/>
      <c r="M5" s="11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5">
        <v>4.0</v>
      </c>
      <c r="B6" s="5" t="s">
        <v>31</v>
      </c>
      <c r="C6" s="5" t="s">
        <v>32</v>
      </c>
      <c r="D6" s="5" t="s">
        <v>33</v>
      </c>
      <c r="E6" s="5">
        <v>9.313693285E9</v>
      </c>
      <c r="F6" s="9" t="s">
        <v>34</v>
      </c>
      <c r="G6" s="5" t="s">
        <v>35</v>
      </c>
      <c r="H6" s="5">
        <v>737109.0</v>
      </c>
      <c r="I6" s="5" t="s">
        <v>19</v>
      </c>
      <c r="J6" s="5" t="s">
        <v>19</v>
      </c>
      <c r="K6" s="5" t="s">
        <v>36</v>
      </c>
      <c r="L6" s="5" t="s">
        <v>37</v>
      </c>
      <c r="M6" s="12" t="s">
        <v>38</v>
      </c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5">
        <v>5.0</v>
      </c>
      <c r="B7" s="5" t="s">
        <v>31</v>
      </c>
      <c r="C7" s="5" t="s">
        <v>39</v>
      </c>
      <c r="D7" s="5" t="s">
        <v>40</v>
      </c>
      <c r="E7" s="5">
        <v>6.353312139E9</v>
      </c>
      <c r="F7" s="9" t="s">
        <v>23</v>
      </c>
      <c r="G7" s="5" t="s">
        <v>41</v>
      </c>
      <c r="H7" s="5">
        <v>578950.0</v>
      </c>
      <c r="I7" s="5" t="s">
        <v>19</v>
      </c>
      <c r="J7" s="5" t="s">
        <v>19</v>
      </c>
      <c r="K7" s="5" t="s">
        <v>42</v>
      </c>
      <c r="L7" s="13"/>
      <c r="M7" s="14" t="s">
        <v>43</v>
      </c>
      <c r="N7" s="8" t="s">
        <v>44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10"/>
      <c r="B8" s="10"/>
      <c r="C8" s="10"/>
      <c r="D8" s="10"/>
      <c r="E8" s="10"/>
      <c r="F8" s="10"/>
      <c r="G8" s="10" t="s">
        <v>30</v>
      </c>
      <c r="H8" s="10">
        <v>1316059.0</v>
      </c>
      <c r="I8" s="10"/>
      <c r="J8" s="10"/>
      <c r="K8" s="10"/>
      <c r="L8" s="11"/>
      <c r="M8" s="10"/>
      <c r="N8" s="6"/>
      <c r="O8" s="15"/>
      <c r="P8" s="1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5">
        <v>6.0</v>
      </c>
      <c r="B9" s="5" t="s">
        <v>45</v>
      </c>
      <c r="C9" s="5" t="s">
        <v>46</v>
      </c>
      <c r="D9" s="5" t="s">
        <v>47</v>
      </c>
      <c r="E9" s="5">
        <v>9.727922099E9</v>
      </c>
      <c r="F9" s="9" t="s">
        <v>48</v>
      </c>
      <c r="G9" s="5" t="s">
        <v>49</v>
      </c>
      <c r="H9" s="5">
        <v>252958.0</v>
      </c>
      <c r="I9" s="5" t="s">
        <v>19</v>
      </c>
      <c r="J9" s="5">
        <v>4500.0</v>
      </c>
      <c r="K9" s="5" t="s">
        <v>50</v>
      </c>
      <c r="L9" s="13"/>
      <c r="M9" s="5" t="s">
        <v>51</v>
      </c>
      <c r="N9" s="8" t="s">
        <v>52</v>
      </c>
      <c r="O9" s="15"/>
      <c r="P9" s="1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5">
        <v>7.0</v>
      </c>
      <c r="B10" s="5" t="s">
        <v>45</v>
      </c>
      <c r="C10" s="5" t="s">
        <v>53</v>
      </c>
      <c r="D10" s="5" t="s">
        <v>54</v>
      </c>
      <c r="E10" s="5">
        <v>9.537755912E9</v>
      </c>
      <c r="F10" s="9" t="s">
        <v>17</v>
      </c>
      <c r="G10" s="5" t="s">
        <v>18</v>
      </c>
      <c r="H10" s="5">
        <v>1282851.0</v>
      </c>
      <c r="I10" s="5" t="s">
        <v>19</v>
      </c>
      <c r="J10" s="13"/>
      <c r="K10" s="5">
        <v>2.5</v>
      </c>
      <c r="L10" s="13"/>
      <c r="M10" s="5" t="s">
        <v>55</v>
      </c>
      <c r="N10" s="6"/>
      <c r="O10" s="15"/>
      <c r="P10" s="15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5">
        <v>8.0</v>
      </c>
      <c r="B11" s="5" t="s">
        <v>45</v>
      </c>
      <c r="C11" s="5" t="s">
        <v>56</v>
      </c>
      <c r="D11" s="5" t="s">
        <v>57</v>
      </c>
      <c r="E11" s="5">
        <v>8.3203587E9</v>
      </c>
      <c r="F11" s="9" t="s">
        <v>58</v>
      </c>
      <c r="G11" s="5" t="s">
        <v>59</v>
      </c>
      <c r="H11" s="5">
        <v>1149959.0</v>
      </c>
      <c r="I11" s="5" t="s">
        <v>19</v>
      </c>
      <c r="J11" s="5" t="s">
        <v>19</v>
      </c>
      <c r="K11" s="12"/>
      <c r="L11" s="12" t="s">
        <v>60</v>
      </c>
      <c r="M11" s="5" t="s">
        <v>55</v>
      </c>
      <c r="N11" s="16" t="s">
        <v>61</v>
      </c>
      <c r="O11" s="15"/>
      <c r="P11" s="1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5">
        <v>9.0</v>
      </c>
      <c r="B12" s="5" t="s">
        <v>45</v>
      </c>
      <c r="C12" s="5" t="s">
        <v>62</v>
      </c>
      <c r="D12" s="5" t="s">
        <v>63</v>
      </c>
      <c r="E12" s="5">
        <v>9.978553421E9</v>
      </c>
      <c r="F12" s="9" t="s">
        <v>64</v>
      </c>
      <c r="G12" s="5" t="s">
        <v>18</v>
      </c>
      <c r="H12" s="5">
        <v>352329.0</v>
      </c>
      <c r="I12" s="13"/>
      <c r="J12" s="5">
        <v>18000.0</v>
      </c>
      <c r="K12" s="5"/>
      <c r="L12" s="5">
        <v>5000.0</v>
      </c>
      <c r="M12" s="5" t="s">
        <v>55</v>
      </c>
      <c r="N12" s="8" t="s">
        <v>65</v>
      </c>
      <c r="O12" s="15"/>
      <c r="P12" s="15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17"/>
      <c r="B13" s="17"/>
      <c r="C13" s="17"/>
      <c r="D13" s="17"/>
      <c r="E13" s="17"/>
      <c r="F13" s="10"/>
      <c r="G13" s="10" t="s">
        <v>30</v>
      </c>
      <c r="H13" s="18">
        <v>3038097.0</v>
      </c>
      <c r="I13" s="17"/>
      <c r="J13" s="17"/>
      <c r="K13" s="17"/>
      <c r="L13" s="17"/>
      <c r="M13" s="17"/>
      <c r="N13" s="19"/>
      <c r="O13" s="15"/>
      <c r="P13" s="15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>
      <c r="A14" s="5">
        <v>10.0</v>
      </c>
      <c r="B14" s="5" t="s">
        <v>66</v>
      </c>
      <c r="C14" s="5" t="s">
        <v>67</v>
      </c>
      <c r="D14" s="5" t="s">
        <v>68</v>
      </c>
      <c r="E14" s="5">
        <v>9.265338843E9</v>
      </c>
      <c r="F14" s="5" t="s">
        <v>17</v>
      </c>
      <c r="G14" s="5" t="s">
        <v>18</v>
      </c>
      <c r="H14" s="5">
        <v>415014.0</v>
      </c>
      <c r="I14" s="5">
        <v>12500.0</v>
      </c>
      <c r="J14" s="5">
        <v>8400.0</v>
      </c>
      <c r="K14" s="21"/>
      <c r="L14" s="21"/>
      <c r="M14" s="22" t="s">
        <v>55</v>
      </c>
      <c r="N14" s="19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>
      <c r="A15" s="5">
        <v>11.0</v>
      </c>
      <c r="B15" s="5" t="s">
        <v>66</v>
      </c>
      <c r="C15" s="5" t="s">
        <v>69</v>
      </c>
      <c r="D15" s="5" t="s">
        <v>70</v>
      </c>
      <c r="E15" s="5">
        <v>8.849470028E9</v>
      </c>
      <c r="F15" s="5" t="s">
        <v>17</v>
      </c>
      <c r="G15" s="5" t="s">
        <v>18</v>
      </c>
      <c r="H15" s="5">
        <v>247207.0</v>
      </c>
      <c r="I15" s="5" t="s">
        <v>19</v>
      </c>
      <c r="J15" s="5">
        <v>4000.0</v>
      </c>
      <c r="K15" s="5"/>
      <c r="L15" s="5">
        <v>10000.0</v>
      </c>
      <c r="M15" s="5" t="s">
        <v>55</v>
      </c>
      <c r="N15" s="8" t="s">
        <v>71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>
      <c r="A16" s="5">
        <v>12.0</v>
      </c>
      <c r="B16" s="5" t="s">
        <v>66</v>
      </c>
      <c r="C16" s="5" t="s">
        <v>72</v>
      </c>
      <c r="D16" s="5" t="s">
        <v>73</v>
      </c>
      <c r="E16" s="5">
        <v>9.9792265E9</v>
      </c>
      <c r="F16" s="5" t="s">
        <v>17</v>
      </c>
      <c r="G16" s="5" t="s">
        <v>74</v>
      </c>
      <c r="H16" s="5">
        <v>3946052.0</v>
      </c>
      <c r="I16" s="5"/>
      <c r="J16" s="5" t="s">
        <v>75</v>
      </c>
      <c r="K16" s="5">
        <v>13586.0</v>
      </c>
      <c r="L16" s="5">
        <v>18000.0</v>
      </c>
      <c r="M16" s="5" t="s">
        <v>55</v>
      </c>
      <c r="N16" s="16" t="s">
        <v>76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>
      <c r="A17" s="5">
        <v>13.0</v>
      </c>
      <c r="B17" s="5" t="s">
        <v>66</v>
      </c>
      <c r="C17" s="5" t="s">
        <v>77</v>
      </c>
      <c r="D17" s="5" t="s">
        <v>78</v>
      </c>
      <c r="E17" s="5">
        <v>6.355011211E9</v>
      </c>
      <c r="F17" s="5" t="s">
        <v>79</v>
      </c>
      <c r="G17" s="5" t="s">
        <v>41</v>
      </c>
      <c r="H17" s="5">
        <v>403000.0</v>
      </c>
      <c r="I17" s="5">
        <v>11000.0</v>
      </c>
      <c r="J17" s="5">
        <v>7500.0</v>
      </c>
      <c r="K17" s="5" t="s">
        <v>19</v>
      </c>
      <c r="L17" s="5" t="s">
        <v>19</v>
      </c>
      <c r="M17" s="5" t="s">
        <v>51</v>
      </c>
      <c r="N17" s="8" t="s">
        <v>80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>
      <c r="A18" s="11"/>
      <c r="B18" s="11"/>
      <c r="C18" s="11"/>
      <c r="D18" s="11"/>
      <c r="E18" s="11"/>
      <c r="F18" s="11"/>
      <c r="G18" s="10" t="s">
        <v>30</v>
      </c>
      <c r="H18" s="11">
        <f>SUM(H14:H17)</f>
        <v>5011273</v>
      </c>
      <c r="I18" s="10"/>
      <c r="J18" s="11"/>
      <c r="K18" s="11"/>
      <c r="L18" s="11"/>
      <c r="M18" s="11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>
      <c r="A19" s="5">
        <v>14.0</v>
      </c>
      <c r="B19" s="5" t="s">
        <v>81</v>
      </c>
      <c r="C19" s="5" t="s">
        <v>82</v>
      </c>
      <c r="D19" s="5" t="s">
        <v>83</v>
      </c>
      <c r="E19" s="5">
        <v>9.227147786E9</v>
      </c>
      <c r="F19" s="5" t="s">
        <v>79</v>
      </c>
      <c r="G19" s="5" t="s">
        <v>84</v>
      </c>
      <c r="H19" s="5">
        <v>488051.0</v>
      </c>
      <c r="I19" s="5">
        <v>12500.0</v>
      </c>
      <c r="J19" s="5">
        <v>10000.0</v>
      </c>
      <c r="K19" s="5" t="s">
        <v>19</v>
      </c>
      <c r="L19" s="5" t="s">
        <v>19</v>
      </c>
      <c r="M19" s="5" t="s">
        <v>85</v>
      </c>
      <c r="N19" s="16" t="s">
        <v>86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10"/>
      <c r="B20" s="11"/>
      <c r="C20" s="11"/>
      <c r="D20" s="11"/>
      <c r="E20" s="11"/>
      <c r="F20" s="11"/>
      <c r="G20" s="10" t="s">
        <v>30</v>
      </c>
      <c r="H20" s="10">
        <v>488051.0</v>
      </c>
      <c r="I20" s="10"/>
      <c r="J20" s="11"/>
      <c r="K20" s="11"/>
      <c r="L20" s="11"/>
      <c r="M20" s="11"/>
      <c r="N20" s="19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>
      <c r="A21" s="5">
        <v>15.0</v>
      </c>
      <c r="B21" s="5" t="s">
        <v>87</v>
      </c>
      <c r="C21" s="5" t="s">
        <v>88</v>
      </c>
      <c r="D21" s="5" t="s">
        <v>89</v>
      </c>
      <c r="E21" s="5">
        <v>9.875202749E9</v>
      </c>
      <c r="F21" s="5" t="s">
        <v>90</v>
      </c>
      <c r="G21" s="5" t="s">
        <v>84</v>
      </c>
      <c r="H21" s="5">
        <v>200000.0</v>
      </c>
      <c r="I21" s="5" t="s">
        <v>19</v>
      </c>
      <c r="J21" s="5" t="s">
        <v>19</v>
      </c>
      <c r="K21" s="5" t="s">
        <v>19</v>
      </c>
      <c r="L21" s="5" t="s">
        <v>19</v>
      </c>
      <c r="M21" s="5" t="s">
        <v>43</v>
      </c>
      <c r="N21" s="16" t="s">
        <v>91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>
      <c r="A22" s="5">
        <v>16.0</v>
      </c>
      <c r="B22" s="5" t="s">
        <v>87</v>
      </c>
      <c r="C22" s="5" t="s">
        <v>92</v>
      </c>
      <c r="D22" s="5" t="s">
        <v>93</v>
      </c>
      <c r="E22" s="5">
        <v>9.687523918E9</v>
      </c>
      <c r="F22" s="5" t="s">
        <v>17</v>
      </c>
      <c r="G22" s="5" t="s">
        <v>41</v>
      </c>
      <c r="H22" s="5">
        <v>585000.0</v>
      </c>
      <c r="I22" s="5" t="s">
        <v>19</v>
      </c>
      <c r="J22" s="5" t="s">
        <v>19</v>
      </c>
      <c r="K22" s="5">
        <v>24500.0</v>
      </c>
      <c r="L22" s="13"/>
      <c r="M22" s="13"/>
      <c r="N22" s="16" t="s">
        <v>94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>
      <c r="A23" s="11"/>
      <c r="B23" s="11"/>
      <c r="C23" s="11"/>
      <c r="D23" s="11"/>
      <c r="E23" s="11"/>
      <c r="F23" s="11"/>
      <c r="G23" s="10" t="s">
        <v>30</v>
      </c>
      <c r="H23" s="10">
        <v>785000.0</v>
      </c>
      <c r="I23" s="11"/>
      <c r="J23" s="11"/>
      <c r="K23" s="11"/>
      <c r="L23" s="11"/>
      <c r="M23" s="11"/>
      <c r="N23" s="24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>
      <c r="A24" s="5">
        <v>17.0</v>
      </c>
      <c r="B24" s="5" t="s">
        <v>95</v>
      </c>
      <c r="C24" s="5" t="s">
        <v>96</v>
      </c>
      <c r="D24" s="5" t="s">
        <v>97</v>
      </c>
      <c r="E24" s="5">
        <v>9.727477769E9</v>
      </c>
      <c r="F24" s="5" t="s">
        <v>98</v>
      </c>
      <c r="G24" s="5" t="s">
        <v>35</v>
      </c>
      <c r="H24" s="5">
        <v>850000.0</v>
      </c>
      <c r="I24" s="5" t="s">
        <v>19</v>
      </c>
      <c r="J24" s="5">
        <v>8000.0</v>
      </c>
      <c r="K24" s="5" t="s">
        <v>19</v>
      </c>
      <c r="L24" s="5" t="s">
        <v>19</v>
      </c>
      <c r="M24" s="13"/>
      <c r="N24" s="24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>
      <c r="A25" s="5">
        <v>18.0</v>
      </c>
      <c r="B25" s="5" t="s">
        <v>95</v>
      </c>
      <c r="C25" s="5" t="s">
        <v>99</v>
      </c>
      <c r="D25" s="5" t="s">
        <v>100</v>
      </c>
      <c r="E25" s="5">
        <v>9.925247992E9</v>
      </c>
      <c r="F25" s="5">
        <v>9.72473726E9</v>
      </c>
      <c r="G25" s="5" t="s">
        <v>101</v>
      </c>
      <c r="H25" s="5">
        <v>1107998.0</v>
      </c>
      <c r="I25" s="5" t="s">
        <v>19</v>
      </c>
      <c r="J25" s="5" t="s">
        <v>19</v>
      </c>
      <c r="K25" s="13"/>
      <c r="L25" s="13"/>
      <c r="M25" s="13"/>
      <c r="N25" s="24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>
      <c r="A26" s="10"/>
      <c r="B26" s="11"/>
      <c r="C26" s="11"/>
      <c r="D26" s="11"/>
      <c r="E26" s="11"/>
      <c r="F26" s="11"/>
      <c r="G26" s="10" t="s">
        <v>30</v>
      </c>
      <c r="H26" s="10">
        <v>1957998.0</v>
      </c>
      <c r="I26" s="11"/>
      <c r="J26" s="11"/>
      <c r="K26" s="11"/>
      <c r="L26" s="11"/>
      <c r="M26" s="11"/>
      <c r="N26" s="25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>
      <c r="A27" s="5">
        <v>19.0</v>
      </c>
      <c r="B27" s="13"/>
      <c r="C27" s="13"/>
      <c r="D27" s="13"/>
      <c r="E27" s="13"/>
      <c r="F27" s="13"/>
      <c r="G27" s="9"/>
      <c r="H27" s="5"/>
      <c r="I27" s="13"/>
      <c r="J27" s="13"/>
      <c r="K27" s="13"/>
      <c r="L27" s="13"/>
      <c r="M27" s="13"/>
      <c r="N27" s="24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>
      <c r="A28" s="5">
        <v>20.0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4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>
      <c r="A29" s="5">
        <v>21.0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24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24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24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24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24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24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24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4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4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24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24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24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24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24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24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24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24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24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24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24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24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24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24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24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24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24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24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24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24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24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24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24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24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24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24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24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24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24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24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24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24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24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24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24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24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24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24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24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24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24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24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24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24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24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24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24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24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24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24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24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24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24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24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24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24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24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24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24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24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24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24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24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24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24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24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24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24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24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24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24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24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24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24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24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24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24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24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24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24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24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24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24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24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24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24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24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24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24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24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24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24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24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24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24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24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24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24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24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24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24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24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24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24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24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24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24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24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24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24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24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24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24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24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24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27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27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27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27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27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27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27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27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27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27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27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27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27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27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27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27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27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27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27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27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27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27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27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27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27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27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27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27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27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27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27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27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27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27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27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27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27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27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27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27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27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27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7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7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7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7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7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7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7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7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7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7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7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7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7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7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7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7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7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7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7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7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7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7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7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7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7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7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7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7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7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7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7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7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7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7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7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7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7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7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7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7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7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7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7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7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7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7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7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7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7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7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7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7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7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7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7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7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7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7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7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7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7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7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7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7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7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7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7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7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7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7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7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7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7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7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7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7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7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7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7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7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7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7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7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7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7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7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7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7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7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7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7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7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7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7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7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7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7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7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7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7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7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7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7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7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7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7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7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7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7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7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7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7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7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7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7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7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7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7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7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7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7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7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7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7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7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7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7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7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7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7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7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7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7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7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7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7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7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7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7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7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7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7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7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7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7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7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7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7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7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7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7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7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7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7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7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7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7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7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7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7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7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7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7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7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7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7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7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7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7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7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7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7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7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7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7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7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7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7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7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7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7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7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7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7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7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7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7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7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7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7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7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7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7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7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7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7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7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7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7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7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7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7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7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7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7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7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7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7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7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7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7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7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7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7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7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7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7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7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7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7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7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7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7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7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7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7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7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7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7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7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7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7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7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7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7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7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7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7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7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7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7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7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7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7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7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7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7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7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7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7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7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7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7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7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7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7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7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7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7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7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7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7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7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7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7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7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7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7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7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7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7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7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7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7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7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7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7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7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7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7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7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7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7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7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7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7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7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7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7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7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7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7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7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7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7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7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7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7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7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7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7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7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7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7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7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7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7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7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7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7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7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7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7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7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7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7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7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7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7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7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7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7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7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7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7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7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7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7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7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7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7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7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7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7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7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7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7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7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7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7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7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7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7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7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7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7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7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7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7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7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7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7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7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7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7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7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7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7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7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7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7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7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7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7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7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7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7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7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7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7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7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7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7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7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7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7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7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7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7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7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7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7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7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7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7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7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7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7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7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7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7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7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7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7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7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7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7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7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7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7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7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7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7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7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7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7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7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7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7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7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7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7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7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7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7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7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7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7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7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7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7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7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7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7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7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7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7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7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7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7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7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7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7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7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7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7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7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7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7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7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7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7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7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7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7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7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7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7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7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7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7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7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7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7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7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7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7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7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7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7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7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7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7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7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7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7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7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7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7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7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7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7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7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7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7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7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7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7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7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7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7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7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7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7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7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7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7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7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7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7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7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7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7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7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7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7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7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7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7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7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7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7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7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7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7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7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7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7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7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7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7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7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7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7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7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7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7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7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7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7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7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7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7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7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7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7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7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7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7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7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7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7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7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7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7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7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7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7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7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7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7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7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7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7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7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7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7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7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7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7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7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7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7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7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7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7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7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7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7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7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7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7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7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7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7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7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7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7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7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7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7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7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7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7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7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7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7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7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7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7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7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7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7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7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7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7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7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7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7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7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7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7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7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7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7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7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7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7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7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7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7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7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7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7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7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7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7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7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7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7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7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7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7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7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7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7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7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7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7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7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7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7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7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7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7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7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7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7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7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7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7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7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7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7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7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7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7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7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7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7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7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7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7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7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7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7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7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7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7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7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7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7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7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7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7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7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7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7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7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7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7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7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7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7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7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7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7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7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7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7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7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7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7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7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7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7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7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7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7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7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7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7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7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7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7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7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7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7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7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7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7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7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7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7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7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7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7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7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7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7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7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7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7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7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7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7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7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7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7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7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7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7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7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7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7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7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7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7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7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7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7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7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7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7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7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7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7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7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7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7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7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7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7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7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7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7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7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7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7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7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7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7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7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7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7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7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7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7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7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7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7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7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7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7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7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7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7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7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7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7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7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7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7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7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7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7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7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7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7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7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7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7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7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7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7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7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7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7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7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7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7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7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7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7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7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7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7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7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7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7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7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7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7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7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7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7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7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7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7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7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7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7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7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7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7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7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7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7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</row>
  </sheetData>
  <drawing r:id="rId1"/>
</worksheet>
</file>