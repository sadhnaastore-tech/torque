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  <sheet state="visible" name="Copy of Sheet1" sheetId="3" r:id="rId7"/>
  </sheets>
  <definedNames>
    <definedName hidden="1" localSheetId="0" name="_xlnm._FilterDatabase">Sheet1!$A$2:$H$29</definedName>
    <definedName hidden="1" localSheetId="2" name="_xlnm._FilterDatabase">'Copy of Sheet1'!$A$2:$E$23</definedName>
  </definedNames>
  <calcPr/>
</workbook>
</file>

<file path=xl/sharedStrings.xml><?xml version="1.0" encoding="utf-8"?>
<sst xmlns="http://schemas.openxmlformats.org/spreadsheetml/2006/main" count="218" uniqueCount="112">
  <si>
    <t>INCREMENT &amp; BONUS JANUARY 2025</t>
  </si>
  <si>
    <t>SR NO</t>
  </si>
  <si>
    <t>NAME</t>
  </si>
  <si>
    <t>JOIN DATE</t>
  </si>
  <si>
    <t>POST</t>
  </si>
  <si>
    <t>CURRENT SALARY</t>
  </si>
  <si>
    <t>INCREMENT</t>
  </si>
  <si>
    <t>NEW SALARY</t>
  </si>
  <si>
    <t>BONUS</t>
  </si>
  <si>
    <t xml:space="preserve">SAMEER SEVANGIYA </t>
  </si>
  <si>
    <t>GENERAL MANAGER</t>
  </si>
  <si>
    <t>SHAHID IBVANI</t>
  </si>
  <si>
    <t>22-11-2024</t>
  </si>
  <si>
    <t>OFFICE MANAGER</t>
  </si>
  <si>
    <t>NA</t>
  </si>
  <si>
    <t>ASHRAF LOLADIYA</t>
  </si>
  <si>
    <t>21-07-2024</t>
  </si>
  <si>
    <t>RTO HEAD</t>
  </si>
  <si>
    <t>ALTAF KARANI</t>
  </si>
  <si>
    <t>RTO ASSISTANT</t>
  </si>
  <si>
    <t>NEHAL Rana</t>
  </si>
  <si>
    <t>18-11-2024</t>
  </si>
  <si>
    <t>RENEWAL ASSISTANT</t>
  </si>
  <si>
    <t>AARIFA PILUDIYA</t>
  </si>
  <si>
    <t>17-12-2024</t>
  </si>
  <si>
    <t>JUNIAD LADHDHAD</t>
  </si>
  <si>
    <t>14-11-2024</t>
  </si>
  <si>
    <t>CF PERMIT ASSISTANT</t>
  </si>
  <si>
    <t>TAUFIQ KARDAR</t>
  </si>
  <si>
    <t>CAR SALES HEAD</t>
  </si>
  <si>
    <t>MANISH KHANDHAR</t>
  </si>
  <si>
    <t>25-10-2024</t>
  </si>
  <si>
    <t>OFFICE BOY</t>
  </si>
  <si>
    <t>MOIN UMRETIYA</t>
  </si>
  <si>
    <t>SALES EXECUTIVE</t>
  </si>
  <si>
    <t>KAVITA SINH</t>
  </si>
  <si>
    <t>SONALI KANZARIYA</t>
  </si>
  <si>
    <t>PARVEZ BELIM</t>
  </si>
  <si>
    <t>PERIN LOLADIYA</t>
  </si>
  <si>
    <t>16-07-2024</t>
  </si>
  <si>
    <t>JALPA NAKUM</t>
  </si>
  <si>
    <t>22-07-2024</t>
  </si>
  <si>
    <t>MITTAL KARMUR</t>
  </si>
  <si>
    <t>30-07-2024</t>
  </si>
  <si>
    <t>PRIYA PITHVA</t>
  </si>
  <si>
    <t>VARSHA AJANA</t>
  </si>
  <si>
    <t>16-09-2024</t>
  </si>
  <si>
    <t>AARTI RANA</t>
  </si>
  <si>
    <t>DIVYA PARMAR</t>
  </si>
  <si>
    <t>ALJINA CHAVDA</t>
  </si>
  <si>
    <t>KINJAL RAGIYA</t>
  </si>
  <si>
    <t>SHABNAM KAZI</t>
  </si>
  <si>
    <t>NIKITA DEVDA</t>
  </si>
  <si>
    <t>GULNAZ VAKALIYA</t>
  </si>
  <si>
    <t>HETAL CHAVDA</t>
  </si>
  <si>
    <t>KRISHNA SUMAD</t>
  </si>
  <si>
    <t>TORQUE TEAM</t>
  </si>
  <si>
    <t>FULL NAME</t>
  </si>
  <si>
    <t>JOINING DATE</t>
  </si>
  <si>
    <t>Shahid Ibvani</t>
  </si>
  <si>
    <t>Divyaba Zala</t>
  </si>
  <si>
    <t>18-06-2025</t>
  </si>
  <si>
    <t>Komal Kanzariya</t>
  </si>
  <si>
    <t>22-08-2025</t>
  </si>
  <si>
    <t>Aarifa Peeludeeya</t>
  </si>
  <si>
    <t>Ashraf Loladiya</t>
  </si>
  <si>
    <t>Sonali Kanzariya</t>
  </si>
  <si>
    <t>Parvez Belim</t>
  </si>
  <si>
    <t>Kunjan Parekh</t>
  </si>
  <si>
    <t>Payal Vitthlapara</t>
  </si>
  <si>
    <t>Riddhi Lodariya</t>
  </si>
  <si>
    <t>13-05-2025</t>
  </si>
  <si>
    <t>Jalpa Parmar</t>
  </si>
  <si>
    <t>Dimpal Parmar</t>
  </si>
  <si>
    <t>Priya Pithva</t>
  </si>
  <si>
    <t>Mustafa Bloch</t>
  </si>
  <si>
    <t>Anish Pathan</t>
  </si>
  <si>
    <t>20-10-25</t>
  </si>
  <si>
    <t>Mital Gosai</t>
  </si>
  <si>
    <t>Harsha Parmar</t>
  </si>
  <si>
    <t>Shreya Wadia</t>
  </si>
  <si>
    <t>Perin Loladiya</t>
  </si>
  <si>
    <t>Jalpa Nakum</t>
  </si>
  <si>
    <t>Varsha Ajana</t>
  </si>
  <si>
    <t>Aljina Chavda</t>
  </si>
  <si>
    <t>Neha Mandaliya</t>
  </si>
  <si>
    <t>16-06-2025</t>
  </si>
  <si>
    <t>Sana Kureshii</t>
  </si>
  <si>
    <t>21-08-2025</t>
  </si>
  <si>
    <t>Bharti Vaghela</t>
  </si>
  <si>
    <t>Farzana Bhatti</t>
  </si>
  <si>
    <t>Janvi Parmar</t>
  </si>
  <si>
    <t>Ajija Loladiya</t>
  </si>
  <si>
    <t>Harirajsinh Zala</t>
  </si>
  <si>
    <t>Ayan Nagori</t>
  </si>
  <si>
    <t xml:space="preserve">SALARY SHEET 2025 </t>
  </si>
  <si>
    <t>FIX SALARY</t>
  </si>
  <si>
    <t>PAID SALARY</t>
  </si>
  <si>
    <t>PAID INCENTIVE</t>
  </si>
  <si>
    <t>TOTAL RS. PAID</t>
  </si>
  <si>
    <t>TAUFIQ ATTARI</t>
  </si>
  <si>
    <t>--</t>
  </si>
  <si>
    <t>FOUNDER &amp; OWNER</t>
  </si>
  <si>
    <t>RTO WORK EXECUTIVE</t>
  </si>
  <si>
    <t>POLICY ASSISTANT</t>
  </si>
  <si>
    <t>NEHAL JADEJA</t>
  </si>
  <si>
    <t>TOTAL</t>
  </si>
  <si>
    <t>LIGHT BILL</t>
  </si>
  <si>
    <t>OFFICE EXPENSE</t>
  </si>
  <si>
    <t xml:space="preserve">GIFT AND INCENTIVE </t>
  </si>
  <si>
    <t>LUNCH DINNER</t>
  </si>
  <si>
    <t>TOTAL MONTHLY EXPENSES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</si>
</sst>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m-dd-yyyy"/>
    <numFmt numFmtId="165" formatCode="m-d-yyyy"/>
    <numFmt numFmtId="166" formatCode="mm-dd-yy"/>
  </numFmts>
  <fonts count="13">
    <font>
      <sz val="10.0"/>
      <color rgb="FF000000"/>
      <name val="Arial"/>
      <scheme val="minor"/>
    </font>
    <font>
      <b/>
      <sz val="20.0"/>
      <color rgb="FFFFFFFF"/>
      <name val="Arial"/>
      <scheme val="minor"/>
    </font>
    <font/>
    <font>
      <b/>
      <sz val="14.0"/>
      <color theme="1"/>
      <name val="Arial"/>
      <scheme val="minor"/>
    </font>
    <font>
      <sz val="14.0"/>
      <color theme="1"/>
      <name val="Calibri"/>
    </font>
    <font>
      <color theme="1"/>
      <name val="Arial"/>
      <scheme val="minor"/>
    </font>
    <font>
      <sz val="13.0"/>
      <color theme="1"/>
      <name val="Arial"/>
      <scheme val="minor"/>
    </font>
    <font>
      <b/>
      <sz val="26.0"/>
      <color rgb="FFFFFFFF"/>
      <name val="Arial"/>
    </font>
    <font>
      <b/>
      <sz val="14.0"/>
      <color rgb="FFFFFFFF"/>
      <name val="Arial"/>
    </font>
    <font>
      <color theme="1"/>
      <name val="Arial"/>
    </font>
    <font>
      <color theme="1"/>
      <name val="Calibri"/>
    </font>
    <font>
      <b/>
      <sz val="16.0"/>
      <color theme="1"/>
      <name val="Arial"/>
      <scheme val="minor"/>
    </font>
    <font>
      <b/>
      <sz val="13.0"/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674EA7"/>
        <bgColor rgb="FF674EA7"/>
      </patternFill>
    </fill>
    <fill>
      <patternFill patternType="solid">
        <fgColor rgb="FFFF0000"/>
        <bgColor rgb="FFFF0000"/>
      </patternFill>
    </fill>
    <fill>
      <patternFill patternType="solid">
        <fgColor rgb="FF351C75"/>
        <bgColor rgb="FF351C75"/>
      </patternFill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</fills>
  <borders count="8">
    <border/>
    <border>
      <left style="thick">
        <color rgb="FF434343"/>
      </left>
      <top style="thick">
        <color rgb="FF434343"/>
      </top>
    </border>
    <border>
      <top style="thick">
        <color rgb="FF434343"/>
      </top>
    </border>
    <border>
      <right style="thick">
        <color rgb="FF434343"/>
      </right>
      <top style="thick">
        <color rgb="FF434343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4" fillId="0" fontId="3" numFmtId="0" xfId="0" applyAlignment="1" applyBorder="1" applyFont="1">
      <alignment horizontal="center" readingOrder="0"/>
    </xf>
    <xf borderId="4" fillId="0" fontId="4" numFmtId="0" xfId="0" applyAlignment="1" applyBorder="1" applyFont="1">
      <alignment horizontal="center" readingOrder="0" vertical="center"/>
    </xf>
    <xf borderId="4" fillId="0" fontId="4" numFmtId="0" xfId="0" applyAlignment="1" applyBorder="1" applyFont="1">
      <alignment readingOrder="0"/>
    </xf>
    <xf borderId="4" fillId="0" fontId="4" numFmtId="164" xfId="0" applyAlignment="1" applyBorder="1" applyFont="1" applyNumberFormat="1">
      <alignment horizontal="center" readingOrder="0"/>
    </xf>
    <xf borderId="4" fillId="0" fontId="4" numFmtId="0" xfId="0" applyAlignment="1" applyBorder="1" applyFont="1">
      <alignment readingOrder="0" shrinkToFit="0" wrapText="1"/>
    </xf>
    <xf borderId="4" fillId="0" fontId="4" numFmtId="0" xfId="0" applyAlignment="1" applyBorder="1" applyFont="1">
      <alignment horizontal="center" readingOrder="0"/>
    </xf>
    <xf borderId="4" fillId="3" fontId="4" numFmtId="0" xfId="0" applyAlignment="1" applyBorder="1" applyFill="1" applyFont="1">
      <alignment horizontal="center" readingOrder="0" vertical="center"/>
    </xf>
    <xf borderId="4" fillId="3" fontId="4" numFmtId="0" xfId="0" applyAlignment="1" applyBorder="1" applyFont="1">
      <alignment readingOrder="0"/>
    </xf>
    <xf borderId="4" fillId="3" fontId="4" numFmtId="164" xfId="0" applyAlignment="1" applyBorder="1" applyFont="1" applyNumberFormat="1">
      <alignment horizontal="center" readingOrder="0"/>
    </xf>
    <xf borderId="4" fillId="3" fontId="4" numFmtId="0" xfId="0" applyAlignment="1" applyBorder="1" applyFont="1">
      <alignment horizontal="center" readingOrder="0"/>
    </xf>
    <xf borderId="0" fillId="3" fontId="5" numFmtId="0" xfId="0" applyFont="1"/>
    <xf borderId="0" fillId="3" fontId="5" numFmtId="0" xfId="0" applyAlignment="1" applyFont="1">
      <alignment readingOrder="0"/>
    </xf>
    <xf borderId="0" fillId="3" fontId="5" numFmtId="165" xfId="0" applyAlignment="1" applyFont="1" applyNumberFormat="1">
      <alignment readingOrder="0"/>
    </xf>
    <xf borderId="0" fillId="0" fontId="6" numFmtId="0" xfId="0" applyAlignment="1" applyFont="1">
      <alignment readingOrder="0"/>
    </xf>
    <xf borderId="0" fillId="4" fontId="7" numFmtId="0" xfId="0" applyAlignment="1" applyFill="1" applyFont="1">
      <alignment horizontal="center" vertical="bottom"/>
    </xf>
    <xf borderId="4" fillId="4" fontId="8" numFmtId="0" xfId="0" applyAlignment="1" applyBorder="1" applyFont="1">
      <alignment vertical="bottom"/>
    </xf>
    <xf borderId="4" fillId="5" fontId="9" numFmtId="0" xfId="0" applyAlignment="1" applyBorder="1" applyFill="1" applyFont="1">
      <alignment vertical="bottom"/>
    </xf>
    <xf borderId="5" fillId="5" fontId="9" numFmtId="0" xfId="0" applyAlignment="1" applyBorder="1" applyFont="1">
      <alignment vertical="bottom"/>
    </xf>
    <xf borderId="0" fillId="0" fontId="9" numFmtId="0" xfId="0" applyAlignment="1" applyFont="1">
      <alignment vertical="bottom"/>
    </xf>
    <xf borderId="5" fillId="5" fontId="9" numFmtId="164" xfId="0" applyAlignment="1" applyBorder="1" applyFont="1" applyNumberFormat="1">
      <alignment vertical="bottom"/>
    </xf>
    <xf borderId="5" fillId="5" fontId="9" numFmtId="166" xfId="0" applyAlignment="1" applyBorder="1" applyFont="1" applyNumberFormat="1">
      <alignment vertical="bottom"/>
    </xf>
    <xf borderId="5" fillId="5" fontId="10" numFmtId="164" xfId="0" applyAlignment="1" applyBorder="1" applyFont="1" applyNumberFormat="1">
      <alignment vertical="bottom"/>
    </xf>
    <xf borderId="4" fillId="6" fontId="9" numFmtId="0" xfId="0" applyAlignment="1" applyBorder="1" applyFill="1" applyFont="1">
      <alignment vertical="bottom"/>
    </xf>
    <xf borderId="5" fillId="6" fontId="10" numFmtId="164" xfId="0" applyAlignment="1" applyBorder="1" applyFont="1" applyNumberFormat="1">
      <alignment vertical="bottom"/>
    </xf>
    <xf borderId="0" fillId="0" fontId="5" numFmtId="0" xfId="0" applyAlignment="1" applyFont="1">
      <alignment readingOrder="0"/>
    </xf>
    <xf borderId="5" fillId="6" fontId="9" numFmtId="0" xfId="0" applyAlignment="1" applyBorder="1" applyFont="1">
      <alignment vertical="bottom"/>
    </xf>
    <xf borderId="5" fillId="6" fontId="9" numFmtId="164" xfId="0" applyAlignment="1" applyBorder="1" applyFont="1" applyNumberFormat="1">
      <alignment vertical="bottom"/>
    </xf>
    <xf borderId="4" fillId="0" fontId="9" numFmtId="0" xfId="0" applyAlignment="1" applyBorder="1" applyFont="1">
      <alignment vertical="bottom"/>
    </xf>
    <xf borderId="5" fillId="0" fontId="9" numFmtId="164" xfId="0" applyAlignment="1" applyBorder="1" applyFont="1" applyNumberFormat="1">
      <alignment vertical="bottom"/>
    </xf>
    <xf borderId="4" fillId="0" fontId="9" numFmtId="164" xfId="0" applyAlignment="1" applyBorder="1" applyFont="1" applyNumberFormat="1">
      <alignment vertical="bottom"/>
    </xf>
    <xf borderId="0" fillId="2" fontId="1" numFmtId="0" xfId="0" applyAlignment="1" applyFont="1">
      <alignment horizontal="center" readingOrder="0"/>
    </xf>
    <xf borderId="0" fillId="0" fontId="3" numFmtId="0" xfId="0" applyAlignment="1" applyFont="1">
      <alignment horizontal="center" readingOrder="0"/>
    </xf>
    <xf borderId="4" fillId="0" fontId="4" numFmtId="0" xfId="0" applyAlignment="1" applyBorder="1" applyFont="1">
      <alignment horizontal="right" readingOrder="0"/>
    </xf>
    <xf borderId="4" fillId="0" fontId="4" numFmtId="0" xfId="0" applyAlignment="1" applyBorder="1" applyFont="1">
      <alignment horizontal="right" readingOrder="0" vertical="center"/>
    </xf>
    <xf borderId="6" fillId="0" fontId="4" numFmtId="0" xfId="0" applyAlignment="1" applyBorder="1" applyFont="1">
      <alignment readingOrder="0"/>
    </xf>
    <xf borderId="6" fillId="0" fontId="4" numFmtId="164" xfId="0" applyAlignment="1" applyBorder="1" applyFont="1" applyNumberFormat="1">
      <alignment horizontal="center" readingOrder="0"/>
    </xf>
    <xf borderId="6" fillId="0" fontId="4" numFmtId="0" xfId="0" applyAlignment="1" applyBorder="1" applyFont="1">
      <alignment horizontal="right" readingOrder="0" vertical="center"/>
    </xf>
    <xf borderId="0" fillId="0" fontId="11" numFmtId="0" xfId="0" applyAlignment="1" applyFont="1">
      <alignment horizontal="center" readingOrder="0"/>
    </xf>
    <xf borderId="7" fillId="0" fontId="11" numFmtId="0" xfId="0" applyAlignment="1" applyBorder="1" applyFont="1">
      <alignment horizontal="center" readingOrder="0"/>
    </xf>
    <xf borderId="7" fillId="0" fontId="11" numFmtId="0" xfId="0" applyBorder="1" applyFont="1"/>
    <xf borderId="7" fillId="0" fontId="6" numFmtId="0" xfId="0" applyAlignment="1" applyBorder="1" applyFont="1">
      <alignment readingOrder="0"/>
    </xf>
    <xf borderId="7" fillId="0" fontId="5" numFmtId="0" xfId="0" applyBorder="1" applyFont="1"/>
    <xf borderId="7" fillId="0" fontId="12" numFmtId="0" xfId="0" applyAlignment="1" applyBorder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10.63"/>
    <col customWidth="1" min="2" max="2" width="25.38"/>
    <col customWidth="1" min="3" max="3" width="15.75"/>
    <col customWidth="1" min="4" max="4" width="24.75"/>
    <col customWidth="1" min="5" max="5" width="22.5"/>
    <col customWidth="1" min="6" max="6" width="17.38"/>
    <col customWidth="1" min="7" max="7" width="19.13"/>
    <col customWidth="1" min="8" max="8" width="11.88"/>
  </cols>
  <sheetData>
    <row r="1">
      <c r="A1" s="1" t="s">
        <v>0</v>
      </c>
      <c r="B1" s="2"/>
      <c r="C1" s="2"/>
      <c r="D1" s="2"/>
      <c r="E1" s="2"/>
      <c r="F1" s="2"/>
      <c r="G1" s="2"/>
      <c r="H1" s="3"/>
    </row>
    <row r="2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</row>
    <row r="3">
      <c r="A3" s="5">
        <v>1.0</v>
      </c>
      <c r="B3" s="6" t="s">
        <v>9</v>
      </c>
      <c r="C3" s="7">
        <v>44199.0</v>
      </c>
      <c r="D3" s="8" t="s">
        <v>10</v>
      </c>
      <c r="E3" s="5">
        <v>30000.0</v>
      </c>
      <c r="F3" s="5">
        <v>5000.0</v>
      </c>
      <c r="G3" s="5">
        <f>E3+F3</f>
        <v>35000</v>
      </c>
      <c r="H3" s="5">
        <v>15000.0</v>
      </c>
    </row>
    <row r="4">
      <c r="A4" s="5">
        <v>2.0</v>
      </c>
      <c r="B4" s="6" t="s">
        <v>11</v>
      </c>
      <c r="C4" s="9" t="s">
        <v>12</v>
      </c>
      <c r="D4" s="6" t="s">
        <v>13</v>
      </c>
      <c r="E4" s="5">
        <v>30000.0</v>
      </c>
      <c r="F4" s="5" t="s">
        <v>14</v>
      </c>
      <c r="G4" s="5">
        <v>30000.0</v>
      </c>
      <c r="H4" s="5" t="s">
        <v>14</v>
      </c>
    </row>
    <row r="5">
      <c r="A5" s="5">
        <v>3.0</v>
      </c>
      <c r="B5" s="6" t="s">
        <v>15</v>
      </c>
      <c r="C5" s="9" t="s">
        <v>16</v>
      </c>
      <c r="D5" s="6" t="s">
        <v>17</v>
      </c>
      <c r="E5" s="5">
        <v>20000.0</v>
      </c>
      <c r="F5" s="5">
        <v>2000.0</v>
      </c>
      <c r="G5" s="5">
        <f>E5+F5</f>
        <v>22000</v>
      </c>
      <c r="H5" s="5" t="s">
        <v>14</v>
      </c>
    </row>
    <row r="6">
      <c r="A6" s="10">
        <v>4.0</v>
      </c>
      <c r="B6" s="11" t="s">
        <v>18</v>
      </c>
      <c r="C6" s="12">
        <v>45302.0</v>
      </c>
      <c r="D6" s="11" t="s">
        <v>19</v>
      </c>
      <c r="E6" s="10">
        <v>15000.0</v>
      </c>
      <c r="F6" s="10" t="s">
        <v>14</v>
      </c>
      <c r="G6" s="10">
        <v>15000.0</v>
      </c>
      <c r="H6" s="10" t="s">
        <v>14</v>
      </c>
    </row>
    <row r="7">
      <c r="A7" s="5">
        <v>5.0</v>
      </c>
      <c r="B7" s="6" t="s">
        <v>20</v>
      </c>
      <c r="C7" s="9" t="s">
        <v>21</v>
      </c>
      <c r="D7" s="6" t="s">
        <v>22</v>
      </c>
      <c r="E7" s="5">
        <v>10000.0</v>
      </c>
      <c r="F7" s="5">
        <v>2000.0</v>
      </c>
      <c r="G7" s="5">
        <f>E7+F7</f>
        <v>12000</v>
      </c>
      <c r="H7" s="5" t="s">
        <v>14</v>
      </c>
    </row>
    <row r="8">
      <c r="A8" s="5">
        <v>6.0</v>
      </c>
      <c r="B8" s="6" t="s">
        <v>23</v>
      </c>
      <c r="C8" s="9" t="s">
        <v>24</v>
      </c>
      <c r="D8" s="6" t="s">
        <v>13</v>
      </c>
      <c r="E8" s="5">
        <v>13000.0</v>
      </c>
      <c r="F8" s="5" t="s">
        <v>14</v>
      </c>
      <c r="G8" s="5">
        <v>13000.0</v>
      </c>
      <c r="H8" s="5" t="s">
        <v>14</v>
      </c>
    </row>
    <row r="9">
      <c r="A9" s="10">
        <v>7.0</v>
      </c>
      <c r="B9" s="11" t="s">
        <v>25</v>
      </c>
      <c r="C9" s="13" t="s">
        <v>26</v>
      </c>
      <c r="D9" s="11" t="s">
        <v>27</v>
      </c>
      <c r="E9" s="10">
        <v>12000.0</v>
      </c>
      <c r="F9" s="10" t="s">
        <v>14</v>
      </c>
      <c r="G9" s="10">
        <v>12000.0</v>
      </c>
      <c r="H9" s="10" t="s">
        <v>14</v>
      </c>
    </row>
    <row r="10">
      <c r="A10" s="10">
        <v>8.0</v>
      </c>
      <c r="B10" s="11" t="s">
        <v>28</v>
      </c>
      <c r="C10" s="12">
        <v>45574.0</v>
      </c>
      <c r="D10" s="11" t="s">
        <v>29</v>
      </c>
      <c r="E10" s="10">
        <v>5000.0</v>
      </c>
      <c r="F10" s="10" t="s">
        <v>14</v>
      </c>
      <c r="G10" s="10">
        <v>5000.0</v>
      </c>
      <c r="H10" s="10" t="s">
        <v>14</v>
      </c>
    </row>
    <row r="11">
      <c r="A11" s="5">
        <v>9.0</v>
      </c>
      <c r="B11" s="6" t="s">
        <v>30</v>
      </c>
      <c r="C11" s="9" t="s">
        <v>31</v>
      </c>
      <c r="D11" s="6" t="s">
        <v>32</v>
      </c>
      <c r="E11" s="5">
        <v>8000.0</v>
      </c>
      <c r="F11" s="5">
        <v>2000.0</v>
      </c>
      <c r="G11" s="5">
        <f t="shared" ref="G11:G15" si="1">E11+F11</f>
        <v>10000</v>
      </c>
      <c r="H11" s="5" t="s">
        <v>14</v>
      </c>
    </row>
    <row r="12">
      <c r="A12" s="10">
        <v>10.0</v>
      </c>
      <c r="B12" s="11" t="s">
        <v>33</v>
      </c>
      <c r="C12" s="12">
        <v>44571.0</v>
      </c>
      <c r="D12" s="11" t="s">
        <v>34</v>
      </c>
      <c r="E12" s="10">
        <v>15000.0</v>
      </c>
      <c r="F12" s="10">
        <v>1000.0</v>
      </c>
      <c r="G12" s="10">
        <f t="shared" si="1"/>
        <v>16000</v>
      </c>
      <c r="H12" s="10">
        <v>7500.0</v>
      </c>
    </row>
    <row r="13">
      <c r="A13" s="10">
        <v>11.0</v>
      </c>
      <c r="B13" s="11" t="s">
        <v>35</v>
      </c>
      <c r="C13" s="12">
        <v>44937.0</v>
      </c>
      <c r="D13" s="11" t="s">
        <v>34</v>
      </c>
      <c r="E13" s="10">
        <v>12000.0</v>
      </c>
      <c r="F13" s="10">
        <v>500.0</v>
      </c>
      <c r="G13" s="10">
        <f t="shared" si="1"/>
        <v>12500</v>
      </c>
      <c r="H13" s="10">
        <v>6000.0</v>
      </c>
    </row>
    <row r="14">
      <c r="A14" s="5">
        <v>12.0</v>
      </c>
      <c r="B14" s="6" t="s">
        <v>36</v>
      </c>
      <c r="C14" s="7">
        <v>45508.0</v>
      </c>
      <c r="D14" s="6" t="s">
        <v>34</v>
      </c>
      <c r="E14" s="5">
        <v>12000.0</v>
      </c>
      <c r="F14" s="5">
        <v>1000.0</v>
      </c>
      <c r="G14" s="5">
        <f t="shared" si="1"/>
        <v>13000</v>
      </c>
      <c r="H14" s="5" t="s">
        <v>14</v>
      </c>
    </row>
    <row r="15">
      <c r="A15" s="5">
        <v>13.0</v>
      </c>
      <c r="B15" s="6" t="s">
        <v>37</v>
      </c>
      <c r="C15" s="7">
        <v>45295.0</v>
      </c>
      <c r="D15" s="6" t="s">
        <v>34</v>
      </c>
      <c r="E15" s="5">
        <v>15000.0</v>
      </c>
      <c r="F15" s="5">
        <v>500.0</v>
      </c>
      <c r="G15" s="5">
        <f t="shared" si="1"/>
        <v>15500</v>
      </c>
      <c r="H15" s="5" t="s">
        <v>14</v>
      </c>
    </row>
    <row r="16">
      <c r="A16" s="5">
        <v>14.0</v>
      </c>
      <c r="B16" s="6" t="s">
        <v>38</v>
      </c>
      <c r="C16" s="9" t="s">
        <v>39</v>
      </c>
      <c r="D16" s="6" t="s">
        <v>34</v>
      </c>
      <c r="E16" s="5">
        <v>15000.0</v>
      </c>
      <c r="F16" s="5" t="s">
        <v>14</v>
      </c>
      <c r="G16" s="5">
        <v>15000.0</v>
      </c>
      <c r="H16" s="5" t="s">
        <v>14</v>
      </c>
    </row>
    <row r="17">
      <c r="A17" s="5">
        <v>15.0</v>
      </c>
      <c r="B17" s="6" t="s">
        <v>40</v>
      </c>
      <c r="C17" s="9" t="s">
        <v>41</v>
      </c>
      <c r="D17" s="6" t="s">
        <v>34</v>
      </c>
      <c r="E17" s="5">
        <v>10000.0</v>
      </c>
      <c r="F17" s="5">
        <v>1000.0</v>
      </c>
      <c r="G17" s="5">
        <f t="shared" ref="G17:G20" si="2">E17+F17</f>
        <v>11000</v>
      </c>
      <c r="H17" s="5" t="s">
        <v>14</v>
      </c>
    </row>
    <row r="18">
      <c r="A18" s="5">
        <v>16.0</v>
      </c>
      <c r="B18" s="6" t="s">
        <v>42</v>
      </c>
      <c r="C18" s="9" t="s">
        <v>43</v>
      </c>
      <c r="D18" s="6" t="s">
        <v>34</v>
      </c>
      <c r="E18" s="5">
        <v>10000.0</v>
      </c>
      <c r="F18" s="5">
        <v>500.0</v>
      </c>
      <c r="G18" s="5">
        <f t="shared" si="2"/>
        <v>10500</v>
      </c>
      <c r="H18" s="5" t="s">
        <v>14</v>
      </c>
    </row>
    <row r="19">
      <c r="A19" s="5">
        <v>17.0</v>
      </c>
      <c r="B19" s="6" t="s">
        <v>44</v>
      </c>
      <c r="C19" s="7">
        <v>45301.0</v>
      </c>
      <c r="D19" s="6" t="s">
        <v>34</v>
      </c>
      <c r="E19" s="5">
        <v>10000.0</v>
      </c>
      <c r="F19" s="5">
        <v>500.0</v>
      </c>
      <c r="G19" s="5">
        <f t="shared" si="2"/>
        <v>10500</v>
      </c>
      <c r="H19" s="5" t="s">
        <v>14</v>
      </c>
    </row>
    <row r="20">
      <c r="A20" s="5">
        <v>18.0</v>
      </c>
      <c r="B20" s="6" t="s">
        <v>45</v>
      </c>
      <c r="C20" s="7" t="s">
        <v>46</v>
      </c>
      <c r="D20" s="6" t="s">
        <v>34</v>
      </c>
      <c r="E20" s="5">
        <v>10000.0</v>
      </c>
      <c r="F20" s="5">
        <v>500.0</v>
      </c>
      <c r="G20" s="5">
        <f t="shared" si="2"/>
        <v>10500</v>
      </c>
      <c r="H20" s="5" t="s">
        <v>14</v>
      </c>
    </row>
    <row r="21">
      <c r="A21" s="5">
        <v>19.0</v>
      </c>
      <c r="B21" s="6" t="s">
        <v>47</v>
      </c>
      <c r="C21" s="7">
        <v>45607.0</v>
      </c>
      <c r="D21" s="6" t="s">
        <v>34</v>
      </c>
      <c r="E21" s="5">
        <v>10000.0</v>
      </c>
      <c r="F21" s="5" t="s">
        <v>14</v>
      </c>
      <c r="G21" s="5">
        <v>10000.0</v>
      </c>
      <c r="H21" s="5" t="s">
        <v>14</v>
      </c>
    </row>
    <row r="22">
      <c r="A22" s="10">
        <v>20.0</v>
      </c>
      <c r="B22" s="11" t="s">
        <v>48</v>
      </c>
      <c r="C22" s="12">
        <v>45393.0</v>
      </c>
      <c r="D22" s="11" t="s">
        <v>34</v>
      </c>
      <c r="E22" s="10">
        <v>10000.0</v>
      </c>
      <c r="F22" s="10" t="s">
        <v>14</v>
      </c>
      <c r="G22" s="10">
        <v>10000.0</v>
      </c>
      <c r="H22" s="10" t="s">
        <v>14</v>
      </c>
    </row>
    <row r="23">
      <c r="A23" s="5">
        <v>21.0</v>
      </c>
      <c r="B23" s="6" t="s">
        <v>49</v>
      </c>
      <c r="C23" s="7">
        <v>45393.0</v>
      </c>
      <c r="D23" s="6" t="s">
        <v>34</v>
      </c>
      <c r="E23" s="5">
        <v>10000.0</v>
      </c>
      <c r="F23" s="5" t="s">
        <v>14</v>
      </c>
      <c r="G23" s="5">
        <v>10000.0</v>
      </c>
      <c r="H23" s="5" t="s">
        <v>14</v>
      </c>
    </row>
    <row r="24">
      <c r="A24" s="10">
        <v>22.0</v>
      </c>
      <c r="B24" s="11" t="s">
        <v>50</v>
      </c>
      <c r="C24" s="12">
        <v>45638.0</v>
      </c>
      <c r="D24" s="11" t="s">
        <v>34</v>
      </c>
      <c r="E24" s="10">
        <v>12000.0</v>
      </c>
      <c r="F24" s="10" t="s">
        <v>14</v>
      </c>
      <c r="G24" s="10">
        <v>12000.0</v>
      </c>
      <c r="H24" s="10" t="s">
        <v>14</v>
      </c>
    </row>
    <row r="25">
      <c r="A25" s="10">
        <v>23.0</v>
      </c>
      <c r="B25" s="11" t="s">
        <v>51</v>
      </c>
      <c r="C25" s="12">
        <v>45547.0</v>
      </c>
      <c r="D25" s="11" t="s">
        <v>34</v>
      </c>
      <c r="E25" s="10">
        <v>10000.0</v>
      </c>
      <c r="F25" s="10" t="s">
        <v>14</v>
      </c>
      <c r="G25" s="10">
        <v>10000.0</v>
      </c>
      <c r="H25" s="10" t="s">
        <v>14</v>
      </c>
    </row>
    <row r="26">
      <c r="A26" s="10">
        <v>24.0</v>
      </c>
      <c r="B26" s="11" t="s">
        <v>52</v>
      </c>
      <c r="C26" s="12">
        <v>45334.0</v>
      </c>
      <c r="D26" s="11" t="s">
        <v>34</v>
      </c>
      <c r="E26" s="10">
        <v>10000.0</v>
      </c>
      <c r="F26" s="10" t="s">
        <v>14</v>
      </c>
      <c r="G26" s="10">
        <v>10000.0</v>
      </c>
      <c r="H26" s="10" t="s">
        <v>14</v>
      </c>
    </row>
    <row r="27">
      <c r="A27" s="5">
        <v>25.0</v>
      </c>
      <c r="B27" s="6" t="s">
        <v>53</v>
      </c>
      <c r="C27" s="7">
        <v>45334.0</v>
      </c>
      <c r="D27" s="6" t="s">
        <v>34</v>
      </c>
      <c r="E27" s="5">
        <v>15000.0</v>
      </c>
      <c r="F27" s="5" t="s">
        <v>14</v>
      </c>
      <c r="G27" s="5">
        <v>15000.0</v>
      </c>
      <c r="H27" s="5" t="s">
        <v>14</v>
      </c>
    </row>
    <row r="28">
      <c r="A28" s="14"/>
      <c r="B28" s="15" t="s">
        <v>54</v>
      </c>
      <c r="C28" s="16">
        <v>45658.0</v>
      </c>
      <c r="D28" s="14"/>
      <c r="E28" s="14"/>
      <c r="F28" s="14"/>
      <c r="G28" s="14"/>
      <c r="H28" s="14"/>
    </row>
    <row r="29">
      <c r="A29" s="14"/>
      <c r="B29" s="15" t="s">
        <v>55</v>
      </c>
      <c r="C29" s="16">
        <v>45658.0</v>
      </c>
      <c r="D29" s="14"/>
      <c r="E29" s="14"/>
      <c r="F29" s="14"/>
      <c r="G29" s="14"/>
      <c r="H29" s="14"/>
    </row>
    <row r="30">
      <c r="D30" s="17"/>
      <c r="E30" s="17"/>
    </row>
    <row r="31">
      <c r="D31" s="17"/>
      <c r="E31" s="17"/>
    </row>
    <row r="32">
      <c r="D32" s="17"/>
      <c r="E32" s="17"/>
    </row>
    <row r="33">
      <c r="D33" s="17"/>
      <c r="E33" s="17"/>
    </row>
    <row r="34">
      <c r="D34" s="17"/>
      <c r="E34" s="17"/>
    </row>
  </sheetData>
  <autoFilter ref="$A$2:$H$29">
    <sortState ref="A2:H29">
      <sortCondition ref="A2:A29"/>
      <sortCondition ref="C2:C29"/>
    </sortState>
  </autoFilter>
  <mergeCells count="1">
    <mergeCell ref="A1:H1"/>
  </mergeCells>
  <printOptions gridLines="1" horizontalCentered="1" verticalCentered="1"/>
  <pageMargins bottom="0.75" footer="0.0" header="0.0" left="0.25" right="0.25" top="0.75"/>
  <pageSetup paperSize="12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88"/>
    <col customWidth="1" min="3" max="3" width="17.38"/>
  </cols>
  <sheetData>
    <row r="1">
      <c r="A1" s="18" t="s">
        <v>56</v>
      </c>
    </row>
    <row r="2">
      <c r="A2" s="19" t="s">
        <v>1</v>
      </c>
      <c r="B2" s="19" t="s">
        <v>57</v>
      </c>
      <c r="C2" s="19" t="s">
        <v>58</v>
      </c>
    </row>
    <row r="3">
      <c r="A3" s="20">
        <v>1.0</v>
      </c>
      <c r="B3" s="20" t="s">
        <v>59</v>
      </c>
      <c r="C3" s="21" t="s">
        <v>12</v>
      </c>
      <c r="D3" s="22">
        <v>39000.0</v>
      </c>
    </row>
    <row r="4">
      <c r="A4" s="20">
        <v>2.0</v>
      </c>
      <c r="B4" s="20" t="s">
        <v>60</v>
      </c>
      <c r="C4" s="21" t="s">
        <v>61</v>
      </c>
      <c r="D4" s="22">
        <v>15000.0</v>
      </c>
    </row>
    <row r="5">
      <c r="A5" s="20">
        <v>3.0</v>
      </c>
      <c r="B5" s="20" t="s">
        <v>62</v>
      </c>
      <c r="C5" s="21" t="s">
        <v>63</v>
      </c>
      <c r="D5" s="22"/>
    </row>
    <row r="6">
      <c r="A6" s="20">
        <v>4.0</v>
      </c>
      <c r="B6" s="20" t="s">
        <v>64</v>
      </c>
      <c r="C6" s="21" t="s">
        <v>24</v>
      </c>
      <c r="D6" s="22">
        <v>15000.0</v>
      </c>
    </row>
    <row r="7">
      <c r="A7" s="20">
        <v>5.0</v>
      </c>
      <c r="B7" s="20" t="s">
        <v>65</v>
      </c>
      <c r="C7" s="21" t="s">
        <v>16</v>
      </c>
      <c r="D7" s="22">
        <v>22000.0</v>
      </c>
    </row>
    <row r="8">
      <c r="A8" s="20">
        <v>6.0</v>
      </c>
      <c r="B8" s="20" t="s">
        <v>66</v>
      </c>
      <c r="C8" s="23">
        <v>45508.0</v>
      </c>
      <c r="D8" s="22">
        <v>15000.0</v>
      </c>
    </row>
    <row r="9">
      <c r="A9" s="20">
        <v>7.0</v>
      </c>
      <c r="B9" s="20" t="s">
        <v>67</v>
      </c>
      <c r="C9" s="23">
        <v>45295.0</v>
      </c>
      <c r="D9" s="22">
        <v>20000.0</v>
      </c>
    </row>
    <row r="10">
      <c r="A10" s="20">
        <v>8.0</v>
      </c>
      <c r="B10" s="20" t="s">
        <v>68</v>
      </c>
      <c r="C10" s="23">
        <v>45666.0</v>
      </c>
      <c r="D10" s="22">
        <v>10000.0</v>
      </c>
    </row>
    <row r="11">
      <c r="A11" s="20">
        <v>9.0</v>
      </c>
      <c r="B11" s="20" t="s">
        <v>69</v>
      </c>
      <c r="C11" s="24">
        <v>45665.0</v>
      </c>
      <c r="D11" s="22">
        <v>12000.0</v>
      </c>
    </row>
    <row r="12">
      <c r="A12" s="20">
        <v>10.0</v>
      </c>
      <c r="B12" s="20" t="s">
        <v>70</v>
      </c>
      <c r="C12" s="21" t="s">
        <v>71</v>
      </c>
      <c r="D12" s="22">
        <v>10000.0</v>
      </c>
    </row>
    <row r="13">
      <c r="A13" s="20">
        <v>11.0</v>
      </c>
      <c r="B13" s="20" t="s">
        <v>72</v>
      </c>
      <c r="C13" s="23">
        <v>45667.0</v>
      </c>
      <c r="D13" s="22">
        <v>11000.0</v>
      </c>
    </row>
    <row r="14">
      <c r="A14" s="20">
        <v>12.0</v>
      </c>
      <c r="B14" s="20" t="s">
        <v>73</v>
      </c>
      <c r="C14" s="25">
        <v>45753.0</v>
      </c>
      <c r="D14" s="22">
        <v>10000.0</v>
      </c>
    </row>
    <row r="15">
      <c r="A15" s="20">
        <v>13.0</v>
      </c>
      <c r="B15" s="20" t="s">
        <v>74</v>
      </c>
      <c r="C15" s="23">
        <v>45301.0</v>
      </c>
      <c r="D15" s="22">
        <v>13000.0</v>
      </c>
    </row>
    <row r="16">
      <c r="A16" s="20">
        <v>14.0</v>
      </c>
      <c r="B16" s="20" t="s">
        <v>75</v>
      </c>
      <c r="C16" s="23">
        <v>45667.0</v>
      </c>
      <c r="D16" s="22">
        <v>10000.0</v>
      </c>
    </row>
    <row r="17">
      <c r="A17" s="20">
        <v>15.0</v>
      </c>
      <c r="B17" s="20" t="s">
        <v>76</v>
      </c>
      <c r="C17" s="21" t="s">
        <v>77</v>
      </c>
      <c r="D17" s="22">
        <v>10000.0</v>
      </c>
    </row>
    <row r="18">
      <c r="A18" s="20">
        <v>16.0</v>
      </c>
      <c r="B18" s="26" t="s">
        <v>78</v>
      </c>
      <c r="C18" s="27">
        <v>45693.0</v>
      </c>
      <c r="D18" s="28">
        <v>10000.0</v>
      </c>
    </row>
    <row r="19">
      <c r="A19" s="20">
        <v>17.0</v>
      </c>
      <c r="B19" s="26" t="s">
        <v>79</v>
      </c>
      <c r="C19" s="27">
        <v>45693.0</v>
      </c>
      <c r="D19" s="28">
        <v>10000.0</v>
      </c>
    </row>
    <row r="20">
      <c r="A20" s="20">
        <v>18.0</v>
      </c>
      <c r="B20" s="26" t="s">
        <v>80</v>
      </c>
      <c r="C20" s="27">
        <v>45694.0</v>
      </c>
      <c r="D20" s="28">
        <v>10000.0</v>
      </c>
    </row>
    <row r="21">
      <c r="A21" s="20">
        <v>19.0</v>
      </c>
      <c r="B21" s="26" t="s">
        <v>81</v>
      </c>
      <c r="C21" s="29" t="s">
        <v>39</v>
      </c>
      <c r="D21" s="28">
        <v>15000.0</v>
      </c>
    </row>
    <row r="22">
      <c r="A22" s="20">
        <v>20.0</v>
      </c>
      <c r="B22" s="26" t="s">
        <v>82</v>
      </c>
      <c r="C22" s="29" t="s">
        <v>41</v>
      </c>
      <c r="D22" s="28">
        <v>11000.0</v>
      </c>
    </row>
    <row r="23">
      <c r="A23" s="20">
        <v>21.0</v>
      </c>
      <c r="B23" s="26" t="s">
        <v>83</v>
      </c>
      <c r="C23" s="29" t="s">
        <v>46</v>
      </c>
      <c r="D23" s="28">
        <v>10500.0</v>
      </c>
    </row>
    <row r="24">
      <c r="A24" s="20">
        <v>22.0</v>
      </c>
      <c r="B24" s="26" t="s">
        <v>84</v>
      </c>
      <c r="C24" s="30">
        <v>45393.0</v>
      </c>
      <c r="D24" s="28">
        <v>10000.0</v>
      </c>
    </row>
    <row r="25">
      <c r="A25" s="20">
        <v>23.0</v>
      </c>
      <c r="B25" s="26" t="s">
        <v>85</v>
      </c>
      <c r="C25" s="29" t="s">
        <v>86</v>
      </c>
      <c r="D25" s="28">
        <v>10000.0</v>
      </c>
    </row>
    <row r="26">
      <c r="A26" s="20">
        <v>24.0</v>
      </c>
      <c r="B26" s="26" t="s">
        <v>87</v>
      </c>
      <c r="C26" s="29" t="s">
        <v>88</v>
      </c>
      <c r="D26" s="28">
        <v>10000.0</v>
      </c>
    </row>
    <row r="27">
      <c r="A27" s="20">
        <v>25.0</v>
      </c>
      <c r="B27" s="26" t="s">
        <v>89</v>
      </c>
      <c r="C27" s="29" t="s">
        <v>88</v>
      </c>
      <c r="D27" s="28">
        <v>10000.0</v>
      </c>
    </row>
    <row r="28">
      <c r="A28" s="20">
        <v>26.0</v>
      </c>
      <c r="B28" s="26" t="s">
        <v>90</v>
      </c>
      <c r="C28" s="30">
        <v>45665.0</v>
      </c>
      <c r="D28" s="28">
        <v>10000.0</v>
      </c>
    </row>
    <row r="29">
      <c r="A29" s="20">
        <v>27.0</v>
      </c>
      <c r="B29" s="26" t="s">
        <v>91</v>
      </c>
      <c r="C29" s="30">
        <v>45700.0</v>
      </c>
      <c r="D29" s="28">
        <v>10000.0</v>
      </c>
    </row>
    <row r="30">
      <c r="A30" s="20">
        <v>28.0</v>
      </c>
      <c r="B30" s="26" t="s">
        <v>92</v>
      </c>
      <c r="C30" s="30">
        <v>45669.0</v>
      </c>
      <c r="D30" s="28">
        <v>10000.0</v>
      </c>
    </row>
    <row r="31">
      <c r="A31" s="20">
        <v>29.0</v>
      </c>
      <c r="B31" s="31" t="s">
        <v>93</v>
      </c>
      <c r="C31" s="32">
        <v>45666.0</v>
      </c>
      <c r="D31" s="28">
        <v>15000.0</v>
      </c>
    </row>
    <row r="32">
      <c r="A32" s="20">
        <v>30.0</v>
      </c>
      <c r="B32" s="31" t="s">
        <v>94</v>
      </c>
      <c r="C32" s="33">
        <v>45972.0</v>
      </c>
      <c r="D32" s="28">
        <v>6000.0</v>
      </c>
    </row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75"/>
  <cols>
    <col customWidth="1" min="1" max="1" width="11.25"/>
    <col customWidth="1" min="2" max="2" width="20.63"/>
    <col customWidth="1" min="3" max="3" width="15.75"/>
    <col customWidth="1" min="4" max="4" width="22.38"/>
    <col customWidth="1" min="5" max="5" width="17.25"/>
    <col customWidth="1" min="6" max="6" width="16.5"/>
    <col customWidth="1" min="7" max="7" width="24.13"/>
    <col customWidth="1" min="8" max="8" width="19.13"/>
  </cols>
  <sheetData>
    <row r="1">
      <c r="A1" s="1" t="s">
        <v>95</v>
      </c>
      <c r="B1" s="2"/>
      <c r="C1" s="2"/>
      <c r="D1" s="2"/>
      <c r="E1" s="3"/>
      <c r="F1" s="34"/>
      <c r="G1" s="34"/>
      <c r="H1" s="34"/>
    </row>
    <row r="2">
      <c r="A2" s="4" t="s">
        <v>1</v>
      </c>
      <c r="B2" s="4" t="s">
        <v>2</v>
      </c>
      <c r="C2" s="4" t="s">
        <v>3</v>
      </c>
      <c r="D2" s="4" t="s">
        <v>4</v>
      </c>
      <c r="E2" s="4" t="s">
        <v>96</v>
      </c>
      <c r="F2" s="4" t="s">
        <v>97</v>
      </c>
      <c r="G2" s="35" t="s">
        <v>98</v>
      </c>
      <c r="H2" s="35" t="s">
        <v>99</v>
      </c>
    </row>
    <row r="3">
      <c r="A3" s="5">
        <v>1.0</v>
      </c>
      <c r="B3" s="6" t="s">
        <v>100</v>
      </c>
      <c r="C3" s="9" t="s">
        <v>101</v>
      </c>
      <c r="D3" s="8" t="s">
        <v>102</v>
      </c>
      <c r="E3" s="36">
        <v>50000.0</v>
      </c>
      <c r="F3" s="5"/>
      <c r="G3" s="5"/>
      <c r="H3" s="5"/>
    </row>
    <row r="4">
      <c r="A4" s="5">
        <v>2.0</v>
      </c>
      <c r="B4" s="6" t="s">
        <v>9</v>
      </c>
      <c r="C4" s="7">
        <v>44199.0</v>
      </c>
      <c r="D4" s="8" t="s">
        <v>13</v>
      </c>
      <c r="E4" s="36">
        <v>35000.0</v>
      </c>
      <c r="F4" s="5"/>
      <c r="G4" s="5"/>
      <c r="H4" s="5"/>
    </row>
    <row r="5">
      <c r="A5" s="5">
        <v>3.0</v>
      </c>
      <c r="B5" s="6" t="s">
        <v>11</v>
      </c>
      <c r="C5" s="9" t="s">
        <v>12</v>
      </c>
      <c r="D5" s="6" t="s">
        <v>10</v>
      </c>
      <c r="E5" s="37">
        <v>30000.0</v>
      </c>
      <c r="F5" s="5"/>
      <c r="G5" s="5"/>
      <c r="H5" s="5"/>
    </row>
    <row r="6">
      <c r="A6" s="5">
        <v>4.0</v>
      </c>
      <c r="B6" s="6" t="s">
        <v>15</v>
      </c>
      <c r="C6" s="9" t="s">
        <v>16</v>
      </c>
      <c r="D6" s="6" t="s">
        <v>103</v>
      </c>
      <c r="E6" s="37">
        <v>22000.0</v>
      </c>
      <c r="F6" s="5"/>
      <c r="G6" s="5"/>
      <c r="H6" s="5"/>
    </row>
    <row r="7">
      <c r="A7" s="5">
        <v>5.0</v>
      </c>
      <c r="B7" s="6" t="s">
        <v>37</v>
      </c>
      <c r="C7" s="7">
        <v>45295.0</v>
      </c>
      <c r="D7" s="6" t="s">
        <v>34</v>
      </c>
      <c r="E7" s="37">
        <v>17000.0</v>
      </c>
      <c r="F7" s="5"/>
      <c r="G7" s="5"/>
      <c r="H7" s="5"/>
    </row>
    <row r="8">
      <c r="A8" s="5">
        <v>6.0</v>
      </c>
      <c r="B8" s="6" t="s">
        <v>33</v>
      </c>
      <c r="C8" s="7">
        <v>44571.0</v>
      </c>
      <c r="D8" s="6" t="s">
        <v>34</v>
      </c>
      <c r="E8" s="37">
        <v>16000.0</v>
      </c>
      <c r="F8" s="5"/>
      <c r="G8" s="5"/>
      <c r="H8" s="5"/>
    </row>
    <row r="9">
      <c r="A9" s="5">
        <v>7.0</v>
      </c>
      <c r="B9" s="6" t="s">
        <v>38</v>
      </c>
      <c r="C9" s="9" t="s">
        <v>39</v>
      </c>
      <c r="D9" s="6" t="s">
        <v>34</v>
      </c>
      <c r="E9" s="37">
        <v>15000.0</v>
      </c>
      <c r="F9" s="5"/>
      <c r="G9" s="5"/>
      <c r="H9" s="5"/>
    </row>
    <row r="10">
      <c r="A10" s="5">
        <v>8.0</v>
      </c>
      <c r="B10" s="6" t="s">
        <v>53</v>
      </c>
      <c r="C10" s="7">
        <v>45334.0</v>
      </c>
      <c r="D10" s="6" t="s">
        <v>34</v>
      </c>
      <c r="E10" s="37">
        <v>15000.0</v>
      </c>
      <c r="F10" s="5"/>
      <c r="G10" s="5"/>
      <c r="H10" s="5"/>
    </row>
    <row r="11">
      <c r="A11" s="5">
        <v>9.0</v>
      </c>
      <c r="B11" s="6" t="s">
        <v>23</v>
      </c>
      <c r="C11" s="9" t="s">
        <v>24</v>
      </c>
      <c r="D11" s="6" t="s">
        <v>104</v>
      </c>
      <c r="E11" s="37">
        <v>13000.0</v>
      </c>
      <c r="F11" s="5"/>
      <c r="G11" s="5"/>
      <c r="H11" s="5"/>
    </row>
    <row r="12">
      <c r="A12" s="5">
        <v>10.0</v>
      </c>
      <c r="B12" s="6" t="s">
        <v>36</v>
      </c>
      <c r="C12" s="7">
        <v>45508.0</v>
      </c>
      <c r="D12" s="6" t="s">
        <v>34</v>
      </c>
      <c r="E12" s="37">
        <v>13000.0</v>
      </c>
      <c r="F12" s="5"/>
      <c r="G12" s="5"/>
      <c r="H12" s="5"/>
    </row>
    <row r="13">
      <c r="A13" s="5">
        <v>11.0</v>
      </c>
      <c r="B13" s="6" t="s">
        <v>105</v>
      </c>
      <c r="C13" s="9" t="s">
        <v>21</v>
      </c>
      <c r="D13" s="6" t="s">
        <v>22</v>
      </c>
      <c r="E13" s="37">
        <v>12000.0</v>
      </c>
      <c r="F13" s="5"/>
      <c r="G13" s="5"/>
      <c r="H13" s="5"/>
    </row>
    <row r="14">
      <c r="A14" s="5">
        <v>12.0</v>
      </c>
      <c r="B14" s="6" t="s">
        <v>50</v>
      </c>
      <c r="C14" s="7">
        <v>45638.0</v>
      </c>
      <c r="D14" s="6" t="s">
        <v>34</v>
      </c>
      <c r="E14" s="37">
        <v>12000.0</v>
      </c>
      <c r="F14" s="5"/>
      <c r="G14" s="5"/>
      <c r="H14" s="5"/>
    </row>
    <row r="15">
      <c r="A15" s="5">
        <v>13.0</v>
      </c>
      <c r="B15" s="6" t="s">
        <v>40</v>
      </c>
      <c r="C15" s="9" t="s">
        <v>41</v>
      </c>
      <c r="D15" s="6" t="s">
        <v>34</v>
      </c>
      <c r="E15" s="37">
        <v>11000.0</v>
      </c>
      <c r="F15" s="5"/>
      <c r="G15" s="5"/>
      <c r="H15" s="5"/>
    </row>
    <row r="16">
      <c r="A16" s="5">
        <v>14.0</v>
      </c>
      <c r="B16" s="6" t="s">
        <v>42</v>
      </c>
      <c r="C16" s="9" t="s">
        <v>43</v>
      </c>
      <c r="D16" s="6" t="s">
        <v>34</v>
      </c>
      <c r="E16" s="37">
        <v>10500.0</v>
      </c>
      <c r="F16" s="5"/>
      <c r="G16" s="5"/>
      <c r="H16" s="5"/>
    </row>
    <row r="17">
      <c r="A17" s="5">
        <v>15.0</v>
      </c>
      <c r="B17" s="6" t="s">
        <v>44</v>
      </c>
      <c r="C17" s="7">
        <v>45301.0</v>
      </c>
      <c r="D17" s="6" t="s">
        <v>34</v>
      </c>
      <c r="E17" s="37">
        <v>10500.0</v>
      </c>
      <c r="F17" s="5"/>
      <c r="G17" s="5"/>
      <c r="H17" s="5"/>
    </row>
    <row r="18">
      <c r="A18" s="5">
        <v>16.0</v>
      </c>
      <c r="B18" s="6" t="s">
        <v>45</v>
      </c>
      <c r="C18" s="7" t="s">
        <v>46</v>
      </c>
      <c r="D18" s="6" t="s">
        <v>34</v>
      </c>
      <c r="E18" s="37">
        <v>10500.0</v>
      </c>
      <c r="F18" s="5"/>
      <c r="G18" s="5"/>
      <c r="H18" s="5"/>
    </row>
    <row r="19">
      <c r="A19" s="5">
        <v>17.0</v>
      </c>
      <c r="B19" s="6" t="s">
        <v>47</v>
      </c>
      <c r="C19" s="7">
        <v>45607.0</v>
      </c>
      <c r="D19" s="6" t="s">
        <v>34</v>
      </c>
      <c r="E19" s="37">
        <v>10000.0</v>
      </c>
      <c r="F19" s="5"/>
      <c r="G19" s="5"/>
      <c r="H19" s="5"/>
    </row>
    <row r="20">
      <c r="A20" s="5">
        <v>18.0</v>
      </c>
      <c r="B20" s="6" t="s">
        <v>49</v>
      </c>
      <c r="C20" s="7">
        <v>45393.0</v>
      </c>
      <c r="D20" s="6" t="s">
        <v>34</v>
      </c>
      <c r="E20" s="37">
        <v>10000.0</v>
      </c>
      <c r="F20" s="5"/>
      <c r="G20" s="5"/>
      <c r="H20" s="5"/>
    </row>
    <row r="21">
      <c r="A21" s="5">
        <v>19.0</v>
      </c>
      <c r="B21" s="38" t="s">
        <v>52</v>
      </c>
      <c r="C21" s="39">
        <v>45334.0</v>
      </c>
      <c r="D21" s="38" t="s">
        <v>34</v>
      </c>
      <c r="E21" s="40">
        <v>10000.0</v>
      </c>
      <c r="F21" s="5"/>
      <c r="G21" s="5"/>
      <c r="H21" s="5"/>
    </row>
    <row r="22">
      <c r="A22" s="5">
        <v>20.0</v>
      </c>
      <c r="B22" s="6" t="s">
        <v>30</v>
      </c>
      <c r="C22" s="9" t="s">
        <v>31</v>
      </c>
      <c r="D22" s="6" t="s">
        <v>32</v>
      </c>
      <c r="E22" s="37">
        <v>10000.0</v>
      </c>
      <c r="F22" s="5"/>
      <c r="G22" s="5"/>
      <c r="H22" s="5"/>
    </row>
    <row r="23">
      <c r="B23" s="41"/>
      <c r="C23" s="41"/>
      <c r="D23" s="42" t="s">
        <v>106</v>
      </c>
      <c r="E23" s="43">
        <f>SUM(E3:E22)</f>
        <v>332500</v>
      </c>
      <c r="F23" s="43"/>
      <c r="G23" s="43"/>
      <c r="H23" s="43"/>
    </row>
    <row r="24">
      <c r="D24" s="17"/>
    </row>
    <row r="25">
      <c r="G25" s="44" t="s">
        <v>107</v>
      </c>
      <c r="H25" s="45"/>
    </row>
    <row r="26">
      <c r="G26" s="44" t="s">
        <v>108</v>
      </c>
      <c r="H26" s="45"/>
    </row>
    <row r="27">
      <c r="G27" s="44" t="s">
        <v>109</v>
      </c>
      <c r="H27" s="45"/>
    </row>
    <row r="28">
      <c r="G28" s="44" t="s">
        <v>110</v>
      </c>
      <c r="H28" s="45"/>
    </row>
    <row r="30">
      <c r="G30" s="46" t="s">
        <v>111</v>
      </c>
      <c r="H30" s="45"/>
    </row>
    <row r="32" ht="37.5" customHeight="1"/>
  </sheetData>
  <autoFilter ref="$A$2:$E$23">
    <sortState ref="A2:E23">
      <sortCondition descending="1" ref="E2:E23"/>
      <sortCondition ref="A2:A23"/>
      <sortCondition ref="C2:C23"/>
    </sortState>
  </autoFilter>
  <mergeCells count="1">
    <mergeCell ref="A1:E1"/>
  </mergeCells>
  <printOptions gridLines="1" horizontalCentered="1" verticalCentered="1"/>
  <pageMargins bottom="0.75" footer="0.0" header="0.0" left="0.25" right="0.25" top="0.75"/>
  <pageSetup paperSize="12" cellComments="atEnd" orientation="landscape" pageOrder="overThenDown"/>
  <drawing r:id="rId1"/>
</worksheet>
</file>