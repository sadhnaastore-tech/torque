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A 2026" sheetId="1" r:id="rId4"/>
    <sheet state="visible" name="SAMA 2025" sheetId="2" r:id="rId5"/>
    <sheet state="visible" name="sbi" sheetId="3" r:id="rId6"/>
    <sheet state="visible" name="FAIZAN" sheetId="4" r:id="rId7"/>
    <sheet state="visible" name="taslim" sheetId="5" r:id="rId8"/>
    <sheet state="visible" name="faizan SURAT" sheetId="6" r:id="rId9"/>
    <sheet state="visible" name="ahmed bhuj" sheetId="7" r:id="rId10"/>
    <sheet state="visible" name="IMRAN SAMA till dec 23" sheetId="8" r:id="rId11"/>
    <sheet state="visible" name="2024" sheetId="9" r:id="rId12"/>
    <sheet state="visible" name="sama 2,4" sheetId="10" r:id="rId13"/>
    <sheet state="visible" name="probus" sheetId="11" r:id="rId14"/>
  </sheets>
  <definedNames>
    <definedName hidden="1" localSheetId="0" name="_xlnm._FilterDatabase">'SAMA 2026'!$A$252:$AI$335</definedName>
    <definedName hidden="1" localSheetId="1" name="_xlnm._FilterDatabase">'SAMA 2025'!$A$1217:$AI$1285</definedName>
    <definedName hidden="1" localSheetId="7" name="_xlnm._FilterDatabase">'IMRAN SAMA till dec 23'!$A$160:$Y$258</definedName>
  </definedNames>
  <calcPr/>
  <extLst>
    <ext uri="GoogleSheetsCustomDataVersion2">
      <go:sheetsCustomData xmlns:go="http://customooxmlschemas.google.com/" r:id="rId15" roundtripDataChecksum="LuKjkXYToj/AKrhOQzv+6tieelbvE0uc042h6nRO/SU="/>
    </ext>
  </extLst>
</workbook>
</file>

<file path=xl/sharedStrings.xml><?xml version="1.0" encoding="utf-8"?>
<sst xmlns="http://schemas.openxmlformats.org/spreadsheetml/2006/main" count="41558" uniqueCount="12576">
  <si>
    <t>ISSUE DATE</t>
  </si>
  <si>
    <t>REG NO</t>
  </si>
  <si>
    <t>POLICY NUMBER</t>
  </si>
  <si>
    <t>CAT</t>
  </si>
  <si>
    <t>MODEL</t>
  </si>
  <si>
    <t>NAME</t>
  </si>
  <si>
    <t>MOBILE NUMBER 1</t>
  </si>
  <si>
    <t>MOBILE NUMBER 2</t>
  </si>
  <si>
    <t>GVW</t>
  </si>
  <si>
    <t>EXP DATE</t>
  </si>
  <si>
    <t>COMPANY</t>
  </si>
  <si>
    <t>TP/FULL/SAOD</t>
  </si>
  <si>
    <t>VIA</t>
  </si>
  <si>
    <t>FROM</t>
  </si>
  <si>
    <t>NET PREMIUM</t>
  </si>
  <si>
    <t>TOTAL PREMIUM</t>
  </si>
  <si>
    <t>%</t>
  </si>
  <si>
    <t>AMOUNT</t>
  </si>
  <si>
    <t>21/12/2025</t>
  </si>
  <si>
    <t>GJ02X1224</t>
  </si>
  <si>
    <t>3003/A/421805274/00/B00</t>
  </si>
  <si>
    <t>HGV</t>
  </si>
  <si>
    <t>TATA MOTORS TRUCKS LPT 709</t>
  </si>
  <si>
    <t>GUJAR NARAYANLAL MANGILAL</t>
  </si>
  <si>
    <t>20/12/2026</t>
  </si>
  <si>
    <t>ICICI</t>
  </si>
  <si>
    <t>TP</t>
  </si>
  <si>
    <t>OF</t>
  </si>
  <si>
    <t>IS</t>
  </si>
  <si>
    <t>GJ13W2207</t>
  </si>
  <si>
    <t>3003/A/421805159/00/B00</t>
  </si>
  <si>
    <t>ASHOK LEYLAND TIPPERS</t>
  </si>
  <si>
    <t>DEVMURALI SHAILESH RAJARAMBHAI</t>
  </si>
  <si>
    <t>AL</t>
  </si>
  <si>
    <t>25/12/2025</t>
  </si>
  <si>
    <t>GJ05BZ2418</t>
  </si>
  <si>
    <t>0674023125P114963934</t>
  </si>
  <si>
    <t>OTH</t>
  </si>
  <si>
    <t>TRAILER NON AGRICULTURE NON AGRICULTURE.</t>
  </si>
  <si>
    <t>MR RAMJIBHAI NATHABHAI NAKIYA</t>
  </si>
  <si>
    <t>25/12/2026</t>
  </si>
  <si>
    <t>UNITED</t>
  </si>
  <si>
    <t>GJ13AX0931</t>
  </si>
  <si>
    <t>2315 2080 2180 7700 000</t>
  </si>
  <si>
    <t>LGV</t>
  </si>
  <si>
    <t>SUPER CARRY - STD CNG</t>
  </si>
  <si>
    <t>MR JOGARANA AMRUTBHAI NARAYANBHAI</t>
  </si>
  <si>
    <t>24/12/2026</t>
  </si>
  <si>
    <t>HDFC</t>
  </si>
  <si>
    <t>FULL</t>
  </si>
  <si>
    <t>SK</t>
  </si>
  <si>
    <t>26/12/2025</t>
  </si>
  <si>
    <t>GJ12Y7679</t>
  </si>
  <si>
    <t>AVO/2315/12552098</t>
  </si>
  <si>
    <t>ASHOK LEYLAND AL 2214</t>
  </si>
  <si>
    <t>Makwana Jethabhai Raghubhai</t>
  </si>
  <si>
    <t>UNIVERSAL</t>
  </si>
  <si>
    <t>27/12/2025</t>
  </si>
  <si>
    <t>GJ27AL7084</t>
  </si>
  <si>
    <t>12-1806-0008665127-00</t>
  </si>
  <si>
    <t>2W</t>
  </si>
  <si>
    <t>HONDA ACTIVA 3G</t>
  </si>
  <si>
    <t>Ahir Sanjaybhai Kanjibhai</t>
  </si>
  <si>
    <t>-</t>
  </si>
  <si>
    <t>27/12/2026</t>
  </si>
  <si>
    <t>BAJAJ</t>
  </si>
  <si>
    <t>GJ03BW7412</t>
  </si>
  <si>
    <t>161522523340016540</t>
  </si>
  <si>
    <t>ASHOK LEYLAND 4123 &amp; 10X2 HAULAGE BS IV</t>
  </si>
  <si>
    <t>MR. AVESHBHAI KHAMISHA MANEK</t>
  </si>
  <si>
    <t>RELIANCE</t>
  </si>
  <si>
    <t>RN</t>
  </si>
  <si>
    <t>29/12/2025</t>
  </si>
  <si>
    <t>GJ36U0483</t>
  </si>
  <si>
    <t>POCMVGC0100619962</t>
  </si>
  <si>
    <t>3W GCV</t>
  </si>
  <si>
    <t>Atul Auto,ATUL SHAKTI &amp; Cargo D</t>
  </si>
  <si>
    <t>Mr.MANUBHAI MOMBHAI LAMBARIYA</t>
  </si>
  <si>
    <t>SBI</t>
  </si>
  <si>
    <t>GJ36W3454</t>
  </si>
  <si>
    <t>POCMVGC0100619963</t>
  </si>
  <si>
    <t>Bajaj Auto Limited,Maxima C &amp; CNG</t>
  </si>
  <si>
    <t>Mr.AMBALIYA IMRAN ANVARBHAI</t>
  </si>
  <si>
    <t>28/12/2026</t>
  </si>
  <si>
    <t>FB</t>
  </si>
  <si>
    <t>GJ10TY0586</t>
  </si>
  <si>
    <t>2315 2080 3630 2300 000</t>
  </si>
  <si>
    <t>MRS JADEJA KUSUMBA</t>
  </si>
  <si>
    <t>26/12/2026</t>
  </si>
  <si>
    <t>BR</t>
  </si>
  <si>
    <t>30/12/2025</t>
  </si>
  <si>
    <t>GJ36V0953</t>
  </si>
  <si>
    <t>3003/422914386/00/000</t>
  </si>
  <si>
    <t>MGV</t>
  </si>
  <si>
    <t>TATA MOTORS TRUCKS LPT 1212 TRUCK</t>
  </si>
  <si>
    <t>BABUBHAI SATABHAI MUNDHANA</t>
  </si>
  <si>
    <t>NH</t>
  </si>
  <si>
    <t>GJ36V8495</t>
  </si>
  <si>
    <t>2315 2080 4058 5700 000</t>
  </si>
  <si>
    <t>MR DINESH RAMJI SALANI</t>
  </si>
  <si>
    <t>30/12/2026</t>
  </si>
  <si>
    <t>PV</t>
  </si>
  <si>
    <t>GJ03BY4692</t>
  </si>
  <si>
    <t>601722523340004265</t>
  </si>
  <si>
    <t>TATA LPT &amp; 4825 BSVI 10X2</t>
  </si>
  <si>
    <t>MR. SINDHI MOHSINBHAI HANIFBHAI</t>
  </si>
  <si>
    <t>29/12/2026</t>
  </si>
  <si>
    <t>BR24GC9252</t>
  </si>
  <si>
    <t>3003/A/422910702/00/B00</t>
  </si>
  <si>
    <t>TANKER LPT 2518 TANKER</t>
  </si>
  <si>
    <t>MANSANG NARSHIBHAI KUNPARA</t>
  </si>
  <si>
    <t>AS</t>
  </si>
  <si>
    <t>GJ36V5864</t>
  </si>
  <si>
    <t>3379/04568802/000/00</t>
  </si>
  <si>
    <t>BADA DOST - 14</t>
  </si>
  <si>
    <t>GANATRA RAHUL MUKESHBHAI</t>
  </si>
  <si>
    <t>CHOLA</t>
  </si>
  <si>
    <t>GJ36W1470</t>
  </si>
  <si>
    <t>POCMVGC0100623177</t>
  </si>
  <si>
    <t>Bajaj Auto Limited,Maxima &amp; Cargo CNG DAC</t>
  </si>
  <si>
    <t>Mr.SANJAY AVACHARBHAI ADHROJIYA</t>
  </si>
  <si>
    <t>31/12/2025</t>
  </si>
  <si>
    <t>GJ36A3054</t>
  </si>
  <si>
    <t>12-1806-0006339246-01</t>
  </si>
  <si>
    <t>HERO MOTOCORP</t>
  </si>
  <si>
    <t>Lanja Altaf Nurmamad</t>
  </si>
  <si>
    <t>31/12/2026</t>
  </si>
  <si>
    <t>GJ36U8781</t>
  </si>
  <si>
    <t>POCMVGC0100625499</t>
  </si>
  <si>
    <t>Mr.ISMAILBHAI KASAMBHAI PIPARVADIYA</t>
  </si>
  <si>
    <t>99786 47047</t>
  </si>
  <si>
    <t>GJ36V9848</t>
  </si>
  <si>
    <t>161522523340016647</t>
  </si>
  <si>
    <t>ASHOK LEYLAND 3718 &amp; BS IV</t>
  </si>
  <si>
    <t>MR. RAHIL ABIDBHAI DALVANI</t>
  </si>
  <si>
    <t>GJ03BX6847</t>
  </si>
  <si>
    <t>POCMVGC0100625514</t>
  </si>
  <si>
    <t>Capital Auto Industries,Capital 599 &amp; Open Cargo Box</t>
  </si>
  <si>
    <t>Mr.VAGHELA GHANSHYAM MULUBHAI</t>
  </si>
  <si>
    <t>GJ03AV8788</t>
  </si>
  <si>
    <t>201740020725700069400000</t>
  </si>
  <si>
    <t>MAHINDRA/BOLER O MAXI TRUCK PLUS BS 4/(Fully Built) PICKUP</t>
  </si>
  <si>
    <t>BIPINBHAI DANGAR</t>
  </si>
  <si>
    <t>LIBERTY</t>
  </si>
  <si>
    <t>PY</t>
  </si>
  <si>
    <t>GJ10Z5219</t>
  </si>
  <si>
    <t>3003/A/423258857/00/B00</t>
  </si>
  <si>
    <t>TATA MOTORS TIPPERS</t>
  </si>
  <si>
    <t>BAKUL DHARMSHIBHAI LATHIYA</t>
  </si>
  <si>
    <t>99794 50492</t>
  </si>
  <si>
    <t>99795 73793</t>
  </si>
  <si>
    <t>PJ</t>
  </si>
  <si>
    <t>GJ36V5851</t>
  </si>
  <si>
    <t>2315 2080 5212 8400 000</t>
  </si>
  <si>
    <t>SUPER CARRY - STD CNG.</t>
  </si>
  <si>
    <t>MR KADARI IMRAN IQBALBHAI</t>
  </si>
  <si>
    <t>GJ36T4741</t>
  </si>
  <si>
    <t>POCMVGC0100628921</t>
  </si>
  <si>
    <t>Tata Motors,LPT 3118</t>
  </si>
  <si>
    <t>Mr.ASHISH SURENDRABHAI BAREJIYA</t>
  </si>
  <si>
    <t>GJ36V3096</t>
  </si>
  <si>
    <t>2315 2080 5398 2000 000</t>
  </si>
  <si>
    <t>MR MANJURHUSEN USMANBHAI SHERASIYA</t>
  </si>
  <si>
    <t>GJ36T7889</t>
  </si>
  <si>
    <t>2315 2080 5398 1300 000</t>
  </si>
  <si>
    <t>JEETO - X7-16</t>
  </si>
  <si>
    <t>MR PARMAR VASANTBHAI KHODABHAI</t>
  </si>
  <si>
    <t>GJ03BX2904</t>
  </si>
  <si>
    <t>POCMVGC0100628863</t>
  </si>
  <si>
    <t>Mr.AZAZ SANDHI</t>
  </si>
  <si>
    <t>RL</t>
  </si>
  <si>
    <t>GJ27TT1372</t>
  </si>
  <si>
    <t>2315 2080 5387 5100 000</t>
  </si>
  <si>
    <t>TATA MOTORS LTD</t>
  </si>
  <si>
    <t>MR DINESHKUMAR KAILASHCHANDRA SHARMA</t>
  </si>
  <si>
    <t>19/01/2027</t>
  </si>
  <si>
    <t>GJ36V5513</t>
  </si>
  <si>
    <t>3379/04573790/000/00</t>
  </si>
  <si>
    <t>BOLERO MAXX PUP - 1.7 HD LX</t>
  </si>
  <si>
    <t>SHERASIYA HARUNRASHID IBRAHIM</t>
  </si>
  <si>
    <t>97226 82133</t>
  </si>
  <si>
    <t>GJ06XX9092</t>
  </si>
  <si>
    <t>2315 2080 5825 6000 000</t>
  </si>
  <si>
    <t>ACE - ACE EX</t>
  </si>
  <si>
    <t>MR KUNDHIYA JAGDISH PAPUBHAI</t>
  </si>
  <si>
    <t>JP</t>
  </si>
  <si>
    <t>GJ36X7775</t>
  </si>
  <si>
    <t>202600084123000-00</t>
  </si>
  <si>
    <t>MARUTI, SUPER CARRY, CNG STD</t>
  </si>
  <si>
    <t>HINDUSTAN HEALTH AND BEAUTY CARE</t>
  </si>
  <si>
    <t>GJ36X7175</t>
  </si>
  <si>
    <t>202600084190000-00</t>
  </si>
  <si>
    <t>FRESH EARTH SOAPS PRIVATE LIMITED</t>
  </si>
  <si>
    <t>GJ36T0671</t>
  </si>
  <si>
    <t>POCMVGC0100638748</t>
  </si>
  <si>
    <t>Tata Motors,LPK 2518</t>
  </si>
  <si>
    <t>Mr.BHARVAD RAMTUBHAI NANUBHAI</t>
  </si>
  <si>
    <t>GJ36J4674</t>
  </si>
  <si>
    <t>12-1806-0008700922-00</t>
  </si>
  <si>
    <t>HONDA ACTIVA</t>
  </si>
  <si>
    <t>Mundadiya Vaibhavkumar Jagdish</t>
  </si>
  <si>
    <t>GJ10TY7949</t>
  </si>
  <si>
    <t>3003/423432086/00/000</t>
  </si>
  <si>
    <t>ASHOK LEYLAND TANKER</t>
  </si>
  <si>
    <t>RAJDEEP BALUBHA JADEJA</t>
  </si>
  <si>
    <t>96242 55432</t>
  </si>
  <si>
    <t>GJ10TY8409</t>
  </si>
  <si>
    <t>3003/423431785/00/000</t>
  </si>
  <si>
    <t>GJ36U9185</t>
  </si>
  <si>
    <t>POCMVGC0100631191</t>
  </si>
  <si>
    <t>Mr.SHANKHESARIYA NILESHBHAI</t>
  </si>
  <si>
    <t>GJ03CT2117</t>
  </si>
  <si>
    <t>POCMVGC0100631194</t>
  </si>
  <si>
    <t>Mr.MARVANIYA KHODIDAS</t>
  </si>
  <si>
    <t>GJ36U9416</t>
  </si>
  <si>
    <t>POCMVGC0100631190</t>
  </si>
  <si>
    <t>GJ27WA1241</t>
  </si>
  <si>
    <t>POCMVGC0100631175</t>
  </si>
  <si>
    <t>Mr.BRIJPAL SHRINANDRAM PAL</t>
  </si>
  <si>
    <t>SN</t>
  </si>
  <si>
    <t>GJ36V5765</t>
  </si>
  <si>
    <t>2315 2080 5660 9700 000</t>
  </si>
  <si>
    <t>MR CHUHAN JESHINGBHAI RUPABHAI</t>
  </si>
  <si>
    <t>GJ36W2801</t>
  </si>
  <si>
    <t>0604003125P115449922</t>
  </si>
  <si>
    <t>BAJAJ AUTO LTD / BAJAJ MAXIMA CARGO CNG</t>
  </si>
  <si>
    <t>MR RAMESHBHAI JETHUPAL PAL</t>
  </si>
  <si>
    <t>GJ13AW1289</t>
  </si>
  <si>
    <t>3003/A/423565355/00/B00</t>
  </si>
  <si>
    <t>TATA MOTORS TRUCKS LPT 1109/42 TRUCK</t>
  </si>
  <si>
    <t>RAMESHBHAI KARSHANBHAI BHARVAD</t>
  </si>
  <si>
    <t>GJ36T3855</t>
  </si>
  <si>
    <t>2315 2080 5825 6400 000</t>
  </si>
  <si>
    <t>SUPER CARRY - STD</t>
  </si>
  <si>
    <t>MR AJMERI NIZAM YUNUSBHAI</t>
  </si>
  <si>
    <t>GJ36U8917</t>
  </si>
  <si>
    <t>POCMVGC0100633343</t>
  </si>
  <si>
    <t>Mr.VISHAL MOMBHAI LAMBARIYA</t>
  </si>
  <si>
    <t>GJ36W8898</t>
  </si>
  <si>
    <t>POCMVGC0100633345</t>
  </si>
  <si>
    <t>Mr.NATAVARLAL MANSUKHLAL SITAPRA</t>
  </si>
  <si>
    <t>GJ12X1389</t>
  </si>
  <si>
    <t>3003/A/423620161/00/B00</t>
  </si>
  <si>
    <t>TATA MOTORS TRUCKS LPT 909.</t>
  </si>
  <si>
    <t>DHARAJIYA VIJAYBHAI KHODABHAI</t>
  </si>
  <si>
    <t>GJ36W3999</t>
  </si>
  <si>
    <t>0604003125P115545150</t>
  </si>
  <si>
    <t>MS MITVA FOOD</t>
  </si>
  <si>
    <t>GJ05YY6058</t>
  </si>
  <si>
    <t>3003/A/423701952/00/B00</t>
  </si>
  <si>
    <t>TATA MOTORS TRAILERS</t>
  </si>
  <si>
    <t>MOTLANI MAKSUD MAMADBHA</t>
  </si>
  <si>
    <t>GJ36U6540</t>
  </si>
  <si>
    <t>POCMVGC0100636453</t>
  </si>
  <si>
    <t>Mr.AJMERI BADRUDIN YUNUSBHAI</t>
  </si>
  <si>
    <t>GJ23X2775</t>
  </si>
  <si>
    <t>2315 2080 6796 0100 000</t>
  </si>
  <si>
    <t>DOST - LS</t>
  </si>
  <si>
    <t>MR MOHAMADBHAI BADRUDIN GULABI</t>
  </si>
  <si>
    <t>24/01/2027</t>
  </si>
  <si>
    <t>GJ36V7132</t>
  </si>
  <si>
    <t>2315 2080 6770 2500 000</t>
  </si>
  <si>
    <t>SUPER CARRY</t>
  </si>
  <si>
    <t>MR DABHI NANJIBHAI KHIMJIBHAI</t>
  </si>
  <si>
    <t>GJ13AX2331</t>
  </si>
  <si>
    <t>2315 2080 6765 8000 000</t>
  </si>
  <si>
    <t>MR NAKIYA PINTU BHIMABHAI</t>
  </si>
  <si>
    <t>GJ12BW3360</t>
  </si>
  <si>
    <t>AVO/2315/20016591</t>
  </si>
  <si>
    <t>ASHOK LEYLAND LTD U-4019 TT BSIV</t>
  </si>
  <si>
    <t>R.T.SHIPPING SERVICES</t>
  </si>
  <si>
    <t>MG</t>
  </si>
  <si>
    <t>GJ36V6192</t>
  </si>
  <si>
    <t>2315 2080 6851 2400 000</t>
  </si>
  <si>
    <t>MR VINJVADIYA MANUBHAI PREMJIBHAI</t>
  </si>
  <si>
    <t>GJ36V2768</t>
  </si>
  <si>
    <t>2315 2080 6851 1200 000</t>
  </si>
  <si>
    <t>MR VIJAY LADHA BAMBHAVA</t>
  </si>
  <si>
    <t>AJ</t>
  </si>
  <si>
    <t>GJ36V3418</t>
  </si>
  <si>
    <t>2315 2080 6851 9300 000</t>
  </si>
  <si>
    <t>MR FEFAR DHARMENDRA VIRJIBHAI</t>
  </si>
  <si>
    <t>GJ01CZ1444</t>
  </si>
  <si>
    <t>2315 2080 6847 5900 000</t>
  </si>
  <si>
    <t>MR SIRAJUDDIN SAMSUDDIN MALEK</t>
  </si>
  <si>
    <t>HP</t>
  </si>
  <si>
    <t>GJ36W2835</t>
  </si>
  <si>
    <t>POCMVGC0100638741</t>
  </si>
  <si>
    <t>Mr.GAMARA MUNNESH BHALABHAI</t>
  </si>
  <si>
    <t>GJ36U7694</t>
  </si>
  <si>
    <t>0604003125P115687130</t>
  </si>
  <si>
    <t>BAJAJ AUTO LTD / BAJAJ MAXIMA C CNG</t>
  </si>
  <si>
    <t>MR RABARI VARJANGBHAI RAMJIBHAI</t>
  </si>
  <si>
    <t>CPM</t>
  </si>
  <si>
    <t>ETI0011392000100</t>
  </si>
  <si>
    <t>HYDRAULIK EXCAVATOR</t>
  </si>
  <si>
    <t>SODHA DEEPAK</t>
  </si>
  <si>
    <t>ROYAL</t>
  </si>
  <si>
    <t>GJ03CU9192</t>
  </si>
  <si>
    <t>160622623340002061</t>
  </si>
  <si>
    <t>ASHOK LEYLAND 3518 &amp; IL</t>
  </si>
  <si>
    <t>MR. DUDHREJIYA JANKIDASH BABUBHAI</t>
  </si>
  <si>
    <t>GJ01SE0725</t>
  </si>
  <si>
    <t>12-1806-0008756183-00</t>
  </si>
  <si>
    <t>SUZUKI ACCESS</t>
  </si>
  <si>
    <t>Pathan Kasambhai Abdulbhai</t>
  </si>
  <si>
    <t>GJ36J1619</t>
  </si>
  <si>
    <t>12-1806-0006323772-01</t>
  </si>
  <si>
    <t>Bhavesh Rameshchandra Adthakkar</t>
  </si>
  <si>
    <t>GJ08Z7752</t>
  </si>
  <si>
    <t>POCMVGC0100643183</t>
  </si>
  <si>
    <t>Mr.GOSAI MANOJ JITENDRABHAI</t>
  </si>
  <si>
    <t>GJ16Z5807</t>
  </si>
  <si>
    <t>POCMVGC0100643165</t>
  </si>
  <si>
    <t>Tata Motors,LPT 2518</t>
  </si>
  <si>
    <t>Mr.PATEL DINESHBHAI RAGHVJIBHAI</t>
  </si>
  <si>
    <t>GJ03AZ5324</t>
  </si>
  <si>
    <t>201340020725700099300000</t>
  </si>
  <si>
    <t>MAHINDRA/BOLER O MAXI TRUCK/ (Fully Built) PICKUP</t>
  </si>
  <si>
    <t>RAUMA HASAMBHAI SUMARBHAI</t>
  </si>
  <si>
    <t>GJ03AT4974</t>
  </si>
  <si>
    <t>AVO/2315/20021285</t>
  </si>
  <si>
    <t>TATA MOTORS LIMITED LPT2515</t>
  </si>
  <si>
    <t>Amadbhai Akabarbhai Bhatti</t>
  </si>
  <si>
    <t>GJ10CJ5510</t>
  </si>
  <si>
    <t>12-1806-0008758102-00</t>
  </si>
  <si>
    <t>HERO MOTOCORP SPLENDOR PLUS</t>
  </si>
  <si>
    <t>Chavda Dulabhai</t>
  </si>
  <si>
    <t>GJ14Z3585</t>
  </si>
  <si>
    <t>POCMVGC0100644966</t>
  </si>
  <si>
    <t>Tata Motors,LPT 1109</t>
  </si>
  <si>
    <t>A ONE ENGINEERING</t>
  </si>
  <si>
    <t>GJ36W1478</t>
  </si>
  <si>
    <t>0604003125P115858657</t>
  </si>
  <si>
    <t>ATUL AUTO LTD / ATUL SHAKTI 435 CARGO XL (D)</t>
  </si>
  <si>
    <t>MR CHAUHAN SUNIL SURESHBHAI</t>
  </si>
  <si>
    <t>GJ03BW3648</t>
  </si>
  <si>
    <t>POCMVGC0100647201</t>
  </si>
  <si>
    <t>MARUTI, SUPER CARRY, CNG</t>
  </si>
  <si>
    <t>Mr.MENDAPARA LALITBHAI MADHAVJIBHAI</t>
  </si>
  <si>
    <t>VR</t>
  </si>
  <si>
    <t>GJ03BV1272</t>
  </si>
  <si>
    <t>3003/A/424479832/00/B00</t>
  </si>
  <si>
    <t>TATA MOTORS PICK-UP VANS</t>
  </si>
  <si>
    <t>JADEJA RAMDEVSINH BHAGVATSINH</t>
  </si>
  <si>
    <t>GJ36W2444</t>
  </si>
  <si>
    <t>POCMVGC0100647211</t>
  </si>
  <si>
    <t>BAJAJ AUTO LIMITED, MAXIMA C, CNG</t>
  </si>
  <si>
    <t>Mr.SHEKHANI RAMESH RUGNATHBHAI</t>
  </si>
  <si>
    <t>GJ38TA2649</t>
  </si>
  <si>
    <t>P0126200007/4103/10477</t>
  </si>
  <si>
    <t>EICHER PRO 2110 H CAB &amp; HSD (SL) BSVI/OPEN</t>
  </si>
  <si>
    <t>Mr VANJA RAJUBHAI SAGARBHAI</t>
  </si>
  <si>
    <t>MAGMA</t>
  </si>
  <si>
    <t>13/1/2026</t>
  </si>
  <si>
    <t>GJ38AB9774</t>
  </si>
  <si>
    <t>12-1806-0008782030-00</t>
  </si>
  <si>
    <t>BAJAJ PULSAR 150 DTSI</t>
  </si>
  <si>
    <t>Bhatti Husen Habibbhai</t>
  </si>
  <si>
    <t>GJ36X8389</t>
  </si>
  <si>
    <t>132/02/17/0127/MTP/1010324324</t>
  </si>
  <si>
    <t>TATA MOTORS LTD SIGNA 5530 S 4X2</t>
  </si>
  <si>
    <t>SP ROADLINES</t>
  </si>
  <si>
    <t>14/01/2027</t>
  </si>
  <si>
    <t>GENERALI</t>
  </si>
  <si>
    <t>PR</t>
  </si>
  <si>
    <t>17OD+15 TP</t>
  </si>
  <si>
    <t>GJ36V6238</t>
  </si>
  <si>
    <t>3379/04586780/000/00</t>
  </si>
  <si>
    <t>SANJAYBHAI BACHUBHAI PACHIYA</t>
  </si>
  <si>
    <t>14/1/2026</t>
  </si>
  <si>
    <t>GJ36V3164</t>
  </si>
  <si>
    <t>3379/04588237/000/00</t>
  </si>
  <si>
    <t>ISUZU</t>
  </si>
  <si>
    <t>MESANIYA CONSTRUCTION COMPANY</t>
  </si>
  <si>
    <t>GJ36T3213</t>
  </si>
  <si>
    <t>3379/04588106/000/00</t>
  </si>
  <si>
    <t>BOLERO - MAXI TRUCK BSIV</t>
  </si>
  <si>
    <t>MAHESH LADHA BAMBHAVA</t>
  </si>
  <si>
    <t>GJ03BY8431</t>
  </si>
  <si>
    <t>3003/A/424780317/00/B00</t>
  </si>
  <si>
    <t>ASHOK LEYLAND TRUCKS</t>
  </si>
  <si>
    <t>KULDIPSINH UMEDSINH RATHOD</t>
  </si>
  <si>
    <t>13/01/2027</t>
  </si>
  <si>
    <t>GJ13AV8196</t>
  </si>
  <si>
    <t>POCMVGC0100651270</t>
  </si>
  <si>
    <t>Mr.VAZHA DHANABHAI RAJUBHAI</t>
  </si>
  <si>
    <t>94262 36304</t>
  </si>
  <si>
    <t>94288 36694</t>
  </si>
  <si>
    <t>MT</t>
  </si>
  <si>
    <t>15/1/2026</t>
  </si>
  <si>
    <t>GJ03T3938</t>
  </si>
  <si>
    <t>3003/A/424906041/00/B00</t>
  </si>
  <si>
    <t>KHAMBHALA MAHENDRA RAJESHBAI</t>
  </si>
  <si>
    <t>92650 28275</t>
  </si>
  <si>
    <t>GJ10TW4443</t>
  </si>
  <si>
    <t>POCMVGC0100652365</t>
  </si>
  <si>
    <t>BAJAJ AUTO LIMITED, MAXIMA C, DIESEL</t>
  </si>
  <si>
    <t>Mr.MUNGHAVA MUNABHAI SANABHAI</t>
  </si>
  <si>
    <t>16/1/2026</t>
  </si>
  <si>
    <t>GJ36V8452</t>
  </si>
  <si>
    <t>3003/425089321/00/000</t>
  </si>
  <si>
    <t>BOLERO MAXX PUP HD 2.0 LX</t>
  </si>
  <si>
    <t>VIPUL MALABHAI BHARAVAD</t>
  </si>
  <si>
    <t>16/01/2027</t>
  </si>
  <si>
    <t>GJ36V6365</t>
  </si>
  <si>
    <t>2315 2081 0039 0500 000</t>
  </si>
  <si>
    <t>M/S S.B.R. TRANSPORT</t>
  </si>
  <si>
    <t>30/1/2027</t>
  </si>
  <si>
    <t>GJ36V2046</t>
  </si>
  <si>
    <t>2315 2081 0038 8700 000</t>
  </si>
  <si>
    <t>INTRA - V10</t>
  </si>
  <si>
    <t>MR BUKHARI ABDULRSUL ASARFMIYA</t>
  </si>
  <si>
    <t>GJ10TX9668</t>
  </si>
  <si>
    <t>2315 2080 9607 3100 000</t>
  </si>
  <si>
    <t>MR UKABHAI DEVABHAI PANCHIYA</t>
  </si>
  <si>
    <t>GJ36U7962</t>
  </si>
  <si>
    <t>POCMVGC0100655190</t>
  </si>
  <si>
    <t>Mr.GAMARA RAJESH HINDUBHAI</t>
  </si>
  <si>
    <t>15/01/2027</t>
  </si>
  <si>
    <t>17/1/2026</t>
  </si>
  <si>
    <t>GJ03AV8230</t>
  </si>
  <si>
    <t>3003/425225357/00/000</t>
  </si>
  <si>
    <t>BOLERO MAXI TRUCK</t>
  </si>
  <si>
    <t>SHAKTIBHAI LAKHMANBHAI DANTESARIA</t>
  </si>
  <si>
    <t>GJ03W9434</t>
  </si>
  <si>
    <t>3003/A/425225317/00/B00</t>
  </si>
  <si>
    <t>EICHER MOTOR TRUCKS</t>
  </si>
  <si>
    <t>TOTA PETHA GELABHAI</t>
  </si>
  <si>
    <t>GJ36W2024</t>
  </si>
  <si>
    <t>0604003125P116180900</t>
  </si>
  <si>
    <t>MR JANJAVADIYA RAMJI AMARSHIBHAI</t>
  </si>
  <si>
    <t>GJ03Y9522</t>
  </si>
  <si>
    <t>3003/A/425224577/00/000</t>
  </si>
  <si>
    <t>TATA MOTORS TRUCKS</t>
  </si>
  <si>
    <t>BUKHARI FIROJMIYA SULTANMIYA</t>
  </si>
  <si>
    <t>18/1/2026</t>
  </si>
  <si>
    <t>GJ03AT1469</t>
  </si>
  <si>
    <t>3003/A/425290274/00/B00</t>
  </si>
  <si>
    <t>THEBA FIROZBHAI GULMAMADBHAI</t>
  </si>
  <si>
    <t>GJ36V7234</t>
  </si>
  <si>
    <t>VGC1477712000100</t>
  </si>
  <si>
    <t>Tata Motors Ltd.</t>
  </si>
  <si>
    <t>Mr.SUMRA MUSTUFA SIDIKBHAI</t>
  </si>
  <si>
    <t>18/01/2027</t>
  </si>
  <si>
    <t>GJ12AW0919</t>
  </si>
  <si>
    <t>3003/A/425290199/00/000</t>
  </si>
  <si>
    <t>RATHOD KULDIPSINH UMEDSINH</t>
  </si>
  <si>
    <t>GJ14W1060</t>
  </si>
  <si>
    <t>3003/A/425290116/00/B00</t>
  </si>
  <si>
    <t>EICHER MOTOR EICHER.11.10</t>
  </si>
  <si>
    <t>MALEK FIROJKHAN KESARKHAN</t>
  </si>
  <si>
    <t>17/01/2027</t>
  </si>
  <si>
    <t>GJ13AW4503</t>
  </si>
  <si>
    <t>3003/A/425258505/00/B00</t>
  </si>
  <si>
    <t>ASHOK LEYLAND TRAILERS</t>
  </si>
  <si>
    <t>PARAMAR JAVIDBHAI RAJAKBHAI</t>
  </si>
  <si>
    <t xml:space="preserve"> 99783 97133</t>
  </si>
  <si>
    <t>20/1/2026</t>
  </si>
  <si>
    <t>GJ10W5571</t>
  </si>
  <si>
    <t>3003/A/425438307/00/000</t>
  </si>
  <si>
    <t>ISHABHAI MUSHABHAI THEBA</t>
  </si>
  <si>
    <t>19/1/2027</t>
  </si>
  <si>
    <t>GJ36V8719</t>
  </si>
  <si>
    <t>VGC1478662000100</t>
  </si>
  <si>
    <t>Tata Motors Ltd. LPT 1512 BSVI</t>
  </si>
  <si>
    <t>Mr.JUNED VALIMAMADBHAI BABHNIA</t>
  </si>
  <si>
    <t>21/01/2027</t>
  </si>
  <si>
    <t>GJ14Z2625</t>
  </si>
  <si>
    <t>3003/A/425431777/00/000</t>
  </si>
  <si>
    <t>AADHYASHAKTI TRADING</t>
  </si>
  <si>
    <t>GJ36V6326</t>
  </si>
  <si>
    <t>3379/04593565/000/00</t>
  </si>
  <si>
    <t>BOLERO MAXX PUP - 1.4 CITY VXI BSVI</t>
  </si>
  <si>
    <t>JAKASHIBHAI BIJALBHAI MUNGHAVA</t>
  </si>
  <si>
    <t>GJ36V3265</t>
  </si>
  <si>
    <t>2315 2081 1800 5800 000</t>
  </si>
  <si>
    <t>MR HARENDRA KUMAR SINGH</t>
  </si>
  <si>
    <t>21/1/2026</t>
  </si>
  <si>
    <t>MP43G1433</t>
  </si>
  <si>
    <t>67300231250200024885</t>
  </si>
  <si>
    <t>MAHINDRA/BOLERO</t>
  </si>
  <si>
    <t>GOPAL BAMNIYA</t>
  </si>
  <si>
    <t>20/01/2027</t>
  </si>
  <si>
    <t>NEW INDIA</t>
  </si>
  <si>
    <t>GJ36V8439</t>
  </si>
  <si>
    <t>2315 2081 2413 1800 000</t>
  </si>
  <si>
    <t>BHOJAVIYA RAKESH GUNVANTBHAI</t>
  </si>
  <si>
    <t>GJ36V6124</t>
  </si>
  <si>
    <t>3379/04237310/000/01</t>
  </si>
  <si>
    <t>RATILAL KHODABHAI GINGORA</t>
  </si>
  <si>
    <t>22/01/2026</t>
  </si>
  <si>
    <t>GJ12BW4951</t>
  </si>
  <si>
    <t>3003/A/425610241/00/000</t>
  </si>
  <si>
    <t>TATA MOTORS TRUCKS LPT 709 TRUCK</t>
  </si>
  <si>
    <t>GJ12X2245</t>
  </si>
  <si>
    <t>3003/A/425687369/00/000</t>
  </si>
  <si>
    <t>NANDASANA HASMUKHBHAI</t>
  </si>
  <si>
    <t>22/01/2027</t>
  </si>
  <si>
    <t>GJ13V5458</t>
  </si>
  <si>
    <t>3003/A/425686719/00/000</t>
  </si>
  <si>
    <t>PRAKASHBHAI KHIMJIBHAI SARVAIYA</t>
  </si>
  <si>
    <t>GJ36W1933</t>
  </si>
  <si>
    <t>0604003125P116458800</t>
  </si>
  <si>
    <t>MAKWANA ASHOKBHAI PUNJABHAI</t>
  </si>
  <si>
    <t>28/01/2027</t>
  </si>
  <si>
    <t>GJ07TT9011</t>
  </si>
  <si>
    <t>3003/A/425684985/00/000</t>
  </si>
  <si>
    <t>ASHOK LEYLAND TRUCKS AL 2214</t>
  </si>
  <si>
    <t>SONARA BAVKUBHAI BHURABHAI</t>
  </si>
  <si>
    <t>91044 40037</t>
  </si>
  <si>
    <t>GJ16W2002</t>
  </si>
  <si>
    <t>3003/A/425684929/00/000</t>
  </si>
  <si>
    <t>TATA MOTORS TRUCKS TATA SE 1613</t>
  </si>
  <si>
    <t>SUMARA ISHBBHAI VALIMAMDBHAI</t>
  </si>
  <si>
    <t>93130 82900</t>
  </si>
  <si>
    <t>23/01/2026</t>
  </si>
  <si>
    <t>GJ36V6208</t>
  </si>
  <si>
    <t>3003/425805801/00/B00</t>
  </si>
  <si>
    <t>BOLERO MAXX PUP HD 2.0L VXI</t>
  </si>
  <si>
    <t>RAIGA GOPALBHAI RAMJIBHAI</t>
  </si>
  <si>
    <t>24/01/2026</t>
  </si>
  <si>
    <t>GJ36V8274</t>
  </si>
  <si>
    <t>3379/04245015/000/01</t>
  </si>
  <si>
    <t>BOLERO - PIK UP FB 1.7T PS BS VI</t>
  </si>
  <si>
    <t>YASINBHAI MAHEBUBBHAI MULTANI</t>
  </si>
  <si>
    <t>GJ36V1243</t>
  </si>
  <si>
    <t>3379/04242089/000/01</t>
  </si>
  <si>
    <t>BOLERO</t>
  </si>
  <si>
    <t>DEV CHEMICALS</t>
  </si>
  <si>
    <t>26/01/2027</t>
  </si>
  <si>
    <t>GJ36S3912</t>
  </si>
  <si>
    <t>3008/425977448/00/000</t>
  </si>
  <si>
    <t>OTHER</t>
  </si>
  <si>
    <t>APOLLO CARMIX EQUIPMENTS PVT LTD</t>
  </si>
  <si>
    <t>VENTUE INFRA DEVELOPERS</t>
  </si>
  <si>
    <t>23/01/2027</t>
  </si>
  <si>
    <t>GJ03BY6217</t>
  </si>
  <si>
    <t>2315 2081 4297 2800 000</t>
  </si>
  <si>
    <t>PARMAR JITENDRA MANSINH BHAI</t>
  </si>
  <si>
    <t>25/01/2026</t>
  </si>
  <si>
    <t>GJ36T8711</t>
  </si>
  <si>
    <t>3003/426056219/00/B00</t>
  </si>
  <si>
    <t>TATA MOTORS TRUCKS LPT 1109</t>
  </si>
  <si>
    <t>GAMARA PARESHBHAI MOTIBHAI</t>
  </si>
  <si>
    <t>GJ36X4411</t>
  </si>
  <si>
    <t>2315 2081 4740 9000 000</t>
  </si>
  <si>
    <t>MR DESANI JAYESH JUGALDAS</t>
  </si>
  <si>
    <t>27/01/2026</t>
  </si>
  <si>
    <t>GJ12BW8182</t>
  </si>
  <si>
    <t>601722623340000415</t>
  </si>
  <si>
    <t>TATA SIGNA &amp; 3718 CR BS IV</t>
  </si>
  <si>
    <t>MR. DILIPBHAI SUNDARJIBHAI JETHLOJA</t>
  </si>
  <si>
    <t>27/01/2027</t>
  </si>
  <si>
    <t>GJ13AW6709</t>
  </si>
  <si>
    <t>2315 2081 5134 6300 000</t>
  </si>
  <si>
    <t>MR DEEPAKKUMAR TARESAMLAL TUPAD</t>
  </si>
  <si>
    <t>28/01/2026</t>
  </si>
  <si>
    <t>GJ17UU7547</t>
  </si>
  <si>
    <t>3003/A/426319053/00/B00</t>
  </si>
  <si>
    <t>EICHER MOTOR TRUCKS EICHER PRO 1059</t>
  </si>
  <si>
    <t>GOHIL JAYESHBHAI MANSANGBHAI</t>
  </si>
  <si>
    <t>29/1/2026</t>
  </si>
  <si>
    <t>GJ12FC4228</t>
  </si>
  <si>
    <t>3008/426488797/00/B00</t>
  </si>
  <si>
    <t>TRACTOR- USE ONLY FOR AGRICULTURE AND FORESTRY</t>
  </si>
  <si>
    <t>MANEK SARFARAZ RAFIKBHAI</t>
  </si>
  <si>
    <t>28/02/2026</t>
  </si>
  <si>
    <t>30/1/2026</t>
  </si>
  <si>
    <t>GJ36T8182</t>
  </si>
  <si>
    <t>3003/426647813/00/000</t>
  </si>
  <si>
    <t>PARMAR KANABHAI MANGABHAI</t>
  </si>
  <si>
    <t>29/1/2027</t>
  </si>
  <si>
    <t>GJ12BZ5033</t>
  </si>
  <si>
    <t>3379/04606536/000/00</t>
  </si>
  <si>
    <t>BOLERO CAMPER - GOLD ZX 2WD</t>
  </si>
  <si>
    <t>ARJAN DAYABHAI DANGAR</t>
  </si>
  <si>
    <t>97250 36831</t>
  </si>
  <si>
    <t>99253 61971</t>
  </si>
  <si>
    <t>31/1/2026</t>
  </si>
  <si>
    <t>GJ36V7171</t>
  </si>
  <si>
    <t>3003/A/426926298/00/B00</t>
  </si>
  <si>
    <t>BOLERO CAMPER GOLD ZX</t>
  </si>
  <si>
    <t>GOGA JAYESHBHAI MANUBHAI</t>
  </si>
  <si>
    <t>30/01/2027</t>
  </si>
  <si>
    <t>GJ36V6470</t>
  </si>
  <si>
    <t>3379/04260334/000/01</t>
  </si>
  <si>
    <t>ABDUL HASAM KATIYA</t>
  </si>
  <si>
    <t>31/01/2027</t>
  </si>
  <si>
    <t>GJ36V0955</t>
  </si>
  <si>
    <t>2315 2081 9932 5300 000</t>
  </si>
  <si>
    <t>MR FULTARIYA ASHOK AMARASHI</t>
  </si>
  <si>
    <t>GJ36T4878</t>
  </si>
  <si>
    <t>POCMVGC0100628677</t>
  </si>
  <si>
    <t>Tata Motors,LPT 1412</t>
  </si>
  <si>
    <t>Mr.BHARVAD POPATBHAI</t>
  </si>
  <si>
    <t>97379 14878</t>
  </si>
  <si>
    <t>CLEARED</t>
  </si>
  <si>
    <t>GJ36T3624</t>
  </si>
  <si>
    <t>601722523340004187</t>
  </si>
  <si>
    <t>MR. MUNAFBHAI RAHIMBHAI GHONIYA</t>
  </si>
  <si>
    <t>GJ14Z5075</t>
  </si>
  <si>
    <t>3003/423096029/00/000</t>
  </si>
  <si>
    <t>TATA MOTORS TANKER</t>
  </si>
  <si>
    <t>JAYDEEP ASSOCIATES PRIVATE LIMITED</t>
  </si>
  <si>
    <t>JAYDEEP</t>
  </si>
  <si>
    <t>GJ12Z0748</t>
  </si>
  <si>
    <t>3003/A/424129835/00/000</t>
  </si>
  <si>
    <t>JAYDEEP SALT WORKS</t>
  </si>
  <si>
    <t>GJ36V6185</t>
  </si>
  <si>
    <t>AVO/2315/20018231</t>
  </si>
  <si>
    <t>ASHOK LEYLAND LTD MJ3525/52 T TIP</t>
  </si>
  <si>
    <t>GJ36V6202</t>
  </si>
  <si>
    <t>AVO/2315/20018224</t>
  </si>
  <si>
    <t>GJ36V6273</t>
  </si>
  <si>
    <t>AVO/2315/20018234</t>
  </si>
  <si>
    <t>GJ10TT7696</t>
  </si>
  <si>
    <t>3003/427044390/00/000</t>
  </si>
  <si>
    <t>BOLERO CAMPER DC</t>
  </si>
  <si>
    <t xml:space="preserve">Jaydeep </t>
  </si>
  <si>
    <t>CHEQUE PENDING CASES</t>
  </si>
  <si>
    <t>GJ06AU8318</t>
  </si>
  <si>
    <t>POCMVGC0100615775</t>
  </si>
  <si>
    <t>Ashok Leyland,3718</t>
  </si>
  <si>
    <t>Mr.BHORANIYA KESHVAJIBHAI</t>
  </si>
  <si>
    <t>CANCELLED</t>
  </si>
  <si>
    <t>GJ13AX9595</t>
  </si>
  <si>
    <t>POCMVGC0100629015</t>
  </si>
  <si>
    <t>Ashok Leyland,2518</t>
  </si>
  <si>
    <t>Mr.MUHEED UDDIN</t>
  </si>
  <si>
    <t>?</t>
  </si>
  <si>
    <t>GJ36T7812</t>
  </si>
  <si>
    <t>POCMVGC0100636182</t>
  </si>
  <si>
    <t>Tata Motors,LPT</t>
  </si>
  <si>
    <t>Mr.NANGAS SATISHBHAI SAMANTBHAI</t>
  </si>
  <si>
    <t>GJ36T5591</t>
  </si>
  <si>
    <t>POCMVGC0100635855</t>
  </si>
  <si>
    <t>Mr.CHAUHAN HANIFBHAI MAHEMUDBHAI</t>
  </si>
  <si>
    <t>GJ14Z9745</t>
  </si>
  <si>
    <t>POCMVGC0100637440</t>
  </si>
  <si>
    <t>Mr.LOKHIL VRUJRAJ DADUBHAI</t>
  </si>
  <si>
    <t>GJ14Z9754</t>
  </si>
  <si>
    <t>POCMVGC0100636908</t>
  </si>
  <si>
    <t>GJ04AX0774</t>
  </si>
  <si>
    <t>POCMVGC0100671931</t>
  </si>
  <si>
    <t>Ashok Leyland,2516 &amp; il - 28000 GVW</t>
  </si>
  <si>
    <t>Mr.AKBAR ABDUL SAICHA</t>
  </si>
  <si>
    <t>GJ10TV9329</t>
  </si>
  <si>
    <t>POCMVGC0100672861</t>
  </si>
  <si>
    <t>Ashok Leyland,3118 &amp; II -</t>
  </si>
  <si>
    <t>Mr.MALAN RAMKUMAR JENTIBHAI</t>
  </si>
  <si>
    <t>PREVIOUS HISAB POLICY</t>
  </si>
  <si>
    <t>GJ01BT8257</t>
  </si>
  <si>
    <t>VGT0596547000100</t>
  </si>
  <si>
    <t>Ashok Leyland Ltd. AL 1612</t>
  </si>
  <si>
    <t>Mr.TOLIYA MUNABHAI</t>
  </si>
  <si>
    <t>84014 93815</t>
  </si>
  <si>
    <t>GJ03AT4549</t>
  </si>
  <si>
    <t>3003/A/425224616/00/B00</t>
  </si>
  <si>
    <t>HIREN RANCHHODBHAI</t>
  </si>
  <si>
    <t>GJ03AT4952</t>
  </si>
  <si>
    <t>3003/A/426488565/00/000</t>
  </si>
  <si>
    <t>ZALA BHUPATSINH HEMATSINH</t>
  </si>
  <si>
    <t>28/1/2027</t>
  </si>
  <si>
    <t>GJ03BY6969</t>
  </si>
  <si>
    <t>6303698847 00 00</t>
  </si>
  <si>
    <t>EICHER MOTORS/PRO 1 110/G/CLOSED/TRUCK</t>
  </si>
  <si>
    <t>Mr SURESHBHAI BHANABHAI BOLIYA</t>
  </si>
  <si>
    <t>TATA</t>
  </si>
  <si>
    <t>GJ03DE7472</t>
  </si>
  <si>
    <t>6106045515 00 00</t>
  </si>
  <si>
    <t>HERO HONDA/SPLENDOR</t>
  </si>
  <si>
    <t xml:space="preserve"> Mr. PILUDIYA FARUK AMADBHAI</t>
  </si>
  <si>
    <t>GJ03EQ2346</t>
  </si>
  <si>
    <t>D246764271 / 09012026</t>
  </si>
  <si>
    <t>SPLENDOR PLUS/STD</t>
  </si>
  <si>
    <t>PRAKASHBHAI DEVRAJBHAI UBHADIYA</t>
  </si>
  <si>
    <t>GO DIGIT</t>
  </si>
  <si>
    <t>GJ03HF0944</t>
  </si>
  <si>
    <t>D246756133 / 09012026</t>
  </si>
  <si>
    <t>DREAM YUGA/BSIII</t>
  </si>
  <si>
    <t>CHHTRASINH AJITSINH RATHOD</t>
  </si>
  <si>
    <t>GJ03JD1544</t>
  </si>
  <si>
    <t>6106031024 00 00</t>
  </si>
  <si>
    <t>ROYAL ENFIELD/BULLET</t>
  </si>
  <si>
    <t>Mr. PADHARIYA CHHOTALAL BIJALBHAI</t>
  </si>
  <si>
    <t>GJ10TV9939</t>
  </si>
  <si>
    <t xml:space="preserve">3003/A/426374925/00/000
</t>
  </si>
  <si>
    <t>SHIVAY PETROLEUM</t>
  </si>
  <si>
    <t>GJ13AX2958</t>
  </si>
  <si>
    <t>POCMVGC0100668578</t>
  </si>
  <si>
    <t>Tata Motors,LPT 1616 &amp; DCR49HSD - 16140 GVW</t>
  </si>
  <si>
    <t>Mr.SARLA MAHADEVBHAI MAVJIBHAI</t>
  </si>
  <si>
    <t>95100 88688</t>
  </si>
  <si>
    <t>75675 78681</t>
  </si>
  <si>
    <t>:21/01/2027</t>
  </si>
  <si>
    <t>GJ23AT0324</t>
  </si>
  <si>
    <t>6303743774 00 00</t>
  </si>
  <si>
    <t>EICHER MOTORS/11.1 0/DIESEL/OPEN/TRUCK</t>
  </si>
  <si>
    <t>Mr AMARA BAMBHAVA</t>
  </si>
  <si>
    <t>GJ36C7181</t>
  </si>
  <si>
    <t>12-1806-0006491123-01</t>
  </si>
  <si>
    <t>BAJAJ DISCOVER 125</t>
  </si>
  <si>
    <t>Riyajhusen Ismailbhai Ghela</t>
  </si>
  <si>
    <t>29/01/2027</t>
  </si>
  <si>
    <t>GJ36D8184</t>
  </si>
  <si>
    <t>12-1806-0008803916-00</t>
  </si>
  <si>
    <t>HONDA  CB SHINE</t>
  </si>
  <si>
    <t>Mundhva Mehulbhai Navghanbhai</t>
  </si>
  <si>
    <t>GJ36H7873</t>
  </si>
  <si>
    <t>D248112458 / 17012026</t>
  </si>
  <si>
    <t>SALUTO/RX</t>
  </si>
  <si>
    <t>PALEJA RAHIMBHAI SULTANBHAI</t>
  </si>
  <si>
    <t>GJ36H9896</t>
  </si>
  <si>
    <t>12-1806-0008665129-00</t>
  </si>
  <si>
    <t>HONDA</t>
  </si>
  <si>
    <t>Ajmeri Arman Imranbhai</t>
  </si>
  <si>
    <t>GJ36J4874</t>
  </si>
  <si>
    <t>12-1806-0006303239-01</t>
  </si>
  <si>
    <t>SPLENDOR PLUS</t>
  </si>
  <si>
    <t>Rushanhushen Mahmadrafikbhai Abbasi</t>
  </si>
  <si>
    <t>GJ36J7977</t>
  </si>
  <si>
    <t>12-1806-0008695084-00</t>
  </si>
  <si>
    <t>SUPER SPLENDOR</t>
  </si>
  <si>
    <t>Dipakgiri Hasmukhgiri Gosai</t>
  </si>
  <si>
    <t>GJ36V8152</t>
  </si>
  <si>
    <t>POCMVGC0100633191</t>
  </si>
  <si>
    <t>Tata Motors,LPT 151</t>
  </si>
  <si>
    <t>Mr.KANABHAI MANGABHAI PARMAR</t>
  </si>
  <si>
    <t xml:space="preserve">GJ36X0338 </t>
  </si>
  <si>
    <t>182000/31/2026/3216</t>
  </si>
  <si>
    <t>TEMPO TRAVELLER AMBULANCE</t>
  </si>
  <si>
    <t>SUNNI MUSLIM SAMAJ TRUST</t>
  </si>
  <si>
    <t>ORIENTAL</t>
  </si>
  <si>
    <t>NEW HISAB POLICY</t>
  </si>
  <si>
    <t>GJ36W9282</t>
  </si>
  <si>
    <t>0604003125P117219288</t>
  </si>
  <si>
    <t>MR DANGAR SHAILESHBHAI RANABHAI</t>
  </si>
  <si>
    <t>97274 88022</t>
  </si>
  <si>
    <t>GJ36V3113</t>
  </si>
  <si>
    <t>3379/04260428/000/01</t>
  </si>
  <si>
    <t>BADA DOST - I4</t>
  </si>
  <si>
    <t>RANCHHODBHAI DEVABHAI KHIT</t>
  </si>
  <si>
    <t>GJ10X3226</t>
  </si>
  <si>
    <t>3003/A/427813218/00/B00</t>
  </si>
  <si>
    <t>JADEJA DHARMENDRASINH KANAKSINH</t>
  </si>
  <si>
    <t>GJ13TA9363</t>
  </si>
  <si>
    <t>3003/427866786/00/B00</t>
  </si>
  <si>
    <t>ASHOK LEYLAND</t>
  </si>
  <si>
    <t>GOVINDBHAI BHIMABHAI LAMBARIYA</t>
  </si>
  <si>
    <t>GJ36V7450</t>
  </si>
  <si>
    <t>3003/427948536/00/000</t>
  </si>
  <si>
    <t>SAKHANPARA PUBLICITY</t>
  </si>
  <si>
    <t>DD01F9362</t>
  </si>
  <si>
    <t>781122623340001437</t>
  </si>
  <si>
    <t>ASHOK LEYLAND 4825 &amp; 66 H CO GP</t>
  </si>
  <si>
    <t>WASIM IQBAL VADAWARIA</t>
  </si>
  <si>
    <t xml:space="preserve">GJ03BY9372 </t>
  </si>
  <si>
    <t>781122623340001434</t>
  </si>
  <si>
    <t>ARAJANBHAI DAYABHAI KATARA</t>
  </si>
  <si>
    <t>GJ03BT9244</t>
  </si>
  <si>
    <t>781122623340001439</t>
  </si>
  <si>
    <t>ASHOK LEYLAND 3718 &amp; IL 3 STR</t>
  </si>
  <si>
    <t>SINDHI MOHSINBHAI HANIFBHAI</t>
  </si>
  <si>
    <t>GJ36U7938</t>
  </si>
  <si>
    <t>0604003125P117493267</t>
  </si>
  <si>
    <t>MR SARAIYA RAIYABHAI RANCHODBHAI</t>
  </si>
  <si>
    <t>GJ13AX9686</t>
  </si>
  <si>
    <t>3003/428285960/00/000</t>
  </si>
  <si>
    <t>ASHOK LEYLAND TRUCKS 1915 TRUCK PB</t>
  </si>
  <si>
    <t>SOHILBHAI RAHIMBHAI KALADIYA</t>
  </si>
  <si>
    <t>6352-771712</t>
  </si>
  <si>
    <t>7801-855508</t>
  </si>
  <si>
    <t>GJ13AX5816</t>
  </si>
  <si>
    <t>3003/428286129/00/000</t>
  </si>
  <si>
    <t>EICHER MOTOR TRUCKS PRO 2118</t>
  </si>
  <si>
    <t>HINDUSTAN TRADELINK</t>
  </si>
  <si>
    <t>78018 55508</t>
  </si>
  <si>
    <t>GJ13AX5790</t>
  </si>
  <si>
    <t>3003/428286048/00/000</t>
  </si>
  <si>
    <t>GJ02AN0314</t>
  </si>
  <si>
    <t>3382/00378694/000/01</t>
  </si>
  <si>
    <t>CRANE</t>
  </si>
  <si>
    <t>ARIF ABDULBHAI SUMRA</t>
  </si>
  <si>
    <t>GJ36W1895</t>
  </si>
  <si>
    <t>0604003125P117563662</t>
  </si>
  <si>
    <t>MR PARMAR MAHESH GANESHBHAI</t>
  </si>
  <si>
    <t>GJ36U6743</t>
  </si>
  <si>
    <t>0604003125P117563609</t>
  </si>
  <si>
    <t xml:space="preserve"> MR PATHAN IMRANKHAN JESHUKHAN</t>
  </si>
  <si>
    <t>GJ01CV3374</t>
  </si>
  <si>
    <t>3003/428613579/00/000</t>
  </si>
  <si>
    <t>ZALA MAHAVIRSINH PRAVINSINH</t>
  </si>
  <si>
    <t>74330 51517</t>
  </si>
  <si>
    <t>GJ03BY7921</t>
  </si>
  <si>
    <t>AVO/2315/20057838</t>
  </si>
  <si>
    <t>EICHER PRO 2114XP S L HSD BS6</t>
  </si>
  <si>
    <t>Zala Rajendrasinh Dilipsinh</t>
  </si>
  <si>
    <t>820 001 6140</t>
  </si>
  <si>
    <t>99091 73677</t>
  </si>
  <si>
    <t>13/2/2026</t>
  </si>
  <si>
    <t>GJ36V3193</t>
  </si>
  <si>
    <t>3379/04270578/000/01</t>
  </si>
  <si>
    <t>BHURENDRA DILIPBHAI BABARIYA</t>
  </si>
  <si>
    <t>13/02/2027</t>
  </si>
  <si>
    <t>GJ36V4014</t>
  </si>
  <si>
    <t>3003/428771968/00/000</t>
  </si>
  <si>
    <t>GABHARUBHAI HAMABHAI KHAMBHALA</t>
  </si>
  <si>
    <t>14/2/2026</t>
  </si>
  <si>
    <t>GJ03AX4901</t>
  </si>
  <si>
    <t>201340020725700106800000</t>
  </si>
  <si>
    <t>MAHINDRA/BOLER O/MAXI TRUCK</t>
  </si>
  <si>
    <t>RAYDHANBHAI SINDHABHAI MER</t>
  </si>
  <si>
    <t>99131 01041</t>
  </si>
  <si>
    <t>18/02/2027</t>
  </si>
  <si>
    <t>GJ36V3014</t>
  </si>
  <si>
    <t>3003/428865968/00/000</t>
  </si>
  <si>
    <t>EICHER MOTOR TRUCKS PRO 2110</t>
  </si>
  <si>
    <t>14/02/2027</t>
  </si>
  <si>
    <t>GJ36W9595</t>
  </si>
  <si>
    <t>0604003125P117772191</t>
  </si>
  <si>
    <t>MR SANJAYBHAI DADUBHAI SURELA</t>
  </si>
  <si>
    <t>75670 63041</t>
  </si>
  <si>
    <t>19/02/2027</t>
  </si>
  <si>
    <t>GJ36U9576</t>
  </si>
  <si>
    <t>0604003125P117773352</t>
  </si>
  <si>
    <t>MR SURELA SUNIL DHANJIBHAI</t>
  </si>
  <si>
    <t>15/02/2027</t>
  </si>
  <si>
    <t>GJ36U9993</t>
  </si>
  <si>
    <t>0604003125P117772427</t>
  </si>
  <si>
    <t>ATUL AUTO LTD / ATUL SHAKTI 435 CARGO XL (D</t>
  </si>
  <si>
    <t>MR KANJARIYA GANPATBHAI LAXMANBHAI</t>
  </si>
  <si>
    <t>17/02/2027</t>
  </si>
  <si>
    <t>GJ36W8411</t>
  </si>
  <si>
    <t>0604003125P117772131</t>
  </si>
  <si>
    <t>MR PADSARIYA LALAGI MATRABHAI</t>
  </si>
  <si>
    <t>GJ36S3777</t>
  </si>
  <si>
    <t>3382/00395044/000/00</t>
  </si>
  <si>
    <t xml:space="preserve"> CRANE F17</t>
  </si>
  <si>
    <t>MAYUR RATILAL AGHARA</t>
  </si>
  <si>
    <t>GJ36V6076</t>
  </si>
  <si>
    <t>3379/04257087/000/01</t>
  </si>
  <si>
    <t>RAMESH GOVINDBHAI GHOYAL</t>
  </si>
  <si>
    <t>16/2/2026</t>
  </si>
  <si>
    <t>GJ36T8193</t>
  </si>
  <si>
    <t>3003/429063150/00/000</t>
  </si>
  <si>
    <t>ISUZU MOTORS LTD</t>
  </si>
  <si>
    <t>SANKALP KISAN SEVA KENDRA</t>
  </si>
  <si>
    <t>17/02/2026</t>
  </si>
  <si>
    <t>DD01V9101</t>
  </si>
  <si>
    <t>0604003125P117906017</t>
  </si>
  <si>
    <t>MAXI</t>
  </si>
  <si>
    <t>FORCE MOTORS LTD. / FORCE TRAVELLER MINIBUS 3700 MMWB HBS 17+D BS III PS WITH ABS TRAVELLER T1</t>
  </si>
  <si>
    <t>PRAFULBHAI CHIMANLAL JADAV</t>
  </si>
  <si>
    <t>98982 42723</t>
  </si>
  <si>
    <t>18/02/2026</t>
  </si>
  <si>
    <t>GJ36X5222</t>
  </si>
  <si>
    <t>3003/429377523/00/B00</t>
  </si>
  <si>
    <t>BHARAT NANUBHAI GAMARA</t>
  </si>
  <si>
    <t>95372 40245</t>
  </si>
  <si>
    <t>16/02/2027</t>
  </si>
  <si>
    <t>GJ36W2549</t>
  </si>
  <si>
    <t>0604003125P117978683</t>
  </si>
  <si>
    <t>MR HAVESHBHAI SHANTILAL HALVADIYA</t>
  </si>
  <si>
    <t>GJ36U3464</t>
  </si>
  <si>
    <t>0604003125P117978665</t>
  </si>
  <si>
    <t>MR KAIDA HUSAINBHAI ISABHAI</t>
  </si>
  <si>
    <t>RK</t>
  </si>
  <si>
    <t>19/02/2026</t>
  </si>
  <si>
    <t>GJ36X9533</t>
  </si>
  <si>
    <t>AVO/2315/20065720</t>
  </si>
  <si>
    <t>TATA MOTORS LTD TATA SIGNA 5530.S BSVI</t>
  </si>
  <si>
    <t>PADMAVATI ROADLINE</t>
  </si>
  <si>
    <t>GJ36X9633</t>
  </si>
  <si>
    <t>AVO/2315/20065725</t>
  </si>
  <si>
    <t>GJ36X3311</t>
  </si>
  <si>
    <t>AVO/2315/20065728</t>
  </si>
  <si>
    <t>GJ36X9833</t>
  </si>
  <si>
    <t>AVO/2315/20065716</t>
  </si>
  <si>
    <t>GJ36X9733</t>
  </si>
  <si>
    <t>AVO/2315/20065635</t>
  </si>
  <si>
    <t>GJ36X9433</t>
  </si>
  <si>
    <t>AVO/2315/20065768</t>
  </si>
  <si>
    <t>GJ03BT5769</t>
  </si>
  <si>
    <t>D253452602 / 18022026</t>
  </si>
  <si>
    <t>SIKNDAR SHAHMADAR</t>
  </si>
  <si>
    <t>GJ36V3964</t>
  </si>
  <si>
    <t>3003/429500468/00/000</t>
  </si>
  <si>
    <t>BOLERO PICK-UP FB PS 1.7T XL</t>
  </si>
  <si>
    <t>MAHAMADBHAI KARIMBHAI MOVAR</t>
  </si>
  <si>
    <t>21/02/2027</t>
  </si>
  <si>
    <t>20/02/2026</t>
  </si>
  <si>
    <t>GJ03AT0790</t>
  </si>
  <si>
    <t>3003/A/429665361/00/B00</t>
  </si>
  <si>
    <t>ARJANBHAI VASABHAI BAMBHAVA</t>
  </si>
  <si>
    <t>GJ36S3715</t>
  </si>
  <si>
    <t>3008/429546091/00/000</t>
  </si>
  <si>
    <t>JOHN DEERE</t>
  </si>
  <si>
    <t>HITESHBHAI BACHUBHAI PARECHA</t>
  </si>
  <si>
    <t>20/02/2027</t>
  </si>
  <si>
    <t>GJ03BT6427</t>
  </si>
  <si>
    <t>3379/04277236/000/01</t>
  </si>
  <si>
    <t>BOLERO - PICK UP FB PS BS III</t>
  </si>
  <si>
    <t>PRAVINBHAI SAGARAMBHAI KHAMBHALA</t>
  </si>
  <si>
    <t>GJ03AZ8448</t>
  </si>
  <si>
    <t>3003/429658331/00/B00</t>
  </si>
  <si>
    <t>BOLERO CAMPER GOLD</t>
  </si>
  <si>
    <t>RANA JASHPALSINH KRIPALSINH</t>
  </si>
  <si>
    <t>7623 000 007</t>
  </si>
  <si>
    <t>19/03/2026</t>
  </si>
  <si>
    <t>GJ03CU0876</t>
  </si>
  <si>
    <t>3003/429659027/00/000</t>
  </si>
  <si>
    <t>AAL RAGHU GOVINDBHAI</t>
  </si>
  <si>
    <t>63544 95921</t>
  </si>
  <si>
    <t>GJ03AZ3579</t>
  </si>
  <si>
    <t>D253278225 / 19022026</t>
  </si>
  <si>
    <t>FIROJKHAN AKBARKHAN KAJI</t>
  </si>
  <si>
    <t>26/02/2027</t>
  </si>
  <si>
    <t>GJ36T9350</t>
  </si>
  <si>
    <t>AVO/2315/20067671</t>
  </si>
  <si>
    <t>TATA MOTORS LTD LPS4018</t>
  </si>
  <si>
    <t>JAYDEEP ENTERPRISE LLP</t>
  </si>
  <si>
    <t>GJ36T9404</t>
  </si>
  <si>
    <t>AVO/2315/20067653</t>
  </si>
  <si>
    <t>GJ12AU8488</t>
  </si>
  <si>
    <t>POCMVGC0100667758</t>
  </si>
  <si>
    <t>Ashok Leyland,3116 &amp; IL 8X2 - 35000 GVW</t>
  </si>
  <si>
    <t>.CHANIYA RAFIKBHAI AAMADBHAI</t>
  </si>
  <si>
    <t xml:space="preserve">21/01/2027 </t>
  </si>
  <si>
    <t>next hisab ma levi</t>
  </si>
  <si>
    <t>GJ03BY6427</t>
  </si>
  <si>
    <t>3003/425211576/00/000</t>
  </si>
  <si>
    <t>GHODAKIYA JENTIBHAI</t>
  </si>
  <si>
    <t>22/02/2026</t>
  </si>
  <si>
    <t>GJ36V1452</t>
  </si>
  <si>
    <t>3003/429822852/00/000</t>
  </si>
  <si>
    <t>JAYESHBHAI MANJIBHAI SAVSANI</t>
  </si>
  <si>
    <t>92652 48918</t>
  </si>
  <si>
    <t>21/2/2027</t>
  </si>
  <si>
    <t>GJ36X5556</t>
  </si>
  <si>
    <t>3379/04270334/000/01</t>
  </si>
  <si>
    <t>HAKABHAI RAIYABHAI ZAPADA</t>
  </si>
  <si>
    <t>GJ03BZ5181</t>
  </si>
  <si>
    <t>161522623340002114</t>
  </si>
  <si>
    <t>TATA SIGNA &amp; 4825 TK BS6</t>
  </si>
  <si>
    <t>M/S ADITYA ROADLINES</t>
  </si>
  <si>
    <t>24/02/2026</t>
  </si>
  <si>
    <t>GJ06XX5798</t>
  </si>
  <si>
    <t>3003/A/430117640/00/B00</t>
  </si>
  <si>
    <t>TATA MOTORS TRUCKS LPT 1109G TRUCK</t>
  </si>
  <si>
    <t>HAN KISHAN HIRABHAI</t>
  </si>
  <si>
    <t>93274 33618</t>
  </si>
  <si>
    <t>81400 26698</t>
  </si>
  <si>
    <t>23/02/2027</t>
  </si>
  <si>
    <t>D253731071</t>
  </si>
  <si>
    <t>Tata Hitachi Ex200lc Super Hyd Excavator</t>
  </si>
  <si>
    <t>SODHA DIPAKBHAI GOVINDBHAI</t>
  </si>
  <si>
    <t>22/02/2027</t>
  </si>
  <si>
    <t>25/02/2026</t>
  </si>
  <si>
    <t>GJ36V6331</t>
  </si>
  <si>
    <t>3379/04283019/000/01</t>
  </si>
  <si>
    <t>BADA DOST - I2 BSVI</t>
  </si>
  <si>
    <t>SANKHLA SANJAY TULSIDAS</t>
  </si>
  <si>
    <t>98798 04425</t>
  </si>
  <si>
    <t>GJ36AF7153</t>
  </si>
  <si>
    <t>3001/430230142/00/000</t>
  </si>
  <si>
    <t>LMV</t>
  </si>
  <si>
    <t>BMW X7 XDRIVE30D DPE SIGNATURE 6 STR</t>
  </si>
  <si>
    <t>ANIRUDHSINH UDAYSINH JADEJA</t>
  </si>
  <si>
    <t>27/02/2027</t>
  </si>
  <si>
    <t>26/02/2026</t>
  </si>
  <si>
    <t>GJ36V6143</t>
  </si>
  <si>
    <t>3379/04289314/000/01</t>
  </si>
  <si>
    <t>MAHMADBHAI ABHRAMBHA</t>
  </si>
  <si>
    <t>27/02/2026</t>
  </si>
  <si>
    <t>GJ36V3960</t>
  </si>
  <si>
    <t>3379/04289315/000/01</t>
  </si>
  <si>
    <t>DHIRAJLAL DEVKARANBHAI PARMAR</t>
  </si>
  <si>
    <t>GJ03AW7814</t>
  </si>
  <si>
    <t>0604003125P118503411</t>
  </si>
  <si>
    <t>VAIBHAV AUTO INDUSHRIES / VAIBHAV DIESEL 3W</t>
  </si>
  <si>
    <t>MR ABDULKARIM HANIFBHAI MEMAN</t>
  </si>
  <si>
    <t>98258 29526</t>
  </si>
  <si>
    <t>GJ36W8765</t>
  </si>
  <si>
    <t>0604003125P118503808</t>
  </si>
  <si>
    <t>MR RAVJIBHAI BHANABHAI SOLANKI</t>
  </si>
  <si>
    <t>28/02/2027</t>
  </si>
  <si>
    <t>GJ36V3728</t>
  </si>
  <si>
    <t>3379/04647368/000/00</t>
  </si>
  <si>
    <t>RAHIMBHAI HASAMBHAI KATIYA</t>
  </si>
  <si>
    <t>79901 30795</t>
  </si>
  <si>
    <t>18/03/2027</t>
  </si>
  <si>
    <t>GJ36T6735</t>
  </si>
  <si>
    <t>3003/A/431337325/00/B00</t>
  </si>
  <si>
    <t>CHINOL GOVINDBHAI DEVABHAI</t>
  </si>
  <si>
    <t>96011 84570</t>
  </si>
  <si>
    <t>GJ03W7572</t>
  </si>
  <si>
    <t>3003/A/431431472/00/B00</t>
  </si>
  <si>
    <t>TATA MOTORS TRUCKS LPT 2515</t>
  </si>
  <si>
    <t>IRFAN ISABHAI THEBA</t>
  </si>
  <si>
    <t>99796 00037</t>
  </si>
  <si>
    <t>GJ13AW4441</t>
  </si>
  <si>
    <t>3003/431416980/00/000</t>
  </si>
  <si>
    <t>EICHER MOTOR TRUCKS EICHER 10.75 TRUCK</t>
  </si>
  <si>
    <t>JAYBHAI MANSUKHBHAI RAJAPARA</t>
  </si>
  <si>
    <t>GJ03BT1060</t>
  </si>
  <si>
    <t>2315 2083 1099 4100 000</t>
  </si>
  <si>
    <t>BOLERO - MAXI TRUCK PLUS</t>
  </si>
  <si>
    <t>MR LALPARA RAMESHBHAI VARVABHAI</t>
  </si>
  <si>
    <t>GJ01BY7284</t>
  </si>
  <si>
    <t>AVO/2315/20082013</t>
  </si>
  <si>
    <t>ASHOK LEYLAND LTD A/L 2214</t>
  </si>
  <si>
    <t>GJ36T8995</t>
  </si>
  <si>
    <t>3003/A/431555064/00/000</t>
  </si>
  <si>
    <t>THASARIYA ALTAFBHAI HASANBHAI</t>
  </si>
  <si>
    <t>99042 39129</t>
  </si>
  <si>
    <t>GJ36T6618</t>
  </si>
  <si>
    <t>3003/A/431555026/00/000</t>
  </si>
  <si>
    <t>BOLERO MAXI TRUCK.</t>
  </si>
  <si>
    <t>DIVYESH KESHVJIBHAI CHIKANI</t>
  </si>
  <si>
    <t>81287 67400</t>
  </si>
  <si>
    <t>20/03/2027</t>
  </si>
  <si>
    <t>GJ04AW6142</t>
  </si>
  <si>
    <t>3003/A/431554857/00/B00</t>
  </si>
  <si>
    <t>MARGI MANOJ BHIKHUDAS</t>
  </si>
  <si>
    <t>MH04FJ3148</t>
  </si>
  <si>
    <t>6303883814 00 00</t>
  </si>
  <si>
    <t>TATA MOTORS/LPT 90 9/38 CAB EX BS2/CLOS ED/TANKER</t>
  </si>
  <si>
    <t>Mr Yogesh Sitaram Moze</t>
  </si>
  <si>
    <t>GJ18AX4293</t>
  </si>
  <si>
    <t>AVO/2315/12553324</t>
  </si>
  <si>
    <t>BHARATBENZ 1617R 4X2 5100WB BSIII</t>
  </si>
  <si>
    <t>Makrani Aminbhai Kadarbhai</t>
  </si>
  <si>
    <t>GJ36V1833</t>
  </si>
  <si>
    <t>AVO/2315/20027795</t>
  </si>
  <si>
    <t xml:space="preserve"> BHARATBENZ 5528TT 6X4 BSVI</t>
  </si>
  <si>
    <t>Ramkishan</t>
  </si>
  <si>
    <t>GJ36V3756</t>
  </si>
  <si>
    <t>3379/04288034/000/01</t>
  </si>
  <si>
    <t>SHIVAM CERAMIC</t>
  </si>
  <si>
    <t>D256068899</t>
  </si>
  <si>
    <t>Excavators</t>
  </si>
  <si>
    <t>PRUTHVIRAJ STONE CRUSHER</t>
  </si>
  <si>
    <t>GODIGIT</t>
  </si>
  <si>
    <t>GJ03AX3085</t>
  </si>
  <si>
    <t>201340020725790044400000</t>
  </si>
  <si>
    <t>ASHOK LEYLAND/D OST/LE</t>
  </si>
  <si>
    <t>KAKASNIA PRANJIVAN RAMJIBHAI</t>
  </si>
  <si>
    <t>GJ03X1847</t>
  </si>
  <si>
    <t>3003/A/432378480/00/000</t>
  </si>
  <si>
    <t>TATA MOTORS TRUCKS SFC 407</t>
  </si>
  <si>
    <t>AMRUTIYA SANJAY KANJIBHAI</t>
  </si>
  <si>
    <t>14/03/2027</t>
  </si>
  <si>
    <t>GJ13W9924</t>
  </si>
  <si>
    <t>3003/432377510/00/000</t>
  </si>
  <si>
    <t>TATA MOTORS TRUCKS LPT 1109 TRUCK</t>
  </si>
  <si>
    <t>AHEMADBHAI ASMALBHAI MULTANI</t>
  </si>
  <si>
    <t>GJ36S4440</t>
  </si>
  <si>
    <t>3008/432386312/00/000</t>
  </si>
  <si>
    <t>JCB INDIA LIMITED WHEEL LOADER</t>
  </si>
  <si>
    <t>VADHER MANJUBEN BHIMSHIBHAI</t>
  </si>
  <si>
    <t>GJ36V3444</t>
  </si>
  <si>
    <t>3003/432463606/00/000</t>
  </si>
  <si>
    <t>TATA MOTORS TRUCKS LPT 1212</t>
  </si>
  <si>
    <t>SEFATARA LAKHABHAI KUKABHAI</t>
  </si>
  <si>
    <t>GJ36X1313</t>
  </si>
  <si>
    <t>3003/432444367/00/000</t>
  </si>
  <si>
    <t>MANSUKHBHAI JETHABHAI DHANDHANIA</t>
  </si>
  <si>
    <t>GJ36T7873</t>
  </si>
  <si>
    <t>3003/A/432426423/00/B00</t>
  </si>
  <si>
    <t>BOLERO PIK UP FB 1.3T PS</t>
  </si>
  <si>
    <t>ANSARI MOHHMADRIYAJ ILIYASBHAI</t>
  </si>
  <si>
    <t>99045 48501</t>
  </si>
  <si>
    <t>GJ36AF7556</t>
  </si>
  <si>
    <t>POPMCAR00102507064</t>
  </si>
  <si>
    <t>Maruti Suzuki,Alto &amp; LXI (O) CNG - 4 Seater</t>
  </si>
  <si>
    <t>Mr. BARASARA PRAFULBHAI MAHESHBHAI</t>
  </si>
  <si>
    <t>GJ10X8421</t>
  </si>
  <si>
    <t>3003/A/432606009/00/B00</t>
  </si>
  <si>
    <t>ASHOK LEYLAND TRUCKS AL 2214 TRUCK</t>
  </si>
  <si>
    <t>JOGADIYA ASHOKBHAI BUTABHAI</t>
  </si>
  <si>
    <t>GJ36V6125</t>
  </si>
  <si>
    <t>3379/04263224/000/01</t>
  </si>
  <si>
    <t>IBRAHIM KARIM MALANI</t>
  </si>
  <si>
    <t>13/03/2026</t>
  </si>
  <si>
    <t>GJ11X8194</t>
  </si>
  <si>
    <t>3003/A/432721506/00/B00</t>
  </si>
  <si>
    <t>JAYDIP AMRUTLAL VITHALPARA</t>
  </si>
  <si>
    <t>90544 17333</t>
  </si>
  <si>
    <t>GJ36X1090</t>
  </si>
  <si>
    <t>3379/04304047/000/01</t>
  </si>
  <si>
    <t>BOLERO MAXX PUP - 1.7 MX HD</t>
  </si>
  <si>
    <t>JIGNESHBHAI BHUPATBHAI VINJVADIYA</t>
  </si>
  <si>
    <t>GJ36X1678</t>
  </si>
  <si>
    <t>3379/04304093/000/01</t>
  </si>
  <si>
    <t>IMRAN ISHA PAYAK</t>
  </si>
  <si>
    <t>GJ36X2678</t>
  </si>
  <si>
    <t>3379/04304084/000/01</t>
  </si>
  <si>
    <t>14/03/2026</t>
  </si>
  <si>
    <t>GJ13V5830</t>
  </si>
  <si>
    <t>3003/A/432778189/00/000</t>
  </si>
  <si>
    <t>SHOK LEYLAND TANKER 2214 TANKER</t>
  </si>
  <si>
    <t>KALARIYA BHUPENDRABHAI MAVJIBHAI</t>
  </si>
  <si>
    <t>15/03/2026</t>
  </si>
  <si>
    <t>GJ03Z6932</t>
  </si>
  <si>
    <t>3003/A/432990341/00/000</t>
  </si>
  <si>
    <t>BOLERO CAMPER</t>
  </si>
  <si>
    <t>PAPPU LAL GURJAR</t>
  </si>
  <si>
    <t>17/03/2026</t>
  </si>
  <si>
    <t>GJ10X8022</t>
  </si>
  <si>
    <t>3003/A/433146603/00/000</t>
  </si>
  <si>
    <t>TATA MOTORS TRUCKS LPT 1109H EX2</t>
  </si>
  <si>
    <t>RATHOD KANJI MAGHABHAI</t>
  </si>
  <si>
    <t xml:space="preserve"> 84693 18704</t>
  </si>
  <si>
    <t xml:space="preserve"> 99091 73677</t>
  </si>
  <si>
    <t>17/03/2027</t>
  </si>
  <si>
    <t>GJ36X8226</t>
  </si>
  <si>
    <t>3003/433142990/00/000</t>
  </si>
  <si>
    <t>RATDIYA NILESH JAGJIVANBHAI</t>
  </si>
  <si>
    <t>15/03/2027</t>
  </si>
  <si>
    <t>18/03/2026</t>
  </si>
  <si>
    <t>GJ18X8680</t>
  </si>
  <si>
    <t>3003/A/433227578/00/B00</t>
  </si>
  <si>
    <t>TATA MOTORS TANKER LPT 2518 TANKER</t>
  </si>
  <si>
    <t>JETPARIYA DARSHANKUMAR JAGADISHBHAI</t>
  </si>
  <si>
    <t>GJ05AZ6058</t>
  </si>
  <si>
    <t>3003/A/433227432/00/B00</t>
  </si>
  <si>
    <t>TATA MOTORS TRUCKS LPT 1109 EX TRUCK</t>
  </si>
  <si>
    <t>MANIYA PIYUSHKUMAR JIVRAJBHAI</t>
  </si>
  <si>
    <t>GJ36V1113</t>
  </si>
  <si>
    <t>3379/04307287/000/01</t>
  </si>
  <si>
    <t>BOLERO CAMPER - GOLD ZX 2WD BS VI</t>
  </si>
  <si>
    <t>MAA MOMAI ENTERPRISE</t>
  </si>
  <si>
    <t>GJ13AX1255</t>
  </si>
  <si>
    <t>3003/433329572/00/000</t>
  </si>
  <si>
    <t>EICHER MOTOR TRUCKS PRO 2110 TRUCK</t>
  </si>
  <si>
    <t>MIR VIJAYBHAI NAVGHANBHAI</t>
  </si>
  <si>
    <t>D256238605 / 18032026</t>
  </si>
  <si>
    <t>BHARAT BENZ</t>
  </si>
  <si>
    <t>AMINBHAI KADARBHAI MAKRANI</t>
  </si>
  <si>
    <t>20/3/2026</t>
  </si>
  <si>
    <t>GJ36B8776</t>
  </si>
  <si>
    <t>3008/433429254/00/B00</t>
  </si>
  <si>
    <t>MAHINDRA &amp; MAHINDRA TRACTOR</t>
  </si>
  <si>
    <t>DEGAMA RAJESHBHAI HARKHABHAI</t>
  </si>
  <si>
    <t>19/4/2026</t>
  </si>
  <si>
    <t>GJ14Z2586</t>
  </si>
  <si>
    <t>3003/A/433369794/00/000</t>
  </si>
  <si>
    <t>LOKHIL CHANDULAL DEVARAJBHAI</t>
  </si>
  <si>
    <t>22/03/2027</t>
  </si>
  <si>
    <t>GJ12AT7433</t>
  </si>
  <si>
    <t>3003/A/433369045/00/B00</t>
  </si>
  <si>
    <t>TATA MOTORS TANKER 2515 TANKER</t>
  </si>
  <si>
    <t>NAVGHANBHAI NAGJIBHAI VAKATAR</t>
  </si>
  <si>
    <t>97127 19479</t>
  </si>
  <si>
    <t>19/03/2027</t>
  </si>
  <si>
    <t>22/03/2026</t>
  </si>
  <si>
    <t>GJ13AT9363</t>
  </si>
  <si>
    <t>AVO/2315/20101650</t>
  </si>
  <si>
    <t>VE COMMERCIAL VEHICLES LTD PRO 1110 H HSD</t>
  </si>
  <si>
    <t>Lambariya Govindbhai Bhimabhai</t>
  </si>
  <si>
    <t>21/03/2027</t>
  </si>
  <si>
    <t>23/03/2026</t>
  </si>
  <si>
    <t>GJ14Z7548</t>
  </si>
  <si>
    <t>3003/A/433774012/00/000</t>
  </si>
  <si>
    <t>TATA MOTORS TRUCKS LPT 1109 EX CONTAINER</t>
  </si>
  <si>
    <t>MANUBHAI NONDHABHAI RATADIYA</t>
  </si>
  <si>
    <t>98790 15839</t>
  </si>
  <si>
    <t>24/03/2026</t>
  </si>
  <si>
    <t>GJ03AX5057</t>
  </si>
  <si>
    <t>3003/433907058/00/000</t>
  </si>
  <si>
    <t>MUDHAVA ROHITKUMAR POPATBHAI</t>
  </si>
  <si>
    <t>24/03/2027</t>
  </si>
  <si>
    <t>GJ36T6132</t>
  </si>
  <si>
    <t>3003/433825159/00/000</t>
  </si>
  <si>
    <t>TATA MOTORS TRUCKS LPT 1212/42</t>
  </si>
  <si>
    <t>RATADIYA NAVGHANBHAI DEVABHAI</t>
  </si>
  <si>
    <t>25/03/2026</t>
  </si>
  <si>
    <t>GJ03Z7279</t>
  </si>
  <si>
    <t>3003/A/434025722/00/000</t>
  </si>
  <si>
    <t>BOLERO PICK UP 1.29T PS</t>
  </si>
  <si>
    <t>PARMAR MAHESHBHAI NATHABHAI</t>
  </si>
  <si>
    <t>25/03/2027</t>
  </si>
  <si>
    <t>GJ13AX6786</t>
  </si>
  <si>
    <t>160622623340018990</t>
  </si>
  <si>
    <t>MR. SULTANBHAI ABBASBHAI JADEJA</t>
  </si>
  <si>
    <t>23/03/2027</t>
  </si>
  <si>
    <t>27/03/2026</t>
  </si>
  <si>
    <t>GJ36AC8212</t>
  </si>
  <si>
    <t>6206085751 00 00</t>
  </si>
  <si>
    <t>HYUNDAI / GRAND I10 NIOS / ERA 1.2 KAPPA V TVT</t>
  </si>
  <si>
    <t>Mr Bukhari Mayodin Bakarmiya</t>
  </si>
  <si>
    <t>26/03/2027</t>
  </si>
  <si>
    <t>28/03/2026</t>
  </si>
  <si>
    <t>GJ10W5725</t>
  </si>
  <si>
    <t>3003/A/434470026/00/B00</t>
  </si>
  <si>
    <t>HARDEV BHARUBHA BAVDA</t>
  </si>
  <si>
    <t>97730 43831</t>
  </si>
  <si>
    <t>27/03/2027</t>
  </si>
  <si>
    <t>GJ10W6373</t>
  </si>
  <si>
    <t>3003/A/434469993/00/000</t>
  </si>
  <si>
    <t>RAJAKBHAI IASMAILBHAI THEBA</t>
  </si>
  <si>
    <t>29/03/2027</t>
  </si>
  <si>
    <t>GJ03AZ1735</t>
  </si>
  <si>
    <t>3003/A/434468793/00/000</t>
  </si>
  <si>
    <t>PUJARA NARENDRAKUMAR CHIMANLAL</t>
  </si>
  <si>
    <t>28/03/2027</t>
  </si>
  <si>
    <t>29/03/2026</t>
  </si>
  <si>
    <t>GJ36T8782</t>
  </si>
  <si>
    <t>3003/434671334/00/000</t>
  </si>
  <si>
    <t>JUNEJA DILAVARBHAI MAHMADBHAI</t>
  </si>
  <si>
    <t>30/03/2026</t>
  </si>
  <si>
    <t>GJ36X9977</t>
  </si>
  <si>
    <t>601722623340002003</t>
  </si>
  <si>
    <t>MR. BHARATBHAI NAKUM</t>
  </si>
  <si>
    <t>GJ10U9282</t>
  </si>
  <si>
    <t>3003/A/435539343/00/B00</t>
  </si>
  <si>
    <t>ASHOK LEYLAND TRUCKS AL 1612 TRUCK</t>
  </si>
  <si>
    <t>VAGHELA NANAJIBHAI RAMJIBHAI</t>
  </si>
  <si>
    <t>31/03/2027</t>
  </si>
  <si>
    <t>GJ23V2559</t>
  </si>
  <si>
    <t>3003/A/435196139/00/B00</t>
  </si>
  <si>
    <t>SHERASHIYA KETAN TRIBHOVANBHAI</t>
  </si>
  <si>
    <t>GJ18U8666</t>
  </si>
  <si>
    <t>3003/A/435167336/00/B00</t>
  </si>
  <si>
    <t>DORARA VIPULKUMAR LAKHABHAI</t>
  </si>
  <si>
    <t>GJ03Z9847</t>
  </si>
  <si>
    <t>3004/435616332/00/B00</t>
  </si>
  <si>
    <t>LPV</t>
  </si>
  <si>
    <t>FORCE MOTORS LTD</t>
  </si>
  <si>
    <t>BAYAD SHAKIL JUSANB</t>
  </si>
  <si>
    <t>GJ36V6921</t>
  </si>
  <si>
    <t>3003/435703598/00/000</t>
  </si>
  <si>
    <t>BOLERO MAXX HD 1.7 MXI</t>
  </si>
  <si>
    <t>MERAMAN RAMJIBHAI AJANA</t>
  </si>
  <si>
    <t>79840 59426</t>
  </si>
  <si>
    <t>18/04/2026</t>
  </si>
  <si>
    <t xml:space="preserve">GJ02Y3511 </t>
  </si>
  <si>
    <t>0604003126P100998357</t>
  </si>
  <si>
    <t>BAJAJ TEMPO LIMITED / TEMPO TRAX</t>
  </si>
  <si>
    <t>MR CHANIYA FARUK ABDULHUENBHAI</t>
  </si>
  <si>
    <t>16/04/2027</t>
  </si>
  <si>
    <t>GJ36T8226</t>
  </si>
  <si>
    <t>3003/435703436/00/B00</t>
  </si>
  <si>
    <t>BHUPATBHAI JAGABHAI RATADIYA</t>
  </si>
  <si>
    <t>GJ13AX1542</t>
  </si>
  <si>
    <t>3379/04328594/000/01</t>
  </si>
  <si>
    <t>BOLERO MAXX PUP - CITY 3000 LX BSVI</t>
  </si>
  <si>
    <t>SABIRBHAI ABDULBHAI KATIYA</t>
  </si>
  <si>
    <t>GJ07UU6236</t>
  </si>
  <si>
    <t>3003/A/435820580/00/B00</t>
  </si>
  <si>
    <t>ASHOK LEYLAND TIPPERS CT 1613 TIPPERS</t>
  </si>
  <si>
    <t>KUNVARJIBHAI KARABHAI ZAPADA</t>
  </si>
  <si>
    <t>GJ36X4457</t>
  </si>
  <si>
    <t>3379/04325315/000/01</t>
  </si>
  <si>
    <t>VIJAY DEVSHIBHAI LAMBARIYA</t>
  </si>
  <si>
    <t>GJ36T6090</t>
  </si>
  <si>
    <t>3003/435851351/00/000</t>
  </si>
  <si>
    <t>RATADIYA NAVGHAN DEVABHAI</t>
  </si>
  <si>
    <t>98983 39652</t>
  </si>
  <si>
    <t>GJ36V8240</t>
  </si>
  <si>
    <t>3003/435966888/00/000</t>
  </si>
  <si>
    <t>DILIP THAKARSHIBHAI AMRUTIYA</t>
  </si>
  <si>
    <t>75750 49579</t>
  </si>
  <si>
    <t>GJ36X1757</t>
  </si>
  <si>
    <t>3003/436035019/00/000</t>
  </si>
  <si>
    <t>SATKA MEHUR LIMBABHAI</t>
  </si>
  <si>
    <t>93285 89426</t>
  </si>
  <si>
    <t>97372 81757</t>
  </si>
  <si>
    <t>GJ13X5554</t>
  </si>
  <si>
    <t>201740020726790041800000</t>
  </si>
  <si>
    <t>MAHINDRA/ BOLERO/M AXI TRUCKOPEN</t>
  </si>
  <si>
    <t>MULTANI FARUKBHAI ALLAUDINBHAI</t>
  </si>
  <si>
    <t>GJ03BY4114</t>
  </si>
  <si>
    <t>D261773038 / 09042026</t>
  </si>
  <si>
    <t>PRAVINBHA DEVRAJBHA BALDA</t>
  </si>
  <si>
    <t>GJ03BY4112</t>
  </si>
  <si>
    <t>D261755905 / 09042026</t>
  </si>
  <si>
    <t>NILESHBHA VISHALBHA GADHAVI</t>
  </si>
  <si>
    <t>GJ36V6971</t>
  </si>
  <si>
    <t>3003/436261609/00/000</t>
  </si>
  <si>
    <t>MERU HIRABHAI SATAKA</t>
  </si>
  <si>
    <t>6351 985 630</t>
  </si>
  <si>
    <t>GJ36V6759</t>
  </si>
  <si>
    <t>613822623340001874</t>
  </si>
  <si>
    <t>TATA ACE &amp; CNG 2.0 BSVI</t>
  </si>
  <si>
    <t>MR. MAHESH KARSHANBHAI KHODA</t>
  </si>
  <si>
    <t>INDUSIND</t>
  </si>
  <si>
    <t>GJ36V8334</t>
  </si>
  <si>
    <t>3003/436386331/00/B00</t>
  </si>
  <si>
    <t>BOLERO PICK-UP PS 1.7T XL</t>
  </si>
  <si>
    <t>GHATELIYA RASIK LABHUBHAI</t>
  </si>
  <si>
    <t>GJ03AT2246</t>
  </si>
  <si>
    <t>3003/A/436402522/00/B00</t>
  </si>
  <si>
    <t>TATA MOTORS TRUCKS LPT 2518 TRUCK</t>
  </si>
  <si>
    <t>ZALA KRUSHNASINH FATESINH</t>
  </si>
  <si>
    <t>132/02/17/0427/MTP/1010444545</t>
  </si>
  <si>
    <t>BHARATBENZ 5528 T 6X4</t>
  </si>
  <si>
    <t>MR RAMKISHAN BADRI JAT</t>
  </si>
  <si>
    <t>17 od +15 tp</t>
  </si>
  <si>
    <t>14/04/2026</t>
  </si>
  <si>
    <t>GJ36V6566</t>
  </si>
  <si>
    <t>3379/04312467/000/01</t>
  </si>
  <si>
    <t>BOL MAXX PUP - 1.3 CITY LX BSVI</t>
  </si>
  <si>
    <t>HASMUKHBHAI MANJIBHAI MALANIYAT</t>
  </si>
  <si>
    <t>13/04/2027</t>
  </si>
  <si>
    <t>15/4/2026</t>
  </si>
  <si>
    <t>GJ36V7343</t>
  </si>
  <si>
    <t>3003/436700616/00/000</t>
  </si>
  <si>
    <t>BOLERO MAXX PUP HD 2.0L SX</t>
  </si>
  <si>
    <t>SOLANKI HARESH RAMESHBHAI</t>
  </si>
  <si>
    <t>14/04/2027</t>
  </si>
  <si>
    <t>GJ12AZ7568</t>
  </si>
  <si>
    <t>201340020726790043100000</t>
  </si>
  <si>
    <t>MAHINDRA/ BOLERO MAXI TRUCK PLUS BS 4 PS/(Fully Built) PICKUPOPEN</t>
  </si>
  <si>
    <t>SHERMAMAD ANVAR MOVAR</t>
  </si>
  <si>
    <t>GJ36V1221</t>
  </si>
  <si>
    <t>613822623340001947</t>
  </si>
  <si>
    <t>MARUTI SUZUKI SUPER CARRY &amp; CNG BS-IV</t>
  </si>
  <si>
    <t>MR. VIKRAM DHIRAJLAL PANSARA</t>
  </si>
  <si>
    <t>95106 83208</t>
  </si>
  <si>
    <t>16/4/2026</t>
  </si>
  <si>
    <t>GJ36X7155</t>
  </si>
  <si>
    <t>3003/436778039/00/000</t>
  </si>
  <si>
    <t>MOMJIBHAI DHANJIBHAI AJANA</t>
  </si>
  <si>
    <t>GJ36V6408</t>
  </si>
  <si>
    <t>3379/04337348/000/01</t>
  </si>
  <si>
    <t>MAHINDRA BOLERO MAXX PUP - 1.7 VXI HD</t>
  </si>
  <si>
    <t>SALIMBHAI JUMABHAI JEDA</t>
  </si>
  <si>
    <t>15/04/2027</t>
  </si>
  <si>
    <t>17/4/2026</t>
  </si>
  <si>
    <t>GJ36V1752</t>
  </si>
  <si>
    <t>3003/436906087/00/000</t>
  </si>
  <si>
    <t>DOST PLUS E4 FSD</t>
  </si>
  <si>
    <t>ZAKIRHUSSAIN ABHARAMBHAI SHERSIA</t>
  </si>
  <si>
    <t>17/04/2027</t>
  </si>
  <si>
    <t>GJ36S3263</t>
  </si>
  <si>
    <t>3008/436906884/00/000.</t>
  </si>
  <si>
    <t>CHALLENGER 76</t>
  </si>
  <si>
    <t>FUTURE CERAMIC PRIVATE LIMITED</t>
  </si>
  <si>
    <t>20/04/2027</t>
  </si>
  <si>
    <t>18/4/2026</t>
  </si>
  <si>
    <t>GJ36X7756</t>
  </si>
  <si>
    <t>3003/437030516/00/000</t>
  </si>
  <si>
    <t>BOLERO MAXX HD 1.7 LX</t>
  </si>
  <si>
    <t>MAHAVIR TEMPO SERVICE</t>
  </si>
  <si>
    <t>18/04/2027</t>
  </si>
  <si>
    <t>GJ36X7757</t>
  </si>
  <si>
    <t>3003/437030001/00/000</t>
  </si>
  <si>
    <t>GJ36X7758</t>
  </si>
  <si>
    <t>3003/437030479/00/000</t>
  </si>
  <si>
    <t>GJ36X7759</t>
  </si>
  <si>
    <t>3003/437030494/00/000</t>
  </si>
  <si>
    <t>GJ13AT3918</t>
  </si>
  <si>
    <t>201340020726790043800000</t>
  </si>
  <si>
    <t>MAHINDRA/ BOLERO MAXI TRUCK/ (Fully Built) PICKUPOPE</t>
  </si>
  <si>
    <t>ANIL PREMJIBHAI BHADJA</t>
  </si>
  <si>
    <t>NM</t>
  </si>
  <si>
    <t>GJ20U6657</t>
  </si>
  <si>
    <t>3003/A/437045592/00/B00</t>
  </si>
  <si>
    <t>TATA MOTORS</t>
  </si>
  <si>
    <t>ARJAN VASABHAI BAMBHAVA</t>
  </si>
  <si>
    <t>GJ36V1624</t>
  </si>
  <si>
    <t>3003/437043132/00/000</t>
  </si>
  <si>
    <t>YODHA CREW CABIN</t>
  </si>
  <si>
    <t>OCEAN CARRIERS</t>
  </si>
  <si>
    <t>GJ23AT2541</t>
  </si>
  <si>
    <t>3003/A/437042553/00/B00</t>
  </si>
  <si>
    <t>LPT 1109H EX2</t>
  </si>
  <si>
    <t>ASHISH BHARATPURI GOSWAMI</t>
  </si>
  <si>
    <t>GJ36X0226</t>
  </si>
  <si>
    <t>3003/437042166/00/000</t>
  </si>
  <si>
    <t>BOLERO PICK-UP PS 1.7T X</t>
  </si>
  <si>
    <t>RATDIYA NILESH JAGJIVANBHA</t>
  </si>
  <si>
    <t>GJ23AT6815</t>
  </si>
  <si>
    <t>3003/A/437042651/00/B00</t>
  </si>
  <si>
    <t>HUMBAL CHANDULAL HIRABHAI</t>
  </si>
  <si>
    <t>19/04/2026</t>
  </si>
  <si>
    <t>GJ03Z6090</t>
  </si>
  <si>
    <t>3003/A/437084123/00/000</t>
  </si>
  <si>
    <t>TATA MOTORS TRUCKS LPT 407 EX</t>
  </si>
  <si>
    <t>NITINBHAI HEMANTBHAI POPAT</t>
  </si>
  <si>
    <t>25/04/2026</t>
  </si>
  <si>
    <t>GJ32T0423</t>
  </si>
  <si>
    <t>12-1831-0009668388-00</t>
  </si>
  <si>
    <t>ASHOK LEYLAND 3718 IL</t>
  </si>
  <si>
    <t>Dipesh Vinodrai Manek</t>
  </si>
  <si>
    <t>23/04/2027</t>
  </si>
  <si>
    <t>GJ03BT7486</t>
  </si>
  <si>
    <t>12-1831-0009668338-00</t>
  </si>
  <si>
    <t>GJ09V3232</t>
  </si>
  <si>
    <t>3003/A/438060761/00/000</t>
  </si>
  <si>
    <t>SHARVAN KUMAR GURU GURJAR</t>
  </si>
  <si>
    <t>24/04/2027</t>
  </si>
  <si>
    <t>161522523340000120</t>
  </si>
  <si>
    <t>LCV</t>
  </si>
  <si>
    <t>MAHINDRA JEETO &amp; PLUS 16 BS6.</t>
  </si>
  <si>
    <t>VASANTBHAI KHODABHAI PARMAR</t>
  </si>
  <si>
    <t>03/01/0206</t>
  </si>
  <si>
    <t>GJ18BV2792</t>
  </si>
  <si>
    <t>3379/04220886/000/00</t>
  </si>
  <si>
    <t>MANDRIYA PRAVIN KESHUBHAI</t>
  </si>
  <si>
    <t>99095 41201</t>
  </si>
  <si>
    <t>GJ36U7966</t>
  </si>
  <si>
    <t>POCMVGC0100116643</t>
  </si>
  <si>
    <t>3WGCV</t>
  </si>
  <si>
    <t>Bajaj Auto Limited Maxima C</t>
  </si>
  <si>
    <t>DHAMANI RIYAJALI RAMJANALI</t>
  </si>
  <si>
    <t>GJ13 AW8193</t>
  </si>
  <si>
    <t>P0025200007/4103/104626</t>
  </si>
  <si>
    <t>EICHER / 11.10 HDH HSD RHD BS</t>
  </si>
  <si>
    <t>JOGRANA GANPATBHAI KHETABHAI</t>
  </si>
  <si>
    <t xml:space="preserve"> 97254 00130</t>
  </si>
  <si>
    <t>GJ04AW3446</t>
  </si>
  <si>
    <t>6302562317 00 00</t>
  </si>
  <si>
    <t>MAHINDRA/BOLERO/BIG PICK UP FB 1.7T PS/OPEN/PICK UP VAN</t>
  </si>
  <si>
    <t>BARAIYA VIPULBHAI HARIBHAI</t>
  </si>
  <si>
    <t xml:space="preserve"> 6358 911 977</t>
  </si>
  <si>
    <t>7486 046 387</t>
  </si>
  <si>
    <t>TATA AIG</t>
  </si>
  <si>
    <t>GJ36V3155</t>
  </si>
  <si>
    <t>213003/31/25/017327</t>
  </si>
  <si>
    <t>MAHINDRA AND MAHINDRA - BOLERO CAMPER GOLD ZX 2WD PS</t>
  </si>
  <si>
    <t>MR. RAMESHBHAI SATABHAI FISADIYA</t>
  </si>
  <si>
    <t>SHRIRAM</t>
  </si>
  <si>
    <t>12-1831-0006354728-00</t>
  </si>
  <si>
    <t>LPT 1109 HEX2</t>
  </si>
  <si>
    <t>Hiren Ranchodbhai Bar</t>
  </si>
  <si>
    <t>96381 81213</t>
  </si>
  <si>
    <t>15-01-2026</t>
  </si>
  <si>
    <t>GJ36U9267</t>
  </si>
  <si>
    <t xml:space="preserve"> 6302562297 00 00</t>
  </si>
  <si>
    <t>3WPCV</t>
  </si>
  <si>
    <t>BAJAJ AUTO/MAXIMA/X WIDE CNG/Motorized Rickshaw/AUTO RICKSHAW</t>
  </si>
  <si>
    <t>SANDHVANI FARUK AKABAR</t>
  </si>
  <si>
    <t>99982 95323</t>
  </si>
  <si>
    <t>KV</t>
  </si>
  <si>
    <t>GJ36U9146</t>
  </si>
  <si>
    <t>6302562298 00 00</t>
  </si>
  <si>
    <t>BAJAJ AUTO/MAXIMA/ZCNG/Motorized Rickshaw/AUTO RICKSHAW</t>
  </si>
  <si>
    <t>SANDHVANI FIROZ AKBAR HASAN</t>
  </si>
  <si>
    <t>GJ36W6833</t>
  </si>
  <si>
    <t>6302562293 00 00</t>
  </si>
  <si>
    <t>VITHALBHAI VALJIBHAI BOKHANI</t>
  </si>
  <si>
    <t>79846 27397</t>
  </si>
  <si>
    <t>GJ36V6425</t>
  </si>
  <si>
    <t>3379/04221513/000/00</t>
  </si>
  <si>
    <t>KASMANI SOHIL SIKANDARBHAI</t>
  </si>
  <si>
    <t>884 927 1710</t>
  </si>
  <si>
    <t>3379/04221530/000/00</t>
  </si>
  <si>
    <t>63537 83411</t>
  </si>
  <si>
    <t>PZ</t>
  </si>
  <si>
    <t>GJ36V2910</t>
  </si>
  <si>
    <t>3379/04223062/000/00</t>
  </si>
  <si>
    <t>YASHPALSINH MAHIPATSINH PARMAR</t>
  </si>
  <si>
    <t>96380 23978</t>
  </si>
  <si>
    <t>GN</t>
  </si>
  <si>
    <t>POCMVGC0100119861</t>
  </si>
  <si>
    <t>Bajaj Auto Limited Maxima</t>
  </si>
  <si>
    <t>RAMESHBHAI JETHUPAL PA</t>
  </si>
  <si>
    <t>NK</t>
  </si>
  <si>
    <t>12-1831-0006359208-00</t>
  </si>
  <si>
    <t>LPS 3516</t>
  </si>
  <si>
    <t>Motlani Maksud Mamadbhai</t>
  </si>
  <si>
    <t>POCMVGC0100119679</t>
  </si>
  <si>
    <t>Tata Motors LPT 1512</t>
  </si>
  <si>
    <t>SATISHBHAI SAMANTBHAI NANGAS</t>
  </si>
  <si>
    <t>GJ03AT4052</t>
  </si>
  <si>
    <t>12-1831-0006359164-00</t>
  </si>
  <si>
    <t>Pareshbhai Manubhai Goltar</t>
  </si>
  <si>
    <t>GJ10X7799</t>
  </si>
  <si>
    <t>12-1831-0006359161-00</t>
  </si>
  <si>
    <t>Dineshbhai Raydhanbhai Sothiya</t>
  </si>
  <si>
    <t>GJ14Z9809</t>
  </si>
  <si>
    <t>P0025100019/4103/101218</t>
  </si>
  <si>
    <t>TATA / LPT 909 H EX2/38 BSIII</t>
  </si>
  <si>
    <t>Mr RAMESHBHAI DHARABHAI TAMARIA</t>
  </si>
  <si>
    <t>KN</t>
  </si>
  <si>
    <t>6302566941 00 00</t>
  </si>
  <si>
    <t>BAJAJ AUTO/RE MAXIMA/CARGO CNG/OPEN/PICK UP VAN</t>
  </si>
  <si>
    <t>SHEKHANI RAMESH RUGNATHBHAI</t>
  </si>
  <si>
    <t xml:space="preserve"> 87995 01038</t>
  </si>
  <si>
    <t>GJ36V1261</t>
  </si>
  <si>
    <t>3379/04224579/000/00</t>
  </si>
  <si>
    <t>SHEKHANI KARANKUMAR MAVJIBHAI</t>
  </si>
  <si>
    <t>GJ36S3888</t>
  </si>
  <si>
    <t>6302573903 00 00</t>
  </si>
  <si>
    <t>ACE/12 XW/D/OPEN/CONSTRUCTION EQUIPMENTS</t>
  </si>
  <si>
    <t>GJ36S2825</t>
  </si>
  <si>
    <t>6302573906 00 00</t>
  </si>
  <si>
    <t>Mr ANVAR ABDULBHAI SUMRA</t>
  </si>
  <si>
    <t>GJ03BW8701</t>
  </si>
  <si>
    <t>D181495808 / 06012025</t>
  </si>
  <si>
    <t>PRO 1114 / XP H HSD 16FT</t>
  </si>
  <si>
    <t>LIMBABHAI MOTIBHAI DHIYAD</t>
  </si>
  <si>
    <t>99799 64817</t>
  </si>
  <si>
    <t>3379/04225041/000/00</t>
  </si>
  <si>
    <t>97246 70189</t>
  </si>
  <si>
    <t>GJ27TA1650</t>
  </si>
  <si>
    <t>POCMVGC0100122313</t>
  </si>
  <si>
    <t>KASHMANI FAIZAL RAFIKBHAI</t>
  </si>
  <si>
    <t>GJ36T5671</t>
  </si>
  <si>
    <t>161122523340000616</t>
  </si>
  <si>
    <t>TATA LPT &amp; 1412 CRX</t>
  </si>
  <si>
    <t>M/S ANKIT SILICATE</t>
  </si>
  <si>
    <t>6302579430 00 00</t>
  </si>
  <si>
    <t>BAJAJ AUTO/MAXIMA/C CNG/OPEN/PICK UP VAN</t>
  </si>
  <si>
    <t>SURELA PRAHLADBHAI LABHUBHAI</t>
  </si>
  <si>
    <t>GJ36V0761</t>
  </si>
  <si>
    <t>P0025100006/4103/106176</t>
  </si>
  <si>
    <t>TATA SIGNA 3525 K TK 8X4 HD BSVI/TIPPER</t>
  </si>
  <si>
    <t>MESHANIYA CONSTRUCTION COMPAN</t>
  </si>
  <si>
    <t>GJ36W1965</t>
  </si>
  <si>
    <t>6302579426 00 00</t>
  </si>
  <si>
    <t>JANJAVADIYA BHARATBHAI BHAGUBHA</t>
  </si>
  <si>
    <t>15/01/2026</t>
  </si>
  <si>
    <t>GJ36W2828</t>
  </si>
  <si>
    <t>6302579437 00 00</t>
  </si>
  <si>
    <t>BAJAJ AUTO/MAXIMA/Z CNG/Motorized Rickshaw/AUTO RICKSHAW</t>
  </si>
  <si>
    <t>BHARVAD RAMESH KUKABHAI</t>
  </si>
  <si>
    <t xml:space="preserve">  GJ36T4351</t>
  </si>
  <si>
    <t>79/04226556/000/00</t>
  </si>
  <si>
    <t>DMAX - SINGLE CAB FSD</t>
  </si>
  <si>
    <t>LODARIYA BABUBHAI HARKHABHAI</t>
  </si>
  <si>
    <t>6302582653 00 00</t>
  </si>
  <si>
    <t>MITVA FOOD</t>
  </si>
  <si>
    <t>99093 23999</t>
  </si>
  <si>
    <t>GJ36W1216</t>
  </si>
  <si>
    <t>POCMVGC0100125726</t>
  </si>
  <si>
    <t>PADSARIYA HARESH MERABHAI</t>
  </si>
  <si>
    <t>GJ36V6417</t>
  </si>
  <si>
    <t>3379/04228099/000/00</t>
  </si>
  <si>
    <t>DHANABHAI MERABHAI FICHDIYA</t>
  </si>
  <si>
    <t>99259 85055</t>
  </si>
  <si>
    <t>3379/04228187/000/00</t>
  </si>
  <si>
    <t>SCAB - HIGH RIDE</t>
  </si>
  <si>
    <t>84859 93847</t>
  </si>
  <si>
    <t>AL 2214</t>
  </si>
  <si>
    <t>JAYDEEP SALT</t>
  </si>
  <si>
    <t>GJ03BZ9704</t>
  </si>
  <si>
    <t>3003/375168231/00/B00</t>
  </si>
  <si>
    <t>EICHER MOTOR / PRO 1059 XP</t>
  </si>
  <si>
    <t>MALANI MAHENDRA JERAMBHAI</t>
  </si>
  <si>
    <t>80009 59295</t>
  </si>
  <si>
    <t>DV</t>
  </si>
  <si>
    <t>GJ36T9799</t>
  </si>
  <si>
    <t>MR. RANA ANIRUDHASINH BHARATSINH</t>
  </si>
  <si>
    <t>VASANT PLOT 10 RAVAPAR ROAD MORBI RAJKOT MORBI, RAJKOT, GUJARAT, India, 363641.</t>
  </si>
  <si>
    <t>GJ14Z2883</t>
  </si>
  <si>
    <t>TATA LPT &amp; 1109</t>
  </si>
  <si>
    <t>MR. MUKESH HIRABHAI PANCHIYA</t>
  </si>
  <si>
    <t>6351 736 412</t>
  </si>
  <si>
    <t>PANCHDWARKA MORBI WANKANER, MORBI, GUJARAT, India, 363621.</t>
  </si>
  <si>
    <t>13/12/2024</t>
  </si>
  <si>
    <t>GJ12BT5906</t>
  </si>
  <si>
    <t>EICHER 40.40 &amp; E RHD.</t>
  </si>
  <si>
    <t>MOTLANI MAKSUD MAMDBHAI</t>
  </si>
  <si>
    <t>98257 65417</t>
  </si>
  <si>
    <t>ROHIDAS PARA VC PARA NEAR GODAM MORBI MORBI, RAJKOT, GUJARAT, India, 363641.</t>
  </si>
  <si>
    <t>GJ36T4085</t>
  </si>
  <si>
    <t>MANISHBHAI RAJUBHAI BHARVAD</t>
  </si>
  <si>
    <t>91062 88126</t>
  </si>
  <si>
    <t>NEW TALAV CHARADVA SURENDRANAGAR HALVAD, SURENDRANAGAR, GUJARAT, India, 363330.</t>
  </si>
  <si>
    <t>20/12/2024</t>
  </si>
  <si>
    <t>GJ03BV0352</t>
  </si>
  <si>
    <t>HITESHBHAI DAYABHAI MAKAWANA</t>
  </si>
  <si>
    <t xml:space="preserve"> 99251 62117</t>
  </si>
  <si>
    <t>18/12/2025</t>
  </si>
  <si>
    <t>401,MAKANSAR-1 PREMJINAGAR MORBI MORBI, RAJKOT, GUJARAT, India, 363642.</t>
  </si>
  <si>
    <t>GJ03BZ9363</t>
  </si>
  <si>
    <t>JANKIDASH BABUBHAI DUDHREJIYA</t>
  </si>
  <si>
    <t>16 KOLI VAS NALIYARI SURENDRANAGAR CHOTILA, SURENDRANAGAR, GUJARAT, India, 363520.</t>
  </si>
  <si>
    <t>P0025200007/4103/104642</t>
  </si>
  <si>
    <t>ASHOK LEYLAND / 3525 MJ 52 T TIP</t>
  </si>
  <si>
    <t>99250 24119</t>
  </si>
  <si>
    <t>P0025200007/4103/104641</t>
  </si>
  <si>
    <t>P0025200007/4103/104640</t>
  </si>
  <si>
    <t>ASHOK LEYLAND 3525 MJ 52 T TIP/TIPPER</t>
  </si>
  <si>
    <t>GJ36V0834</t>
  </si>
  <si>
    <t>P0025100006/4103/106168</t>
  </si>
  <si>
    <t>TATA / SIGNA 3525 K TK 8X4 HD BSVI</t>
  </si>
  <si>
    <t>MESHANIYA CONSTRUCTION COMPANY</t>
  </si>
  <si>
    <t>GJ36V0890</t>
  </si>
  <si>
    <t>P0025100006/4103/106167</t>
  </si>
  <si>
    <t>GJ36V0991</t>
  </si>
  <si>
    <t>P0025100006/4103/106166</t>
  </si>
  <si>
    <t>GJ36V0809</t>
  </si>
  <si>
    <t>P0025100006/4103/10616</t>
  </si>
  <si>
    <t>GJ36V0795</t>
  </si>
  <si>
    <t>P0025100006/4103/106170</t>
  </si>
  <si>
    <t>24/12/2025</t>
  </si>
  <si>
    <t>TATA MOTORS / LPT 1109 EX CONTAINER</t>
  </si>
  <si>
    <t>97731 32711</t>
  </si>
  <si>
    <t>24-12-2025</t>
  </si>
  <si>
    <t>MACHCHUNAGAR JAMBUDIYA MORBI, RAJKOT, GUJARAT 363642</t>
  </si>
  <si>
    <t>GJ36V3372</t>
  </si>
  <si>
    <t>P0025200007/4103/104567</t>
  </si>
  <si>
    <t>MARUTI MICRONS</t>
  </si>
  <si>
    <t>99093 40415</t>
  </si>
  <si>
    <t>SURVEY NO.72-76, BHIM GUDA MARG, ,RATAVIRDA, MORBI RAJKOT GUJARAT 363621</t>
  </si>
  <si>
    <t>GJ36V5923</t>
  </si>
  <si>
    <t>P0025200007/4103/104587</t>
  </si>
  <si>
    <t>TATA LPT 1216 DCR 45 HSD 160B6M6/TRUCK</t>
  </si>
  <si>
    <t>Mr GADHAVI PRATIK MANUBHA</t>
  </si>
  <si>
    <t xml:space="preserve"> 97265 02002</t>
  </si>
  <si>
    <t>SO ORDI SAME KANTHE ,MORBI RAJKOT RAJKOT GUJARAT 363642</t>
  </si>
  <si>
    <t>GJ12AY0318</t>
  </si>
  <si>
    <t>ASHOK LEYLAND 3116 &amp; IL BS III</t>
  </si>
  <si>
    <t>VIJAYBHAI MANUBHAI GOGA</t>
  </si>
  <si>
    <t>79848 36271</t>
  </si>
  <si>
    <t>DHAVDI VISTAR RAVAPAR MORBI MORBI, RAJKOT, GUJARAT, India, 363641</t>
  </si>
  <si>
    <t>GJ03AZ8825</t>
  </si>
  <si>
    <t>12-1831-0006394648-00</t>
  </si>
  <si>
    <t>LPK 2518 TC</t>
  </si>
  <si>
    <t>Jaykishan Pravinbhai Sarvaiya</t>
  </si>
  <si>
    <t xml:space="preserve"> 91064 89887</t>
  </si>
  <si>
    <t>MN</t>
  </si>
  <si>
    <t>GJ03AT1414</t>
  </si>
  <si>
    <t>12-1831-0006394633-00</t>
  </si>
  <si>
    <t>Karan Butabhai Toyta</t>
  </si>
  <si>
    <t>12-1831-0006394625-00</t>
  </si>
  <si>
    <t>LPT 2515 TC EX</t>
  </si>
  <si>
    <t>Firozbhai Gulmamadbhai Theba</t>
  </si>
  <si>
    <t>GJ13AX3254</t>
  </si>
  <si>
    <t>3379/04231382/000/00</t>
  </si>
  <si>
    <t>KANJIBHAI TAPUBHAI DHARJIYA</t>
  </si>
  <si>
    <t>97270 31646</t>
  </si>
  <si>
    <t>781122523340000190</t>
  </si>
  <si>
    <t>ASHOK LEYLAND DOST &amp; STRONG 2STR</t>
  </si>
  <si>
    <t>MOHMAD HUSHEN BADRUDIN GULABI</t>
  </si>
  <si>
    <t>GJ23BL3047</t>
  </si>
  <si>
    <t>161522523430001566</t>
  </si>
  <si>
    <t>AGRICULTURAL TRACTORS</t>
  </si>
  <si>
    <t>DADHANIYA BHANJIBHAI TALSHIBHAI</t>
  </si>
  <si>
    <t>98253 66807</t>
  </si>
  <si>
    <t>12-1831-0006399960-00</t>
  </si>
  <si>
    <t>2516 (6x2)</t>
  </si>
  <si>
    <t>Kuldipsinh Umedsinh Rathod</t>
  </si>
  <si>
    <t>GJ14X5273</t>
  </si>
  <si>
    <t>6302599179 00 00</t>
  </si>
  <si>
    <t>MAHINDRA/BOLERO/MAXI TRUCK PLUS 1.2T PS BS4/OPEN/PICK UP VAN</t>
  </si>
  <si>
    <t>PARMAR PRAKASHBHAI DHIRUBHAI</t>
  </si>
  <si>
    <t>81413 29648</t>
  </si>
  <si>
    <t>12-1831-0006400227-00</t>
  </si>
  <si>
    <t>1612 H</t>
  </si>
  <si>
    <t>Munnabhai Momabhai Toliya</t>
  </si>
  <si>
    <t>96389 80800</t>
  </si>
  <si>
    <t>GJ36V2651</t>
  </si>
  <si>
    <t>3379/04233444/000/00</t>
  </si>
  <si>
    <t>RAIYABHAI RATDIYA</t>
  </si>
  <si>
    <t>GJ36V6476</t>
  </si>
  <si>
    <t>3379/04233443/000/00</t>
  </si>
  <si>
    <t>PULS ELECTRIC AND ELECTRONIC</t>
  </si>
  <si>
    <t xml:space="preserve"> 832 047 4401</t>
  </si>
  <si>
    <t>POCMVGC0100133164</t>
  </si>
  <si>
    <t>Atul Auto ATUL SHAKTI</t>
  </si>
  <si>
    <t>CHAUHAN SUNIL SURESHBHAI</t>
  </si>
  <si>
    <t>99799 08588</t>
  </si>
  <si>
    <t>96249 64293</t>
  </si>
  <si>
    <t>GJ14Z9704</t>
  </si>
  <si>
    <t>6302602955 00 00</t>
  </si>
  <si>
    <t>TATA MOTORS/SFC 407/31 CAB EX BS2/OPEN/TRUCK</t>
  </si>
  <si>
    <t>Mr MAHENDRA JERAMBHAI MALANI</t>
  </si>
  <si>
    <t>13/01/2026</t>
  </si>
  <si>
    <t>GJ36X1954</t>
  </si>
  <si>
    <t>P0025100019/4103/101304</t>
  </si>
  <si>
    <t>TATA SIGNA 3530 TK 8*4 BSVI HD 23 BOX/TRUCK</t>
  </si>
  <si>
    <t>r JOGABHAI RAJABHAI LUN</t>
  </si>
  <si>
    <t xml:space="preserve"> 99134 50899</t>
  </si>
  <si>
    <t>16/01/2026</t>
  </si>
  <si>
    <t>GJ36W1562</t>
  </si>
  <si>
    <t>6302604535 00 00</t>
  </si>
  <si>
    <t>MAKWANA INDRAJITSINH JANAKBHAI</t>
  </si>
  <si>
    <t>14/01/2026</t>
  </si>
  <si>
    <t>GJ03BW5927</t>
  </si>
  <si>
    <t>79/04234029/000/00</t>
  </si>
  <si>
    <t>DOST PLUS - RLS BSVI</t>
  </si>
  <si>
    <t>MAHESHKUMAR BHIKHABHAI UBHADIYA</t>
  </si>
  <si>
    <t>GJ36V5115</t>
  </si>
  <si>
    <t>P0025100019/4103/101326</t>
  </si>
  <si>
    <t xml:space="preserve"> DABHI ARVINDBHAI NARSHIBHAI</t>
  </si>
  <si>
    <t>99048 15894</t>
  </si>
  <si>
    <t>12-1831-0006418641-00</t>
  </si>
  <si>
    <t>LPT 1613 TC 2005 373341MVZ753406</t>
  </si>
  <si>
    <t>Bukhari Firojmiya Sultanmiya</t>
  </si>
  <si>
    <t>16-01-2026</t>
  </si>
  <si>
    <t>GJ12Y9993</t>
  </si>
  <si>
    <t>12-1831-0002292923-01</t>
  </si>
  <si>
    <t>Rafikbhai Rahimbhai Ghoniya</t>
  </si>
  <si>
    <t>781122523340000393</t>
  </si>
  <si>
    <t>MARUTI SUZUKI SUPER CARRY &amp; STD</t>
  </si>
  <si>
    <t>MR. HARENDRA KUMAR SINGH</t>
  </si>
  <si>
    <t>GJ36T7585</t>
  </si>
  <si>
    <t>781122523340000391</t>
  </si>
  <si>
    <t>MAHINDRA SUPRO &amp; MAXITRUCK T2</t>
  </si>
  <si>
    <t>DABHI BHUPAT AVACHARBHAI</t>
  </si>
  <si>
    <t>97262 24963</t>
  </si>
  <si>
    <t>AR</t>
  </si>
  <si>
    <t>3379/04237261/000/00</t>
  </si>
  <si>
    <t>BOL MAXX PUP - 1.4 CITY LX BSV</t>
  </si>
  <si>
    <t xml:space="preserve"> 97274 77891</t>
  </si>
  <si>
    <t>18/01/2026</t>
  </si>
  <si>
    <t>GJ36V6075</t>
  </si>
  <si>
    <t>3379/04237253/000/00</t>
  </si>
  <si>
    <t>GIRISHBHAI VASHRAMBHAI NAKUM</t>
  </si>
  <si>
    <t>98793 96514</t>
  </si>
  <si>
    <t>POCMVGC0100139681</t>
  </si>
  <si>
    <t>JANJAVADIYA RAMJI AMARSHIBHAI</t>
  </si>
  <si>
    <t>6355 868 716</t>
  </si>
  <si>
    <t>GJ36U9051</t>
  </si>
  <si>
    <t>POCMVGC0100139680</t>
  </si>
  <si>
    <t>ZINZUVADIYA VIKRAM DINESHBHA</t>
  </si>
  <si>
    <t>99047 13709</t>
  </si>
  <si>
    <t>POCMVGC0100139676</t>
  </si>
  <si>
    <t>JUNED VALIMAMADBHAI BABHNIA</t>
  </si>
  <si>
    <t>21/01/2026</t>
  </si>
  <si>
    <t>GJ36W1966</t>
  </si>
  <si>
    <t>6302616599 00 00</t>
  </si>
  <si>
    <t>THUKRAL ELECTRIC BIKES PVT LTD/DLX/E RICKSHAW/Motorized Rickshaw/AUTO RICKSHAW</t>
  </si>
  <si>
    <t>HASMUKHBHAI PRANJIVANBHAI AGOLA</t>
  </si>
  <si>
    <t>3379/04237310/000/00</t>
  </si>
  <si>
    <t>84698 73102</t>
  </si>
  <si>
    <t>GJ36T5244</t>
  </si>
  <si>
    <t>POCMVGC0100140416</t>
  </si>
  <si>
    <t>Tata Motors LPT 1412</t>
  </si>
  <si>
    <t>ANKIT SILICATE</t>
  </si>
  <si>
    <t>17/01/2026</t>
  </si>
  <si>
    <t>GJ36W1790</t>
  </si>
  <si>
    <t>POCMVGC0100142135</t>
  </si>
  <si>
    <t>Capital Auto Industries 3W/D</t>
  </si>
  <si>
    <t>MEHUL CHHAGANBHAI DEGAMA</t>
  </si>
  <si>
    <t>87585 51113</t>
  </si>
  <si>
    <t>GJ36V3227</t>
  </si>
  <si>
    <t>3379/04238845/000/00</t>
  </si>
  <si>
    <t>BOLERO - PIK UP FB 1.3T PS AC BS VI</t>
  </si>
  <si>
    <t>MAHESHBHAI KHETABHAI BHARVAD</t>
  </si>
  <si>
    <t>19/01/2026</t>
  </si>
  <si>
    <t>GJ12AY5933</t>
  </si>
  <si>
    <t>POCMVGC0100142115</t>
  </si>
  <si>
    <t>Ashok Leyland 2516</t>
  </si>
  <si>
    <t>Mansukhbhai Kerasiya</t>
  </si>
  <si>
    <t>GJ36U8634</t>
  </si>
  <si>
    <t>6302621740 00 00</t>
  </si>
  <si>
    <t>KALUBHAI MOHANBHAI AMBALIYA</t>
  </si>
  <si>
    <t>99257 41474</t>
  </si>
  <si>
    <t>GJ36T7688</t>
  </si>
  <si>
    <t>6302621709 00 00</t>
  </si>
  <si>
    <t>MAHINDRA/BOLERO/PIK UP FB PS 1.7T XL/OPEN/PICK UP VAN</t>
  </si>
  <si>
    <t>JAYESHBHAI BHIMABHAI PANCHIYA</t>
  </si>
  <si>
    <t>MAHINDRA BOLERO</t>
  </si>
  <si>
    <t>SHERMAMAD</t>
  </si>
  <si>
    <t>LPT 1512</t>
  </si>
  <si>
    <t>MUSTUFA</t>
  </si>
  <si>
    <t>SONARA</t>
  </si>
  <si>
    <t>20/01/2026</t>
  </si>
  <si>
    <t>GJ36V9940</t>
  </si>
  <si>
    <t>LPK 3118</t>
  </si>
  <si>
    <t>DANGAR</t>
  </si>
  <si>
    <t>GJ10TZ2045</t>
  </si>
  <si>
    <t>3W PCV</t>
  </si>
  <si>
    <t>BAJAJ MAXIMA</t>
  </si>
  <si>
    <t>CHAVDA</t>
  </si>
  <si>
    <t>GJ36U9215</t>
  </si>
  <si>
    <t>BHATTI</t>
  </si>
  <si>
    <t>GJ36T9367</t>
  </si>
  <si>
    <t>AL BADA DOST</t>
  </si>
  <si>
    <t>VADAVIYA</t>
  </si>
  <si>
    <t>GJ36W1517</t>
  </si>
  <si>
    <t>JASPAL</t>
  </si>
  <si>
    <t>AL 2516</t>
  </si>
  <si>
    <t>LPT 2518</t>
  </si>
  <si>
    <t>ISABHAI</t>
  </si>
  <si>
    <t>GJ12BV2156</t>
  </si>
  <si>
    <t>AL 3718</t>
  </si>
  <si>
    <t>PRAVIN</t>
  </si>
  <si>
    <t>GJ12AT5221</t>
  </si>
  <si>
    <t>TOFIK</t>
  </si>
  <si>
    <t>18/01/2025</t>
  </si>
  <si>
    <t>GJ03BV5303</t>
  </si>
  <si>
    <t>VADHRI</t>
  </si>
  <si>
    <t>GJ36V0983</t>
  </si>
  <si>
    <t>SUPRO</t>
  </si>
  <si>
    <t>IRSHAD</t>
  </si>
  <si>
    <t>23/01/2025</t>
  </si>
  <si>
    <t>RAIGA</t>
  </si>
  <si>
    <t>GJ36W4146</t>
  </si>
  <si>
    <t>BAJAJ MAXIMA CARGO</t>
  </si>
  <si>
    <t>VIJAY</t>
  </si>
  <si>
    <t>GJ03AT0293</t>
  </si>
  <si>
    <t>LPT 909</t>
  </si>
  <si>
    <t>DHARMDIP</t>
  </si>
  <si>
    <t>LPT 1216</t>
  </si>
  <si>
    <t>GADHVI PRATIK</t>
  </si>
  <si>
    <t>21/01/2025</t>
  </si>
  <si>
    <t>3379/04242089/000/00</t>
  </si>
  <si>
    <t>26/01/2026</t>
  </si>
  <si>
    <t>GJ03BW6830</t>
  </si>
  <si>
    <t>P0025100004/4103/106014</t>
  </si>
  <si>
    <t>ASHOK LEYLAND 2516 IL/OPE</t>
  </si>
  <si>
    <t>Mr HUSEN D KAIDA</t>
  </si>
  <si>
    <t>GJ36V6199</t>
  </si>
  <si>
    <t>P0025100019/4103/101387</t>
  </si>
  <si>
    <t xml:space="preserve"> ZALA MAHIPALSINH KISHORSINH</t>
  </si>
  <si>
    <t>12-1831-0006443685-00</t>
  </si>
  <si>
    <t>SE 1613</t>
  </si>
  <si>
    <t>Ishbbhai Valimamdbhai Sumara</t>
  </si>
  <si>
    <t>20-01-2026</t>
  </si>
  <si>
    <t>GJ04AX8429</t>
  </si>
  <si>
    <t>POCMVGC0100147769</t>
  </si>
  <si>
    <t>AGHAM HANIFBHAI MAHAMADBHAI</t>
  </si>
  <si>
    <t>GJ36W1918</t>
  </si>
  <si>
    <t>6302633520 00 00</t>
  </si>
  <si>
    <t>SURESH SONDABHAI MORTARIYA</t>
  </si>
  <si>
    <t>93289 38740</t>
  </si>
  <si>
    <t>GJ07TV4106</t>
  </si>
  <si>
    <t>POCMVGC0100147624</t>
  </si>
  <si>
    <t>ATUL SHAKTI</t>
  </si>
  <si>
    <t>PARMAR VANRAJSINH BAHADURSINH</t>
  </si>
  <si>
    <t>6353 312 139</t>
  </si>
  <si>
    <t>GJ12AU8687</t>
  </si>
  <si>
    <t>POCMVGC0100147770</t>
  </si>
  <si>
    <t>LPT 2515</t>
  </si>
  <si>
    <t>SANJAYKUMAR JAYNATH YADAV</t>
  </si>
  <si>
    <t>GJ36T5100</t>
  </si>
  <si>
    <t>P0025200007/4103/104980</t>
  </si>
  <si>
    <t>TATA LPT 3118 3118 TIPPER/TIPPER</t>
  </si>
  <si>
    <t>98985 20684</t>
  </si>
  <si>
    <t>31/01/2026</t>
  </si>
  <si>
    <t>22/01/2025</t>
  </si>
  <si>
    <t>GJ18AT9253</t>
  </si>
  <si>
    <t>POCMVGC0100150106</t>
  </si>
  <si>
    <t>DABHI RAJESHBHAI VISABHAI</t>
  </si>
  <si>
    <t>12-1831-0006453304-00</t>
  </si>
  <si>
    <t>1613 H</t>
  </si>
  <si>
    <t>Prakashbhai Khimjibhai Sarvaiya</t>
  </si>
  <si>
    <t>98245 67744</t>
  </si>
  <si>
    <t>21-01-2026</t>
  </si>
  <si>
    <t>6302643986 00 00</t>
  </si>
  <si>
    <t>TATA MOTORS/LPT 110 9/EX2/OPEN/TRUCK</t>
  </si>
  <si>
    <t>KISHAN HIRABHAI HAN</t>
  </si>
  <si>
    <t>POCMVGC0100152501</t>
  </si>
  <si>
    <t>Maxima</t>
  </si>
  <si>
    <t>MAKWANA ASHOKBHAI PUNJABHBAI</t>
  </si>
  <si>
    <t>99137 98073</t>
  </si>
  <si>
    <t>POCMVGC0100151399</t>
  </si>
  <si>
    <t>RAFIKBHAI AAMADBHAI CHANIYA</t>
  </si>
  <si>
    <t>95864 74751</t>
  </si>
  <si>
    <t>GJ36U7260</t>
  </si>
  <si>
    <t>POCMVGC0100151991</t>
  </si>
  <si>
    <t>Maxima C</t>
  </si>
  <si>
    <t>DABHI JALABHAI JAGABHAI</t>
  </si>
  <si>
    <t>GJ03AW3657</t>
  </si>
  <si>
    <t>POCMVGC0100152512</t>
  </si>
  <si>
    <t>Atul Auto,ATUL SHAKTI-DELIVERY VAN</t>
  </si>
  <si>
    <t>BARASARA PRAFULBHAIMAHESHBHAI</t>
  </si>
  <si>
    <t>98252 69509</t>
  </si>
  <si>
    <t>6302648345 00 00</t>
  </si>
  <si>
    <t>APOLLO/25 FX/SELF LOA DING CONCRETE MIXER/ OPEN/CONSTRUCTION EQUIPMENTS</t>
  </si>
  <si>
    <t>99788 83488</t>
  </si>
  <si>
    <t>24/01/2025</t>
  </si>
  <si>
    <t>GJ36V3439</t>
  </si>
  <si>
    <t>POCMVGC0100154886</t>
  </si>
  <si>
    <t>ZAPADA VASHARAM BUTABHAI</t>
  </si>
  <si>
    <t>99741 10744</t>
  </si>
  <si>
    <t>GJ11VV2569</t>
  </si>
  <si>
    <t>POCMVGC0100154863</t>
  </si>
  <si>
    <t>LPT 1109</t>
  </si>
  <si>
    <t>JAKIRKHA HUSENKHA KHORAM</t>
  </si>
  <si>
    <t>30/01/2026</t>
  </si>
  <si>
    <t>GJ10X7443</t>
  </si>
  <si>
    <t>D183802016 / 24012025</t>
  </si>
  <si>
    <t>2214/1S / 4790MM HSD BSII</t>
  </si>
  <si>
    <t>MAHMADKHAN .</t>
  </si>
  <si>
    <t xml:space="preserve"> 79847 25913</t>
  </si>
  <si>
    <t>161122523340001366</t>
  </si>
  <si>
    <t>ASHOK LEYLAND 2516 &amp; IL 2 STR</t>
  </si>
  <si>
    <t>AKBAR ABDUL SAICHA</t>
  </si>
  <si>
    <t>GJ36T5096</t>
  </si>
  <si>
    <t>P0025200007/4103/105072</t>
  </si>
  <si>
    <t>EICHER PRO 1110 HSD/HIGH SIDE DECK</t>
  </si>
  <si>
    <t>MUNDHAVA MUKESHBHAI KANABHAI</t>
  </si>
  <si>
    <t>97268 27126</t>
  </si>
  <si>
    <t>161522523340002149</t>
  </si>
  <si>
    <t>ASHOK LEYLAND 3118 &amp; IL 3STR</t>
  </si>
  <si>
    <t>MR. RAMKUMAR JENTIBHAI MALAN</t>
  </si>
  <si>
    <t>GJ36W3391</t>
  </si>
  <si>
    <t>6302653593 00 00</t>
  </si>
  <si>
    <t>BAJAJ AUTO/MAXIMA/Z CNG/Motorized Ricksha w/AUTO RICKSHAW</t>
  </si>
  <si>
    <t>Mr NAGALA DHARMENDRA RANCHHODBHAI</t>
  </si>
  <si>
    <t>99790 20703</t>
  </si>
  <si>
    <t>GJ36V1239</t>
  </si>
  <si>
    <t>P0025100019/4103/101444</t>
  </si>
  <si>
    <t>TATA LPT 1212 1212LPTDCR42CBC125B6M5CHASSISWITHOUTLOADBODY/TRUCK</t>
  </si>
  <si>
    <t>SANGANI BHAGUBHAI RANABHA</t>
  </si>
  <si>
    <t>25/01/2025</t>
  </si>
  <si>
    <t>3379/04245015/000/00</t>
  </si>
  <si>
    <t>GJ36T6178</t>
  </si>
  <si>
    <t>6302653992 00 00</t>
  </si>
  <si>
    <t>MAHINDRA/BOLERO/PI K UP FB PS 1.7T XL/OPE N/PICK UP VAN</t>
  </si>
  <si>
    <t>Mr PRANJIVANBHAI BALUBHAI DELVADIYA</t>
  </si>
  <si>
    <t>97248 73357</t>
  </si>
  <si>
    <t>GJ36V0773</t>
  </si>
  <si>
    <t>ABDUL CHAUDHARI</t>
  </si>
  <si>
    <t>GJ36V3086</t>
  </si>
  <si>
    <t>KAVAR INDUSTRIES</t>
  </si>
  <si>
    <t>GJ37T8881</t>
  </si>
  <si>
    <t>161522523340000748</t>
  </si>
  <si>
    <t>TATA LPT &amp; 1412 CRX 2 STR</t>
  </si>
  <si>
    <t>SANJAY RANCHHODBHAI KHAMBHALA</t>
  </si>
  <si>
    <t>28/12/2024</t>
  </si>
  <si>
    <t>TATA LPK &amp; 3118 CRE 8X4 BS-IV</t>
  </si>
  <si>
    <t>ASHISH SURENDRABHAI BAREJIYA</t>
  </si>
  <si>
    <t>28/12/2025</t>
  </si>
  <si>
    <t>GJ18AX4086</t>
  </si>
  <si>
    <t>MR RAFIK,NURMAMADBHAI DALVANI</t>
  </si>
  <si>
    <t>99250 52786</t>
  </si>
  <si>
    <t>21/12/2024</t>
  </si>
  <si>
    <t>GJ12AZ7865</t>
  </si>
  <si>
    <t>RAJESHBHAI ARJANBHAI KAROTRA</t>
  </si>
  <si>
    <t>95588 34834</t>
  </si>
  <si>
    <t>95123 42829</t>
  </si>
  <si>
    <t>19/12/2025</t>
  </si>
  <si>
    <t>GJ10TX4322</t>
  </si>
  <si>
    <t>POCMVGC0100127732</t>
  </si>
  <si>
    <t>KANJIBHAI NARANBHAI AJANA</t>
  </si>
  <si>
    <t>14/01/2025</t>
  </si>
  <si>
    <t>GJ36T8291</t>
  </si>
  <si>
    <t>161522523340001326</t>
  </si>
  <si>
    <t>ASHOK LEYLAND 3118 &amp; IL SUPER</t>
  </si>
  <si>
    <t>MAKVANA BILALBHAI DAUDBHAI</t>
  </si>
  <si>
    <t>15/12/2024</t>
  </si>
  <si>
    <t>GJ36T6600</t>
  </si>
  <si>
    <t>PUSHPRAJSINH ASHOKSINH JADEJA</t>
  </si>
  <si>
    <t>99790 78037</t>
  </si>
  <si>
    <t>14/12/2025</t>
  </si>
  <si>
    <t>GJ04AW3600</t>
  </si>
  <si>
    <t>ASHOK LEYLAND 3116 &amp; IL 3 STR</t>
  </si>
  <si>
    <t>MR. PUSHPRAJSINH ASHOKSINH JADEJA</t>
  </si>
  <si>
    <t>17/12/2024</t>
  </si>
  <si>
    <t>GJ36T4600</t>
  </si>
  <si>
    <t>ASHOK LEYLAND 3118 &amp; SUPER 2 STR</t>
  </si>
  <si>
    <t>CHANDRASINH PRABHATSINH JADEJA</t>
  </si>
  <si>
    <t xml:space="preserve"> 99790 78037</t>
  </si>
  <si>
    <t>16/12/2025</t>
  </si>
  <si>
    <t>18/12/2024</t>
  </si>
  <si>
    <t>GJ37T7505</t>
  </si>
  <si>
    <t>94276 78604</t>
  </si>
  <si>
    <t>17/12/2025</t>
  </si>
  <si>
    <t>GJ03BW6669</t>
  </si>
  <si>
    <t>ASHOK LEYLAND 2516 &amp; IL 2STR</t>
  </si>
  <si>
    <t>GULAMHUSAIN H SUMRA</t>
  </si>
  <si>
    <t>99796 42929</t>
  </si>
  <si>
    <t>20/12/2025</t>
  </si>
  <si>
    <t>GJ36V5226</t>
  </si>
  <si>
    <t>VIJAYKUMAR POPATBHAI MUNDHAVA</t>
  </si>
  <si>
    <t>6352 100 183</t>
  </si>
  <si>
    <t>GJ36T6699</t>
  </si>
  <si>
    <t>ASHOK LEYLAND 3118 &amp; SUPER BS4</t>
  </si>
  <si>
    <t>ASHOKSINH PRABHATSANG JADEJA</t>
  </si>
  <si>
    <t>GJ12AY3959</t>
  </si>
  <si>
    <t>TATA LPT &amp; 2518 TC 3 STR</t>
  </si>
  <si>
    <t>VASIMBHAI IKBALBHAI DAL</t>
  </si>
  <si>
    <t>99255 65744</t>
  </si>
  <si>
    <t>GJ03AT1675</t>
  </si>
  <si>
    <t>TATA LPT &amp; 2516 6X2 SUPER TURBO 3 STR</t>
  </si>
  <si>
    <t>DABHI MUNABHAI LIMBABHAI</t>
  </si>
  <si>
    <t xml:space="preserve"> 82385 69372</t>
  </si>
  <si>
    <t>GJ03BT5303</t>
  </si>
  <si>
    <t>6302578853 00 00</t>
  </si>
  <si>
    <t>MAHINDRA/BOLERO/PICK UP FB/OPEN/PICK UP VAN</t>
  </si>
  <si>
    <t>VAGHARI VIKRAM NIMABHAI</t>
  </si>
  <si>
    <t>26/01/2025</t>
  </si>
  <si>
    <t>GJ36V4930</t>
  </si>
  <si>
    <t>6302658849 00 00</t>
  </si>
  <si>
    <t>MAHINDRA/BOLERO/PI CK UP FB PS 1.7T XL/OP EN/PICK UP VAN</t>
  </si>
  <si>
    <t>Mr ISMAILBHAI MAMADBHAI CHAUDHARI</t>
  </si>
  <si>
    <t>27/01/2025</t>
  </si>
  <si>
    <t>160822523340000361</t>
  </si>
  <si>
    <t>MARUTI SUZUKI SUPER CARRY &amp; PETROL BS6</t>
  </si>
  <si>
    <t>MR. DEEPAK KUMAR</t>
  </si>
  <si>
    <t>28/01/2025</t>
  </si>
  <si>
    <t>GJ36U6797</t>
  </si>
  <si>
    <t>6302664642 00 00</t>
  </si>
  <si>
    <t>Mr PREMJIBHAI PARMAR</t>
  </si>
  <si>
    <t>92657 88943</t>
  </si>
  <si>
    <t>90160 89105</t>
  </si>
  <si>
    <t>GJ03AW7268</t>
  </si>
  <si>
    <t>6302664660 00 00</t>
  </si>
  <si>
    <t>MAHINDRA/BOLERO/PI CK UP/OPEN/PICK UP V AN</t>
  </si>
  <si>
    <t>Mr PARMAR JAYNTIBHAI KHIMABHAI</t>
  </si>
  <si>
    <t>GJ03X4712</t>
  </si>
  <si>
    <t>12-1831-0006479114-00</t>
  </si>
  <si>
    <t>MAXX PICK UP</t>
  </si>
  <si>
    <t>Prakash Bhaylal Solanki</t>
  </si>
  <si>
    <t>90994 07794</t>
  </si>
  <si>
    <t>26-01-2026</t>
  </si>
  <si>
    <t>12-1831-0006479117-00</t>
  </si>
  <si>
    <t>2516 IL</t>
  </si>
  <si>
    <t>Bhupatsinh Hematsinh Zala</t>
  </si>
  <si>
    <t>28-01-2026</t>
  </si>
  <si>
    <t>GJ12BT6876</t>
  </si>
  <si>
    <t>161522523340002382</t>
  </si>
  <si>
    <t>ASHOK LEYLAND 3718 &amp; BS IV 2 STR</t>
  </si>
  <si>
    <t>CHICHODRA MAHAMAD ABBASBHAI</t>
  </si>
  <si>
    <t>29/01/2025</t>
  </si>
  <si>
    <t>GJ01ET9953</t>
  </si>
  <si>
    <t>6302670036 00 00</t>
  </si>
  <si>
    <t>MAHINDRA/BOLERO/PI CK UP FB 2WD DIESEL/ OPEN/PICK UP VAN</t>
  </si>
  <si>
    <t>Mr BHANU RAFIK JUSABBHAI</t>
  </si>
  <si>
    <t>98256 71973</t>
  </si>
  <si>
    <t>94264 05740</t>
  </si>
  <si>
    <t>GJ03T5354</t>
  </si>
  <si>
    <t>3003/A/377917485/00/B00</t>
  </si>
  <si>
    <t>TATA SFC 407.</t>
  </si>
  <si>
    <t>KHOKHAR MJIDBHAI KALUBHAI</t>
  </si>
  <si>
    <t>96387 86168</t>
  </si>
  <si>
    <t>GJ36V3405</t>
  </si>
  <si>
    <t>79/04253498/000/00 I</t>
  </si>
  <si>
    <t>KHIRAIYA HEMANSHU SANJAYBHAI</t>
  </si>
  <si>
    <t>GJ36V6050</t>
  </si>
  <si>
    <t>6302669959 00 00</t>
  </si>
  <si>
    <t>MAHINDRA/MAXX/PUP HD 1.7 LX/OPEN/PICK U P VAN</t>
  </si>
  <si>
    <t>Mr VIRENDRAKUMAR RAY</t>
  </si>
  <si>
    <t>GJ06BV9237</t>
  </si>
  <si>
    <t>POCMVGC0100166714</t>
  </si>
  <si>
    <t>LPT 1612</t>
  </si>
  <si>
    <t>PARMAR MUKESHBHAI</t>
  </si>
  <si>
    <t>97123 38779</t>
  </si>
  <si>
    <t>GJ36V3906</t>
  </si>
  <si>
    <t>3379/04254896/000/00</t>
  </si>
  <si>
    <t>MUSTAKBHAI ADAMBHAI KATIYA</t>
  </si>
  <si>
    <t>GJ12AY3977</t>
  </si>
  <si>
    <t>P0025200007/4103/105208</t>
  </si>
  <si>
    <t>TATA LPT 2518 2518 TIPPER/TIPPER</t>
  </si>
  <si>
    <t>Mr VIRA RASUL DAUD</t>
  </si>
  <si>
    <t xml:space="preserve"> 83479 27800</t>
  </si>
  <si>
    <t>29/01/2026</t>
  </si>
  <si>
    <t>GJ36W1192</t>
  </si>
  <si>
    <t>POCMVGC0100167008</t>
  </si>
  <si>
    <t>MATHKIYA SIKANDAR HAYATBHAI</t>
  </si>
  <si>
    <t>GJ36U7210</t>
  </si>
  <si>
    <t>6302675290 00 00</t>
  </si>
  <si>
    <t>HITENDRA KAILASHGIRI GOSWAMI</t>
  </si>
  <si>
    <t>6354 495 921</t>
  </si>
  <si>
    <t>GJ36W4750</t>
  </si>
  <si>
    <t>POCMVPC0100179427</t>
  </si>
  <si>
    <t>KATIYA ALIMAHMAD RAHIMBHAI</t>
  </si>
  <si>
    <t>97274 74715</t>
  </si>
  <si>
    <t>13/02/2026</t>
  </si>
  <si>
    <t>GJ03BZ8369</t>
  </si>
  <si>
    <t>3003/378276943/00/B00</t>
  </si>
  <si>
    <t>SFC 407 EX2</t>
  </si>
  <si>
    <t>VORA KANTILAL LALJIBHAI</t>
  </si>
  <si>
    <t>30/01/2025</t>
  </si>
  <si>
    <t>GJ11VV2399</t>
  </si>
  <si>
    <t>781122523380000188</t>
  </si>
  <si>
    <t>MAHINDRA BOLERO B4</t>
  </si>
  <si>
    <t>MUKESH LAXMAN BORICHA</t>
  </si>
  <si>
    <t>98794 28428</t>
  </si>
  <si>
    <t>31/01/2025</t>
  </si>
  <si>
    <t>GJ36T7241</t>
  </si>
  <si>
    <t>P0025200007/4103/105239</t>
  </si>
  <si>
    <t>ASHOK LEYLAND 3718 S/TRUCK</t>
  </si>
  <si>
    <t>Mr MANEK AVESH KHAMISHA</t>
  </si>
  <si>
    <t>GJ02XX5670</t>
  </si>
  <si>
    <t>P0025200007/4103/105240</t>
  </si>
  <si>
    <t>TATA LPT 3118 CR BS-IV 8*2/TIPPE</t>
  </si>
  <si>
    <t>Mr BORICHA AJITBHAI SUKHABHAI</t>
  </si>
  <si>
    <t>97144 82399</t>
  </si>
  <si>
    <t>GJ13AT8191</t>
  </si>
  <si>
    <t>POCMVGC0100169810</t>
  </si>
  <si>
    <t>AL 1616</t>
  </si>
  <si>
    <t>AKARIYA LAXMANBHAI MEGHABHAI</t>
  </si>
  <si>
    <t>78747 12270</t>
  </si>
  <si>
    <t>GJ23V3675</t>
  </si>
  <si>
    <t>6302681259 00 00</t>
  </si>
  <si>
    <t>EICHER MOTORS/11.1 0/G/OPEN/TRUCK</t>
  </si>
  <si>
    <t>Mr IDRISHMIYA ABASMIYA SAIYAD</t>
  </si>
  <si>
    <t>GJ04AU2260</t>
  </si>
  <si>
    <t>6302681395 00 00</t>
  </si>
  <si>
    <t>BAJAJ AUTO/RE/COMPA CT PLUS CNG/Motorize d Rickshaw/AUTO RICK SHAW</t>
  </si>
  <si>
    <t>Mr KALPESHGIRI KAILASHGIRI GOSAI</t>
  </si>
  <si>
    <t>96386 84326</t>
  </si>
  <si>
    <t>3379/04257087/000/00</t>
  </si>
  <si>
    <t xml:space="preserve"> 6354 532 466</t>
  </si>
  <si>
    <t>GJ36V4414</t>
  </si>
  <si>
    <t>3379/04257106/000/00</t>
  </si>
  <si>
    <t>BOLERO - PIK UP FB 1.3T PS BS VI</t>
  </si>
  <si>
    <t>H P INDUSTRIES</t>
  </si>
  <si>
    <t>GJ36V6095</t>
  </si>
  <si>
    <t>3379/04257082/000/00</t>
  </si>
  <si>
    <t>BOL MAXX PUP - 1.3 CITY VXI BSVI</t>
  </si>
  <si>
    <t>NARBHERAMBHAI KESHAVJIBHAI PARMAR</t>
  </si>
  <si>
    <t>98799 93913</t>
  </si>
  <si>
    <t>GJ36V1227</t>
  </si>
  <si>
    <t>6302683616 00 00</t>
  </si>
  <si>
    <t>ASHOK LEYLAND/BADA DOST/I4/OPEN/PICK UP VAN</t>
  </si>
  <si>
    <t>Mr PIYUSHBHAI ASHOKBHAI KHAKHKHAR</t>
  </si>
  <si>
    <t xml:space="preserve"> 98242 61768</t>
  </si>
  <si>
    <t>GJ36W1975</t>
  </si>
  <si>
    <t>6302686980 00 00</t>
  </si>
  <si>
    <t>Mr GARIYA MUKESH MAMUBHAI</t>
  </si>
  <si>
    <t>GJ36X3354</t>
  </si>
  <si>
    <t>6302686838 00 00</t>
  </si>
  <si>
    <t>MAHINDRA/BOLERO/M AXX PUP HD 1.7 LX/CLO SED/PICK UP VAN</t>
  </si>
  <si>
    <t>SUPER MARKETING</t>
  </si>
  <si>
    <t>832 033 6930</t>
  </si>
  <si>
    <t>GJ36W1760</t>
  </si>
  <si>
    <t>6302686942 00 00</t>
  </si>
  <si>
    <t>Mr KHADOLA DALPAT JETHABHAI</t>
  </si>
  <si>
    <t>GJ36T9381</t>
  </si>
  <si>
    <t>213003/31/25/019381</t>
  </si>
  <si>
    <t>MARUTI SUZUKI - SUPER CARRY STD</t>
  </si>
  <si>
    <t>MRS. SAVITABEN RAMESHBHAI CHAVDA</t>
  </si>
  <si>
    <t>GJ36V1353</t>
  </si>
  <si>
    <t>213003/31/25/019382</t>
  </si>
  <si>
    <t>MARUTI SUZUKI - SUPER CARRY STD BS 6</t>
  </si>
  <si>
    <t>MR. ELIYASH GAFARBHAI HERANJA</t>
  </si>
  <si>
    <t xml:space="preserve"> 88668 00092</t>
  </si>
  <si>
    <t>GJ36V5546</t>
  </si>
  <si>
    <t>3379/04259169/000/00</t>
  </si>
  <si>
    <t>DEVRAJ BATUKBHAI PARMAR</t>
  </si>
  <si>
    <t>3379/04259163/000/00</t>
  </si>
  <si>
    <t>GJ36U9316</t>
  </si>
  <si>
    <t>213003/31/25/019385</t>
  </si>
  <si>
    <t>BAJAJ AUTO - MAXIMA Z</t>
  </si>
  <si>
    <t>MR. RAFIKBHAI SOHARVADI</t>
  </si>
  <si>
    <t>GJ04AT3779</t>
  </si>
  <si>
    <t>781122523340000908</t>
  </si>
  <si>
    <t>TATA ACE &amp; ZIP BSIV</t>
  </si>
  <si>
    <t>CHAUHAN DASHRATHBHAI RAMESHBHAI</t>
  </si>
  <si>
    <t>GJ36U9954</t>
  </si>
  <si>
    <t>ATUL SHAKTI CARGO</t>
  </si>
  <si>
    <t>UMRETIYA JAHIR</t>
  </si>
  <si>
    <t>GJ36T7535</t>
  </si>
  <si>
    <t>TATA 407</t>
  </si>
  <si>
    <t>SABALIYA PRAVIN</t>
  </si>
  <si>
    <t>GJ10TV8864</t>
  </si>
  <si>
    <t>AL 3118</t>
  </si>
  <si>
    <t>RAMKUMAR</t>
  </si>
  <si>
    <t>GJ03BT1015</t>
  </si>
  <si>
    <t>KATHRANI</t>
  </si>
  <si>
    <t>ABDUL</t>
  </si>
  <si>
    <t>BADA DOST</t>
  </si>
  <si>
    <t>RANCHHOD</t>
  </si>
  <si>
    <t>GJ03AT3314</t>
  </si>
  <si>
    <t>PRABHU LAL</t>
  </si>
  <si>
    <t>GJ36T5835</t>
  </si>
  <si>
    <t>EICHER PRO 1110</t>
  </si>
  <si>
    <t>CHATURBHAI</t>
  </si>
  <si>
    <t>6302680962 00 00</t>
  </si>
  <si>
    <t>MAHINDRA/BOLERO C AMPER/2WD/OPEN/PIC K UP VAN</t>
  </si>
  <si>
    <t>GJ36T0727</t>
  </si>
  <si>
    <t>213003/31/25/019512</t>
  </si>
  <si>
    <t>MAHINDRA AND MAHINDRA - BOLERO MAXI TRUCK PLUS 1.2T BS 6 PS</t>
  </si>
  <si>
    <t>MR. MANOJBHAI BAVARVA</t>
  </si>
  <si>
    <t>GJ03BW9247</t>
  </si>
  <si>
    <t>POCMVGC0100177671</t>
  </si>
  <si>
    <t>AGHAM TAHIRBHAI ARABBHAI</t>
  </si>
  <si>
    <t>15/02/2026</t>
  </si>
  <si>
    <t>GJ36V3834</t>
  </si>
  <si>
    <t>213003/31/25/019536</t>
  </si>
  <si>
    <t>MR. HANIF KAIDA</t>
  </si>
  <si>
    <t>GJ36T9088</t>
  </si>
  <si>
    <t>213003/31/25/019537</t>
  </si>
  <si>
    <t>MR. ABDUL GAFAR ALAVDI BADI</t>
  </si>
  <si>
    <t>GJ36U6165</t>
  </si>
  <si>
    <t>POCMVGC0100178235</t>
  </si>
  <si>
    <t>KANZARIYA NANDLAL TRIBHOVANBHAI</t>
  </si>
  <si>
    <t>POCMVGC0100178237</t>
  </si>
  <si>
    <t>DANGAR SHAILESHBHAI RANABHAI</t>
  </si>
  <si>
    <t>GJ36T5976</t>
  </si>
  <si>
    <t>6302697200 00 00</t>
  </si>
  <si>
    <t>Mr DHANDHANIYA MANSUKHBHAI JETHABHAI</t>
  </si>
  <si>
    <t>GJ36W1637</t>
  </si>
  <si>
    <t>6302697215 00 00</t>
  </si>
  <si>
    <t>Mr ALIBHAI DAUDBHAI MALANI</t>
  </si>
  <si>
    <t>GJ36U6590</t>
  </si>
  <si>
    <t>6302697208 00 00</t>
  </si>
  <si>
    <t>Mr RIYAZBHAI SALIMBHAI CHAUHAN</t>
  </si>
  <si>
    <t>GJ36T7946</t>
  </si>
  <si>
    <t>781122523340000948</t>
  </si>
  <si>
    <t>MARUTI SUZUKI SUPER CARRY &amp; CNG BS6</t>
  </si>
  <si>
    <t>BADI ABDULGFAR ALAVDI</t>
  </si>
  <si>
    <t>GJ36T5507</t>
  </si>
  <si>
    <t>3379/04262478/000/00</t>
  </si>
  <si>
    <t>BOLERO - PICKUP FB</t>
  </si>
  <si>
    <t>FRESHMART COLD STORAGE LLP</t>
  </si>
  <si>
    <t>GJ12T8683</t>
  </si>
  <si>
    <t>12-1831-0006523179-00</t>
  </si>
  <si>
    <t>SE 1210</t>
  </si>
  <si>
    <t>Chauhan Farukbhai Karimbhai</t>
  </si>
  <si>
    <t>GJ36T4700</t>
  </si>
  <si>
    <t>213003/31/25/019632</t>
  </si>
  <si>
    <t>TATA MOTORS - LPS 4018 SIGNA TEL 32 WB BS 4</t>
  </si>
  <si>
    <t>MR. ABBASBHAI SAICHA</t>
  </si>
  <si>
    <t>GJ36U7946</t>
  </si>
  <si>
    <t>6302701666 00 00</t>
  </si>
  <si>
    <t>Mr RAMJANBHAI JUNACH</t>
  </si>
  <si>
    <t>213003/31/25/019634</t>
  </si>
  <si>
    <t>TATA MOTORS - LPT 1412 CRX 42 BS 4 HDLB ABS 12.99 T</t>
  </si>
  <si>
    <t>KANJIBHAI AJANA</t>
  </si>
  <si>
    <t>70167 75263</t>
  </si>
  <si>
    <t>GJ36U5735</t>
  </si>
  <si>
    <t>6302701716 00 00</t>
  </si>
  <si>
    <t>Mr AJAY MAGANBHAI KANSAGRA</t>
  </si>
  <si>
    <t>SB</t>
  </si>
  <si>
    <t>213003/31/25/019636</t>
  </si>
  <si>
    <t>EICHER - PRO 1110 H CBC BS 4 24 FT</t>
  </si>
  <si>
    <t>MR. MUNDHAVA MUKESHBHAI KANABHAI</t>
  </si>
  <si>
    <t>GJ03MB5779</t>
  </si>
  <si>
    <t>81/00687210/000/00</t>
  </si>
  <si>
    <t>SONALIKA - DI 47 RX</t>
  </si>
  <si>
    <t>SEVANGIA ASIF ALARKHABHAI</t>
  </si>
  <si>
    <t>3379/04263224/000/00</t>
  </si>
  <si>
    <t>96386 47786</t>
  </si>
  <si>
    <t>GJ10TV9372</t>
  </si>
  <si>
    <t>POCMVGC0100181866</t>
  </si>
  <si>
    <t>LPT 3118</t>
  </si>
  <si>
    <t>RAJA SAMIR ANVARBHAI</t>
  </si>
  <si>
    <t>GJ36V3116</t>
  </si>
  <si>
    <t>213049/31/25/006798</t>
  </si>
  <si>
    <t>TATA MOTORS - INTRA V30 NON-AC BS 6</t>
  </si>
  <si>
    <t>MR. CHATRABHUJ DHANJIBHAI DETROJA</t>
  </si>
  <si>
    <t>90996 67887</t>
  </si>
  <si>
    <t>GJ36T8288</t>
  </si>
  <si>
    <t>213003/31/25/019716</t>
  </si>
  <si>
    <t>ASHOK LEYLAND - DOST PLUS RLS PS BS 4</t>
  </si>
  <si>
    <t>R. GOSAI PRABHATGIRI RAMESHGIRI</t>
  </si>
  <si>
    <t>GJ12AW0766</t>
  </si>
  <si>
    <t>12-1831-0006530912-00</t>
  </si>
  <si>
    <t>LPT 2518/48</t>
  </si>
  <si>
    <t>Theba Khalid Gulmamad</t>
  </si>
  <si>
    <t>GJ36V1285</t>
  </si>
  <si>
    <t>POCMVGC0100183409</t>
  </si>
  <si>
    <t>Intra</t>
  </si>
  <si>
    <t>Mr.RAUMA ABDULBHAI JAMALBHAI</t>
  </si>
  <si>
    <t>GJ36S3062</t>
  </si>
  <si>
    <t>3008/379813376/00/000</t>
  </si>
  <si>
    <t>5310 TRACTOR LOADER</t>
  </si>
  <si>
    <t>PARECHA HITESHBHAI BACHUBHA</t>
  </si>
  <si>
    <t>GJ36T6688</t>
  </si>
  <si>
    <t>213003/31/25/019715</t>
  </si>
  <si>
    <t>MAHINDRA AND MAHINDRA - BOLERO MAXI TRUCK PLUS</t>
  </si>
  <si>
    <t>MR. VIRAMBHAI BHARVAD</t>
  </si>
  <si>
    <t>3379/04264439/000/00</t>
  </si>
  <si>
    <t>PRO 2059XP - F HSD BSVI</t>
  </si>
  <si>
    <t>GJ03AX7371</t>
  </si>
  <si>
    <t>781122523340001019</t>
  </si>
  <si>
    <t>TATA SUPER &amp; ACE BS III 3 STR</t>
  </si>
  <si>
    <t>MR. AAMIRKHAN YUNUSHBHAI PIPARVADIYA</t>
  </si>
  <si>
    <t>GJ36V5204</t>
  </si>
  <si>
    <t>6302711537 00 00</t>
  </si>
  <si>
    <t>MAHINDRA/BOLERO/PI KUP FB CBC PS 1.7T XL/ OPEN/PICK UP VAN</t>
  </si>
  <si>
    <t>Mr MEVADA KANABHAI DUDABHAI</t>
  </si>
  <si>
    <t>GJ12BZ4602</t>
  </si>
  <si>
    <t>3379/04265594/000/00</t>
  </si>
  <si>
    <t>HAJI ABDULABHAI JEDA</t>
  </si>
  <si>
    <t>GJ36V3984</t>
  </si>
  <si>
    <t>79/04265591/000/00 I</t>
  </si>
  <si>
    <t>INTRA V50 - VX BSVI</t>
  </si>
  <si>
    <t>OCEAN PREMIUM PLASTO</t>
  </si>
  <si>
    <t>GJ03AZ1355</t>
  </si>
  <si>
    <t>161522523340003042</t>
  </si>
  <si>
    <t>ASHOK LEYLAND DOST &amp; LS BS IV</t>
  </si>
  <si>
    <t>MR. CHATURBHAI SHANKARBHAI MORI</t>
  </si>
  <si>
    <t>GJ03AT1911</t>
  </si>
  <si>
    <t>P0025200007/4103/10545</t>
  </si>
  <si>
    <t>ASHOK LEYLAND 2214 1S 6X2 GC COWL W/O WS BS2/OPEN</t>
  </si>
  <si>
    <t>Mr CHAWADA EBHALBHAI VASANTBHAI</t>
  </si>
  <si>
    <t>GJ36T8317</t>
  </si>
  <si>
    <t>6302716371 00 00</t>
  </si>
  <si>
    <t>MAHINDRA/BOLERO/M AXI TRUCK PLUS 1.2T B S4/OPEN/PICK UP VAN</t>
  </si>
  <si>
    <t>Mr INDARIYA KISHORBHAI JAGABHAI</t>
  </si>
  <si>
    <t>82/00378694/000/00</t>
  </si>
  <si>
    <t>ACE - 15 XW</t>
  </si>
  <si>
    <t>GJ13AW9125</t>
  </si>
  <si>
    <t>79/04266978/000/00</t>
  </si>
  <si>
    <t>BOLERO - PIK UP PS CNG BSVI</t>
  </si>
  <si>
    <t>ALPESHBHAI NAROTAMBHAI GONDALIYA</t>
  </si>
  <si>
    <t>GJ03BY4095</t>
  </si>
  <si>
    <t>161522523340003161</t>
  </si>
  <si>
    <t>MR. FEJAL RAJAKBHAI PARMAR</t>
  </si>
  <si>
    <t>GJ03W7816</t>
  </si>
  <si>
    <t>D185980822 / 08022025</t>
  </si>
  <si>
    <t>2214/1S / 189 WB HSD CABIN</t>
  </si>
  <si>
    <t>PRUTHVIRAJSINH GUNUBHA ZALA</t>
  </si>
  <si>
    <t>GJ36X8666</t>
  </si>
  <si>
    <t>POCMVGC0100191308</t>
  </si>
  <si>
    <t>LPT 1916</t>
  </si>
  <si>
    <t>FULTARIYA MANOJKUMAR MANSUKHBHAI</t>
  </si>
  <si>
    <t>6351 054 963</t>
  </si>
  <si>
    <t>GJ36V1284</t>
  </si>
  <si>
    <t>HITESH VARMORA</t>
  </si>
  <si>
    <t>GJ36T9106</t>
  </si>
  <si>
    <t>TATA INTRA</t>
  </si>
  <si>
    <t>SHAMJI DHEDHI</t>
  </si>
  <si>
    <t>GJ36T5757</t>
  </si>
  <si>
    <t>PRAVIN VAGHELA</t>
  </si>
  <si>
    <t>161522523340000750</t>
  </si>
  <si>
    <t>TATA ULTRA &amp; 1412</t>
  </si>
  <si>
    <t xml:space="preserve"> HANIFBHAI MAHEMUDBHAI CHAUHAN</t>
  </si>
  <si>
    <t>GJ03AX1817</t>
  </si>
  <si>
    <t>ASHOK LEYLAND DOST &amp; LE</t>
  </si>
  <si>
    <t>PARSHOTAMBHAI KHODABHAI BOGHARA</t>
  </si>
  <si>
    <t>98256 52991</t>
  </si>
  <si>
    <t>GJ05BV7754</t>
  </si>
  <si>
    <t>SATISHKUMAR HIRABHAI BHARVAD</t>
  </si>
  <si>
    <t>97274 50222</t>
  </si>
  <si>
    <t>23/12/2024</t>
  </si>
  <si>
    <t>GJ14Z9147</t>
  </si>
  <si>
    <t>ASHOK LEYLAND TAURUS &amp; 2516 IL BS III</t>
  </si>
  <si>
    <t>MR. PATHAN KARIMKHA ISUBKHA</t>
  </si>
  <si>
    <t xml:space="preserve"> 97263 70321</t>
  </si>
  <si>
    <t>GJ36T5022</t>
  </si>
  <si>
    <t>TATA LPK &amp; 2518 BS IV</t>
  </si>
  <si>
    <t>98250 51721</t>
  </si>
  <si>
    <t>23/12/2025</t>
  </si>
  <si>
    <t>GJ36T5153</t>
  </si>
  <si>
    <t>22/12/2025</t>
  </si>
  <si>
    <t>GJ36T5495</t>
  </si>
  <si>
    <t>GJ23AT7100</t>
  </si>
  <si>
    <t>ASHOK LEYLAND 2516 &amp; S/2T 6X2 GOODS</t>
  </si>
  <si>
    <t>DINESHBHAI BHAGVANBHAI PATEL</t>
  </si>
  <si>
    <t>6352 610 253</t>
  </si>
  <si>
    <t>GJ36T5239</t>
  </si>
  <si>
    <t>TATA LPK &amp; 2518 2STR</t>
  </si>
  <si>
    <t>M/S MESHANIYA CONSTRUCTION COMPANY</t>
  </si>
  <si>
    <t>GJ36T5231</t>
  </si>
  <si>
    <t>GJ10X8819</t>
  </si>
  <si>
    <t>161522523340001116</t>
  </si>
  <si>
    <t>ASHOK LEYLAND 2214 &amp; TUSKER 2STR</t>
  </si>
  <si>
    <t>NILDEEP VIJAYBHAI SONAGRA</t>
  </si>
  <si>
    <t>GJ36T7895</t>
  </si>
  <si>
    <t>161522523340000112</t>
  </si>
  <si>
    <t>TATA LPT &amp; 2818 TC</t>
  </si>
  <si>
    <t>ALARAKHA YAKUB GHANCHI</t>
  </si>
  <si>
    <t xml:space="preserve"> 98791 88523</t>
  </si>
  <si>
    <t>GJ12AU7968</t>
  </si>
  <si>
    <t>ASHOK LEYLAND 2516 &amp; T IL 3 STR</t>
  </si>
  <si>
    <t>AHEMADBHAI ARABBHAI AGHAM</t>
  </si>
  <si>
    <t xml:space="preserve"> 94262 69976</t>
  </si>
  <si>
    <t>GJ10TV0096</t>
  </si>
  <si>
    <t>RAMJI PUNABHAI MUDHAVA</t>
  </si>
  <si>
    <t>97279 21102</t>
  </si>
  <si>
    <t>GJ13AT9818</t>
  </si>
  <si>
    <t>161522523340000061</t>
  </si>
  <si>
    <t>ASHOK LEYLAND 3118 &amp; IL 2STR</t>
  </si>
  <si>
    <t>ADIL GULAMHUSEN SUMARA</t>
  </si>
  <si>
    <t>90338 20592</t>
  </si>
  <si>
    <t>GJ27V6349</t>
  </si>
  <si>
    <t>161522523340000083</t>
  </si>
  <si>
    <t>MAYODINBHAI YUSUFBHAI VADGAMA</t>
  </si>
  <si>
    <t xml:space="preserve"> 99130 49575</t>
  </si>
  <si>
    <t>GJ03BY2405</t>
  </si>
  <si>
    <t>161522523340000352</t>
  </si>
  <si>
    <t>ASHOK LEYLAND 3118 &amp; IL SUPER 3 STR</t>
  </si>
  <si>
    <t>AMUBHAI BABABHAI GUDHDA</t>
  </si>
  <si>
    <t>98792 29176</t>
  </si>
  <si>
    <t>GJ12BZ3124</t>
  </si>
  <si>
    <t>M/S B M ROADLINES PRIVATE LIMITED</t>
  </si>
  <si>
    <t>75671 63875</t>
  </si>
  <si>
    <t>79846 73550</t>
  </si>
  <si>
    <t>GJ36T3500</t>
  </si>
  <si>
    <t>161522523340000324</t>
  </si>
  <si>
    <t>NARVINSINH BHOJUBHA ZALA</t>
  </si>
  <si>
    <t>76988 03404</t>
  </si>
  <si>
    <t>ASHOK LEYLAND 4123 &amp; 10X2 HAULAGE BS IV.</t>
  </si>
  <si>
    <t>MAKSUDBHAI RAHIMBHAI GHONIYA</t>
  </si>
  <si>
    <t>99251 12789</t>
  </si>
  <si>
    <t>GJ36V8520</t>
  </si>
  <si>
    <t>6302726135 00 00</t>
  </si>
  <si>
    <t>MARUTI SUZUKI/SUPER CARRY/STD CNG/CLOSE D/PICK UP VAN</t>
  </si>
  <si>
    <t>Mr DHARODIYA RAHUL SHAILESHBHAI</t>
  </si>
  <si>
    <t xml:space="preserve"> 97265 90740</t>
  </si>
  <si>
    <t>6302726061 00 00</t>
  </si>
  <si>
    <t>BAJAJ AUTO/MAXIMA/C CNG/OPEN/PICK UP VA N</t>
  </si>
  <si>
    <t>Mr SARAIYA RAIYABHAI RANCHODBHAI</t>
  </si>
  <si>
    <t>97246 16270</t>
  </si>
  <si>
    <t>GJ36W0532</t>
  </si>
  <si>
    <t>6302726113 00 00</t>
  </si>
  <si>
    <t>Mr SHAMJIBHAI KANJIBHAI GABU</t>
  </si>
  <si>
    <t>3003/380334434/00/000</t>
  </si>
  <si>
    <t>SFC GOLD 407</t>
  </si>
  <si>
    <t>96380 21095</t>
  </si>
  <si>
    <t>21/02/2026</t>
  </si>
  <si>
    <t>GJ36V3192</t>
  </si>
  <si>
    <t>213003/31/25/020000</t>
  </si>
  <si>
    <t>MAHINDRA AND MAHINDRA - BOLERO MAXITRUCK PLUS PS BS 6</t>
  </si>
  <si>
    <t>MR. UMAR MAHMAD AGHAM</t>
  </si>
  <si>
    <t>POCMVGC0100195119</t>
  </si>
  <si>
    <t>KANJARIYA GANPATBHAI LAXMANBHAI</t>
  </si>
  <si>
    <t>:17/02/2026</t>
  </si>
  <si>
    <t>3379/04270334/000/00</t>
  </si>
  <si>
    <t>97274 77769</t>
  </si>
  <si>
    <t>GJ36U9644</t>
  </si>
  <si>
    <t>6302730776 00 00</t>
  </si>
  <si>
    <t>Mr SARVADI ANVARBHAI SIDIKSHA</t>
  </si>
  <si>
    <t>99746 97289</t>
  </si>
  <si>
    <t>GJ13AX0635</t>
  </si>
  <si>
    <t>12-1831-0006565488-00</t>
  </si>
  <si>
    <t>11.10 XP</t>
  </si>
  <si>
    <t>Kabra Irfan Abdulsatarbhai</t>
  </si>
  <si>
    <t>GJ03BY4511</t>
  </si>
  <si>
    <t>P0025200007/4103/105530</t>
  </si>
  <si>
    <t>ASHOK LEYLAND 2516 IL/OPEN</t>
  </si>
  <si>
    <t>Mr ZALA RAMDEVSINH MEHENDRASINH</t>
  </si>
  <si>
    <t>3003/380496332/00/B00</t>
  </si>
  <si>
    <t>LPT 407 EX</t>
  </si>
  <si>
    <t>96872 77305</t>
  </si>
  <si>
    <t>3379/04270578/000/00</t>
  </si>
  <si>
    <t>GJ13AW1898</t>
  </si>
  <si>
    <t>3379/04271791/000/00</t>
  </si>
  <si>
    <t>SHAILESH KARSHANBHAI GAMARA</t>
  </si>
  <si>
    <t>13/02/2025</t>
  </si>
  <si>
    <t>POCMVGC0100200445</t>
  </si>
  <si>
    <t>PARMAR MAHESH GANESHBHAI</t>
  </si>
  <si>
    <t>GJ14Z4215</t>
  </si>
  <si>
    <t>POCMVGC0100199314</t>
  </si>
  <si>
    <t>GHANCHI ADAMBHAI RAZAKBHA</t>
  </si>
  <si>
    <t>70699 26111</t>
  </si>
  <si>
    <t>14/02/2025</t>
  </si>
  <si>
    <t>POCMVGC0100203526</t>
  </si>
  <si>
    <t>SAMA INSURANCE BROKERS PVT LTD</t>
  </si>
  <si>
    <t>GJ36W2356</t>
  </si>
  <si>
    <t>POCMVGC0100203534</t>
  </si>
  <si>
    <t>Mr.KOLI MANSUKHBHAI AVCHARBHAI</t>
  </si>
  <si>
    <t>99132 16942</t>
  </si>
  <si>
    <t>GJ36T0704</t>
  </si>
  <si>
    <t>161522523340003365</t>
  </si>
  <si>
    <t>MAHINDRA JEETO &amp; L6 - 11</t>
  </si>
  <si>
    <t>MR. JITENDRA VASANTBHAI POPAT</t>
  </si>
  <si>
    <t>14/02/2026</t>
  </si>
  <si>
    <t>GJ36T7716</t>
  </si>
  <si>
    <t>POCMVGC0100204129</t>
  </si>
  <si>
    <t>DANGAR HITESHBHAI ARJANBHAI</t>
  </si>
  <si>
    <t>GJ06AV5428</t>
  </si>
  <si>
    <t>POCMVGC0100205464</t>
  </si>
  <si>
    <t>RAMKUMAR JAYANTIBHAI MALAN</t>
  </si>
  <si>
    <t>16/02/2026</t>
  </si>
  <si>
    <t>15/02/2025</t>
  </si>
  <si>
    <t>POCMVGC0100206228</t>
  </si>
  <si>
    <t xml:space="preserve"> 95120 54064</t>
  </si>
  <si>
    <t>GJ36T0549</t>
  </si>
  <si>
    <t>213003/31/25/020333</t>
  </si>
  <si>
    <t>MAHINDRA AND MAHINDRA - BOLERO PICK UP FB BS 3</t>
  </si>
  <si>
    <t>MR. MOTIBHAI DABHI</t>
  </si>
  <si>
    <t>99742 35202</t>
  </si>
  <si>
    <t>GJ36V3041</t>
  </si>
  <si>
    <t>213003/31/25/020332</t>
  </si>
  <si>
    <t>MR. BHATTI ANVAR JUSABBHAI</t>
  </si>
  <si>
    <t>GJ36V5801</t>
  </si>
  <si>
    <t>P0025200007/4103/105628</t>
  </si>
  <si>
    <t>Mr BORICHA JAYDIP CHANDUBHAI</t>
  </si>
  <si>
    <t xml:space="preserve"> 96247 90318</t>
  </si>
  <si>
    <t>3379/04274504/000/00</t>
  </si>
  <si>
    <t>VAGHARI VIKRAMBHAI NIMABHAI</t>
  </si>
  <si>
    <t>97259 85303</t>
  </si>
  <si>
    <t>GJ36T5425</t>
  </si>
  <si>
    <t>161122523340002162</t>
  </si>
  <si>
    <t>GJ03AT4938</t>
  </si>
  <si>
    <t>P0025100004/4103/106589</t>
  </si>
  <si>
    <t>ASHOK LEYLAND 3116 TUSKER SUPER IL./TRUCK</t>
  </si>
  <si>
    <t>Mr MULATANI AYUBBHAI ABADULBHAI</t>
  </si>
  <si>
    <t>POCMVGC0100208881</t>
  </si>
  <si>
    <t>SANJAYBHAI DADUBHAI SURELA</t>
  </si>
  <si>
    <t>GJ36T7901</t>
  </si>
  <si>
    <t>POCMVGC0100208893</t>
  </si>
  <si>
    <t>TATA Ace</t>
  </si>
  <si>
    <t>JAM AKBARALI ALIMAHMAD</t>
  </si>
  <si>
    <t>POCMVGC0100208888</t>
  </si>
  <si>
    <t>SURELA SUNIL DHANJIBHAI</t>
  </si>
  <si>
    <t>GJ36W9094</t>
  </si>
  <si>
    <t>POCMVGC0100208860</t>
  </si>
  <si>
    <t>KAROTARA NITIN JIVANBHAI</t>
  </si>
  <si>
    <t xml:space="preserve"> 99796 19331</t>
  </si>
  <si>
    <t>17/02/2025</t>
  </si>
  <si>
    <t>GJ36W8481</t>
  </si>
  <si>
    <t>POCMVGC0100212547</t>
  </si>
  <si>
    <t>MAYURBHAI KARUBHAI DABHI</t>
  </si>
  <si>
    <t>92654 29864</t>
  </si>
  <si>
    <t>GJ36U7350</t>
  </si>
  <si>
    <t>POCMVGC0100212540</t>
  </si>
  <si>
    <t>KHAMBHALA RANABHAI RATABHAI</t>
  </si>
  <si>
    <t>GJ03AZ5149</t>
  </si>
  <si>
    <t>POCMVGC0100212527</t>
  </si>
  <si>
    <t>KUNDHIYA BHARATBHAI</t>
  </si>
  <si>
    <t>79848 74405</t>
  </si>
  <si>
    <t>18/02/2025</t>
  </si>
  <si>
    <t>3379/04277236/000/00</t>
  </si>
  <si>
    <t>GJ03AX6555</t>
  </si>
  <si>
    <t>12-1831-0006608065-00</t>
  </si>
  <si>
    <t>3116 IL</t>
  </si>
  <si>
    <t>Indariya Shamjibhai Jethabhai</t>
  </si>
  <si>
    <t>96647 89954</t>
  </si>
  <si>
    <t>17-02-2026</t>
  </si>
  <si>
    <t>3003/381303637/00/B00</t>
  </si>
  <si>
    <t>GJ36V3853</t>
  </si>
  <si>
    <t>161522523340003571</t>
  </si>
  <si>
    <t>M/S BALAJI POLYMERS</t>
  </si>
  <si>
    <t>GJ36T7132</t>
  </si>
  <si>
    <t>12-1831-0006610640-00</t>
  </si>
  <si>
    <t>Jaikishan Thakararam</t>
  </si>
  <si>
    <t>18-02-2026</t>
  </si>
  <si>
    <t>19/02/2025</t>
  </si>
  <si>
    <t>GJ03BT7443</t>
  </si>
  <si>
    <t>P0025100004/4103/106648</t>
  </si>
  <si>
    <t>Mr GOGA JAYESHBHAI MANUBHA</t>
  </si>
  <si>
    <t>GJ10TX1855</t>
  </si>
  <si>
    <t>161522523340003584</t>
  </si>
  <si>
    <t>MARUTI SUZUKI SUPER CARRY &amp; STD.</t>
  </si>
  <si>
    <t>MR. HIRALAL PRAVINBHAI PARMAR</t>
  </si>
  <si>
    <t>GJ36T3630</t>
  </si>
  <si>
    <t>161522523340003601</t>
  </si>
  <si>
    <t>MAHINDRA JEETO &amp; S6 - 11</t>
  </si>
  <si>
    <t>MR. GOGRA KANJI PITHABHAI</t>
  </si>
  <si>
    <t>GJ03AX8376</t>
  </si>
  <si>
    <t>6302764529 00 00</t>
  </si>
  <si>
    <t>MAHINDRA/GENIO/DC VX/OPEN/PICK UP VAN</t>
  </si>
  <si>
    <t>Mr VAISHNANI RONAK JADAVJIBHAI</t>
  </si>
  <si>
    <t>GJ36W5786</t>
  </si>
  <si>
    <t>POCMVGC0100218380</t>
  </si>
  <si>
    <t>Mr.CHANIYA MAHEBUB AMAD</t>
  </si>
  <si>
    <t>GJ36V5001</t>
  </si>
  <si>
    <t>P0025200007/4103/105606</t>
  </si>
  <si>
    <t>MIMANSHI CONSTRUCTION</t>
  </si>
  <si>
    <t xml:space="preserve">MAGMA </t>
  </si>
  <si>
    <t>GJ36V5002</t>
  </si>
  <si>
    <t>P0025200007/4103/105605</t>
  </si>
  <si>
    <t>GJ03AT3729</t>
  </si>
  <si>
    <t>P0025100004/4103/106575</t>
  </si>
  <si>
    <t>ASHOK LEYLAND / 2516 IL</t>
  </si>
  <si>
    <t xml:space="preserve"> HITENDRASINH CHANDRASINH JADEJA</t>
  </si>
  <si>
    <t>3001/381014387/00/000</t>
  </si>
  <si>
    <t>X7 XDRIVE30D DPE SIGNATURE 6 STR</t>
  </si>
  <si>
    <t>21/02/2025</t>
  </si>
  <si>
    <t>GJ36V1298</t>
  </si>
  <si>
    <t>6302769210 00 00</t>
  </si>
  <si>
    <t>Mr SONRAT NILESHBHAI SHAMJIBHAI</t>
  </si>
  <si>
    <t>GJ36V3186</t>
  </si>
  <si>
    <t>POCMVGC0100221298</t>
  </si>
  <si>
    <t>VIJAYKUMAR SELABHAI ADAGARA</t>
  </si>
  <si>
    <t>GJ36T0585</t>
  </si>
  <si>
    <t>POCMVGC0100222171</t>
  </si>
  <si>
    <t>Bolero</t>
  </si>
  <si>
    <t>GAMARA CHETAN KARANBHA</t>
  </si>
  <si>
    <t>GJ36V6165</t>
  </si>
  <si>
    <t>3379/04282267/000/00</t>
  </si>
  <si>
    <t>ABDULBHAI JIVABHAI JEFARANI</t>
  </si>
  <si>
    <t xml:space="preserve"> 97253 31367</t>
  </si>
  <si>
    <t>22/02/2025</t>
  </si>
  <si>
    <t>GJ36T5888</t>
  </si>
  <si>
    <t>POCMVGC0100223993</t>
  </si>
  <si>
    <t>PARMAR DHIRUBHA MANUBHA</t>
  </si>
  <si>
    <t>12-1831-0006619339-00</t>
  </si>
  <si>
    <t>LPT 1109 EX2</t>
  </si>
  <si>
    <t>Bambhava Arjan Vasabhai</t>
  </si>
  <si>
    <t>GJ03DD7086</t>
  </si>
  <si>
    <t>VOC0657459000100</t>
  </si>
  <si>
    <t>275 DI Bhoomi Putra</t>
  </si>
  <si>
    <t>Mr.KANDIYA KAUSHIK KANTILAL</t>
  </si>
  <si>
    <t>23/02/2026</t>
  </si>
  <si>
    <t>Royal Sundaram</t>
  </si>
  <si>
    <t>3379/04283019/000/00</t>
  </si>
  <si>
    <t>GJ36T3592</t>
  </si>
  <si>
    <t>POCMVGC0100224378</t>
  </si>
  <si>
    <t>BHIMANI VASHRAMBHAI SHAMBHUBHAI</t>
  </si>
  <si>
    <t>3379/04283216/000/00</t>
  </si>
  <si>
    <t>95102 01239</t>
  </si>
  <si>
    <t>24/02/2025</t>
  </si>
  <si>
    <t>GJ01DT1312</t>
  </si>
  <si>
    <t>POCMVGC0100224880</t>
  </si>
  <si>
    <t>Tata Motors,LPT 1109-H EX2 - 12990</t>
  </si>
  <si>
    <t>BUKHARI KASAMMIYASULTANMIYA</t>
  </si>
  <si>
    <t>98794 17095</t>
  </si>
  <si>
    <t>GJ03Z6960</t>
  </si>
  <si>
    <t>12-1831-0006644577-00</t>
  </si>
  <si>
    <t>Loladiya Rafikbhai Mahmadbhai</t>
  </si>
  <si>
    <t>97235 13272</t>
  </si>
  <si>
    <t xml:space="preserve"> 99090 60787</t>
  </si>
  <si>
    <t>23-02-2026</t>
  </si>
  <si>
    <t>GJ36V6271</t>
  </si>
  <si>
    <t>6302784073 00 00</t>
  </si>
  <si>
    <t>Mr KOLI CHANDUBHAI MOHANBHAI</t>
  </si>
  <si>
    <t>25/02/2025</t>
  </si>
  <si>
    <t>GJ36V6451</t>
  </si>
  <si>
    <t>POCMVGC0100231104</t>
  </si>
  <si>
    <t>.A ONE ENGINEERING</t>
  </si>
  <si>
    <t>26/02/2025</t>
  </si>
  <si>
    <t>GJ36X7473</t>
  </si>
  <si>
    <t>P0025200007/4103/105925</t>
  </si>
  <si>
    <t>ASHOK LEYLAND 3718 S/TRUC</t>
  </si>
  <si>
    <t>Mr PATHAN SARFRAJKHAN YUNUSHKHAN</t>
  </si>
  <si>
    <t>GJ36V1332</t>
  </si>
  <si>
    <t>POCMVGC0100226285</t>
  </si>
  <si>
    <t>GAMARA BHARAT SAGRAMBHAI</t>
  </si>
  <si>
    <t>GJ03AT0082</t>
  </si>
  <si>
    <t>12-1831-0006655130-00</t>
  </si>
  <si>
    <t>LPT 909 EX</t>
  </si>
  <si>
    <t>Chandaniya Jayesh Morarjibhai</t>
  </si>
  <si>
    <t>25-02-2026</t>
  </si>
  <si>
    <t>GJ01KT0305</t>
  </si>
  <si>
    <t>12-1831-0006655139-00</t>
  </si>
  <si>
    <t>1616 IL</t>
  </si>
  <si>
    <t>Jogadiya Shankarbhai Mansukhbhai</t>
  </si>
  <si>
    <t>GJ36T0849</t>
  </si>
  <si>
    <t>POCMVGC0100232643</t>
  </si>
  <si>
    <t>Mr.DABHI RAMESHBHAI CHHAGANBHAI</t>
  </si>
  <si>
    <t>12-1831-0006658657-00</t>
  </si>
  <si>
    <t>Irfan Isabhai Theba</t>
  </si>
  <si>
    <t>GJ03BW2789</t>
  </si>
  <si>
    <t>BADI YAKUB</t>
  </si>
  <si>
    <t>RN IS</t>
  </si>
  <si>
    <t>GJ36V2542</t>
  </si>
  <si>
    <t>SARVADI SALIMSHA</t>
  </si>
  <si>
    <t>GJ36U7577</t>
  </si>
  <si>
    <t>MAHINDRA ALFA</t>
  </si>
  <si>
    <t>SURESH ODIYA</t>
  </si>
  <si>
    <t>MAXIMA CARGO</t>
  </si>
  <si>
    <t>RAVJI SOLANKI</t>
  </si>
  <si>
    <t>GJ36T9664</t>
  </si>
  <si>
    <t>TATA LPT 1212</t>
  </si>
  <si>
    <t>LAMBARIYA RAMJI</t>
  </si>
  <si>
    <t>29/01/26</t>
  </si>
  <si>
    <t>99798 61378</t>
  </si>
  <si>
    <t>3379/04289314/000/00</t>
  </si>
  <si>
    <t>MAHMADBHAI ABHRAMBHAI</t>
  </si>
  <si>
    <t>3379/04289315/000/00</t>
  </si>
  <si>
    <t>GJ36T9282</t>
  </si>
  <si>
    <t>POCMVGC0100237190</t>
  </si>
  <si>
    <t>LPT 1412</t>
  </si>
  <si>
    <t>MULTANI YASINBHAI MAHEBUBBHAI</t>
  </si>
  <si>
    <t>GJ03BZ9651</t>
  </si>
  <si>
    <t>VGC1313122000100</t>
  </si>
  <si>
    <t>PRO 2118 L HSD 22FT BSVI NGB 7S 190L</t>
  </si>
  <si>
    <t>Mr.GOVANI JIGNESH</t>
  </si>
  <si>
    <t>96626 98889</t>
  </si>
  <si>
    <t>1,80,00</t>
  </si>
  <si>
    <t>ROYAL SUNDARAM</t>
  </si>
  <si>
    <t>GJ03BZ6951</t>
  </si>
  <si>
    <t>VGC1313127000100</t>
  </si>
  <si>
    <t>GJ36V3498</t>
  </si>
  <si>
    <t>213003/31/25/021308</t>
  </si>
  <si>
    <t>EICHER - PRO 2114 XP H HSD 20FT. BS 6</t>
  </si>
  <si>
    <t>MR. SANTOLA KHODABHAI MAHADEVBHAI</t>
  </si>
  <si>
    <t>GJ36T8072</t>
  </si>
  <si>
    <t>POCMVGC0100237195</t>
  </si>
  <si>
    <t>BATALA SAHDEV BHIKHABHAI</t>
  </si>
  <si>
    <t>GJ05BX6733</t>
  </si>
  <si>
    <t>161522523340004138</t>
  </si>
  <si>
    <t>MRS. HETAI CHINTAN PATEL</t>
  </si>
  <si>
    <t>GJ10TY6587</t>
  </si>
  <si>
    <t>POCMVGC0100239005</t>
  </si>
  <si>
    <t>PATEL JIGAR KUMAR</t>
  </si>
  <si>
    <t>GJ27TD2373</t>
  </si>
  <si>
    <t>POCMVGC0100239809</t>
  </si>
  <si>
    <t>MALABHAI SAGRAMBHAI GAMARA</t>
  </si>
  <si>
    <t>GJ36V1551</t>
  </si>
  <si>
    <t>6302808394 00 00</t>
  </si>
  <si>
    <t>Mr DABHI NILESHBHAI VASHRAMBHAI</t>
  </si>
  <si>
    <t>88667 51051</t>
  </si>
  <si>
    <t>GJ36V3661</t>
  </si>
  <si>
    <t>P0025100019/4103/101923</t>
  </si>
  <si>
    <t>ASHOK LEYLAND 3520 GG 63 HCO/TRUCK</t>
  </si>
  <si>
    <t>YASIN ALLOYS LLP</t>
  </si>
  <si>
    <t>GJ36V3590</t>
  </si>
  <si>
    <t>6302808421 00 00</t>
  </si>
  <si>
    <t>TATA MOTORS/INTRA/V 10/CLOSED/TRUCK</t>
  </si>
  <si>
    <t>UMA BEVERAGES</t>
  </si>
  <si>
    <t>99090 25925</t>
  </si>
  <si>
    <t>GJ36T1663</t>
  </si>
  <si>
    <t>6302808127 00 00</t>
  </si>
  <si>
    <t>Mr KALAVADIA JAYESH SUNDARJI</t>
  </si>
  <si>
    <t>98986 24186</t>
  </si>
  <si>
    <t>GJ36V5444</t>
  </si>
  <si>
    <t>POCMVGC0100242553</t>
  </si>
  <si>
    <t>.A 1 CEMENT PIPE</t>
  </si>
  <si>
    <t>GJ36S9500</t>
  </si>
  <si>
    <t>6302815665 00 00</t>
  </si>
  <si>
    <t>ACE/14XW/CRANE/OPE N/CONSTRUCTION EQUI PMENTS</t>
  </si>
  <si>
    <t>Mr SUMARA HUSENBHAI MALABHAI</t>
  </si>
  <si>
    <t xml:space="preserve">TATA </t>
  </si>
  <si>
    <t>P0025100006/4103/108143</t>
  </si>
  <si>
    <t>ASHOK LEYLAND 3118 TRUCK/TRUCK</t>
  </si>
  <si>
    <t>Mr AMUBHAI BABABHAI GUDHADA</t>
  </si>
  <si>
    <t>GJ36X6774</t>
  </si>
  <si>
    <t>3379/04294902/000/00</t>
  </si>
  <si>
    <t>RAMSHIBHAI GELABHAI NANGA</t>
  </si>
  <si>
    <t>GJ03AX5011</t>
  </si>
  <si>
    <t>P0025100019/4103/101955</t>
  </si>
  <si>
    <t>ASHOK LEYLAND 3116 IL 8X2 BSIII/OPEN</t>
  </si>
  <si>
    <t>Mr IMTIYAZ VAKALIA</t>
  </si>
  <si>
    <t>GJ36W4510</t>
  </si>
  <si>
    <t>6302819465 00 00</t>
  </si>
  <si>
    <t>Mr VANOL PARESHBHAI BAVJIBHAI</t>
  </si>
  <si>
    <t>90997 72417</t>
  </si>
  <si>
    <t>GJ14X9552</t>
  </si>
  <si>
    <t>POCMVGC0100248007</t>
  </si>
  <si>
    <t>KISHAN MERUBHAI AJANA</t>
  </si>
  <si>
    <t>GJ36S3332</t>
  </si>
  <si>
    <t>3382/00380933/000/00</t>
  </si>
  <si>
    <t>14 XW</t>
  </si>
  <si>
    <t>JAY DWARKADHISH EARTHMOVERS</t>
  </si>
  <si>
    <t>GJ36S3725</t>
  </si>
  <si>
    <t>3008/A/383862873/00/B00</t>
  </si>
  <si>
    <t>CLG 838H</t>
  </si>
  <si>
    <t>GJ36W9925</t>
  </si>
  <si>
    <t>6302819361 00 00</t>
  </si>
  <si>
    <t>Mr PARSADIA SURESHBHA PETHABHA</t>
  </si>
  <si>
    <t>GJ36T8409</t>
  </si>
  <si>
    <t>6302819146 00 00</t>
  </si>
  <si>
    <t>ISUZU/D MAX/HI RIDE F LAT DECK/OPEN/PICK U P VAN</t>
  </si>
  <si>
    <t>Mr NAVNITBHAI BHANJIBHAI CHAROLA</t>
  </si>
  <si>
    <t>GJ36V5157</t>
  </si>
  <si>
    <t>POCMVGC0100248044</t>
  </si>
  <si>
    <t>Mr.SIHORA DEHAR PATHUBHA</t>
  </si>
  <si>
    <t>GJ36T6282</t>
  </si>
  <si>
    <t>6302823921 00 00</t>
  </si>
  <si>
    <t>MAHINDRA/BOLERO/M AXI TRUCK PLUS 1.2T P S BS4/OPEN/PICK UP V AN</t>
  </si>
  <si>
    <t>Mr AJANA KISHAN MERUBHAI</t>
  </si>
  <si>
    <t>GJ03BW5697</t>
  </si>
  <si>
    <t>3003/383940394/00/000</t>
  </si>
  <si>
    <t>SARTAJ 5252 GS</t>
  </si>
  <si>
    <t>YASH KIRANBHAI VED</t>
  </si>
  <si>
    <t>GJ36T5057</t>
  </si>
  <si>
    <t>POCMVGC0100250563</t>
  </si>
  <si>
    <t>GJ36V6090</t>
  </si>
  <si>
    <t>POCMVGC0100250568</t>
  </si>
  <si>
    <t>DCR48HSD 155B6M5</t>
  </si>
  <si>
    <t>Mr.RATADIYA NAVGHAN DEVABHAI</t>
  </si>
  <si>
    <t>GJ36T9878</t>
  </si>
  <si>
    <t>6302823927 00 00</t>
  </si>
  <si>
    <t>Mr CHANIYA SALIM HUSENABHAI</t>
  </si>
  <si>
    <t>GJ11Z9804</t>
  </si>
  <si>
    <t>6302826276 00 00</t>
  </si>
  <si>
    <t>ASHOK LEYLAND/3116/ T/OPEN/TIPPER</t>
  </si>
  <si>
    <t>Mr JADEJA GULABSINH PARAKRAMSINH</t>
  </si>
  <si>
    <t>0604003124P119565320</t>
  </si>
  <si>
    <t>Tata Motors / SFC 407 EX CAB 6 TYRE BS III null</t>
  </si>
  <si>
    <t>GJ03BY7608</t>
  </si>
  <si>
    <t>161522523340004451</t>
  </si>
  <si>
    <t>TATA LPT &amp; 1512 DCR 42 HSD 125 B6 M5</t>
  </si>
  <si>
    <t>MR. SORANI LADHABHAI NATHABHAI</t>
  </si>
  <si>
    <t>GJ13AW8197</t>
  </si>
  <si>
    <t>3379/04297164/000/00</t>
  </si>
  <si>
    <t>BOLERO - PICKUP CNG BS IV</t>
  </si>
  <si>
    <t>VISHNUBHAI GOVINDBHAI AAL</t>
  </si>
  <si>
    <t>6351 624 203</t>
  </si>
  <si>
    <t>GJ02Y3511</t>
  </si>
  <si>
    <t>TAXI</t>
  </si>
  <si>
    <t>FORCE TOOFAN</t>
  </si>
  <si>
    <t>ASGAR</t>
  </si>
  <si>
    <t>IFFCO</t>
  </si>
  <si>
    <t>GJ09Y5929</t>
  </si>
  <si>
    <t>TATA 709</t>
  </si>
  <si>
    <t>GULMAMAD</t>
  </si>
  <si>
    <t>GJ11TT8500</t>
  </si>
  <si>
    <t>LAKHAMAMD</t>
  </si>
  <si>
    <t>GJ36W1698</t>
  </si>
  <si>
    <t>GJ36V9350</t>
  </si>
  <si>
    <t>FARUKBHAI KAIDA</t>
  </si>
  <si>
    <t>GJ36V1468</t>
  </si>
  <si>
    <t>POCMVGC0100230155</t>
  </si>
  <si>
    <t>VADHUKIYA SANJAY DILIPBHAI</t>
  </si>
  <si>
    <t>GJ03AT1774</t>
  </si>
  <si>
    <t>P0025200007/4103/105842</t>
  </si>
  <si>
    <t>ASHOK LEYLAND 2214 2214/TRUCK</t>
  </si>
  <si>
    <t>Mr KERASIYA MANSUKH GOPALBHAI</t>
  </si>
  <si>
    <t xml:space="preserve">24/02/2026
</t>
  </si>
  <si>
    <t>GJ36T7090</t>
  </si>
  <si>
    <t>POCMVGC0100221321</t>
  </si>
  <si>
    <t>ARJANBHAI BAMBHAVA</t>
  </si>
  <si>
    <t>GJ03BT2937</t>
  </si>
  <si>
    <t>P0025100006/4103/107693</t>
  </si>
  <si>
    <t>ASHOK LEYLAND 2516 STANDARD/OPEN</t>
  </si>
  <si>
    <t>Mr HITENDRASINH CHANDRASINH JADEJA</t>
  </si>
  <si>
    <t>GJ36V6205</t>
  </si>
  <si>
    <t>3379/04299075/000/00</t>
  </si>
  <si>
    <t>SHABBIRBHAI RAHIMBHAI GHANCHI</t>
  </si>
  <si>
    <t>97125 44181</t>
  </si>
  <si>
    <t>GJ03AX9279</t>
  </si>
  <si>
    <t>P0025200007/4103/106306</t>
  </si>
  <si>
    <t>TATA LPK 3118 3118 TIPPER/TIPPER</t>
  </si>
  <si>
    <t>Mr DIPAKBHAI HIRJIBHAI METHANIYA</t>
  </si>
  <si>
    <t>GJ12AZ6201</t>
  </si>
  <si>
    <t>P0025200007/4103/106309</t>
  </si>
  <si>
    <t>Mr PATHAN ASIF KARIMKHA</t>
  </si>
  <si>
    <t>GJ36T9616</t>
  </si>
  <si>
    <t>213003/31/25/021941</t>
  </si>
  <si>
    <t>MAHINDRA AND MAHINDRA - BOLERO MAXI TRUCK PLUS MS 1.2T BS6</t>
  </si>
  <si>
    <t>MR. KANZARIYA RANCHHOD PRABHUBHAI</t>
  </si>
  <si>
    <t>GJ03BT1811</t>
  </si>
  <si>
    <t>161522523340004526</t>
  </si>
  <si>
    <t>MR. IKBALBHAI UMARBHAI JEDA</t>
  </si>
  <si>
    <t xml:space="preserve"> 884 972 3648</t>
  </si>
  <si>
    <t>GJ36V3753</t>
  </si>
  <si>
    <t>P0025100019/4103/102038</t>
  </si>
  <si>
    <t>TATA SIGNA 3525 TK 8X4EBSVI RS23BX/TIPPER</t>
  </si>
  <si>
    <t>Mr VALABHAI NAGAJIBHAI BHARVAD</t>
  </si>
  <si>
    <t>92650 01739</t>
  </si>
  <si>
    <t>GJ36V4447</t>
  </si>
  <si>
    <t>POCMVGC0100258127</t>
  </si>
  <si>
    <t>IRFANBHAI ISHABHAI THEBA</t>
  </si>
  <si>
    <t>GJ13AX8226</t>
  </si>
  <si>
    <t>POCMVGC0100257549</t>
  </si>
  <si>
    <t>1815 LPT</t>
  </si>
  <si>
    <t>Mr.RATDIYA NILESH JAGJIVANBHAI</t>
  </si>
  <si>
    <t>GJ36T4818</t>
  </si>
  <si>
    <t>POCMVGC0100260788</t>
  </si>
  <si>
    <t>GJ39T7129</t>
  </si>
  <si>
    <t>6302843370 00 00</t>
  </si>
  <si>
    <t>MAHINDRA/BOLERO/PI CK UP CBC 1.5T PS/OPE N/PICK UP VAN</t>
  </si>
  <si>
    <t>Mr MIR UMABHAI UKABHAI</t>
  </si>
  <si>
    <t xml:space="preserve"> 90994 96742</t>
  </si>
  <si>
    <t>GJ36X7417</t>
  </si>
  <si>
    <t>P0025100006/4103/10850</t>
  </si>
  <si>
    <t>TATA SIGNA 3530 TK BS-VI/TIPPER</t>
  </si>
  <si>
    <t>Mr AKBARBHAI ABDULBHAI RAJA</t>
  </si>
  <si>
    <t xml:space="preserve"> 99092 16774</t>
  </si>
  <si>
    <t>GJ36V9835</t>
  </si>
  <si>
    <t>161522523340004674</t>
  </si>
  <si>
    <t>MR. PIRJADA AJARUDIN SAMSUDIN</t>
  </si>
  <si>
    <t>GJ36T7515</t>
  </si>
  <si>
    <t>161522523340004669</t>
  </si>
  <si>
    <t>MAHINDRA JEETO &amp; X7-11 2STR</t>
  </si>
  <si>
    <t>MR. SHERASIYA HAJI NURMAMAD</t>
  </si>
  <si>
    <t>3008/384592185/00/000</t>
  </si>
  <si>
    <t>JCB INDIA LIMITED</t>
  </si>
  <si>
    <t>98795 94866</t>
  </si>
  <si>
    <t>GJ36V3852</t>
  </si>
  <si>
    <t>3379/04302609/000/00</t>
  </si>
  <si>
    <t>RAVIBHAI BHIKHUBHAI KHACHAR</t>
  </si>
  <si>
    <t xml:space="preserve"> 95126 20032</t>
  </si>
  <si>
    <t>GJ36V4598</t>
  </si>
  <si>
    <t>3379/04303141/000/00</t>
  </si>
  <si>
    <t>MEPABHAI DAYABHAI PADSARIYA</t>
  </si>
  <si>
    <t>GJ36U0002</t>
  </si>
  <si>
    <t>6302848490 00 00</t>
  </si>
  <si>
    <t>BAJAJ AUTO/RE/OPTIM A CNG 4S/Motorized Ri ckshaw/AUTO RICKSHA W</t>
  </si>
  <si>
    <t>Mr ALPESH RAJESHBHAI THUNGA</t>
  </si>
  <si>
    <t>GJ36U9574</t>
  </si>
  <si>
    <t>6302852029 00 00</t>
  </si>
  <si>
    <t>Mr RAJUBHAI VALAJIBHAI CHAVADA</t>
  </si>
  <si>
    <t>99256 50447</t>
  </si>
  <si>
    <t>GJ03BT8386</t>
  </si>
  <si>
    <t>6302850391 00 00</t>
  </si>
  <si>
    <t>MAHINDRA/BOLERO/PI CK UP FB/OPEN/PICK U P VAN</t>
  </si>
  <si>
    <t>Mr RAGIYA VAJABHAI JIVABHAI</t>
  </si>
  <si>
    <t>GJ36T5090</t>
  </si>
  <si>
    <t>6302850225 00 00</t>
  </si>
  <si>
    <t>Mr CHAROLIYA VITHALBHAI</t>
  </si>
  <si>
    <t xml:space="preserve"> 97262 25258</t>
  </si>
  <si>
    <t>GJ36T6497</t>
  </si>
  <si>
    <t>POCMVGC0100265754</t>
  </si>
  <si>
    <t>LPT 1212</t>
  </si>
  <si>
    <t>GJ36T6329</t>
  </si>
  <si>
    <t>POCMVGC0100265711</t>
  </si>
  <si>
    <t>Mr.MALABHAI SAGRAMBHAI GAMARA</t>
  </si>
  <si>
    <t>161522523340004694</t>
  </si>
  <si>
    <t>MR. AEHMAD ARABBHAI AGHAM</t>
  </si>
  <si>
    <t>12-1831-0006747954-00</t>
  </si>
  <si>
    <t>Pappu Lal Gurjar</t>
  </si>
  <si>
    <t>97731 43578</t>
  </si>
  <si>
    <t>14-03-2026</t>
  </si>
  <si>
    <t>3379/04304047/000/00</t>
  </si>
  <si>
    <t>GJ13AT9387</t>
  </si>
  <si>
    <t>3379/04304041/000/00</t>
  </si>
  <si>
    <t>BOLERO - PICKUP BS III</t>
  </si>
  <si>
    <t>SARVAIYA VIKRAMBHAI BIJALBHAI</t>
  </si>
  <si>
    <t>95104 53664</t>
  </si>
  <si>
    <t>GJ14Z8252</t>
  </si>
  <si>
    <t>6302855396 00 00</t>
  </si>
  <si>
    <t>EICHER MOTORS/PRO 2 110/TT/OPEN/TRUCK</t>
  </si>
  <si>
    <t>Mr PARMAR BHARAT KHODABHAI</t>
  </si>
  <si>
    <t>95866 29339</t>
  </si>
  <si>
    <t>GJ36T6086</t>
  </si>
  <si>
    <t>POCMVGC0100267253</t>
  </si>
  <si>
    <t>Mr.RATADIYA JITENDRA KUNVARJIBHAI</t>
  </si>
  <si>
    <t>GJ12AY0904</t>
  </si>
  <si>
    <t>P0025100019/4103/102114</t>
  </si>
  <si>
    <t>TATA LPK 2518 DUMPER/DUMPER</t>
  </si>
  <si>
    <t>TAJMAHMAD BILAL KAJEDIYA</t>
  </si>
  <si>
    <t>GJ36T2476</t>
  </si>
  <si>
    <t>POCMVGC0100268205</t>
  </si>
  <si>
    <t>GJ36T2438</t>
  </si>
  <si>
    <t>POCMVGC0100268264</t>
  </si>
  <si>
    <t>GAMARA HARJIBHAI RAGHAVBHAI</t>
  </si>
  <si>
    <t>GJ13AX1946</t>
  </si>
  <si>
    <t>12-1831-0006749879-00</t>
  </si>
  <si>
    <t>Godhaviya Javed Rahimbhai</t>
  </si>
  <si>
    <t>97256 24202</t>
  </si>
  <si>
    <t>GJ36V3223</t>
  </si>
  <si>
    <t>3379/04304396/000/00</t>
  </si>
  <si>
    <t>HITESBHAI PANKAJBHAI AAL</t>
  </si>
  <si>
    <t>GJ36V3707</t>
  </si>
  <si>
    <t>3379/04304397/000/00</t>
  </si>
  <si>
    <t>INTRA - V30 BS VI</t>
  </si>
  <si>
    <t>MAHESH RATILALBHAI DABHI</t>
  </si>
  <si>
    <t>99782 78428</t>
  </si>
  <si>
    <t>GJ13AX1954</t>
  </si>
  <si>
    <t>P0025200007/4103/106480</t>
  </si>
  <si>
    <t>PANCHAL CERAMIC</t>
  </si>
  <si>
    <t>GJ03W7891</t>
  </si>
  <si>
    <t>12-1831-0006751988-00</t>
  </si>
  <si>
    <t>Kunparan Mansangbhai Narshibhai</t>
  </si>
  <si>
    <t>98798 43880</t>
  </si>
  <si>
    <t>15-03-2026</t>
  </si>
  <si>
    <t>GJ36W1601</t>
  </si>
  <si>
    <t>6302857963 00 00</t>
  </si>
  <si>
    <t>Mr GADALIYA KAMLESHBHAI DEVASIBHAI</t>
  </si>
  <si>
    <t>GJ36V1216</t>
  </si>
  <si>
    <t>213003/31/25/022208</t>
  </si>
  <si>
    <t>MARUTI SUZUKI - SUPER CARRY</t>
  </si>
  <si>
    <t>MR. MOVAR ABDULBHAI UMARBHAI</t>
  </si>
  <si>
    <t>GJ10U9246</t>
  </si>
  <si>
    <t>12-1831-0006751938-00</t>
  </si>
  <si>
    <t>COMET 1611</t>
  </si>
  <si>
    <t>Vaghela Nanajibhai</t>
  </si>
  <si>
    <t>GJ36V3647</t>
  </si>
  <si>
    <t>POCMVGC0100260778</t>
  </si>
  <si>
    <t>LPT 1815</t>
  </si>
  <si>
    <t>RATADIYA JITENDRA KUNVARJIBHAI</t>
  </si>
  <si>
    <t>GJ36T7198</t>
  </si>
  <si>
    <t>BHARVAD DHANABHAI</t>
  </si>
  <si>
    <t>GJ36U9672</t>
  </si>
  <si>
    <t>JINDANI MUSABHAI</t>
  </si>
  <si>
    <t>GJ36W1887</t>
  </si>
  <si>
    <t>BAJAJ MAXIMA Z</t>
  </si>
  <si>
    <t>PARMAR BABUBHAI</t>
  </si>
  <si>
    <t>25/3/2026</t>
  </si>
  <si>
    <t>RATDIYA NILESH</t>
  </si>
  <si>
    <t>GJ36V8963</t>
  </si>
  <si>
    <t>NARANBHAI BHARVAD</t>
  </si>
  <si>
    <t>GJ36U7795</t>
  </si>
  <si>
    <t>SANJAY NARANIYA</t>
  </si>
  <si>
    <t>GJ36X9918</t>
  </si>
  <si>
    <t>P0025100006/4103/108519</t>
  </si>
  <si>
    <t>TATA SIGNA 3530 TK BSVI/TIPPER</t>
  </si>
  <si>
    <t>Mr VISHALKUMAR CHANDULAL LOKHIL</t>
  </si>
  <si>
    <t>90333 33157</t>
  </si>
  <si>
    <t>GJ36T8963</t>
  </si>
  <si>
    <t>P0025100006/4103/107763</t>
  </si>
  <si>
    <t>ASHOK LEYLAND 2518 T BSIV/TRUCK</t>
  </si>
  <si>
    <t>Mr GAMARA MALABHAI SAGRAMBHAI</t>
  </si>
  <si>
    <t>GJ03AV8382</t>
  </si>
  <si>
    <t>12-1831-0006759601-00</t>
  </si>
  <si>
    <t>TRAVELLER</t>
  </si>
  <si>
    <t>Pathan Barkatkhan Abdulkhan</t>
  </si>
  <si>
    <t xml:space="preserve"> 88662 99178</t>
  </si>
  <si>
    <t>17-03-2026</t>
  </si>
  <si>
    <t>GJ36V3644</t>
  </si>
  <si>
    <t>161522523340004753</t>
  </si>
  <si>
    <t>TATA INTRA &amp; V 10 BSVI</t>
  </si>
  <si>
    <t>MR. ASHOKBHAI PUNABHAI VIKANI</t>
  </si>
  <si>
    <t>16/03/2026</t>
  </si>
  <si>
    <t>GJ36T5205</t>
  </si>
  <si>
    <t>6302867311 00 00</t>
  </si>
  <si>
    <t>MAHINDRA/BOLERO/M AXI TRUCK PLUS PS/OP EN/PICK UP VAN</t>
  </si>
  <si>
    <t>Mr NAYAN HORIYA</t>
  </si>
  <si>
    <t>GJ27V3638</t>
  </si>
  <si>
    <t>POCMVGC0100274605</t>
  </si>
  <si>
    <t>GHANSHYAMBHAI GOPALBHAI KERASHIYA</t>
  </si>
  <si>
    <t>GJ36V0369</t>
  </si>
  <si>
    <t>213003/31/25/022376</t>
  </si>
  <si>
    <t>MR. TUFELAHEMAD KASHMANI</t>
  </si>
  <si>
    <t>3379/04307287/000/00</t>
  </si>
  <si>
    <t>GJ13U9833</t>
  </si>
  <si>
    <t>12-1831-0006774407-00</t>
  </si>
  <si>
    <t>Movar Karim Juma</t>
  </si>
  <si>
    <t>21-03-2026</t>
  </si>
  <si>
    <t>GJ14AT1515</t>
  </si>
  <si>
    <t>P0025100006/4103/108790</t>
  </si>
  <si>
    <t>ASHOK LEYLAND TAURUS 2516 I L/TRUCK</t>
  </si>
  <si>
    <t>Mr MEVASIYA JITESHBHA</t>
  </si>
  <si>
    <t>GJ36W4254</t>
  </si>
  <si>
    <t>POCMVGC0100277197</t>
  </si>
  <si>
    <t>Mr.SUMARA HUSEN AMADBHAI</t>
  </si>
  <si>
    <t>97270 26937</t>
  </si>
  <si>
    <t>GJ36U9340</t>
  </si>
  <si>
    <t>POCMVGC0100277189</t>
  </si>
  <si>
    <t>Mr.KARKATA PRABHULAL BACHUBHAI</t>
  </si>
  <si>
    <t>98256 46279</t>
  </si>
  <si>
    <t>GJ36V6537</t>
  </si>
  <si>
    <t>P0025100006/4103/10878</t>
  </si>
  <si>
    <t>TATA LPT 3525 3525 TIPPER/TIPPE</t>
  </si>
  <si>
    <t>MAYA CONSTRUCTION</t>
  </si>
  <si>
    <t>DL1LW8557</t>
  </si>
  <si>
    <t>0604003124P120356993</t>
  </si>
  <si>
    <t>Tata Motors / 709G LPT DCR35CBC85B6M5</t>
  </si>
  <si>
    <t>Mr. RAJESH GARG</t>
  </si>
  <si>
    <t xml:space="preserve"> 96387 86168</t>
  </si>
  <si>
    <t>GJ03AX8759</t>
  </si>
  <si>
    <t>6302872572 00 00</t>
  </si>
  <si>
    <t>Mr SALIM GULAMHUSENBHAI VADAVARIYA</t>
  </si>
  <si>
    <t>GJ36V3231</t>
  </si>
  <si>
    <t>3379/04308563/000/00</t>
  </si>
  <si>
    <t>DWARKESH PACKAGING</t>
  </si>
  <si>
    <t>POCMVGC0100271028</t>
  </si>
  <si>
    <t>Mr.NARANBHAI MERABHAI BHARVAD</t>
  </si>
  <si>
    <t xml:space="preserve">GJ13AX1255 </t>
  </si>
  <si>
    <t>P0025100006/4103/108819</t>
  </si>
  <si>
    <t>99988 36032</t>
  </si>
  <si>
    <t>20/03/2026</t>
  </si>
  <si>
    <t>GJ36W1578</t>
  </si>
  <si>
    <t>POCMVGC0100279923</t>
  </si>
  <si>
    <t>Mr.MOHAMD IQBALBHAI BHUVAD</t>
  </si>
  <si>
    <t xml:space="preserve"> 80003 38989</t>
  </si>
  <si>
    <t>70460 05779</t>
  </si>
  <si>
    <t>GJ36V1988</t>
  </si>
  <si>
    <t>3379/04309806/000/00</t>
  </si>
  <si>
    <t>3528C - 8X4 BSVI</t>
  </si>
  <si>
    <t>KUNAPARA CHATUR LUXMAN</t>
  </si>
  <si>
    <t>GJ36S3569</t>
  </si>
  <si>
    <t>3382/00381806/000/00</t>
  </si>
  <si>
    <t>99981 16915</t>
  </si>
  <si>
    <t>GJ36T9935</t>
  </si>
  <si>
    <t>P0025100006/4103/108824</t>
  </si>
  <si>
    <t>ASHOK LEYLAND UJ3520/52 T TJP/TIPPER</t>
  </si>
  <si>
    <t>SAGAR CHEM FOOD INDUSTRIES</t>
  </si>
  <si>
    <t>GJ24V5190</t>
  </si>
  <si>
    <t>161522523340004929</t>
  </si>
  <si>
    <t>ASHOK LEYLAND DOST &amp; LS BS3</t>
  </si>
  <si>
    <t>MR. LASHKARI DURVESH MUNAFBHAI</t>
  </si>
  <si>
    <t xml:space="preserve"> 70698 63486</t>
  </si>
  <si>
    <t>GJ36X6030</t>
  </si>
  <si>
    <t>161522523340004941</t>
  </si>
  <si>
    <t>KAMLESHBHAI PRABHATBHAI VIRDA</t>
  </si>
  <si>
    <t>19-03-2026</t>
  </si>
  <si>
    <t>SM</t>
  </si>
  <si>
    <t>GJ03BY4168</t>
  </si>
  <si>
    <t>161522523340004892</t>
  </si>
  <si>
    <t>MR. NADIM JAVIDBHAI KALADIYA</t>
  </si>
  <si>
    <t>21/03/2026</t>
  </si>
  <si>
    <t>GJ13B0938</t>
  </si>
  <si>
    <t>POCMVMI0100132872</t>
  </si>
  <si>
    <t>TRACTOR</t>
  </si>
  <si>
    <t>Swaraj - 855</t>
  </si>
  <si>
    <t>SISNODA CHANDUBHAI HARIBHAI</t>
  </si>
  <si>
    <t>GJ12AU8115</t>
  </si>
  <si>
    <t>P0025100006/4103/108912</t>
  </si>
  <si>
    <t>Mr VIJAYBHAI MANUBHAI GOGA</t>
  </si>
  <si>
    <t xml:space="preserve"> 884 928 5752</t>
  </si>
  <si>
    <t>GJ36W1769</t>
  </si>
  <si>
    <t>POCMVGC0100282690</t>
  </si>
  <si>
    <t>CHHIPRA RAVIKUMARMAGANBHAI</t>
  </si>
  <si>
    <t>98798 20236</t>
  </si>
  <si>
    <t>GJ11Y6028</t>
  </si>
  <si>
    <t>12-1831-0006791310-00</t>
  </si>
  <si>
    <t>Pathar Nildip Kanjibhai</t>
  </si>
  <si>
    <t>97140 52298</t>
  </si>
  <si>
    <t>30-03-2026</t>
  </si>
  <si>
    <t>GJ36V3079</t>
  </si>
  <si>
    <t>12-1831-0006790414-00</t>
  </si>
  <si>
    <t>Nuramamad Kasu Pathan</t>
  </si>
  <si>
    <t>22-03-2026</t>
  </si>
  <si>
    <t>D193041505 / 21032025</t>
  </si>
  <si>
    <t>LPT 2515 / 48 TC EX H D BSIII</t>
  </si>
  <si>
    <t>RAJAK ISMAIL THEBA</t>
  </si>
  <si>
    <t>29-03-2026</t>
  </si>
  <si>
    <t>GJ03AW6863</t>
  </si>
  <si>
    <t>POCMVGC0100285132</t>
  </si>
  <si>
    <t>Mr.KATIYA FATEMAMAD HAJIBHAI</t>
  </si>
  <si>
    <t>GJ01FT5920</t>
  </si>
  <si>
    <t>POCMVGC0100285144</t>
  </si>
  <si>
    <t>Mr.GOPALBHAI JIVABHAI KERASIYA</t>
  </si>
  <si>
    <t>12-1831-0006796223-00</t>
  </si>
  <si>
    <t>LPT 1109 EX</t>
  </si>
  <si>
    <t>Manubhai Nondhabhai Ratadiya</t>
  </si>
  <si>
    <t>12-1831-0006796219-00</t>
  </si>
  <si>
    <t>Lokhil Chandulal Devarajbhai</t>
  </si>
  <si>
    <t>GJ03W9405</t>
  </si>
  <si>
    <t>12-1831-0006796210-00</t>
  </si>
  <si>
    <t>Safar Rajakbhai Theba</t>
  </si>
  <si>
    <t>95745 00037</t>
  </si>
  <si>
    <t>20-03-2026</t>
  </si>
  <si>
    <t>GJ14Z2041</t>
  </si>
  <si>
    <t>POCMVGC0100285123</t>
  </si>
  <si>
    <t>Mr.SAMIRKHA MAHEBUBKHA KHORAM</t>
  </si>
  <si>
    <t>3379/04312467/000/00</t>
  </si>
  <si>
    <t xml:space="preserve"> 99782 92639</t>
  </si>
  <si>
    <t>13/04/2026</t>
  </si>
  <si>
    <t>P0025100006/4103/109015</t>
  </si>
  <si>
    <t>EICHER PRO 1110 H HSD BSIV/MILK TANKER</t>
  </si>
  <si>
    <t>Mr GOVINDBHAI B LAMBARIYA</t>
  </si>
  <si>
    <t>POCMVGC0100287494</t>
  </si>
  <si>
    <t xml:space="preserve"> 98983 39652</t>
  </si>
  <si>
    <t>GJ36V9966</t>
  </si>
  <si>
    <t>P0025100006/4103/109057</t>
  </si>
  <si>
    <t>Mr ODEDARA MALDE MERAMAN</t>
  </si>
  <si>
    <t>GJ36T8596</t>
  </si>
  <si>
    <t>POCMVGC0100276795</t>
  </si>
  <si>
    <t>MARUTI CARGO MOVERS</t>
  </si>
  <si>
    <t>24/03/2025</t>
  </si>
  <si>
    <t>GJ36T3988</t>
  </si>
  <si>
    <t>6302895982 00 00</t>
  </si>
  <si>
    <t>MAHINDRA/BOLERO/PI CK UP FB PS/OPEN/PIC K UP VAN</t>
  </si>
  <si>
    <t>Mr CHANDRESANIYA MANISH LALJIBHAI</t>
  </si>
  <si>
    <t>94099 53983</t>
  </si>
  <si>
    <t>GJ36W3736</t>
  </si>
  <si>
    <t>6302897171 00 00</t>
  </si>
  <si>
    <t>Mr BHARVADIYA GHELABHAI KARAMSHIBHAI</t>
  </si>
  <si>
    <t>878 052 6495</t>
  </si>
  <si>
    <t>GJ36T2176</t>
  </si>
  <si>
    <t>POCMVGC0100290622</t>
  </si>
  <si>
    <t>Mr.RAHIMBHAI JUMABHAI SUMRA</t>
  </si>
  <si>
    <t xml:space="preserve">SBI </t>
  </si>
  <si>
    <t>25/03/2025</t>
  </si>
  <si>
    <t>GJ36V6668</t>
  </si>
  <si>
    <t>3379/04315400/000/00</t>
  </si>
  <si>
    <t>ANVARHUSEN IBRAHIM PARASARA</t>
  </si>
  <si>
    <t>99980 88876</t>
  </si>
  <si>
    <t>26/03/2025</t>
  </si>
  <si>
    <t>GJ12AT9593</t>
  </si>
  <si>
    <t>POCMVGC0100293118</t>
  </si>
  <si>
    <t>LPTK 2518</t>
  </si>
  <si>
    <t>Mr.VIJDA DHARMESH BALUBHAI</t>
  </si>
  <si>
    <t>98980 00254</t>
  </si>
  <si>
    <t>GJ36W1587</t>
  </si>
  <si>
    <t>6302902551 00 00</t>
  </si>
  <si>
    <t>Mr BABARIYA NITIN HASMUKHBHAI</t>
  </si>
  <si>
    <t>97128 77183</t>
  </si>
  <si>
    <t>GJ10Z9444</t>
  </si>
  <si>
    <t>P0025100006/4103/109143</t>
  </si>
  <si>
    <t>ASHOK LEYLAND AL 3116 WB BSII/OPEN</t>
  </si>
  <si>
    <t>Mr DANGAR CHETAN D</t>
  </si>
  <si>
    <t>884 928 5752</t>
  </si>
  <si>
    <t>GJ13AW5057</t>
  </si>
  <si>
    <t>POCMVGC0100293148</t>
  </si>
  <si>
    <t>Mr.BHARVAD ARJANBHAI CHHELABHAI</t>
  </si>
  <si>
    <t>P0025100006/4103/109144</t>
  </si>
  <si>
    <t>TATA LPT 1109 EX 36/TRUCK</t>
  </si>
  <si>
    <t>Mr MUDHAVA ROHITKUMAR POPATBHAI</t>
  </si>
  <si>
    <t xml:space="preserve"> 24/03/2026</t>
  </si>
  <si>
    <t>GJ36T7891</t>
  </si>
  <si>
    <t>POCMVGC0100293184</t>
  </si>
  <si>
    <t>Jeeto</t>
  </si>
  <si>
    <t>Mr.BADI ASLAM BHAI</t>
  </si>
  <si>
    <t xml:space="preserve"> 99242 17353</t>
  </si>
  <si>
    <t>POCMVGC0100293179</t>
  </si>
  <si>
    <t>Mr.BHUPATBHAI JAGABHAI RATADIYA</t>
  </si>
  <si>
    <t>GJ36V2562</t>
  </si>
  <si>
    <t>3379/04316804/000/00</t>
  </si>
  <si>
    <t>RAMESHBHAI BHAGVANJIBHAI MANDARIYA</t>
  </si>
  <si>
    <t xml:space="preserve"> 98984 06830</t>
  </si>
  <si>
    <t>27/03/2025</t>
  </si>
  <si>
    <t>GJ03AT3085</t>
  </si>
  <si>
    <t>P0025100006/4103/109211</t>
  </si>
  <si>
    <t>TATA LPT 1109 42 (2 STR)/TRUCK</t>
  </si>
  <si>
    <t>Mr DABHI LEEMBA BHALA</t>
  </si>
  <si>
    <t>26/03/2026</t>
  </si>
  <si>
    <t>GJ12BX2264</t>
  </si>
  <si>
    <t>POCMVGC0100295725</t>
  </si>
  <si>
    <t>KHAMBHALA SANGRAMBHAI SAMATBHAI</t>
  </si>
  <si>
    <t>GJ36W9025</t>
  </si>
  <si>
    <t>6302907775 00 00</t>
  </si>
  <si>
    <t>Mr SHELVANIYA GORADHANBHAI DEVJIBHAI</t>
  </si>
  <si>
    <t>GJ01HT8476</t>
  </si>
  <si>
    <t>0604003124P120903686</t>
  </si>
  <si>
    <t>Eicher / 10.95 null</t>
  </si>
  <si>
    <t>MR SARVAIYA SANTOSH</t>
  </si>
  <si>
    <t xml:space="preserve"> 99981 11542</t>
  </si>
  <si>
    <t>GJ07YZ7521</t>
  </si>
  <si>
    <t>POCMVGC0100295750</t>
  </si>
  <si>
    <t>Mr.FULTARIYA MUKESH</t>
  </si>
  <si>
    <t>93287 41294</t>
  </si>
  <si>
    <t>GJ36V1586</t>
  </si>
  <si>
    <t>3379/04318223/000/00</t>
  </si>
  <si>
    <t>BOLERO - MAXI TRUCK PLUS 1.2 BS V</t>
  </si>
  <si>
    <t>MANOJBHAI DAMJIBHAI BECHARA</t>
  </si>
  <si>
    <t xml:space="preserve"> 98792 39926</t>
  </si>
  <si>
    <t>GJ10TX1937</t>
  </si>
  <si>
    <t>POCMVGC0100295753</t>
  </si>
  <si>
    <t>MUNDHVA CHHAGAN N</t>
  </si>
  <si>
    <t>28/03/2025</t>
  </si>
  <si>
    <t>GJ12AY8909</t>
  </si>
  <si>
    <t>P0025200007/4103/106876</t>
  </si>
  <si>
    <t>GJ36V8948</t>
  </si>
  <si>
    <t>POCMVGC0100298521</t>
  </si>
  <si>
    <t>BHARVAD RAJESH RAIYABHAI</t>
  </si>
  <si>
    <t>GJ36V6747</t>
  </si>
  <si>
    <t>6302913349 00 00</t>
  </si>
  <si>
    <t>MAHINDRA/MAXX PUP/ CITY VX/OPEN/TRUCK</t>
  </si>
  <si>
    <t>SAMARPAN PRINTPACK</t>
  </si>
  <si>
    <t>29/03/2025</t>
  </si>
  <si>
    <t>GJ36V6169</t>
  </si>
  <si>
    <t>3379/04321326/000/00</t>
  </si>
  <si>
    <t>SAVJIBHAI SHIVABHAI BOPALIYA</t>
  </si>
  <si>
    <t>98255 30230</t>
  </si>
  <si>
    <t>GJ36T4216</t>
  </si>
  <si>
    <t>6302918952 00 00</t>
  </si>
  <si>
    <t>Mr HADIYA LALJI GOKALBHA</t>
  </si>
  <si>
    <t>GJ36T8822</t>
  </si>
  <si>
    <t>POCMVGC0100301082</t>
  </si>
  <si>
    <t>Mr.JADEJA INDRASINH PRABHATSINH</t>
  </si>
  <si>
    <t>GJ36W1732</t>
  </si>
  <si>
    <t>POCMVGC0100301102</t>
  </si>
  <si>
    <t>Mr.GOGARA PRAKASH DALABHAI</t>
  </si>
  <si>
    <t>GJ36S3339</t>
  </si>
  <si>
    <t>3382/00382506/000/00</t>
  </si>
  <si>
    <t>DILIPBHAI RAMJIBHAI DEKAVADIYA</t>
  </si>
  <si>
    <t>GJ36X8274</t>
  </si>
  <si>
    <t>POCMVGC0100303071</t>
  </si>
  <si>
    <t>LPT 1816</t>
  </si>
  <si>
    <t>Mr.MULTANI YASINBHAI MAHEBUBBHAI</t>
  </si>
  <si>
    <t>31/03/2026</t>
  </si>
  <si>
    <t>GJ36S3264</t>
  </si>
  <si>
    <t>3008/A/387092687/00/B00</t>
  </si>
  <si>
    <t>EICHER 557</t>
  </si>
  <si>
    <t>CYAN GRANITO LLP</t>
  </si>
  <si>
    <t>30/03/2025</t>
  </si>
  <si>
    <t>GJ14AT3374</t>
  </si>
  <si>
    <t>P0025100006/4103/109360</t>
  </si>
  <si>
    <t>TATA LPT 909 EX2/OPEN</t>
  </si>
  <si>
    <t>Mr ZALA MAHAVIRSINH PRAVINSINH</t>
  </si>
  <si>
    <t>GJ36V6576</t>
  </si>
  <si>
    <t>POCMVGC0100303895</t>
  </si>
  <si>
    <t>Super Carry</t>
  </si>
  <si>
    <t>DUDAKIYA DHARMENDRA DILIPBHAI</t>
  </si>
  <si>
    <t>POCMVGC0100303885</t>
  </si>
  <si>
    <t>Mr.JUNEJA DILAVARBHAI MAHMADBHAI</t>
  </si>
  <si>
    <t xml:space="preserve"> 75750 49579</t>
  </si>
  <si>
    <t>GJ36T6428</t>
  </si>
  <si>
    <t>POCMVGC0100303879</t>
  </si>
  <si>
    <t>Mr.BHARVAD POPATBHA</t>
  </si>
  <si>
    <t>0604003124P121123325</t>
  </si>
  <si>
    <t>Tata Motors / 407 GOLD SFC</t>
  </si>
  <si>
    <t>MR NARENDRAKUMAR CHIMANLAL PUJARA</t>
  </si>
  <si>
    <t>98983 54385</t>
  </si>
  <si>
    <t>GJ03AZ7045</t>
  </si>
  <si>
    <t>0604003124P121123441</t>
  </si>
  <si>
    <t>Tata Motors / 709g LPT nul</t>
  </si>
  <si>
    <t>GJ15AT5550</t>
  </si>
  <si>
    <t>POCMVGC0100303905</t>
  </si>
  <si>
    <t>Mr.RAMESHBHAI PRABHUBHAI KALARIYA</t>
  </si>
  <si>
    <t>99793 37911</t>
  </si>
  <si>
    <t>GJ13AX3764</t>
  </si>
  <si>
    <t>3379/04322786/000/00</t>
  </si>
  <si>
    <t>RAJESHBHAI MERAMBHAI MER</t>
  </si>
  <si>
    <t>31/03/2025</t>
  </si>
  <si>
    <t>GJ03AZ9765</t>
  </si>
  <si>
    <t>3003/A/387373705/00/B00</t>
  </si>
  <si>
    <t>BOSS 1616</t>
  </si>
  <si>
    <t>NARENDRAKUMAR CHIMANLAL PUJARA</t>
  </si>
  <si>
    <t>3003/A/387370065/00/B00</t>
  </si>
  <si>
    <t>AL 1612 TRUCK</t>
  </si>
  <si>
    <t>VAGHELA NANAJIBHA</t>
  </si>
  <si>
    <t>91730 59246</t>
  </si>
  <si>
    <t>GJ13AW2654</t>
  </si>
  <si>
    <t>3003/A/387368910/00/B00</t>
  </si>
  <si>
    <t>LPK 2518</t>
  </si>
  <si>
    <t>GOLTAR HAMIRBHAI</t>
  </si>
  <si>
    <t>GJ03W7815</t>
  </si>
  <si>
    <t>3003/A/387368746/00/B00</t>
  </si>
  <si>
    <t>AL 2214 TRUCK</t>
  </si>
  <si>
    <t>GHONIYA ARSHADHUSEN SUBHANBHAI</t>
  </si>
  <si>
    <t>GJ36U7949</t>
  </si>
  <si>
    <t>POCMVGC0100305212</t>
  </si>
  <si>
    <t>Smart</t>
  </si>
  <si>
    <t>Mr.SONGRA SURESHBHAI DANABHAI</t>
  </si>
  <si>
    <t>GJ36W1519</t>
  </si>
  <si>
    <t>POCMVGC0100305202</t>
  </si>
  <si>
    <t>Mr.CHETAN KARUBHAI DODIYA</t>
  </si>
  <si>
    <t>884 950 0437</t>
  </si>
  <si>
    <t>GJ36T9856</t>
  </si>
  <si>
    <t>POCMVGC0100305197</t>
  </si>
  <si>
    <t>Mr.BAMBHAVA PRAKASH VASABHAI</t>
  </si>
  <si>
    <t>GJ36V1091</t>
  </si>
  <si>
    <t>POCMVGC0100305180</t>
  </si>
  <si>
    <t>Ace</t>
  </si>
  <si>
    <t>Mr.NANJIBHAI NATHABHAI VIKANI</t>
  </si>
  <si>
    <t>GJ36T9233</t>
  </si>
  <si>
    <t>6302927277 00 00</t>
  </si>
  <si>
    <t>Mr CHAROLIYA HANIFBHAI FATEBHAI</t>
  </si>
  <si>
    <t>884 994 0859</t>
  </si>
  <si>
    <t>GJ36V3848</t>
  </si>
  <si>
    <t>3379/04323791/000/00</t>
  </si>
  <si>
    <t>IMRANBHAI RASULBHAI MATHAKIYA</t>
  </si>
  <si>
    <t>98250 07997</t>
  </si>
  <si>
    <t>GJ36V1784</t>
  </si>
  <si>
    <t>3379/04323782/000/00</t>
  </si>
  <si>
    <t>KANTILAL BACHUBHAI PARMAR</t>
  </si>
  <si>
    <t xml:space="preserve"> 98798 39275</t>
  </si>
  <si>
    <t>GJ10TX6231</t>
  </si>
  <si>
    <t>160822523340001617</t>
  </si>
  <si>
    <t>MAHINDRA SUPRO &amp; MINI TRUCK CNG</t>
  </si>
  <si>
    <t>MR. BALDEV PADAYA</t>
  </si>
  <si>
    <t>99091 73549</t>
  </si>
  <si>
    <t>GJ13AX3977</t>
  </si>
  <si>
    <t>P0026100006/4103/100112</t>
  </si>
  <si>
    <t>ASHOK LEYLAND 3525 MJ52 T TIP/TIPPER</t>
  </si>
  <si>
    <t>Mr TOLIYA MASHARUBHAI CIHELABHA</t>
  </si>
  <si>
    <t>GJ36V6914</t>
  </si>
  <si>
    <t>3379/04325316/000/00</t>
  </si>
  <si>
    <t>INTRA V50 - PICKUP</t>
  </si>
  <si>
    <t>MAHESHBHAI PRAVINBHAI PARMAR</t>
  </si>
  <si>
    <t>3379/04325315/000/00</t>
  </si>
  <si>
    <t>GJ36V6344</t>
  </si>
  <si>
    <t>6302933206 00 00</t>
  </si>
  <si>
    <t>MAHINDRA/MAXX PUP/ CITY MS/OPEN/TRUCK</t>
  </si>
  <si>
    <t>Mr VINUBHAI GANDUBHAI DHARAJIYA</t>
  </si>
  <si>
    <t>GJ10TV6981</t>
  </si>
  <si>
    <t>6302933198 00 00</t>
  </si>
  <si>
    <t>TATA MOTORS/LPT 90 9/TT DIESEL/OPEN/TRU CK</t>
  </si>
  <si>
    <t>Mr SHAILESH JASABHAI RATHOD</t>
  </si>
  <si>
    <t>GJ36X5154</t>
  </si>
  <si>
    <t>P0026100006/4103/100120</t>
  </si>
  <si>
    <t>TATA SIGNA 3530 K/TK/TIPPER</t>
  </si>
  <si>
    <t>Mr ASHOKBHAI RATNABHAI BAMBHAVA</t>
  </si>
  <si>
    <t>91066 26733</t>
  </si>
  <si>
    <t>24/04/2026</t>
  </si>
  <si>
    <t>GJ03AX6632</t>
  </si>
  <si>
    <t>6302936838 00 00</t>
  </si>
  <si>
    <t>TATA MOTORS/LPT 110 9/42 CAB EX BS2/CLOS ED/TANKER</t>
  </si>
  <si>
    <t>Mr RATHOD BALDEVSINH DADUBHA</t>
  </si>
  <si>
    <t>28/04/2026</t>
  </si>
  <si>
    <t>GJ36V1794</t>
  </si>
  <si>
    <t>3379/04326709/000/00</t>
  </si>
  <si>
    <t>BOLERO - MAXI TRUCK PLUS 1.2 BS VI</t>
  </si>
  <si>
    <t>VICKY VISHNUBHAI JOTANIYA</t>
  </si>
  <si>
    <t>21/05/2026</t>
  </si>
  <si>
    <t>GJ36V8649</t>
  </si>
  <si>
    <t>P0025100006/4103/109089</t>
  </si>
  <si>
    <t>Make/Model/Type of Body</t>
  </si>
  <si>
    <t>Mr SINOJIYA RAJESHBHAI BHAGVANJIBHAI</t>
  </si>
  <si>
    <t>GJ36V1279</t>
  </si>
  <si>
    <t>P0025100006/4103/109136</t>
  </si>
  <si>
    <t>ASHOK LEYLAND UJ3520/52 T TIP/TIPPER</t>
  </si>
  <si>
    <t>GJ36V1438</t>
  </si>
  <si>
    <t>P0025100006/4103/109137</t>
  </si>
  <si>
    <t xml:space="preserve"> ASHOK LEYLAND UJ3520/52 T TIP/TIPPER</t>
  </si>
  <si>
    <t>GJ36V1477</t>
  </si>
  <si>
    <t>P0025100006/4103/109154</t>
  </si>
  <si>
    <t>GJ36V1024</t>
  </si>
  <si>
    <t>P0026100006/4103/100034</t>
  </si>
  <si>
    <t>GJ36V1226</t>
  </si>
  <si>
    <t>P0025100006/4103/109149</t>
  </si>
  <si>
    <t>GJ36V1229</t>
  </si>
  <si>
    <t>P0025100006/4103/109135</t>
  </si>
  <si>
    <t>GJ36V1020</t>
  </si>
  <si>
    <t>P0025100006/4103/109134</t>
  </si>
  <si>
    <t>GJ36V1153</t>
  </si>
  <si>
    <t>P0025100006/4103/109150</t>
  </si>
  <si>
    <t>GJ36V1056</t>
  </si>
  <si>
    <t>P0025100006/4103/109151</t>
  </si>
  <si>
    <t>GJ36V1067</t>
  </si>
  <si>
    <t>P0025100006/4103/109152</t>
  </si>
  <si>
    <t>GJ36V1160</t>
  </si>
  <si>
    <t>P0025100006/4103/109138</t>
  </si>
  <si>
    <t>GJ36V1417</t>
  </si>
  <si>
    <t>P0026100006/4103/100033</t>
  </si>
  <si>
    <t>GJ36V1270</t>
  </si>
  <si>
    <t>P0025100006/4103/109153</t>
  </si>
  <si>
    <t>GJ36V1316</t>
  </si>
  <si>
    <t>P0025100006/4103/109132</t>
  </si>
  <si>
    <t>GJ36V1106</t>
  </si>
  <si>
    <t>P0025100006/4103/109133</t>
  </si>
  <si>
    <t>GJ36V2476</t>
  </si>
  <si>
    <t>3003/381176213/00/000</t>
  </si>
  <si>
    <t>BHARATBHAI SAGRAMBHAI GAMARA</t>
  </si>
  <si>
    <t>GJ36V4818</t>
  </si>
  <si>
    <t>3003/381207374/00/000</t>
  </si>
  <si>
    <t>GJ36S3586</t>
  </si>
  <si>
    <t>3008/A/387748120/00/B00</t>
  </si>
  <si>
    <t>RASIKBHAI BHAGVANJI GHODASARA</t>
  </si>
  <si>
    <t>99791 11292</t>
  </si>
  <si>
    <t>GJ36V5636</t>
  </si>
  <si>
    <t>N3014925</t>
  </si>
  <si>
    <t>FORCE TRAVELLER</t>
  </si>
  <si>
    <t>KAVETHIYA SINDHABHAI KARSHANBHAI</t>
  </si>
  <si>
    <t>GJ36V5557</t>
  </si>
  <si>
    <t>3003/A/387946181/00/B00</t>
  </si>
  <si>
    <t>LPT 709G CNG</t>
  </si>
  <si>
    <t>ZALA VIRENDRASINH GHANSHYAMSINH</t>
  </si>
  <si>
    <t>98791 89916</t>
  </si>
  <si>
    <t>GJ36T7226</t>
  </si>
  <si>
    <t>213003/31/26/000209</t>
  </si>
  <si>
    <t>TATA MOTORS - LPT 1412 DCR 42 CBC 125 MS BS 6</t>
  </si>
  <si>
    <t>MR. RATDIYA NILESH JAGJIVANBHAI</t>
  </si>
  <si>
    <t>GJ36S2622</t>
  </si>
  <si>
    <t>213003/31/26/000208</t>
  </si>
  <si>
    <t>JOHN DEERE - 5310 HARVESTER</t>
  </si>
  <si>
    <t>IMLIS CERAMICA LLP</t>
  </si>
  <si>
    <t xml:space="preserve"> 99094 33337</t>
  </si>
  <si>
    <t>GJ36V4386</t>
  </si>
  <si>
    <t>213003/31/26/000210</t>
  </si>
  <si>
    <t>MAHINDRA AND MAHINDRA - BOLERO CAMPER GOLD ZX 2WD PS BS 6</t>
  </si>
  <si>
    <t>MR. MANJIBHAI VADHLEKIYA</t>
  </si>
  <si>
    <t>GJ36S3084</t>
  </si>
  <si>
    <t>213003/31/26/000207</t>
  </si>
  <si>
    <t>JOHN DEERE - JD 5310 TRACTOR</t>
  </si>
  <si>
    <t>99094 33337</t>
  </si>
  <si>
    <t>UP92AT8942</t>
  </si>
  <si>
    <t>0604003125P100391095</t>
  </si>
  <si>
    <t>Mahindra &amp; Mahindra / BOL MAXX PUP HD 1.3 LX</t>
  </si>
  <si>
    <t>MR VIKAS KUMAR</t>
  </si>
  <si>
    <t>95208 08517</t>
  </si>
  <si>
    <t>GJ36V4336</t>
  </si>
  <si>
    <t>3003/388015672/00/B00</t>
  </si>
  <si>
    <t>SFC GOLD 407 PB CNG</t>
  </si>
  <si>
    <t>PRAVINBHAI LAKHABHAI SABARIYA</t>
  </si>
  <si>
    <t xml:space="preserve"> 99134 46989</t>
  </si>
  <si>
    <t>GJ14X7259</t>
  </si>
  <si>
    <t>POCMVGC0100312137</t>
  </si>
  <si>
    <t>Mr.CHAUHAN RAJESHBHAI GANDALAL</t>
  </si>
  <si>
    <t>3379/04328594/000/00</t>
  </si>
  <si>
    <t>GJ03AW9371</t>
  </si>
  <si>
    <t>12-1831-0006883357-00</t>
  </si>
  <si>
    <t>LPT 1109 H</t>
  </si>
  <si>
    <t>Jadav Naresh Selabhai</t>
  </si>
  <si>
    <t>GJ03AT2922</t>
  </si>
  <si>
    <t>12-1831-0006883418-00</t>
  </si>
  <si>
    <t>Amreliya Tofik</t>
  </si>
  <si>
    <t>POCMVGC0100312895</t>
  </si>
  <si>
    <t>GJ36T6744</t>
  </si>
  <si>
    <t>POCMVGC0100313431</t>
  </si>
  <si>
    <t>Mr.MAJETHIYA HASAMUKHBHAI MOTIBHAI</t>
  </si>
  <si>
    <t>GJ36U9746</t>
  </si>
  <si>
    <t>6302951107 00 00</t>
  </si>
  <si>
    <t>Mr RANPARA RAGHUBHAI RAVJIBHAI</t>
  </si>
  <si>
    <t>96647 49499</t>
  </si>
  <si>
    <t>GJ36V8384</t>
  </si>
  <si>
    <t>P0026100004/4103/100139</t>
  </si>
  <si>
    <t>ASHOK LEYLAND 3118 ILSUPER/PLATFORM</t>
  </si>
  <si>
    <t>Mr BORAKHATARIYA KISHANKUMAR DEVAYATBHA</t>
  </si>
  <si>
    <t>98989 36070</t>
  </si>
  <si>
    <t>GJ36V9803</t>
  </si>
  <si>
    <t>AVO/2315/11855058</t>
  </si>
  <si>
    <t>TATA LPT 4825 10X2 BSVI</t>
  </si>
  <si>
    <t>PATHAN SARFRAJKHAN YUNUSKHAN</t>
  </si>
  <si>
    <t>UNIVERSAL SOMPO</t>
  </si>
  <si>
    <t>GJ36V1322</t>
  </si>
  <si>
    <t>161122523340003882</t>
  </si>
  <si>
    <t>MR. MR MAKSUDBHAI,RAHIMBHAI GHONIYA</t>
  </si>
  <si>
    <t>GJ09Z5569</t>
  </si>
  <si>
    <t>161122523340003876</t>
  </si>
  <si>
    <t>TATA LPT &amp; 1109G/49 HSD BSVI</t>
  </si>
  <si>
    <t>MR. DABHI MUNABHAI LIMBABHAI</t>
  </si>
  <si>
    <t>GJ13W2853</t>
  </si>
  <si>
    <t>6302954916 00 00</t>
  </si>
  <si>
    <t>ASHOK LEYLAND/1616/ XL STD/OPEN/TIPPER</t>
  </si>
  <si>
    <t>DHARMDEEP STONE CRUSHER</t>
  </si>
  <si>
    <t>GJ36V9969</t>
  </si>
  <si>
    <t>POCMVGC0100316039</t>
  </si>
  <si>
    <t xml:space="preserve">Signa 3525.K - Tipper
</t>
  </si>
  <si>
    <t>Mr.RATHOD RAMSIBHAI RANCHHODBHAI</t>
  </si>
  <si>
    <t>UP64AT7678</t>
  </si>
  <si>
    <t>161122523340003934</t>
  </si>
  <si>
    <t>MR. LOLADIYA AJAD ADAMBHAI</t>
  </si>
  <si>
    <t>3380/02848851/000/00</t>
  </si>
  <si>
    <t>HD 76</t>
  </si>
  <si>
    <t>FUTURE CERAMIC PVT LTD</t>
  </si>
  <si>
    <t>98750 64985</t>
  </si>
  <si>
    <t>20/04/2026</t>
  </si>
  <si>
    <t>GJ36T3649</t>
  </si>
  <si>
    <t>161522523340005787</t>
  </si>
  <si>
    <t>M/S AMAR ENERGY INDUSTRIES</t>
  </si>
  <si>
    <t>GJ01CY5311</t>
  </si>
  <si>
    <t>3003/388502658/00/000</t>
  </si>
  <si>
    <t>EICHER 10.59.</t>
  </si>
  <si>
    <t>KHORAM ALAUDIN HAMIRKHA</t>
  </si>
  <si>
    <t>GJ36W9800</t>
  </si>
  <si>
    <t>6302958161 00 00</t>
  </si>
  <si>
    <t>BAJAJ AUTO/RE MAXIM A/CARGO CNG/OPEN/P ICK UP VAN</t>
  </si>
  <si>
    <t>Mr PARMAR JAYDIP NARSHIBHAI</t>
  </si>
  <si>
    <t xml:space="preserve"> 81284 84090</t>
  </si>
  <si>
    <t>23/04/2026</t>
  </si>
  <si>
    <t>GJ36V3994</t>
  </si>
  <si>
    <t>213003/31/26/000616</t>
  </si>
  <si>
    <t>MAHINDRA AND MAHINDRA - BOLERO MAXITRUCK PLUS CNG MS BS 6</t>
  </si>
  <si>
    <t>MR. MULTANI YAMINBHAI SULEMANBHAI</t>
  </si>
  <si>
    <t>12-1831-0006912756-00</t>
  </si>
  <si>
    <t>Multani Farukbhai Allaudinbhai</t>
  </si>
  <si>
    <t>GJ36U8372</t>
  </si>
  <si>
    <t>6302958143 00 00</t>
  </si>
  <si>
    <t>Mr KHAMBHALA DEVRAJBHAI NARANBHAI</t>
  </si>
  <si>
    <t>GJ36V3898</t>
  </si>
  <si>
    <t>3379/04332338/000/00</t>
  </si>
  <si>
    <t>ANIILBHAI BALUBHAI RAIYANI</t>
  </si>
  <si>
    <t>GJ10TX6445</t>
  </si>
  <si>
    <t>6302961072 00 00</t>
  </si>
  <si>
    <t>Mr CHAUHAN RAMESH</t>
  </si>
  <si>
    <t>GJ10Z6005</t>
  </si>
  <si>
    <t>POCMVGC0100317147</t>
  </si>
  <si>
    <t>Mr.SADHAVANI ABBASBHAI JUSABBHAI</t>
  </si>
  <si>
    <t>GJ14AT1819</t>
  </si>
  <si>
    <t>POCMVGC0100317036</t>
  </si>
  <si>
    <t>Mr.BHARVAD RANCHODBHAI KHODABHAI</t>
  </si>
  <si>
    <t>6351 000 398</t>
  </si>
  <si>
    <t>NEW</t>
  </si>
  <si>
    <t>VGC1330100000100</t>
  </si>
  <si>
    <t>PRO 2118 XP P L HSD 22FT BSVI NGB 7S</t>
  </si>
  <si>
    <t>1,82,50</t>
  </si>
  <si>
    <t>VGC1330102000100</t>
  </si>
  <si>
    <t>GOVANI JIGNESH</t>
  </si>
  <si>
    <t>GJ36V8544</t>
  </si>
  <si>
    <t>POCMVGC0100318273</t>
  </si>
  <si>
    <t>GAMARA LADHUBHAI TAPUBHA</t>
  </si>
  <si>
    <t>GJ14Z5859</t>
  </si>
  <si>
    <t>POCMVGC0100318446</t>
  </si>
  <si>
    <t>MOVAR IMRAN ALLARAKHABHAI</t>
  </si>
  <si>
    <t>15/04/2026</t>
  </si>
  <si>
    <t>GJ36X5145</t>
  </si>
  <si>
    <t>3379/04334533/000/00</t>
  </si>
  <si>
    <t>GJ36V6890</t>
  </si>
  <si>
    <t>3379/04334688/000/00</t>
  </si>
  <si>
    <t>FARUKBHAI GULAMHUSHENBHAI BLOCH</t>
  </si>
  <si>
    <t>13/04/2025</t>
  </si>
  <si>
    <t>3003/388738694/00/000</t>
  </si>
  <si>
    <t>213003/31/26/000811</t>
  </si>
  <si>
    <t>MR. VIKRAMBHAI DHIRAJLAL PANSARA</t>
  </si>
  <si>
    <t>14/04/2025</t>
  </si>
  <si>
    <t>GJ03AW2529</t>
  </si>
  <si>
    <t>P0026100006/4103/100512</t>
  </si>
  <si>
    <t>ASHOK LEYLAND 3116 8X2/OPEN</t>
  </si>
  <si>
    <t>KISHAN RATILALBHAI MANATAR</t>
  </si>
  <si>
    <t>83203 18868</t>
  </si>
  <si>
    <t>15/04/2025</t>
  </si>
  <si>
    <t>GJ36W8886</t>
  </si>
  <si>
    <t>6302969373 00 00</t>
  </si>
  <si>
    <t>Mr HALVADIYA VIPUL NATUBHAI</t>
  </si>
  <si>
    <t>98751 19831</t>
  </si>
  <si>
    <t>GJ36W1761</t>
  </si>
  <si>
    <t>6302969367 00 00</t>
  </si>
  <si>
    <t>ATUL AUTO/SHAKTI/CA RGO X L/OPEN/PICK UP VAN</t>
  </si>
  <si>
    <t>Mr JAYESH BHIMABHAI PANCHIYA</t>
  </si>
  <si>
    <t>GJ12AU6596</t>
  </si>
  <si>
    <t>P0026200007/4103/100431</t>
  </si>
  <si>
    <t>ASHOK LEYLAND 3116 IL/OPEN</t>
  </si>
  <si>
    <t>Mr AGHAM HANIFBHAI MAHAMADBHAI</t>
  </si>
  <si>
    <t xml:space="preserve"> 94272 77184</t>
  </si>
  <si>
    <t>17/04/2026</t>
  </si>
  <si>
    <t>GJ36T3597</t>
  </si>
  <si>
    <t>POCMVGC0100320219</t>
  </si>
  <si>
    <t>GAMARA MASABHAI HIRABHAI</t>
  </si>
  <si>
    <t>97120 48685</t>
  </si>
  <si>
    <t>GJ36U6676</t>
  </si>
  <si>
    <t>6302969342 00 00</t>
  </si>
  <si>
    <t>Mr SOMJIBHAI GANESHBHAI DELVANIYA</t>
  </si>
  <si>
    <t>96648 54602</t>
  </si>
  <si>
    <t>GJ10TV1693</t>
  </si>
  <si>
    <t>12-1831-0006940480-00</t>
  </si>
  <si>
    <t>EECO</t>
  </si>
  <si>
    <t>Bukhari Abedinmiya Abasmiya</t>
  </si>
  <si>
    <t>14-04-2026</t>
  </si>
  <si>
    <t>GJ03AT1897</t>
  </si>
  <si>
    <t>6302971475 00 00</t>
  </si>
  <si>
    <t>TATA MOTORS/LPT 110 9/STANDARD/CLOSED/ TRUCK</t>
  </si>
  <si>
    <t>Mr PATHAN JAHIRKHAN JAYBULBHAI</t>
  </si>
  <si>
    <t>17/04/2025</t>
  </si>
  <si>
    <t>GJ36U9461</t>
  </si>
  <si>
    <t>6302975788 00 00</t>
  </si>
  <si>
    <t>ATUL AUTO/SHAKTI/DE LIVERY VAN/CLOSED/PI CK UP VAN</t>
  </si>
  <si>
    <t>Mr FAIM JAHANGIRBHAI DHUNDHA</t>
  </si>
  <si>
    <t>16/04/2026</t>
  </si>
  <si>
    <t>GJ36U9727</t>
  </si>
  <si>
    <t>6302975763 00 00</t>
  </si>
  <si>
    <t>Mr DANGAR SAVAN KANJIBHAI</t>
  </si>
  <si>
    <t xml:space="preserve"> 6353 882 120</t>
  </si>
  <si>
    <t>GJ13AW0238</t>
  </si>
  <si>
    <t>12-1831-0006954322-00</t>
  </si>
  <si>
    <t>Patadiya Vishal Jadavbhai</t>
  </si>
  <si>
    <t>15-04-2026</t>
  </si>
  <si>
    <t>3379/04337348/000/00</t>
  </si>
  <si>
    <t>BOLERO MAXX PUP - 1.7 VXI HD</t>
  </si>
  <si>
    <t>96623 47108</t>
  </si>
  <si>
    <t>GJ03AV8952</t>
  </si>
  <si>
    <t>POCMVGC0100322042</t>
  </si>
  <si>
    <t>Mr.BLOCH IDRISH BASIRBHAI</t>
  </si>
  <si>
    <t>18/04/2025</t>
  </si>
  <si>
    <t>GJ36W9115</t>
  </si>
  <si>
    <t>6302979111 00 00</t>
  </si>
  <si>
    <t>Mr GOHEL JIGNESHBHAI</t>
  </si>
  <si>
    <t xml:space="preserve"> 79845 61322</t>
  </si>
  <si>
    <t>GJ36V6607</t>
  </si>
  <si>
    <t>3379/04338399/000/00</t>
  </si>
  <si>
    <t>MUKESHBHAI CHANDUBHAI DEGAMA</t>
  </si>
  <si>
    <t>91066 07870</t>
  </si>
  <si>
    <t>3379/04338398/000/00</t>
  </si>
  <si>
    <t>NILESH JAGJIVANBHAI RATDIYA</t>
  </si>
  <si>
    <t>19/04/2025</t>
  </si>
  <si>
    <t>GJ03AX4725</t>
  </si>
  <si>
    <t>P0026100019/4103/100109</t>
  </si>
  <si>
    <t>ASHOK LEYLAND 3116 IM/TRUCK</t>
  </si>
  <si>
    <t>Mr RAJUBHAI JESINGBHAI GHUSADIYA</t>
  </si>
  <si>
    <t>GJ10TW7265</t>
  </si>
  <si>
    <t>6302981326 00 00</t>
  </si>
  <si>
    <t>Mr VADALIYA NAVNITBHAI M</t>
  </si>
  <si>
    <t>GJ36W1572</t>
  </si>
  <si>
    <t>6302981323 00 00</t>
  </si>
  <si>
    <t>Mr NARANBHAI LALJIBHAI KANGAD</t>
  </si>
  <si>
    <t>97236 56637</t>
  </si>
  <si>
    <t>20/04/2025</t>
  </si>
  <si>
    <t>POPAT NITIN</t>
  </si>
  <si>
    <t>GJ36W9233</t>
  </si>
  <si>
    <t>KURESHI ASIF</t>
  </si>
  <si>
    <t>GJ36V6932</t>
  </si>
  <si>
    <t>MUNIR GHONIYA</t>
  </si>
  <si>
    <t>22/04/2026</t>
  </si>
  <si>
    <t>GJ36U9765</t>
  </si>
  <si>
    <t>GAMARA VIJAY</t>
  </si>
  <si>
    <t>GJ03AX5506</t>
  </si>
  <si>
    <t>TATA 1109</t>
  </si>
  <si>
    <t>KAROTRA CHETAN</t>
  </si>
  <si>
    <t>GJ36X0943</t>
  </si>
  <si>
    <t>NILESH KHMABHLA</t>
  </si>
  <si>
    <t>GJ36T9011</t>
  </si>
  <si>
    <t>KEVAL JOBANPUTRA</t>
  </si>
  <si>
    <t>GJ36T9102</t>
  </si>
  <si>
    <t>HASMUKH NAROLA</t>
  </si>
  <si>
    <t>GJ03AT3540</t>
  </si>
  <si>
    <t>P0026100006/4103/100654</t>
  </si>
  <si>
    <t>TATA LPK 2518 2518 HD/TIPPER</t>
  </si>
  <si>
    <t>Mr CHHAIYA RAMESHBHAI D</t>
  </si>
  <si>
    <t>6355 775 651</t>
  </si>
  <si>
    <t>GJ03BV5112</t>
  </si>
  <si>
    <t>POLICY CANCEL REFUND</t>
  </si>
  <si>
    <t>10000 MINUS PAYOUT NA</t>
  </si>
  <si>
    <t>GJ36T4592</t>
  </si>
  <si>
    <t>8250 MINUS PAYOUT NA</t>
  </si>
  <si>
    <t>21/04/2025</t>
  </si>
  <si>
    <t>GJ12Y9995</t>
  </si>
  <si>
    <t>12-1831-0006977682-00</t>
  </si>
  <si>
    <t>LPK 2516 TC</t>
  </si>
  <si>
    <t>Payak Gafar Sidikbhai</t>
  </si>
  <si>
    <t>82008 73592</t>
  </si>
  <si>
    <t>20-04-2026</t>
  </si>
  <si>
    <t>GJ36V6590</t>
  </si>
  <si>
    <t>6302986147 00 00</t>
  </si>
  <si>
    <t>MAHINDRA/MAXX/PUP HD 1.7L VXI/OPEN/PICK UP VAN</t>
  </si>
  <si>
    <t>Mr ALTAF SALEMANBHAI KORADIYA</t>
  </si>
  <si>
    <t>94085 27335</t>
  </si>
  <si>
    <t>21/04/2026</t>
  </si>
  <si>
    <t>22/04/2025</t>
  </si>
  <si>
    <t>GJ36T3687</t>
  </si>
  <si>
    <t>12-1831-0006983597-00</t>
  </si>
  <si>
    <t>3118 T</t>
  </si>
  <si>
    <t>Jaydeep Associates Private Limited</t>
  </si>
  <si>
    <t>94298 82985</t>
  </si>
  <si>
    <t>GJ36V7906</t>
  </si>
  <si>
    <t>N3185841</t>
  </si>
  <si>
    <t>FORCE MOTORS TRAVELLER GVW MINI BUS</t>
  </si>
  <si>
    <t>SINDHABHAI KARSHANBHAI KAVETHIYA</t>
  </si>
  <si>
    <t>GJ04Z5330</t>
  </si>
  <si>
    <t>N3185866</t>
  </si>
  <si>
    <t>FORCE MOTORS TRAX TOOFAN</t>
  </si>
  <si>
    <t>KALPESH GOVINDBHAI SARALA</t>
  </si>
  <si>
    <t>6353-141831</t>
  </si>
  <si>
    <t>23/04/2025</t>
  </si>
  <si>
    <t>GJ36W5780</t>
  </si>
  <si>
    <t>6302991498 00 00</t>
  </si>
  <si>
    <t>Mr KANDAS RAMESHBHAI NIMAVAT</t>
  </si>
  <si>
    <t>GJ36U6955</t>
  </si>
  <si>
    <t>6302991492 00 00</t>
  </si>
  <si>
    <t>Mr FAKIR RAMZAN ALISHABHAI</t>
  </si>
  <si>
    <t>GJ03BV7171</t>
  </si>
  <si>
    <t>12-1831-0006990607-00</t>
  </si>
  <si>
    <t>Manojbhai Harjivanbhai Panchal</t>
  </si>
  <si>
    <t>21-04-2026</t>
  </si>
  <si>
    <t>24/04/2025</t>
  </si>
  <si>
    <t>GJ13AX1482</t>
  </si>
  <si>
    <t>3379/04342665/000/00</t>
  </si>
  <si>
    <t>MOHSINBHAI HANIFBHAI PATHAN</t>
  </si>
  <si>
    <t>GJ36V6695</t>
  </si>
  <si>
    <t>3379/04342664/000/00</t>
  </si>
  <si>
    <t>NARESHBHAI NARSHIBHAI MAGVANIYA</t>
  </si>
  <si>
    <t>GJ03BZ3129</t>
  </si>
  <si>
    <t>3379/04342663/000/00</t>
  </si>
  <si>
    <t>JITENDRA LAXMANBHAI INDARIYA</t>
  </si>
  <si>
    <t>GJ36V3759</t>
  </si>
  <si>
    <t>3379/04342666/000/00</t>
  </si>
  <si>
    <t>KISHOR LALAJIBHAI CHAROLA</t>
  </si>
  <si>
    <t>GJ36T6473</t>
  </si>
  <si>
    <t>12-1831-0006997453-00</t>
  </si>
  <si>
    <t>ECOMET 1214</t>
  </si>
  <si>
    <t>Sipai Munvar Faruk</t>
  </si>
  <si>
    <t>99784 60453</t>
  </si>
  <si>
    <t>22-04-2026</t>
  </si>
  <si>
    <t>GJ36V2410</t>
  </si>
  <si>
    <t>213003/31/26/001516</t>
  </si>
  <si>
    <t>J K SOLT SUPLLYERS</t>
  </si>
  <si>
    <t>GJ36V2402</t>
  </si>
  <si>
    <t>6302994504 00 00</t>
  </si>
  <si>
    <t>ASHOK LEYLAND/DOS T/PLUS RLX/OPEN/PICK UP VAN</t>
  </si>
  <si>
    <t>Mr KHOKHAR YUNUSBHAI AADAMBHAI</t>
  </si>
  <si>
    <t xml:space="preserve"> 99257 25581</t>
  </si>
  <si>
    <t>25/04/2025</t>
  </si>
  <si>
    <t>GJ18AZ5597</t>
  </si>
  <si>
    <t>201340020725700044000000</t>
  </si>
  <si>
    <t>MAHINDRA/SUPRO MAXITRUCK/T4</t>
  </si>
  <si>
    <t>BHARAT DHANABHAI KARANGIYA</t>
  </si>
  <si>
    <t>GJ36X0405</t>
  </si>
  <si>
    <t>3379/04343730/000/00</t>
  </si>
  <si>
    <t>SANDIPBHAI JAYANTIBHAI THARESHA</t>
  </si>
  <si>
    <t>26/04/2025</t>
  </si>
  <si>
    <t>GJ10X9794</t>
  </si>
  <si>
    <t>0604003125P101519439</t>
  </si>
  <si>
    <t>TATA MOTORS/ LPT 909 EX 2/34WB BS IV 2019</t>
  </si>
  <si>
    <t>MR DHARMENDRABHAI KANJIBHAI KANANI</t>
  </si>
  <si>
    <t>79-84935959</t>
  </si>
  <si>
    <t>GJ03AZ3586</t>
  </si>
  <si>
    <t>AVO/2315/11887652</t>
  </si>
  <si>
    <t>TATA MOTORS LPT 1109 H EX2 HSD</t>
  </si>
  <si>
    <t>RABARI ARJUN BIJAL</t>
  </si>
  <si>
    <t>26/04/2026</t>
  </si>
  <si>
    <t>GJ03SS6435</t>
  </si>
  <si>
    <t>POCMVMI0100160617</t>
  </si>
  <si>
    <t>DI 740</t>
  </si>
  <si>
    <t>Mr. ZALARIYA HARESHBHAI GOPALBHAI</t>
  </si>
  <si>
    <t>70161 62447</t>
  </si>
  <si>
    <t>27/04/2025</t>
  </si>
  <si>
    <t>GJ36W6471</t>
  </si>
  <si>
    <t>6303003101 00 00</t>
  </si>
  <si>
    <t>Mr JAYANTIBHAI NATHABHAI MER</t>
  </si>
  <si>
    <t>GJ36V6945</t>
  </si>
  <si>
    <t>3379/04345629/000/00</t>
  </si>
  <si>
    <t>PRAKASHBHAI RAMUBHAI DEVIPUJAK</t>
  </si>
  <si>
    <t>29/04/2025</t>
  </si>
  <si>
    <t>GJ17Y9045</t>
  </si>
  <si>
    <t>0604003125P101674957</t>
  </si>
  <si>
    <t>TATA MOTORS/LPT 909 EX2/34WB BS IV 2019</t>
  </si>
  <si>
    <t xml:space="preserve">MR LALJI VASUDEVBHAI LAMBARIYA </t>
  </si>
  <si>
    <t xml:space="preserve"> 99095 77942</t>
  </si>
  <si>
    <t>30/04/2025</t>
  </si>
  <si>
    <t>GJ04AT7364</t>
  </si>
  <si>
    <t>201340020725700045500000</t>
  </si>
  <si>
    <t>ASHOK LEYLAND/DOST/L E</t>
  </si>
  <si>
    <t>GOSWAMI VIPULGIRI NAHERUGIRI</t>
  </si>
  <si>
    <t>30/04/2026</t>
  </si>
  <si>
    <t>GJ36V4187</t>
  </si>
  <si>
    <t>213003/31/26/001926</t>
  </si>
  <si>
    <t>MR. KHINT ARJUN RAIYABHAI</t>
  </si>
  <si>
    <t>29/04/2026</t>
  </si>
  <si>
    <t>GJ14AT8119</t>
  </si>
  <si>
    <t>6303010413 00 00</t>
  </si>
  <si>
    <t>Mr FANGALIYA AMARABHAI</t>
  </si>
  <si>
    <t>GJ14Z0112</t>
  </si>
  <si>
    <t>6303010407 00 00</t>
  </si>
  <si>
    <t>TATA MOTORS/LPT 110 9/36 CAB EX/OPEN/TRU CK</t>
  </si>
  <si>
    <t>Mr SOLANKI ASIF VALIBHAI</t>
  </si>
  <si>
    <t>GJ12Z2929</t>
  </si>
  <si>
    <t>12-1831-0007038578-00</t>
  </si>
  <si>
    <t>Sherasiya Inayatbhai Hushenbhai</t>
  </si>
  <si>
    <t>26-04-2026</t>
  </si>
  <si>
    <t>GJ36W8080</t>
  </si>
  <si>
    <t>6303014160 00 00</t>
  </si>
  <si>
    <t>Mr ARJAN SAVABHAI BHARVAD</t>
  </si>
  <si>
    <t>GJ25U2469</t>
  </si>
  <si>
    <t>6303015277 00 00</t>
  </si>
  <si>
    <t>Mr PABSARIYA KANJI CHAGANBHAI</t>
  </si>
  <si>
    <t>GJ03BV9056</t>
  </si>
  <si>
    <t>161522523340006529</t>
  </si>
  <si>
    <t>MAHINDRA SUPRO &amp; MINITRUCK EXCEL BS6.2</t>
  </si>
  <si>
    <t>MR. RAJESHBHAI RAMESHBHAI DEKAVADIYA</t>
  </si>
  <si>
    <t>GJ27CQ1447</t>
  </si>
  <si>
    <t>3382/00383925/000/00</t>
  </si>
  <si>
    <t>ANVAR ABDULBHAI SUMRA</t>
  </si>
  <si>
    <t>GJ36V1237</t>
  </si>
  <si>
    <t>6303015470 00 00</t>
  </si>
  <si>
    <t>Mr DHAVALBHAI DINESHBHAI RACHCHH</t>
  </si>
  <si>
    <t>6303015801 00 00</t>
  </si>
  <si>
    <t>TATA MOTORS/YODHA/ CREW CABIN 4X2/OPE N/PICK UP VAN</t>
  </si>
  <si>
    <t>84606 11126</t>
  </si>
  <si>
    <t>GJ36V6315</t>
  </si>
  <si>
    <t>213001/31/26/002204</t>
  </si>
  <si>
    <t>MR. BHAVESHBHAI BIJALBHAI MUNDHAVA</t>
  </si>
  <si>
    <t xml:space="preserve"> 98794 12097</t>
  </si>
  <si>
    <t>63518 85520</t>
  </si>
  <si>
    <t>GJ36S3605</t>
  </si>
  <si>
    <t>3382/00384011/000/00</t>
  </si>
  <si>
    <t>CLG 836N</t>
  </si>
  <si>
    <t>RAVI STONE MICRONS LLP</t>
  </si>
  <si>
    <t>GJ36S3936</t>
  </si>
  <si>
    <t>3382/00384013/000/00</t>
  </si>
  <si>
    <t>GJ36S3978</t>
  </si>
  <si>
    <t>3382/00384012/000/00</t>
  </si>
  <si>
    <t>GJ13W0781</t>
  </si>
  <si>
    <t>12-1831-0007053425-00</t>
  </si>
  <si>
    <t>Sarala Bhagavanbhai Maganbhai</t>
  </si>
  <si>
    <t>78749 35281</t>
  </si>
  <si>
    <t>GJ36V1601</t>
  </si>
  <si>
    <t>213001/31/26/002267</t>
  </si>
  <si>
    <t>MAHINDRA AND MAHINDRA - BOLERO CAMPER 2WD POWER STEERING BS6</t>
  </si>
  <si>
    <t>MR. SURENDRASINH SUKHDEVSINH JADEJA</t>
  </si>
  <si>
    <t>GJ03BT1478</t>
  </si>
  <si>
    <t>201340020725700046300000</t>
  </si>
  <si>
    <t>VAGHELA BHARATBHAI DHAMABHAI</t>
  </si>
  <si>
    <t>95375 31987</t>
  </si>
  <si>
    <t>99090 64978</t>
  </si>
  <si>
    <t>GJ36T7329</t>
  </si>
  <si>
    <t>3379/04351182/000/00</t>
  </si>
  <si>
    <t>BOLERO - PICK UP FB PS 1.7 T XL</t>
  </si>
  <si>
    <t>VAGHARI GOPALBHAI SADURBHAI</t>
  </si>
  <si>
    <t>GJ20V9152</t>
  </si>
  <si>
    <t>3379/04351412/000/00</t>
  </si>
  <si>
    <t>BOLERO - PIK UP FB PS 1.25T BS IV</t>
  </si>
  <si>
    <t>NALVAYA BIPINBHAI BHAGABHAI</t>
  </si>
  <si>
    <t>GJ03AZ6519</t>
  </si>
  <si>
    <t>201340020725700046800000</t>
  </si>
  <si>
    <t>KISHANBHAI VITHTHALBHAI CHAROLIYA</t>
  </si>
  <si>
    <t>GJ03BT2006</t>
  </si>
  <si>
    <t>6303023735 00 00</t>
  </si>
  <si>
    <t>Mr PATADIYA RAJUBHAI DHIRUBHAI</t>
  </si>
  <si>
    <t>3003/391690852/00/B00</t>
  </si>
  <si>
    <t>TATA MOTORS / SFC GOLD 407</t>
  </si>
  <si>
    <t>GJ12AW9147</t>
  </si>
  <si>
    <t>D200781720 / 06052025</t>
  </si>
  <si>
    <t>3116 IL / 10.8 CUM BSIV</t>
  </si>
  <si>
    <t>KABIR TEKARI MORBI</t>
  </si>
  <si>
    <t>GJ36T5293</t>
  </si>
  <si>
    <t>0604003125P102069340</t>
  </si>
  <si>
    <t xml:space="preserve">BOLERO PICK UP FB PS MH 2WD BS III </t>
  </si>
  <si>
    <t>MR. TOTA VIRABHAI BHOPABHAI</t>
  </si>
  <si>
    <t>GJ36W3410</t>
  </si>
  <si>
    <t>6303030625 00 00</t>
  </si>
  <si>
    <t>GJ04AU4770</t>
  </si>
  <si>
    <t>6303030630 00 00</t>
  </si>
  <si>
    <t>GJ36V8648</t>
  </si>
  <si>
    <t>P0026100006/4103/101192</t>
  </si>
  <si>
    <t>Mr JADEJA CHANDRASINH</t>
  </si>
  <si>
    <t> 94283 92499‬</t>
  </si>
  <si>
    <t>93283 41934</t>
  </si>
  <si>
    <t>GJ36V4237</t>
  </si>
  <si>
    <t>3003/392037206/00/000</t>
  </si>
  <si>
    <t>TOTA VIRABHAI BHOPABHAI</t>
  </si>
  <si>
    <t>GJ36V6850</t>
  </si>
  <si>
    <t>3003/392080104/00/000</t>
  </si>
  <si>
    <t>BOLERO MAXX PUP HD 2.0L LX</t>
  </si>
  <si>
    <t>MUNDHAVA SANDIP SELABHAI</t>
  </si>
  <si>
    <t>GJ36T0564</t>
  </si>
  <si>
    <t>0604003125P102283991</t>
  </si>
  <si>
    <t>Mahindra &amp; Mahindra / BOLERO PICK UP FB PS MH 2WD BS III</t>
  </si>
  <si>
    <t>99092 79215</t>
  </si>
  <si>
    <t>GJ12BW5221</t>
  </si>
  <si>
    <t>12-1831-0007104102-00</t>
  </si>
  <si>
    <t>Akbarbhai Abdulbhai Raja</t>
  </si>
  <si>
    <t>GJ03BZ6326</t>
  </si>
  <si>
    <t>3003/392236108/00/000</t>
  </si>
  <si>
    <t>MUNDHVA MONABHAI TEJABHAI</t>
  </si>
  <si>
    <t>13/05/2026</t>
  </si>
  <si>
    <t>GJ13AT2629</t>
  </si>
  <si>
    <t>201340020725700048200000</t>
  </si>
  <si>
    <t>MAHINDRA/BOLER O MAXI TRUCK</t>
  </si>
  <si>
    <t>VAGHARI MUNNABHAI SADULBHAI</t>
  </si>
  <si>
    <t>GJ36T2321</t>
  </si>
  <si>
    <t>201340020725700048100000</t>
  </si>
  <si>
    <t>MARUTI/SUPER CARRY/DIESEL STD</t>
  </si>
  <si>
    <t>MOVAR ISHAK TAJMAMAD</t>
  </si>
  <si>
    <t>GJ03Z6835</t>
  </si>
  <si>
    <t>12-1831-0007107969-00</t>
  </si>
  <si>
    <t>Khokhar Salimbhai Adambhai</t>
  </si>
  <si>
    <t>99095 40573</t>
  </si>
  <si>
    <t>GJ36V6571</t>
  </si>
  <si>
    <t>VGC1333698000100</t>
  </si>
  <si>
    <t>EA 1920/66 H CO</t>
  </si>
  <si>
    <t>M/s.MARUTI CARGO MOVERS</t>
  </si>
  <si>
    <t>1,85,00</t>
  </si>
  <si>
    <t>GJ36V8317</t>
  </si>
  <si>
    <t>P0026100006/4103/100648</t>
  </si>
  <si>
    <t>Mr GOPALBHAI RAMJIBHAI AL</t>
  </si>
  <si>
    <t>99793 83120</t>
  </si>
  <si>
    <t>GJ36T4338</t>
  </si>
  <si>
    <t>D201554794 / 10052025</t>
  </si>
  <si>
    <t>3118 IL / SUPER LIFT AXLE</t>
  </si>
  <si>
    <t>97239 84383</t>
  </si>
  <si>
    <t>GJ36T4409</t>
  </si>
  <si>
    <t>213003/31/26/002611</t>
  </si>
  <si>
    <t>MAHINDRA AND MAHINDRA - BOLERO MAXI TRUCK PLUS CBC 1.2 T BS6</t>
  </si>
  <si>
    <t>MR. LALJIBHAI PREMJIBHAI PARMAR</t>
  </si>
  <si>
    <t>97272 45213</t>
  </si>
  <si>
    <t>98259 20576</t>
  </si>
  <si>
    <t>14/05/2025</t>
  </si>
  <si>
    <t>GJ06AT2429</t>
  </si>
  <si>
    <t>12-1831-0007134577-00</t>
  </si>
  <si>
    <t>Imani Sabirbhai Umarbhai</t>
  </si>
  <si>
    <t>90169 01777</t>
  </si>
  <si>
    <t>79-90662393</t>
  </si>
  <si>
    <t>15-05-2026</t>
  </si>
  <si>
    <t>TATA HITACHI</t>
  </si>
  <si>
    <t>ETI0005823000100</t>
  </si>
  <si>
    <t>EX 130 SUPER PLUS</t>
  </si>
  <si>
    <t>Under 100T</t>
  </si>
  <si>
    <t>ETI0005824000100</t>
  </si>
  <si>
    <t>GJ36V4223</t>
  </si>
  <si>
    <t>3003/392576297/00/000</t>
  </si>
  <si>
    <t>M &amp; M / BOLERO MAXX PUP HD 2.0L VXI</t>
  </si>
  <si>
    <t>DHANDHANIA MANSUKHBHAI JETHABHAI</t>
  </si>
  <si>
    <t>14/05/2026</t>
  </si>
  <si>
    <t>15/05/2025</t>
  </si>
  <si>
    <t>GJ36V4058</t>
  </si>
  <si>
    <t>3379/04358649/000/00</t>
  </si>
  <si>
    <t>TOYATA VIPUL AMBABHAI</t>
  </si>
  <si>
    <t>17/05/2025</t>
  </si>
  <si>
    <t>GJ36V6713</t>
  </si>
  <si>
    <t>3379/04359673/000/00</t>
  </si>
  <si>
    <t>JANVI IMPEX</t>
  </si>
  <si>
    <t>63516 12374</t>
  </si>
  <si>
    <t>17/05/2026</t>
  </si>
  <si>
    <t xml:space="preserve">IS </t>
  </si>
  <si>
    <t>GJ36T4050</t>
  </si>
  <si>
    <t>AVO/2315/11928524</t>
  </si>
  <si>
    <t>BHARATBENZ 3123R 8X2 BS IV</t>
  </si>
  <si>
    <t xml:space="preserve"> Samariya Sushilaben</t>
  </si>
  <si>
    <t>98256 29644</t>
  </si>
  <si>
    <t>78786 68677</t>
  </si>
  <si>
    <t>16/05/2026</t>
  </si>
  <si>
    <t>GJ36X3969</t>
  </si>
  <si>
    <t xml:space="preserve">MAHINDRA BOLERO </t>
  </si>
  <si>
    <t>KHIRAIYA HEMANSHU</t>
  </si>
  <si>
    <t>19/05/2026</t>
  </si>
  <si>
    <t>GJ36U6554</t>
  </si>
  <si>
    <t>SALANI MANGALBHAI</t>
  </si>
  <si>
    <t>23/05/2026</t>
  </si>
  <si>
    <t>GJ36W2143</t>
  </si>
  <si>
    <t xml:space="preserve"> 3W PCV</t>
  </si>
  <si>
    <t>DINESH DHAMECHA</t>
  </si>
  <si>
    <t>GJ12AU8649</t>
  </si>
  <si>
    <t>TATA LPK 2516</t>
  </si>
  <si>
    <t>RAUMA ABEDHUSEN</t>
  </si>
  <si>
    <t>18/05/2026</t>
  </si>
  <si>
    <t>GJ03W7627</t>
  </si>
  <si>
    <t>JOGADIYA ASHOK</t>
  </si>
  <si>
    <t>20/05/2025</t>
  </si>
  <si>
    <t>GJ36V1922</t>
  </si>
  <si>
    <t>6303061645 00 00</t>
  </si>
  <si>
    <t>ASHOK LEYLAND/DOS T/PLUS RLS DIESEL/OPE N/PICK UP VAN</t>
  </si>
  <si>
    <t>SHREE RAM PUBLICITY</t>
  </si>
  <si>
    <t>98249 31922</t>
  </si>
  <si>
    <t>81604 12759</t>
  </si>
  <si>
    <t>GJ12AV5337</t>
  </si>
  <si>
    <t>12-1831-0007176871-00</t>
  </si>
  <si>
    <t>BOLERO PICK UP</t>
  </si>
  <si>
    <t>Chauhan Rajak Karimbhai</t>
  </si>
  <si>
    <t>94288 60441</t>
  </si>
  <si>
    <t>18-05-2026</t>
  </si>
  <si>
    <t xml:space="preserve">BAJAJ </t>
  </si>
  <si>
    <t>GJ36V8173</t>
  </si>
  <si>
    <t>OG-25-2204-1803-00000056</t>
  </si>
  <si>
    <t>TATA LPT 1212 1212LPTDCR42HSD125B6M5BSIV/TRUC</t>
  </si>
  <si>
    <t>Mr BAMBHAVA VIKRAM MAIYABHAI</t>
  </si>
  <si>
    <t>63538 60076</t>
  </si>
  <si>
    <t>GJ33T0502</t>
  </si>
  <si>
    <t>3003/393357897/00/B00</t>
  </si>
  <si>
    <t>MUNABHAI RATABHAI BHUNDIYA</t>
  </si>
  <si>
    <t>92650 57923</t>
  </si>
  <si>
    <t>74869 32194</t>
  </si>
  <si>
    <t>20/05/2026</t>
  </si>
  <si>
    <t>21/05/2025</t>
  </si>
  <si>
    <t>GJ36T1796</t>
  </si>
  <si>
    <t>12-1831-0007185214-00</t>
  </si>
  <si>
    <t>3118 IL</t>
  </si>
  <si>
    <t>Savaseta Devajibhai Ayadanbhai</t>
  </si>
  <si>
    <t>19-05-2026</t>
  </si>
  <si>
    <t xml:space="preserve">AL </t>
  </si>
  <si>
    <t>GJ36W0485</t>
  </si>
  <si>
    <t>6303064838 00 00</t>
  </si>
  <si>
    <t xml:space="preserve">3WGCV </t>
  </si>
  <si>
    <t>Mr DUDHREJIYA MAHESHBHAI BHIKHABHAI</t>
  </si>
  <si>
    <t>91 97253 22642</t>
  </si>
  <si>
    <t>22/05/2025</t>
  </si>
  <si>
    <t>GJ01CV3746</t>
  </si>
  <si>
    <t>12-1831-0007194033-00</t>
  </si>
  <si>
    <t>Jitendrasinh Dilavarsinh Jadeja</t>
  </si>
  <si>
    <t>94282 77711</t>
  </si>
  <si>
    <t>95377 04952</t>
  </si>
  <si>
    <t>21-05-2026</t>
  </si>
  <si>
    <t>GJ36W5279</t>
  </si>
  <si>
    <t>6303070327 00 00</t>
  </si>
  <si>
    <t>Mr VIKANI AJAY GIRDHARBHAI</t>
  </si>
  <si>
    <t xml:space="preserve">MT </t>
  </si>
  <si>
    <t>GJ23AT4005</t>
  </si>
  <si>
    <t>3003/393579652/00/B00</t>
  </si>
  <si>
    <t>KHALIFA SALIMBHAI ALIBHAI</t>
  </si>
  <si>
    <t>22/05/2026</t>
  </si>
  <si>
    <t>GJ03BV5360</t>
  </si>
  <si>
    <t>161522523340006992</t>
  </si>
  <si>
    <t>MAHINDRA SUPRO &amp; MINI TRUCK BS4 WD</t>
  </si>
  <si>
    <t>MR. MO NSFIS</t>
  </si>
  <si>
    <t xml:space="preserve">OF </t>
  </si>
  <si>
    <t>24/05/2025</t>
  </si>
  <si>
    <t>GJ36V6842</t>
  </si>
  <si>
    <t>6303074717 00 00</t>
  </si>
  <si>
    <t>TATA MOTORS/ACE/CN G 2.0 S CLB BSVI/OPEN/ PICK UP VAN</t>
  </si>
  <si>
    <t>Mr SAMIR UMEDALI VALIYANI</t>
  </si>
  <si>
    <t>27/05/2026</t>
  </si>
  <si>
    <t>GJ10TX1951</t>
  </si>
  <si>
    <t>12-1831-0007211091-00</t>
  </si>
  <si>
    <t>Gohel Vallabhbhai Govindbhai</t>
  </si>
  <si>
    <t>097265 16525</t>
  </si>
  <si>
    <t>098251 24452</t>
  </si>
  <si>
    <t>22-05-2026</t>
  </si>
  <si>
    <t>GJ18U8389</t>
  </si>
  <si>
    <t>12-1831-0007214377-00</t>
  </si>
  <si>
    <t>SFC 407 GOLD</t>
  </si>
  <si>
    <t>Rohit Ramesh Kamble</t>
  </si>
  <si>
    <t>82388 89103</t>
  </si>
  <si>
    <t>23-05-2026</t>
  </si>
  <si>
    <t>GJ03Z6751</t>
  </si>
  <si>
    <t>0604003125P103098979</t>
  </si>
  <si>
    <t>Tata Motors / LPT 407 EX2 HD34 BSIII</t>
  </si>
  <si>
    <t>M/s HARIOM PAOK PAINT PARPAESTWAR</t>
  </si>
  <si>
    <t>25/05/2026</t>
  </si>
  <si>
    <t xml:space="preserve">JP </t>
  </si>
  <si>
    <t>25/05/2025</t>
  </si>
  <si>
    <t>GJ36V6915</t>
  </si>
  <si>
    <t>P0025200001/4103/509419</t>
  </si>
  <si>
    <t>BOLERO MAXX PUP HD 1.7 LX</t>
  </si>
  <si>
    <t>: BAHUCHAR PALLET PACKING</t>
  </si>
  <si>
    <t xml:space="preserve"> 98254 45331</t>
  </si>
  <si>
    <t>97278 39583</t>
  </si>
  <si>
    <t xml:space="preserve">24-05-2026 </t>
  </si>
  <si>
    <t>GJ36V6824</t>
  </si>
  <si>
    <t>P0025200001/4103/509420</t>
  </si>
  <si>
    <t>BOLERO MAXX PUP 1.3L LXD CBC</t>
  </si>
  <si>
    <t>BAHUCHAR PALLET PACKING</t>
  </si>
  <si>
    <t xml:space="preserve">98254 45331 </t>
  </si>
  <si>
    <t>26/05/2025</t>
  </si>
  <si>
    <t>160862522150023597</t>
  </si>
  <si>
    <t xml:space="preserve">OTHER </t>
  </si>
  <si>
    <t>EX-210LC SUPER,II</t>
  </si>
  <si>
    <t>DEVJIBHAI KARSHANBHAI SAVARIYA</t>
  </si>
  <si>
    <t>95127 19999</t>
  </si>
  <si>
    <t>99245 87447</t>
  </si>
  <si>
    <t>27/05/2025</t>
  </si>
  <si>
    <t>GJ04X6036</t>
  </si>
  <si>
    <t>12-1831-0007243458-00</t>
  </si>
  <si>
    <t>Dineshbhai Karamshibhai Vithalpara</t>
  </si>
  <si>
    <t xml:space="preserve">70146 38649 </t>
  </si>
  <si>
    <t xml:space="preserve">97372 66225 </t>
  </si>
  <si>
    <t>27-05-2026</t>
  </si>
  <si>
    <t>29/05/2025</t>
  </si>
  <si>
    <t>GJ03BT1307</t>
  </si>
  <si>
    <t>2013­400207­25­1000013­00­000</t>
  </si>
  <si>
    <t>BOLERO MAXI TRUCK 2WD (Fully Built) PICKUP</t>
  </si>
  <si>
    <t>MR ANJUMBHAI MAHMADBHAI PARASARA</t>
  </si>
  <si>
    <t>28/05/2026</t>
  </si>
  <si>
    <t>31/05/2025</t>
  </si>
  <si>
    <t>GJ03BT8369</t>
  </si>
  <si>
    <t>TATA PLT 3118</t>
  </si>
  <si>
    <t>JIGNESH VAMJA</t>
  </si>
  <si>
    <t>31-05-2026</t>
  </si>
  <si>
    <t>GJ08AY7289</t>
  </si>
  <si>
    <t>LPK 2516</t>
  </si>
  <si>
    <t>KANJIBHAI</t>
  </si>
  <si>
    <t>GJ03AX9655</t>
  </si>
  <si>
    <t>TATA ACE</t>
  </si>
  <si>
    <t>BADI IBRAHIM</t>
  </si>
  <si>
    <t>23/05/2025</t>
  </si>
  <si>
    <t>GJ36V1051</t>
  </si>
  <si>
    <t>213001/31/26/003758</t>
  </si>
  <si>
    <t>TATA MOTORS - LPT 1512 DCR 48 CBC BS 6</t>
  </si>
  <si>
    <t>MR. GUDHADA NILESH KARUBHA</t>
  </si>
  <si>
    <t>GJ36V6688</t>
  </si>
  <si>
    <t>3003/394312514/00/B00,</t>
  </si>
  <si>
    <t>ARISON PINE PALLET</t>
  </si>
  <si>
    <t xml:space="preserve">75675 33332 </t>
  </si>
  <si>
    <t>98254 45331</t>
  </si>
  <si>
    <t>30/05/2025</t>
  </si>
  <si>
    <t>GJ36V4067</t>
  </si>
  <si>
    <t>6303091741 00 00</t>
  </si>
  <si>
    <t>MAHINDRA/BOLERO C AMPER/GOLD ZX 2WD/ OPEN/PICK UP VAN</t>
  </si>
  <si>
    <t xml:space="preserve">JAYDEEP </t>
  </si>
  <si>
    <t>29/05/2026</t>
  </si>
  <si>
    <t>GJ03BW9817</t>
  </si>
  <si>
    <t>6303103111 00 00</t>
  </si>
  <si>
    <t>Mr BARAIYA KISHAN BHOJABHAI</t>
  </si>
  <si>
    <t>GJ36S1345</t>
  </si>
  <si>
    <t>161522523430004303</t>
  </si>
  <si>
    <t>JCB INDIA LIMITED 3DX XTRA</t>
  </si>
  <si>
    <t>Mr. HAKABHAI HIRABHAI PANCHIYA</t>
  </si>
  <si>
    <t>97261 52414</t>
  </si>
  <si>
    <t xml:space="preserve">RELIANCE </t>
  </si>
  <si>
    <t>NL</t>
  </si>
  <si>
    <t>GJ03BZ5075</t>
  </si>
  <si>
    <t>VGC1164817000100</t>
  </si>
  <si>
    <t>ASHOK LAYLEND 2516 H/4C/TRUCK</t>
  </si>
  <si>
    <t xml:space="preserve">MR MUNDHAVA VIJAYKUMAR POPATBHAI </t>
  </si>
  <si>
    <t>GJ03BT4826</t>
  </si>
  <si>
    <t>12-1831-0007329032-00</t>
  </si>
  <si>
    <t>TATA LPT 909 EX</t>
  </si>
  <si>
    <t>Toyta Devabhai Machabhai</t>
  </si>
  <si>
    <t>GJ36T9453</t>
  </si>
  <si>
    <t>6303129394 00 00</t>
  </si>
  <si>
    <t>ASHOK LEYLAND/DOS T/RLX</t>
  </si>
  <si>
    <t>Mr KHUSHAL CHANDUBHAI POPAT</t>
  </si>
  <si>
    <t>97263 70321</t>
  </si>
  <si>
    <t>16/06/2025</t>
  </si>
  <si>
    <t>MP11G3383</t>
  </si>
  <si>
    <t>064003125P104393843</t>
  </si>
  <si>
    <t xml:space="preserve">MAHINDRA&amp;MAHINDRA/BOLERO PICKUP CBC 2WD </t>
  </si>
  <si>
    <t xml:space="preserve">MR NAJRU DAMOR </t>
  </si>
  <si>
    <t>16/06/2026</t>
  </si>
  <si>
    <t xml:space="preserve">UNITED </t>
  </si>
  <si>
    <t>18/06/2025</t>
  </si>
  <si>
    <t>GJ36V1858</t>
  </si>
  <si>
    <t>12-1831-0007405516-00</t>
  </si>
  <si>
    <t>TATA INTRA V10</t>
  </si>
  <si>
    <t>Pipliya Rajeshbhai Motibhai</t>
  </si>
  <si>
    <t>97266 56163</t>
  </si>
  <si>
    <t>18-06-2026</t>
  </si>
  <si>
    <t>19/06/2025</t>
  </si>
  <si>
    <t>GJ13V4216</t>
  </si>
  <si>
    <t>12-1831-0007420283-00</t>
  </si>
  <si>
    <t>ASHOK LEYLAND 2214</t>
  </si>
  <si>
    <t>99254 72052</t>
  </si>
  <si>
    <t>19-06-2026</t>
  </si>
  <si>
    <t>GJ36V1447</t>
  </si>
  <si>
    <t>182000/31/2026/711</t>
  </si>
  <si>
    <t>SHRI ANADH APANG GAU ASHRAM</t>
  </si>
  <si>
    <t xml:space="preserve">76980 42220 </t>
  </si>
  <si>
    <t>18/06/2026</t>
  </si>
  <si>
    <t>Oriental</t>
  </si>
  <si>
    <t>GJ01KT4505</t>
  </si>
  <si>
    <t>D208146151</t>
  </si>
  <si>
    <t>3118 IL / 5350MM 210WB H SERIES</t>
  </si>
  <si>
    <t>LAKIRAJSINH INDRASINH JADEJA</t>
  </si>
  <si>
    <t>20/06/2025</t>
  </si>
  <si>
    <t>GJ36X5545</t>
  </si>
  <si>
    <t>P0026200007/4103/101648</t>
  </si>
  <si>
    <t xml:space="preserve">TATA SIGNA 3530 TK 8X4 BSVI HD </t>
  </si>
  <si>
    <t xml:space="preserve">MR BHAMBHAVA HARESH PANCHA </t>
  </si>
  <si>
    <t>19/06/2026</t>
  </si>
  <si>
    <t>GJ36S4046</t>
  </si>
  <si>
    <t>6303154943 00 00</t>
  </si>
  <si>
    <t>JCB/3DX/BACKHOE LOA DER/OPEN/CONSTRUC TION EQUIPMENTS</t>
  </si>
  <si>
    <t>Mr RANABHAI MULABHAI BHARVAD</t>
  </si>
  <si>
    <t>21/06/2025</t>
  </si>
  <si>
    <t>GJ36V7169</t>
  </si>
  <si>
    <t>3003/397371357/00/000</t>
  </si>
  <si>
    <t>HARILAL MAVJIBHAI GOGARI</t>
  </si>
  <si>
    <t>87805 90813</t>
  </si>
  <si>
    <t>27/06/2026</t>
  </si>
  <si>
    <t>GJ36AJ8034</t>
  </si>
  <si>
    <t>POCMVMI0100202000</t>
  </si>
  <si>
    <t>New Holland 3230 &amp; 42 HP - Agricultural Tractor</t>
  </si>
  <si>
    <t>Mr. GARDHARIA JAGDISHBHAI BALUBHAI</t>
  </si>
  <si>
    <t>20/06/2026</t>
  </si>
  <si>
    <t>22/062025</t>
  </si>
  <si>
    <t>GJ12AU7882</t>
  </si>
  <si>
    <t>12-1831-0007445666-00</t>
  </si>
  <si>
    <t xml:space="preserve">TATA LPT 2518 </t>
  </si>
  <si>
    <t>Motlani Maksud Mamdbhai</t>
  </si>
  <si>
    <t>23-06-2026</t>
  </si>
  <si>
    <t>23/06/2025</t>
  </si>
  <si>
    <t>GJ36V1715</t>
  </si>
  <si>
    <t>POCMVGC0100377905</t>
  </si>
  <si>
    <t>Tata Motors,LPK 3118 &amp; TC</t>
  </si>
  <si>
    <t>Mr.KAKASANIYA MAHENDRABHAI MOHANBHAI</t>
  </si>
  <si>
    <t>98795 45172</t>
  </si>
  <si>
    <t>GJ36V1575</t>
  </si>
  <si>
    <t>POCMVGC0100378016</t>
  </si>
  <si>
    <t>Mahindra &amp; Mahindra,Bolero</t>
  </si>
  <si>
    <t>Mr.RAVODARA RAMESH BACHUBHAI</t>
  </si>
  <si>
    <t>28/06/2026</t>
  </si>
  <si>
    <t>GJ26T9312</t>
  </si>
  <si>
    <t>POCMVGC0100377993</t>
  </si>
  <si>
    <t>Mr.PARECHA MAHESH DAMJIBHAI</t>
  </si>
  <si>
    <t>GJ11VV1055</t>
  </si>
  <si>
    <t>POCMVGC0100378659</t>
  </si>
  <si>
    <t>Mr.HULANI DILIPBHAI TRILOKBHAI</t>
  </si>
  <si>
    <t>23/06/2026</t>
  </si>
  <si>
    <t>24/06/2025</t>
  </si>
  <si>
    <t>GJ03AV0159</t>
  </si>
  <si>
    <t>6303164277 00 00</t>
  </si>
  <si>
    <t>ATUL AUTO/SHAKTI/D/</t>
  </si>
  <si>
    <t>Mr SARVAIYA SADURBHAI RAJABHAI</t>
  </si>
  <si>
    <t>63510 34109</t>
  </si>
  <si>
    <t>24/06/2026</t>
  </si>
  <si>
    <t>26/06/2025</t>
  </si>
  <si>
    <t>GJ36W3131</t>
  </si>
  <si>
    <t>POCMVGC0100382035</t>
  </si>
  <si>
    <t>Mr.MUNDHAVA HARSHAD LAKHABHA</t>
  </si>
  <si>
    <t>25/06/2026</t>
  </si>
  <si>
    <t>JN</t>
  </si>
  <si>
    <t>28/06/2025</t>
  </si>
  <si>
    <t>GJ36W1934</t>
  </si>
  <si>
    <t>POCMVGC0100384555</t>
  </si>
  <si>
    <t>Thukral Electric Bikes Pvt Ltd,Thural EC1 &amp; Ecart</t>
  </si>
  <si>
    <t>Mr.DETROJA BHUPENDRABHAI JADAVJIBHAI</t>
  </si>
  <si>
    <t>30/06/2026</t>
  </si>
  <si>
    <t>GJ36T2477</t>
  </si>
  <si>
    <t>POCMVGC0100384546</t>
  </si>
  <si>
    <t>Mr.DANGAR CHETANBHAI DEVAYATBHAI</t>
  </si>
  <si>
    <t>GJ36X0019</t>
  </si>
  <si>
    <t>P0025200007/4103/105944</t>
  </si>
  <si>
    <t>TA SIGNA 3530 K/TK/TIPPER</t>
  </si>
  <si>
    <t>Mr PORDIYA SUNIL GHANSHYAMBHA</t>
  </si>
  <si>
    <t>80007 94800</t>
  </si>
  <si>
    <t>76987 64024</t>
  </si>
  <si>
    <t>15/06/2025</t>
  </si>
  <si>
    <t>GJ36V9444</t>
  </si>
  <si>
    <t>P0025200025/4103/101006</t>
  </si>
  <si>
    <t xml:space="preserve">ASHOK LAYLEND 3718S/ TRUCK </t>
  </si>
  <si>
    <t xml:space="preserve">MR SHERASIYA FIROZ HAJI </t>
  </si>
  <si>
    <t>14/06/2026</t>
  </si>
  <si>
    <t>GJ03AZ8823</t>
  </si>
  <si>
    <t>P0026100006/4103/102221</t>
  </si>
  <si>
    <t xml:space="preserve">ASHOK LAYLEND AL 3116 WB BSII </t>
  </si>
  <si>
    <t xml:space="preserve">MR RATHOD ARJUNSINH UMEDSINH </t>
  </si>
  <si>
    <t>99240 06994</t>
  </si>
  <si>
    <t>GJ36S4256</t>
  </si>
  <si>
    <t>6303171975 00 00</t>
  </si>
  <si>
    <t>CATERPILLAR/HM 202 1/E/OPEN/CONSTRUCTI ON EQUIPMENTS</t>
  </si>
  <si>
    <t>GJ36S4118</t>
  </si>
  <si>
    <t>6303171973 00 00</t>
  </si>
  <si>
    <t>GJ01BV1874</t>
  </si>
  <si>
    <t>0604003125P104492894</t>
  </si>
  <si>
    <t>EICHER PRO/ 1080 E DSD NULL</t>
  </si>
  <si>
    <t>MR. PATEL BHARATBHAI</t>
  </si>
  <si>
    <t>17/06/2025</t>
  </si>
  <si>
    <t xml:space="preserve">MG </t>
  </si>
  <si>
    <t>ANGEL</t>
  </si>
  <si>
    <t>GJ01TJ9849</t>
  </si>
  <si>
    <t>6303157585 00 00</t>
  </si>
  <si>
    <t>ZOR GRAN D/DV PLUS</t>
  </si>
  <si>
    <t>FALGUNI GRUH UDHYOG</t>
  </si>
  <si>
    <t>SS</t>
  </si>
  <si>
    <t>22/06/2025</t>
  </si>
  <si>
    <t>GJ01DZ5441</t>
  </si>
  <si>
    <t>6303160464 00 00</t>
  </si>
  <si>
    <t>Mr JAYESH VALJIBHAI  PATNI</t>
  </si>
  <si>
    <t>22/06/2026</t>
  </si>
  <si>
    <t>SA</t>
  </si>
  <si>
    <t>GJ03V3640</t>
  </si>
  <si>
    <t>0604003125P104808312</t>
  </si>
  <si>
    <t>TATA  MOTORS SFC 407/31 CLB EX BS 2</t>
  </si>
  <si>
    <t>MR.THAKOR PRAKASHBHAI PIRAJI</t>
  </si>
  <si>
    <t>IB</t>
  </si>
  <si>
    <t>GJ02ZZ3371</t>
  </si>
  <si>
    <t>POCMVGC0100379523</t>
  </si>
  <si>
    <t>1616 &amp; H</t>
  </si>
  <si>
    <t>Mr.PATEL YOGESHKUMAR SATISHBHA</t>
  </si>
  <si>
    <t>:23/06/2026</t>
  </si>
  <si>
    <t>GJ10V6043</t>
  </si>
  <si>
    <t>0604003125P104947549</t>
  </si>
  <si>
    <t>TATA  MOTORS SFC 407/31  ex null</t>
  </si>
  <si>
    <t xml:space="preserve">MR. LABHUBHAI TALASHIBHAI SOLANKI </t>
  </si>
  <si>
    <t>GJ11TT0990</t>
  </si>
  <si>
    <t>12-1831-0007470015-00</t>
  </si>
  <si>
    <t>SUPER ACE</t>
  </si>
  <si>
    <t>Solanki Chamanbhai Sukhabhai</t>
  </si>
  <si>
    <t>26-06-2026</t>
  </si>
  <si>
    <t>GJ03AT0332</t>
  </si>
  <si>
    <t>12-1831-0007469974-00</t>
  </si>
  <si>
    <t>2214 SUPER</t>
  </si>
  <si>
    <t>GJ02AT6497</t>
  </si>
  <si>
    <t>12-1831-0004731729-01</t>
  </si>
  <si>
    <t>DZIRE</t>
  </si>
  <si>
    <t>Satishkumar Mahendrabhai Prajapati</t>
  </si>
  <si>
    <t>28-06-2026</t>
  </si>
  <si>
    <t>GJ01TT5467</t>
  </si>
  <si>
    <t>TATA  MOTORS SFC 709 E TURBO NULL</t>
  </si>
  <si>
    <t>MR. RAVAL RAJ</t>
  </si>
  <si>
    <t>26-0602026</t>
  </si>
  <si>
    <t>GJ22U2654</t>
  </si>
  <si>
    <t>POCMVGC0100387385</t>
  </si>
  <si>
    <t>Mahindra,Bolero &amp; Pik Up FB PS 1.7 T XL</t>
  </si>
  <si>
    <t>Mr.TADVI BHANUBHAI</t>
  </si>
  <si>
    <t>DK</t>
  </si>
  <si>
    <t>GJ01FT8999</t>
  </si>
  <si>
    <t>6303187940 00 00</t>
  </si>
  <si>
    <t>SCHOOL VAN</t>
  </si>
  <si>
    <t>/OMNI/E MPI S TD 11-13/Muv</t>
  </si>
  <si>
    <t>Mr MAKVANA DILIPSINGH CHEHARSINGH</t>
  </si>
  <si>
    <t>NC</t>
  </si>
  <si>
    <t>GJ05AZ3815</t>
  </si>
  <si>
    <t>POCMVGC0100388436</t>
  </si>
  <si>
    <t>O, ATUL SHAKTI &amp; PICKUP VAN</t>
  </si>
  <si>
    <t>Mr. BALDANIYA ASHOKBHAI BALABHAI</t>
  </si>
  <si>
    <t>GJ03BW8218</t>
  </si>
  <si>
    <t>781122523340003816</t>
  </si>
  <si>
    <t>SUPER CARRY &amp; STD.</t>
  </si>
  <si>
    <t xml:space="preserve"> MR. ROHIT MANASUKHBHAI KHUNT</t>
  </si>
  <si>
    <t>RELINCE</t>
  </si>
  <si>
    <t>RM</t>
  </si>
  <si>
    <t>GJ01TD2115</t>
  </si>
  <si>
    <t>6303199821 00 00</t>
  </si>
  <si>
    <t>SHAKTI/PIC KUP VAN/OPEN/PICK U P VAN</t>
  </si>
  <si>
    <t>Mr AGRAWAL TEJAS P</t>
  </si>
  <si>
    <t>30/06/2025</t>
  </si>
  <si>
    <t>GJ36V4044</t>
  </si>
  <si>
    <t>POCMVGC0100385720</t>
  </si>
  <si>
    <t>Tata Motors,LPT 3118 &amp; TC 8X2 COWL</t>
  </si>
  <si>
    <t>29/06/2026</t>
  </si>
  <si>
    <t>GJ36T7104</t>
  </si>
  <si>
    <t>POCMVGC0100385715</t>
  </si>
  <si>
    <t>Ashok Leyland,1618 &amp; /4 -</t>
  </si>
  <si>
    <t xml:space="preserve">75675 54481 </t>
  </si>
  <si>
    <t>GJ16AU8363</t>
  </si>
  <si>
    <t>POCMVGC0100385712</t>
  </si>
  <si>
    <t>Mr.HARUNBHAI I VOHRA</t>
  </si>
  <si>
    <t>75675 54481</t>
  </si>
  <si>
    <t>GJ12BZ8443</t>
  </si>
  <si>
    <t>12-1831-0007507484-00</t>
  </si>
  <si>
    <t>TATA LPT 3118</t>
  </si>
  <si>
    <t>Gajjar Dhruvilbhai Maheshbhai</t>
  </si>
  <si>
    <t>GJ36V0104</t>
  </si>
  <si>
    <t>3003/399042027/00/B00</t>
  </si>
  <si>
    <t>BOLERO MAXI TRUCK PLUS CNG</t>
  </si>
  <si>
    <t>ZAPADA BUDHABHAI HIRABHAI</t>
  </si>
  <si>
    <t>GJ36T9408</t>
  </si>
  <si>
    <t>161522523340008283</t>
  </si>
  <si>
    <t>MAHINDRA JEETO &amp; PLUS 16 BSVI</t>
  </si>
  <si>
    <t>MR. SANJAY DEVRAJBHAI VERANA</t>
  </si>
  <si>
    <t>GJ02Z4895</t>
  </si>
  <si>
    <t>POCMVGC0100387314</t>
  </si>
  <si>
    <t>Tata Motors,LPT 3118 &amp; TC</t>
  </si>
  <si>
    <t>Mr.VADGAMA MAYODIN YUSUFBHAI</t>
  </si>
  <si>
    <t>GJ36V0252</t>
  </si>
  <si>
    <t>POCMVGC0100387374</t>
  </si>
  <si>
    <t xml:space="preserve">LCV </t>
  </si>
  <si>
    <t>Maruti,Super Carry &amp; CNG STD</t>
  </si>
  <si>
    <t>Mr.DHAMECHA BHAGABHAI SURABHAI</t>
  </si>
  <si>
    <t>GJ36U5017</t>
  </si>
  <si>
    <t>POCMVGC0100387392</t>
  </si>
  <si>
    <t>Mahindra &amp; Mahindra,Alfa &amp; LC Plus -</t>
  </si>
  <si>
    <t>Mr.UDHREJA SIDESHBHAI DEVJIBHAI</t>
  </si>
  <si>
    <t>GJ36V1546</t>
  </si>
  <si>
    <t>OG-26-2214-1812-00000064</t>
  </si>
  <si>
    <t>STARBUS PRIME STAFFBUS</t>
  </si>
  <si>
    <t>RAVI DANGAR</t>
  </si>
  <si>
    <t>GJ36V5977</t>
  </si>
  <si>
    <t>6301810118 01 00</t>
  </si>
  <si>
    <t>Mr SIPAI FARIDBHAI MUSTUFABHAI</t>
  </si>
  <si>
    <t>GJ11Y6481</t>
  </si>
  <si>
    <t>POCMVGC0100388173</t>
  </si>
  <si>
    <t>Tata Motors,LPT 1109 &amp; EX</t>
  </si>
  <si>
    <t>KIRITSINH DOLUBHA SOLANKI</t>
  </si>
  <si>
    <t>GJ10W6976</t>
  </si>
  <si>
    <t>VGT0447524000101</t>
  </si>
  <si>
    <t>LPT 2515/48</t>
  </si>
  <si>
    <t>ASIF KASAMBHAI DALVANI</t>
  </si>
  <si>
    <t>GJ36T6632</t>
  </si>
  <si>
    <t>POCMVGC0100389378</t>
  </si>
  <si>
    <t>RASID AHMED AKRAMLHASAN</t>
  </si>
  <si>
    <t>GJ36V7398</t>
  </si>
  <si>
    <t>781122523400000427</t>
  </si>
  <si>
    <t>BUS</t>
  </si>
  <si>
    <t>TATA CITY RIDE SKL LP 712/45</t>
  </si>
  <si>
    <t>SUN FLOWER EDUCATION TRUST</t>
  </si>
  <si>
    <t>Reliance</t>
  </si>
  <si>
    <t>GJ10Z6658</t>
  </si>
  <si>
    <t>12-1831-0007529991-00</t>
  </si>
  <si>
    <t>Theba Ashif Valimamad</t>
  </si>
  <si>
    <t>GJ36T9635</t>
  </si>
  <si>
    <t>POCMVGC0100390596</t>
  </si>
  <si>
    <t>Ashok Leyland,Bada Dost &amp; I4TNDD - 3490 GVW</t>
  </si>
  <si>
    <t>SABIR ANWARBHAI GANCHI</t>
  </si>
  <si>
    <t>81416 54514</t>
  </si>
  <si>
    <t>70167 97340</t>
  </si>
  <si>
    <t>GJ36V4985</t>
  </si>
  <si>
    <t>POCMVGC0100390595</t>
  </si>
  <si>
    <t>RAVALJIBHAI POLABHAI RANGPARA</t>
  </si>
  <si>
    <t>GJ36X9924</t>
  </si>
  <si>
    <t>3003/399435410/00/B00</t>
  </si>
  <si>
    <t>BOLERO MAXX PUP CITY 1.3L SXID</t>
  </si>
  <si>
    <t>SARAIYA JAYESH GELABHAI</t>
  </si>
  <si>
    <t>GJ36V0139</t>
  </si>
  <si>
    <t>3003/399435244/00/000</t>
  </si>
  <si>
    <t>SHERASIYA AJARUDIN USMANBHAI</t>
  </si>
  <si>
    <t xml:space="preserve">96625 62596 </t>
  </si>
  <si>
    <t>GJ03AX9370</t>
  </si>
  <si>
    <t>201340020725700052200000</t>
  </si>
  <si>
    <t>IQBALBHAI USMANBHAI SIPAI</t>
  </si>
  <si>
    <t>GJ36T6900</t>
  </si>
  <si>
    <t>P0026100006/4103/102569</t>
  </si>
  <si>
    <t>ASHOK LEYLAND 3118 TRUCK/TRUC</t>
  </si>
  <si>
    <t>3003/399517727/00/B00</t>
  </si>
  <si>
    <t>SABALIYA PRAVINBHAI LAKHABHAI</t>
  </si>
  <si>
    <t>GJ36V1709</t>
  </si>
  <si>
    <t>3003/399636509/00/000</t>
  </si>
  <si>
    <t>: KISHANBHAI DINESHBHAI KHAMBHALA</t>
  </si>
  <si>
    <t>82380 88880</t>
  </si>
  <si>
    <t>GJ36W0439</t>
  </si>
  <si>
    <t>POCMVGC0100394514</t>
  </si>
  <si>
    <t>VIBHABHAI DANABHAI CHAVDA</t>
  </si>
  <si>
    <t>GJ36V7061</t>
  </si>
  <si>
    <t>POCMVGC0100394511</t>
  </si>
  <si>
    <t>Mahindra &amp; Mahindra,Bolero &amp; MAXX PUP HD 1.7 LX CBC - 3460</t>
  </si>
  <si>
    <t>JIVANI HITESH AVCHARBHAI</t>
  </si>
  <si>
    <t>GJ36W7055</t>
  </si>
  <si>
    <t>AJANA NAVGHAN</t>
  </si>
  <si>
    <t>GJ36S4153</t>
  </si>
  <si>
    <t>3614004368 00 00</t>
  </si>
  <si>
    <t>CATERPILLAR/HM 202 1/OPEN/CONSTRUCTIO N EQUIPMENTS</t>
  </si>
  <si>
    <t>GJ36V7091</t>
  </si>
  <si>
    <t>P0026200009/4103/101487</t>
  </si>
  <si>
    <t>GJ03BT5682</t>
  </si>
  <si>
    <t>6303206380 00 00</t>
  </si>
  <si>
    <t>PARMAR KISHAN LALITBHAI</t>
  </si>
  <si>
    <t>GJ13AX1867</t>
  </si>
  <si>
    <t>781122523340004080</t>
  </si>
  <si>
    <t>KHANDALA HARESH CHAMANBHAI</t>
  </si>
  <si>
    <t>99747 27303</t>
  </si>
  <si>
    <t>GJ36V1836</t>
  </si>
  <si>
    <t>POCMVGC0100396668</t>
  </si>
  <si>
    <t>chavada ashvinbhai chandubhai</t>
  </si>
  <si>
    <t>GJ36V7391</t>
  </si>
  <si>
    <t>161522523400001871</t>
  </si>
  <si>
    <t>SCHOOL BUS</t>
  </si>
  <si>
    <t>POCMVGC0100397791</t>
  </si>
  <si>
    <t>.AKBARBHAI ABDULBHAI RAJA</t>
  </si>
  <si>
    <t>GJ03BT4132</t>
  </si>
  <si>
    <t>12-1831-0007579569-00</t>
  </si>
  <si>
    <t>XENON</t>
  </si>
  <si>
    <t>Superking Industries India Private Limited</t>
  </si>
  <si>
    <t>90160 65922‬</t>
  </si>
  <si>
    <t>98251 95393</t>
  </si>
  <si>
    <t>GJ36V2545</t>
  </si>
  <si>
    <t>3003/A/400017467/00/B00</t>
  </si>
  <si>
    <t>CHAUHAN JAKIRHUSEN RAJAKBHAI</t>
  </si>
  <si>
    <t>GJ36T3355</t>
  </si>
  <si>
    <t>POCMVGC0100398266</t>
  </si>
  <si>
    <t>MAPS GRANITO PRIVATE LIMITED</t>
  </si>
  <si>
    <t>GJ36T6346</t>
  </si>
  <si>
    <t>POCMVGC0100399163</t>
  </si>
  <si>
    <t>GAMARA BHALU MAIYABHAI</t>
  </si>
  <si>
    <t>GJ36X3330</t>
  </si>
  <si>
    <t>POCMVGC0100399258</t>
  </si>
  <si>
    <t>Ashok Leyland,1915 &amp; HE -</t>
  </si>
  <si>
    <t>CHAROLA MANISHBHAI HARIBHAI</t>
  </si>
  <si>
    <t>GJ36X5057</t>
  </si>
  <si>
    <t>3003/400101713/00/B00</t>
  </si>
  <si>
    <t>MUNDHAVA VIJAYKUMAR POPATBHAI</t>
  </si>
  <si>
    <t xml:space="preserve">63521 00183 </t>
  </si>
  <si>
    <t>GJ36AF0841</t>
  </si>
  <si>
    <t>POCMVMI0100218228</t>
  </si>
  <si>
    <t>Mahindra &amp; Mahindra 275 &amp; DI Yuvo 35 HPAgricultural Tractor</t>
  </si>
  <si>
    <t>Bharatbhai Bhanjibhai Kavar</t>
  </si>
  <si>
    <t>99139 99807</t>
  </si>
  <si>
    <t>GJ36W8171</t>
  </si>
  <si>
    <t>POCMVGC0100399966</t>
  </si>
  <si>
    <t>MANSUKH GOVINDBHAI BHANGARA</t>
  </si>
  <si>
    <t> 87804 96842</t>
  </si>
  <si>
    <t>99790 71216</t>
  </si>
  <si>
    <t>GJ18X1643</t>
  </si>
  <si>
    <t>0604003125P105947064</t>
  </si>
  <si>
    <t>FORCE MOTORS LTD. / TRAX CRUISER 11 SEATERS M</t>
  </si>
  <si>
    <t>95372 49287</t>
  </si>
  <si>
    <t>15/07/2025</t>
  </si>
  <si>
    <t>HR55V4024</t>
  </si>
  <si>
    <t>161522523340008828</t>
  </si>
  <si>
    <t>BOMBAY KANDLA TRANSPORT PRIVATE LIMITED</t>
  </si>
  <si>
    <t>14/07/2026</t>
  </si>
  <si>
    <t>GJ36W9288</t>
  </si>
  <si>
    <t>POCMVGC0100403195</t>
  </si>
  <si>
    <t>Bajaj Auto Limited,Maxima &amp; Cargo E Tech 12.0</t>
  </si>
  <si>
    <t>KOTAK ANILKUMAR DHIRAJLAL</t>
  </si>
  <si>
    <t>98259 90428‬</t>
  </si>
  <si>
    <t>18/07/2026</t>
  </si>
  <si>
    <t>16/07/2025</t>
  </si>
  <si>
    <t>GJ36T1534</t>
  </si>
  <si>
    <t>12-1831-0007611126-00</t>
  </si>
  <si>
    <t>Bavliya Himatbhai Chhaganbhai</t>
  </si>
  <si>
    <t>78628 98834</t>
  </si>
  <si>
    <t>16-07-2026</t>
  </si>
  <si>
    <t>HR55V9969</t>
  </si>
  <si>
    <t>3003/A/400405150/00/B00</t>
  </si>
  <si>
    <t>2516 TRUCKS</t>
  </si>
  <si>
    <t>PATHAN MOHSIN KARMKHA</t>
  </si>
  <si>
    <t>87350 47000</t>
  </si>
  <si>
    <t>15/07/2026</t>
  </si>
  <si>
    <t>GJ14AT1119</t>
  </si>
  <si>
    <t>POCMVGC0100403375</t>
  </si>
  <si>
    <t>Tata Motors,LPT 1109 &amp; 12990 GVW</t>
  </si>
  <si>
    <t>.LOKHIL BHARATBHAI KANJIBHAI</t>
  </si>
  <si>
    <t>GJ36T4974</t>
  </si>
  <si>
    <t>POCMVGC0100403396</t>
  </si>
  <si>
    <t>Ashok Leyland,2516</t>
  </si>
  <si>
    <t>17/07/2026</t>
  </si>
  <si>
    <t>17/07/2025</t>
  </si>
  <si>
    <t>GJ36T1492</t>
  </si>
  <si>
    <t>MAHINDRA/BOLERO/M AXI TRUCK PLUS DIESE L/OPEN/PICK UP VAN</t>
  </si>
  <si>
    <t>UVESHBHAI HANIF BADI</t>
  </si>
  <si>
    <t>18/07/2025</t>
  </si>
  <si>
    <t>GJ36V6955</t>
  </si>
  <si>
    <t>3003/400596374/00/B00</t>
  </si>
  <si>
    <t>DADHAIYA MAHESHBHAI MELJIBHAI</t>
  </si>
  <si>
    <t>GJ36W1609</t>
  </si>
  <si>
    <t>POCMVGC0100405852</t>
  </si>
  <si>
    <t>Baxy Continental Engines,Baxy Cargo &amp; LD</t>
  </si>
  <si>
    <t>Dalvadia Mukeshbhai Bhavanbhai</t>
  </si>
  <si>
    <t>20/07/2025</t>
  </si>
  <si>
    <t>GJ36V0399</t>
  </si>
  <si>
    <t>161522523340009059</t>
  </si>
  <si>
    <t>MATHAKIYA SABIRHUSEN AHAMAD</t>
  </si>
  <si>
    <t>21/07/2025</t>
  </si>
  <si>
    <t>GJ36V1121</t>
  </si>
  <si>
    <t>AVO/2315/12083388</t>
  </si>
  <si>
    <t>BHARATBENZ 4228R 10X2 WB BSVI</t>
  </si>
  <si>
    <t>Badi Irfan Alibhai</t>
  </si>
  <si>
    <t xml:space="preserve"> 99240 26786</t>
  </si>
  <si>
    <t>20/07/2026</t>
  </si>
  <si>
    <t>GJ36V4459</t>
  </si>
  <si>
    <t>161522523340009106</t>
  </si>
  <si>
    <t>ABDULKARIM SALEMAMAD SATHTHA</t>
  </si>
  <si>
    <t>25/07/2026</t>
  </si>
  <si>
    <t>22/07/2025</t>
  </si>
  <si>
    <t>GJ08AU3912</t>
  </si>
  <si>
    <t>201340020325700059100000</t>
  </si>
  <si>
    <t>FAKIR FARUKSHA IKBALSHA</t>
  </si>
  <si>
    <t>91 0 6188 644</t>
  </si>
  <si>
    <t>22/07/2026</t>
  </si>
  <si>
    <t>GJ02XX3759</t>
  </si>
  <si>
    <t>12-1831-0007649705-00</t>
  </si>
  <si>
    <t>Tarapara Mansukh Prabhulal</t>
  </si>
  <si>
    <t>22-07-2026</t>
  </si>
  <si>
    <t>23/07/2025</t>
  </si>
  <si>
    <t>GJ36V0281</t>
  </si>
  <si>
    <t>161522523340009181</t>
  </si>
  <si>
    <t>MARUTI SUZUKI SUPER CARRY &amp; STD..</t>
  </si>
  <si>
    <t>HABIBBHAI SHERASIYA</t>
  </si>
  <si>
    <t>GJ36W1503</t>
  </si>
  <si>
    <t>POCMVGC0100411013</t>
  </si>
  <si>
    <t>SOLANKI VIPUL</t>
  </si>
  <si>
    <t>24/07/2026</t>
  </si>
  <si>
    <t>GJ36V1287</t>
  </si>
  <si>
    <t>3003/401076440/00/B00</t>
  </si>
  <si>
    <t>TOTA SANJAYBHAI KUKABHAI</t>
  </si>
  <si>
    <t xml:space="preserve">90162 24034 </t>
  </si>
  <si>
    <t>97269 20399</t>
  </si>
  <si>
    <t>GJ06XX6286</t>
  </si>
  <si>
    <t>12-1831-0003417364-03</t>
  </si>
  <si>
    <t>Dhvani Dhirenbhai Shah</t>
  </si>
  <si>
    <t>13-07-2026</t>
  </si>
  <si>
    <t>GJ06YY4682</t>
  </si>
  <si>
    <t>12-1831-0003417396-03</t>
  </si>
  <si>
    <t>LPT 2516</t>
  </si>
  <si>
    <t>GJ06AT7193</t>
  </si>
  <si>
    <t>12-1831-0007593412-00</t>
  </si>
  <si>
    <t>Mahesh Submersible</t>
  </si>
  <si>
    <t>15-07-2026</t>
  </si>
  <si>
    <t>14/07/2025</t>
  </si>
  <si>
    <t>GJ06BT6832</t>
  </si>
  <si>
    <t>781122523340004246</t>
  </si>
  <si>
    <t>INTRA &amp; V 10 BSIV</t>
  </si>
  <si>
    <t>MR. HIMANSHU KAPILGIRI GOSWAMI</t>
  </si>
  <si>
    <t>HG</t>
  </si>
  <si>
    <t>GJ06W8664</t>
  </si>
  <si>
    <t>3003/A/400407668/00/000</t>
  </si>
  <si>
    <t>EICHER 10.75</t>
  </si>
  <si>
    <t>RAMAVATAR KANAIYALAL KABRA</t>
  </si>
  <si>
    <t>GJ15YY0279</t>
  </si>
  <si>
    <t>12-1831-0007627355-00</t>
  </si>
  <si>
    <t>ACE HT</t>
  </si>
  <si>
    <t>Umesh Chand Gupta</t>
  </si>
  <si>
    <t>18-07-2026</t>
  </si>
  <si>
    <t>GJ01ET0440</t>
  </si>
  <si>
    <t>POCMVGC0100405854</t>
  </si>
  <si>
    <t>SUPER ACE &amp; Mint</t>
  </si>
  <si>
    <t>Mr.CHAUHAN MOHAMMADASFAN AIYUBMIYA</t>
  </si>
  <si>
    <t>30/07/2026</t>
  </si>
  <si>
    <t>19/072025</t>
  </si>
  <si>
    <t>GJ04AX7270</t>
  </si>
  <si>
    <t>: 811422523340000705</t>
  </si>
  <si>
    <t>A INTRA &amp; V20 PICKUP LX BS VI</t>
  </si>
  <si>
    <t>MR. VATUKIYA GOPAL VAGHJIBHA</t>
  </si>
  <si>
    <t>GJ01ET1337</t>
  </si>
  <si>
    <t>VGT0561451000100</t>
  </si>
  <si>
    <t>Mr.SHARMA DINESHKUMAR</t>
  </si>
  <si>
    <t>GJ04AU7234</t>
  </si>
  <si>
    <t>POCMVGC0100408133</t>
  </si>
  <si>
    <t xml:space="preserve"> ATUL SHAKTI, CARGO D</t>
  </si>
  <si>
    <t>Mr.Babriya Dilipbhai Alajibhai</t>
  </si>
  <si>
    <t>19/07/2026</t>
  </si>
  <si>
    <t>GJ06AU3525</t>
  </si>
  <si>
    <t>201340020325700059200000</t>
  </si>
  <si>
    <t>APE CITY 4 STR</t>
  </si>
  <si>
    <t>KARIM SHABIR VAGHELA</t>
  </si>
  <si>
    <t>GJ13AX0162</t>
  </si>
  <si>
    <t>POCMVGC0100409715</t>
  </si>
  <si>
    <t>Super Carry &amp; CNG</t>
  </si>
  <si>
    <t>Mr.Mamani Sahidbhai Satarbhai</t>
  </si>
  <si>
    <t>21/07/2026</t>
  </si>
  <si>
    <t>GJ16AU6346</t>
  </si>
  <si>
    <t>POCMVGC0100411010</t>
  </si>
  <si>
    <t xml:space="preserve">3118, TIPPER </t>
  </si>
  <si>
    <t>Mr.PATEL LALITCHANDRA RAMANBHAI</t>
  </si>
  <si>
    <t>97146 63443</t>
  </si>
  <si>
    <t>GJ36T2780</t>
  </si>
  <si>
    <t>POCMVGC0100392665</t>
  </si>
  <si>
    <t>hamirkha zafarkhan khoram</t>
  </si>
  <si>
    <t>GJ03CU4442</t>
  </si>
  <si>
    <t>P0026200007/4103/102036</t>
  </si>
  <si>
    <t>25/07/2025</t>
  </si>
  <si>
    <t>GJ18AZ4340</t>
  </si>
  <si>
    <t>161522523340009285</t>
  </si>
  <si>
    <t>ASHOK LEYLAND DOST &amp; RLS BSIV</t>
  </si>
  <si>
    <t>MANSHUKHBHAI RAMJIBHAI GHARIYELA</t>
  </si>
  <si>
    <t>GJ08W0554</t>
  </si>
  <si>
    <t>12-1831-0007675515-00</t>
  </si>
  <si>
    <t>Krishna Shivaji Deshmukh</t>
  </si>
  <si>
    <t>25-07-2026</t>
  </si>
  <si>
    <t>28/07/2025</t>
  </si>
  <si>
    <t>AVO/2315/12101208</t>
  </si>
  <si>
    <t>TATA PRIMA 5530.S 4X2 BSVI</t>
  </si>
  <si>
    <t>Pruthviraj Stone Crusher</t>
  </si>
  <si>
    <t>89808 05252</t>
  </si>
  <si>
    <t>79909 57571</t>
  </si>
  <si>
    <t>27/07/2026</t>
  </si>
  <si>
    <t>AVO/2315/12101127</t>
  </si>
  <si>
    <t>29/07/2025</t>
  </si>
  <si>
    <t>GJ14X6986</t>
  </si>
  <si>
    <t>12-1831-0007699556-00</t>
  </si>
  <si>
    <t>Sisodiya Manoharsinh Kalubhai</t>
  </si>
  <si>
    <t>30-07-2026</t>
  </si>
  <si>
    <t>30/07/2025</t>
  </si>
  <si>
    <t>GJ12AU9908</t>
  </si>
  <si>
    <t>12-1831-0007707287-00'</t>
  </si>
  <si>
    <t>TATA LPT 2518</t>
  </si>
  <si>
    <t>28-07-2027</t>
  </si>
  <si>
    <t>GJ03Y9279</t>
  </si>
  <si>
    <t>12-1831-0007707298-00</t>
  </si>
  <si>
    <t>Dhamecha Ashokbhai Arjanbhai</t>
  </si>
  <si>
    <t>31-07-2026</t>
  </si>
  <si>
    <t>GJ36V4697</t>
  </si>
  <si>
    <t>161522523340009608</t>
  </si>
  <si>
    <t>JAFAR SALEMAMAD MOKHA</t>
  </si>
  <si>
    <t>SH</t>
  </si>
  <si>
    <t>GJ03Z6653</t>
  </si>
  <si>
    <t>12-1831-0007727668-00</t>
  </si>
  <si>
    <t>Nilesh Kana Dangar</t>
  </si>
  <si>
    <t>96645 74028</t>
  </si>
  <si>
    <t>GJ36V0112</t>
  </si>
  <si>
    <t>161522523340009654</t>
  </si>
  <si>
    <t>MAHMADHANIF ABUJI KADIVAR</t>
  </si>
  <si>
    <t>98791 30629</t>
  </si>
  <si>
    <t>76984 73486</t>
  </si>
  <si>
    <t>GJ36T4833</t>
  </si>
  <si>
    <t>161522523340009701</t>
  </si>
  <si>
    <t>MAHINDRA JEETO &amp; X7-16 BSIV</t>
  </si>
  <si>
    <t>IQBAL JUMABHAI RAJA</t>
  </si>
  <si>
    <t>GJ18AR0485</t>
  </si>
  <si>
    <t>3008/403124508/00/B00</t>
  </si>
  <si>
    <t>KADIVAR MAHMADHANIF ABUJI</t>
  </si>
  <si>
    <t>GJ03AT3401</t>
  </si>
  <si>
    <t>12-1831-0007750575-00</t>
  </si>
  <si>
    <t>LPT 1109/42</t>
  </si>
  <si>
    <t>Degama Haresh Maganbhai</t>
  </si>
  <si>
    <t>HM</t>
  </si>
  <si>
    <t>GJ13AW8107</t>
  </si>
  <si>
    <t>161522523340009736</t>
  </si>
  <si>
    <t>MARUTI SUZUKI SUPER CARRY &amp; CNG BSVI</t>
  </si>
  <si>
    <t>. DUDABHAI NUDHABHAI BHARAVAD</t>
  </si>
  <si>
    <t>GJ36T8185</t>
  </si>
  <si>
    <t>601722523340002331</t>
  </si>
  <si>
    <t>GJ36V1862</t>
  </si>
  <si>
    <t>161522523340009853</t>
  </si>
  <si>
    <t>MANUBHAI DAYABHAI GAMARA</t>
  </si>
  <si>
    <t>99131 25887</t>
  </si>
  <si>
    <t>UP92T6483</t>
  </si>
  <si>
    <t>3003/A/403673706/00/B00</t>
  </si>
  <si>
    <t>SAUMYA GUPTA</t>
  </si>
  <si>
    <t>24/07/2025</t>
  </si>
  <si>
    <t>GJ04AW8968</t>
  </si>
  <si>
    <t>161522523340009236</t>
  </si>
  <si>
    <t>V20 PICKUP LX BS VI</t>
  </si>
  <si>
    <t>MR. KHIMABHAI B CHAVDA</t>
  </si>
  <si>
    <t>GJ01ET1597</t>
  </si>
  <si>
    <t>12-1831-0007674977-00</t>
  </si>
  <si>
    <t xml:space="preserve"> Jograna Melabhai</t>
  </si>
  <si>
    <t>GJ01DT6943</t>
  </si>
  <si>
    <t>6303246421 00 00</t>
  </si>
  <si>
    <t>SHAKTI</t>
  </si>
  <si>
    <t>Mr SOLANKI HARGOVANBHAI TRIKAMBHAI</t>
  </si>
  <si>
    <t>GJ04AW8198</t>
  </si>
  <si>
    <t>161522523340009306</t>
  </si>
  <si>
    <t xml:space="preserve"> V20 PICKUP LX BS VI</t>
  </si>
  <si>
    <t>MR. DANGAR SHANTIBHAI KALYANBHAI</t>
  </si>
  <si>
    <t>GJ04AW6787</t>
  </si>
  <si>
    <t>781122523340004572</t>
  </si>
  <si>
    <t>MR. RAJUBHAI CHOTHABHAI PATEL</t>
  </si>
  <si>
    <t>GJ38T3555</t>
  </si>
  <si>
    <t>12-1831-0007680300-00</t>
  </si>
  <si>
    <t>Parmar Narendrasinh Kiritsinh</t>
  </si>
  <si>
    <t>26-07-2026</t>
  </si>
  <si>
    <t>GJ17TT4038</t>
  </si>
  <si>
    <t>201340020125700092200000</t>
  </si>
  <si>
    <t>APE</t>
  </si>
  <si>
    <t>PATHAN YUSUFKHAN</t>
  </si>
  <si>
    <t>29/07/2026</t>
  </si>
  <si>
    <t>GJ09AU0276</t>
  </si>
  <si>
    <t>161522523340009369</t>
  </si>
  <si>
    <t>MR. KANTIBHAI SHANKARBHAI PRAJAPAT</t>
  </si>
  <si>
    <t xml:space="preserve"> 98987 34741</t>
  </si>
  <si>
    <t>GJ12BY1652</t>
  </si>
  <si>
    <t>161522523380007188</t>
  </si>
  <si>
    <t>Mr. ADNAN ASLAM JAT</t>
  </si>
  <si>
    <t>GJ03AV9776</t>
  </si>
  <si>
    <t>161522523490000562</t>
  </si>
  <si>
    <t>SUPER/ACE BS I</t>
  </si>
  <si>
    <t>Mr. SAVJIBHAI BACHUBHAI FACHRA</t>
  </si>
  <si>
    <t>82386 93621</t>
  </si>
  <si>
    <t>GJ38T4367</t>
  </si>
  <si>
    <t>132/02/17/0826/MTP/1010136754</t>
  </si>
  <si>
    <t>MOTORS PRO 2059</t>
  </si>
  <si>
    <t xml:space="preserve"> MR RANAGA RAMESHBHAI MALABHAI</t>
  </si>
  <si>
    <t>Future General</t>
  </si>
  <si>
    <t>GJ10TX3131</t>
  </si>
  <si>
    <t>601722523490000059</t>
  </si>
  <si>
    <t>SUPRO/MINITRUCK EXCEL</t>
  </si>
  <si>
    <t>Mr. CHAVDA DHARAMSI</t>
  </si>
  <si>
    <t>GJ03BV5684</t>
  </si>
  <si>
    <t>12-1831-0007766510-00</t>
  </si>
  <si>
    <t>Batava Pankajkumar Vaghajibhai</t>
  </si>
  <si>
    <t>GJ05BZ0866</t>
  </si>
  <si>
    <t>PATEL MEHUL</t>
  </si>
  <si>
    <t>26/07/2025</t>
  </si>
  <si>
    <t>GJ36V7034</t>
  </si>
  <si>
    <t>3003/401602520/00/000</t>
  </si>
  <si>
    <t>26/07/2026</t>
  </si>
  <si>
    <t>GJ03AX5725</t>
  </si>
  <si>
    <t>201740020125700049500000</t>
  </si>
  <si>
    <t>KIHALA SHAILESHBHAI SHAMJIBHAI</t>
  </si>
  <si>
    <t>13/08/2026</t>
  </si>
  <si>
    <t>GJ36V0243</t>
  </si>
  <si>
    <t>3003/403897548/00/B00</t>
  </si>
  <si>
    <t>BOLERO MAXX PUP 1.7L LX TANKER</t>
  </si>
  <si>
    <t>ASHOKBHAI JADAVJIBHAI KUNDARIYA</t>
  </si>
  <si>
    <t>13/08/2025</t>
  </si>
  <si>
    <t>GJ36V0449</t>
  </si>
  <si>
    <t>781122523340005146</t>
  </si>
  <si>
    <t>MAHINDRA SUPRO &amp; PROFIT TRUCK MINI VX</t>
  </si>
  <si>
    <t>IMRANBHAI MAHAMAD,HUSENBHAI SUMARA</t>
  </si>
  <si>
    <t>14/08/2026</t>
  </si>
  <si>
    <t>14/08/2025</t>
  </si>
  <si>
    <t>GJ03Y9968</t>
  </si>
  <si>
    <t>12-1831-0003594197-01</t>
  </si>
  <si>
    <t>Irfan Ishabhai Theba</t>
  </si>
  <si>
    <t>14-08-2026</t>
  </si>
  <si>
    <t>15/08/2025</t>
  </si>
  <si>
    <t>GJ12AY4142</t>
  </si>
  <si>
    <t>12-1831-0007819183-00</t>
  </si>
  <si>
    <t>ASHOK LEYLAND 3116 IL</t>
  </si>
  <si>
    <t>GJ36V7402</t>
  </si>
  <si>
    <t>VGC1394205000100</t>
  </si>
  <si>
    <t>SUPER CARRY CNG BSVI</t>
  </si>
  <si>
    <t>TUVAR ALI ISMAIL</t>
  </si>
  <si>
    <t>16/08/2026</t>
  </si>
  <si>
    <t>18/08/2025</t>
  </si>
  <si>
    <t>GJ36V5394</t>
  </si>
  <si>
    <t>VGC1394908000100</t>
  </si>
  <si>
    <t>KHUSHAL CHANDUBHAI POPAT</t>
  </si>
  <si>
    <t>17/08/2026</t>
  </si>
  <si>
    <t>22/08/2025</t>
  </si>
  <si>
    <t>GJ11VV0760</t>
  </si>
  <si>
    <t>3003/A/404900889/00/B00</t>
  </si>
  <si>
    <t>PALEJA VASIM DAUDBHAI</t>
  </si>
  <si>
    <t>21/08/2026</t>
  </si>
  <si>
    <t>GJ18AZ2291</t>
  </si>
  <si>
    <t>201740020125700049700000</t>
  </si>
  <si>
    <t>ACE</t>
  </si>
  <si>
    <t>PUROHIT KUSUMBEN</t>
  </si>
  <si>
    <t>15/08/2026</t>
  </si>
  <si>
    <t>20/08/2025</t>
  </si>
  <si>
    <t>GJ14X1776</t>
  </si>
  <si>
    <t>KAMALIYA BHARAT</t>
  </si>
  <si>
    <t>21/08/2025</t>
  </si>
  <si>
    <t>GJ12AW0887</t>
  </si>
  <si>
    <t>RUDANI BHARAT</t>
  </si>
  <si>
    <t>20-08-2026</t>
  </si>
  <si>
    <t>PK</t>
  </si>
  <si>
    <t>GJ36V6969</t>
  </si>
  <si>
    <t>POCMVGC0100429477</t>
  </si>
  <si>
    <t>Tata Motors,LPT 1512 &amp; CRX 42 WB BSIV</t>
  </si>
  <si>
    <t>SULTAN JANMAMADBHAIDAL</t>
  </si>
  <si>
    <t xml:space="preserve">99796 36464 </t>
  </si>
  <si>
    <t>GJ11U7714</t>
  </si>
  <si>
    <t>3003/A/404048891/00/000</t>
  </si>
  <si>
    <t>ASHOK LEYLAND TANKER 1612 TANKER</t>
  </si>
  <si>
    <t>25/08/2026</t>
  </si>
  <si>
    <t>GJ03AT0303</t>
  </si>
  <si>
    <t>12-1831-0007855355-00</t>
  </si>
  <si>
    <t>ASHOK LEYLAND 2214 SUPER</t>
  </si>
  <si>
    <t>23-08-2026</t>
  </si>
  <si>
    <t>GJ36X9908</t>
  </si>
  <si>
    <t>P0026200007/4103/102727</t>
  </si>
  <si>
    <t>TATA LPT 1109 EX 2 CR/HIGH SIDE DECK</t>
  </si>
  <si>
    <t>r BHAVESHBHAI BHANUBHAI RATHOD</t>
  </si>
  <si>
    <t>90333 38278</t>
  </si>
  <si>
    <t>23/08/2025</t>
  </si>
  <si>
    <t>GJ10TX8270</t>
  </si>
  <si>
    <t>201340020725700066800000</t>
  </si>
  <si>
    <t>MARUTI/SUPER CARRY/CNG STD</t>
  </si>
  <si>
    <t>VARMORA ANANT HIRAJEEBHAI</t>
  </si>
  <si>
    <t>99044 14433</t>
  </si>
  <si>
    <t>23/08/2026</t>
  </si>
  <si>
    <t>24/08/2025</t>
  </si>
  <si>
    <t>GJ36T3018</t>
  </si>
  <si>
    <t>AVO/2315/12164006</t>
  </si>
  <si>
    <t>MAHINDRA &amp; MAHINDRA BLAZO 37</t>
  </si>
  <si>
    <t>PATADIYA KIRANBHAI VASANTLAL</t>
  </si>
  <si>
    <t>26/08/2025</t>
  </si>
  <si>
    <t>GJ02ZZ4275</t>
  </si>
  <si>
    <t>161522523490000610</t>
  </si>
  <si>
    <t>ASHOK LEYLAND/3718/TANKER</t>
  </si>
  <si>
    <t>DEVAJIBHAI AYADANBHAI SAVASETA</t>
  </si>
  <si>
    <t>27/08/2025</t>
  </si>
  <si>
    <t>GJ36V5084</t>
  </si>
  <si>
    <t>161522523340010604</t>
  </si>
  <si>
    <t>TATA ACE &amp; GOLD CNG BS-VI</t>
  </si>
  <si>
    <t>RAJESH MAGANBHAI SUVARIA</t>
  </si>
  <si>
    <t>26/08/2026</t>
  </si>
  <si>
    <t>28/08/2025</t>
  </si>
  <si>
    <t>GJ36V0261</t>
  </si>
  <si>
    <t>161522523340010655</t>
  </si>
  <si>
    <t>MAHINDRA SUPRO &amp; MINI TRUCK VX</t>
  </si>
  <si>
    <t>BIJALBHAI MONABHAI MAKVANA</t>
  </si>
  <si>
    <t>29/08/2026</t>
  </si>
  <si>
    <t>GJ36N5688</t>
  </si>
  <si>
    <t>12-1806-0007897248-00</t>
  </si>
  <si>
    <t>Panchiya Masharubhai Harakhabhai</t>
  </si>
  <si>
    <t>99748 31888</t>
  </si>
  <si>
    <t>29-08-2026</t>
  </si>
  <si>
    <t>GJ36T4444</t>
  </si>
  <si>
    <t>160622523340015779</t>
  </si>
  <si>
    <t>TATA LPS &amp; 4018 TC 6 STR</t>
  </si>
  <si>
    <t>VIPUL JESANGBHAI RATHOD</t>
  </si>
  <si>
    <t>29/08/2025</t>
  </si>
  <si>
    <t>GJ13AX3825</t>
  </si>
  <si>
    <t>3003/405756821/00/B00</t>
  </si>
  <si>
    <t>CHAUHAN YOGESHBHAI CHAGANBHAI</t>
  </si>
  <si>
    <t>98242 98656</t>
  </si>
  <si>
    <t xml:space="preserve"> 92561 27629</t>
  </si>
  <si>
    <t>27/08/2026</t>
  </si>
  <si>
    <t>GJ36V7037</t>
  </si>
  <si>
    <t>3003/405756704/00/B00</t>
  </si>
  <si>
    <t>BOLERO MAXX PUP HD 2.0L VX</t>
  </si>
  <si>
    <t>SHREE RAM ENTERPRISE</t>
  </si>
  <si>
    <t>97252 18143</t>
  </si>
  <si>
    <t>30/08/2025</t>
  </si>
  <si>
    <t>GJ12AZ0546</t>
  </si>
  <si>
    <t>AVO/2315/12180647</t>
  </si>
  <si>
    <t>BHARATBENZ 2523R</t>
  </si>
  <si>
    <t>Ravidas Sureshbhai Kubavat</t>
  </si>
  <si>
    <t>99252 58600</t>
  </si>
  <si>
    <t>31/08/2026</t>
  </si>
  <si>
    <t>GJ03AT9961</t>
  </si>
  <si>
    <t>0604003125P108705111</t>
  </si>
  <si>
    <t>FORCE MOTORS LTD. / TRAX CRUISER 11 SEATERS</t>
  </si>
  <si>
    <t>VANGHANI BABUBHAI RATNABHAI</t>
  </si>
  <si>
    <t>6353 141 831</t>
  </si>
  <si>
    <t>28/08/2026</t>
  </si>
  <si>
    <t>31/08/2025</t>
  </si>
  <si>
    <t>GJ03BT4025</t>
  </si>
  <si>
    <t>201340020725700069400000</t>
  </si>
  <si>
    <t>SONARA VASHRAMBHAI PARBATBHAI</t>
  </si>
  <si>
    <t>75675 08229</t>
  </si>
  <si>
    <t>30/08/2026</t>
  </si>
  <si>
    <t>GJ11VV5202</t>
  </si>
  <si>
    <t>12-1831-0007916455-00</t>
  </si>
  <si>
    <t>Shiv Construction</t>
  </si>
  <si>
    <t>31-08-2026</t>
  </si>
  <si>
    <t>GJ36V5061</t>
  </si>
  <si>
    <t>161522523340010728</t>
  </si>
  <si>
    <t>HUSEN HAJI SHERASIYA</t>
  </si>
  <si>
    <t>GJ36V5207</t>
  </si>
  <si>
    <t>161522523340010798</t>
  </si>
  <si>
    <t>KAGATHARA RAKESH NARBHERAMBHAI</t>
  </si>
  <si>
    <t>99258 87772</t>
  </si>
  <si>
    <t>GJ36V6995</t>
  </si>
  <si>
    <t>AVO/2315/12187004</t>
  </si>
  <si>
    <t>TATA MOTORS LIMITED TATA 1512 LPT DCR48HSD 125B6M5</t>
  </si>
  <si>
    <t>Bharvad Rameshbhai Karshanbhai</t>
  </si>
  <si>
    <t>GJ03BV1057</t>
  </si>
  <si>
    <t>P0026200007/4103/103290</t>
  </si>
  <si>
    <t>EICHER PRO 3015 S J HSD BS6/HIGH SIDE DECK</t>
  </si>
  <si>
    <t>RAMIZ FIROJBHAI AKBAN</t>
  </si>
  <si>
    <t>GJ36V2707</t>
  </si>
  <si>
    <t>161522523340010868</t>
  </si>
  <si>
    <t>MARUTI SUZUKI SUPER CARRY &amp; CNG BSV</t>
  </si>
  <si>
    <t>RAJNIKANT LADHAJI THAKOR</t>
  </si>
  <si>
    <t>GJ36V5431</t>
  </si>
  <si>
    <t>3003/406857163/00/000</t>
  </si>
  <si>
    <t>1112 LPT</t>
  </si>
  <si>
    <t>SAMARPAN AUTOPACK LLP</t>
  </si>
  <si>
    <t>GJ18BV5221</t>
  </si>
  <si>
    <t>6303321304 00 00</t>
  </si>
  <si>
    <t>MAHINDRA/BOLERO/M</t>
  </si>
  <si>
    <t>KETAN AGARBATTI WORKS</t>
  </si>
  <si>
    <t>GJ09AU6707</t>
  </si>
  <si>
    <t>3003/405633056/00/000</t>
  </si>
  <si>
    <t>BOLERO MAXX</t>
  </si>
  <si>
    <t>KARMJI UMRAVBHAI SALAT</t>
  </si>
  <si>
    <t>GJ27U1484</t>
  </si>
  <si>
    <t>: 161522523340010536</t>
  </si>
  <si>
    <t>: MR. PRAVINBHAI VALJIBHAI PATNI</t>
  </si>
  <si>
    <t>AM</t>
  </si>
  <si>
    <t>GJ03AT3404</t>
  </si>
  <si>
    <t>VGC1402418000100</t>
  </si>
  <si>
    <t>Ashok Leyland Ltd</t>
  </si>
  <si>
    <t>jaydeep</t>
  </si>
  <si>
    <t>2,50,00</t>
  </si>
  <si>
    <t>:P0026200007/4625/100144</t>
  </si>
  <si>
    <t>KHUSHALI ENTERPRISE</t>
  </si>
  <si>
    <t>GJ36V5390</t>
  </si>
  <si>
    <t>161522523340010996</t>
  </si>
  <si>
    <t>KHODA GOVINDBHAI BIJALBHAI</t>
  </si>
  <si>
    <t>GJ36T0177</t>
  </si>
  <si>
    <t>AVO/2315/12197631</t>
  </si>
  <si>
    <t>BHARATBENZ 1617 R HSD</t>
  </si>
  <si>
    <t>Varmora Satishkumar Pravinbhai</t>
  </si>
  <si>
    <t>GJ14Z1129</t>
  </si>
  <si>
    <t>161122523340008933</t>
  </si>
  <si>
    <t>PRADEEP RASHIKLAL THAKKAR</t>
  </si>
  <si>
    <t>GJ36V0076</t>
  </si>
  <si>
    <t>161522523340011283</t>
  </si>
  <si>
    <t>JITENDRABHAI DEVJIBHAI KAVAR</t>
  </si>
  <si>
    <t>GJ36X7575</t>
  </si>
  <si>
    <t>161522523340011318</t>
  </si>
  <si>
    <t>GJ36W0908</t>
  </si>
  <si>
    <t>0604003125P109482410</t>
  </si>
  <si>
    <t>Bajaj Auto Ltd / BAJAJ MAXIMA C CNG nul</t>
  </si>
  <si>
    <t>MR SOMANI BHIKHUBHAI BHAGVANJIBHAI</t>
  </si>
  <si>
    <t>GJ36V2256</t>
  </si>
  <si>
    <t>D224526191 / 12092025</t>
  </si>
  <si>
    <t>RIYAZ RASHID BHALDAR</t>
  </si>
  <si>
    <t>DIGIT</t>
  </si>
  <si>
    <t>GJ36V7389</t>
  </si>
  <si>
    <t>3003/407861065/00/000</t>
  </si>
  <si>
    <t>ASHOK LEYLAND PICK-UP VANS BADA DOST I4</t>
  </si>
  <si>
    <t>SHIVA STRAP INDUSTRIES</t>
  </si>
  <si>
    <t>98254 17789</t>
  </si>
  <si>
    <t>13/09/2026</t>
  </si>
  <si>
    <t>GJ02Z3791</t>
  </si>
  <si>
    <t>3003/A/407898481/00/B00</t>
  </si>
  <si>
    <t>ATA MOTORS TANKER LPT 2516 TANKER PB</t>
  </si>
  <si>
    <t>: KUNPARA MANSANG NARSHIBHAI</t>
  </si>
  <si>
    <t>GJ36W0760</t>
  </si>
  <si>
    <t>0604003125P109521276</t>
  </si>
  <si>
    <t>Bajaj Auto Ltd / BAJAJ MAXIMA CARGO CNG THREE WHEELER(GOODS)</t>
  </si>
  <si>
    <t>MR MAHAMAND ISMAIL VIKIYA</t>
  </si>
  <si>
    <t>GJ03AX9614</t>
  </si>
  <si>
    <t>132/02/17/0926/MTP/1010172737</t>
  </si>
  <si>
    <t>MAHINDRA AND MAHINDRA BOLERO PICK UP BOLERO</t>
  </si>
  <si>
    <t>MR Chauhan Kishanbhai</t>
  </si>
  <si>
    <t>14/09/2026</t>
  </si>
  <si>
    <t>Generali Central</t>
  </si>
  <si>
    <t>GJ01RC0479</t>
  </si>
  <si>
    <t>D225310795 / 18092025</t>
  </si>
  <si>
    <t>SWIFT/VDi</t>
  </si>
  <si>
    <t>SALEMANBHAI JUMABHAI KURESHI</t>
  </si>
  <si>
    <t>17/09/2026</t>
  </si>
  <si>
    <t>GJ37T0601</t>
  </si>
  <si>
    <t>132/02/17/0926/MTP/1010177641</t>
  </si>
  <si>
    <t>MAHINDRA AND MAHINDRA BOLERO MAXI TRUCK PLUS 2WD MDI</t>
  </si>
  <si>
    <t>MR KUNDHIYA VINODNKUMAR CHANDUBHAI</t>
  </si>
  <si>
    <t>19/09/2026</t>
  </si>
  <si>
    <t>GJ36V1197</t>
  </si>
  <si>
    <t>161522523340011651</t>
  </si>
  <si>
    <t>ASHOK LEYLAND U 3718 &amp; IL 260 WB</t>
  </si>
  <si>
    <t>BASIRBHAI AKBARBHAI LOLADIYA</t>
  </si>
  <si>
    <t>18/09/2026</t>
  </si>
  <si>
    <t>GJ13AW2412</t>
  </si>
  <si>
    <t>132/02/17/0926/MTP/1010178887</t>
  </si>
  <si>
    <t>MAHINDRA AND MAHINDRA BOLERO MAXI TRUCK</t>
  </si>
  <si>
    <t>MESVANIYA DILIPBHAI BHUPENDRABHAI</t>
  </si>
  <si>
    <t xml:space="preserve"> 95371 29406</t>
  </si>
  <si>
    <t>20/09/2026</t>
  </si>
  <si>
    <t>GJ18AX1171</t>
  </si>
  <si>
    <t>201340020725700070300000</t>
  </si>
  <si>
    <t>JASVANTBHAI ABLABHAI HANDA</t>
  </si>
  <si>
    <t>SW</t>
  </si>
  <si>
    <t>GJ01CZ3903</t>
  </si>
  <si>
    <t>3003/407119919/00/B00</t>
  </si>
  <si>
    <t>11.10 TRUCK</t>
  </si>
  <si>
    <t>PUWAR BIPINSINH BALUSINH</t>
  </si>
  <si>
    <t>GJ01TJ5151</t>
  </si>
  <si>
    <t>POCMVGC0100460399</t>
  </si>
  <si>
    <t>Mr.PEMAHJI MEGWAL</t>
  </si>
  <si>
    <t>GJ06XX7699</t>
  </si>
  <si>
    <t>12-1831-0007988818-00</t>
  </si>
  <si>
    <t>Mukesh Jagmalbhai Mir</t>
  </si>
  <si>
    <t>DP</t>
  </si>
  <si>
    <t>GJ19U0319</t>
  </si>
  <si>
    <t>12-1831-0007992925-00</t>
  </si>
  <si>
    <t>Bakul Dharmshibhai Lathiya</t>
  </si>
  <si>
    <t>GJ04AW0760</t>
  </si>
  <si>
    <t>161122523340008941</t>
  </si>
  <si>
    <t>MR. ASHOKBHAI CHAMANBHAI DALVADI</t>
  </si>
  <si>
    <t>99247 11729</t>
  </si>
  <si>
    <t>6355 983 129</t>
  </si>
  <si>
    <t>GJ02XX5349</t>
  </si>
  <si>
    <t>132/01/17/0926/MTP/1010173180</t>
  </si>
  <si>
    <t>ASHOK LEYLAND DOST RLS</t>
  </si>
  <si>
    <t>MR VINODBHAI SHAMJIBHAI</t>
  </si>
  <si>
    <t>GJ05CW1274</t>
  </si>
  <si>
    <t>3003/408486236/00/B00</t>
  </si>
  <si>
    <t>PRO 2110</t>
  </si>
  <si>
    <t>MEHULBHAI MOHANBHAI AHIR</t>
  </si>
  <si>
    <t>GJ36V8712</t>
  </si>
  <si>
    <t>3003/407043344/00/B00</t>
  </si>
  <si>
    <t>PARMAR BHARATKUMAR RATILAL</t>
  </si>
  <si>
    <t>6351-089941</t>
  </si>
  <si>
    <t>GJ23AT9373</t>
  </si>
  <si>
    <t>POCMVGC0100455258</t>
  </si>
  <si>
    <t>Mahindra &amp; Mahindra,Bolero &amp; Pik Up</t>
  </si>
  <si>
    <t>Mr.MAHESHBHAI ARVINDBHAI OAD</t>
  </si>
  <si>
    <t>GJ36T8642</t>
  </si>
  <si>
    <t>staff BUS</t>
  </si>
  <si>
    <t>EICHER/6016/STANDAR D/Closed/BUS</t>
  </si>
  <si>
    <t>AJANTA LLP</t>
  </si>
  <si>
    <t>21/09/2025</t>
  </si>
  <si>
    <t>GJ36W0584</t>
  </si>
  <si>
    <t>0604003125P109888896</t>
  </si>
  <si>
    <t>3 Bajaj Auto Ltd / BAJAJ MAXIMA C CNG null</t>
  </si>
  <si>
    <t>MR RAUMA ABBAS RASULBHAI</t>
  </si>
  <si>
    <t>21/09/2026</t>
  </si>
  <si>
    <t>22/09/2025</t>
  </si>
  <si>
    <t>GJ01KT0790</t>
  </si>
  <si>
    <t>3003/408582888/00/000</t>
  </si>
  <si>
    <t>ASHOK LEYLAND PICK-UP VANS BADA DOST I4 FULLY BUILT Open</t>
  </si>
  <si>
    <t>DHARMESH LAXMANBHAI BHARWAD</t>
  </si>
  <si>
    <t>24/09/2025</t>
  </si>
  <si>
    <t>GJ36V0216</t>
  </si>
  <si>
    <t>PANSARA DHIRAJBHAI CHAKUBHAI</t>
  </si>
  <si>
    <t>23/09/2026</t>
  </si>
  <si>
    <t>GJ36V2117</t>
  </si>
  <si>
    <t>201340020725700072900000</t>
  </si>
  <si>
    <t>JITESH BACHUBHAI DABHI</t>
  </si>
  <si>
    <t>25/09/2026</t>
  </si>
  <si>
    <t>25/09/2025</t>
  </si>
  <si>
    <t>GJ36W0613</t>
  </si>
  <si>
    <t>0674023125P110133537</t>
  </si>
  <si>
    <t>Atul Auto Ltd / ATUL GEMI CARGO ATUL SHAKTI 435 CARGO XL (D)</t>
  </si>
  <si>
    <t>MR KISHAN SURESHBHAI CHAUHAN</t>
  </si>
  <si>
    <t>GJ36U2056</t>
  </si>
  <si>
    <t>0674023125P110133522</t>
  </si>
  <si>
    <t>Atul Auto Ltd / ATUL SHAKTI HD BS4</t>
  </si>
  <si>
    <t>MR BABULAL KHUBDANBHAI CHAUHAN</t>
  </si>
  <si>
    <t>26/09/2026</t>
  </si>
  <si>
    <t>27/09/2025</t>
  </si>
  <si>
    <t>GJ03BT2838</t>
  </si>
  <si>
    <t>MAHINDRA/BOLERO/PI CK UP FB 2WD BS3/OP EN/PICK UP VAN</t>
  </si>
  <si>
    <t>FANGALIYA BHARABHAI SAGRAMBHAI</t>
  </si>
  <si>
    <t>27/09/2026</t>
  </si>
  <si>
    <t>GJ23AT1823</t>
  </si>
  <si>
    <t>0604003125P110286860</t>
  </si>
  <si>
    <t>FORCE MOTORS LTD. / TEMPO TRAVELLER 11 SEATER nul</t>
  </si>
  <si>
    <t>MR ASHOKBHAI NATHABHAI BABARIA</t>
  </si>
  <si>
    <t>GJ36V7513</t>
  </si>
  <si>
    <t>161522523340011994</t>
  </si>
  <si>
    <t>AJAY MAGANBHAI KANSAGRA</t>
  </si>
  <si>
    <t>83470 24013</t>
  </si>
  <si>
    <t>GJ06AZ4387</t>
  </si>
  <si>
    <t>D227161250 / 26092025</t>
  </si>
  <si>
    <t>SIGNA 4018 / BSIV</t>
  </si>
  <si>
    <t>SHAKTI ENTERPRISE</t>
  </si>
  <si>
    <t>02/10/2026</t>
  </si>
  <si>
    <t>GJ36T4401</t>
  </si>
  <si>
    <t>VGC1418127000100</t>
  </si>
  <si>
    <t>GOVARDHAN SILICATE</t>
  </si>
  <si>
    <t>1,29,90</t>
  </si>
  <si>
    <t>GJ36V5245</t>
  </si>
  <si>
    <t>VGC1418117000100</t>
  </si>
  <si>
    <t>GJ03W8229</t>
  </si>
  <si>
    <t>12-1831-0008118870-00</t>
  </si>
  <si>
    <t>Sumra Aadil Gulamhusen</t>
  </si>
  <si>
    <t>28-09-2026</t>
  </si>
  <si>
    <t>GJ36W0732</t>
  </si>
  <si>
    <t>0604003125P110339374</t>
  </si>
  <si>
    <t>Bajaj Auto Ltd / MAXIMA CNG BS IV OBD 2B null</t>
  </si>
  <si>
    <t>MR RAIYABHAI NAGJIBHAI MUNDHAVA</t>
  </si>
  <si>
    <t>29/09/2026</t>
  </si>
  <si>
    <t>GJ03AX7537</t>
  </si>
  <si>
    <t>132/02/17/0926/MTP/1010187499</t>
  </si>
  <si>
    <t>MAHINDRA AND MAHINDRA BOLERO CAMPER BOLERO CAMPER (FBV/2WD)</t>
  </si>
  <si>
    <t>MR Raja Iqbal Jumabhai</t>
  </si>
  <si>
    <t>95108 01847</t>
  </si>
  <si>
    <t>30/09/2026</t>
  </si>
  <si>
    <t>30/09/2025</t>
  </si>
  <si>
    <t>GJ36V7934</t>
  </si>
  <si>
    <t>161522523340012111</t>
  </si>
  <si>
    <t>KISHORBHAI LALJIBHAI SANURA</t>
  </si>
  <si>
    <t>01/10/2026</t>
  </si>
  <si>
    <t>GJ36S7333</t>
  </si>
  <si>
    <t>3382/00389883/000/00</t>
  </si>
  <si>
    <t>DEKAVADIYA DILIPBHAI RAMJIBHAI</t>
  </si>
  <si>
    <t>12/10/2026</t>
  </si>
  <si>
    <t>GJ36T2203</t>
  </si>
  <si>
    <t>201340020725700074800000</t>
  </si>
  <si>
    <t>ASHOK LEYLAND/DOST LS/(FULLY BUILT)PICK UP</t>
  </si>
  <si>
    <t>DIVYESH VALLABHBHAI GODVANI</t>
  </si>
  <si>
    <t>07/10/2026</t>
  </si>
  <si>
    <t>GJ36T7437</t>
  </si>
  <si>
    <t>161522523340012196</t>
  </si>
  <si>
    <t>MOHYUDIN ADAMBHAI MAKVANA</t>
  </si>
  <si>
    <t>84600 78682</t>
  </si>
  <si>
    <t>GJ36W0951</t>
  </si>
  <si>
    <t>0604003125P110559011</t>
  </si>
  <si>
    <t>Bajaj Auto Ltd / BAJAJ MAXIMA C-CNG nul</t>
  </si>
  <si>
    <t>MR DALPAUTRA FIROJ HAJIBHAI</t>
  </si>
  <si>
    <t>:01/10/2026</t>
  </si>
  <si>
    <t>GJ36V6311</t>
  </si>
  <si>
    <t>AVO/2315/12270871</t>
  </si>
  <si>
    <t>TATA SIGNA 5530.S BSVI TRUCKS</t>
  </si>
  <si>
    <t>DADA EARTHMOVERS</t>
  </si>
  <si>
    <t>884 928 9727</t>
  </si>
  <si>
    <t>GJ36W0731</t>
  </si>
  <si>
    <t>0604003125P110595173</t>
  </si>
  <si>
    <t>MR PARMAR MAYUR</t>
  </si>
  <si>
    <t>GJ03BW5990</t>
  </si>
  <si>
    <t>CHAVADA RASIKBHAI DEVSHIBHAI</t>
  </si>
  <si>
    <t>GJ36V2272</t>
  </si>
  <si>
    <t>161522523340012243</t>
  </si>
  <si>
    <t>TOTA KHODIDAS NANJIBHAI</t>
  </si>
  <si>
    <t>GJ12AU8507</t>
  </si>
  <si>
    <t>3003/A/410857703/00/B00</t>
  </si>
  <si>
    <t>ASHOK LEYLAND TANKER 3116 TANKER</t>
  </si>
  <si>
    <t>SARVAIYA AJAY HIRABHAI</t>
  </si>
  <si>
    <t>70699 99652</t>
  </si>
  <si>
    <t>GJ03AW4014</t>
  </si>
  <si>
    <t>12-1831-0008159910-00</t>
  </si>
  <si>
    <t>ASHOK LEYLAND 2516 IL</t>
  </si>
  <si>
    <t>Digvijaysinh Dilavrsinh Jadeja</t>
  </si>
  <si>
    <t>GJ36L6602</t>
  </si>
  <si>
    <t>12-1805-0003889259-01</t>
  </si>
  <si>
    <t>MARUTI EECO</t>
  </si>
  <si>
    <t>Chaniya Hanifbhai Ayubbhai</t>
  </si>
  <si>
    <t>GJ16AV1557</t>
  </si>
  <si>
    <t>GJ36V2172</t>
  </si>
  <si>
    <t>161522523340012432</t>
  </si>
  <si>
    <t>TATA ACE &amp; GOLD+DIESEL BSVI IRISH_CREAM</t>
  </si>
  <si>
    <t>RATHOD HARDEVSINH RAMESHBHAI</t>
  </si>
  <si>
    <t>GJ03BV2079</t>
  </si>
  <si>
    <t>161522523340012461</t>
  </si>
  <si>
    <t>RAJESHBHAI ARJANBHAI CHAVDA</t>
  </si>
  <si>
    <t>GJ36V3968</t>
  </si>
  <si>
    <t>3003/410959033/00/B00</t>
  </si>
  <si>
    <t>DETROJA CHATRABHUJ DHANJIBHAI</t>
  </si>
  <si>
    <t>GJ14AT9419</t>
  </si>
  <si>
    <t>161522523340012525</t>
  </si>
  <si>
    <t>LOKHIL DHAVAL BHARATBHAI</t>
  </si>
  <si>
    <t>GJ13AX9992</t>
  </si>
  <si>
    <t>161122523340009863</t>
  </si>
  <si>
    <t>GJ14Z9419</t>
  </si>
  <si>
    <t>161522523340012613</t>
  </si>
  <si>
    <t>BHARATBHAI KANGIBHAI LOKHIL</t>
  </si>
  <si>
    <t>GJ12BX0243</t>
  </si>
  <si>
    <t>JAYESHBHAI SHIVLAL BARASRA</t>
  </si>
  <si>
    <t>GJ36T9558</t>
  </si>
  <si>
    <t>MARUTI/EECO/AMBULA NCE WITH AC+HTR/CLO SED/AMBULANCE</t>
  </si>
  <si>
    <t>Ubhadiya Tulshi Karshanbhai</t>
  </si>
  <si>
    <t>GJ23AT8820</t>
  </si>
  <si>
    <t>775522523340000996</t>
  </si>
  <si>
    <t>IBRAHIMBHAI RASIDBHAI KURESHI</t>
  </si>
  <si>
    <t>98257 39840</t>
  </si>
  <si>
    <t>GJ12BY5506</t>
  </si>
  <si>
    <t>AL 4825</t>
  </si>
  <si>
    <t>SHREE EAJESHWAR KRUPA ROADWAYS</t>
  </si>
  <si>
    <t>GJ12BY5507</t>
  </si>
  <si>
    <t>23/09/2025</t>
  </si>
  <si>
    <t>GJ12W9149</t>
  </si>
  <si>
    <t>TATA MOTORS / LPT 2515</t>
  </si>
  <si>
    <t>R T SHIPPING SERVICES</t>
  </si>
  <si>
    <t>GJ27TF6047</t>
  </si>
  <si>
    <t>132/02/17/1026/MTP/1010183652</t>
  </si>
  <si>
    <t>TATA 407 LPT /34</t>
  </si>
  <si>
    <t>MR RAVAL VISHALBHAI SATISHBHAI</t>
  </si>
  <si>
    <t>GJ03BT3712</t>
  </si>
  <si>
    <t>201340020725700073100000</t>
  </si>
  <si>
    <t>MAHINDRA/BOLER O MAXI TRUCK 2WD/(FULLY BUILT)PICKUP</t>
  </si>
  <si>
    <t>HARKISHAN AJRAMBHAI BOPALIYA</t>
  </si>
  <si>
    <t>081419 93366</t>
  </si>
  <si>
    <t>Liberty</t>
  </si>
  <si>
    <t>GJ02AT8062</t>
  </si>
  <si>
    <t>POCMVGC0100482799</t>
  </si>
  <si>
    <t>Tata Motors,LPT 1109 &amp; HEX2/42 WBCRDI BSIII TC CH CAB &amp; W/0LB</t>
  </si>
  <si>
    <t>Mr.CHIMANBHAI BHAVAJI SOLANK</t>
  </si>
  <si>
    <t>24/09/2026</t>
  </si>
  <si>
    <t>26/09/2025</t>
  </si>
  <si>
    <t>GJ01BV3089</t>
  </si>
  <si>
    <t>VGT0478749000101</t>
  </si>
  <si>
    <t>LPT 3118 Cargo box Closed Body</t>
  </si>
  <si>
    <t>Mr.BAKUL DHARMESHBHAI LATHIYA</t>
  </si>
  <si>
    <t>Royal</t>
  </si>
  <si>
    <t>GJ02AT1972</t>
  </si>
  <si>
    <t>6303407766 00 00</t>
  </si>
  <si>
    <t>TATA MOTORS/ACE/GO LD CNG/OPEN/PICK UP VAN</t>
  </si>
  <si>
    <t>Mr PATEL VASANTBHAI BAJIDAS</t>
  </si>
  <si>
    <t>96017 84373</t>
  </si>
  <si>
    <t xml:space="preserve"> 63523 40852</t>
  </si>
  <si>
    <t>GJ01BV3357</t>
  </si>
  <si>
    <t>12-1831-0008135971-00</t>
  </si>
  <si>
    <t>EICHER 11.10</t>
  </si>
  <si>
    <t>Rajkumar Yadav</t>
  </si>
  <si>
    <t>30-09-2025</t>
  </si>
  <si>
    <t>GJ12AY5000</t>
  </si>
  <si>
    <t>161522523490000717</t>
  </si>
  <si>
    <t>TATA/ACE/HT 275</t>
  </si>
  <si>
    <t>MANOJ LILADHARBHAI BHADRA</t>
  </si>
  <si>
    <t>GJ01KT9215</t>
  </si>
  <si>
    <t>161522523340012280</t>
  </si>
  <si>
    <t>ASHOK LEYLAND 3718 &amp; TANKER</t>
  </si>
  <si>
    <t>Mr. SURESHBHAI MANGABHAI BHARAWAD</t>
  </si>
  <si>
    <t>GJ10Y3866</t>
  </si>
  <si>
    <t>161522523490000730</t>
  </si>
  <si>
    <t>TATA/ACE/HT</t>
  </si>
  <si>
    <t>Mr. SAHIL SALIMBHAI GORI</t>
  </si>
  <si>
    <t>GJ01DV8102</t>
  </si>
  <si>
    <t>161522523340012563</t>
  </si>
  <si>
    <t>TATA ACE &amp; HT</t>
  </si>
  <si>
    <t>MR. HITESHBHAI JIVANBHAI MAKWANA</t>
  </si>
  <si>
    <t>GJ36T6752</t>
  </si>
  <si>
    <t>161522523340012680</t>
  </si>
  <si>
    <t>MR. SANJAYBHAI DEVJIBHAI KUKAVAV</t>
  </si>
  <si>
    <t>97265 03068</t>
  </si>
  <si>
    <t>GJ18AX8796</t>
  </si>
  <si>
    <t>3003/A/411100131/00/000</t>
  </si>
  <si>
    <t>EICHER 35.31 TANKER</t>
  </si>
  <si>
    <t>: BAKUL DHARAMSHIBHAI LATHIYA</t>
  </si>
  <si>
    <t>GJ36S2935</t>
  </si>
  <si>
    <t>GMMCO CATERPILLAR/ 2021E/WHEEL LOADER/ OPEN/CONSTRUCTION EQUIPMENTS</t>
  </si>
  <si>
    <t>GJ36S2509</t>
  </si>
  <si>
    <t>GJ36S2685</t>
  </si>
  <si>
    <t>GJ36S2988</t>
  </si>
  <si>
    <t>GJ03AT1484</t>
  </si>
  <si>
    <t>D227466389 / 30092025</t>
  </si>
  <si>
    <t>TAHIRBHAI ARABBHAI AGHAM</t>
  </si>
  <si>
    <t>14/09/2025</t>
  </si>
  <si>
    <t>GJ36T4832</t>
  </si>
  <si>
    <t>AVO/2315/12216511</t>
  </si>
  <si>
    <t>Parasara Mahmadaltaf Hushenbhai</t>
  </si>
  <si>
    <t>GJ03AZ9252</t>
  </si>
  <si>
    <t>P0026200007/4103/103456</t>
  </si>
  <si>
    <t>ASHOK LEYLAND 3118 1 BSIV/REFRIGERATOR VAN</t>
  </si>
  <si>
    <t>Mr MAHENDRABHAI UMEDBHAI LUOT</t>
  </si>
  <si>
    <t>GJ03BY6066</t>
  </si>
  <si>
    <t>P0026200007/4103/103382</t>
  </si>
  <si>
    <t>ASHOK LEYLAND 3118 BSIV/OPE</t>
  </si>
  <si>
    <t>Mr JUNED VALIMAMADBHAI BABHNI</t>
  </si>
  <si>
    <t>GJ12BX6966</t>
  </si>
  <si>
    <t>3003/406908515/00/000</t>
  </si>
  <si>
    <t>BAMBHAVA ARJAN VASABHAI</t>
  </si>
  <si>
    <t>GJ36V0988</t>
  </si>
  <si>
    <t>3003/411708219/00/000</t>
  </si>
  <si>
    <t>TATA MOTORS TRUCKS SFC GOLD 407 FULLY BUILT Open</t>
  </si>
  <si>
    <t>BHARATBHAI MATRABHAI ZANPADA</t>
  </si>
  <si>
    <t>GJ06XX7655</t>
  </si>
  <si>
    <t>201340020725700077300000</t>
  </si>
  <si>
    <t>ASHOK LEYLAND/TAURUS 2516 /2/(Cowl Chassis) OPEN METAL BODY</t>
  </si>
  <si>
    <t>GJ36X9298</t>
  </si>
  <si>
    <t>3003/411898709/00/000</t>
  </si>
  <si>
    <t>M &amp; M PICK-UP VANS BOLERO MAXX PUP HD 2.0L LX</t>
  </si>
  <si>
    <t>SATKA SATISHBHAI JETHABHAI</t>
  </si>
  <si>
    <t>14/10/2026</t>
  </si>
  <si>
    <t>GJ10W6713</t>
  </si>
  <si>
    <t>3003/A/411908306/00/B00</t>
  </si>
  <si>
    <t>ASHOK LEYLAND TIPPERS CT 1613 H/1 FBT</t>
  </si>
  <si>
    <t>DEVMURARI SHAILESH RAJARAMBHAI</t>
  </si>
  <si>
    <t>13/10/2026</t>
  </si>
  <si>
    <t>GJ03AW4725</t>
  </si>
  <si>
    <t>201340020725700078000000</t>
  </si>
  <si>
    <t>ASHOK LEYLAND/3116 IL/ (FULLY BUILT) OPEN METAL BODY</t>
  </si>
  <si>
    <t>SALEMANBHAI ABDULBHAI KAIDA</t>
  </si>
  <si>
    <t>GJ36S3104</t>
  </si>
  <si>
    <t>JCB/3DX PLUS/2WD/OP EN/CONSTRUCTION EQ UIPMENTS</t>
  </si>
  <si>
    <t>ASHIF HUSHENBHAI BADI</t>
  </si>
  <si>
    <t>GJ03AW4099</t>
  </si>
  <si>
    <t>12-1831-0008231034-00'</t>
  </si>
  <si>
    <t>cheque policy</t>
  </si>
  <si>
    <t>GJ36T7153</t>
  </si>
  <si>
    <t>12-1831-0008231179-00</t>
  </si>
  <si>
    <t>Jaydeep Enterprise Llp</t>
  </si>
  <si>
    <t>GJ36V7926</t>
  </si>
  <si>
    <t>3003/412131691/00/000</t>
  </si>
  <si>
    <t>KASUNDRA ASHOKBHAI RAMJIBHAI</t>
  </si>
  <si>
    <t>15/10/2026</t>
  </si>
  <si>
    <t>GJ14AT9199</t>
  </si>
  <si>
    <t>161522523340013133</t>
  </si>
  <si>
    <t>TATA LPT &amp; 1109 H EX2 BS III</t>
  </si>
  <si>
    <t>MR. SAMJIBHAI VIRADA</t>
  </si>
  <si>
    <t>GJ36W0973</t>
  </si>
  <si>
    <t>Mr PATADIYA VIJAY JIVRAJBHAI</t>
  </si>
  <si>
    <t>17/10/2026</t>
  </si>
  <si>
    <t>GJ36V7886</t>
  </si>
  <si>
    <t>161522523340013266</t>
  </si>
  <si>
    <t>JAVID HAJIBHAI SHERSIYA</t>
  </si>
  <si>
    <t>16/10/2026</t>
  </si>
  <si>
    <t>18/10/2025</t>
  </si>
  <si>
    <t>GJ36U8787</t>
  </si>
  <si>
    <t>Mr SILANIA RANJITBHAI RAVJIBHAI</t>
  </si>
  <si>
    <t>99252 60113</t>
  </si>
  <si>
    <t>GJ36W0726</t>
  </si>
  <si>
    <t>Mr ANTRESA BHAVESH BHARATBHAI</t>
  </si>
  <si>
    <t>18/10/2026</t>
  </si>
  <si>
    <t>19/10/2025</t>
  </si>
  <si>
    <t>GJ36U9899</t>
  </si>
  <si>
    <t>Mr KIRANBHAI HEMUBHAI SOLANKI</t>
  </si>
  <si>
    <t>GJ36V8247</t>
  </si>
  <si>
    <t>3003/412539335/00/000</t>
  </si>
  <si>
    <t>M &amp; M PICK-UP VANS BOLERO MAXX PUP HD 2.0L VXI</t>
  </si>
  <si>
    <t>IMRAN RAYABBHAI JEDA</t>
  </si>
  <si>
    <t>GJ36W1349</t>
  </si>
  <si>
    <t>BAJAJ AUTO/RE MAXIM A/Z/Motorized Ricksha w/AUTO RICKSHAW</t>
  </si>
  <si>
    <t>Mr RAJUBHAI SIVABHAI DHAMECHA</t>
  </si>
  <si>
    <t>22/10/2026</t>
  </si>
  <si>
    <t>GJ36V5776</t>
  </si>
  <si>
    <t>3379/04491102/000/00</t>
  </si>
  <si>
    <t>HARESH KARMANBHAI VAHANIA</t>
  </si>
  <si>
    <t>21/10/2025</t>
  </si>
  <si>
    <t>GJ36U7600</t>
  </si>
  <si>
    <t>BAJAJ AUTO/RE/COMPA CT/Motorized Ricksha w/AUTO RICKSHAW</t>
  </si>
  <si>
    <t>Mr SEVANGIYA ZULFER GULAMHUSEN</t>
  </si>
  <si>
    <t>96382 44645</t>
  </si>
  <si>
    <t>21/10/2026</t>
  </si>
  <si>
    <t>GJ36W1394</t>
  </si>
  <si>
    <t>Mr ROHITBHAI TIKUBHAI PARMAR</t>
  </si>
  <si>
    <t>22/10/2025</t>
  </si>
  <si>
    <t>GJ36W2323</t>
  </si>
  <si>
    <t>Mr GANPATBHAI VAJABHAI SURANI</t>
  </si>
  <si>
    <t>23/10/2026</t>
  </si>
  <si>
    <t>24/10/2025</t>
  </si>
  <si>
    <t>GJ03BT0111</t>
  </si>
  <si>
    <t>601722523340003385</t>
  </si>
  <si>
    <t>AVESHBHAI KHAMISHA MANEK</t>
  </si>
  <si>
    <t>25/10/2025</t>
  </si>
  <si>
    <t>GJ36W2419</t>
  </si>
  <si>
    <t>Mr DETHAREIA MUKESHBHAI CHANDUBHAI</t>
  </si>
  <si>
    <t>24/10/2026</t>
  </si>
  <si>
    <t>GJ12AY3378</t>
  </si>
  <si>
    <t>EICHER MOTORS/PRO 1 110/G HSD/OPEN/TRUC K</t>
  </si>
  <si>
    <t>Mr Lambariya Devabhai Ranchhodbhai</t>
  </si>
  <si>
    <t>GJ36W2212</t>
  </si>
  <si>
    <t>Mr BHARATBHAI VIRJIBHAI PARMAR</t>
  </si>
  <si>
    <t>GJ36W2057</t>
  </si>
  <si>
    <t>Mr KANABHAI RAMESHBHAI PATDIYA</t>
  </si>
  <si>
    <t>25/10/2026</t>
  </si>
  <si>
    <t>GJ12BZ2485</t>
  </si>
  <si>
    <t>AVO/2315/12353646</t>
  </si>
  <si>
    <t>ICHER MOTORS EICHER PRO 2114 XP H HSD BS VI</t>
  </si>
  <si>
    <t>BALOTIYA MADAN</t>
  </si>
  <si>
    <t>99259 27336</t>
  </si>
  <si>
    <t>99137 72807</t>
  </si>
  <si>
    <t>RJ12CB4569</t>
  </si>
  <si>
    <t>30010031256760001132</t>
  </si>
  <si>
    <t>MARUTI SUZUKI EECO 5 STR AC O</t>
  </si>
  <si>
    <t>PRATAP SINGH</t>
  </si>
  <si>
    <t>NATIONAL</t>
  </si>
  <si>
    <t>GJ06AV1518</t>
  </si>
  <si>
    <t>201340020725700079700000</t>
  </si>
  <si>
    <t>ASHOK LEYLAND/3718 IL CABIN RADIAL/ (Cabin Chassis) OPEN METAL BODY</t>
  </si>
  <si>
    <t>HANSABA KANAKSINH VAGHELA</t>
  </si>
  <si>
    <t>GJ36U5719</t>
  </si>
  <si>
    <t>6303492177 00 00</t>
  </si>
  <si>
    <t>Mr SULTAN SUMAR ADMANI</t>
  </si>
  <si>
    <t>GJ36W1473</t>
  </si>
  <si>
    <t>6303492157 00 00</t>
  </si>
  <si>
    <t>Mr SUNIL SAVJIBHAI THARESA</t>
  </si>
  <si>
    <t>GJ03AZ0329</t>
  </si>
  <si>
    <t>3003/413500385/00/B00</t>
  </si>
  <si>
    <t>EICHER MOTOR1</t>
  </si>
  <si>
    <t>PANKA SIDIKBHAI HUSAINBHAI</t>
  </si>
  <si>
    <t>98799 79251</t>
  </si>
  <si>
    <t>GJ36T4809</t>
  </si>
  <si>
    <t>: 161522523340013455</t>
  </si>
  <si>
    <t>MR. MUNDHAVA GOVIND NARUBHAI</t>
  </si>
  <si>
    <t>28/10/2025</t>
  </si>
  <si>
    <t>GJ36W2347</t>
  </si>
  <si>
    <t>6303497660 00 00</t>
  </si>
  <si>
    <t>Mr HARJIBHAI ARJANBHAI CHADASANIYA</t>
  </si>
  <si>
    <t>GJ36W1229</t>
  </si>
  <si>
    <t>6302271790 01 00</t>
  </si>
  <si>
    <t>BAJAJ AUTO/MAXIMA/Z 4/Motorized Rickshaw/ AUTO RICKSHAW</t>
  </si>
  <si>
    <t>Mr GAMARA JAYESHBHAI BHAGUBHA</t>
  </si>
  <si>
    <t>27/10/2026</t>
  </si>
  <si>
    <t>GJ36U6426</t>
  </si>
  <si>
    <t xml:space="preserve">6303497654 00 00
</t>
  </si>
  <si>
    <t>Mr HITESH BHUPATBHAI BAMBHAVA</t>
  </si>
  <si>
    <t>28/10/2026</t>
  </si>
  <si>
    <t>GJ36W1469</t>
  </si>
  <si>
    <t>6303497653 00 00</t>
  </si>
  <si>
    <t>Mr CHANDU VINZVADIYA</t>
  </si>
  <si>
    <t>26/10/2026</t>
  </si>
  <si>
    <t>GJ03BT3208</t>
  </si>
  <si>
    <t>201340020725700080200000</t>
  </si>
  <si>
    <t>MAHINDRA/BOLER O MAXI TRUCK 2WD/(Fully Built) PICKUP</t>
  </si>
  <si>
    <t>SANJAYBHAI BACHUBHAI BOPALIYA</t>
  </si>
  <si>
    <t>GJ36W0581</t>
  </si>
  <si>
    <t>6303496683 00 00</t>
  </si>
  <si>
    <t>Mr MAYUDIN SUBHANBHAI GHANCHI</t>
  </si>
  <si>
    <t>GJ01DU7200</t>
  </si>
  <si>
    <t>D233354295 / 28102025</t>
  </si>
  <si>
    <t>PATHAN ASIF KARIMKHA</t>
  </si>
  <si>
    <t>29/10/2025</t>
  </si>
  <si>
    <t>GJ36S9333</t>
  </si>
  <si>
    <t>3382/00390764/000/00</t>
  </si>
  <si>
    <t>HYDYRAULIC MOBILE CRANE</t>
  </si>
  <si>
    <t>28/11/2026</t>
  </si>
  <si>
    <t>GJ36W1310</t>
  </si>
  <si>
    <t>6303502060 00 00</t>
  </si>
  <si>
    <t>Mr MOVAR ISMAIL IBRAHIMBHAI</t>
  </si>
  <si>
    <t>29/10/2026</t>
  </si>
  <si>
    <t>GJ36U2441</t>
  </si>
  <si>
    <t>6303502059 00 00</t>
  </si>
  <si>
    <t>Mr KATODIYA SANJAY JALABHA</t>
  </si>
  <si>
    <t>GJ36U5217</t>
  </si>
  <si>
    <t>6303501769 00 00</t>
  </si>
  <si>
    <t>Mr NIRMAL AMBABHAI CHAVDA</t>
  </si>
  <si>
    <t>GJ36U8668</t>
  </si>
  <si>
    <t>6303501756 00 00</t>
  </si>
  <si>
    <t>Mr JENTIBHAI MAGABHAI NAIYA</t>
  </si>
  <si>
    <t>30/10/2026</t>
  </si>
  <si>
    <t>30/10/2025</t>
  </si>
  <si>
    <t>GJ36W1047</t>
  </si>
  <si>
    <t>6303506641 00 00</t>
  </si>
  <si>
    <t>Mr JADAV HARESHKUMAR PRAVINBHAI</t>
  </si>
  <si>
    <t>GJ36U8659</t>
  </si>
  <si>
    <t>6303506638 00 00</t>
  </si>
  <si>
    <t>Mr RATHOD LALAJI PREMJIBHAI</t>
  </si>
  <si>
    <t>GJ36W1482</t>
  </si>
  <si>
    <t>6303506634 00 00</t>
  </si>
  <si>
    <t>Mr Vaghela Munnabhai Bhanjibhai</t>
  </si>
  <si>
    <t>31/10/2026</t>
  </si>
  <si>
    <t>GJ36W1129</t>
  </si>
  <si>
    <t>6303506166 00 00</t>
  </si>
  <si>
    <t>Mr AMIT SALIMBHAI PALEJA</t>
  </si>
  <si>
    <t>GJ36W0844</t>
  </si>
  <si>
    <t>6303506063 00 00</t>
  </si>
  <si>
    <t>Mr MAHEMUD HANIFBHAI SUMARA</t>
  </si>
  <si>
    <t>GJ13W0226</t>
  </si>
  <si>
    <t>3003/414138681/00/B00</t>
  </si>
  <si>
    <t>GJ36W1040</t>
  </si>
  <si>
    <t>6303506648 00 00</t>
  </si>
  <si>
    <t>Mr PARMAR SAVJIBHAI VAJABHAI</t>
  </si>
  <si>
    <t>31/10/2025</t>
  </si>
  <si>
    <t>GJ36V2857</t>
  </si>
  <si>
    <t>3379/04503614/000/00</t>
  </si>
  <si>
    <t>DINESHBHAI BHAGVANJIBHAI FEFAR</t>
  </si>
  <si>
    <t>GJ36U8508</t>
  </si>
  <si>
    <t>6303511365 00 00</t>
  </si>
  <si>
    <t>Mr DEGAMA LALAJIBHAI BHAVESHBHAI</t>
  </si>
  <si>
    <t>GJ36W2080</t>
  </si>
  <si>
    <t>6303511362 00 00</t>
  </si>
  <si>
    <t>Mr SARAVADIYA BHAVAN VALJIBHAI</t>
  </si>
  <si>
    <t>GJ36W1042</t>
  </si>
  <si>
    <t>0604003125P112257173</t>
  </si>
  <si>
    <t>MR UDHREJA VALJI DHIRUBHAI</t>
  </si>
  <si>
    <t>GJ36W9618</t>
  </si>
  <si>
    <t>6303511356 00 00</t>
  </si>
  <si>
    <t>Mr BAVALIYA RAMESHBHAI KANJIBHAI</t>
  </si>
  <si>
    <t>GJ36W1118</t>
  </si>
  <si>
    <t>6303511355 00 00</t>
  </si>
  <si>
    <t>Mr ASHVINBHAI JAGDISHBHAI GANESHIYA</t>
  </si>
  <si>
    <t>GJ36U8845</t>
  </si>
  <si>
    <t>6303515933 00 00</t>
  </si>
  <si>
    <t>Mr VAGHELA AVACHARBHAI KARSHANBHAI</t>
  </si>
  <si>
    <t>90992 65969</t>
  </si>
  <si>
    <t>GJ36T6843</t>
  </si>
  <si>
    <t>3003/A/415545831/00/B00</t>
  </si>
  <si>
    <t>SHOK LEYLAND TRUCKS AL ECOMET 1412</t>
  </si>
  <si>
    <t>SIPAI SAHIL FARUKBHAI</t>
  </si>
  <si>
    <t>GJ36W1495</t>
  </si>
  <si>
    <t>6303518776 00 00</t>
  </si>
  <si>
    <t>Mr DEGAMA MUNABHAI BACHUBHAI</t>
  </si>
  <si>
    <t>GJ13AX2774</t>
  </si>
  <si>
    <t>3379/04135737/000/01</t>
  </si>
  <si>
    <t>MANSUKHLAL LALJIBHAI KOLI</t>
  </si>
  <si>
    <t>GJ36S3434</t>
  </si>
  <si>
    <t>3382/00372718/000/01</t>
  </si>
  <si>
    <t>ACTION CONSTRUCTION EQUIPMENT LTD</t>
  </si>
  <si>
    <t>GJ03AX5106</t>
  </si>
  <si>
    <t>2013­400207­25­1000059­00­000</t>
  </si>
  <si>
    <t>TATA MOTORS LTD/OPEN LPT 1109 EX</t>
  </si>
  <si>
    <t>GOPAL RANCHHODBHAI BHARVAD</t>
  </si>
  <si>
    <t>GJ36T2048</t>
  </si>
  <si>
    <t>201340020725700081200000</t>
  </si>
  <si>
    <t>ASHOK LEYLAND/DOST/LS</t>
  </si>
  <si>
    <t>RAJESHBHAI JIVANBHAI PURABIYA</t>
  </si>
  <si>
    <t>GJ36X3151</t>
  </si>
  <si>
    <t>3003/415663623/00/B00</t>
  </si>
  <si>
    <t>ROHITVANBHAI BHARATVAN GOSWAMI</t>
  </si>
  <si>
    <t>NS</t>
  </si>
  <si>
    <t>GJ14Z1368</t>
  </si>
  <si>
    <t>D234159282 / 03112025</t>
  </si>
  <si>
    <t>2516 IL / TUSKER SUPER 6X4</t>
  </si>
  <si>
    <t>JISHANALI SALEMANBHAI KHURESHI</t>
  </si>
  <si>
    <t>GJ36T5569</t>
  </si>
  <si>
    <t>201340020725700081600000</t>
  </si>
  <si>
    <t>TATA MOTORS LTD/ACE/MEGA XL</t>
  </si>
  <si>
    <t>VIJAYBHAI MULJIBHAI RATHOD</t>
  </si>
  <si>
    <t>GJ36U2087</t>
  </si>
  <si>
    <t>D234713025 / 06112025</t>
  </si>
  <si>
    <t>BAJAJ AUTO</t>
  </si>
  <si>
    <t>UBHADIYA TRIBHOVANBHAI MOHANBHAI</t>
  </si>
  <si>
    <t>GJ36W2139</t>
  </si>
  <si>
    <t>0604003125P112552525</t>
  </si>
  <si>
    <t>MR AJAYBHARATHI JIVUBHARATHI GOSVAMI</t>
  </si>
  <si>
    <t>GJ36W1232</t>
  </si>
  <si>
    <t>6303530606 00 00</t>
  </si>
  <si>
    <t>Mr GOSWAMI PRAKASHVAN PRAMODVAN</t>
  </si>
  <si>
    <t>GJ36T1824</t>
  </si>
  <si>
    <t>3003/415904874/00/B00</t>
  </si>
  <si>
    <t>EICHER MOTOR TRUCKS PRO 1059 XP</t>
  </si>
  <si>
    <t>PATEL MEET VINODBHAI</t>
  </si>
  <si>
    <t>GJ36U8537</t>
  </si>
  <si>
    <t>6303534265 00 00</t>
  </si>
  <si>
    <t>Mr VIRANI KARIMBHAI VALIMAMAD</t>
  </si>
  <si>
    <t>99981 53854</t>
  </si>
  <si>
    <t>MP45ZF9369</t>
  </si>
  <si>
    <t>30010031256360001216</t>
  </si>
  <si>
    <t>Bajaj Auto Limited Bajaj Re Maxima Z CNG Bajaj Re</t>
  </si>
  <si>
    <t>Mr ARJUN DAMOR</t>
  </si>
  <si>
    <t>GJ36W1270</t>
  </si>
  <si>
    <t>6303538648 00 00</t>
  </si>
  <si>
    <t>Mr RAJUBHAI TIDABHAI DABHI</t>
  </si>
  <si>
    <t>GJ12BY6946</t>
  </si>
  <si>
    <t>AVO/2315/12410725</t>
  </si>
  <si>
    <t>TATA MOTORS LPS 4018 TC</t>
  </si>
  <si>
    <t>Dangar Hiteshbhai Arjanbhai</t>
  </si>
  <si>
    <t>GJ36W1210</t>
  </si>
  <si>
    <t>6303538639 00 00</t>
  </si>
  <si>
    <t>Mr SOMA BACHUBHAI SOMANI</t>
  </si>
  <si>
    <t>GJ36U0926</t>
  </si>
  <si>
    <t>D234980297 / 08112025</t>
  </si>
  <si>
    <t>ABDUL KASAM KHURESHI</t>
  </si>
  <si>
    <t>GJ03BX8537</t>
  </si>
  <si>
    <t>6303541779 00 00</t>
  </si>
  <si>
    <t>BAJAJ AUTO/RE/4S CNG FI BS6/Motorized Ricks haw/AUTO RICKSHAW</t>
  </si>
  <si>
    <t>Mr RATHOD RAMESHBHAI UKABHAI</t>
  </si>
  <si>
    <t>GJ12CM1021</t>
  </si>
  <si>
    <t>6303541781 00 00</t>
  </si>
  <si>
    <t>JCB/432 ZX/WHEEL LOA DER/OPEN/CONSTRUC TION EQUIPMENTS</t>
  </si>
  <si>
    <t>Mr DANGAR ARJANBHAI DAYABHAI</t>
  </si>
  <si>
    <t>27/11/2026</t>
  </si>
  <si>
    <t>GJ09BK0418</t>
  </si>
  <si>
    <t>POCMVMI0100315939</t>
  </si>
  <si>
    <t>John Deere 5105 &amp; V2</t>
  </si>
  <si>
    <t>Mr. DANGAR JATINKUMAR ARJANBHAI</t>
  </si>
  <si>
    <t>14/11/2026</t>
  </si>
  <si>
    <t>GJ36U7279</t>
  </si>
  <si>
    <t>6303546920 00 00</t>
  </si>
  <si>
    <t>Mr DEGAMA SURESHKUMAR KANJIBHAI</t>
  </si>
  <si>
    <t>GJ36W2495</t>
  </si>
  <si>
    <t>6303546915 00 00</t>
  </si>
  <si>
    <t>Mr CHHANABHAI MANUBHAI RAVA</t>
  </si>
  <si>
    <t>GJ36W2398</t>
  </si>
  <si>
    <t>6303546913 00 00</t>
  </si>
  <si>
    <t>Mr UPSARIYA AJAYBHAI HARJIVANBHAI</t>
  </si>
  <si>
    <t>GJ36V4800</t>
  </si>
  <si>
    <t>3379/04139692/000/01</t>
  </si>
  <si>
    <t>RIYAJ VALIMAMADBHAI BHATTI</t>
  </si>
  <si>
    <t>GJ36V7902</t>
  </si>
  <si>
    <t>213001/31/26/015057</t>
  </si>
  <si>
    <t xml:space="preserve">ASHOK LEYLAND - CA 1015/39 H CBC BS 6 </t>
  </si>
  <si>
    <t>SAI ENTERPRISE</t>
  </si>
  <si>
    <t>GJ36V7565</t>
  </si>
  <si>
    <t>3003/416549865/00/B00</t>
  </si>
  <si>
    <t>KANJIYA VIPULBHAI BHUPATBHA</t>
  </si>
  <si>
    <t>GJ36U5626</t>
  </si>
  <si>
    <t>D235531709 / 11112025</t>
  </si>
  <si>
    <t>MOGAL SAHIL ARIFSHA</t>
  </si>
  <si>
    <t>13/11/2025</t>
  </si>
  <si>
    <t>GJ36U5943</t>
  </si>
  <si>
    <t>D235781100 / 12112025</t>
  </si>
  <si>
    <t>HAIDAR OSMAN KATIYA</t>
  </si>
  <si>
    <t>13/11/2026</t>
  </si>
  <si>
    <t>GJ36W1245</t>
  </si>
  <si>
    <t>6303554492 00 00</t>
  </si>
  <si>
    <t>Mr RABARI DEVABHAI JESANGBHAI</t>
  </si>
  <si>
    <t>14/11/2025</t>
  </si>
  <si>
    <t>GJ36U8601</t>
  </si>
  <si>
    <t>6303558589 00 00</t>
  </si>
  <si>
    <t>Mr GADESHIA KAMLESHBHAI BHAGVANJIBHAI</t>
  </si>
  <si>
    <t>6355 259 019</t>
  </si>
  <si>
    <t>GJ36W1166</t>
  </si>
  <si>
    <t>0604003125P112988826</t>
  </si>
  <si>
    <t>ATUL AUTO LTD / ATUL SMART XD AQUA CNG</t>
  </si>
  <si>
    <t>MR DHARODIYA SHAILESHBHAI GOKALBHAI</t>
  </si>
  <si>
    <t>16/11/2025</t>
  </si>
  <si>
    <t>GJ36W1312</t>
  </si>
  <si>
    <t>6303565622 00 00</t>
  </si>
  <si>
    <t>Mr ROHIT RAMESH BABRIYA</t>
  </si>
  <si>
    <t>15/11/2026</t>
  </si>
  <si>
    <t>18/11/2025</t>
  </si>
  <si>
    <t>GJ36W1491</t>
  </si>
  <si>
    <t>0604003125P113163724</t>
  </si>
  <si>
    <t>MR TOTA MAHESH BIJALBHAI</t>
  </si>
  <si>
    <t>22/11/2026</t>
  </si>
  <si>
    <t>GJ36W0729</t>
  </si>
  <si>
    <t>6303570581 00 00</t>
  </si>
  <si>
    <t>Mr BHATTI ALAUDIN ISHAK</t>
  </si>
  <si>
    <t>17/11/2026</t>
  </si>
  <si>
    <t>19/11/2025</t>
  </si>
  <si>
    <t>GJ36U9173</t>
  </si>
  <si>
    <t>6303574742 00 00</t>
  </si>
  <si>
    <t>Mr UDHREJA KANJI BHIMJIBHAI</t>
  </si>
  <si>
    <t>24/11/2026</t>
  </si>
  <si>
    <t>GJ14Z3062</t>
  </si>
  <si>
    <t>6303574749 00 00</t>
  </si>
  <si>
    <t>Mr KHATANA ASHOKKUMAR MOHANBHAI</t>
  </si>
  <si>
    <t>18/11/2026</t>
  </si>
  <si>
    <t>GJ13AV8350</t>
  </si>
  <si>
    <t>6303574752 00 00</t>
  </si>
  <si>
    <t>STAR/ELECTRIKA Z1/E C ART/OPEN/PICK UP VA N</t>
  </si>
  <si>
    <t>Mr DHRANGDHARIYA SANNIBHAI NATUBHAI</t>
  </si>
  <si>
    <t>GJ36W2018</t>
  </si>
  <si>
    <t>0604003125P113270964</t>
  </si>
  <si>
    <t>MR HARESHBHAI KESHUBHAI</t>
  </si>
  <si>
    <t>:19/11/2026</t>
  </si>
  <si>
    <t>20/11/2025</t>
  </si>
  <si>
    <t>GJ36U8930</t>
  </si>
  <si>
    <t>6303578509 00 00</t>
  </si>
  <si>
    <t>Mr MUSANI EKBAL HAJI</t>
  </si>
  <si>
    <t>21/11/2025</t>
  </si>
  <si>
    <t>GJ36W1224</t>
  </si>
  <si>
    <t>6303582207 00 00</t>
  </si>
  <si>
    <t>Mr SARVAIYA KISHORBHAI DEVJIBHAI</t>
  </si>
  <si>
    <t>20/11/2026</t>
  </si>
  <si>
    <t>GJ36U8345</t>
  </si>
  <si>
    <t>6303582405 00 00</t>
  </si>
  <si>
    <t>Mr PARMAR MANISHBHAI HAMIRBHAI</t>
  </si>
  <si>
    <t>GJ36W1412</t>
  </si>
  <si>
    <t>:0604003125P113333471</t>
  </si>
  <si>
    <t>MR KHINT RANCHHODBHAI</t>
  </si>
  <si>
    <t>23/11/2026</t>
  </si>
  <si>
    <t>GJ36AJ3707</t>
  </si>
  <si>
    <t>AVO/2367/12452230</t>
  </si>
  <si>
    <t>MARUTI EECO 5 STR AC CNG</t>
  </si>
  <si>
    <t>Bhanu Firozbhai Habibbhai</t>
  </si>
  <si>
    <t xml:space="preserve"> 6353 980 346</t>
  </si>
  <si>
    <t>19/11/2026</t>
  </si>
  <si>
    <t>SAOD</t>
  </si>
  <si>
    <t>22/11/2025</t>
  </si>
  <si>
    <t>GJ12BW4716</t>
  </si>
  <si>
    <t>AVO/2315/12456274</t>
  </si>
  <si>
    <t>ASHOK LEYLAND 4019 TT</t>
  </si>
  <si>
    <t>GJ36W1358</t>
  </si>
  <si>
    <t>6303586632 00 00</t>
  </si>
  <si>
    <t>Mr SALANI VIJAY MADHABHAI</t>
  </si>
  <si>
    <t>21/11/2026</t>
  </si>
  <si>
    <t>GJ36W1404</t>
  </si>
  <si>
    <t>0604003125P113393025</t>
  </si>
  <si>
    <t>MR KUNVARIYA VIBHABHAI DANABHAI</t>
  </si>
  <si>
    <t>GJ12BW4980</t>
  </si>
  <si>
    <t>AVO/2315/12456518</t>
  </si>
  <si>
    <t>GJ03W9154</t>
  </si>
  <si>
    <t>3003/A/417762528/00/B00</t>
  </si>
  <si>
    <t>SIPAI MANJURHUSEN VALIMAMAD</t>
  </si>
  <si>
    <t>23/11/2025</t>
  </si>
  <si>
    <t>GJ36W1195</t>
  </si>
  <si>
    <t>6303589741 00 00</t>
  </si>
  <si>
    <t>Mr BUKHARI SATARMIYA AHEMADMIYA</t>
  </si>
  <si>
    <t>GJ13AV8121</t>
  </si>
  <si>
    <t>POCMVGC0100560710</t>
  </si>
  <si>
    <t>Mr.CHOVASIYA DILIPBHAI HASUBHAI</t>
  </si>
  <si>
    <t>GJ13AW3949</t>
  </si>
  <si>
    <t>POCMVGC0100560703</t>
  </si>
  <si>
    <t>Mahindra &amp; Mahindra,Bolero &amp; Pik Up FB PS 1.7 T XL</t>
  </si>
  <si>
    <t>Mr.KATIYA AVESHBHAI ABDULBHAI</t>
  </si>
  <si>
    <t>96014 47786</t>
  </si>
  <si>
    <t>GJ36T8899</t>
  </si>
  <si>
    <t>POCMVGC0100560701</t>
  </si>
  <si>
    <t>Ashok Leyland,1616 &amp; XL - Tipper</t>
  </si>
  <si>
    <t>Mr.MAGVANIYA MANSUKHBHAI</t>
  </si>
  <si>
    <t>24/11/2025</t>
  </si>
  <si>
    <t>GJ36W1278</t>
  </si>
  <si>
    <t>6303590473 00 00</t>
  </si>
  <si>
    <t>Mr Hamirpara Ashokbhai Bachubhai</t>
  </si>
  <si>
    <t>GJ36V5626</t>
  </si>
  <si>
    <t>3379/04162354/000/01</t>
  </si>
  <si>
    <t>JILLU TARASI THARESA</t>
  </si>
  <si>
    <t>25/11/2025</t>
  </si>
  <si>
    <t>MH48AG5252</t>
  </si>
  <si>
    <t>161522523340015055</t>
  </si>
  <si>
    <t>MR. WASIM IQBAL VADAWARIA</t>
  </si>
  <si>
    <t>GJ10TW7302</t>
  </si>
  <si>
    <t>D238480216 / 25112025</t>
  </si>
  <si>
    <t>SARVAIYA RAJUBHAI BAKULBHAI</t>
  </si>
  <si>
    <t>26/11/2026</t>
  </si>
  <si>
    <t>GJ13AB6576</t>
  </si>
  <si>
    <t>3008/418287369/00/B00</t>
  </si>
  <si>
    <t>TRACTOR- USE ONLY FOR AGRICULTURE</t>
  </si>
  <si>
    <t>CHAVDA LALJIBHAI JESANGBHAI</t>
  </si>
  <si>
    <t>26/11/2025</t>
  </si>
  <si>
    <t>GJ36W9955</t>
  </si>
  <si>
    <t>6303598174 00 00</t>
  </si>
  <si>
    <t>Mr DABHI SHAMJIBHAI RAMANIKBHAI</t>
  </si>
  <si>
    <t>MH46F3886</t>
  </si>
  <si>
    <t>6303598170 00 00</t>
  </si>
  <si>
    <t>TATA MOTORS/LPT 311 8/TC DIESEL/CLOSED/T RUCK</t>
  </si>
  <si>
    <t>Mr DEEPA RAVINDRA AGGARWAL</t>
  </si>
  <si>
    <t>25/11/2026</t>
  </si>
  <si>
    <t>GJ36X3438</t>
  </si>
  <si>
    <t>VGC1447897000100</t>
  </si>
  <si>
    <t>Mr.HARI LAL GURJAR</t>
  </si>
  <si>
    <t>GJ36T0086</t>
  </si>
  <si>
    <t>161522523340015125</t>
  </si>
  <si>
    <t>MR. PRASHANTKUMAR RAMNIKLAL SANTOKI</t>
  </si>
  <si>
    <t>GJ01JT2548</t>
  </si>
  <si>
    <t>3003/A/418287188/00/B00</t>
  </si>
  <si>
    <t>EICHER MOTOR</t>
  </si>
  <si>
    <t>RAVAL SANJAY</t>
  </si>
  <si>
    <t>GJ36W1013</t>
  </si>
  <si>
    <t>MR CHAUHAN JITESH VALJIBHAI</t>
  </si>
  <si>
    <t>VGC1447864000100</t>
  </si>
  <si>
    <t>Ashok Leyland Ltd.</t>
  </si>
  <si>
    <t>M/s.SAHJANAND ROADLINES</t>
  </si>
  <si>
    <t>99040 31007</t>
  </si>
  <si>
    <t>GJ36V8994</t>
  </si>
  <si>
    <t>3379/04531051/000/00</t>
  </si>
  <si>
    <t>KHIMAJI GOVINDBHAI DAGAYA</t>
  </si>
  <si>
    <t>29/11/2026</t>
  </si>
  <si>
    <t>GJ18AZ9984</t>
  </si>
  <si>
    <t>3003/A/418347259/00/B00</t>
  </si>
  <si>
    <t>PATEL HIRENKUMAR VALJIBHAI</t>
  </si>
  <si>
    <t>27/11/2025</t>
  </si>
  <si>
    <t>GJ36W1642</t>
  </si>
  <si>
    <t>0604003125P113598778</t>
  </si>
  <si>
    <t>MR BHARVAD KARSHANBHAI BALABHAI</t>
  </si>
  <si>
    <t>GJ36U9124</t>
  </si>
  <si>
    <t>0604003125P113599746</t>
  </si>
  <si>
    <t>MR ZALA MAYURSINH RAGHUVIRSINH</t>
  </si>
  <si>
    <t>GJ36W9382</t>
  </si>
  <si>
    <t>6303601924 00 00</t>
  </si>
  <si>
    <t>Mr DHIRJGIRI BHAGVANGIRI GOSAI</t>
  </si>
  <si>
    <t>GJ36W2625</t>
  </si>
  <si>
    <t>6303601895 00 00</t>
  </si>
  <si>
    <t>Mr DAFDA PRAKASHBHAI DINESHBHAI</t>
  </si>
  <si>
    <t>GJ10TZ4239</t>
  </si>
  <si>
    <t>6303601893 00 00</t>
  </si>
  <si>
    <t>Mr VEKARIYA GOPAL KANTILAL</t>
  </si>
  <si>
    <t>13/12/2026</t>
  </si>
  <si>
    <t>601762522150052459</t>
  </si>
  <si>
    <t>HYDRAULIC</t>
  </si>
  <si>
    <t>DASHARATHBHAI KUKABHAI KUNAPARA</t>
  </si>
  <si>
    <t>GJ36U8901</t>
  </si>
  <si>
    <t>6303604845 00 00</t>
  </si>
  <si>
    <t>Mr HINGALA KIRAN PUNAMCHAND</t>
  </si>
  <si>
    <t>GJ12BW4706</t>
  </si>
  <si>
    <t>AVO/2315/12473600</t>
  </si>
  <si>
    <t>28/11/2025</t>
  </si>
  <si>
    <t>GJ03AT1029</t>
  </si>
  <si>
    <t>6303605709 00 00</t>
  </si>
  <si>
    <t>TATA MOTORS/LPT 90 9/EX/CLOSED/TANKER</t>
  </si>
  <si>
    <t>Mr MUNDHVA KARSHAN LALABHAI</t>
  </si>
  <si>
    <t>GJ36W2930</t>
  </si>
  <si>
    <t>0604003125P113653572</t>
  </si>
  <si>
    <t>MR MANISH HARKANTBHAI PARMAR</t>
  </si>
  <si>
    <t>GJ36V3586</t>
  </si>
  <si>
    <t>N5393275</t>
  </si>
  <si>
    <t>FORCE MOTOR TRA</t>
  </si>
  <si>
    <t>: UMEDSINH KANCHAVA</t>
  </si>
  <si>
    <t>29/11/2025</t>
  </si>
  <si>
    <t>GJ36V5735</t>
  </si>
  <si>
    <t>3379/04169134/000/01</t>
  </si>
  <si>
    <t>MERABHAI RAGHABHAI DEKAVADIYA</t>
  </si>
  <si>
    <t>GJ36T8768</t>
  </si>
  <si>
    <t>3003/418625649/00/000</t>
  </si>
  <si>
    <t>30/11/2025</t>
  </si>
  <si>
    <t>GJ36V5668</t>
  </si>
  <si>
    <t>3379/04172754/000/01</t>
  </si>
  <si>
    <t>JAGDISHBHAI SADURBHAI VINZVADIYA</t>
  </si>
  <si>
    <t>GJ36V5714</t>
  </si>
  <si>
    <t>3379/04170866/000/01</t>
  </si>
  <si>
    <t>KIRAN DHANJIBHAI MALANIYAT</t>
  </si>
  <si>
    <t>GJ01CU7227</t>
  </si>
  <si>
    <t>161522523340015480</t>
  </si>
  <si>
    <t>ASHOK LEYLAND 1616 &amp; IL</t>
  </si>
  <si>
    <t>MR. HUSHEN ABDUL,BHAI SUMRA</t>
  </si>
  <si>
    <t>GJ36W2383</t>
  </si>
  <si>
    <t>6303617898 00 00</t>
  </si>
  <si>
    <t>Mr KOLI RAJESHBHAI BHIKHABHAI</t>
  </si>
  <si>
    <t xml:space="preserve">GJ36F9084  </t>
  </si>
  <si>
    <t>12-1805-0008501469-00</t>
  </si>
  <si>
    <t>MARUTI ALTO 800</t>
  </si>
  <si>
    <t>Kanzariya Dineshbhai Mohanbhai</t>
  </si>
  <si>
    <t>GJ23W4212</t>
  </si>
  <si>
    <t>201340020725700087700000</t>
  </si>
  <si>
    <t>TATA MOTORS LTD/ACE/HT</t>
  </si>
  <si>
    <t>MOHAMMAD JABIR DALWADI</t>
  </si>
  <si>
    <t>GJ36W1338</t>
  </si>
  <si>
    <t>6303617970 00 00</t>
  </si>
  <si>
    <t>Mr MOVAR HUSENBHAI VALI MAHMAD</t>
  </si>
  <si>
    <t>GJ10TY2595</t>
  </si>
  <si>
    <t>3003/419602621/00/000</t>
  </si>
  <si>
    <t>BHARVAD VISHNU NAGAJIBHAI</t>
  </si>
  <si>
    <t>99137 14542</t>
  </si>
  <si>
    <t>GJ36X8393</t>
  </si>
  <si>
    <t>3003/419600584/00/000</t>
  </si>
  <si>
    <t>HADGARADA LAKHABHAI DHARABHAI</t>
  </si>
  <si>
    <t>GJ36B4294</t>
  </si>
  <si>
    <t>12-1805-0008502307-00</t>
  </si>
  <si>
    <t>Ghodasara Kalpesh Laljibhai</t>
  </si>
  <si>
    <t>GJ36V1547</t>
  </si>
  <si>
    <t>3379/04176512/000/01</t>
  </si>
  <si>
    <t>BOLERO - PICKUP FB PS 1.29T BS IV</t>
  </si>
  <si>
    <t>RAJESHBHAI KASAMBHAI PIRANI</t>
  </si>
  <si>
    <t>096648 37223</t>
  </si>
  <si>
    <t>D239718735</t>
  </si>
  <si>
    <t>GJ12AZ8398</t>
  </si>
  <si>
    <t>3003/A/419795023/00/B00</t>
  </si>
  <si>
    <t>SANDHWANI IQBAL GULAMRASUL</t>
  </si>
  <si>
    <t>78028 16169</t>
  </si>
  <si>
    <t>GJ36T7149</t>
  </si>
  <si>
    <t>6303627583 00 00</t>
  </si>
  <si>
    <t>TATA MOTORS/ACE/GO LD DIESEL/OPEN/TRUC K</t>
  </si>
  <si>
    <t>Mr IKBALBHAI HAJIBHAI DEKAVADIYA</t>
  </si>
  <si>
    <t>GJ36V2860</t>
  </si>
  <si>
    <t>201340020725700088600000</t>
  </si>
  <si>
    <t>TATA MOTORS LTD/ACE/GOLD CNG</t>
  </si>
  <si>
    <t>OTAMBHAI SUKHABHAI DELVANIYA</t>
  </si>
  <si>
    <t>GJ36W4314</t>
  </si>
  <si>
    <t>0604003125P114043091</t>
  </si>
  <si>
    <t>MR JADAV GIRISHBHAI GOVINDBHAI</t>
  </si>
  <si>
    <t>GJ36W2846</t>
  </si>
  <si>
    <t>0604003125P114038881</t>
  </si>
  <si>
    <t>MR UCHANA JAGDISHBHAI MAGANBHAI</t>
  </si>
  <si>
    <t>3008/420240160/00/B00</t>
  </si>
  <si>
    <t>GJ36W2505</t>
  </si>
  <si>
    <t>0604003125P114014115</t>
  </si>
  <si>
    <t>MR VIKANI AJAYKUMAR</t>
  </si>
  <si>
    <t>GJ36T9064</t>
  </si>
  <si>
    <t>776222523340000682</t>
  </si>
  <si>
    <t>ASHOK LEYLAND 4220 &amp; GM 66 H CO</t>
  </si>
  <si>
    <t>MR. GULAMMUSTUFA HAJIBHAI SHERASIYA</t>
  </si>
  <si>
    <t>GJ03AT1305</t>
  </si>
  <si>
    <t>AVO/2315/12502934</t>
  </si>
  <si>
    <t>EICHER MOTORS EICHER-11.10</t>
  </si>
  <si>
    <t>Jatiya Hirabhai Arjanbhai</t>
  </si>
  <si>
    <t>3008/420448766/00/B00</t>
  </si>
  <si>
    <t>GJ10TV6192</t>
  </si>
  <si>
    <t>201340020725700089200000</t>
  </si>
  <si>
    <t>MAHINDRA/BOLER O MAXI TRUCK PLUS BS 4 PS/(Fully Built) PICKUP</t>
  </si>
  <si>
    <t>KUNDHIYA RAHUL BHAILAL</t>
  </si>
  <si>
    <t>GJ01DX1110</t>
  </si>
  <si>
    <t>6303640919 00 00</t>
  </si>
  <si>
    <t>EICHER MOTORS/11.1 0/HD H HSD RHD/OPE N/TRUCK</t>
  </si>
  <si>
    <t>Mr LILAPARA RAGHUBHAI SUKHABHAI</t>
  </si>
  <si>
    <t>GJ12AZ5685</t>
  </si>
  <si>
    <t>AVO/2315/12510662</t>
  </si>
  <si>
    <t>GJ36W2935</t>
  </si>
  <si>
    <t>0604003125P114214324</t>
  </si>
  <si>
    <t>MR GADHAVI MAYUR NAGRAJBHA</t>
  </si>
  <si>
    <t>19/12/2026</t>
  </si>
  <si>
    <t>UP93BT7620</t>
  </si>
  <si>
    <t>AVO/2315/12513779</t>
  </si>
  <si>
    <t>EICHER PRO 1114XP H HSD DIESEL</t>
  </si>
  <si>
    <t>Rahat Kahn</t>
  </si>
  <si>
    <t>GJ14Z5685</t>
  </si>
  <si>
    <t>3003/420704232/00/B00</t>
  </si>
  <si>
    <t>POPAT KISHORBHAI HEMANTLAL</t>
  </si>
  <si>
    <t>99255 44273</t>
  </si>
  <si>
    <t>91045 77244</t>
  </si>
  <si>
    <t>GJ03X6290</t>
  </si>
  <si>
    <t>0674023125P114269405</t>
  </si>
  <si>
    <t>Miscellaneous / TRAILER</t>
  </si>
  <si>
    <t>M/s AJANTA LLP</t>
  </si>
  <si>
    <t>GJ12BX3463</t>
  </si>
  <si>
    <t>AVO/2315/12512464</t>
  </si>
  <si>
    <t>GJ03BT3571</t>
  </si>
  <si>
    <t>2315 2079 7781 9200 000</t>
  </si>
  <si>
    <t>SUPER ACE - MINT</t>
  </si>
  <si>
    <t>MR SANDHI ABIDBHAI HUSHENBHAI</t>
  </si>
  <si>
    <t>GJ36U9270</t>
  </si>
  <si>
    <t>0604003125P114328207</t>
  </si>
  <si>
    <t>MR MANGULA GOPALBHAI CHHELABHAI</t>
  </si>
  <si>
    <t>14/12/2026</t>
  </si>
  <si>
    <t>GJ36U8566</t>
  </si>
  <si>
    <t>0604003125P114326684</t>
  </si>
  <si>
    <t>MR ARVIND RANCHHODBHAI</t>
  </si>
  <si>
    <t>13/12/2025</t>
  </si>
  <si>
    <t>GJ36AA7845</t>
  </si>
  <si>
    <t>12-1806-0008574952-00</t>
  </si>
  <si>
    <t>Adroja Valamji Parsotam</t>
  </si>
  <si>
    <t> 99252 97490</t>
  </si>
  <si>
    <t>GJ12AU7288</t>
  </si>
  <si>
    <t>3003/A/420891925/00/B00</t>
  </si>
  <si>
    <t>RAJESH NARANBHAI MARAND</t>
  </si>
  <si>
    <t>GJ36J2175</t>
  </si>
  <si>
    <t>12-1806-0008574778-00</t>
  </si>
  <si>
    <t>ACTIVA 4G</t>
  </si>
  <si>
    <t>Ragiya Mohit Ravjibhai</t>
  </si>
  <si>
    <t>GJ13AX5262</t>
  </si>
  <si>
    <t>3003/A/420889852/00/B00</t>
  </si>
  <si>
    <t>SARAIYA RAJESHBHAI SOMABHAI</t>
  </si>
  <si>
    <t>GJ36V9081</t>
  </si>
  <si>
    <t>3003/420865906/00/000</t>
  </si>
  <si>
    <t>JAYESHBHAI PRAVINBHAI BHATT</t>
  </si>
  <si>
    <t>87587 82225</t>
  </si>
  <si>
    <t>97730 34312</t>
  </si>
  <si>
    <t>GJ03AW4592</t>
  </si>
  <si>
    <t>6303653598 00 00</t>
  </si>
  <si>
    <t>TATA MOTORS/LPK 251 8/38 16 CUM FE BOX TI PPER/OPEN/TIPPER</t>
  </si>
  <si>
    <t>Mr KUGASHIYA ASHISHBHAI SUKHABHAI</t>
  </si>
  <si>
    <t>GJ36D6047</t>
  </si>
  <si>
    <t>12-1806-0008582031-00</t>
  </si>
  <si>
    <t>HERO HONDA SPLENDOR PLUS</t>
  </si>
  <si>
    <t>Abbas Valimamad Sandhavani</t>
  </si>
  <si>
    <t>GJ12AT6083</t>
  </si>
  <si>
    <t>3003/A/420970008/00/B00</t>
  </si>
  <si>
    <t>JEDA JANMAMAD GULMAMAD</t>
  </si>
  <si>
    <t>GJ03EJ6721</t>
  </si>
  <si>
    <t>D241386745 / 13122025</t>
  </si>
  <si>
    <t>ACTIVA/STD</t>
  </si>
  <si>
    <t>PARMAR KAJAL DINESHBHAI</t>
  </si>
  <si>
    <t>GJ03AT4999</t>
  </si>
  <si>
    <t>3003/A/421084734/00/000</t>
  </si>
  <si>
    <t>NILESH H PARGHI</t>
  </si>
  <si>
    <t>GJ01VQ5152</t>
  </si>
  <si>
    <t>3005/O/421084336/00/000</t>
  </si>
  <si>
    <t>SPLENDOR PLUS BLACK AND ACCENT EDITION</t>
  </si>
  <si>
    <t>MOVAR LATIF HASAMBHAI</t>
  </si>
  <si>
    <t>GJ36V4471</t>
  </si>
  <si>
    <t>3379/04194069/000/01</t>
  </si>
  <si>
    <t>NILESHBHAI HAMIRBHAI PARMAR</t>
  </si>
  <si>
    <t>16/12/2026</t>
  </si>
  <si>
    <t>GJ13AX0280</t>
  </si>
  <si>
    <t>2315 2079 9149 4600 000</t>
  </si>
  <si>
    <t>MR PARMAR BALDEVBHAI KALUBHAI</t>
  </si>
  <si>
    <t>99988 44279</t>
  </si>
  <si>
    <t>96626 33261</t>
  </si>
  <si>
    <t>17/12/2026</t>
  </si>
  <si>
    <t>GJ12BV0916</t>
  </si>
  <si>
    <t>160622523490002653</t>
  </si>
  <si>
    <t>TATA/LPS/4018 2 STR</t>
  </si>
  <si>
    <t>M/S R T SHIPPING SERVICES</t>
  </si>
  <si>
    <t>TASLIM PASE PAYOUT LEVANU</t>
  </si>
  <si>
    <t>161522523340016208</t>
  </si>
  <si>
    <t>GJ36V5938</t>
  </si>
  <si>
    <t>2315 2079 9386 3900 000</t>
  </si>
  <si>
    <t>MR CHANDULALO AMARSIBHAI BHOJVYA</t>
  </si>
  <si>
    <t>75758 57758</t>
  </si>
  <si>
    <t>93131 01455</t>
  </si>
  <si>
    <t>GJ03BY0034</t>
  </si>
  <si>
    <t>6303668347 00 00</t>
  </si>
  <si>
    <t>MARUTI/EECO/AMBULA NCE P 5 STR/CLOSED/A MBULANCE</t>
  </si>
  <si>
    <t>Mr GOHEL MEHUL</t>
  </si>
  <si>
    <t>18/12/2026</t>
  </si>
  <si>
    <t>GJ36V0189</t>
  </si>
  <si>
    <t>2315 2079 9505 8600 000</t>
  </si>
  <si>
    <t>MR GAUSVAMI YASHGIRI VINODGIRI</t>
  </si>
  <si>
    <t>GJ36AA6458</t>
  </si>
  <si>
    <t>12-1806-0008610332-00</t>
  </si>
  <si>
    <t>BAJAJ CT 110</t>
  </si>
  <si>
    <t>Bhatti Sikandar Hushenbhai</t>
  </si>
  <si>
    <t>161522523340016259</t>
  </si>
  <si>
    <t>MR. JANKIDASH BABUBHAI DUDHREJIYA</t>
  </si>
  <si>
    <t>GJ36V0516</t>
  </si>
  <si>
    <t>2315 2079 9761 6000 000</t>
  </si>
  <si>
    <t>SUPRO - MINITRUCK CNG</t>
  </si>
  <si>
    <t>MR SANDHVANI HAJIBHAI JANAMAMAD</t>
  </si>
  <si>
    <t>GJ36M3495</t>
  </si>
  <si>
    <t>12-1806-0006293846-01</t>
  </si>
  <si>
    <t>Sedat Ashib Salimbha</t>
  </si>
  <si>
    <t>21/12/2026</t>
  </si>
  <si>
    <t>GJ36T5023</t>
  </si>
  <si>
    <t>3003/A/421805366/00/000</t>
  </si>
  <si>
    <t>TATA MOTORS TRUCKS LPT 407</t>
  </si>
  <si>
    <t>JADEJA CHANDRASINH VIKRAMSINH</t>
  </si>
  <si>
    <t>GJ03BY5875</t>
  </si>
  <si>
    <t>161522523340016264</t>
  </si>
  <si>
    <t>MR. KODIYATAR HARESHBHAI RAMABHAI</t>
  </si>
  <si>
    <t>GJ03AX9978</t>
  </si>
  <si>
    <t>2315 2080 0011 5000 000</t>
  </si>
  <si>
    <t>MR SINDHAV CHANDUBHAI RAMSURBHA</t>
  </si>
  <si>
    <t>22/12/2026</t>
  </si>
  <si>
    <t>GJ13AW3247</t>
  </si>
  <si>
    <t>2315 2080 0066 1600 000</t>
  </si>
  <si>
    <t>MR TAILI ALTAB HUSHENBHAI</t>
  </si>
  <si>
    <t>GJ36T3511</t>
  </si>
  <si>
    <t>2315 2080 0189 0400 000</t>
  </si>
  <si>
    <t>MR SAMIR UMEDALI VALIYANI</t>
  </si>
  <si>
    <t>23/12/2026</t>
  </si>
  <si>
    <t>GJ10TY6677</t>
  </si>
  <si>
    <t>AVO/2315/12543387</t>
  </si>
  <si>
    <t>EICHER PRO 3018 PLUS M HSD</t>
  </si>
  <si>
    <t>Madam Rajeshbhai</t>
  </si>
  <si>
    <t>GJ10DG8347</t>
  </si>
  <si>
    <t>12-1806-0008638408-00</t>
  </si>
  <si>
    <t>Parghi Hamir</t>
  </si>
  <si>
    <t>GJ03BY0632</t>
  </si>
  <si>
    <t>AVO/2315/12498824</t>
  </si>
  <si>
    <t>ASHOK LEYLAND GP 4825 66 H CO</t>
  </si>
  <si>
    <t>Zatakiya Sanjaykumar Rasikbhai</t>
  </si>
  <si>
    <t>GJ36X0471</t>
  </si>
  <si>
    <t>3003/420408574/00/B00</t>
  </si>
  <si>
    <t>SML ISUZU LIMITED</t>
  </si>
  <si>
    <t>MIYATRA MAYURKUMAR RAJENDRABHAI</t>
  </si>
  <si>
    <t>3003/420845878/00/000</t>
  </si>
  <si>
    <t>GJ10TY6567</t>
  </si>
  <si>
    <t>AVO/2315/12533877</t>
  </si>
  <si>
    <t>EICHER MOTORS PRO 3018 M HSD BSVI</t>
  </si>
  <si>
    <t>Jadeja Anirudhsinh</t>
  </si>
  <si>
    <t>GJ10TY7742</t>
  </si>
  <si>
    <t>AVO/2315/12533903</t>
  </si>
  <si>
    <t>EICHER MOTORS PRO 3015 M</t>
  </si>
  <si>
    <t>AFTER TDS</t>
  </si>
  <si>
    <t>GJ36V7912</t>
  </si>
  <si>
    <t>POCMVGC0100573542</t>
  </si>
  <si>
    <t>Tata Motors,Intra &amp; V20 CNG - 2295 GVW</t>
  </si>
  <si>
    <t>Mr.VAGHANI AJAY RAMESHBHAI</t>
  </si>
  <si>
    <t>98791 35072</t>
  </si>
  <si>
    <t>DC</t>
  </si>
  <si>
    <t>TORQUE</t>
  </si>
  <si>
    <t>17-10-2026</t>
  </si>
  <si>
    <t>GJ14X9865</t>
  </si>
  <si>
    <t>202504710278000-00</t>
  </si>
  <si>
    <t>TATA MOTORS, LPT 1109,</t>
  </si>
  <si>
    <t>Mr.PRAVINBHAI DEVSHIBHAI MAKVANA</t>
  </si>
  <si>
    <t>97254 34375</t>
  </si>
  <si>
    <t>97123 45191</t>
  </si>
  <si>
    <t>GJ36V5723</t>
  </si>
  <si>
    <t>202504712758000-00</t>
  </si>
  <si>
    <t>Mr.AGHARA HARSHAD JAYANTIBHAI</t>
  </si>
  <si>
    <t>GJ36U8818</t>
  </si>
  <si>
    <t>POCMVGC0100580475</t>
  </si>
  <si>
    <t>Mr.HERANJA IQBAL ABDULBHAI</t>
  </si>
  <si>
    <t>CF</t>
  </si>
  <si>
    <t>25-08-2026</t>
  </si>
  <si>
    <t>GJ13AW0902</t>
  </si>
  <si>
    <t>POCMVGC0100582589</t>
  </si>
  <si>
    <t>Mahindra &amp; Mahindra,Bolero &amp; Pick Up FB 1.3 PS</t>
  </si>
  <si>
    <t>Mr.GAMARA BHARATBHAI GOVINDBHAI</t>
  </si>
  <si>
    <t>14-09-2024</t>
  </si>
  <si>
    <t>GJ36U7335</t>
  </si>
  <si>
    <t>POCMVGC0100584675</t>
  </si>
  <si>
    <t>Mr.MARVADI VALABHAI GIGABHAI</t>
  </si>
  <si>
    <t>27-09-2023</t>
  </si>
  <si>
    <t>27-09-2022</t>
  </si>
  <si>
    <t>GJ36V2968</t>
  </si>
  <si>
    <t>POCMVGC0100584383</t>
  </si>
  <si>
    <t>Mr.RAMESHKUMAR JAGMALBHAI DHORALIYA</t>
  </si>
  <si>
    <t>21-12-2026</t>
  </si>
  <si>
    <t>27-01-2026</t>
  </si>
  <si>
    <t>GJ12BW6020</t>
  </si>
  <si>
    <t>POCMVGC0100585587</t>
  </si>
  <si>
    <t>Ashok Leyland,3118</t>
  </si>
  <si>
    <t>Mr.PATEL VASUDEVBHAI NARAYANBHAI</t>
  </si>
  <si>
    <t>19-06-2027</t>
  </si>
  <si>
    <t>16-06-2026</t>
  </si>
  <si>
    <t>17-12-2028</t>
  </si>
  <si>
    <t>GJ36V5667</t>
  </si>
  <si>
    <t>202504800060000-00</t>
  </si>
  <si>
    <t>TATA MOTORS, ACE, GOLD CNG</t>
  </si>
  <si>
    <t>NARAYANI ENTERPRISE</t>
  </si>
  <si>
    <t>31-10-2025</t>
  </si>
  <si>
    <t>25-03-2026</t>
  </si>
  <si>
    <t>202504814643000-00</t>
  </si>
  <si>
    <t>TATA MOTORS, LPT 1412, 42 CRX TRUCK BSIII -</t>
  </si>
  <si>
    <t>Mr.BHARVAD MANISHBHAI RAJUBHAI</t>
  </si>
  <si>
    <t>28-12-2026</t>
  </si>
  <si>
    <t>30-08-2028</t>
  </si>
  <si>
    <t>GJ36W0248</t>
  </si>
  <si>
    <t>POCMVGC0100588759</t>
  </si>
  <si>
    <t>Mr.ADHROJIA VELJIBHAI AVCHARBHAI</t>
  </si>
  <si>
    <t>16-10-2027</t>
  </si>
  <si>
    <t>15-10-2026</t>
  </si>
  <si>
    <t>GJ36V5821</t>
  </si>
  <si>
    <t>POCMVGC0100591182</t>
  </si>
  <si>
    <t>Mr.GAMARA CHETAN KARANABHAI</t>
  </si>
  <si>
    <t>28-11-2027</t>
  </si>
  <si>
    <t>POCMVGC0100593851</t>
  </si>
  <si>
    <t>Mr.PANCHIYA MUKESH HIRABHAI</t>
  </si>
  <si>
    <t>24-06-2026</t>
  </si>
  <si>
    <t>GJ36T7786</t>
  </si>
  <si>
    <t>POCMVGC0100593877</t>
  </si>
  <si>
    <t>Mr.PUSHPRAJSINH ASHOKSINH JADEJA</t>
  </si>
  <si>
    <t>19-10-2025</t>
  </si>
  <si>
    <t>17-12-2025</t>
  </si>
  <si>
    <t>22-12-2026</t>
  </si>
  <si>
    <t>GJ36T8480</t>
  </si>
  <si>
    <t>POCMVGC0100595078</t>
  </si>
  <si>
    <t>Mr.KHATANA SINDHA KARMANBHAI</t>
  </si>
  <si>
    <t>77789 00080</t>
  </si>
  <si>
    <t>GJ36U7823</t>
  </si>
  <si>
    <t>POCMVGC0100597331</t>
  </si>
  <si>
    <t>Mr.HERANJA ALTAB DAUDBHAI</t>
  </si>
  <si>
    <t>15/12/2026</t>
  </si>
  <si>
    <t>16-10-2026</t>
  </si>
  <si>
    <t>GJ36V0523</t>
  </si>
  <si>
    <t>POCMVGC0100597433</t>
  </si>
  <si>
    <t>Tata Motors,LPT 1512</t>
  </si>
  <si>
    <t>Mr.KHATANA MERU KHIMJIBHAI</t>
  </si>
  <si>
    <t>29-10-2030</t>
  </si>
  <si>
    <t>GJ18AX1218</t>
  </si>
  <si>
    <t>POCMVGC0100601179</t>
  </si>
  <si>
    <t>Mr.TRIVEDI PRANAV JAYANTKUMAR</t>
  </si>
  <si>
    <t>24-05-2026</t>
  </si>
  <si>
    <t>GJ36U9107</t>
  </si>
  <si>
    <t>POCMVGC0100601468</t>
  </si>
  <si>
    <t>Mr.GHANCHI IMRAN HUSEN</t>
  </si>
  <si>
    <t>GJ13AX0905</t>
  </si>
  <si>
    <t>POCMVGC0100603450</t>
  </si>
  <si>
    <t>Mr.RANGADIYA GAUTAMBHAI KANJIBHAI</t>
  </si>
  <si>
    <t>28-11-2026</t>
  </si>
  <si>
    <t>GJ10X9331</t>
  </si>
  <si>
    <t>POCMVGC0100607382</t>
  </si>
  <si>
    <t>Mr.DEVENDRA CHANABHAI SAVALIYA</t>
  </si>
  <si>
    <t>14-02-2026</t>
  </si>
  <si>
    <t>19-10-2028</t>
  </si>
  <si>
    <t>GJ10Z8844</t>
  </si>
  <si>
    <t>POCMVGC0100612263</t>
  </si>
  <si>
    <t>Ashok Leyland,3116</t>
  </si>
  <si>
    <t>Mr.HAMIRANI HANIFBHAI NURMAMADBHAI</t>
  </si>
  <si>
    <t>22-01-2026</t>
  </si>
  <si>
    <t>13-08-2030</t>
  </si>
  <si>
    <t>GJ36U9962</t>
  </si>
  <si>
    <t>POCMVGC0100612175</t>
  </si>
  <si>
    <t>Mr.DHANDHUKIYA KESHUBHAI LALJIBHAI</t>
  </si>
  <si>
    <t>29-12-2027</t>
  </si>
  <si>
    <t>29-12-2026</t>
  </si>
  <si>
    <t>GJ36V5953</t>
  </si>
  <si>
    <t>POCMVGC0100612162</t>
  </si>
  <si>
    <t>Mr.DALVADI KALPESH VIRJIBHAI</t>
  </si>
  <si>
    <t>21-12-2025</t>
  </si>
  <si>
    <t>GJ10TV8711</t>
  </si>
  <si>
    <t>202505134657000-00</t>
  </si>
  <si>
    <t>ASHOK LEYLAND, 3118</t>
  </si>
  <si>
    <t>Mr.MALAN RAMKUMAR JAYANTIBHAI</t>
  </si>
  <si>
    <t>24-09-2030</t>
  </si>
  <si>
    <t>GJ03EA2419</t>
  </si>
  <si>
    <t>POCMVMI0100365864</t>
  </si>
  <si>
    <t>International Tractors Ltd Sonalika - DI 740 &amp; 36 HP</t>
  </si>
  <si>
    <t>Mr. MORADIYA GHANSHYAMBHAI RAMJIBHAI</t>
  </si>
  <si>
    <t xml:space="preserve">277425 RECEIVED FROM ANKIT </t>
  </si>
  <si>
    <t>POCMVGC0100599304</t>
  </si>
  <si>
    <t>Mr.JADEJA CHANDRASINH PRABHATSING</t>
  </si>
  <si>
    <t>24-04-2026</t>
  </si>
  <si>
    <t>13-12-2028</t>
  </si>
  <si>
    <t>GJ36X5226</t>
  </si>
  <si>
    <t>POCMVGC0100600999</t>
  </si>
  <si>
    <t>Tata Motors,LPT 1916</t>
  </si>
  <si>
    <t>Mr.RATADIYA BHUPATBHAI JAGABHAI</t>
  </si>
  <si>
    <t>15-12-2026</t>
  </si>
  <si>
    <t>31-12-2029</t>
  </si>
  <si>
    <t>POCMVGC0100605049</t>
  </si>
  <si>
    <t>Ashok Leyland,AL-3118</t>
  </si>
  <si>
    <t>Mr.MUNDHAVA VIJAYBHAI POPATBHAI</t>
  </si>
  <si>
    <t>18-12-2026</t>
  </si>
  <si>
    <t>20-11-2027</t>
  </si>
  <si>
    <t>GJ07DC7881</t>
  </si>
  <si>
    <t>POCMVMI0100385837</t>
  </si>
  <si>
    <t>Mahindra &amp; Mahindra 275 DI &amp; TU MKM DLX</t>
  </si>
  <si>
    <t>Mr. JAGDISHBHAI RAVJIBHAI CHAUHAN</t>
  </si>
  <si>
    <t>17-06-2035</t>
  </si>
  <si>
    <t>GJ03BU7733</t>
  </si>
  <si>
    <t>POCMVGC0100662850</t>
  </si>
  <si>
    <t>Mr.DHAMAR MAHESHBHAI MADHAVJIBHA</t>
  </si>
  <si>
    <t>84699 45330</t>
  </si>
  <si>
    <t>TO&amp;CF</t>
  </si>
  <si>
    <t>GJ36W2648</t>
  </si>
  <si>
    <t>POCMVGC0100662852</t>
  </si>
  <si>
    <t>Mr.LAKHAMAN DEVSHIBHAI HAN</t>
  </si>
  <si>
    <t>16-01-2027</t>
  </si>
  <si>
    <t>GJ36U7875</t>
  </si>
  <si>
    <t>POCMVGC0100662849</t>
  </si>
  <si>
    <t>Mr.ASHVIN CHHANABHAI DABHI</t>
  </si>
  <si>
    <t>22-01-2027</t>
  </si>
  <si>
    <t>GJ07YZ9019</t>
  </si>
  <si>
    <t>POCMVGC0100666345</t>
  </si>
  <si>
    <t>Tata Motors,Signa &amp; 3518 T - 35000 GVW</t>
  </si>
  <si>
    <t>.VIKAS ENTERPRISE</t>
  </si>
  <si>
    <t>99780 92440</t>
  </si>
  <si>
    <t>98254 21440</t>
  </si>
  <si>
    <t>15-06-2027</t>
  </si>
  <si>
    <t>15-06-2026</t>
  </si>
  <si>
    <t>GJ27TD3432</t>
  </si>
  <si>
    <t>POCMVGC0100667118</t>
  </si>
  <si>
    <t>Ashok Leyland,3118 &amp; IL XL/1 - 35000 GVW</t>
  </si>
  <si>
    <t>Mr.HANIFBHAI ALIBHAI GHANCHI</t>
  </si>
  <si>
    <t>25-12-2025</t>
  </si>
  <si>
    <t>13-11-2029</t>
  </si>
  <si>
    <t>GJ36V0624</t>
  </si>
  <si>
    <t>POCMVGC0100666788</t>
  </si>
  <si>
    <t>Tata Motors,Intra &amp; V10 - 2145 GVW</t>
  </si>
  <si>
    <t>Mr.RAJESHBHAI DURLABHJIBHAI MALVANIYA</t>
  </si>
  <si>
    <t>99743 48444</t>
  </si>
  <si>
    <t>24-06-2027</t>
  </si>
  <si>
    <t>20-01-2027</t>
  </si>
  <si>
    <t>GJ13AX1750</t>
  </si>
  <si>
    <t>POCMVGC0100667792</t>
  </si>
  <si>
    <t>Mr.DAYARAM HIMMATRAM VAISHNAV</t>
  </si>
  <si>
    <t>21-06-2025</t>
  </si>
  <si>
    <t>21-08-2026</t>
  </si>
  <si>
    <t>GJ18AU8537</t>
  </si>
  <si>
    <t>POCMVGC0100667788</t>
  </si>
  <si>
    <t>Mr.JAYANTIBHAI JADUBHAI SHIHORA</t>
  </si>
  <si>
    <t>29-07-2029</t>
  </si>
  <si>
    <t>GJ36W0809</t>
  </si>
  <si>
    <t>POCMVGC0100670105</t>
  </si>
  <si>
    <t>Mr.MEHUL GOPALBHAI BAROT</t>
  </si>
  <si>
    <t>18-10-2025</t>
  </si>
  <si>
    <t>14-10-2026</t>
  </si>
  <si>
    <t>GJ36T7369</t>
  </si>
  <si>
    <t>POCMVGC0100670117</t>
  </si>
  <si>
    <t>Mahindra &amp; Mahindra,Supro &amp; Mini Truck 1870 GVW</t>
  </si>
  <si>
    <t>Mr.VIJAYBHAI JETHALAL GOCHIYA</t>
  </si>
  <si>
    <t>98980 10132</t>
  </si>
  <si>
    <t>24-09-2025</t>
  </si>
  <si>
    <t>TATA MOTORS, LPT 1512, DCR42CBC 125B6M5</t>
  </si>
  <si>
    <t>Mr.VASHRAMBHAI BUTABHAI ZAPADA</t>
  </si>
  <si>
    <t>GJ36X5001</t>
  </si>
  <si>
    <t>POCMVGC0100674162</t>
  </si>
  <si>
    <t>Ashok Leyland,1618</t>
  </si>
  <si>
    <t>Mr.DEKAVADIYA SAGARBHAI MERABHAI</t>
  </si>
  <si>
    <t>GJ36W7556</t>
  </si>
  <si>
    <t>POCMVGC0100674132</t>
  </si>
  <si>
    <t>Mr.BAMBHAVA MANGABHAI MAIYABHAI</t>
  </si>
  <si>
    <t>25-01-2028</t>
  </si>
  <si>
    <t>POCMVGC0100678495</t>
  </si>
  <si>
    <t>Mahindra &amp; Mahindra,Supro &amp; Mini Truck CNG</t>
  </si>
  <si>
    <t>Mr.IRSHAD ALIBHAI MATHAKIYA</t>
  </si>
  <si>
    <t>30-01-2027</t>
  </si>
  <si>
    <t>GJ03AU7191</t>
  </si>
  <si>
    <t>POCMVGC0100678343</t>
  </si>
  <si>
    <t>Atul Auto,ATUL SHAKTI &amp; Cargo SWB 6 HD</t>
  </si>
  <si>
    <t>.RAJ BAKERY PROP VAID MOHM TAIYABALI</t>
  </si>
  <si>
    <t>28-07-2025</t>
  </si>
  <si>
    <t>GJ36V8467</t>
  </si>
  <si>
    <t>POCMVGC0100678483</t>
  </si>
  <si>
    <t>Mr.ASHRAFSHA ABDULSHA FAKIR</t>
  </si>
  <si>
    <t>GJ12AY4595</t>
  </si>
  <si>
    <t>POCMVGC0100678883</t>
  </si>
  <si>
    <t>Mr.HARSHAD KARAMSHIBHAI VAMJA</t>
  </si>
  <si>
    <t>16-10-2030</t>
  </si>
  <si>
    <t>POCMVGC0100680448</t>
  </si>
  <si>
    <t>27-02-2027</t>
  </si>
  <si>
    <t>GJ13AX2855</t>
  </si>
  <si>
    <t>POCMVGC0100680813</t>
  </si>
  <si>
    <t>Mr.SAVJIBHAI JIVANBHAI PARMAR</t>
  </si>
  <si>
    <t>30-08-2026</t>
  </si>
  <si>
    <t>GJ01DU5096</t>
  </si>
  <si>
    <t>POCMVGC0100683631</t>
  </si>
  <si>
    <t>Mr.GANDUBHAI JENTIBHAI SUMALKHANIYA</t>
  </si>
  <si>
    <t>29-07-2026</t>
  </si>
  <si>
    <t>27-11-2028</t>
  </si>
  <si>
    <t>GJ03BW5542</t>
  </si>
  <si>
    <t>POCMVGC0100683609</t>
  </si>
  <si>
    <t>Tata Motors,Ace &amp; XL BSIV</t>
  </si>
  <si>
    <t>Mr.MEET AMRUTLAL UNADKAT</t>
  </si>
  <si>
    <t>CF&amp;HPA</t>
  </si>
  <si>
    <t>24-08-2026</t>
  </si>
  <si>
    <t>POCMVGC0100683601</t>
  </si>
  <si>
    <t>Mr.VIJAYKUMAR MAYABHAI SATKA</t>
  </si>
  <si>
    <t>90165 87649</t>
  </si>
  <si>
    <t>18-12-2025</t>
  </si>
  <si>
    <t>18-12-2024</t>
  </si>
  <si>
    <t>GJ03EC2880</t>
  </si>
  <si>
    <t>POPMCAR00102336847</t>
  </si>
  <si>
    <t>Hyundai,I20 &amp; 1.4 Asta Diesel</t>
  </si>
  <si>
    <t>Mr ROHIT MONABHAI GAMARA</t>
  </si>
  <si>
    <t>PUC</t>
  </si>
  <si>
    <t>28-07-2026</t>
  </si>
  <si>
    <t>GJ36L2715</t>
  </si>
  <si>
    <t>POPMCAR00102335812</t>
  </si>
  <si>
    <t>Mahindra &amp; Mahindra,Scorpio &amp; S11 2WD</t>
  </si>
  <si>
    <t>Mr IMRANBHAI HUSHENBHAI KHOD</t>
  </si>
  <si>
    <t>98259 82715</t>
  </si>
  <si>
    <t>99794 44862</t>
  </si>
  <si>
    <t>GJ36R8343</t>
  </si>
  <si>
    <t>POPMCAR00102341631</t>
  </si>
  <si>
    <t>Hyundai,Verna &amp; 1.6 CRDi SX (O)</t>
  </si>
  <si>
    <t>Mr VISHAL VALJIBHAI BHIT</t>
  </si>
  <si>
    <t>19-01-2035</t>
  </si>
  <si>
    <t>GJ10TX6154</t>
  </si>
  <si>
    <t>POCMVGC0100686260</t>
  </si>
  <si>
    <t>Mr.HUSHEN VALIMAMAD SODHA</t>
  </si>
  <si>
    <t>27-06-2024</t>
  </si>
  <si>
    <t>29-01-2027</t>
  </si>
  <si>
    <t>25-09-2028</t>
  </si>
  <si>
    <t>GJ36T8472</t>
  </si>
  <si>
    <t>666222523340019819</t>
  </si>
  <si>
    <t>MARUTI SUZUKI SUPER CARRY &amp; 1.2 PETROL BSVI</t>
  </si>
  <si>
    <t>JALUBHAI VASTABHAI PANSARA</t>
  </si>
  <si>
    <t>63768 71726</t>
  </si>
  <si>
    <t>63778 89660</t>
  </si>
  <si>
    <t>FQ</t>
  </si>
  <si>
    <t>GJ10TX2180</t>
  </si>
  <si>
    <t>666222523340019812</t>
  </si>
  <si>
    <t>TATA ACE &amp; GOLD BSIV</t>
  </si>
  <si>
    <t>VIMAL ARVINDBHAI POPAT</t>
  </si>
  <si>
    <t>GJ36V5416</t>
  </si>
  <si>
    <t>666222523340019932</t>
  </si>
  <si>
    <t>TAUFIK RAHIMBHAI KADIVAR</t>
  </si>
  <si>
    <t>GJ18AU7980</t>
  </si>
  <si>
    <t>12-1831-0008204330-00</t>
  </si>
  <si>
    <t>TATA LPK 2518 TC</t>
  </si>
  <si>
    <t>Manek Subham Khamisa</t>
  </si>
  <si>
    <t>15/10/2025</t>
  </si>
  <si>
    <t>GJ06VV9498</t>
  </si>
  <si>
    <t>12-1831-0008224994-00</t>
  </si>
  <si>
    <t>TATA LPK 2516 TC</t>
  </si>
  <si>
    <t>Manek Avesh Khamisha</t>
  </si>
  <si>
    <t>GJ03AZ2366</t>
  </si>
  <si>
    <t>12-1831-0008261267-00'</t>
  </si>
  <si>
    <t>EICHER TERRA-16</t>
  </si>
  <si>
    <t>Varmora Jayantibhai Thobhanbhai</t>
  </si>
  <si>
    <t>21-10-2026</t>
  </si>
  <si>
    <t>GJ36V5902</t>
  </si>
  <si>
    <t>3379/04125526/000/01</t>
  </si>
  <si>
    <t>HAKABHAI TOYATA</t>
  </si>
  <si>
    <t>GJ36X5433</t>
  </si>
  <si>
    <t>3379/04125518/000/01</t>
  </si>
  <si>
    <t>BOL MAXX PUP - 1.7 HD LX CBC BSVI</t>
  </si>
  <si>
    <t>RATHOD HIREN PRAVINBHAI</t>
  </si>
  <si>
    <t>VGC1433777000100</t>
  </si>
  <si>
    <t>Tata Motors Ltd</t>
  </si>
  <si>
    <t>Mr.GOPAL POPATBHAI SIYAR</t>
  </si>
  <si>
    <t>GJ03AT2347</t>
  </si>
  <si>
    <t>12-1831-0008301774-00</t>
  </si>
  <si>
    <t>Keshavbhai Becharbhai Khadola</t>
  </si>
  <si>
    <t>MM</t>
  </si>
  <si>
    <t>GJ18AX8522</t>
  </si>
  <si>
    <t>12-1831-0008183328-00</t>
  </si>
  <si>
    <t>Eicher  35 31</t>
  </si>
  <si>
    <t>Bakul D Lathiya</t>
  </si>
  <si>
    <t>29-10 link payment</t>
  </si>
  <si>
    <t xml:space="preserve">16-10 gpay </t>
  </si>
  <si>
    <t>11-10 link payment</t>
  </si>
  <si>
    <t>GJ03AT2348</t>
  </si>
  <si>
    <t>12-1831-0008307538-00</t>
  </si>
  <si>
    <t>GJ01FT0609</t>
  </si>
  <si>
    <t>12-1831-0008307492-00</t>
  </si>
  <si>
    <t>ASHOK LEYLAND 2516 (6x2)</t>
  </si>
  <si>
    <t>Piyush Devabhai Dangar</t>
  </si>
  <si>
    <t>GJ36V2484</t>
  </si>
  <si>
    <t>3379/04125461/000/01</t>
  </si>
  <si>
    <t>PURBIYA JAYDIPBHAI JIVABHAI</t>
  </si>
  <si>
    <t>GJ12AW1238</t>
  </si>
  <si>
    <t>3003/A/415766065/00/B00</t>
  </si>
  <si>
    <t>TATA MOTORS DUMPERS LPK 2518</t>
  </si>
  <si>
    <t>SRI VIPULBHAI PUNABHAI PARMAR</t>
  </si>
  <si>
    <t>GJ03W9258</t>
  </si>
  <si>
    <t>3003/A/415798736/00/B00</t>
  </si>
  <si>
    <t>TATA MOTORS TIPPERS 1613 TIPPER</t>
  </si>
  <si>
    <t>VIPULBHAI PUNABHAI PARMAR</t>
  </si>
  <si>
    <t>GJ03AX9762</t>
  </si>
  <si>
    <t>3003/A/415817135/00/000</t>
  </si>
  <si>
    <t>TATA MOTORS TIPPERS LPT 3118 TIPPER</t>
  </si>
  <si>
    <t>MR MOHMADALHAZ MUKHTARALI SHAIKH</t>
  </si>
  <si>
    <t>GJ03AX6147</t>
  </si>
  <si>
    <t>3003/A/417083324/00/B00</t>
  </si>
  <si>
    <t>NARAYANLAL MANGILAL GUJAR</t>
  </si>
  <si>
    <t>GJ05BT6021</t>
  </si>
  <si>
    <t>3003/A/417248176/00/000</t>
  </si>
  <si>
    <t>GJ12BT6933</t>
  </si>
  <si>
    <t>3003/A/417406269/00/B00</t>
  </si>
  <si>
    <t>TATA MOTORS TIPPERS LPK 2518 TC</t>
  </si>
  <si>
    <t>AMITKUMAR AMARNATH MISHRA</t>
  </si>
  <si>
    <t>70614 48119</t>
  </si>
  <si>
    <t>99793 11126</t>
  </si>
  <si>
    <t>GJ33T8686</t>
  </si>
  <si>
    <t>3003/A/417397838/00/B00</t>
  </si>
  <si>
    <t>ASHOK LEYLAND TRUCKS 2516 TRUCKS</t>
  </si>
  <si>
    <t>JAGDISHBHAI BALUBHAI PARECHA</t>
  </si>
  <si>
    <t>99258 51972</t>
  </si>
  <si>
    <t>GJ36V2851</t>
  </si>
  <si>
    <t>3379/04162869/000/01</t>
  </si>
  <si>
    <t>BOLERO - PIKUP FB 1.7T PS XL CBC BSVI</t>
  </si>
  <si>
    <t>HARUNBHAI KASAMBHAI IBVANI</t>
  </si>
  <si>
    <t>GJ36V5916</t>
  </si>
  <si>
    <t>3379/04163675/000/01</t>
  </si>
  <si>
    <t>GEDANI DHANJIBHAI GORDHANBHAI</t>
  </si>
  <si>
    <t>GJ13V4767</t>
  </si>
  <si>
    <t>3003/A/418287119/00/000</t>
  </si>
  <si>
    <t>MR KAIDA AFRID HASANBHAI</t>
  </si>
  <si>
    <t>31-10 GPAY</t>
  </si>
  <si>
    <t>30-10 neft</t>
  </si>
  <si>
    <t>30-10 GPAY</t>
  </si>
  <si>
    <t>7-11 GPAY VISHNU MALL</t>
  </si>
  <si>
    <t>23-11 GPAY</t>
  </si>
  <si>
    <t>25-11 LINK PAYMNET</t>
  </si>
  <si>
    <t>29-11 LINK PAYMENT</t>
  </si>
  <si>
    <t>GJ19T0918</t>
  </si>
  <si>
    <t>3003/A/419697312/00/000</t>
  </si>
  <si>
    <t>MOHSINBHAI USHMANBHAI BHATTI</t>
  </si>
  <si>
    <t>GJ12AT9202</t>
  </si>
  <si>
    <t>3003/A/419696859/00/B00</t>
  </si>
  <si>
    <t>SANDHWANI MUNIS IQBALBHAI</t>
  </si>
  <si>
    <t>GJ03AT1463</t>
  </si>
  <si>
    <t>3003/A/419794170/00/000</t>
  </si>
  <si>
    <t>YASHINBHAI IKBALBHAI DAL</t>
  </si>
  <si>
    <t>GJ36V2715</t>
  </si>
  <si>
    <t>3379/04183215/000/01</t>
  </si>
  <si>
    <t>MARUTI SALES AGENCY</t>
  </si>
  <si>
    <t>GJ03BY4248</t>
  </si>
  <si>
    <t>3379/04186244/000/01</t>
  </si>
  <si>
    <t>BAVALAL NATHABHAI GHELANI</t>
  </si>
  <si>
    <t>15/12/2025</t>
  </si>
  <si>
    <t>GJ36X0502</t>
  </si>
  <si>
    <t>2315 2079 8691 4000 000</t>
  </si>
  <si>
    <t>MR BAMBHAVA VIJAYKUMAR BHANABHAI</t>
  </si>
  <si>
    <t>GJ05AT6819</t>
  </si>
  <si>
    <t>6303677570 00 00</t>
  </si>
  <si>
    <t>Mr MOVAR ILIYAS HAJIBHAI</t>
  </si>
  <si>
    <t>GJ36V2530</t>
  </si>
  <si>
    <t>3379/04211929/000/01</t>
  </si>
  <si>
    <t>GOLTAR NAVGHANBHAI MERUBHAI</t>
  </si>
  <si>
    <t>GJ16W7459</t>
  </si>
  <si>
    <t>6303698769 00 00</t>
  </si>
  <si>
    <t>EICHER MOTORS/TERR A 16/E/OPEN/TIPPER</t>
  </si>
  <si>
    <t>Mr DHARMENDRAKUMAR CHHAGANBHAI BHALODIYA</t>
  </si>
  <si>
    <t>GJ36V8455</t>
  </si>
  <si>
    <t>3379/04217453/000/01</t>
  </si>
  <si>
    <t>BADA DOST - I2 LX BSVI</t>
  </si>
  <si>
    <t>ABDUL HARUN MOVAR</t>
  </si>
  <si>
    <t>GJ17XX4053</t>
  </si>
  <si>
    <t>3379/04208479/000/01</t>
  </si>
  <si>
    <t>PRAVINBHAI RUPABHAI PAGI</t>
  </si>
  <si>
    <t>GJ27T8292</t>
  </si>
  <si>
    <t>6303737952 00 00</t>
  </si>
  <si>
    <t>Mr zala aashishkumar rajendrasinh</t>
  </si>
  <si>
    <t>GJ03AT0421</t>
  </si>
  <si>
    <t>3003/A/426648020/00/B00</t>
  </si>
  <si>
    <t>BIPIN GORDHANBHAI MAJETHIYA</t>
  </si>
  <si>
    <t>3003/A/427421378/00/000</t>
  </si>
  <si>
    <t>TATA MOTORS DUMPERS</t>
  </si>
  <si>
    <t>CHAUHAN FARUKBHAI KARIMBHAI</t>
  </si>
  <si>
    <t>GJ07TT7738</t>
  </si>
  <si>
    <t>3003/A/427950024/00/B00</t>
  </si>
  <si>
    <t>JAYDIPBHAI RANABHAI RABARI</t>
  </si>
  <si>
    <t>GJ06XX8754</t>
  </si>
  <si>
    <t>6303808044 00 00</t>
  </si>
  <si>
    <t>TATA MOTORS/LPT 90 9/EX2/CLOSED/TRUCK</t>
  </si>
  <si>
    <t>Mr HARDIK BHARATBHAI MUNTHAVA</t>
  </si>
  <si>
    <t>99784 61410</t>
  </si>
  <si>
    <t>GJ03BY9294</t>
  </si>
  <si>
    <t>3003/A/428055044/00/B00</t>
  </si>
  <si>
    <t>AADHYASHAKTI TRADING PROP NARENDRASINH SAVUBHA ZALA</t>
  </si>
  <si>
    <t>GJ36T3317</t>
  </si>
  <si>
    <t>6303822900 00 00</t>
  </si>
  <si>
    <t>MAHINDRA/SUPRO/MA XITRUCK T2/CLOSED/PI CK UP VAN</t>
  </si>
  <si>
    <t>Mr Meghval Jashabhai Vajabhai</t>
  </si>
  <si>
    <t>63518 76437</t>
  </si>
  <si>
    <t>GJ01CY5597</t>
  </si>
  <si>
    <t>3004/A/428519499/00/000</t>
  </si>
  <si>
    <t>MPV</t>
  </si>
  <si>
    <t>EICHER 10.90</t>
  </si>
  <si>
    <t>THE MODERN HIGH SCHOOL</t>
  </si>
  <si>
    <t>17/2/2027</t>
  </si>
  <si>
    <t>GJ05BX0116</t>
  </si>
  <si>
    <t>3004/A/428521387/00/B00</t>
  </si>
  <si>
    <t>20.15 BUS</t>
  </si>
  <si>
    <t>THE CREATIVE EDUCATION TRUST</t>
  </si>
  <si>
    <t>GJ18X2507</t>
  </si>
  <si>
    <t>3004/A/428523141/00/B00</t>
  </si>
  <si>
    <t>ALPSV 4/11</t>
  </si>
  <si>
    <t>3003/A/428715966/00/B00</t>
  </si>
  <si>
    <t>VIPULBHAI MAGANBHAI CHAUHAN</t>
  </si>
  <si>
    <t>3003/A/428866525/00/000</t>
  </si>
  <si>
    <t>GJ36X0554</t>
  </si>
  <si>
    <t>3004/A/429476032/00/B00</t>
  </si>
  <si>
    <t xml:space="preserve">EICHER MOTOR 10.90 L BUS </t>
  </si>
  <si>
    <t>RELIABLE EDUCATION TRUST MORBI</t>
  </si>
  <si>
    <t>GJ05AU3578</t>
  </si>
  <si>
    <t>3003/A/429720976/00/000</t>
  </si>
  <si>
    <t>BAROLIYA KANTILAL GANGARAMBHAI</t>
  </si>
  <si>
    <t>20/2/2027</t>
  </si>
  <si>
    <t>3-12 LINK PAYMENT</t>
  </si>
  <si>
    <t>5-12 LINK PAYMENT</t>
  </si>
  <si>
    <t>22-12 LINK PAYMENT</t>
  </si>
  <si>
    <t>27-12 LINK PAYMENT</t>
  </si>
  <si>
    <t>2-1 LINK PAYMENT</t>
  </si>
  <si>
    <t>6-1 LINK PAYMENT</t>
  </si>
  <si>
    <t>9-1 LINK PAYMENT</t>
  </si>
  <si>
    <t>29-1 LINK PAYMENT</t>
  </si>
  <si>
    <t>3-2 LINK PAYMENT</t>
  </si>
  <si>
    <t>6-2 LINK PAYMENT</t>
  </si>
  <si>
    <t>14-02 LINK PAYMENT</t>
  </si>
  <si>
    <t>16-02 LINK PAYMENT</t>
  </si>
  <si>
    <t>17-02 LINK PAYMENT</t>
  </si>
  <si>
    <t>GPAY</t>
  </si>
  <si>
    <t>14/10/2025</t>
  </si>
  <si>
    <t>GJ36V5380</t>
  </si>
  <si>
    <t>161122523340010201</t>
  </si>
  <si>
    <t>SUNIL MANUBHAI BAVARAVA</t>
  </si>
  <si>
    <t>91575 21498</t>
  </si>
  <si>
    <t>CLEAR BY GPAY</t>
  </si>
  <si>
    <t>GJ36T7378</t>
  </si>
  <si>
    <t>161122523340010162</t>
  </si>
  <si>
    <t>MARUTI SUZUKI SUPER CARRY &amp; STD PETROL</t>
  </si>
  <si>
    <t>ISMAIL MAMAD MESANIYA</t>
  </si>
  <si>
    <t>GJ36V5884</t>
  </si>
  <si>
    <t>161122523340010166</t>
  </si>
  <si>
    <t>SATOLA SUNDARAMKUMAR LAKHMANBHAI</t>
  </si>
  <si>
    <t>MA</t>
  </si>
  <si>
    <t>16/10/2025</t>
  </si>
  <si>
    <t>GJ36T5255</t>
  </si>
  <si>
    <t>161122523340010338</t>
  </si>
  <si>
    <t>MAHMADALTAF HUSHENBHAI PARASARA</t>
  </si>
  <si>
    <t>17/10/2025</t>
  </si>
  <si>
    <t>GJ36V2250</t>
  </si>
  <si>
    <t>161122523340010273</t>
  </si>
  <si>
    <t>ASHOK LEYLAND 4825 &amp; GP 6600 WB BS6</t>
  </si>
  <si>
    <t>GULAMMUSTUFA,HAJIBHAI SHERASIYA</t>
  </si>
  <si>
    <t>GJ13AW3528</t>
  </si>
  <si>
    <t>161122523340010330</t>
  </si>
  <si>
    <t>MUNAFBHAI RAHIMBHAI GHONIYA</t>
  </si>
  <si>
    <t>13/10/2025</t>
  </si>
  <si>
    <t>GJ04AW6456</t>
  </si>
  <si>
    <t>161122523340010194</t>
  </si>
  <si>
    <t>MR. LAVJIBHAI JETHABHAI SENTA</t>
  </si>
  <si>
    <t xml:space="preserve">094269 01068 </t>
  </si>
  <si>
    <t>GJ36V3230</t>
  </si>
  <si>
    <t>160622523340020715</t>
  </si>
  <si>
    <t>MR. RAJANIKANTBHAI SHAMJIBHAI KHAKHARIYA</t>
  </si>
  <si>
    <t xml:space="preserve"> 97247 57658</t>
  </si>
  <si>
    <t>GJ36V4361</t>
  </si>
  <si>
    <t>161122523340010443</t>
  </si>
  <si>
    <t>MR. VIPUL BABUBHAI KUKVA</t>
  </si>
  <si>
    <t>116000 RECEIVED BY GPAY</t>
  </si>
  <si>
    <t>GJ36AJ6475</t>
  </si>
  <si>
    <t>161122523090001943</t>
  </si>
  <si>
    <t>MARUTI SUZUKI EECO 5 STR AC CNG</t>
  </si>
  <si>
    <t>Mr. MOVAR ISMAIL KASAM</t>
  </si>
  <si>
    <t>GJ36V7921</t>
  </si>
  <si>
    <t>161122523340010487</t>
  </si>
  <si>
    <t>AMRUTLAL CHHAGANBHAI DETROJA</t>
  </si>
  <si>
    <t>GJ36T5305</t>
  </si>
  <si>
    <t>: 161122523340010614</t>
  </si>
  <si>
    <t>MR. MAHAMADHUSEN FATEMAHAMAD PARASARA</t>
  </si>
  <si>
    <t>GJ36V7969</t>
  </si>
  <si>
    <t>161122523490000849</t>
  </si>
  <si>
    <t>MAHINDRA/JEETO/CNG BSVI</t>
  </si>
  <si>
    <t>Mr. SAGAR DINESHBHAI RANEVADIYA</t>
  </si>
  <si>
    <t>GJ13AW6553</t>
  </si>
  <si>
    <t>161122523340010755</t>
  </si>
  <si>
    <t>MR. MOHMADHANIF HUSENBHAI PAREDI</t>
  </si>
  <si>
    <t>70463 66147</t>
  </si>
  <si>
    <t>99255 66147</t>
  </si>
  <si>
    <t>GJ36T9107</t>
  </si>
  <si>
    <t>161122523340010693</t>
  </si>
  <si>
    <t>MR. GHANSHYAMBHAI GOPALBHAI KERASHIYA</t>
  </si>
  <si>
    <t>28/102026</t>
  </si>
  <si>
    <t>29/102025</t>
  </si>
  <si>
    <t>GJ13AX2325</t>
  </si>
  <si>
    <t>161122523340010705</t>
  </si>
  <si>
    <t>MR. MEHULBHAI BHANUPRASAD RAMANUJ</t>
  </si>
  <si>
    <t>GJ36V7956</t>
  </si>
  <si>
    <t>161122523340010673</t>
  </si>
  <si>
    <t>MR. RAJESH DANGAR</t>
  </si>
  <si>
    <t>GJ36V7935</t>
  </si>
  <si>
    <t>161122523340010860</t>
  </si>
  <si>
    <t>MR. KAGATHARA RAKESH NARBHERAMBHAI</t>
  </si>
  <si>
    <t>GJ36V0945</t>
  </si>
  <si>
    <t>161122523340010864</t>
  </si>
  <si>
    <t>MR. MULJIBHAI NATHUBHAI BAHUKIYA</t>
  </si>
  <si>
    <t>GJ36V5948</t>
  </si>
  <si>
    <t>161122523340010857</t>
  </si>
  <si>
    <t>MADEVBHAI LAXMANBHAI BHARVAD</t>
  </si>
  <si>
    <t>GJ36V0921</t>
  </si>
  <si>
    <t>161122523340010947</t>
  </si>
  <si>
    <t>MR. HAJI SHERASIYA</t>
  </si>
  <si>
    <t>GJ36V5955</t>
  </si>
  <si>
    <t>161122523340011020</t>
  </si>
  <si>
    <t>MAHINDRA SUPRO &amp; PROFIT TRUCK DUO WD</t>
  </si>
  <si>
    <t>UJWAL RAMESHBHAI BHIMANI</t>
  </si>
  <si>
    <t>GJ12BW4114</t>
  </si>
  <si>
    <t>161122523340011018</t>
  </si>
  <si>
    <t>ASHOK LEYLAND U-4019 &amp; TT 2STR</t>
  </si>
  <si>
    <t>GJ12BW4155</t>
  </si>
  <si>
    <t>161122523340011044</t>
  </si>
  <si>
    <t>GJ36V7645</t>
  </si>
  <si>
    <t>161122523340011022</t>
  </si>
  <si>
    <t>BHARVAD MAHESHBHAI KHETABHAI</t>
  </si>
  <si>
    <t>878 059 2692</t>
  </si>
  <si>
    <t>GJ36V0906</t>
  </si>
  <si>
    <t>161122523340011418</t>
  </si>
  <si>
    <t>MS. BHUPATBHAI PARSOTAMBHAI AADHROJIYA</t>
  </si>
  <si>
    <t>GJ21W9558</t>
  </si>
  <si>
    <t>161122523340011375</t>
  </si>
  <si>
    <t>MR. IMRANBHAI KASMANI</t>
  </si>
  <si>
    <t>GJ10TX5118</t>
  </si>
  <si>
    <t>161122523340011576</t>
  </si>
  <si>
    <t>MR. ASWAR KISHAN</t>
  </si>
  <si>
    <t>15/11/2025</t>
  </si>
  <si>
    <t>GJ36V9713</t>
  </si>
  <si>
    <t>161122523340011780</t>
  </si>
  <si>
    <t>MR. SHERASIYA PARVEJ</t>
  </si>
  <si>
    <t>GJ36V0606</t>
  </si>
  <si>
    <t>160622523340027325</t>
  </si>
  <si>
    <t>MR. HAKABHAI LALJIBHAI METALIYA</t>
  </si>
  <si>
    <t>GJ36V5861</t>
  </si>
  <si>
    <t>160622523340027731</t>
  </si>
  <si>
    <t>MR. AMIRBHAI DAUDBHAI HALA</t>
  </si>
  <si>
    <t>GJ36V2975</t>
  </si>
  <si>
    <t>160622523340027627</t>
  </si>
  <si>
    <t>MR. PADALIA DHIRAJLAL GANGARAM</t>
  </si>
  <si>
    <t>GJ36V5594</t>
  </si>
  <si>
    <t>160622523340028633</t>
  </si>
  <si>
    <t>MR. UMESH KESHAVJIBHAI BHLAGAMDIYA</t>
  </si>
  <si>
    <t>GJ36V7546</t>
  </si>
  <si>
    <t>160622523340028627</t>
  </si>
  <si>
    <t>TATA ACE &amp; CNG 2.0 S CLB BSVI</t>
  </si>
  <si>
    <t>MR. SHAILESHBHAI GELABHAI PARSADIYA</t>
  </si>
  <si>
    <t>GJ36V7818</t>
  </si>
  <si>
    <t>160622523340028934</t>
  </si>
  <si>
    <t>MR. FATE MAMAD,KARIM BHATTI</t>
  </si>
  <si>
    <t>GJ36V7879</t>
  </si>
  <si>
    <t>160622523490002338</t>
  </si>
  <si>
    <t>TATA/ACE/CNG 2.0 S CLB BSVI</t>
  </si>
  <si>
    <t>Mr. RAJESHBHAI JADAVJIBHAI KANZARIYA</t>
  </si>
  <si>
    <t>97277 77029</t>
  </si>
  <si>
    <t>GJ36V5905</t>
  </si>
  <si>
    <t>160622523340029358</t>
  </si>
  <si>
    <t>MR. KIRITBHAI GANGARAMBHAI KANZARIYA</t>
  </si>
  <si>
    <t>GJ36V5931</t>
  </si>
  <si>
    <t>160622523340030152</t>
  </si>
  <si>
    <t>MR. DILIP MANASUKHBHAI JANJAVADIA</t>
  </si>
  <si>
    <t>GJ36AL8045</t>
  </si>
  <si>
    <t>160622523090016215</t>
  </si>
  <si>
    <t>MARUTI SUZUKI ALTO K10 VXI PLUS DREAM EDITION</t>
  </si>
  <si>
    <t>Mr. KAILASHBHAI MASHRUBHAI VESARA</t>
  </si>
  <si>
    <t>GJ16AU9018</t>
  </si>
  <si>
    <t>160622523550001008</t>
  </si>
  <si>
    <t>TATA / CITY RIDE / LP 909 SCHOOL BUS</t>
  </si>
  <si>
    <t>M/S THE RELIABLE EDUCATIONAL TRUST</t>
  </si>
  <si>
    <t>GJ03BT2150</t>
  </si>
  <si>
    <t>160622523550001010</t>
  </si>
  <si>
    <t>ASHOK LEYLAND / ALPSV / 4/51 VIKING</t>
  </si>
  <si>
    <t>M/S CREATIVE EDUCATION TRUST</t>
  </si>
  <si>
    <t>GJ10TV7711</t>
  </si>
  <si>
    <t>160622523340026964</t>
  </si>
  <si>
    <t>ASHOK LEYLAND U 3718 &amp; TRUCK BS IV</t>
  </si>
  <si>
    <t>MR. MAHIPALSINH DILIPSINH PINGAL</t>
  </si>
  <si>
    <t>GJ36AP0711</t>
  </si>
  <si>
    <t>160622523090016861</t>
  </si>
  <si>
    <t>TATA NEXON EV EMPOWERED 45</t>
  </si>
  <si>
    <t>Mr. HIRENKUMAR GANESH KASUNDRA</t>
  </si>
  <si>
    <t>GJ03CU6186</t>
  </si>
  <si>
    <t>160622523340031757</t>
  </si>
  <si>
    <t>MR. MUHEED UDDIN</t>
  </si>
  <si>
    <t>PAYMENT BY TASLIM</t>
  </si>
  <si>
    <t>17-1</t>
  </si>
  <si>
    <t>LINK PAYMENT</t>
  </si>
  <si>
    <t>29-11</t>
  </si>
  <si>
    <t>28-10</t>
  </si>
  <si>
    <t>18-10</t>
  </si>
  <si>
    <t>21-10</t>
  </si>
  <si>
    <t>SR NO</t>
  </si>
  <si>
    <t>CATEGORY</t>
  </si>
  <si>
    <t>PAYMENT BY</t>
  </si>
  <si>
    <t>NET</t>
  </si>
  <si>
    <t>DIFF</t>
  </si>
  <si>
    <t>GJ36T8616</t>
  </si>
  <si>
    <t>RANCHHODBHAI</t>
  </si>
  <si>
    <t>TAUFIQ</t>
  </si>
  <si>
    <t>GJ36T7036</t>
  </si>
  <si>
    <t>JAHID</t>
  </si>
  <si>
    <t>FAIZAN</t>
  </si>
  <si>
    <t>GJ18BA8350</t>
  </si>
  <si>
    <t>HAJI</t>
  </si>
  <si>
    <t>LIBERY</t>
  </si>
  <si>
    <t>GJ36B3627</t>
  </si>
  <si>
    <t>ABDULBHAI</t>
  </si>
  <si>
    <t>PAYMENT</t>
  </si>
  <si>
    <t>GJ36T3089</t>
  </si>
  <si>
    <t>BATUKBHAI</t>
  </si>
  <si>
    <t>GJ36U7094</t>
  </si>
  <si>
    <t>NARENDRASINH</t>
  </si>
  <si>
    <t>3W</t>
  </si>
  <si>
    <t>GJ36T3285</t>
  </si>
  <si>
    <t>KUMARSUNG</t>
  </si>
  <si>
    <t>GJ36T5674</t>
  </si>
  <si>
    <t>ALIBHAI</t>
  </si>
  <si>
    <t>GJ03AB8045</t>
  </si>
  <si>
    <t>CHANDULAL</t>
  </si>
  <si>
    <t>GJ01HK5384</t>
  </si>
  <si>
    <t>SANTOSHKUMAR</t>
  </si>
  <si>
    <t>GJ13N2163</t>
  </si>
  <si>
    <t>SHAILESH</t>
  </si>
  <si>
    <t>GJ36T7884</t>
  </si>
  <si>
    <t>PATHUBHAI</t>
  </si>
  <si>
    <t>GJ36L7886</t>
  </si>
  <si>
    <t>POLJIBHAI</t>
  </si>
  <si>
    <t>GJ10TY0047</t>
  </si>
  <si>
    <t>RAMIJ</t>
  </si>
  <si>
    <t>RAJESHBHAI</t>
  </si>
  <si>
    <t>GJ36L1327</t>
  </si>
  <si>
    <t>MAKSUDBHAI</t>
  </si>
  <si>
    <t>GJ18BA8946</t>
  </si>
  <si>
    <t>RAHULBHAI</t>
  </si>
  <si>
    <t>GJ33T2033</t>
  </si>
  <si>
    <t>SOHIL</t>
  </si>
  <si>
    <t>GJ10Z6504</t>
  </si>
  <si>
    <t>UPRENRASINH</t>
  </si>
  <si>
    <t>GJ36V0989</t>
  </si>
  <si>
    <t>MOMBHAI</t>
  </si>
  <si>
    <t>GJ36V8382</t>
  </si>
  <si>
    <t>ASHOKBHAI</t>
  </si>
  <si>
    <t>GJ36V0512</t>
  </si>
  <si>
    <t>GRESART CERAMICA</t>
  </si>
  <si>
    <t>GJ36T7954</t>
  </si>
  <si>
    <t>ABHI</t>
  </si>
  <si>
    <t>GJ36V0925</t>
  </si>
  <si>
    <t>SAIFUDIN</t>
  </si>
  <si>
    <t>GJ27K1763</t>
  </si>
  <si>
    <t>HUSENBHAI</t>
  </si>
  <si>
    <t>GJ36T4402</t>
  </si>
  <si>
    <t>ANIL</t>
  </si>
  <si>
    <t>GJ03FD3379</t>
  </si>
  <si>
    <t>NARANBHAI</t>
  </si>
  <si>
    <t>GJ03W8438</t>
  </si>
  <si>
    <t>DHARMESGIRI</t>
  </si>
  <si>
    <t>GJ36U4314</t>
  </si>
  <si>
    <t>SANJAYKUMAR</t>
  </si>
  <si>
    <t>GJ03CA9203</t>
  </si>
  <si>
    <t>HARUNBHAI</t>
  </si>
  <si>
    <t>GJ04AT6355</t>
  </si>
  <si>
    <t>MEHBUB</t>
  </si>
  <si>
    <t>GJ36V0760</t>
  </si>
  <si>
    <t>MAA MOMAI</t>
  </si>
  <si>
    <t>GJ36T9169</t>
  </si>
  <si>
    <t>TRIBHOVANBHAI</t>
  </si>
  <si>
    <t>GJ36V0687</t>
  </si>
  <si>
    <t>MAHESHBHAI</t>
  </si>
  <si>
    <t>GJ03W7155</t>
  </si>
  <si>
    <t>ISHABHAI</t>
  </si>
  <si>
    <t>GJ31X1940</t>
  </si>
  <si>
    <t>MUSTAKBHAI</t>
  </si>
  <si>
    <t>GJ10TT5909</t>
  </si>
  <si>
    <t>VALLABHBHAI</t>
  </si>
  <si>
    <t>KANABHAI</t>
  </si>
  <si>
    <t>GJ36T5768</t>
  </si>
  <si>
    <t>RAMSIBHAI</t>
  </si>
  <si>
    <t>GJ03EL4684</t>
  </si>
  <si>
    <t>SADIKBHAI</t>
  </si>
  <si>
    <t>HAJIBHA</t>
  </si>
  <si>
    <t>GJ01KF6532</t>
  </si>
  <si>
    <t>SIRAJ</t>
  </si>
  <si>
    <t>GJ03JC4580</t>
  </si>
  <si>
    <t>JIGNESHBHAI</t>
  </si>
  <si>
    <t>GJ36T5074</t>
  </si>
  <si>
    <t>GIRDHARBHAI</t>
  </si>
  <si>
    <t>GJ03EL3948</t>
  </si>
  <si>
    <t>BHANUBHAI</t>
  </si>
  <si>
    <t>GJ36T1457</t>
  </si>
  <si>
    <t>VIPULBHAI</t>
  </si>
  <si>
    <t>GJ36T8688</t>
  </si>
  <si>
    <t>SAGARBHAI</t>
  </si>
  <si>
    <t>GJ36T3651</t>
  </si>
  <si>
    <t>VASIM</t>
  </si>
  <si>
    <t>GJ36T8016</t>
  </si>
  <si>
    <t>GJ36T9154</t>
  </si>
  <si>
    <t>GJ36T9183</t>
  </si>
  <si>
    <t>GJ36T3877</t>
  </si>
  <si>
    <t>YASHINBHAI</t>
  </si>
  <si>
    <t>GJ36T2083</t>
  </si>
  <si>
    <t>SHAILESHBHAI</t>
  </si>
  <si>
    <t>GJ03Z7446</t>
  </si>
  <si>
    <t>SANJAYBHAI</t>
  </si>
  <si>
    <t>GJ36T5892</t>
  </si>
  <si>
    <t>PARVEJBHAI</t>
  </si>
  <si>
    <t>FAROOKBHAI</t>
  </si>
  <si>
    <t>GJ01AY8594</t>
  </si>
  <si>
    <t>SAHID</t>
  </si>
  <si>
    <t>SAMIRBHAI</t>
  </si>
  <si>
    <t>GJ36V2352</t>
  </si>
  <si>
    <t>HARESHBHAI</t>
  </si>
  <si>
    <t>HAJIBHAI</t>
  </si>
  <si>
    <t>RAFIKBHAI</t>
  </si>
  <si>
    <t>GJ03BV4836</t>
  </si>
  <si>
    <t>YUSUB</t>
  </si>
  <si>
    <t>GJ36T7444</t>
  </si>
  <si>
    <t>RAMESHBHAI</t>
  </si>
  <si>
    <t>GJ36T1629</t>
  </si>
  <si>
    <t>GJ36T7768</t>
  </si>
  <si>
    <t>PRAKASHBHAI</t>
  </si>
  <si>
    <t>GJ03W8313</t>
  </si>
  <si>
    <t>NADIM</t>
  </si>
  <si>
    <t>BADRUDIN</t>
  </si>
  <si>
    <t>MAHAVIRSINH</t>
  </si>
  <si>
    <t>GJ36T9071</t>
  </si>
  <si>
    <t>PRB PELLET</t>
  </si>
  <si>
    <t>GJ03FK3775</t>
  </si>
  <si>
    <t>BADRUDINBHAI</t>
  </si>
  <si>
    <t>GJ03AX7985</t>
  </si>
  <si>
    <t>GJ36U6826</t>
  </si>
  <si>
    <t>DINESHBHAI</t>
  </si>
  <si>
    <t>GJ36T8683</t>
  </si>
  <si>
    <t>MERAMBHAI</t>
  </si>
  <si>
    <t>DEEDARALI</t>
  </si>
  <si>
    <t>GJ36V2149</t>
  </si>
  <si>
    <t>NAGARBHAI</t>
  </si>
  <si>
    <t>GJ36T5971</t>
  </si>
  <si>
    <t>KAMLESHBHAI</t>
  </si>
  <si>
    <t>NIZAM</t>
  </si>
  <si>
    <t>VASANTBHAI</t>
  </si>
  <si>
    <t>GJ36T9094</t>
  </si>
  <si>
    <t>RAMABA</t>
  </si>
  <si>
    <t>GJ03AB3132</t>
  </si>
  <si>
    <t>ALLARAKHA</t>
  </si>
  <si>
    <t>GJ13NN6210</t>
  </si>
  <si>
    <t>IKBALBHAI</t>
  </si>
  <si>
    <t>GJ36T3916</t>
  </si>
  <si>
    <t>RAJNIKANTBHAI</t>
  </si>
  <si>
    <t>GJ36T3139</t>
  </si>
  <si>
    <t>GJ03AZ3422</t>
  </si>
  <si>
    <t>GJ36U6443</t>
  </si>
  <si>
    <t>SATISHKUMAR</t>
  </si>
  <si>
    <t>SATISHBHAI</t>
  </si>
  <si>
    <t>GJ10TT5924</t>
  </si>
  <si>
    <t>PRABHULAL</t>
  </si>
  <si>
    <t>GJ06DQ6608</t>
  </si>
  <si>
    <t>ASLAM</t>
  </si>
  <si>
    <t>GH36U1913</t>
  </si>
  <si>
    <t>IQBALBHAI</t>
  </si>
  <si>
    <t>GJ03BA2968</t>
  </si>
  <si>
    <t>VIMAL</t>
  </si>
  <si>
    <t>GJ19M7608</t>
  </si>
  <si>
    <t>OGHADBHAI</t>
  </si>
  <si>
    <t>ANVAR</t>
  </si>
  <si>
    <t>ARIF</t>
  </si>
  <si>
    <t>GJ36U7659</t>
  </si>
  <si>
    <t>SHABIR</t>
  </si>
  <si>
    <t>GJ36T7629</t>
  </si>
  <si>
    <t>MAHMADRAFIK</t>
  </si>
  <si>
    <t>HASAMBHAI</t>
  </si>
  <si>
    <t>GJ03AW4349</t>
  </si>
  <si>
    <t>GABHARUBHAI</t>
  </si>
  <si>
    <t>GJ03EL3859</t>
  </si>
  <si>
    <t>GJ36U7980</t>
  </si>
  <si>
    <t>HARIBHAI</t>
  </si>
  <si>
    <t>GJ36U7690</t>
  </si>
  <si>
    <t>GJ10BR0661</t>
  </si>
  <si>
    <t>IDRISHBHAI</t>
  </si>
  <si>
    <t>GJ36U7743</t>
  </si>
  <si>
    <t>GJ13AT8243</t>
  </si>
  <si>
    <t>FARUK</t>
  </si>
  <si>
    <t>GJ01KF4670</t>
  </si>
  <si>
    <t>MAHMADAJAJ</t>
  </si>
  <si>
    <t>GJ36T4736</t>
  </si>
  <si>
    <t>GJ33T2868</t>
  </si>
  <si>
    <t>RASULBHAI</t>
  </si>
  <si>
    <t>GJ36U7652</t>
  </si>
  <si>
    <t>BHARAT</t>
  </si>
  <si>
    <t>SURESHBHAI</t>
  </si>
  <si>
    <t>GJ36U5000</t>
  </si>
  <si>
    <t>DIPAK</t>
  </si>
  <si>
    <t>HIRENBHAI</t>
  </si>
  <si>
    <t>GJ36T2197</t>
  </si>
  <si>
    <t>BHRATBHAI</t>
  </si>
  <si>
    <t>GJ36T9463</t>
  </si>
  <si>
    <t>JAGDISH</t>
  </si>
  <si>
    <t>GJ03DN3302</t>
  </si>
  <si>
    <t>AFZALHUSSAIN</t>
  </si>
  <si>
    <t>GJ03DN8000</t>
  </si>
  <si>
    <t>VASIMBHAI</t>
  </si>
  <si>
    <t>MANSHUKHBHAI</t>
  </si>
  <si>
    <t>GJ03DG7046</t>
  </si>
  <si>
    <t>SABBIR</t>
  </si>
  <si>
    <t>GJ36U7001</t>
  </si>
  <si>
    <t>KASAMBHAI</t>
  </si>
  <si>
    <t>GJ36U2422</t>
  </si>
  <si>
    <t>RAHIM</t>
  </si>
  <si>
    <t>GJ36T5739</t>
  </si>
  <si>
    <t>JITESHBHAI</t>
  </si>
  <si>
    <t>JAVIDBHAI</t>
  </si>
  <si>
    <t>GJ36U2926</t>
  </si>
  <si>
    <t>ASHRAFBHAI</t>
  </si>
  <si>
    <t>GJ13CC4413</t>
  </si>
  <si>
    <t>AHEMADBHAI</t>
  </si>
  <si>
    <t>GJ03DN4729</t>
  </si>
  <si>
    <t>GJ36T5222</t>
  </si>
  <si>
    <t>BHARATBHAI</t>
  </si>
  <si>
    <t>GJ36U6972</t>
  </si>
  <si>
    <t>BILAL</t>
  </si>
  <si>
    <t>GJ12BY0047</t>
  </si>
  <si>
    <t>PRASANT</t>
  </si>
  <si>
    <t>GJ36U2346</t>
  </si>
  <si>
    <t>IMRAN</t>
  </si>
  <si>
    <t>GJ6AU4572</t>
  </si>
  <si>
    <t>SHAHRUKKHAN</t>
  </si>
  <si>
    <t>GJ03EC1179</t>
  </si>
  <si>
    <t>GJ01HN7839</t>
  </si>
  <si>
    <t>MANSUKHLAL</t>
  </si>
  <si>
    <t>GJ10TX5865</t>
  </si>
  <si>
    <t>GJ07AR8781</t>
  </si>
  <si>
    <t>RUSHIKUMAR</t>
  </si>
  <si>
    <t>GJ33T0603</t>
  </si>
  <si>
    <t>ARIFBHAI</t>
  </si>
  <si>
    <t>IRFAN</t>
  </si>
  <si>
    <t>GJ36T7601</t>
  </si>
  <si>
    <t>RAVJIBHAI</t>
  </si>
  <si>
    <t>GJ36T4118</t>
  </si>
  <si>
    <t>GJ12AU8427</t>
  </si>
  <si>
    <t>DILIPBHAI</t>
  </si>
  <si>
    <t>GJ36T3734</t>
  </si>
  <si>
    <t>MASABHAI</t>
  </si>
  <si>
    <t>GJ15AT6445</t>
  </si>
  <si>
    <t>KANAIYA</t>
  </si>
  <si>
    <t>GJ03AX4996</t>
  </si>
  <si>
    <t>ABDULRAHIMBHAI</t>
  </si>
  <si>
    <t>JAYANTIBHAI</t>
  </si>
  <si>
    <t>JUNED</t>
  </si>
  <si>
    <t>HANIFBHAI</t>
  </si>
  <si>
    <t>GJ36B8372</t>
  </si>
  <si>
    <t>GJ36V1366</t>
  </si>
  <si>
    <t>BHUPATBHAI</t>
  </si>
  <si>
    <t>BHUPATSINH</t>
  </si>
  <si>
    <t>GJ03CE9681</t>
  </si>
  <si>
    <t>GJ36T8965</t>
  </si>
  <si>
    <t>KISHORKUMAR</t>
  </si>
  <si>
    <t>GJ36S0350</t>
  </si>
  <si>
    <t>KESHAVLAL</t>
  </si>
  <si>
    <t>GJ36T3517</t>
  </si>
  <si>
    <t>SAMSUDIN</t>
  </si>
  <si>
    <t>AKBAR</t>
  </si>
  <si>
    <t>GJ36V1092</t>
  </si>
  <si>
    <t>VISHAL</t>
  </si>
  <si>
    <t>GJ36T7647</t>
  </si>
  <si>
    <t>GJ03EC8717</t>
  </si>
  <si>
    <t>ALTAF</t>
  </si>
  <si>
    <t>GJ03DG6355</t>
  </si>
  <si>
    <t>JAVID</t>
  </si>
  <si>
    <t>GJ01CY0905</t>
  </si>
  <si>
    <t>RAJ</t>
  </si>
  <si>
    <t>GJ03AZ2102</t>
  </si>
  <si>
    <t>NASIRKHAN</t>
  </si>
  <si>
    <t>GJ36U3946</t>
  </si>
  <si>
    <t>ANVARHUSENBHAI</t>
  </si>
  <si>
    <t>GJ13AT2952</t>
  </si>
  <si>
    <t>KATHADBHAI</t>
  </si>
  <si>
    <t>GJ36U7886</t>
  </si>
  <si>
    <t>IMRANBHAI</t>
  </si>
  <si>
    <t>IRFANBHAI</t>
  </si>
  <si>
    <t>GJ36B3110</t>
  </si>
  <si>
    <t>ARJANBHAI</t>
  </si>
  <si>
    <t>GJ36U3629</t>
  </si>
  <si>
    <t>DEVJIBHAI</t>
  </si>
  <si>
    <t>GJ03BU7938</t>
  </si>
  <si>
    <t>BASIRBHAI</t>
  </si>
  <si>
    <t>GJ03EC3675</t>
  </si>
  <si>
    <t>SALIMKHA</t>
  </si>
  <si>
    <t>GJ12DG8500</t>
  </si>
  <si>
    <t>VASEEM</t>
  </si>
  <si>
    <t>GJ03CR9249</t>
  </si>
  <si>
    <t>DHARMENDRASINH</t>
  </si>
  <si>
    <t>GJ36T9488</t>
  </si>
  <si>
    <t>ALTABBHAI</t>
  </si>
  <si>
    <t>GJ01KC2897</t>
  </si>
  <si>
    <t>NIMAVAT</t>
  </si>
  <si>
    <t>HITENDRASINH</t>
  </si>
  <si>
    <t>GJ03BV9303</t>
  </si>
  <si>
    <t>GJ36T3034</t>
  </si>
  <si>
    <t>GJ03BA8576</t>
  </si>
  <si>
    <t>SAKIL</t>
  </si>
  <si>
    <t>GJ03EC8877</t>
  </si>
  <si>
    <t>JITENDRABHAI</t>
  </si>
  <si>
    <t>GJ36U0626</t>
  </si>
  <si>
    <t>RAHIMBHAI</t>
  </si>
  <si>
    <t>GJ36U2081</t>
  </si>
  <si>
    <t>GJ03ER0613</t>
  </si>
  <si>
    <t>GJ36U7508</t>
  </si>
  <si>
    <t>BHANJIBHAI</t>
  </si>
  <si>
    <t>GJ36U6471</t>
  </si>
  <si>
    <t>ALIAKBAR</t>
  </si>
  <si>
    <t>GJ03FD9403</t>
  </si>
  <si>
    <t>BHAVESH</t>
  </si>
  <si>
    <t>GJ01HP2930</t>
  </si>
  <si>
    <t>SOYEB</t>
  </si>
  <si>
    <t>GJ36F5056</t>
  </si>
  <si>
    <t>GJ13AM4387</t>
  </si>
  <si>
    <t>GJ03AX8959</t>
  </si>
  <si>
    <t>MANSUKHBHAI</t>
  </si>
  <si>
    <t>GJ36V1154</t>
  </si>
  <si>
    <t>VADECHA</t>
  </si>
  <si>
    <t>GJ24V3941</t>
  </si>
  <si>
    <t>IQBAL TRAYA</t>
  </si>
  <si>
    <t>GJ03BV1686</t>
  </si>
  <si>
    <t>VALIMAMAD</t>
  </si>
  <si>
    <t>GJ13AT2840</t>
  </si>
  <si>
    <t>RANGPADIYA</t>
  </si>
  <si>
    <t>GJ05JR5595</t>
  </si>
  <si>
    <t>ODIYA</t>
  </si>
  <si>
    <t>GJ36U7930</t>
  </si>
  <si>
    <t>GHANSHYAM</t>
  </si>
  <si>
    <t>GJ36V1158</t>
  </si>
  <si>
    <t>GADHIYA</t>
  </si>
  <si>
    <t>MOVAR</t>
  </si>
  <si>
    <t>GJ03BU3085</t>
  </si>
  <si>
    <t>PARVEZ</t>
  </si>
  <si>
    <t>GJ36U7857</t>
  </si>
  <si>
    <t>NUMAMAD</t>
  </si>
  <si>
    <t>GJ36U6715</t>
  </si>
  <si>
    <t>AJAY</t>
  </si>
  <si>
    <t>GJ03AX78786</t>
  </si>
  <si>
    <t>THEBA</t>
  </si>
  <si>
    <t>MANKSUKH</t>
  </si>
  <si>
    <t>GJ01KM8167</t>
  </si>
  <si>
    <t>KALADIYA</t>
  </si>
  <si>
    <t>GJ36U3647</t>
  </si>
  <si>
    <t>YUNUS</t>
  </si>
  <si>
    <t>GJ03AW8122</t>
  </si>
  <si>
    <t>SANDHI</t>
  </si>
  <si>
    <t>GJ36T9837</t>
  </si>
  <si>
    <t>BADI</t>
  </si>
  <si>
    <t>GJ18AU9260</t>
  </si>
  <si>
    <t>GJ36V1072</t>
  </si>
  <si>
    <t>SANNA</t>
  </si>
  <si>
    <t>GJ36U7000</t>
  </si>
  <si>
    <t>MANSUR</t>
  </si>
  <si>
    <t>GJ36U3122</t>
  </si>
  <si>
    <t>GJ04AT1992</t>
  </si>
  <si>
    <t>BLOCH</t>
  </si>
  <si>
    <t>HETAL</t>
  </si>
  <si>
    <t>GJ03BW7174</t>
  </si>
  <si>
    <t>MAHAMMADIRSHAD</t>
  </si>
  <si>
    <t>GJ03DN8067</t>
  </si>
  <si>
    <t>CHANDRESH</t>
  </si>
  <si>
    <t>GJ10Y9836</t>
  </si>
  <si>
    <t>ILYAS</t>
  </si>
  <si>
    <t>GJ10Z8008</t>
  </si>
  <si>
    <t>PAYAK</t>
  </si>
  <si>
    <t>GJ36U5027</t>
  </si>
  <si>
    <t>DIVYESH</t>
  </si>
  <si>
    <t>GJ36T9656</t>
  </si>
  <si>
    <t>SAVARIYA</t>
  </si>
  <si>
    <t>GJ36T9563</t>
  </si>
  <si>
    <t>SHERASIYA</t>
  </si>
  <si>
    <t>GJ36U2699</t>
  </si>
  <si>
    <t>GJ03AZ8055</t>
  </si>
  <si>
    <t>BHIKHA</t>
  </si>
  <si>
    <t>GJ03BV4018</t>
  </si>
  <si>
    <t>CHHAYANI</t>
  </si>
  <si>
    <t>GJ36T9821</t>
  </si>
  <si>
    <t>GJ03AX1597</t>
  </si>
  <si>
    <t>KUBAVAT</t>
  </si>
  <si>
    <t>GJ36U7906</t>
  </si>
  <si>
    <t>GJ36T0510</t>
  </si>
  <si>
    <t>MOHSIN</t>
  </si>
  <si>
    <t>GJ03CA5146</t>
  </si>
  <si>
    <t>SAJID</t>
  </si>
  <si>
    <t>GJ10X9715</t>
  </si>
  <si>
    <t>DAVALIYA</t>
  </si>
  <si>
    <t>GJ36U6849</t>
  </si>
  <si>
    <t>SANJAY</t>
  </si>
  <si>
    <t>GJ36U1934</t>
  </si>
  <si>
    <t>GJ36U0826</t>
  </si>
  <si>
    <t>SALIM</t>
  </si>
  <si>
    <t>GJ13AW9162</t>
  </si>
  <si>
    <t>OGANIYA</t>
  </si>
  <si>
    <t>GJ02XX1494</t>
  </si>
  <si>
    <t>GJ03BT5321</t>
  </si>
  <si>
    <t>MOSIN</t>
  </si>
  <si>
    <t>GJO3AW4806</t>
  </si>
  <si>
    <t>SOLANKI</t>
  </si>
  <si>
    <t>GJ11TT9212</t>
  </si>
  <si>
    <t>GHONIYA</t>
  </si>
  <si>
    <t>GJ03BW7684</t>
  </si>
  <si>
    <t>KURESHI</t>
  </si>
  <si>
    <t>GJ36T9587</t>
  </si>
  <si>
    <t>DEKAVADIYA</t>
  </si>
  <si>
    <t>PIRJADA</t>
  </si>
  <si>
    <t>GJ02XX0319</t>
  </si>
  <si>
    <t>GJ36V1126</t>
  </si>
  <si>
    <t>BHARVAD</t>
  </si>
  <si>
    <t>GJ36T0574</t>
  </si>
  <si>
    <t>PUNANI</t>
  </si>
  <si>
    <t>GJ13AV3410</t>
  </si>
  <si>
    <t>PARMAR</t>
  </si>
  <si>
    <t>GJ36U5498</t>
  </si>
  <si>
    <t>KASHMANI</t>
  </si>
  <si>
    <t>GJ36T9946</t>
  </si>
  <si>
    <t>MANSIYA</t>
  </si>
  <si>
    <t>GJ36U1183</t>
  </si>
  <si>
    <t>SHAHMADAR</t>
  </si>
  <si>
    <t>GJ25U3945</t>
  </si>
  <si>
    <t>MAAHMDKHN</t>
  </si>
  <si>
    <t>GJ36U6514</t>
  </si>
  <si>
    <t>RAVISHANKAR</t>
  </si>
  <si>
    <t>GJ36U7936</t>
  </si>
  <si>
    <t>IQBAL</t>
  </si>
  <si>
    <t>GJ36U7989</t>
  </si>
  <si>
    <t>MANOJ</t>
  </si>
  <si>
    <t>GJ03CR9361</t>
  </si>
  <si>
    <t>SARVAIYA</t>
  </si>
  <si>
    <t>GOPAL</t>
  </si>
  <si>
    <t>GJ03BU3664</t>
  </si>
  <si>
    <t>KONDHIYA</t>
  </si>
  <si>
    <t>GJ36U7819</t>
  </si>
  <si>
    <t>RAJAK</t>
  </si>
  <si>
    <t>GJ36U2601</t>
  </si>
  <si>
    <t>CHHAGAN</t>
  </si>
  <si>
    <t>GJ36U6535</t>
  </si>
  <si>
    <t>IKBAL</t>
  </si>
  <si>
    <t>GJ36T6383</t>
  </si>
  <si>
    <t>KESHAVJI</t>
  </si>
  <si>
    <t>GJ36T5398</t>
  </si>
  <si>
    <t>MAHESH</t>
  </si>
  <si>
    <t>GJ36U2731</t>
  </si>
  <si>
    <t>DABHI</t>
  </si>
  <si>
    <t>GJ36U4419</t>
  </si>
  <si>
    <t>CHICHODARA</t>
  </si>
  <si>
    <t>GJ36U8381</t>
  </si>
  <si>
    <t>GJ36U3525</t>
  </si>
  <si>
    <t>CHHANABHAI</t>
  </si>
  <si>
    <t>GJ36U4133</t>
  </si>
  <si>
    <t>JAVED</t>
  </si>
  <si>
    <t>GJ36U7744</t>
  </si>
  <si>
    <t>GJ36U7656</t>
  </si>
  <si>
    <t>NARESH</t>
  </si>
  <si>
    <t>GJ13AT5925</t>
  </si>
  <si>
    <t>DELVADIYA</t>
  </si>
  <si>
    <t>GJ03BW9773</t>
  </si>
  <si>
    <t>AMRELIYA</t>
  </si>
  <si>
    <t>GJ01HQ7844</t>
  </si>
  <si>
    <t>PATHAN</t>
  </si>
  <si>
    <t>GJ23AF7652</t>
  </si>
  <si>
    <t>FUTURE</t>
  </si>
  <si>
    <t>PREVIOUS BAKI</t>
  </si>
  <si>
    <t>GJ03AV8662</t>
  </si>
  <si>
    <t>GJ36U7706</t>
  </si>
  <si>
    <t>SHHAMDAR</t>
  </si>
  <si>
    <t>GJ36U2819</t>
  </si>
  <si>
    <t>JUNACH</t>
  </si>
  <si>
    <t>GJ36U8412</t>
  </si>
  <si>
    <t>KADAR</t>
  </si>
  <si>
    <t>GJ36U8216</t>
  </si>
  <si>
    <t>RAJAT</t>
  </si>
  <si>
    <t>GJ36U0123</t>
  </si>
  <si>
    <t>NODE</t>
  </si>
  <si>
    <t>GJ36U7844</t>
  </si>
  <si>
    <t>MAHADEV</t>
  </si>
  <si>
    <t>GJ36U3642</t>
  </si>
  <si>
    <t>ARVIND</t>
  </si>
  <si>
    <t>GJ36U3323</t>
  </si>
  <si>
    <t>GJ36B1128</t>
  </si>
  <si>
    <t>LMV TP</t>
  </si>
  <si>
    <t>GJ03CA8610</t>
  </si>
  <si>
    <t>LOLADIYA</t>
  </si>
  <si>
    <t>GJ23AU6207</t>
  </si>
  <si>
    <t>KOLIYA</t>
  </si>
  <si>
    <t>GJ03BW7785</t>
  </si>
  <si>
    <t>WAHAJUDDIN</t>
  </si>
  <si>
    <t>AGHAM</t>
  </si>
  <si>
    <t>GJ36V1660</t>
  </si>
  <si>
    <t>SANKHESARIYA</t>
  </si>
  <si>
    <t>GJ13U9996</t>
  </si>
  <si>
    <t>SUMARA</t>
  </si>
  <si>
    <t>GJ03KC9745</t>
  </si>
  <si>
    <t>JAYDIP</t>
  </si>
  <si>
    <t>GJ10V4877</t>
  </si>
  <si>
    <t>SABIR</t>
  </si>
  <si>
    <t>HGV TP</t>
  </si>
  <si>
    <t>KHAMBHALA</t>
  </si>
  <si>
    <t>GJ36V5899</t>
  </si>
  <si>
    <t>KARAMSHI</t>
  </si>
  <si>
    <t>GJ36V1670</t>
  </si>
  <si>
    <t>EMINENCE</t>
  </si>
  <si>
    <t>GJ36U1263</t>
  </si>
  <si>
    <t>ADHROJIYA</t>
  </si>
  <si>
    <t>GJ04X5101</t>
  </si>
  <si>
    <t>CHANIYA</t>
  </si>
  <si>
    <t>JOBANPUTRA</t>
  </si>
  <si>
    <t>TAX GLITCH 2722</t>
  </si>
  <si>
    <t>J K SOLT</t>
  </si>
  <si>
    <t>DHAVAL</t>
  </si>
  <si>
    <t>GJ03Y7190</t>
  </si>
  <si>
    <t>KISHOR</t>
  </si>
  <si>
    <t>GJ03BT9596</t>
  </si>
  <si>
    <t>PAREGHI</t>
  </si>
  <si>
    <t>GJ03FD7565</t>
  </si>
  <si>
    <t>AJANA</t>
  </si>
  <si>
    <t>GJ01JT2831</t>
  </si>
  <si>
    <t>MOHIN</t>
  </si>
  <si>
    <t>CHANDRASINH</t>
  </si>
  <si>
    <t>GJ36T1335</t>
  </si>
  <si>
    <t>CHOTAI</t>
  </si>
  <si>
    <t>GJ03ER0024</t>
  </si>
  <si>
    <t>RAVINDRASINH</t>
  </si>
  <si>
    <t>GJ03ER4407</t>
  </si>
  <si>
    <t>PETHAPARA</t>
  </si>
  <si>
    <t>GJ36T4159</t>
  </si>
  <si>
    <t>MUNDHVA</t>
  </si>
  <si>
    <t>GJ03BA2660</t>
  </si>
  <si>
    <t>KANZARIYA</t>
  </si>
  <si>
    <t>GJ03AZ6280</t>
  </si>
  <si>
    <t>KUNDHIYA</t>
  </si>
  <si>
    <t>GJ03AX5253</t>
  </si>
  <si>
    <t>VAGHELA</t>
  </si>
  <si>
    <t>GJ36T6665</t>
  </si>
  <si>
    <t>MAYURSINH</t>
  </si>
  <si>
    <t>ASHOKSINH</t>
  </si>
  <si>
    <t>GJ36B0900</t>
  </si>
  <si>
    <t>EJAJ</t>
  </si>
  <si>
    <t>GJ03X2772</t>
  </si>
  <si>
    <t>SUNIL</t>
  </si>
  <si>
    <t>GJ03CE6764</t>
  </si>
  <si>
    <t>AADAM</t>
  </si>
  <si>
    <t>GJ36U7021</t>
  </si>
  <si>
    <t>AEZAJ</t>
  </si>
  <si>
    <t>GJ36T9579</t>
  </si>
  <si>
    <t>RAVAL</t>
  </si>
  <si>
    <t>GJ36U3109</t>
  </si>
  <si>
    <t>DAL</t>
  </si>
  <si>
    <t>GJ01KP1385</t>
  </si>
  <si>
    <t>KORADIYA</t>
  </si>
  <si>
    <t>GJ36V1796</t>
  </si>
  <si>
    <t>CHARALA</t>
  </si>
  <si>
    <t>GJ06CM7951</t>
  </si>
  <si>
    <t>GJ36U5440</t>
  </si>
  <si>
    <t>VEKARIYA</t>
  </si>
  <si>
    <t>GJ36U1045</t>
  </si>
  <si>
    <t>GULAMNBI</t>
  </si>
  <si>
    <t>GJ16AJ6860</t>
  </si>
  <si>
    <t>ZALA</t>
  </si>
  <si>
    <t>GJ36T8765</t>
  </si>
  <si>
    <t>GJ03AW4955</t>
  </si>
  <si>
    <t>CHAUHAN</t>
  </si>
  <si>
    <t>GJ36V1595</t>
  </si>
  <si>
    <t>GJ13AW7692</t>
  </si>
  <si>
    <t>RANA</t>
  </si>
  <si>
    <t>GJ36V1639</t>
  </si>
  <si>
    <t>DARSHAN</t>
  </si>
  <si>
    <t>GJ03BT9011</t>
  </si>
  <si>
    <t>VAGHARI</t>
  </si>
  <si>
    <t>GJ03CA3995</t>
  </si>
  <si>
    <t>ZINZUVADIYA</t>
  </si>
  <si>
    <t>GJ03LB3285</t>
  </si>
  <si>
    <t>GJ03CR5293</t>
  </si>
  <si>
    <t>GJ26T8054</t>
  </si>
  <si>
    <t>KAKASANIYA</t>
  </si>
  <si>
    <t>GJ01KB9515</t>
  </si>
  <si>
    <t>ALFAZ</t>
  </si>
  <si>
    <t>GJ03BV5931</t>
  </si>
  <si>
    <t>SIKANDAR</t>
  </si>
  <si>
    <t>GJ36T4081</t>
  </si>
  <si>
    <t>GJ02BH5139</t>
  </si>
  <si>
    <t>GJ36V9235</t>
  </si>
  <si>
    <t>DHIRAJ</t>
  </si>
  <si>
    <t>GJ03FD5274</t>
  </si>
  <si>
    <t>GOSAI</t>
  </si>
  <si>
    <t>GJ36T9560</t>
  </si>
  <si>
    <t>RAMESH</t>
  </si>
  <si>
    <t>CASH GIVEN</t>
  </si>
  <si>
    <t>TO FAIZAN</t>
  </si>
  <si>
    <t>G PAY</t>
  </si>
  <si>
    <t>GJ03AX2050</t>
  </si>
  <si>
    <t>GOLTAR</t>
  </si>
  <si>
    <t>GJ36T9824</t>
  </si>
  <si>
    <t>BIJAL</t>
  </si>
  <si>
    <t>JITENDRASINH</t>
  </si>
  <si>
    <t>GJ15CF8884</t>
  </si>
  <si>
    <t>GJ36U1243</t>
  </si>
  <si>
    <t>RASIK</t>
  </si>
  <si>
    <t>GJ36V2282</t>
  </si>
  <si>
    <t>MAKVANA</t>
  </si>
  <si>
    <t>GJ03KC7148</t>
  </si>
  <si>
    <t>GJ03CE2891</t>
  </si>
  <si>
    <t>GJ03AX7519</t>
  </si>
  <si>
    <t>JILARIYA</t>
  </si>
  <si>
    <t>GJ03ER3219</t>
  </si>
  <si>
    <t>GJ36T6113</t>
  </si>
  <si>
    <t>ALIMAMAD</t>
  </si>
  <si>
    <t>GJ36V1762</t>
  </si>
  <si>
    <t>SULTAN</t>
  </si>
  <si>
    <t>GJ03AT4474</t>
  </si>
  <si>
    <t>IBRAHIM</t>
  </si>
  <si>
    <t>GJ14Z5551</t>
  </si>
  <si>
    <t>CHATUR</t>
  </si>
  <si>
    <t>GJ36AF8552</t>
  </si>
  <si>
    <t>GJ01DZ5212</t>
  </si>
  <si>
    <t>GJ01DZ5234</t>
  </si>
  <si>
    <t>GJ01DZ5327</t>
  </si>
  <si>
    <t>GJ01DV1722</t>
  </si>
  <si>
    <t>MURID</t>
  </si>
  <si>
    <t>GJ36V1904</t>
  </si>
  <si>
    <t>SHANTILAL</t>
  </si>
  <si>
    <t>GJ36T9869</t>
  </si>
  <si>
    <t>GJ36T7743</t>
  </si>
  <si>
    <t>GJ36T4752</t>
  </si>
  <si>
    <t>ASHARAF</t>
  </si>
  <si>
    <t>GJ36S2590</t>
  </si>
  <si>
    <t>BHABHA</t>
  </si>
  <si>
    <t>MISC D</t>
  </si>
  <si>
    <t>GJ36V0106</t>
  </si>
  <si>
    <t>KANU</t>
  </si>
  <si>
    <t>GJ03FK6603</t>
  </si>
  <si>
    <t>GJ03BA4332</t>
  </si>
  <si>
    <t>DALVANI</t>
  </si>
  <si>
    <t>GJ03AZ6555</t>
  </si>
  <si>
    <t>RASID</t>
  </si>
  <si>
    <t>GJ36U2190</t>
  </si>
  <si>
    <t>GJ36U1510</t>
  </si>
  <si>
    <t>GJ36U1619</t>
  </si>
  <si>
    <t>GJ03HA7274</t>
  </si>
  <si>
    <t>ARSHAD</t>
  </si>
  <si>
    <t>GJ36T4006</t>
  </si>
  <si>
    <t>SANJAYSINH</t>
  </si>
  <si>
    <t>GJ03AX7723</t>
  </si>
  <si>
    <t>GJ36U7331</t>
  </si>
  <si>
    <t>SERMAMAD</t>
  </si>
  <si>
    <t>GJ03BW8826</t>
  </si>
  <si>
    <t>GJ36V5158</t>
  </si>
  <si>
    <t>SIHORA</t>
  </si>
  <si>
    <t>GJ36U7101</t>
  </si>
  <si>
    <t>HARESH</t>
  </si>
  <si>
    <t>GJ36T8508</t>
  </si>
  <si>
    <t>GAMARA</t>
  </si>
  <si>
    <t>GJ36V1943</t>
  </si>
  <si>
    <t>GJ36T3913</t>
  </si>
  <si>
    <t>SHADUR</t>
  </si>
  <si>
    <t>GJ36T6751</t>
  </si>
  <si>
    <t>HARSHAD</t>
  </si>
  <si>
    <t>MOTLANI</t>
  </si>
  <si>
    <t>GJ36V0174</t>
  </si>
  <si>
    <t>GJ36T8367</t>
  </si>
  <si>
    <t>GJ36T6727</t>
  </si>
  <si>
    <t>GJ36V1997</t>
  </si>
  <si>
    <t>DINESH</t>
  </si>
  <si>
    <t>GJ03AZ6430</t>
  </si>
  <si>
    <t>SAMIR</t>
  </si>
  <si>
    <t>GJ36V1623</t>
  </si>
  <si>
    <t>KUNPARA</t>
  </si>
  <si>
    <t>GJ05JF9626</t>
  </si>
  <si>
    <t>MAHMADKHAN</t>
  </si>
  <si>
    <t>GJ36L1721</t>
  </si>
  <si>
    <t>GJ05AU5054</t>
  </si>
  <si>
    <t>GJ36B2804</t>
  </si>
  <si>
    <t>GJ36V1516</t>
  </si>
  <si>
    <t>GJ36V1677</t>
  </si>
  <si>
    <t>NILESH</t>
  </si>
  <si>
    <t>GJ36T4927</t>
  </si>
  <si>
    <t>LAKHAMAN</t>
  </si>
  <si>
    <t>GJ36V3330</t>
  </si>
  <si>
    <t>GJ36T1176</t>
  </si>
  <si>
    <t>PRAHLAD</t>
  </si>
  <si>
    <t>FARID</t>
  </si>
  <si>
    <t>GJ03AW3068</t>
  </si>
  <si>
    <t>BHANU</t>
  </si>
  <si>
    <t>GJ36V1614</t>
  </si>
  <si>
    <t>SHANKAR</t>
  </si>
  <si>
    <t>GJ04AT3070</t>
  </si>
  <si>
    <t>GAUSWAMI</t>
  </si>
  <si>
    <t>GJ36V0577</t>
  </si>
  <si>
    <t>GJ36T6798</t>
  </si>
  <si>
    <t>GJ36U3835</t>
  </si>
  <si>
    <t>GJ36T6965</t>
  </si>
  <si>
    <t>GJ36L3997</t>
  </si>
  <si>
    <t>GJ05JA4989</t>
  </si>
  <si>
    <t>KAIZAR</t>
  </si>
  <si>
    <t>GJ36T9467</t>
  </si>
  <si>
    <t>DEVANSHI</t>
  </si>
  <si>
    <t>GJ03BV3837</t>
  </si>
  <si>
    <t>GJ36T6974</t>
  </si>
  <si>
    <t>BAVARVA</t>
  </si>
  <si>
    <t>GJ36V1977</t>
  </si>
  <si>
    <t>KISHAN</t>
  </si>
  <si>
    <t>GJ36T9209</t>
  </si>
  <si>
    <t>GJ36T6571</t>
  </si>
  <si>
    <t>KALPESH</t>
  </si>
  <si>
    <t>ASHVIN</t>
  </si>
  <si>
    <t>DUDABHAI</t>
  </si>
  <si>
    <t>GJ36U3559</t>
  </si>
  <si>
    <t>HASNEN</t>
  </si>
  <si>
    <t>GJ03DN6493</t>
  </si>
  <si>
    <t>MANSUKH</t>
  </si>
  <si>
    <t>GJ36V1721</t>
  </si>
  <si>
    <t>HABIB</t>
  </si>
  <si>
    <t>GJ36T0749</t>
  </si>
  <si>
    <t>JAYESH</t>
  </si>
  <si>
    <t>GJ36V0265</t>
  </si>
  <si>
    <t>JANAK</t>
  </si>
  <si>
    <t>GJ36T6778</t>
  </si>
  <si>
    <t>GJ36T3144</t>
  </si>
  <si>
    <t>SOMANY</t>
  </si>
  <si>
    <t>GJ18AU8603</t>
  </si>
  <si>
    <t>KANAK</t>
  </si>
  <si>
    <t>ABDUL KARIM</t>
  </si>
  <si>
    <t>GJ03ER2414</t>
  </si>
  <si>
    <t>JESANI</t>
  </si>
  <si>
    <t>GJ36V0143</t>
  </si>
  <si>
    <t>VARU</t>
  </si>
  <si>
    <t>GJ13AW8373</t>
  </si>
  <si>
    <t>HAKA</t>
  </si>
  <si>
    <t>GJ36U6818</t>
  </si>
  <si>
    <t>TAHIR</t>
  </si>
  <si>
    <t>GJ36V0244</t>
  </si>
  <si>
    <t>GJ36V1897</t>
  </si>
  <si>
    <t>DANGROCHA</t>
  </si>
  <si>
    <t>GJ10AP2212</t>
  </si>
  <si>
    <t>ISMAIL</t>
  </si>
  <si>
    <t>GJ36R1972</t>
  </si>
  <si>
    <t>GJ36F8653</t>
  </si>
  <si>
    <t>ASHOK</t>
  </si>
  <si>
    <t>GJ36V0357</t>
  </si>
  <si>
    <t>GADHVALA</t>
  </si>
  <si>
    <t>GJ36V0237</t>
  </si>
  <si>
    <t>MEPA</t>
  </si>
  <si>
    <t>GJ36V7064</t>
  </si>
  <si>
    <t>SAGAR</t>
  </si>
  <si>
    <t>GJ36B1516</t>
  </si>
  <si>
    <t>GJ13AV4904</t>
  </si>
  <si>
    <t>SADHVANI</t>
  </si>
  <si>
    <t>GJ36U5431</t>
  </si>
  <si>
    <t>GJ03AU1896</t>
  </si>
  <si>
    <t>GJ36T4760</t>
  </si>
  <si>
    <t>PADMAVATI</t>
  </si>
  <si>
    <t>GJ36T1465</t>
  </si>
  <si>
    <t>RAZAK</t>
  </si>
  <si>
    <t>GJ03DG4471</t>
  </si>
  <si>
    <t>GJ12BW6752</t>
  </si>
  <si>
    <t>AAL</t>
  </si>
  <si>
    <t>GJ36V0208</t>
  </si>
  <si>
    <t>ASHRAF</t>
  </si>
  <si>
    <t>GJ14Z4488</t>
  </si>
  <si>
    <t>DEVABHAI</t>
  </si>
  <si>
    <t>GJ36V03547</t>
  </si>
  <si>
    <t>MAHIPAL</t>
  </si>
  <si>
    <t>GJ12BT6616</t>
  </si>
  <si>
    <t>GJ15AT7886</t>
  </si>
  <si>
    <t>MEMON</t>
  </si>
  <si>
    <t>GJ01KH8736</t>
  </si>
  <si>
    <t>RAVI</t>
  </si>
  <si>
    <t>GJ03AW4949</t>
  </si>
  <si>
    <t>KULDIP</t>
  </si>
  <si>
    <t>GJ36T3397</t>
  </si>
  <si>
    <t>DEVKARAN</t>
  </si>
  <si>
    <t>GJ20X4303</t>
  </si>
  <si>
    <t>ZITHARA</t>
  </si>
  <si>
    <t>GJ03CR0741</t>
  </si>
  <si>
    <t>ADROJA</t>
  </si>
  <si>
    <t>GJ36V1705</t>
  </si>
  <si>
    <t>BABU</t>
  </si>
  <si>
    <t>GJ36V1583</t>
  </si>
  <si>
    <t>BHAGVANJI</t>
  </si>
  <si>
    <t>GJ36V0105</t>
  </si>
  <si>
    <t>SHRI RAM GRUH</t>
  </si>
  <si>
    <t>GJ36T6799</t>
  </si>
  <si>
    <t>RAKESH</t>
  </si>
  <si>
    <t>GJ36T6887</t>
  </si>
  <si>
    <t>GJ36V0051</t>
  </si>
  <si>
    <t>NAROTAM</t>
  </si>
  <si>
    <t>GJ36V0153</t>
  </si>
  <si>
    <t>GJ36T8365</t>
  </si>
  <si>
    <t>GJ36T4155</t>
  </si>
  <si>
    <t>KATIYA</t>
  </si>
  <si>
    <t>GJ36T7242</t>
  </si>
  <si>
    <t>GULZAR</t>
  </si>
  <si>
    <t>TAXI TP</t>
  </si>
  <si>
    <t>GJ36V2330</t>
  </si>
  <si>
    <t>SURESH</t>
  </si>
  <si>
    <t>GJ10AM2053</t>
  </si>
  <si>
    <t>SURYADEEP</t>
  </si>
  <si>
    <t>GJ03CL0588</t>
  </si>
  <si>
    <t>KADIVAR</t>
  </si>
  <si>
    <t>BHAVIN</t>
  </si>
  <si>
    <t>GJ03BY8393</t>
  </si>
  <si>
    <t>GJ13AX0208</t>
  </si>
  <si>
    <t>GJ36T8349</t>
  </si>
  <si>
    <t>MAMAD</t>
  </si>
  <si>
    <t>HANIF</t>
  </si>
  <si>
    <t>GJ36 NEW ZAPDA</t>
  </si>
  <si>
    <t>ZAPDA</t>
  </si>
  <si>
    <t>GJ10TX9496</t>
  </si>
  <si>
    <t>GULAM</t>
  </si>
  <si>
    <t>GJ36T1419</t>
  </si>
  <si>
    <t>GJ36T8221</t>
  </si>
  <si>
    <t>MUHAMMADYUNUS</t>
  </si>
  <si>
    <t>GJ36U7326</t>
  </si>
  <si>
    <t>SHAKIL</t>
  </si>
  <si>
    <t>GJ36U3645</t>
  </si>
  <si>
    <t>GJ36V0464</t>
  </si>
  <si>
    <t>BATUK</t>
  </si>
  <si>
    <t>GJ36V4806</t>
  </si>
  <si>
    <t>ROHIT</t>
  </si>
  <si>
    <t>GJ01X6576</t>
  </si>
  <si>
    <t>GJ04W3999</t>
  </si>
  <si>
    <t>SUMRA</t>
  </si>
  <si>
    <t>AHMAD</t>
  </si>
  <si>
    <t>GJ36U3894</t>
  </si>
  <si>
    <t>KIRIT</t>
  </si>
  <si>
    <t>RAJA</t>
  </si>
  <si>
    <t>GJ05BX7783</t>
  </si>
  <si>
    <t>BHUPAT</t>
  </si>
  <si>
    <t>MAHMADHNAIF</t>
  </si>
  <si>
    <t>GJ36U5990</t>
  </si>
  <si>
    <t>GJ36V4415</t>
  </si>
  <si>
    <t>GJ03AW8966</t>
  </si>
  <si>
    <t>MATHAKIYA</t>
  </si>
  <si>
    <t>GJ03BA8081</t>
  </si>
  <si>
    <t>KHOLERA</t>
  </si>
  <si>
    <t>GJ36U7696</t>
  </si>
  <si>
    <t>GJ36U3153</t>
  </si>
  <si>
    <t>MADAKIYA</t>
  </si>
  <si>
    <t>GJ13CC4595</t>
  </si>
  <si>
    <t>GJ03CE1033</t>
  </si>
  <si>
    <t>NAYAN</t>
  </si>
  <si>
    <t>GJ36V0470</t>
  </si>
  <si>
    <t>GJ03BU3594</t>
  </si>
  <si>
    <t>PALEJA</t>
  </si>
  <si>
    <t>GJ33T1884</t>
  </si>
  <si>
    <t>JANTA GRUH</t>
  </si>
  <si>
    <t>GJ03BA6758</t>
  </si>
  <si>
    <t>SHEKH</t>
  </si>
  <si>
    <t>GJ17TT2213</t>
  </si>
  <si>
    <t>GJ36U5539</t>
  </si>
  <si>
    <t>KHURESHI</t>
  </si>
  <si>
    <t>GJ36V2255</t>
  </si>
  <si>
    <t>OM</t>
  </si>
  <si>
    <t>GJ38BB4834</t>
  </si>
  <si>
    <t>ASHIK</t>
  </si>
  <si>
    <t>GJ03CA8625</t>
  </si>
  <si>
    <t>FIROZ</t>
  </si>
  <si>
    <t>GJ36T8676</t>
  </si>
  <si>
    <t>GJ03AV9866</t>
  </si>
  <si>
    <t>GJ36V1294</t>
  </si>
  <si>
    <t>GJ36V1341</t>
  </si>
  <si>
    <t>GJ02BH2860</t>
  </si>
  <si>
    <t>37490 RECEIVED 12-4</t>
  </si>
  <si>
    <t>JUNO HISAB</t>
  </si>
  <si>
    <t>GJ36T0203</t>
  </si>
  <si>
    <t>GJ36T8265</t>
  </si>
  <si>
    <t>GJ03AZ9818</t>
  </si>
  <si>
    <t>GJ36V1109</t>
  </si>
  <si>
    <t>GJ10Z6439</t>
  </si>
  <si>
    <t>AHMED</t>
  </si>
  <si>
    <t>GJ36V1743</t>
  </si>
  <si>
    <t>GJ36V1885</t>
  </si>
  <si>
    <t>GJ03Z9146</t>
  </si>
  <si>
    <t>GJ16AJ0091</t>
  </si>
  <si>
    <t>GJ16X6014</t>
  </si>
  <si>
    <t>GJ36T9323</t>
  </si>
  <si>
    <t>GJ03AT1906</t>
  </si>
  <si>
    <t>GJ38T8423</t>
  </si>
  <si>
    <t>GJ02DP6519</t>
  </si>
  <si>
    <t>GJ11AS4905</t>
  </si>
  <si>
    <t>GJ11TT4094</t>
  </si>
  <si>
    <t>GJ03BV5408</t>
  </si>
  <si>
    <t>GJ36V1549</t>
  </si>
  <si>
    <t>TOTA NEW</t>
  </si>
  <si>
    <t>GJ36T4282</t>
  </si>
  <si>
    <t>GJ03AT0713</t>
  </si>
  <si>
    <t>GJ36T9768</t>
  </si>
  <si>
    <t>GJ36T3367</t>
  </si>
  <si>
    <t>GJ36T6258</t>
  </si>
  <si>
    <t>GJ16AU4916</t>
  </si>
  <si>
    <t>GJ36T3245</t>
  </si>
  <si>
    <t>GJ14Z8892</t>
  </si>
  <si>
    <t>GJ36T2451</t>
  </si>
  <si>
    <t>GJ27X5034</t>
  </si>
  <si>
    <t>GJ36T1297</t>
  </si>
  <si>
    <t>GJ03BW6116</t>
  </si>
  <si>
    <t>GJ36T3498</t>
  </si>
  <si>
    <t>GJ36T3837</t>
  </si>
  <si>
    <t>GJ36T3664</t>
  </si>
  <si>
    <t>GJ03AX5477</t>
  </si>
  <si>
    <t>GJ03AZ0065</t>
  </si>
  <si>
    <t>GJ36T9633</t>
  </si>
  <si>
    <t>GJ36T8590</t>
  </si>
  <si>
    <t>GJ03AX1382</t>
  </si>
  <si>
    <t>GJ11X8324</t>
  </si>
  <si>
    <t>GJ36T6896</t>
  </si>
  <si>
    <t>GJ36T8459</t>
  </si>
  <si>
    <t>GJ10TX4157</t>
  </si>
  <si>
    <t>GJ36V1630</t>
  </si>
  <si>
    <t>GJ36T6730</t>
  </si>
  <si>
    <t>GJ36T4247</t>
  </si>
  <si>
    <t>GJ03BT1549</t>
  </si>
  <si>
    <t>GJ10X5268</t>
  </si>
  <si>
    <t>GJ13CC4829</t>
  </si>
  <si>
    <t>GJ36V1811</t>
  </si>
  <si>
    <t>GJ36L1435</t>
  </si>
  <si>
    <t>GJ36V9594</t>
  </si>
  <si>
    <t>GJ36V1388</t>
  </si>
  <si>
    <t>GJ36V1779</t>
  </si>
  <si>
    <t>GJ36T6729</t>
  </si>
  <si>
    <t>GJ36T4967</t>
  </si>
  <si>
    <t>GJ10AP1925</t>
  </si>
  <si>
    <t>GJ36V0289</t>
  </si>
  <si>
    <t>GJ36T3022</t>
  </si>
  <si>
    <t>MCV</t>
  </si>
  <si>
    <t>GJ36V0387</t>
  </si>
  <si>
    <t>GJ36V1474</t>
  </si>
  <si>
    <t>GJ36V0091</t>
  </si>
  <si>
    <t>GJ36V0282</t>
  </si>
  <si>
    <t>GJ36V1759</t>
  </si>
  <si>
    <t>GJ36T6939</t>
  </si>
  <si>
    <t>GJ03AZ4353</t>
  </si>
  <si>
    <t>GJ24U9100</t>
  </si>
  <si>
    <t>GJ10Y9448</t>
  </si>
  <si>
    <t>GJ03AT3104</t>
  </si>
  <si>
    <t>GJ03AT9734</t>
  </si>
  <si>
    <t>GJ03CR6771</t>
  </si>
  <si>
    <t>GJ36T8240</t>
  </si>
  <si>
    <t>GJ36F7864</t>
  </si>
  <si>
    <t>GJ36V0178</t>
  </si>
  <si>
    <t>GJ36T6962</t>
  </si>
  <si>
    <t>GJ36V4129</t>
  </si>
  <si>
    <t>GJ36T4540</t>
  </si>
  <si>
    <t>GJ03Y7686</t>
  </si>
  <si>
    <t>GJ36T6840</t>
  </si>
  <si>
    <t>GJ36V4314</t>
  </si>
  <si>
    <t>GJ36F1018</t>
  </si>
  <si>
    <t>GJ36T1634</t>
  </si>
  <si>
    <t>GJ36V2301</t>
  </si>
  <si>
    <t>GJ36V2237</t>
  </si>
  <si>
    <t>GJ36V2427</t>
  </si>
  <si>
    <t>GJ12BW6463</t>
  </si>
  <si>
    <t>GJ36T8819</t>
  </si>
  <si>
    <t>GJ36T5446</t>
  </si>
  <si>
    <t>GJ36T3129</t>
  </si>
  <si>
    <t>GJ36V2265</t>
  </si>
  <si>
    <t>GJ03AZ1082</t>
  </si>
  <si>
    <t>GJ36V0484</t>
  </si>
  <si>
    <t>GJ36T1415</t>
  </si>
  <si>
    <t>GJ36T8975</t>
  </si>
  <si>
    <t>GJ36V2366</t>
  </si>
  <si>
    <t>GJ03BV2967</t>
  </si>
  <si>
    <t>GJ36V2087</t>
  </si>
  <si>
    <t>GJ36T3385</t>
  </si>
  <si>
    <t>GJ36T7157</t>
  </si>
  <si>
    <t>GJ12Z6055</t>
  </si>
  <si>
    <t>GJ36T0592</t>
  </si>
  <si>
    <t>GJ36V0519</t>
  </si>
  <si>
    <t>GJ36V6388</t>
  </si>
  <si>
    <t>GJ36V0149</t>
  </si>
  <si>
    <t>GJ20U3911</t>
  </si>
  <si>
    <t>GJ03AT3677</t>
  </si>
  <si>
    <t>CREDIT CARD DEFICIT</t>
  </si>
  <si>
    <t>GJ36T4638</t>
  </si>
  <si>
    <t>GJ13AX0142</t>
  </si>
  <si>
    <t>GJ13AT1922</t>
  </si>
  <si>
    <t>GJ03AV8236</t>
  </si>
  <si>
    <t>GJ18BT2466</t>
  </si>
  <si>
    <t>GJ36V7161</t>
  </si>
  <si>
    <t>GJ36V2310</t>
  </si>
  <si>
    <t>GJ36V9779</t>
  </si>
  <si>
    <t>GJ03AW8048</t>
  </si>
  <si>
    <t>GJ01CZ0841</t>
  </si>
  <si>
    <t>GJ36T9357</t>
  </si>
  <si>
    <t>GJ36V9586</t>
  </si>
  <si>
    <t>GJ36V7332</t>
  </si>
  <si>
    <t>GJ11TT5403</t>
  </si>
  <si>
    <t>GJ36T8563</t>
  </si>
  <si>
    <t>GJ36T7449</t>
  </si>
  <si>
    <t>GJ36V2325</t>
  </si>
  <si>
    <t>GJ36AC3797</t>
  </si>
  <si>
    <t>GJ10X6371</t>
  </si>
  <si>
    <t>GJ36B9725</t>
  </si>
  <si>
    <t>GJ36T8269</t>
  </si>
  <si>
    <t>GJ36V4442</t>
  </si>
  <si>
    <t>GJ14T4614</t>
  </si>
  <si>
    <t>GJ36T9864</t>
  </si>
  <si>
    <t>GJ03AW8418</t>
  </si>
  <si>
    <t>GJ03W7559</t>
  </si>
  <si>
    <t>GJ26T8732</t>
  </si>
  <si>
    <t>GJ13W4684</t>
  </si>
  <si>
    <t>GJ36T5899</t>
  </si>
  <si>
    <t>GJ36V2432</t>
  </si>
  <si>
    <t>GJ12BF0755</t>
  </si>
  <si>
    <t>KOTAK</t>
  </si>
  <si>
    <t>GJ36U2098</t>
  </si>
  <si>
    <t>GJ03JL6849</t>
  </si>
  <si>
    <t>GJ03BU4920</t>
  </si>
  <si>
    <t>GJ36T4046</t>
  </si>
  <si>
    <t>GJ14Z0953</t>
  </si>
  <si>
    <t>GJ06AP9138</t>
  </si>
  <si>
    <t>GJ36T7047</t>
  </si>
  <si>
    <t>GJ36V2294</t>
  </si>
  <si>
    <t>GJ36V0154</t>
  </si>
  <si>
    <t>GJ36L6652</t>
  </si>
  <si>
    <t>GJ01KS7589</t>
  </si>
  <si>
    <t>GJ36T9359</t>
  </si>
  <si>
    <t>GJ36V6740</t>
  </si>
  <si>
    <t>GJ36V2358</t>
  </si>
  <si>
    <t>GJ13AW8122</t>
  </si>
  <si>
    <t>GJ36U0226</t>
  </si>
  <si>
    <t>GJ36V0274</t>
  </si>
  <si>
    <t>GJ23AF3591</t>
  </si>
  <si>
    <t>GJ36U5633</t>
  </si>
  <si>
    <t>GJ03BW2910</t>
  </si>
  <si>
    <t>GJ36T4587</t>
  </si>
  <si>
    <t>ALTAF SALEMANBHAI KORADIYA</t>
  </si>
  <si>
    <t xml:space="preserve">CHOLA </t>
  </si>
  <si>
    <t>GJ36V1622</t>
  </si>
  <si>
    <t>ALFAZ IBRAHIMBHAI SHERASIYA</t>
  </si>
  <si>
    <t>GJ36T5791</t>
  </si>
  <si>
    <t>NARSINGBHAI SAVJIBHAI MAKVANA</t>
  </si>
  <si>
    <t>GJ36V2686</t>
  </si>
  <si>
    <t>MRS PATHAN NORIN IMRANBHAI</t>
  </si>
  <si>
    <t>GJ01RC5156</t>
  </si>
  <si>
    <t>Mr. RASID KAJI</t>
  </si>
  <si>
    <t>FUTURE GENERL INS</t>
  </si>
  <si>
    <t>GJ36V2049</t>
  </si>
  <si>
    <t>MUNGHAVA BABUBHAI NATHABHAI</t>
  </si>
  <si>
    <t>Mr THEBA KHALID GULMAMAD</t>
  </si>
  <si>
    <t>GJ10V5811</t>
  </si>
  <si>
    <t>VIPULBHAI AMRABHAI JETHA</t>
  </si>
  <si>
    <t>GJ36U7371</t>
  </si>
  <si>
    <t>Mr SURESHBHAI NANAJIBHAI SANARIYA</t>
  </si>
  <si>
    <t>GJ36T3283</t>
  </si>
  <si>
    <t>BHIMJIBHAI SAVJIBHAI MAKVANA</t>
  </si>
  <si>
    <t>GJ10BR6215</t>
  </si>
  <si>
    <t>VASIM M SOLANKI</t>
  </si>
  <si>
    <t>ZUNO</t>
  </si>
  <si>
    <t>GJ36T4930</t>
  </si>
  <si>
    <t>ISMAILBHAI MAMADBHAI CHAUDHARI</t>
  </si>
  <si>
    <t>GJ36T1984</t>
  </si>
  <si>
    <t>CHAVADA DINESH KANJIBHAI</t>
  </si>
  <si>
    <t>CHAUHAN KISHANBHAI KUNVARJIBHAI</t>
  </si>
  <si>
    <t>MR.MAHENDRABHAI LUOT</t>
  </si>
  <si>
    <t>GJ36V0326</t>
  </si>
  <si>
    <t>HIRABHAI VIJUVADIYA SARTANPAR</t>
  </si>
  <si>
    <t>GJ13AW3441</t>
  </si>
  <si>
    <t xml:space="preserve">RAJENDRA MIYATRA </t>
  </si>
  <si>
    <t>GJ36V2162</t>
  </si>
  <si>
    <t xml:space="preserve">JAYESH PATEL GHUTU </t>
  </si>
  <si>
    <t>GJ36V2364</t>
  </si>
  <si>
    <t>KASAM SUMRA</t>
  </si>
  <si>
    <t>GJ03BA4462</t>
  </si>
  <si>
    <t xml:space="preserve">HARESH VAJA  ADVOCATE </t>
  </si>
  <si>
    <t>GJ03AT2652</t>
  </si>
  <si>
    <t>GANESHBHAI POPATBHAI KASUNDRA</t>
  </si>
  <si>
    <t>GJ36U8993</t>
  </si>
  <si>
    <t>AKRAM HAIDAR SHEKH</t>
  </si>
  <si>
    <t>SHHREERAM</t>
  </si>
  <si>
    <t>GJ36T6726</t>
  </si>
  <si>
    <t>LIKHIYA PRAVIN SAVJIBHAI</t>
  </si>
  <si>
    <t>GJ04AT8977</t>
  </si>
  <si>
    <t>HUSHENBHAI MALABHAI SUMRA</t>
  </si>
  <si>
    <t>GJ03AZ9302</t>
  </si>
  <si>
    <t>SITAPARA CHANDUBHAI VINUBHAI</t>
  </si>
  <si>
    <t>GJ12Z6612</t>
  </si>
  <si>
    <t>SANDIP JENTILAL GHELANI</t>
  </si>
  <si>
    <t>GJ15AV1565</t>
  </si>
  <si>
    <t>AEJAAZ JINDANI</t>
  </si>
  <si>
    <t>GJ13AW1041</t>
  </si>
  <si>
    <t xml:space="preserve">CHOHAN MOHYUDIN SALIMBHAI </t>
  </si>
  <si>
    <t>GJ36T4998</t>
  </si>
  <si>
    <t>ODIYA PRAVINBHAI CHAGANBHAI</t>
  </si>
  <si>
    <t>GJ36T9895</t>
  </si>
  <si>
    <t>FANGALIYA NANJI MAGANBHAI</t>
  </si>
  <si>
    <t>GJ13AT7913</t>
  </si>
  <si>
    <t>JAGDISHBHAI KATHAL KARKATA</t>
  </si>
  <si>
    <t>GJ36U7871</t>
  </si>
  <si>
    <t>JAHANGIR</t>
  </si>
  <si>
    <t>GJ36V2063</t>
  </si>
  <si>
    <t>GJ03FD2845</t>
  </si>
  <si>
    <t>ASMAL</t>
  </si>
  <si>
    <t>GJ36R0712</t>
  </si>
  <si>
    <t>DHILA</t>
  </si>
  <si>
    <t>GJ03AX3037</t>
  </si>
  <si>
    <t>GJ36T3087</t>
  </si>
  <si>
    <t>RAGHAV</t>
  </si>
  <si>
    <t>GJ36T7738</t>
  </si>
  <si>
    <t>JAYPALSINH</t>
  </si>
  <si>
    <t>GJ36T1313</t>
  </si>
  <si>
    <t>GADESHIYA</t>
  </si>
  <si>
    <t>STATUS</t>
  </si>
  <si>
    <t>NEW HISAB STARTS</t>
  </si>
  <si>
    <t>JUNA HISAB NA JAMA LIDHA. AAMA ENI BHUL NA LIDHE ABOUT 25000 VADHARE CHE. AAPNNE FAYDO</t>
  </si>
  <si>
    <t>21/09/2023</t>
  </si>
  <si>
    <t>GJ36T8669</t>
  </si>
  <si>
    <t>UMA PACKAGING</t>
  </si>
  <si>
    <t>20/09/2024</t>
  </si>
  <si>
    <t>22/09/2023</t>
  </si>
  <si>
    <t>GJ36U7387</t>
  </si>
  <si>
    <t>MAXIMA Z</t>
  </si>
  <si>
    <t xml:space="preserve">MRS PARUL BEN SONAGRA </t>
  </si>
  <si>
    <t>22/09/2024</t>
  </si>
  <si>
    <t>SHREERAM</t>
  </si>
  <si>
    <t>GJ36V2189</t>
  </si>
  <si>
    <t>VIJU BHAI BADAR BHAI KOLI</t>
  </si>
  <si>
    <t>25/09/2024</t>
  </si>
  <si>
    <t>GJ36V9804</t>
  </si>
  <si>
    <t>PATHAN IMRAN HAMIDKHAN</t>
  </si>
  <si>
    <t>21/09/2024</t>
  </si>
  <si>
    <t xml:space="preserve">SM </t>
  </si>
  <si>
    <t>GJ36U3617</t>
  </si>
  <si>
    <t>MAXIMA</t>
  </si>
  <si>
    <t>GOVIND BHAI SARLA</t>
  </si>
  <si>
    <t>23/09/2023</t>
  </si>
  <si>
    <t>GJ36U9161</t>
  </si>
  <si>
    <t>PICKUP VEN</t>
  </si>
  <si>
    <t xml:space="preserve">SUMRA SIKANDAR BHAI JIVA BHAI </t>
  </si>
  <si>
    <t>24/09/2024</t>
  </si>
  <si>
    <t>GJ36V0246</t>
  </si>
  <si>
    <t>SFC 710 -BSIV</t>
  </si>
  <si>
    <t>BHAGVANJI PUNA BHAI MUNDHVA</t>
  </si>
  <si>
    <t>25/09/2023</t>
  </si>
  <si>
    <t>GJ03HK4400</t>
  </si>
  <si>
    <t>ERTIGA</t>
  </si>
  <si>
    <t>USMAN KHA HISMAT KHA KHORAM</t>
  </si>
  <si>
    <t>GJ36T5362</t>
  </si>
  <si>
    <t xml:space="preserve">AJMERI YUNUSH BHAI ABDULBHAI </t>
  </si>
  <si>
    <t>28/09/2024</t>
  </si>
  <si>
    <t>GJ36T7070</t>
  </si>
  <si>
    <t>ASHOK SINH P JADEJA</t>
  </si>
  <si>
    <t>BS</t>
  </si>
  <si>
    <t>GJ36T3412</t>
  </si>
  <si>
    <t>DOST</t>
  </si>
  <si>
    <t>LAKHMAN BHAI DINESH BHAI THARESA</t>
  </si>
  <si>
    <t>GJJ36V3202</t>
  </si>
  <si>
    <t>MOHIT MANSUKH GHODASARA</t>
  </si>
  <si>
    <t>GJJ36V3203</t>
  </si>
  <si>
    <t>GJ36V3204</t>
  </si>
  <si>
    <t>26/09/2023</t>
  </si>
  <si>
    <t>GJ36L6028</t>
  </si>
  <si>
    <t>BHAVESH RAMNIK BHAI MAKASANA</t>
  </si>
  <si>
    <t>27/09/2024</t>
  </si>
  <si>
    <t>GJ36U5298</t>
  </si>
  <si>
    <t>BAJAJ AUTO MAXIMA</t>
  </si>
  <si>
    <t>PRAVINBHAI HIRABHAI PARMAR</t>
  </si>
  <si>
    <t>26/09/2024</t>
  </si>
  <si>
    <t>GJ36T3054</t>
  </si>
  <si>
    <t>VIRSODIYA SANJAYBHAI VASHRAMBHA</t>
  </si>
  <si>
    <t>92651 85824</t>
  </si>
  <si>
    <t>GJ36V2952</t>
  </si>
  <si>
    <t>PIRANI RAJESHBHAI KASAMBHAI</t>
  </si>
  <si>
    <t>96648 37223</t>
  </si>
  <si>
    <t>GJ36T5172</t>
  </si>
  <si>
    <t>DANGAR UGABHAI JIVABHAI</t>
  </si>
  <si>
    <t>96645 16929</t>
  </si>
  <si>
    <t>14/10/2024</t>
  </si>
  <si>
    <t>GJ36AC6594</t>
  </si>
  <si>
    <t>VIPUL PRANJIVANBHAI SANARIYA</t>
  </si>
  <si>
    <t>87585 66775</t>
  </si>
  <si>
    <t>27/09/2024.</t>
  </si>
  <si>
    <t>27/09/2023</t>
  </si>
  <si>
    <t>GJ36T4924</t>
  </si>
  <si>
    <t>ASMAL ALIBHAI SUMARA</t>
  </si>
  <si>
    <t>98798 74517</t>
  </si>
  <si>
    <t>GJ36T8534</t>
  </si>
  <si>
    <t>MILANSINH HETUBHA JADEJA</t>
  </si>
  <si>
    <t>99794 74574</t>
  </si>
  <si>
    <t>GJ36U5687</t>
  </si>
  <si>
    <t>RE COMPACT 2S</t>
  </si>
  <si>
    <t>KETANSINH LAKHDHIRSINH ZALA</t>
  </si>
  <si>
    <t>AADIL GULAMHUSEN SUMRA</t>
  </si>
  <si>
    <t>GJ03BT6060</t>
  </si>
  <si>
    <t>ASHOKSINH P JADEJA</t>
  </si>
  <si>
    <t>GJ36V2160</t>
  </si>
  <si>
    <t>DHEDHI JIGNESHKUMAR AMARSHIBHAI</t>
  </si>
  <si>
    <t>29/09/2023</t>
  </si>
  <si>
    <t>GJ36T3486</t>
  </si>
  <si>
    <t>LOLADIYA MOSINBHAI SUBHANBHAI</t>
  </si>
  <si>
    <t>74056 11110</t>
  </si>
  <si>
    <t>30/10/2023</t>
  </si>
  <si>
    <t>RAJA IQBAL JUMABHAI</t>
  </si>
  <si>
    <t>98257 78191</t>
  </si>
  <si>
    <t>30/09/2024</t>
  </si>
  <si>
    <t>/SHAKTI/HD BS4</t>
  </si>
  <si>
    <t>BABULAL KHUBDANBHAI CHAUHAN</t>
  </si>
  <si>
    <t>99784 88287</t>
  </si>
  <si>
    <t>29/09/2024</t>
  </si>
  <si>
    <t>GJ36U8007</t>
  </si>
  <si>
    <t>MAJAJ AUTO MAXIMA Z</t>
  </si>
  <si>
    <t>BHAVESH BAHAPIYA</t>
  </si>
  <si>
    <t>99793 56670</t>
  </si>
  <si>
    <t>GJ03AZ3165</t>
  </si>
  <si>
    <t xml:space="preserve">BHARAT SINH RAVU BHA RATHOD </t>
  </si>
  <si>
    <t>GJ36V2879</t>
  </si>
  <si>
    <t xml:space="preserve">UGHREJA MUNABHAI SANKAR BHAI </t>
  </si>
  <si>
    <t>GJ36T3303</t>
  </si>
  <si>
    <t>JOSHI JITENDRA JAYSUKH LAL</t>
  </si>
  <si>
    <t>GJ36V2655</t>
  </si>
  <si>
    <t>DANGAROCHA BABUBHAI MAGANBHAI</t>
  </si>
  <si>
    <t>GJ36U7167</t>
  </si>
  <si>
    <t xml:space="preserve">THARESA SRAVAN KUMAR RAGHABHAI </t>
  </si>
  <si>
    <t>GJ36U5649</t>
  </si>
  <si>
    <t xml:space="preserve">RATHOD AMRITLAL ARJANBHAI </t>
  </si>
  <si>
    <t>GJ36T4836</t>
  </si>
  <si>
    <t>JINDANI HUSHENBHAI KASAMBHAI</t>
  </si>
  <si>
    <t>96247 39149</t>
  </si>
  <si>
    <t>G36T8871</t>
  </si>
  <si>
    <t>GANDUMBHAI NAGJIBHAI KOLI</t>
  </si>
  <si>
    <t xml:space="preserve"> 99782 07398</t>
  </si>
  <si>
    <t>GJ03JR8559</t>
  </si>
  <si>
    <t>FIGO</t>
  </si>
  <si>
    <t>JAMARIYA MAYURBHAI BABUBHAI</t>
  </si>
  <si>
    <t>96624 94476</t>
  </si>
  <si>
    <t>GJ10TV8588</t>
  </si>
  <si>
    <t>ASHOK LAYLAND 3718</t>
  </si>
  <si>
    <t>ONDHIYA INDRISHBHAI ARIFBHA</t>
  </si>
  <si>
    <t>GJ23T7786</t>
  </si>
  <si>
    <t>TATA LPT 1109</t>
  </si>
  <si>
    <t>AIBULHASAN ABBALHASAN PATHAN</t>
  </si>
  <si>
    <t xml:space="preserve"> 94161 61735</t>
  </si>
  <si>
    <t>GJ36U3231</t>
  </si>
  <si>
    <t>- RE COMPACT 4S</t>
  </si>
  <si>
    <t>ALFAZ MOTLANI</t>
  </si>
  <si>
    <t>GJ36V3239</t>
  </si>
  <si>
    <t>SIHORA GELA NERBHERAM</t>
  </si>
  <si>
    <t>GJ36V0498</t>
  </si>
  <si>
    <t>AMARSHIBHAI BHAGVANJI FANGALIYA</t>
  </si>
  <si>
    <t>95121 44494</t>
  </si>
  <si>
    <t>GJ36V0656</t>
  </si>
  <si>
    <t>THADODA ALPESH DHIRUBHAI</t>
  </si>
  <si>
    <t>99985 50902</t>
  </si>
  <si>
    <t>GJ36T7099</t>
  </si>
  <si>
    <t>SUNIL NATHURAM SHARMA</t>
  </si>
  <si>
    <t>93285 98653</t>
  </si>
  <si>
    <t>GJ36U7467</t>
  </si>
  <si>
    <t>BAJAJ MAXIMA Z CNG</t>
  </si>
  <si>
    <t>VINODBHAI VIRSODIYA</t>
  </si>
  <si>
    <t>GJ26A5026</t>
  </si>
  <si>
    <t>MAYODEEN BUKHARI</t>
  </si>
  <si>
    <t>6351 947 119</t>
  </si>
  <si>
    <t>GJ36T4547</t>
  </si>
  <si>
    <t>ASHOK LEYLAND 1618</t>
  </si>
  <si>
    <t>8797 83545</t>
  </si>
  <si>
    <t>GJ03AT1468</t>
  </si>
  <si>
    <t>TATA LPT 2515</t>
  </si>
  <si>
    <t>FIROZ GULMAMAD THEBA</t>
  </si>
  <si>
    <t>99793 00037</t>
  </si>
  <si>
    <t>GJ36L7045</t>
  </si>
  <si>
    <t xml:space="preserve">ALTO LXI </t>
  </si>
  <si>
    <t>MAHMADSOYAL IQBALBHAI SAMANA</t>
  </si>
  <si>
    <t>16/10/2024</t>
  </si>
  <si>
    <t>FUTURE GENERALI</t>
  </si>
  <si>
    <t>GJ12AT7083</t>
  </si>
  <si>
    <t>Ashok Leyland/2214</t>
  </si>
  <si>
    <t>IBRAHIMBHAI RASHIDBHAI KURESHI</t>
  </si>
  <si>
    <t>GJ36V2343</t>
  </si>
  <si>
    <t>BAREJIYA ASHVIN ODHAVJIBHAI</t>
  </si>
  <si>
    <t>97232 80726</t>
  </si>
  <si>
    <t>GJ03AZ0384</t>
  </si>
  <si>
    <t>ASHOK LEYLAND DOST</t>
  </si>
  <si>
    <t>RAMESHBHAI DEVJIBHA</t>
  </si>
  <si>
    <t>98795 78017</t>
  </si>
  <si>
    <t>GJ36T3253</t>
  </si>
  <si>
    <t>RAJESHBHAI MANSANGBHAI SOLANKI</t>
  </si>
  <si>
    <t>96874 75176</t>
  </si>
  <si>
    <t>:2990</t>
  </si>
  <si>
    <t>GJ13AT9081</t>
  </si>
  <si>
    <t>ASHOK LEYLAND 3118</t>
  </si>
  <si>
    <t>MAHENDRA U PATEL</t>
  </si>
  <si>
    <t>82001 05244</t>
  </si>
  <si>
    <t>99790 11807</t>
  </si>
  <si>
    <t>GJ36V2584</t>
  </si>
  <si>
    <t>HANIFBHAI KADARBHAI SAIYAD</t>
  </si>
  <si>
    <t>GJ36T7133</t>
  </si>
  <si>
    <t>JIGNESHBHAI MANILAL SHETH</t>
  </si>
  <si>
    <t xml:space="preserve"> 94294 71654</t>
  </si>
  <si>
    <t xml:space="preserve"> 97254 94930</t>
  </si>
  <si>
    <t>GJ36T4305</t>
  </si>
  <si>
    <t>MANSUKHBHAI HARAKHABHAI GHODASARA</t>
  </si>
  <si>
    <t>97129 03202</t>
  </si>
  <si>
    <t>GJ13AV5737</t>
  </si>
  <si>
    <t>KIHALA RAJUBHAI MANUBHAI</t>
  </si>
  <si>
    <t>GJ36U7294</t>
  </si>
  <si>
    <t>MANJIBHAI VINDHANI</t>
  </si>
  <si>
    <t>GJ36U7440</t>
  </si>
  <si>
    <t>MUKESH GAMARA</t>
  </si>
  <si>
    <t>GJ36T5598</t>
  </si>
  <si>
    <t>MAHINDRA TIPPER - BLAZO</t>
  </si>
  <si>
    <t>MOHIT MANSUKHBHAI GHODASARA</t>
  </si>
  <si>
    <t xml:space="preserve"> 97129 03202</t>
  </si>
  <si>
    <t>GJ36T6353</t>
  </si>
  <si>
    <t>GJ36V3244</t>
  </si>
  <si>
    <t>KAPIL RAJUBHAI SUSRA</t>
  </si>
  <si>
    <t>92654 30508</t>
  </si>
  <si>
    <t>13/10/2024</t>
  </si>
  <si>
    <t>GJ36U7130</t>
  </si>
  <si>
    <t>RE COMPACT 4S</t>
  </si>
  <si>
    <t>UMRETIYA IRFAN GANIBHAI</t>
  </si>
  <si>
    <t>98987 37184</t>
  </si>
  <si>
    <t>22/10/2024</t>
  </si>
  <si>
    <t>GJ36T8609</t>
  </si>
  <si>
    <t>BAHUCHAR ENTERPRISE</t>
  </si>
  <si>
    <t>96014 45331</t>
  </si>
  <si>
    <t>GJ03FK7369</t>
  </si>
  <si>
    <t>HYUNDAI SANTRO</t>
  </si>
  <si>
    <t>ARIF HAJIBHAI SOLANKI</t>
  </si>
  <si>
    <t>99793 12886</t>
  </si>
  <si>
    <t>90670 64341</t>
  </si>
  <si>
    <t>GJ03EL0265</t>
  </si>
  <si>
    <t>MARUTI SWIFT</t>
  </si>
  <si>
    <t>MAHAMAD TAUFIK DAUDBHAI AGHAM</t>
  </si>
  <si>
    <t>90993 39853</t>
  </si>
  <si>
    <t>GJ10AC6182</t>
  </si>
  <si>
    <t>MARUTI WAGONR</t>
  </si>
  <si>
    <t>JITENDRAKUMAR</t>
  </si>
  <si>
    <t>99049 38310</t>
  </si>
  <si>
    <t>GJ36V2656</t>
  </si>
  <si>
    <t>PARMAR SHAILENDRASINH HASUBHA</t>
  </si>
  <si>
    <t>YUNUSHBHAI AADAMBHAI KHOKHAR</t>
  </si>
  <si>
    <t>GJ03AW4707</t>
  </si>
  <si>
    <t>ASHOK LEYLAND 2518</t>
  </si>
  <si>
    <t>.BHAGAVANJIBHAI KALABHAI LATHIYA</t>
  </si>
  <si>
    <t xml:space="preserve"> 82009 53330</t>
  </si>
  <si>
    <t>GJ03BX5694</t>
  </si>
  <si>
    <t>SANDAPA SAGAR GOPALBHAI</t>
  </si>
  <si>
    <t>75677 86424</t>
  </si>
  <si>
    <t>AC</t>
  </si>
  <si>
    <t>13/10/2023</t>
  </si>
  <si>
    <t>GJ10TW9842</t>
  </si>
  <si>
    <t>HUSHEN NURMAMAD CHHER</t>
  </si>
  <si>
    <t>GJ03AW3949</t>
  </si>
  <si>
    <t>KACHCHI IMARAN RAFIKBHA</t>
  </si>
  <si>
    <t>85115 22494</t>
  </si>
  <si>
    <t>GJ10TX9840</t>
  </si>
  <si>
    <t>TRUCKS - PRO 1114</t>
  </si>
  <si>
    <t>MACHHI MACHHI PRAVINBHAI AMBALAL</t>
  </si>
  <si>
    <t>99788 83692</t>
  </si>
  <si>
    <t>14/10/2023</t>
  </si>
  <si>
    <t>KATIYA HAIDAR OSAMAN</t>
  </si>
  <si>
    <t>90998 39100</t>
  </si>
  <si>
    <t>17/10/2024</t>
  </si>
  <si>
    <t>16/10/2023</t>
  </si>
  <si>
    <t>GJ36V0907</t>
  </si>
  <si>
    <t>JASABHAI GAGJIBHAI VIKANI</t>
  </si>
  <si>
    <t>GJ36U5762</t>
  </si>
  <si>
    <t>DEVJIBHAI BOCHIYA</t>
  </si>
  <si>
    <t>97732 15487</t>
  </si>
  <si>
    <t>15/10/2024</t>
  </si>
  <si>
    <t>GJ36U7065</t>
  </si>
  <si>
    <t xml:space="preserve">ATUL </t>
  </si>
  <si>
    <t>VASIM HANIFBHAI SOLANKI</t>
  </si>
  <si>
    <t>17/10/2023</t>
  </si>
  <si>
    <t>GJ36T8863</t>
  </si>
  <si>
    <t>OMG PROJECTS</t>
  </si>
  <si>
    <t>94282 60440</t>
  </si>
  <si>
    <t>GJ36T6828</t>
  </si>
  <si>
    <t>JITESHBHAI RAYSINGBHAI DALSANIYA</t>
  </si>
  <si>
    <t>97272 31362</t>
  </si>
  <si>
    <t>GJ03HK5107</t>
  </si>
  <si>
    <t>MAHESH LAKHMAN GAMI</t>
  </si>
  <si>
    <t>21/10/2023</t>
  </si>
  <si>
    <t>EICHER</t>
  </si>
  <si>
    <t>VARORA JAYANTIBHAI THOBHARBHAI</t>
  </si>
  <si>
    <t>92287 13665</t>
  </si>
  <si>
    <t>21/10/2024</t>
  </si>
  <si>
    <t>GJ36V8111</t>
  </si>
  <si>
    <t>SONA FIELD CERAMIC</t>
  </si>
  <si>
    <t>98252 91711</t>
  </si>
  <si>
    <t>ASHOK LEYLAND 1015</t>
  </si>
  <si>
    <t>M/S SAI PETROLEUM</t>
  </si>
  <si>
    <t>87587 77865</t>
  </si>
  <si>
    <t>24/10/2023</t>
  </si>
  <si>
    <t>GJ36V5757</t>
  </si>
  <si>
    <t>KATIYA RAHEMAN KADAR</t>
  </si>
  <si>
    <t>95376 65757</t>
  </si>
  <si>
    <t>GJ03AZ6891</t>
  </si>
  <si>
    <t>MUKESHBHAI MOHANBHAI THORIYA</t>
  </si>
  <si>
    <t>99793 06393</t>
  </si>
  <si>
    <t>DWARKESH PACKGING</t>
  </si>
  <si>
    <t>91577 50017</t>
  </si>
  <si>
    <t>23/10/2024</t>
  </si>
  <si>
    <t>31/10/2023</t>
  </si>
  <si>
    <t>GJ03X2781</t>
  </si>
  <si>
    <t xml:space="preserve">TEMPO </t>
  </si>
  <si>
    <t>NARANBHAI NATHABHAI BHOPALA</t>
  </si>
  <si>
    <t>31/10/2024</t>
  </si>
  <si>
    <t>31/102023</t>
  </si>
  <si>
    <t>GJ27CQ0661</t>
  </si>
  <si>
    <t>SUMRA UMARBHAI MAMADADBHAI</t>
  </si>
  <si>
    <t>12X W</t>
  </si>
  <si>
    <t>GJ36U7379</t>
  </si>
  <si>
    <t>KARIM MANEK</t>
  </si>
  <si>
    <t>GJ11TT9751</t>
  </si>
  <si>
    <t>TOOFAN</t>
  </si>
  <si>
    <t>DHUKA KADAR</t>
  </si>
  <si>
    <t>IFFCO-TOKIO</t>
  </si>
  <si>
    <t>GJ36V4228</t>
  </si>
  <si>
    <t>TRUCK</t>
  </si>
  <si>
    <t>RAJENDRABHAI DHANJIBHAI MIYATR</t>
  </si>
  <si>
    <t>MAXIMA/C CNG</t>
  </si>
  <si>
    <t>ISMAILBHAI KASAMBHAI PIPARVADIYA</t>
  </si>
  <si>
    <t>GJ36V0317</t>
  </si>
  <si>
    <t>Tata</t>
  </si>
  <si>
    <t>MANDARIYA VALLABHBHAI BHAVUBHAI</t>
  </si>
  <si>
    <t>GJ36V0565</t>
  </si>
  <si>
    <t>NARSHIBHAI KARAMSHIBHAI RANIPA</t>
  </si>
  <si>
    <t>15/11/2024</t>
  </si>
  <si>
    <t>GJ36U1772</t>
  </si>
  <si>
    <t>3WT</t>
  </si>
  <si>
    <t>AUTO RICKSHAW</t>
  </si>
  <si>
    <t>AHEMADSHA NURSHA SHAHMADAR</t>
  </si>
  <si>
    <t>097122 34210</t>
  </si>
  <si>
    <t>GJ36T8769</t>
  </si>
  <si>
    <t>KISHOR DAMJIBHAI DELVADIYA</t>
  </si>
  <si>
    <t>96649 61690</t>
  </si>
  <si>
    <t>13/11/2023</t>
  </si>
  <si>
    <t>GJ36U7271</t>
  </si>
  <si>
    <t>MAXIMA Z CNG</t>
  </si>
  <si>
    <t>RANABHAI PADSARIYA</t>
  </si>
  <si>
    <t>99256 66054</t>
  </si>
  <si>
    <t>GJ36U6695</t>
  </si>
  <si>
    <t>RANJIT MANDAVIYA</t>
  </si>
  <si>
    <t>92657 45414</t>
  </si>
  <si>
    <t>GJ12Z2934</t>
  </si>
  <si>
    <t>Ashok Leyland</t>
  </si>
  <si>
    <t>GJ36V2802</t>
  </si>
  <si>
    <t>BOLERO - PIK UP</t>
  </si>
  <si>
    <t>VIJAY VANJIBHAI GAMBHAVA</t>
  </si>
  <si>
    <t xml:space="preserve"> 99783 81615</t>
  </si>
  <si>
    <t>MAXIMA/Z CNG</t>
  </si>
  <si>
    <t>SURESHBHAI KANJIBHAI DEGAMA</t>
  </si>
  <si>
    <t>81605 94939</t>
  </si>
  <si>
    <t>16/11/2023</t>
  </si>
  <si>
    <t>GJ36T7468</t>
  </si>
  <si>
    <t>BOLERO - PICK UP</t>
  </si>
  <si>
    <t>79845 90709</t>
  </si>
  <si>
    <t>17/11/2023</t>
  </si>
  <si>
    <t>MAXIMA CNG</t>
  </si>
  <si>
    <t>IMRAN HUSEN GANCH</t>
  </si>
  <si>
    <t xml:space="preserve"> 85309 00786</t>
  </si>
  <si>
    <t>14/12/2024</t>
  </si>
  <si>
    <t>GJ15UU1856</t>
  </si>
  <si>
    <t>TRUCKS</t>
  </si>
  <si>
    <t>BHATTI UMED ABBASBHAI</t>
  </si>
  <si>
    <t>098256 52991</t>
  </si>
  <si>
    <t>17/11/2024</t>
  </si>
  <si>
    <t>GJ36T0740</t>
  </si>
  <si>
    <t>GODHAVIYA NILESHBHAI NATHUBHAI</t>
  </si>
  <si>
    <t>96014 46244</t>
  </si>
  <si>
    <t>GJ36V2368</t>
  </si>
  <si>
    <t>ABDULBHAI ANVARBHAI BHATTI</t>
  </si>
  <si>
    <t>83200 18755</t>
  </si>
  <si>
    <t xml:space="preserve"> 97272 32484</t>
  </si>
  <si>
    <t>16/11/2024</t>
  </si>
  <si>
    <t>GJ10U9908</t>
  </si>
  <si>
    <t>AL 1611</t>
  </si>
  <si>
    <t>FIROZ ABDUL BHAI THEBA</t>
  </si>
  <si>
    <t>98252 34837</t>
  </si>
  <si>
    <t>19/11/2023</t>
  </si>
  <si>
    <t>GJ03Y8616</t>
  </si>
  <si>
    <t xml:space="preserve"> 97378 02905</t>
  </si>
  <si>
    <t>18/11/2024</t>
  </si>
  <si>
    <t>20/11/2023</t>
  </si>
  <si>
    <t>GJ36U6171</t>
  </si>
  <si>
    <t xml:space="preserve"> MOHANBHAI SOLANKI </t>
  </si>
  <si>
    <t>96879 05881</t>
  </si>
  <si>
    <t>19/11/2024</t>
  </si>
  <si>
    <t>GJ10U7311</t>
  </si>
  <si>
    <t>KARSHANBHAI BHIMANI</t>
  </si>
  <si>
    <t>20/11/2024</t>
  </si>
  <si>
    <t>GJ03Z6290</t>
  </si>
  <si>
    <t>SFC 709</t>
  </si>
  <si>
    <t>Kishorbhai Hemantlal Popat</t>
  </si>
  <si>
    <t>21/11/2024</t>
  </si>
  <si>
    <t>GJ36T7145</t>
  </si>
  <si>
    <t>MAXI TRUCK PLUS</t>
  </si>
  <si>
    <t>PRABHUBHAI AMARSHIBHAI GANESHIYA</t>
  </si>
  <si>
    <t>99134 41175</t>
  </si>
  <si>
    <t>GJ36T6720</t>
  </si>
  <si>
    <t>JUSAB CHANIYA HAMIR</t>
  </si>
  <si>
    <t>98987 52565</t>
  </si>
  <si>
    <t>GJ36V0910</t>
  </si>
  <si>
    <t>RATADIYA HIRENBHAI HINDUBHAI</t>
  </si>
  <si>
    <t>70435 87583</t>
  </si>
  <si>
    <t>GJ03BT1451</t>
  </si>
  <si>
    <t>VADAVIYA YASMIN SALIM</t>
  </si>
  <si>
    <t>97257 94288</t>
  </si>
  <si>
    <t>21/11/2023</t>
  </si>
  <si>
    <t>GJ08AU1958</t>
  </si>
  <si>
    <t>KAMLESH A THARECHA</t>
  </si>
  <si>
    <t>99257 26576</t>
  </si>
  <si>
    <t>GJ03BW8359</t>
  </si>
  <si>
    <t>PARASARA MUSTUFA AYUBBHAI</t>
  </si>
  <si>
    <t>CHQ BOUNCE</t>
  </si>
  <si>
    <t>GJ36T0404</t>
  </si>
  <si>
    <t>Lpt</t>
  </si>
  <si>
    <t>VINODBHAI RANABHAI BHARVAD</t>
  </si>
  <si>
    <t>99254 83333</t>
  </si>
  <si>
    <t>22/11/2023</t>
  </si>
  <si>
    <t>GJ36T1585</t>
  </si>
  <si>
    <t>JERAMBHAI SHIVABHAI RATAIYA</t>
  </si>
  <si>
    <t>82003 83536</t>
  </si>
  <si>
    <t>GJ36V3048</t>
  </si>
  <si>
    <t>LAKHMANBHAI DINESHBHAI THARESHA</t>
  </si>
  <si>
    <t>97239 58244</t>
  </si>
  <si>
    <t>GJ10Z7453</t>
  </si>
  <si>
    <t>KAMLESH AMRUTLAL THARESHA</t>
  </si>
  <si>
    <t>98254 35395</t>
  </si>
  <si>
    <t>GJ36V0554</t>
  </si>
  <si>
    <t>GAMI VINABEN YOGESHBHAI</t>
  </si>
  <si>
    <t xml:space="preserve"> 6351 612 375</t>
  </si>
  <si>
    <t>23/11/2023</t>
  </si>
  <si>
    <t>GJ03W9071</t>
  </si>
  <si>
    <t>MANISHKUMAR N POPAT</t>
  </si>
  <si>
    <t xml:space="preserve"> 99255 44273</t>
  </si>
  <si>
    <t>22/11/2024</t>
  </si>
  <si>
    <t>GJ10W6928</t>
  </si>
  <si>
    <t>ARBAJ M PARMAR</t>
  </si>
  <si>
    <t xml:space="preserve"> 99786 48123</t>
  </si>
  <si>
    <t>23/11/2024</t>
  </si>
  <si>
    <t>24/11/2023</t>
  </si>
  <si>
    <t>GJ03BU4534</t>
  </si>
  <si>
    <t>IKBALBHAI THASARIYA</t>
  </si>
  <si>
    <t>96382 36865</t>
  </si>
  <si>
    <t>97248 60034</t>
  </si>
  <si>
    <t>GJ14X0970</t>
  </si>
  <si>
    <t>KUMARBHAI JADAVBHAI SARANIYA</t>
  </si>
  <si>
    <t>75750 14519</t>
  </si>
  <si>
    <t>GJ12BT2586</t>
  </si>
  <si>
    <t>ASHIF KARIMBHAI PATHAN</t>
  </si>
  <si>
    <t>25/11/2023</t>
  </si>
  <si>
    <t>GJ02Z6757</t>
  </si>
  <si>
    <t>GOKALBHAI VISABHAI TOTA</t>
  </si>
  <si>
    <t>91065 87970</t>
  </si>
  <si>
    <t>26/11/2023</t>
  </si>
  <si>
    <t>KISHAN H HAN</t>
  </si>
  <si>
    <t>25/11/2024</t>
  </si>
  <si>
    <t>GJ02ZZ8106</t>
  </si>
  <si>
    <t>SURANI CHETNA MUKESHKUMAR</t>
  </si>
  <si>
    <t>96019 49743</t>
  </si>
  <si>
    <t>GJ36T0198</t>
  </si>
  <si>
    <t>CHANIYA ALARAKHABHAI KHAMISHABHA</t>
  </si>
  <si>
    <t>91 0 6899 382</t>
  </si>
  <si>
    <t>24/11/2024</t>
  </si>
  <si>
    <t>GJ36V0943</t>
  </si>
  <si>
    <t>KISHANBHAI KHIMJIBHAI KHAMBHALA</t>
  </si>
  <si>
    <t xml:space="preserve"> 75750 58357</t>
  </si>
  <si>
    <t>MOMBHAI TOTA</t>
  </si>
  <si>
    <t>98258 12010</t>
  </si>
  <si>
    <t>28/11/2024</t>
  </si>
  <si>
    <t>GJ23Y3456</t>
  </si>
  <si>
    <t>RAVANI RAFIKBHAI ABBASBHAI</t>
  </si>
  <si>
    <t>87807 40200</t>
  </si>
  <si>
    <t>27/11/2023</t>
  </si>
  <si>
    <t>GJ36S3319</t>
  </si>
  <si>
    <t>SOMANY MAX PVT LTD</t>
  </si>
  <si>
    <t>99980 70001</t>
  </si>
  <si>
    <t>GJ36U4305</t>
  </si>
  <si>
    <t>VINODBHAI HARIBHAI GAMOT</t>
  </si>
  <si>
    <t>99745 45580</t>
  </si>
  <si>
    <t>GJ10Z7729</t>
  </si>
  <si>
    <t>MULTI AXLE TRUCK</t>
  </si>
  <si>
    <t>26/11/2024</t>
  </si>
  <si>
    <t>GJ36V3428</t>
  </si>
  <si>
    <t>AFZALBHAI USMANBHAI KALADIYA</t>
  </si>
  <si>
    <t xml:space="preserve"> 76001 39333</t>
  </si>
  <si>
    <t>RAJESHAGIRI SOORAJGAR GOSAI</t>
  </si>
  <si>
    <t xml:space="preserve"> 98256 99562</t>
  </si>
  <si>
    <t>GJ36T9087</t>
  </si>
  <si>
    <t>Tata/Lpt</t>
  </si>
  <si>
    <t>MEMON AAMIR</t>
  </si>
  <si>
    <t xml:space="preserve"> 98253 00141</t>
  </si>
  <si>
    <t>27/11/2024</t>
  </si>
  <si>
    <t>29/11/2023</t>
  </si>
  <si>
    <t>GJ03AW2375</t>
  </si>
  <si>
    <t>JARIYA LALJIBHAI MERAMBHAI</t>
  </si>
  <si>
    <t>98277 44844</t>
  </si>
  <si>
    <t>96646 11442</t>
  </si>
  <si>
    <t>GJ03BV4852</t>
  </si>
  <si>
    <t>VIRJIBHAI RAJABHAI VALA</t>
  </si>
  <si>
    <t xml:space="preserve"> 75677 86424</t>
  </si>
  <si>
    <t>30/11/2024</t>
  </si>
  <si>
    <t>GJ36U0673</t>
  </si>
  <si>
    <t>CHANIYA ALARAKHABHAI KHAMISHABHAI</t>
  </si>
  <si>
    <t>GJ03AZ9618</t>
  </si>
  <si>
    <t>CHAUHAN FARUKBHAI SALIMBHAI</t>
  </si>
  <si>
    <t>96870 58847</t>
  </si>
  <si>
    <t>GJ06XX1550</t>
  </si>
  <si>
    <t>PARMAR LAXMANBHAI DHANJIBHA</t>
  </si>
  <si>
    <t>76986 07187</t>
  </si>
  <si>
    <t>87808 68186</t>
  </si>
  <si>
    <t>GJ36U7627</t>
  </si>
  <si>
    <t>HANIF HANSAN MOVAR</t>
  </si>
  <si>
    <t>97140 47401</t>
  </si>
  <si>
    <t>30/11/2023</t>
  </si>
  <si>
    <t>GJ36V 0516</t>
  </si>
  <si>
    <t>SUPRO MINITRUCK</t>
  </si>
  <si>
    <t>HAJIBHA JANAMAMAD SANDHVANI</t>
  </si>
  <si>
    <t>19/12/2024</t>
  </si>
  <si>
    <t>GJ36U7968</t>
  </si>
  <si>
    <t>ATUL AUTO</t>
  </si>
  <si>
    <t>MOYADA JAGDISHBHAI KARNABHAI</t>
  </si>
  <si>
    <t>29/11/2024</t>
  </si>
  <si>
    <t>GJ36T7967</t>
  </si>
  <si>
    <t>ABDULBHAI SALEMANBHAI JEDA</t>
  </si>
  <si>
    <t>GJ36U4018</t>
  </si>
  <si>
    <t xml:space="preserve">CHAVADA NIKUNJ HEMANTBHAI </t>
  </si>
  <si>
    <t>GJ36T7808</t>
  </si>
  <si>
    <t>JANAKBHAI PARBATBHAI DABHI</t>
  </si>
  <si>
    <t>IS2</t>
  </si>
  <si>
    <t>GJ36T3452</t>
  </si>
  <si>
    <t>BASIRBHAI MAMADBHAI CHANIYA</t>
  </si>
  <si>
    <t>IS1</t>
  </si>
  <si>
    <t>FLOAT MA JAMA</t>
  </si>
  <si>
    <t>GJ36V3118</t>
  </si>
  <si>
    <t>NARENDRA SHARMA</t>
  </si>
  <si>
    <t>30/12/2024</t>
  </si>
  <si>
    <t>GJ20X3485</t>
  </si>
  <si>
    <t>TATA LPT 1512</t>
  </si>
  <si>
    <t>RAJENDRASINH AMARSINH ZALA</t>
  </si>
  <si>
    <t>HUSEN MALA SUMRA</t>
  </si>
  <si>
    <t>GJ36U7889</t>
  </si>
  <si>
    <t>ARVIND AMARSHI KOLI</t>
  </si>
  <si>
    <t>GJ36T4641</t>
  </si>
  <si>
    <t>HASMUKH AMARSHI HADIYAL</t>
  </si>
  <si>
    <t>RAJESH KASAM PIRANI</t>
  </si>
  <si>
    <t>GJ36V1157</t>
  </si>
  <si>
    <t>THUNGA KARNABHAI MADANBHA</t>
  </si>
  <si>
    <t>87994 79792</t>
  </si>
  <si>
    <t>ALTAB DAUDBHAI HERANJA</t>
  </si>
  <si>
    <t>97144 96567</t>
  </si>
  <si>
    <t>GJ36V2011</t>
  </si>
  <si>
    <t>MULAJIBHAI TAPUBHAI GAMARA</t>
  </si>
  <si>
    <t>95374 97662</t>
  </si>
  <si>
    <t>GJ36V6039</t>
  </si>
  <si>
    <t>GJ03AZ6574</t>
  </si>
  <si>
    <t>DEVABHAI RAYMAL MURIYANA</t>
  </si>
  <si>
    <t>ABHI EARTH MOVERS</t>
  </si>
  <si>
    <t xml:space="preserve"> 98255 53951</t>
  </si>
  <si>
    <t>ACE GOLD BS 6</t>
  </si>
  <si>
    <t>99098 74439</t>
  </si>
  <si>
    <t>GJ36U2421</t>
  </si>
  <si>
    <t>SAMIR MAHMADHANIFBHAI BOGHANI</t>
  </si>
  <si>
    <t>GJ36U4179</t>
  </si>
  <si>
    <t>KALADIYA HUSENBHAI JUMABHAI</t>
  </si>
  <si>
    <t>JEETO</t>
  </si>
  <si>
    <t>TRIBHOVANBHAI DEVSHIBHAI KANZARIYA</t>
  </si>
  <si>
    <t xml:space="preserve"> 91575 79623</t>
  </si>
  <si>
    <t>GJ36V1848</t>
  </si>
  <si>
    <t>BHARAT SANGRAMBHAI GAMARA</t>
  </si>
  <si>
    <t>GJ03BZ0096</t>
  </si>
  <si>
    <t>AMITBHAI JETHA</t>
  </si>
  <si>
    <t>GJ36V0623</t>
  </si>
  <si>
    <t>RAMESH BATUKBHAI SADHARIYA</t>
  </si>
  <si>
    <t>GJ36T7568</t>
  </si>
  <si>
    <t>RAMSIBHAI NATHABHAI DELVANIA</t>
  </si>
  <si>
    <t>KUMARSUNG KIRITSINH CHAUHAN</t>
  </si>
  <si>
    <t>VALLABH LAKHMAN JIVANI</t>
  </si>
  <si>
    <t>GIRDHARBHAI RANABHAI KHAMBHADIYA</t>
  </si>
  <si>
    <t>6352 524 041</t>
  </si>
  <si>
    <t>GJ12BZ4792</t>
  </si>
  <si>
    <t>99136 40042</t>
  </si>
  <si>
    <t>DS</t>
  </si>
  <si>
    <t>MAHEBUB HUSENBHAI SUMRA</t>
  </si>
  <si>
    <t>99049 17866</t>
  </si>
  <si>
    <t>GJ36U4479</t>
  </si>
  <si>
    <t>SOLANKI RAVI</t>
  </si>
  <si>
    <t>6352 802 626</t>
  </si>
  <si>
    <t>GJ36V7830</t>
  </si>
  <si>
    <t>MANISHABEN PRAKASHBHAI CHAUHAN</t>
  </si>
  <si>
    <t>88662 22183</t>
  </si>
  <si>
    <t>MUSTAKBHAI AMADBHAI SUMARA</t>
  </si>
  <si>
    <t>79901 11325</t>
  </si>
  <si>
    <t>GJ17D8603</t>
  </si>
  <si>
    <t>475 DI</t>
  </si>
  <si>
    <t>KHORAJIYA RAJE VALI</t>
  </si>
  <si>
    <t>GJ03BZ8692</t>
  </si>
  <si>
    <t>RAFIK NURMAMADBHAI DALVANI</t>
  </si>
  <si>
    <t>GJ36V2923</t>
  </si>
  <si>
    <t>ROHITBHAI MAGANBHAI MAKWANA</t>
  </si>
  <si>
    <t>70433 90111</t>
  </si>
  <si>
    <t>ANIRUDHSINH BHARATSINH RANA</t>
  </si>
  <si>
    <t>99139 67533</t>
  </si>
  <si>
    <t>98797 49349</t>
  </si>
  <si>
    <t>GJ03AW4526</t>
  </si>
  <si>
    <t>MUSTUFA SIDIKBHAI SUMRA</t>
  </si>
  <si>
    <t>96873 00786</t>
  </si>
  <si>
    <t>13/12/2023</t>
  </si>
  <si>
    <t>GJ36V0857</t>
  </si>
  <si>
    <t>GJ36U4831</t>
  </si>
  <si>
    <t>VARAN RAMESH MOHANBHAI</t>
  </si>
  <si>
    <t>6355 409 815</t>
  </si>
  <si>
    <t>GJ36U9059</t>
  </si>
  <si>
    <t>MOVAR AMIN AYUBBHAI</t>
  </si>
  <si>
    <t>6354 809 441</t>
  </si>
  <si>
    <t>14/12/2023</t>
  </si>
  <si>
    <t>SHAILESHBHAI JAYANTIBHAI BAMBHANIYA</t>
  </si>
  <si>
    <t>81282 38404</t>
  </si>
  <si>
    <t>GJ36U7996</t>
  </si>
  <si>
    <t>NAGUBHAI LAKHUBHAI GOGARA</t>
  </si>
  <si>
    <t xml:space="preserve"> 97265 97462</t>
  </si>
  <si>
    <t>TRACTOR TRAILER</t>
  </si>
  <si>
    <t>MAKSUD</t>
  </si>
  <si>
    <t xml:space="preserve"> 98258 65417</t>
  </si>
  <si>
    <t>GJ12BV7576</t>
  </si>
  <si>
    <t>CHANIYA ISMAIL ALARAKHABHA</t>
  </si>
  <si>
    <t>97230 98830</t>
  </si>
  <si>
    <t>RAHULBHAI ASHVINBHAI KOTECHA</t>
  </si>
  <si>
    <t>93740 04413</t>
  </si>
  <si>
    <t>15/12/2023</t>
  </si>
  <si>
    <t>GJ36U5029</t>
  </si>
  <si>
    <t>SOYAB MAHMAD CHANIYA</t>
  </si>
  <si>
    <t>GJ16AU2031</t>
  </si>
  <si>
    <t>BHORANIYA SAHIL USMANBHAI</t>
  </si>
  <si>
    <t>13/122024</t>
  </si>
  <si>
    <t>GJ36V2893</t>
  </si>
  <si>
    <t>VIPUL BHANJIBHAI KAILA</t>
  </si>
  <si>
    <t>16/12/2023</t>
  </si>
  <si>
    <t>SATISHKUMAR BHARVAD</t>
  </si>
  <si>
    <t>TIPPER</t>
  </si>
  <si>
    <t>SIHORA VALAJI DEHARBHAI</t>
  </si>
  <si>
    <t>70430 99190</t>
  </si>
  <si>
    <t>GJ03AZ4750</t>
  </si>
  <si>
    <t>91068 99382</t>
  </si>
  <si>
    <t>GJ36U4090</t>
  </si>
  <si>
    <t>SOHARVADI ASHARAF</t>
  </si>
  <si>
    <t xml:space="preserve"> 99098 75156</t>
  </si>
  <si>
    <t>95866 45556</t>
  </si>
  <si>
    <t>GJ12BR5960</t>
  </si>
  <si>
    <t>ESCORTS LTD</t>
  </si>
  <si>
    <t>HADIYAL RANJANBEN HASMUKHBHAI</t>
  </si>
  <si>
    <t>16/12/2024</t>
  </si>
  <si>
    <t>GJ07E4703</t>
  </si>
  <si>
    <t>SWARAJ</t>
  </si>
  <si>
    <t>KUNBHAJI MAMUJI JADEJA</t>
  </si>
  <si>
    <t>97142 04447</t>
  </si>
  <si>
    <t>VAGHELA HASMUKHBHAI BACHUBHAI</t>
  </si>
  <si>
    <t>6354 491 124</t>
  </si>
  <si>
    <t>18/12/2023</t>
  </si>
  <si>
    <t>GJ36V4020</t>
  </si>
  <si>
    <t>SIGNA 3525</t>
  </si>
  <si>
    <t>AAL SHAILESHBHAI R</t>
  </si>
  <si>
    <t>RZ</t>
  </si>
  <si>
    <t>GJ36V3174</t>
  </si>
  <si>
    <t>M/S SARTHAK PRINT PACK</t>
  </si>
  <si>
    <t>KANJIBHAI BHANJIBHAI KANJARIYA</t>
  </si>
  <si>
    <t>79843 34645</t>
  </si>
  <si>
    <t>19/12/2023</t>
  </si>
  <si>
    <t>GJ36U7562</t>
  </si>
  <si>
    <t>JUSABHAI HASAMBHAI JAM</t>
  </si>
  <si>
    <t>96388 47196</t>
  </si>
  <si>
    <t>GJ24X2926</t>
  </si>
  <si>
    <t>SANJAY AMRUTBHAI PRAJAPATI</t>
  </si>
  <si>
    <t xml:space="preserve"> 97232 87276</t>
  </si>
  <si>
    <t>80008 11011</t>
  </si>
  <si>
    <t>21/12/20241</t>
  </si>
  <si>
    <t>GJ36V3264</t>
  </si>
  <si>
    <t>CHHANABHAI KARABHAI LAMBARIYA</t>
  </si>
  <si>
    <t>GJ36V3015</t>
  </si>
  <si>
    <t>VASHARAMBHAI LAMBARIYA</t>
  </si>
  <si>
    <t> 90812 79379</t>
  </si>
  <si>
    <t>21/12/2023</t>
  </si>
  <si>
    <t>GJ09AV6878</t>
  </si>
  <si>
    <t>MUSTAK SATARBHAI CHICHODRA</t>
  </si>
  <si>
    <t>HARESHBHAI LABHUBHAI SOLANKI</t>
  </si>
  <si>
    <t xml:space="preserve"> 99251 88618</t>
  </si>
  <si>
    <t>GJ36V0664</t>
  </si>
  <si>
    <t>SWIFT DZIRE</t>
  </si>
  <si>
    <t>Hariomsinh Narpatsinh Jadeja</t>
  </si>
  <si>
    <t>KHURESHI IMTIYAZ</t>
  </si>
  <si>
    <t>93277 07677</t>
  </si>
  <si>
    <t xml:space="preserve"> DOST - LS</t>
  </si>
  <si>
    <t>CHANDULAL RAMSURBHAI SINDHAV</t>
  </si>
  <si>
    <t>98256 34894</t>
  </si>
  <si>
    <t>22/12/2024</t>
  </si>
  <si>
    <t>GJ36V3122</t>
  </si>
  <si>
    <t>NEW BHARAT KHOKHAVALA</t>
  </si>
  <si>
    <t>GJ36T7985</t>
  </si>
  <si>
    <t>SUNIL KUMAR GUPTA</t>
  </si>
  <si>
    <t>GJ36U8138</t>
  </si>
  <si>
    <t>SALIM PILUDIYA</t>
  </si>
  <si>
    <t xml:space="preserve"> 75675 22574</t>
  </si>
  <si>
    <t>RAMAVAT SAGAR GOPALDAS</t>
  </si>
  <si>
    <t>81288 50396</t>
  </si>
  <si>
    <t>22/12/2023</t>
  </si>
  <si>
    <t>Tata/Ace</t>
  </si>
  <si>
    <t>SAMIR UMEDALI VALIYANI</t>
  </si>
  <si>
    <t>88666 09058</t>
  </si>
  <si>
    <t>23/12/2023</t>
  </si>
  <si>
    <t>GJ03AV9132</t>
  </si>
  <si>
    <t>POPAT NITINKUMAR HEMATLAL</t>
  </si>
  <si>
    <t xml:space="preserve"> 91045 77244</t>
  </si>
  <si>
    <t>GJ36U5164</t>
  </si>
  <si>
    <t>KASMANI MUSTAKBHAI OSAMANBHAI</t>
  </si>
  <si>
    <t>097239 81920</t>
  </si>
  <si>
    <t>GJ36T5677</t>
  </si>
  <si>
    <t>TATA TIPPER 3118</t>
  </si>
  <si>
    <t>DIPAK KAGATHARA VIA HARDEVSINH ZALA</t>
  </si>
  <si>
    <t>GJ36T5777</t>
  </si>
  <si>
    <t>25/12/2023</t>
  </si>
  <si>
    <t>BAJAJ MAXIMA C</t>
  </si>
  <si>
    <t>BADRUDIN YUNUSBHAI AJMERI</t>
  </si>
  <si>
    <t xml:space="preserve"> 96248 73389</t>
  </si>
  <si>
    <t xml:space="preserve">       </t>
  </si>
  <si>
    <t>TATA TRUCKS</t>
  </si>
  <si>
    <t>24/12/2024</t>
  </si>
  <si>
    <t>VISHAL MOMBHAI LAMBARIYA</t>
  </si>
  <si>
    <t xml:space="preserve"> 99135 64016</t>
  </si>
  <si>
    <t>27/12/2024</t>
  </si>
  <si>
    <t>27/12/2023</t>
  </si>
  <si>
    <t>Tata Lpt 2516</t>
  </si>
  <si>
    <t>MUNABHAI LIMBABHAI DABHI</t>
  </si>
  <si>
    <t xml:space="preserve"> 93162 57898</t>
  </si>
  <si>
    <t>26/12/2024</t>
  </si>
  <si>
    <t>Eeco</t>
  </si>
  <si>
    <t>RAHUL ASHVINBHAI KOTECHA</t>
  </si>
  <si>
    <t xml:space="preserve">  BOLERO </t>
  </si>
  <si>
    <t>PRABHULAL BACHUBHAI KARKATA</t>
  </si>
  <si>
    <t>99136 23288</t>
  </si>
  <si>
    <t xml:space="preserve"> </t>
  </si>
  <si>
    <t>GJ36V3466</t>
  </si>
  <si>
    <t>MAXX PUP</t>
  </si>
  <si>
    <t>SOHILBHAI SULTANBHAI KORADIYA</t>
  </si>
  <si>
    <t>76983 95032</t>
  </si>
  <si>
    <t>GJ36V3012</t>
  </si>
  <si>
    <t>AMIT RATILAL DEGAMA</t>
  </si>
  <si>
    <t>99257 87473</t>
  </si>
  <si>
    <t>28/12/2023</t>
  </si>
  <si>
    <t>Ashok Leyland 3118</t>
  </si>
  <si>
    <t>TATA LPK 3118</t>
  </si>
  <si>
    <t>RAMJI MUDHAVA</t>
  </si>
  <si>
    <t>99133 82940</t>
  </si>
  <si>
    <t>GJ36V3902</t>
  </si>
  <si>
    <t>MAHENDRA SHIVABHAI KOLI</t>
  </si>
  <si>
    <t>HF</t>
  </si>
  <si>
    <t>29/12/2023</t>
  </si>
  <si>
    <t>EICHER PRO 5025</t>
  </si>
  <si>
    <t>RAMABA CHANDRASINH</t>
  </si>
  <si>
    <t>PRB PELLET PACKING</t>
  </si>
  <si>
    <t>90999 86965</t>
  </si>
  <si>
    <t>DN09S9233</t>
  </si>
  <si>
    <t>MAKHESANA VRAJLAL TRIKAMBHAI</t>
  </si>
  <si>
    <t>GJ36V3177</t>
  </si>
  <si>
    <t xml:space="preserve">TATA INTRA </t>
  </si>
  <si>
    <t>YOGESHBHAI LAKHMANBHAI MAKVANA</t>
  </si>
  <si>
    <t>GJ36V3472</t>
  </si>
  <si>
    <t>SALIMBHAI O JAM</t>
  </si>
  <si>
    <t>29/12/202</t>
  </si>
  <si>
    <t>30/12/2023</t>
  </si>
  <si>
    <t>GJ36V0785</t>
  </si>
  <si>
    <t>DIVAN HARSHDBHAI VYAS</t>
  </si>
  <si>
    <t>99090 68088</t>
  </si>
  <si>
    <t>29/12/2024</t>
  </si>
  <si>
    <t>GJ13AT9403</t>
  </si>
  <si>
    <t>ASHOK LEYLAND 3718</t>
  </si>
  <si>
    <t>GANIBHAI RASULBHAI CHAUHAN</t>
  </si>
  <si>
    <t>ahiya sudhi no hisab clear che</t>
  </si>
  <si>
    <t>62826 na badle 103265 nu ene mane payment karyu</t>
  </si>
  <si>
    <t>40500 vadhare aapya ane hisab clear</t>
  </si>
  <si>
    <t>GJ36V7676</t>
  </si>
  <si>
    <t>ASHOKLEYLAND MULTIAXLETRUCK4220</t>
  </si>
  <si>
    <t>CHHAGANBHAI RANMALBHAI DAKI</t>
  </si>
  <si>
    <t>MAHAVIRSINH VAJUBHAI MASANI</t>
  </si>
  <si>
    <t>GJ03AX4419</t>
  </si>
  <si>
    <t>RIKSA</t>
  </si>
  <si>
    <t>AKHTAR HUSEN HANIFBHAI MADAKIYA</t>
  </si>
  <si>
    <t>SHIRIRAM</t>
  </si>
  <si>
    <t>GJ36U4228</t>
  </si>
  <si>
    <t>AVESHBHAI ALAYA MALANI</t>
  </si>
  <si>
    <t>ZALA NARVINSINH</t>
  </si>
  <si>
    <t>MAHINDRA JEETO</t>
  </si>
  <si>
    <t>BAJAJ MAXIMA C CNG</t>
  </si>
  <si>
    <t>RIYAJALI RAMJANALI DHAMAMI</t>
  </si>
  <si>
    <t>HAJIBHAI NURMAHMADBHAI SHERASIYA</t>
  </si>
  <si>
    <t>NIZAM YUNUSBHAI AJMERI</t>
  </si>
  <si>
    <t>RELINANCE</t>
  </si>
  <si>
    <t>HYDRAULIC CRANE</t>
  </si>
  <si>
    <t>IRFAN MAMDAHSHAN VADAVIYA</t>
  </si>
  <si>
    <t>GJ21V4712</t>
  </si>
  <si>
    <t>HARDEVSINH M ZALA</t>
  </si>
  <si>
    <t>GJ03BT3475</t>
  </si>
  <si>
    <t>BOLERO PICKUP</t>
  </si>
  <si>
    <t>ZAPDA VALABHAI</t>
  </si>
  <si>
    <t>13/01/2025</t>
  </si>
  <si>
    <t>GJ36U7926</t>
  </si>
  <si>
    <t>RIYAZAHEMAD HUSENBHAI KALADIYA</t>
  </si>
  <si>
    <t>GJ36V2522</t>
  </si>
  <si>
    <t>SHAILESHBHAI VALJIBHAI DALSANIYA</t>
  </si>
  <si>
    <t>GJ36V3356</t>
  </si>
  <si>
    <t>TOTA SURESHBHAI AMARABHAI</t>
  </si>
  <si>
    <t>Ashok Leyland 3116</t>
  </si>
  <si>
    <t>13/01/2024</t>
  </si>
  <si>
    <t>J D JADEJA</t>
  </si>
  <si>
    <t>15/01/2024</t>
  </si>
  <si>
    <t>EICHER PRO 1049</t>
  </si>
  <si>
    <t>BHARATBHAI AMARABHAI TOTA</t>
  </si>
  <si>
    <t>15/01/2025</t>
  </si>
  <si>
    <t>ASHOK LEYLAND 2516</t>
  </si>
  <si>
    <t>17/01/2024</t>
  </si>
  <si>
    <t>ASHOK LEYLAND TIPPER - 3525</t>
  </si>
  <si>
    <t>M/S MARUTI MICRONS</t>
  </si>
  <si>
    <t>16/01/2025</t>
  </si>
  <si>
    <t>18/01/2024</t>
  </si>
  <si>
    <t>Ashok Leyland 2214</t>
  </si>
  <si>
    <t>TOFIK HANIFBHAI SUMRA</t>
  </si>
  <si>
    <t>MANSUKH GOPALBHAI KERASIYA</t>
  </si>
  <si>
    <t>17/01/2025</t>
  </si>
  <si>
    <t>TATA 1210</t>
  </si>
  <si>
    <t>ROYAL SUNDARM</t>
  </si>
  <si>
    <t>GJ36T7846</t>
  </si>
  <si>
    <t>TATA LPT 709 TRUCK</t>
  </si>
  <si>
    <t>JIGNESH KHENGARBHAI BHUMBHRIYA</t>
  </si>
  <si>
    <t>JITESHBHAI MULABHAI LAMKA</t>
  </si>
  <si>
    <t>20/01/2024</t>
  </si>
  <si>
    <t>HUSHENBHAI DAUDBHAI KAIDA</t>
  </si>
  <si>
    <t>20/01/2025</t>
  </si>
  <si>
    <t>FAROOKBHAI ALLAUDINBHAI MULTANI</t>
  </si>
  <si>
    <t>19/01/2025</t>
  </si>
  <si>
    <t>22/01/2024</t>
  </si>
  <si>
    <t>GJ03BY6124</t>
  </si>
  <si>
    <t>VIKRAMBHAI KUMBHABHAI GOLATAR</t>
  </si>
  <si>
    <t>BOLERO MAXITRUCK</t>
  </si>
  <si>
    <t>RAMESH CHAVDA</t>
  </si>
  <si>
    <t>24/01/2024</t>
  </si>
  <si>
    <t>GJ36B1918</t>
  </si>
  <si>
    <t>7500-75 HP</t>
  </si>
  <si>
    <t>KHORAM ARBAZKHA ISMAILAKHA</t>
  </si>
  <si>
    <t>25/02/2024</t>
  </si>
  <si>
    <t>GJ10TT8973</t>
  </si>
  <si>
    <t>Ashok Leyland/3118</t>
  </si>
  <si>
    <t>MR.ILYASHBHAI UMARBHAI PAYAK</t>
  </si>
  <si>
    <t>GJ38T7123</t>
  </si>
  <si>
    <t>Ashok Leyland/311</t>
  </si>
  <si>
    <t>:MR.ILYASHBHAI UMARBHAI PAYAK</t>
  </si>
  <si>
    <t>26/02/2024</t>
  </si>
  <si>
    <t>GJ03CL4033</t>
  </si>
  <si>
    <t>NEW HOLLAND 7500-75 HP</t>
  </si>
  <si>
    <t>: Mr SOLANKI RAJAKBHAI ABDULBHAI</t>
  </si>
  <si>
    <t>GJ36V1403</t>
  </si>
  <si>
    <t>VISHNU DAYALJIBHAI ADHARIYA</t>
  </si>
  <si>
    <t>RAFIK JUSABBHAI BHANU</t>
  </si>
  <si>
    <t>ABDULBHAI MAHMADBHAI CHAUDHARI</t>
  </si>
  <si>
    <t>ISMAIL MAMADBHAI CHAUDHARI</t>
  </si>
  <si>
    <t>27/01/2024</t>
  </si>
  <si>
    <t>Ashok Leyland/2516</t>
  </si>
  <si>
    <t>MR.BHUPATSINH HEMATSINH ZALA</t>
  </si>
  <si>
    <t xml:space="preserve"> 28/01/2025</t>
  </si>
  <si>
    <t>HAJI ABDULBHAI JEDA</t>
  </si>
  <si>
    <t>VISHAL VIRAMBHAI BAR</t>
  </si>
  <si>
    <t>JAYNTIBHAI KHIMABHAI PARMAR</t>
  </si>
  <si>
    <t>GJ38T8123</t>
  </si>
  <si>
    <t>Ashok Leyland/3116</t>
  </si>
  <si>
    <t>ANWAR FAKIR MAHAMADBHAI MAKRANI</t>
  </si>
  <si>
    <t>GJ38T6123</t>
  </si>
  <si>
    <t>ILYASHBHAI UMARBHAI PAYAK</t>
  </si>
  <si>
    <t>29/01/2024</t>
  </si>
  <si>
    <t>31/01/2024</t>
  </si>
  <si>
    <t>GJ36V3649</t>
  </si>
  <si>
    <t>RAMSHIBHAI LIMBABHAI KAROTARA</t>
  </si>
  <si>
    <t>EICHER PRO  2114</t>
  </si>
  <si>
    <t>SANTOLA KHODABHAI MAHADEVBHA</t>
  </si>
  <si>
    <t>ANVARKHAN UMARKHAN KHORAM</t>
  </si>
  <si>
    <t>GJ36V4485</t>
  </si>
  <si>
    <t>TATA LPT 1412</t>
  </si>
  <si>
    <t>GJ36V1334</t>
  </si>
  <si>
    <t>VAMAJA VINODBHAI JERAMBHA</t>
  </si>
  <si>
    <t>KANABHAI DUDABHAI MEVADA</t>
  </si>
  <si>
    <t>TATA  LPT 1412</t>
  </si>
  <si>
    <t>ARJAN BAMBHAVA</t>
  </si>
  <si>
    <t>GJ12AT6238</t>
  </si>
  <si>
    <t>TATA LPT 3118 PETROL TANKER</t>
  </si>
  <si>
    <t>BHAVIN KHANDHADIYA</t>
  </si>
  <si>
    <t>GJ09AU8448</t>
  </si>
  <si>
    <t>TATA LPT 1815</t>
  </si>
  <si>
    <t>ZALA RAJENDRASINH AMARSINH</t>
  </si>
  <si>
    <t xml:space="preserve"> 99090 68088</t>
  </si>
  <si>
    <t>TATA LPK 909</t>
  </si>
  <si>
    <t>PRABHU LAL HAR JI GURJAR</t>
  </si>
  <si>
    <t>98989 91040</t>
  </si>
  <si>
    <t>95120 22224</t>
  </si>
  <si>
    <t>KARSHANBHAI RAVABHAI SAVDHARIYA</t>
  </si>
  <si>
    <t xml:space="preserve"> 88496 70338</t>
  </si>
  <si>
    <t>KISHORKUMAR MOTIBHAI DABHI</t>
  </si>
  <si>
    <t>97270 17498</t>
  </si>
  <si>
    <t>GJ03AZ4681</t>
  </si>
  <si>
    <t>CHHATBAR JAYSUKHLAL NANALAL</t>
  </si>
  <si>
    <t xml:space="preserve"> 90990 27908</t>
  </si>
  <si>
    <t>GJ36T9017</t>
  </si>
  <si>
    <t>MAHMADHANIF HUSHENBHAI BADI</t>
  </si>
  <si>
    <t xml:space="preserve"> 96241 41110</t>
  </si>
  <si>
    <t>SAVITABEN RAMESHBHAI CHAVDA</t>
  </si>
  <si>
    <t>99094 58240</t>
  </si>
  <si>
    <t>GJ36V7008</t>
  </si>
  <si>
    <t>BHARAT BENZ 3528</t>
  </si>
  <si>
    <t>CHHANABHAI HIRABHAI PANCHIYA</t>
  </si>
  <si>
    <t>75675 53301</t>
  </si>
  <si>
    <t>GJ36V1431</t>
  </si>
  <si>
    <t>SHREE NILKANTH POLYTEX</t>
  </si>
  <si>
    <t xml:space="preserve"> 90816 55155</t>
  </si>
  <si>
    <t>SONDABHAI PUNJABHAI RATADIYA</t>
  </si>
  <si>
    <t xml:space="preserve"> 97243 24213</t>
  </si>
  <si>
    <t>ABDULGAFAR ALAVDIN BADI</t>
  </si>
  <si>
    <t>98985 18032</t>
  </si>
  <si>
    <t>GJ10X5446</t>
  </si>
  <si>
    <t>LPT 2515/4</t>
  </si>
  <si>
    <t>.SALIMAMAD BHAI HASAMBHAI SUMRA</t>
  </si>
  <si>
    <t xml:space="preserve"> 99795 40160</t>
  </si>
  <si>
    <t>GJ15AT6698</t>
  </si>
  <si>
    <t>99786 48123</t>
  </si>
  <si>
    <t>GJ36T5787</t>
  </si>
  <si>
    <t>GJ36T5528</t>
  </si>
  <si>
    <t>MANSUKHBHAI HARAKHABHAI GHODASAR</t>
  </si>
  <si>
    <t>GJ36T5652</t>
  </si>
  <si>
    <t>AL 2518</t>
  </si>
  <si>
    <t>MALABHAI GAMARA</t>
  </si>
  <si>
    <t>GJ36V3669</t>
  </si>
  <si>
    <t>MADHAV RAMESHBHAI BAVARVA</t>
  </si>
  <si>
    <t>6355 304 060</t>
  </si>
  <si>
    <t>99796 72722</t>
  </si>
  <si>
    <t>THEBA NADIM RAJAKBHAI</t>
  </si>
  <si>
    <t>95747 00037</t>
  </si>
  <si>
    <t>HR665474</t>
  </si>
  <si>
    <t>SOHILBHAI RAHIMBHAI CHOPADA</t>
  </si>
  <si>
    <t>93130 03869</t>
  </si>
  <si>
    <t>ABDUL GAFAR ALAVDI BADI</t>
  </si>
  <si>
    <t>ABDUL BHAIJAMALBHAI RAUMA</t>
  </si>
  <si>
    <t>98245 78649</t>
  </si>
  <si>
    <t>GJ36T8005</t>
  </si>
  <si>
    <t>BHARATBHAI MOHANBHAI JILRIA</t>
  </si>
  <si>
    <t> 6355 047 477</t>
  </si>
  <si>
    <t>GJ03AV9878</t>
  </si>
  <si>
    <t>KANJIBHAI SOJITRA</t>
  </si>
  <si>
    <t>DALVANI AHEMAD IKBAL</t>
  </si>
  <si>
    <t>GJ03BW4710</t>
  </si>
  <si>
    <t>MARUTI SUZUKI EECO</t>
  </si>
  <si>
    <t>ASLAM KASMBHAI SHDHWANI</t>
  </si>
  <si>
    <t>TATA LPT 4018</t>
  </si>
  <si>
    <t>ABBASBHAI MAMADBHAI SAICHA .</t>
  </si>
  <si>
    <t>79847 75646</t>
  </si>
  <si>
    <t xml:space="preserve"> KABRA IRFAN ABDULSATARBHAI</t>
  </si>
  <si>
    <t>98254 97611</t>
  </si>
  <si>
    <t>6355 912 468</t>
  </si>
  <si>
    <t>GJ36V5290</t>
  </si>
  <si>
    <t>RADHE GAS AGENCY</t>
  </si>
  <si>
    <t>98259 39406</t>
  </si>
  <si>
    <t>FN</t>
  </si>
  <si>
    <t>GJ04W0021</t>
  </si>
  <si>
    <t>BHARATBHAI BATUKDAS RAMANUJ</t>
  </si>
  <si>
    <t>90165 97086</t>
  </si>
  <si>
    <t>99095 02121</t>
  </si>
  <si>
    <t>98255 53356</t>
  </si>
  <si>
    <t>GJ36V3196</t>
  </si>
  <si>
    <t>HUSENBHAI HASABHAI LADHANI</t>
  </si>
  <si>
    <t>99744 52181</t>
  </si>
  <si>
    <t>GJ03BW0093</t>
  </si>
  <si>
    <t>YUNUSHBHAI N DAL</t>
  </si>
  <si>
    <t>GJ36T0058</t>
  </si>
  <si>
    <t>THEBA MAHMAD ABHRAM</t>
  </si>
  <si>
    <t xml:space="preserve"> 98254 17664</t>
  </si>
  <si>
    <t>GJ12BV9310</t>
  </si>
  <si>
    <t>AASIFBHAI YASINBHAI LOLADIYA</t>
  </si>
  <si>
    <t>95581 88881</t>
  </si>
  <si>
    <t>GJ08CC9638</t>
  </si>
  <si>
    <t>Mr Rup Singh</t>
  </si>
  <si>
    <t>GJ19X1745</t>
  </si>
  <si>
    <t xml:space="preserve"> 80008 11011</t>
  </si>
  <si>
    <t>GJ03BV5505</t>
  </si>
  <si>
    <t>KADARI ALFAJ ASGARALI</t>
  </si>
  <si>
    <t>GJ36V7796</t>
  </si>
  <si>
    <t>TATA TIPPER SIGNA 3525</t>
  </si>
  <si>
    <t>M/S SILVIYA IMPEX</t>
  </si>
  <si>
    <t>GJ18AZ7866</t>
  </si>
  <si>
    <t>HYUNDAI XCENT</t>
  </si>
  <si>
    <t>RAFIK RAJA</t>
  </si>
  <si>
    <t>RE COMPACT</t>
  </si>
  <si>
    <t>DEVJIBHAI MERUBHAI VARANIYA</t>
  </si>
  <si>
    <t>GJ03BW4077</t>
  </si>
  <si>
    <t>JAYSUKH BAVALIYA VIA FIROZ MADAKIYA</t>
  </si>
  <si>
    <t>TAHIR AGHAM</t>
  </si>
  <si>
    <t>UMAR AGHAM</t>
  </si>
  <si>
    <t>GJ36S1673</t>
  </si>
  <si>
    <t>JCB 3DX</t>
  </si>
  <si>
    <t>PRAKASH CHATURBHAI VASIYANI</t>
  </si>
  <si>
    <t>HANIF KAIDA</t>
  </si>
  <si>
    <t xml:space="preserve"> 94274 10561</t>
  </si>
  <si>
    <t>13/02/2024</t>
  </si>
  <si>
    <t>JITENDRABHAI VASANTBHAI POPAT</t>
  </si>
  <si>
    <t>M/SANKIT SILICATE</t>
  </si>
  <si>
    <t>GJ03Y7150</t>
  </si>
  <si>
    <t>DIWAN AYUBSHA MAHOBATSHA</t>
  </si>
  <si>
    <t>14/02/2024</t>
  </si>
  <si>
    <t>GJ36U7712</t>
  </si>
  <si>
    <t>3WGVC</t>
  </si>
  <si>
    <t>Bharatkumar .BOKHANI</t>
  </si>
  <si>
    <t>GJ36V7239</t>
  </si>
  <si>
    <t>TATA LPT1212</t>
  </si>
  <si>
    <t>MATHAKIYA ANIK MAHAMAD</t>
  </si>
  <si>
    <t>20/02/2025</t>
  </si>
  <si>
    <t xml:space="preserve">M/S BALAJI POLYMERS </t>
  </si>
  <si>
    <t>GJ36T0963</t>
  </si>
  <si>
    <t>GOHIL LAVJIBBHAI NATHABHAI</t>
  </si>
  <si>
    <t>15/02/2024</t>
  </si>
  <si>
    <t>GJ36U7282</t>
  </si>
  <si>
    <t>RIKSAH</t>
  </si>
  <si>
    <t>BARAIYA RAJESHBHAI NANAJIBHAI</t>
  </si>
  <si>
    <t>ASHOK LEYLAND 3116</t>
  </si>
  <si>
    <t>AYUBBHAI ABADULBHAI MULATANI</t>
  </si>
  <si>
    <t>GJ36V4046</t>
  </si>
  <si>
    <t>RANABHAI MULABHAI BHARVAD</t>
  </si>
  <si>
    <t>GJ36V6888</t>
  </si>
  <si>
    <t>VIJAY SANGRAMBHAI MEVADA</t>
  </si>
  <si>
    <t>16/02/2025</t>
  </si>
  <si>
    <t>GJ36V1448</t>
  </si>
  <si>
    <t>BHARATBHAI PARBATBHAI PARMAR</t>
  </si>
  <si>
    <t>GJ36U4721</t>
  </si>
  <si>
    <t>HASANBHAI OSMANBHAI MANEK</t>
  </si>
  <si>
    <t>GJ36U6421</t>
  </si>
  <si>
    <t>KATIYA ALIAKBAR KARIM</t>
  </si>
  <si>
    <t>16/02/2024</t>
  </si>
  <si>
    <t>GJ36V3378</t>
  </si>
  <si>
    <t>BHAVESHKUMAR CHANDULAL VADJA</t>
  </si>
  <si>
    <t>GJ06X7359</t>
  </si>
  <si>
    <t>ASHOK LEYLAND 1616</t>
  </si>
  <si>
    <t>HAJIBHAI SALEMANBHAI KHURESHI</t>
  </si>
  <si>
    <t>GJ36T9089</t>
  </si>
  <si>
    <t>PANCHASARA SUREHBHAI AVCHARBHAI</t>
  </si>
  <si>
    <t>17/02/2024</t>
  </si>
  <si>
    <t>HITENDRASINH CHANRASINH JADEJA</t>
  </si>
  <si>
    <t>RAJU MAKWANA DHROL</t>
  </si>
  <si>
    <t>BHATTI ANVAR JUSABBHAI</t>
  </si>
  <si>
    <t>JAYESHBHAI MANUBHAI GOGA</t>
  </si>
  <si>
    <t>GJ36T5993</t>
  </si>
  <si>
    <t>PHINIX MILK PRODUCT</t>
  </si>
  <si>
    <t>OMPRAKASH</t>
  </si>
  <si>
    <t>GHARIYELA MANSUKHBHAI RAMJIBHAI</t>
  </si>
  <si>
    <t>19/02/25</t>
  </si>
  <si>
    <t>GJ36U7541</t>
  </si>
  <si>
    <t>RATHOD DHIRABHAI PURABHA</t>
  </si>
  <si>
    <t>GJ26T8023</t>
  </si>
  <si>
    <t>HARDIK NANJIBHAI GHODASARA</t>
  </si>
  <si>
    <t>18/02/25</t>
  </si>
  <si>
    <t>GJ13AT2959</t>
  </si>
  <si>
    <t>MAHINDRA - BOLERO</t>
  </si>
  <si>
    <t>VALLABH GANDUBHAI SOLANKI</t>
  </si>
  <si>
    <t>GJ36T9779</t>
  </si>
  <si>
    <t>EICHER PRO 1080</t>
  </si>
  <si>
    <t>KARTIK PACKAGING</t>
  </si>
  <si>
    <t>20/02/25</t>
  </si>
  <si>
    <t>GJ36V1073</t>
  </si>
  <si>
    <t>BIJALBHAI DINESHBHAI THARESA</t>
  </si>
  <si>
    <t>Tata LPT 2515</t>
  </si>
  <si>
    <t>IQBAL SIDHIK TRAYA .</t>
  </si>
  <si>
    <t>GJ06AV5125</t>
  </si>
  <si>
    <t>3118 ASHOK LEYLAND</t>
  </si>
  <si>
    <t>MISS. BHARTI S TRIPATHI</t>
  </si>
  <si>
    <t>GJ18AU4497</t>
  </si>
  <si>
    <t>IMANI HAMADBIN HASANBHAI</t>
  </si>
  <si>
    <t>93285 62103</t>
  </si>
  <si>
    <t>79906 62393</t>
  </si>
  <si>
    <t>22/02/25</t>
  </si>
  <si>
    <t>VALIMAMADBHAI IBRAHIMBHAI PALEJA</t>
  </si>
  <si>
    <t>21/02/25</t>
  </si>
  <si>
    <t>SONRAT NILESHBHAI SHAMJIBHAI</t>
  </si>
  <si>
    <t>GJ12BZ5724</t>
  </si>
  <si>
    <t>RAFIK ABDULBHAI JEDA</t>
  </si>
  <si>
    <t>99136 40042</t>
  </si>
  <si>
    <t>IRFANBHAI I THEBA</t>
  </si>
  <si>
    <t>99259 68917</t>
  </si>
  <si>
    <t>MOVAR ABDULBHAI UMARBHAI</t>
  </si>
  <si>
    <t xml:space="preserve"> 99135 80098</t>
  </si>
  <si>
    <t>TATA ACE GOLD</t>
  </si>
  <si>
    <t>GADHIYA SATISHBHAI BALABHAI</t>
  </si>
  <si>
    <t>90163 04172</t>
  </si>
  <si>
    <t>23/02/2025</t>
  </si>
  <si>
    <t>VIKRAMBHAI DHIRAJLAL PANSARA</t>
  </si>
  <si>
    <t>GJ01DX6251</t>
  </si>
  <si>
    <t>SAVAJI MANUBHAI BHOJAVIYA</t>
  </si>
  <si>
    <t xml:space="preserve"> 99135 80519</t>
  </si>
  <si>
    <t>GJ36V1435</t>
  </si>
  <si>
    <t>NATADA DILIPBHAI MOHANBHAI</t>
  </si>
  <si>
    <t>T</t>
  </si>
  <si>
    <t>HITENDRASINH CHANDRASINHJI JADEJA</t>
  </si>
  <si>
    <t>98257 35651</t>
  </si>
  <si>
    <t>24/02/25</t>
  </si>
  <si>
    <t>ASHOK LEYLAND , 1616</t>
  </si>
  <si>
    <t>SHANKARBHAI MANSUKHBHAI JOGADIYA</t>
  </si>
  <si>
    <t xml:space="preserve"> 98791 37136</t>
  </si>
  <si>
    <t>EICHER - PRO 2114</t>
  </si>
  <si>
    <t>SANTOLA KHODABHAI MAHADEVBHAI</t>
  </si>
  <si>
    <t>G</t>
  </si>
  <si>
    <t>GJ36T9065</t>
  </si>
  <si>
    <t>DINESH INDUSTRIES</t>
  </si>
  <si>
    <t>99795 74007</t>
  </si>
  <si>
    <t>GJ36T5637</t>
  </si>
  <si>
    <t>NITINKUMAR DEVJIBHAI KHAVADIYA</t>
  </si>
  <si>
    <t xml:space="preserve"> 96874 35404</t>
  </si>
  <si>
    <t>GJ36T3276</t>
  </si>
  <si>
    <t>NITINKUMAR NARBHERAMBHAI MASOT</t>
  </si>
  <si>
    <t>96874 35404</t>
  </si>
  <si>
    <t xml:space="preserve"> 97274 50222</t>
  </si>
  <si>
    <t>GJ36U1332</t>
  </si>
  <si>
    <t>BHARAT SAGRAMBHAI GAMARA</t>
  </si>
  <si>
    <t>GJ37T3205</t>
  </si>
  <si>
    <t>MUKESHBHAI MAIYABHAI BAMBHAVA</t>
  </si>
  <si>
    <t>GJ36T8309</t>
  </si>
  <si>
    <t>SURESHBHAI AMRABHAI TOTA</t>
  </si>
  <si>
    <t>98253 15273</t>
  </si>
  <si>
    <t>GJ36V1137</t>
  </si>
  <si>
    <t>ASHOK LEYLAND 4825</t>
  </si>
  <si>
    <t>USMAN HASANBHAI VADAVIYA</t>
  </si>
  <si>
    <t xml:space="preserve"> 97257 94288</t>
  </si>
  <si>
    <t xml:space="preserve"> 98254 04974</t>
  </si>
  <si>
    <t>GJ36V7842</t>
  </si>
  <si>
    <t>SHAMJIBHAI POPATBHAI RANVA</t>
  </si>
  <si>
    <t>98792 72786</t>
  </si>
  <si>
    <t>26/02/25</t>
  </si>
  <si>
    <t>GJ36V1125</t>
  </si>
  <si>
    <t>GULAMHUSHEN YUNUSBHAI PARASARA</t>
  </si>
  <si>
    <t>97122 33674</t>
  </si>
  <si>
    <t>27/02/2025</t>
  </si>
  <si>
    <t>YAKUB ALAVDI BADI</t>
  </si>
  <si>
    <t xml:space="preserve"> 96248 93807</t>
  </si>
  <si>
    <t>GJ36T8071</t>
  </si>
  <si>
    <t>BABUBHAI MAIYABHAI ZAPADA</t>
  </si>
  <si>
    <t>VADHUKIYA SANJAYBHAI DILIPBHAI</t>
  </si>
  <si>
    <t>GJ36V9664</t>
  </si>
  <si>
    <t>DEVMURARI MANISH HASMUKHBHAI</t>
  </si>
  <si>
    <t>GJ36U7639</t>
  </si>
  <si>
    <t>KAIDA HANIF MAMAD</t>
  </si>
  <si>
    <t>CHEQUE BOUNCE RECOVERY</t>
  </si>
  <si>
    <t>GJ36V1332, GJ36T8963, GJ36T7090, GJ36V3498</t>
  </si>
  <si>
    <t>NET PAYABLE</t>
  </si>
  <si>
    <t>27/02/25</t>
  </si>
  <si>
    <t>GJ36V1921</t>
  </si>
  <si>
    <t>MAULIKBHAI MANHARBHAI DHORIYANI</t>
  </si>
  <si>
    <t> 99131 24488</t>
  </si>
  <si>
    <t>GJ36V5297</t>
  </si>
  <si>
    <t>ARBAZ HUSENBHAI KAIDA</t>
  </si>
  <si>
    <t>MULTANI YAMINBHAI SULEMANBHAI</t>
  </si>
  <si>
    <t xml:space="preserve"> 83203 36930</t>
  </si>
  <si>
    <t>28/02/2025</t>
  </si>
  <si>
    <t>28/02/25</t>
  </si>
  <si>
    <t>HETAL CHINTAN PATEL</t>
  </si>
  <si>
    <t xml:space="preserve"> 90167 49096</t>
  </si>
  <si>
    <t>GJ36U1848</t>
  </si>
  <si>
    <t>MAHMADBHAI CHANIYA</t>
  </si>
  <si>
    <t>GJ36L2466</t>
  </si>
  <si>
    <t>NH 3600-2</t>
  </si>
  <si>
    <t>MANKIYA HARUNBHAI ABUBHAI</t>
  </si>
  <si>
    <t>GJ36U1447</t>
  </si>
  <si>
    <t>HERANJA FARUKBHAI</t>
  </si>
  <si>
    <t>29/02/25</t>
  </si>
  <si>
    <t>ASHOK LEYLAND , 3520</t>
  </si>
  <si>
    <t>GJ36V0847</t>
  </si>
  <si>
    <t>M/S DEVANSHI BEVERAGES</t>
  </si>
  <si>
    <t>82386 99831</t>
  </si>
  <si>
    <t>BADI NIJAMUDIN ALIBHAI</t>
  </si>
  <si>
    <t>93163 10486</t>
  </si>
  <si>
    <t>GJ36U9845</t>
  </si>
  <si>
    <t>IQBAL A MOVAR</t>
  </si>
  <si>
    <t>SARTAJ GS 5252</t>
  </si>
  <si>
    <t>76220 18951</t>
  </si>
  <si>
    <t>GJ36T9890</t>
  </si>
  <si>
    <t>SURYADEEPSINH LAKHUBHA JADEJA</t>
  </si>
  <si>
    <t>80008 27345</t>
  </si>
  <si>
    <t>GJ36T9679</t>
  </si>
  <si>
    <t>FARUKBHAI KASAMBHAI KAIDA</t>
  </si>
  <si>
    <t>99255 00379</t>
  </si>
  <si>
    <t>A 1 CEMENT PIPE</t>
  </si>
  <si>
    <t>GJ36T6621</t>
  </si>
  <si>
    <t>MARU BHAVESH NARSANGBHA</t>
  </si>
  <si>
    <t>GJ36T9883</t>
  </si>
  <si>
    <t>BHAVESHBHAI GODHADIYA GORDHANBHAI</t>
  </si>
  <si>
    <t>GJ36T2105</t>
  </si>
  <si>
    <t>YUSUFBHAI SATARBHAI SHEKHFAKIR</t>
  </si>
  <si>
    <t>BHIKHABHAI BIJALBHAI RABARI</t>
  </si>
  <si>
    <t>MAHINDRA , ALFA -</t>
  </si>
  <si>
    <t>IMTIYAZ VAKALIA</t>
  </si>
  <si>
    <t>0403/2025</t>
  </si>
  <si>
    <t>GJ36V1954</t>
  </si>
  <si>
    <t>YASIN SULEMAN MASAKPAUTRA</t>
  </si>
  <si>
    <t>GJ36V4114</t>
  </si>
  <si>
    <t>JAGABHAI KESHABHAI DABHI</t>
  </si>
  <si>
    <t>99042 31389</t>
  </si>
  <si>
    <t>GJ36U2938</t>
  </si>
  <si>
    <t>ADAMBHAI AMINABHAI JANGIYA</t>
  </si>
  <si>
    <t>GJ03W5631</t>
  </si>
  <si>
    <t>BAJAJ TEMPO</t>
  </si>
  <si>
    <t>MAKWANA SHANTIBHAI MANGALBHAI</t>
  </si>
  <si>
    <t>97244 54858</t>
  </si>
  <si>
    <t>IFFCO TOKIO</t>
  </si>
  <si>
    <t>GJ36V1380</t>
  </si>
  <si>
    <t>BRIJESH RUPESHBHAI RAVESHIYA</t>
  </si>
  <si>
    <t>TATA LPT1815</t>
  </si>
  <si>
    <t>RATDIYA NILESHBHAI JAGJIVANBHAI</t>
  </si>
  <si>
    <t xml:space="preserve"> 97269 20399</t>
  </si>
  <si>
    <t>RATADIYA JITENDRA KUNVARJIBHA</t>
  </si>
  <si>
    <t>GJ03BY1878</t>
  </si>
  <si>
    <t>GHELABHAI VISABHAI ZAPADA</t>
  </si>
  <si>
    <t>77779 97704</t>
  </si>
  <si>
    <t>SIHORA DEHAR PATHUBHA</t>
  </si>
  <si>
    <t>GJ03BY1659</t>
  </si>
  <si>
    <t>MESURKUMAR VISABHAI ZAPDA</t>
  </si>
  <si>
    <t> 77779 97704</t>
  </si>
  <si>
    <t>ACE 14 XW</t>
  </si>
  <si>
    <t>HUSENBHAI MALABHAI SUMRA</t>
  </si>
  <si>
    <t>GJ36U7472</t>
  </si>
  <si>
    <t>PARMAR SATARBHAI JIVABHAI</t>
  </si>
  <si>
    <t>GJ36V1952</t>
  </si>
  <si>
    <t>MEHBUB HAUDARBHAI BHATI</t>
  </si>
  <si>
    <t>GJ36V2611</t>
  </si>
  <si>
    <t>MANJULABEN MANSHUKHBHAI KANJIYA</t>
  </si>
  <si>
    <t>84692 08181</t>
  </si>
  <si>
    <t>99254 09747</t>
  </si>
  <si>
    <t xml:space="preserve"> 99798 61378</t>
  </si>
  <si>
    <t>GJ36T2382</t>
  </si>
  <si>
    <t>AHIFBHAI JUSABBHAI SHEKH</t>
  </si>
  <si>
    <t xml:space="preserve"> 98254 97127</t>
  </si>
  <si>
    <t xml:space="preserve">RN </t>
  </si>
  <si>
    <t>GJ03U6729</t>
  </si>
  <si>
    <t>SFC 407</t>
  </si>
  <si>
    <t>MAYUDINBHAI MIYABHAI BUKHARI</t>
  </si>
  <si>
    <t>TATA 3118</t>
  </si>
  <si>
    <t>DIPAKBHAI H METHANIYA</t>
  </si>
  <si>
    <t xml:space="preserve"> 98252 44944</t>
  </si>
  <si>
    <t>ASIF KARIMKHA PATHAN</t>
  </si>
  <si>
    <t xml:space="preserve"> 87350 47000</t>
  </si>
  <si>
    <t>GJ36T2935</t>
  </si>
  <si>
    <t>SABBIRBHAI IBRAHIMBHAI KURESHI</t>
  </si>
  <si>
    <t>KANZARIYA RANCHHOD PRABHUBHAI</t>
  </si>
  <si>
    <t>BHUMBHARIYA ARJANBHAI JAGABHAI</t>
  </si>
  <si>
    <t>GJ36U9723</t>
  </si>
  <si>
    <t>SANJAYBHAI NAGAJIBHAI JINJAVADIA</t>
  </si>
  <si>
    <t>TATA  LPT 1512</t>
  </si>
  <si>
    <t>GJ36T2221</t>
  </si>
  <si>
    <t>MASANI UDESANGBHAI KANABHAI</t>
  </si>
  <si>
    <t>GJ36T3799</t>
  </si>
  <si>
    <t>DEVABHAI LILABHAI ZAMPADA</t>
  </si>
  <si>
    <t>: 3425</t>
  </si>
  <si>
    <t>ROHITKUMAR POPATBHAI MUDHAVA</t>
  </si>
  <si>
    <t>CHANIYA SALIM HUSENBHAI</t>
  </si>
  <si>
    <t>GOVINDBHAI VALJIBHAI SAVARIYA</t>
  </si>
  <si>
    <t>SAMA ALTAF MAMAD</t>
  </si>
  <si>
    <t>GJ03AX9822</t>
  </si>
  <si>
    <t>ASFAK JUSABBHAI MULTANI</t>
  </si>
  <si>
    <t>14/03/2025</t>
  </si>
  <si>
    <t>98796 95080</t>
  </si>
  <si>
    <t>GJ36T0095</t>
  </si>
  <si>
    <t>JITENDRABHAI MAVJIBHAI GHODASARA</t>
  </si>
  <si>
    <t xml:space="preserve"> 98254 03236</t>
  </si>
  <si>
    <t>16/03/2025</t>
  </si>
  <si>
    <t xml:space="preserve"> TATA LPT 1109</t>
  </si>
  <si>
    <t>HARJIBHAI RAGHAVBHAI GAMARA</t>
  </si>
  <si>
    <t>TATA MOTORS / LPT 1212</t>
  </si>
  <si>
    <t>13/03/2024</t>
  </si>
  <si>
    <t>GJ36T2457</t>
  </si>
  <si>
    <t>MAHINDRA &amp; MAHINDRA , JEETO - S6</t>
  </si>
  <si>
    <t>KAPIL DILIPBHAI POPAT</t>
  </si>
  <si>
    <t>GJ36V4322</t>
  </si>
  <si>
    <t>: BOLERO - PIK UP CBC 1.7T PS BS VI</t>
  </si>
  <si>
    <t>MANDANBHAI LIMBABHAI GARIYA</t>
  </si>
  <si>
    <t>14/03/2024</t>
  </si>
  <si>
    <t>ASHOK LEYLAND 3118 IL &amp; 8*2 MAV</t>
  </si>
  <si>
    <t>BHAVESH GUDHADA</t>
  </si>
  <si>
    <t>GJ03BV2481</t>
  </si>
  <si>
    <t>MAHINDRA , BOLERO - MAXI TRUCK</t>
  </si>
  <si>
    <t>MAHMAD ISMAILBHAI VIKIYA</t>
  </si>
  <si>
    <t>22/03/2025</t>
  </si>
  <si>
    <t>15/03/2024</t>
  </si>
  <si>
    <t>PARMAR RAFIKBHAI DAUDBHAI</t>
  </si>
  <si>
    <t>13/03/2025</t>
  </si>
  <si>
    <t>JITENDRABHAI KUNVARJIBHAI RATADIYA</t>
  </si>
  <si>
    <t>18/13/2025</t>
  </si>
  <si>
    <t xml:space="preserve">PIRJADA AJARUDIN SAMSUDIN </t>
  </si>
  <si>
    <t>15/03/2025</t>
  </si>
  <si>
    <t>NARANBHAI MERABHAI BHARVAD</t>
  </si>
  <si>
    <t>GJ03BT1982</t>
  </si>
  <si>
    <t>BOLERO - MAXI TRUCK PLUS MDI BS III</t>
  </si>
  <si>
    <t>GEEGORA GOKAL PETHA</t>
  </si>
  <si>
    <t>GJ36T8311</t>
  </si>
  <si>
    <t>D MAX</t>
  </si>
  <si>
    <t>J K AND SONS PETROLEUM</t>
  </si>
  <si>
    <t>GJ36T3584</t>
  </si>
  <si>
    <t>RAMJIBHAI BHOJABHAI GAMARA</t>
  </si>
  <si>
    <t>17/03/2025</t>
  </si>
  <si>
    <t>GJ03AZ4818</t>
  </si>
  <si>
    <t>GJ01DZ8288</t>
  </si>
  <si>
    <t>ASHOK LEYLAND 2214 &amp; 18S</t>
  </si>
  <si>
    <t>MELABHAI RAMABHAI BHARVAD</t>
  </si>
  <si>
    <t>ATUL AUTO , SMART - XD AQUA CNG</t>
  </si>
  <si>
    <t>SANJAY HANSRAJBHAI NARANIYA</t>
  </si>
  <si>
    <t>16/03/2024</t>
  </si>
  <si>
    <t>GJ36V3280</t>
  </si>
  <si>
    <t>SUNILKUMAR RAMESHBHAI CHARMARI</t>
  </si>
  <si>
    <t>18/03/2025</t>
  </si>
  <si>
    <t>GJ36V4225</t>
  </si>
  <si>
    <t xml:space="preserve">MAHINDRA SUPRO </t>
  </si>
  <si>
    <t>JAGDISHBHAI HARESHBHAI SHANURA</t>
  </si>
  <si>
    <t>GJ01ET5792</t>
  </si>
  <si>
    <t>MAHINDRA &amp; MAHINDRA , JEETO - X7</t>
  </si>
  <si>
    <t>ALPESHBHAI CHAUHAN</t>
  </si>
  <si>
    <t>ASHOK LEYLAND 3520</t>
  </si>
  <si>
    <t>97241 33310</t>
  </si>
  <si>
    <t>17/03/2024</t>
  </si>
  <si>
    <t>TUFELAHEMAD KASHMANI</t>
  </si>
  <si>
    <t>19/03/2024</t>
  </si>
  <si>
    <t>TATA MOTORS , SIGNA - 3525.K</t>
  </si>
  <si>
    <t>DEVJIBHAI SAVARIYA</t>
  </si>
  <si>
    <t>GJ36V9711</t>
  </si>
  <si>
    <t>MUNDHAVA NATHABHAI TEJABHAI</t>
  </si>
  <si>
    <t>GJ36T9915</t>
  </si>
  <si>
    <t>GJ13AT9589</t>
  </si>
  <si>
    <t>BOLERO - PIK UP FB 1.3T MS BS VI</t>
  </si>
  <si>
    <t>RAHUL JAYANTIBHAI PARMAR</t>
  </si>
  <si>
    <t>DIPAK PRAVINBHAI VARANIYA</t>
  </si>
  <si>
    <t>ASHOKBHAI BHUPATBHAI CHAUHAN</t>
  </si>
  <si>
    <t>20/03/2024</t>
  </si>
  <si>
    <t>GJ11VV3116</t>
  </si>
  <si>
    <t xml:space="preserve">: BADA DOST </t>
  </si>
  <si>
    <t>MAHMAD ISMAILBHAI HALEPAUTRA</t>
  </si>
  <si>
    <t>19/03/2025</t>
  </si>
  <si>
    <t>BOLERO - CAMPER DLX</t>
  </si>
  <si>
    <t>VADAVARIYA SALIM GULAMHUSENBHA</t>
  </si>
  <si>
    <t>GJ03BY2363</t>
  </si>
  <si>
    <t>MANSIYA MAHEBUB RASULBHAI</t>
  </si>
  <si>
    <t>21/03/2025</t>
  </si>
  <si>
    <t>GJ36V4437</t>
  </si>
  <si>
    <t>20/03/2025</t>
  </si>
  <si>
    <t>21/03/2024</t>
  </si>
  <si>
    <t>GJ36U7898</t>
  </si>
  <si>
    <t>RAJGOR RAKESHBHAI RAGHUBHA</t>
  </si>
  <si>
    <t>NADIM JAVIDBHAI KALADIYA</t>
  </si>
  <si>
    <t>22/03/2024</t>
  </si>
  <si>
    <t>GJ36T1519</t>
  </si>
  <si>
    <t>MEHUL DHIRUBHAI KONDHIYA</t>
  </si>
  <si>
    <t>BHARAT BENZ 3523R</t>
  </si>
  <si>
    <t>PANCHIYA CHHANABHAI HIRABHAI</t>
  </si>
  <si>
    <t>GJ36T7473</t>
  </si>
  <si>
    <t>PATHAN SARFRAJKHAN</t>
  </si>
  <si>
    <t>23/03/2024</t>
  </si>
  <si>
    <t>GJ03BV0471</t>
  </si>
  <si>
    <t>SML ISUZU LIMITED / SARTAJ HG72</t>
  </si>
  <si>
    <t>23/03/2025</t>
  </si>
  <si>
    <t>RAJESHBHAI BHAGVANJIBHAI SINOJIYA</t>
  </si>
  <si>
    <t>GJ36T8437</t>
  </si>
  <si>
    <t>MAHINDRA - BOLERO MAXI TRUCK PLUS MS 1.2T BS6</t>
  </si>
  <si>
    <t>MAHESH TRIBHOVAN SUVARIYA</t>
  </si>
  <si>
    <t>24/03/2024</t>
  </si>
  <si>
    <t>GJ36T2046</t>
  </si>
  <si>
    <t>BOLERO - PIK UP 1.3T FB PS BSVI</t>
  </si>
  <si>
    <t>RAHIMBHAI SANGANBHAI MOVAR</t>
  </si>
  <si>
    <t>TATA LPT &amp; 1109/42 CLB HEX2 BS - III</t>
  </si>
  <si>
    <t>RAHIMBHAI JUMABHAI SUMRA</t>
  </si>
  <si>
    <t>25/03/2024</t>
  </si>
  <si>
    <t>GJ36T4447</t>
  </si>
  <si>
    <t>MAHEBUBKHA BAJIDKHA KHORAM</t>
  </si>
  <si>
    <t>ARJANBHAI CHHELABHAI BHARVAD</t>
  </si>
  <si>
    <t>GJ17TT2750</t>
  </si>
  <si>
    <t>BOLERO - CAMPER GOLD VX 2WD BS- IV</t>
  </si>
  <si>
    <t>SADURBHAI MACHCHHABHAI MUNDHAVA</t>
  </si>
  <si>
    <t>27/03/2024</t>
  </si>
  <si>
    <t>GJ36V3862</t>
  </si>
  <si>
    <t>JALPESHKUMAR RAMESHKUMAR DOSHI</t>
  </si>
  <si>
    <t>HADIYA LALJI GOKALBHAI</t>
  </si>
  <si>
    <t>GJ36V1071</t>
  </si>
  <si>
    <t xml:space="preserve">TATA SIGNA 3530 </t>
  </si>
  <si>
    <t>GJ14Z2326</t>
  </si>
  <si>
    <t>RAHILBHAI IQBALBHAI KHIMANI</t>
  </si>
  <si>
    <t>GJ36V3932</t>
  </si>
  <si>
    <t>TATA MOTORS , LPT 1815 - DCR48HSD 155B6M5</t>
  </si>
  <si>
    <t>MUSTAK YAKUBBHAI SUMARA</t>
  </si>
  <si>
    <t>GJ13AT9548</t>
  </si>
  <si>
    <t>MAHINDRA AND MAHINDRA - BOLERO PICKUP FB PS 1.3T BS 6</t>
  </si>
  <si>
    <t>DABHI KESHUBHAI SHAMAJIBHAI</t>
  </si>
  <si>
    <t>GJ36T6022</t>
  </si>
  <si>
    <t>ASHOK LEYLAND - DOST PLUS RLS PS BS 6</t>
  </si>
  <si>
    <t>NILESHBHAI GOVINDBHAI SAVDHARIYA</t>
  </si>
  <si>
    <t>TATA MOTORS - ACE GOLD BS 6</t>
  </si>
  <si>
    <t>NANJIBHAI VIKANI</t>
  </si>
  <si>
    <t>28/03/2024</t>
  </si>
  <si>
    <t>GJ36V3913</t>
  </si>
  <si>
    <t>RATADIYA VIKRAMBHAIKHODABHAI</t>
  </si>
  <si>
    <t>CHAUHAN RAMESH PREMJIBHAI</t>
  </si>
  <si>
    <t>GJ36V1384</t>
  </si>
  <si>
    <t>RAMESHBHAI RAGHABHAI SODHIYA</t>
  </si>
  <si>
    <t>GJ36U6709</t>
  </si>
  <si>
    <t>MAXIMA-Z</t>
  </si>
  <si>
    <t>KATODIYA RAILESH MACHHA</t>
  </si>
  <si>
    <t>GJ36T6215</t>
  </si>
  <si>
    <t>TATA MOTORS , ACE - MEGA</t>
  </si>
  <si>
    <t>KANZARIYA JAYESH NATVARLAL</t>
  </si>
  <si>
    <t>29/03/2024</t>
  </si>
  <si>
    <t>INDRASINH PRABHAT SINH</t>
  </si>
  <si>
    <t>30/03/2024</t>
  </si>
  <si>
    <t>taxi</t>
  </si>
  <si>
    <t>GJ03BX9191</t>
  </si>
  <si>
    <t>OPTIMA</t>
  </si>
  <si>
    <t>ATUL</t>
  </si>
  <si>
    <t>GJ36V1206</t>
  </si>
  <si>
    <t>GJ36V1487</t>
  </si>
  <si>
    <t>GJ36U7821</t>
  </si>
  <si>
    <t>BAJAJ AUTO - MAXIMA Z CNG BS 6</t>
  </si>
  <si>
    <t>AMITBHAI MADHABHAI ZINZUVADIYA</t>
  </si>
  <si>
    <t>MANJIBHAI PREMJIBHAI VADHLEKIYA</t>
  </si>
  <si>
    <t>GJ36V1356</t>
  </si>
  <si>
    <t>ASHOK LEYLAND / 4825 TRUCK</t>
  </si>
  <si>
    <t>RAJESHBHAI GORDHANBHAI RATHOD</t>
  </si>
  <si>
    <t>TATA MOTORS , LPT 1412 - 42 CRX 497 CR BSIV</t>
  </si>
  <si>
    <t>RATDIYA NILESHBHAI JAGJIVANBHA</t>
  </si>
  <si>
    <t>GJ03BV0047</t>
  </si>
  <si>
    <t>MARUTI SUZUKI / EECO / 5 STR WITH A/C+HTR</t>
  </si>
  <si>
    <t>FIROJ HAJIBHAI MANOTHI</t>
  </si>
  <si>
    <t>GJ36V3894</t>
  </si>
  <si>
    <t>BOLERO MAXX PUP - CITY 3000 VX BSVI</t>
  </si>
  <si>
    <t>GOPAL RAMESHBHAI BHOJAVIYA</t>
  </si>
  <si>
    <t>GJ36T6232</t>
  </si>
  <si>
    <t>MUKESHBHAI MAGANBHAI MALASANA</t>
  </si>
  <si>
    <t>GJ20V6161</t>
  </si>
  <si>
    <t>TATA MOTORS / LPT 1109/42 TRUCK</t>
  </si>
  <si>
    <t>GOSVAMI ALPESH KISHORVAN</t>
  </si>
  <si>
    <t>GJ36V3524</t>
  </si>
  <si>
    <t>AMITBHAI DILIPBHAI DELVADIYA</t>
  </si>
  <si>
    <t xml:space="preserve">RZ </t>
  </si>
  <si>
    <t>GJ03BW0568</t>
  </si>
  <si>
    <t>EICHER PRO 1109</t>
  </si>
  <si>
    <t>AJAJ HUSENBHAI JINDANI</t>
  </si>
  <si>
    <t>AMRELIYA IRFAN OSMANBHA</t>
  </si>
  <si>
    <t>GJ03AT3500</t>
  </si>
  <si>
    <t>MAJID ALIBHAI DALVANI</t>
  </si>
  <si>
    <t>ASHOK LEYLAND BADA DOST</t>
  </si>
  <si>
    <t>POLYCORE FAB LLP</t>
  </si>
  <si>
    <t>HASMUKHBHAI MAJETHIYA</t>
  </si>
  <si>
    <t>GJ36U9762</t>
  </si>
  <si>
    <t>BHATTI ASHANBHAI KARIMBHAI</t>
  </si>
  <si>
    <t>TATA MOTORS , LPT 4825 - BSVI 10X2</t>
  </si>
  <si>
    <t>PATHAN IMRANKHAN HAMIDKHAN</t>
  </si>
  <si>
    <t>MAKSUDBHAI RAHIMBHAI GHONIYA .</t>
  </si>
  <si>
    <t>EICHER MOTOR / EICHER 10.59.</t>
  </si>
  <si>
    <t>ALLAUDIN HAMIRKHA KHORAM</t>
  </si>
  <si>
    <t>GJ36U7977</t>
  </si>
  <si>
    <t>BAJAJ AUTO - RE CNG 4S FI BS6</t>
  </si>
  <si>
    <t>JAFARSHA SHAHMADAR</t>
  </si>
  <si>
    <t>GJ36T6031</t>
  </si>
  <si>
    <t>TATA MOTORS , LPT 1412 - CR X 42 WB BSIV</t>
  </si>
  <si>
    <t>PARMAR BHARATBHAI HARILAL</t>
  </si>
  <si>
    <t>GJ36T5861</t>
  </si>
  <si>
    <t>KHAMBHALA KANJI BHAI</t>
  </si>
  <si>
    <t>AL GOPALBHAI RAMJIBHAI</t>
  </si>
  <si>
    <t>KADARBHAI BHIKHABHAI KESHUR</t>
  </si>
  <si>
    <t>DOST - RLS BSIV</t>
  </si>
  <si>
    <t>CHAVDA ANSHUMAN LALJIBHAI</t>
  </si>
  <si>
    <t>GJ36T6331</t>
  </si>
  <si>
    <t>TATA MOTORS , LPT 1412 - 42 CRX TRUCK BSIII</t>
  </si>
  <si>
    <t>CHOVISI INDANE GRAMIN VITARAK</t>
  </si>
  <si>
    <t>GJ36V9563</t>
  </si>
  <si>
    <t>TATA MOTORS , LPK 3118 - CR 8X4 BS IV</t>
  </si>
  <si>
    <t>BHARATBHAI VANUBHAI SANGHANI</t>
  </si>
  <si>
    <t>BHUPATBHAI MAGANBHAI MAKVANA</t>
  </si>
  <si>
    <t>13/04/2024</t>
  </si>
  <si>
    <t>GJ03AZ4407</t>
  </si>
  <si>
    <t>ATUL AUTO , ATUL SHAKTI - DELIVERY VAN</t>
  </si>
  <si>
    <t>SIKANDARBHAI IKBALBHAI PILUDIYA</t>
  </si>
  <si>
    <t>GJ36U7354</t>
  </si>
  <si>
    <t>GJ36T3264</t>
  </si>
  <si>
    <t>TATA XENON</t>
  </si>
  <si>
    <t>16/04/2024</t>
  </si>
  <si>
    <t>GJ36T3691</t>
  </si>
  <si>
    <t>MAHINDRA AND MAHINDRA - SUPRO MAXITRUCK T2 BS6</t>
  </si>
  <si>
    <t>DANGAR KARASHANBHAI GELABHAI</t>
  </si>
  <si>
    <t>GJ14Z6296</t>
  </si>
  <si>
    <t>TATA MOTORS / LPT 1109 TRUCK</t>
  </si>
  <si>
    <t>PRAKASH DIPAKBHAI PARMAR</t>
  </si>
  <si>
    <t>22/04/2024</t>
  </si>
  <si>
    <t>GJ36V4004</t>
  </si>
  <si>
    <t>SML ISUZU LIMITED / S7 4240 AC</t>
  </si>
  <si>
    <t>19/04/2024</t>
  </si>
  <si>
    <t>GJ36V4363</t>
  </si>
  <si>
    <t>GJ36V4315</t>
  </si>
  <si>
    <t>GJ18AU9311</t>
  </si>
  <si>
    <t>Terra 25 Tipper</t>
  </si>
  <si>
    <t>16/04/2025</t>
  </si>
  <si>
    <t>GJ36V4909</t>
  </si>
  <si>
    <t>GJ36V4339</t>
  </si>
  <si>
    <t>GJ06YY4375</t>
  </si>
  <si>
    <t>HAMADBIN HASHANBHAI IMANI</t>
  </si>
  <si>
    <t>GJ36V4572</t>
  </si>
  <si>
    <t>GJ18AV4630</t>
  </si>
  <si>
    <t>ASHOK LEYLAND 3118 &amp; T 8X4 BSIV</t>
  </si>
  <si>
    <t>WAHAJUDDIN KHAN</t>
  </si>
  <si>
    <t>GJ13AW0705</t>
  </si>
  <si>
    <t>DANGAR NAVGHANBHAI KARASHANBHAI</t>
  </si>
  <si>
    <t>17/04/2024</t>
  </si>
  <si>
    <t>ASHOK LEYLAND , 3116 - 8X2</t>
  </si>
  <si>
    <t>PARMAR ASHVIN VALABHBHA</t>
  </si>
  <si>
    <t>18/04/2024</t>
  </si>
  <si>
    <t>MARUTI , SUPER CARRY - BSIV MINI TRUCK</t>
  </si>
  <si>
    <t>KEVAL HASMUKH JOBANPUTRA</t>
  </si>
  <si>
    <t>GJ14X8869</t>
  </si>
  <si>
    <t>ASHOK LEYLAND 3118 IL &amp; 3K BSIII</t>
  </si>
  <si>
    <t>AJADIYA SANJAYKUMAR NARSHIBHAI</t>
  </si>
  <si>
    <t>GJ36V0894</t>
  </si>
  <si>
    <t>MAHINDRA AND MAHINDRA - SUPRO MINITRUCK</t>
  </si>
  <si>
    <t>VAKALIYA IRFANYASIN USMANBHAI</t>
  </si>
  <si>
    <t>GJ03BU3305</t>
  </si>
  <si>
    <t>BAJAJ AUTO - BAJAJ RE COMPACT CNG 4S FI BS6</t>
  </si>
  <si>
    <t>TOWFIQ IBRAHIMBHAI LANJA</t>
  </si>
  <si>
    <t>GJ36T6030</t>
  </si>
  <si>
    <t>TATA LPK &amp; 3118 CR 8X4 BSIV</t>
  </si>
  <si>
    <t>PATEL VASUDEVBHAI NARAYANBHAI</t>
  </si>
  <si>
    <t>20/04/202</t>
  </si>
  <si>
    <t>ASHOK LEYLAND 3116 &amp; H 8X2 GOODS</t>
  </si>
  <si>
    <t>GJ36U8274</t>
  </si>
  <si>
    <t>PIPARVADIYA  SIKANDAR PIRBHAI</t>
  </si>
  <si>
    <t>TATA MOTORS - ACE HT BS 4</t>
  </si>
  <si>
    <t>IDRISH BLOCH</t>
  </si>
  <si>
    <t>20/04/2024</t>
  </si>
  <si>
    <t>TATA MOTORS - INTRA V30 AC BS 6</t>
  </si>
  <si>
    <t>NILESH KHAMBHALA</t>
  </si>
  <si>
    <t>BAJAJ AUTO LIMITED , MAXIMA C - CNG</t>
  </si>
  <si>
    <t>KHAMBHALA DEVRAJBHAI NARANBHAI</t>
  </si>
  <si>
    <t>TATA MOTORS / TATA SFC 407</t>
  </si>
  <si>
    <t>ASHOK LEYLAND - 3116 IL 5200 WB COWL</t>
  </si>
  <si>
    <t>RAJUBHAI JESINGBHAI GHUSADIYA</t>
  </si>
  <si>
    <t>21/04/2024</t>
  </si>
  <si>
    <t>GJ36T2727</t>
  </si>
  <si>
    <t>SANDIP RAMBHAI CHAVDA</t>
  </si>
  <si>
    <t>GJ36V3188</t>
  </si>
  <si>
    <t>BHATTI AKBARBHAI</t>
  </si>
  <si>
    <t>DHAVALBHAI DINESHBHAI RACHCHH</t>
  </si>
  <si>
    <t>GJ36V4072</t>
  </si>
  <si>
    <t>RAJESHBHAI HINDUBHAI TOLIYA</t>
  </si>
  <si>
    <t>BOLERO - MAXI TRUCK PLUS PS 1.2 BS VI</t>
  </si>
  <si>
    <t>KISHORBHAI GOPLABHAI RATHOD</t>
  </si>
  <si>
    <t>23/04/2024</t>
  </si>
  <si>
    <t>Ecomet 1214</t>
  </si>
  <si>
    <t>SIPAI MUNVAR FARUK</t>
  </si>
  <si>
    <t>24/04/2024</t>
  </si>
  <si>
    <t>M/S EMINENCE CLOCK GIFT MANUFACTURERS</t>
  </si>
  <si>
    <t>GJ36T9525</t>
  </si>
  <si>
    <t>BOLERO - MAXI TRUCK PLUS PS 1.2</t>
  </si>
  <si>
    <t>VIJAY RAMESHBHAI KANKARECHA</t>
  </si>
  <si>
    <t xml:space="preserve"> 25/04/2024</t>
  </si>
  <si>
    <t>26/04/2024</t>
  </si>
  <si>
    <t>GJ08P0330</t>
  </si>
  <si>
    <t xml:space="preserve"> MAHINDRA &amp; MAHINDRA  SWARAJ - 735</t>
  </si>
  <si>
    <t>HANIFBHAI MUSABHAI</t>
  </si>
  <si>
    <t>GJ36T9597</t>
  </si>
  <si>
    <t>28/ 04/2025</t>
  </si>
  <si>
    <t>TATA MOTORS/LPT 909/EX/CLOSED/TRUCK</t>
  </si>
  <si>
    <t>LALJI VASUDEVBHAI LAMBARIYA</t>
  </si>
  <si>
    <t>TATA  AIG</t>
  </si>
  <si>
    <t>27/04/2024</t>
  </si>
  <si>
    <t>TATA 3118 &amp; TC</t>
  </si>
  <si>
    <t>MAHINDRA/BOLERO/PICK UP FB 1.3T MS ES/OPEN/PICK UP VAN</t>
  </si>
  <si>
    <t>PABSARIYA KANJI CHAGANBHAI</t>
  </si>
  <si>
    <t>28/04/2025</t>
  </si>
  <si>
    <t>28/04/2024</t>
  </si>
  <si>
    <t>GJ04AW3700</t>
  </si>
  <si>
    <t>JAYPALSINH ASHOKSINH JADEJA</t>
  </si>
  <si>
    <t>29/04/2024</t>
  </si>
  <si>
    <t>GJ16AW0545</t>
  </si>
  <si>
    <t>ASHOK LEYLAND 3116 &amp; 5 STR</t>
  </si>
  <si>
    <t>SHAILESHBHAI ARAJANBHAI AJANA</t>
  </si>
  <si>
    <t>GJ36U2261</t>
  </si>
  <si>
    <t>BAJAJ RE COMPACT</t>
  </si>
  <si>
    <t>CHAUHAN SAGAR ANOPSINH</t>
  </si>
  <si>
    <t>CHOTAI RAJESH DHIRAJLAL</t>
  </si>
  <si>
    <t>BHAVESHBHAI BIJALBHAI MUNDHAVA</t>
  </si>
  <si>
    <t>30/04/2024</t>
  </si>
  <si>
    <t>GJ36V6329</t>
  </si>
  <si>
    <t>TATA MOTORS / LPT 1109</t>
  </si>
  <si>
    <t>GAMARA KARANABHAI RAGHAVBHAI</t>
  </si>
  <si>
    <t>SOLANKI ASIFBHAI VALIBHA</t>
  </si>
  <si>
    <t>KHINT ARJUN RAIYABHAI</t>
  </si>
  <si>
    <t>GJ03AZ7992</t>
  </si>
  <si>
    <t>AL 3116</t>
  </si>
  <si>
    <t>GJ36T8883</t>
  </si>
  <si>
    <t>ASHOK LEYLAND , 3118 - IL 8X2</t>
  </si>
  <si>
    <t>ASHOK LEYLAND , DOST</t>
  </si>
  <si>
    <t>KUNDHIYA ARJUN KESHUBHAI</t>
  </si>
  <si>
    <t>ASHOK LEYLAND , 2516 - IL</t>
  </si>
  <si>
    <t>BHATTI AKBARBHAI KASAMBHAI</t>
  </si>
  <si>
    <t>GJ36T2121</t>
  </si>
  <si>
    <t>SAJID SALIMAMAD SUMRA .</t>
  </si>
  <si>
    <t>TOFIKBHAI HANIFBHAI PARMAR</t>
  </si>
  <si>
    <t>GJ03BT0334</t>
  </si>
  <si>
    <t>ABDULBHAI IBRAHIMBHAI DALVANI</t>
  </si>
  <si>
    <t>GJ36V4436</t>
  </si>
  <si>
    <t>RAJKUMAR LALJIBHAI KANANI</t>
  </si>
  <si>
    <t>GJ36U9440</t>
  </si>
  <si>
    <t xml:space="preserve"> RAHIMBHAI ALIBHAI SOTA</t>
  </si>
  <si>
    <t>GHONIYA AVESHBHAI RAFIKBHAI</t>
  </si>
  <si>
    <t>GJ03BY2865</t>
  </si>
  <si>
    <t>TATA MOTORS / LPT 1109G</t>
  </si>
  <si>
    <t>SHAHID SHIDIKBHAI RAVANI</t>
  </si>
  <si>
    <t>MAHINDRA/BOLERO/BIG PICK UP 1.25T PS/OPEN/PICK UP VAN</t>
  </si>
  <si>
    <t>VIRABHAI BHOPABHAI TOTA</t>
  </si>
  <si>
    <t>TATA MOTORS/SFC 709/STD/CLOSED/TANKER</t>
  </si>
  <si>
    <t>SUNIL BHAGVANJIBHAI LATHIYA</t>
  </si>
  <si>
    <t>GJ36U5559</t>
  </si>
  <si>
    <t>VEKARIYA BABO BHIKHALAL</t>
  </si>
  <si>
    <t>GJ36T3096</t>
  </si>
  <si>
    <t>ASHOK LEYLAND/DOST/PLUS</t>
  </si>
  <si>
    <t>GAFUR HUSEN BHATTI</t>
  </si>
  <si>
    <t>GJ36X3087</t>
  </si>
  <si>
    <t>Tata Motors,LPT 4825-BSVI 10X2</t>
  </si>
  <si>
    <t>NEW SHINDHOIKRUPA ROADLINES</t>
  </si>
  <si>
    <t>SANJAYKUMAR MAKANBHAI KAVAR</t>
  </si>
  <si>
    <t>GJ36X3086</t>
  </si>
  <si>
    <t>HARSIDDHI ROADLINES</t>
  </si>
  <si>
    <t>GJ36X3088</t>
  </si>
  <si>
    <t>BOL MAXX PUP HD - 2.0 VXI BSVI</t>
  </si>
  <si>
    <t>GJ36U5738</t>
  </si>
  <si>
    <t>SEVANGIA ASIF USMANBHAI</t>
  </si>
  <si>
    <t>GJ38BE2350</t>
  </si>
  <si>
    <t>TRAX&amp;CRUISER CLASSIC</t>
  </si>
  <si>
    <t>MALEK AKBARKHAN HABIBKHAN</t>
  </si>
  <si>
    <t>KANZARIYA MUKESHBHAI DEVJIBHAI</t>
  </si>
  <si>
    <t>LALJIBHAI PREMJIBHAI PARMAR</t>
  </si>
  <si>
    <t>13/05/2024</t>
  </si>
  <si>
    <t>GJ36U8076</t>
  </si>
  <si>
    <t>PCV</t>
  </si>
  <si>
    <t>BAJAJ AUTO/MAXIMA/Z 4/Motorized Rickshaw/AUTO RICKSHAW</t>
  </si>
  <si>
    <t>MUKESH SATABHAI FANGALIYA</t>
  </si>
  <si>
    <t>14/05/2024</t>
  </si>
  <si>
    <t>GJ36V4029</t>
  </si>
  <si>
    <t>VARANIYA KHEGAR AVCHARBHAI</t>
  </si>
  <si>
    <t>TATA SIGNA 3525</t>
  </si>
  <si>
    <t>GJ07Z9598</t>
  </si>
  <si>
    <t>TATA MOTORS/LP 709/38 COWL EX BS2/OPEN/TRUCK</t>
  </si>
  <si>
    <t>GOHEL MANSUKHBHAI GANDUBHAI</t>
  </si>
  <si>
    <t>GJ36U8279</t>
  </si>
  <si>
    <t>HINGROJA AHEMAD KARIMBHAI</t>
  </si>
  <si>
    <t>GJ36U2182</t>
  </si>
  <si>
    <t>13/05/2025</t>
  </si>
  <si>
    <t>15/05/2024</t>
  </si>
  <si>
    <t>GJ36U8071</t>
  </si>
  <si>
    <t>MAKWANA PRAVINBHAI RAVJIBHAI</t>
  </si>
  <si>
    <t>16/05/2024</t>
  </si>
  <si>
    <t>DOST PLUS - RLS</t>
  </si>
  <si>
    <t>16/05/2025</t>
  </si>
  <si>
    <t>GJ36X9469</t>
  </si>
  <si>
    <t>TATA MOTORS , SIGNA - 3530.TK</t>
  </si>
  <si>
    <t>SANGHANI JITENDRA VANUBHAI</t>
  </si>
  <si>
    <t>17/05/2024</t>
  </si>
  <si>
    <t>GJ36T8544</t>
  </si>
  <si>
    <t>GAMARA MULJIBHAI TAPUBHAI</t>
  </si>
  <si>
    <t>GJ03Z9642</t>
  </si>
  <si>
    <t>ICV CLASS C.2 CARRYCAPACITY 11</t>
  </si>
  <si>
    <t>KALIYA KANYA MAHEDA</t>
  </si>
  <si>
    <t>iFFCO-TOKIYO</t>
  </si>
  <si>
    <t>GJ36U2085</t>
  </si>
  <si>
    <t>BAJAJ AUTO - RE COMPACT PLUS</t>
  </si>
  <si>
    <t>CHUNILAL RANCHHODBHAI UCHANA</t>
  </si>
  <si>
    <t>GJ36T5889</t>
  </si>
  <si>
    <t>ASHOK LEYLAND , 3118 - T</t>
  </si>
  <si>
    <t>MAHINDRA AND MAHINDRA - BOLERO MAXI TRUCK PLUS BS 4 PS 1.2T</t>
  </si>
  <si>
    <t>RAJENDRABHAI CHAVADA</t>
  </si>
  <si>
    <t>18/05/2025</t>
  </si>
  <si>
    <t>GJ11X8673</t>
  </si>
  <si>
    <t>KAILASHBHAI DAYABHAI DHEDHI</t>
  </si>
  <si>
    <t>18/05/2024</t>
  </si>
  <si>
    <t>GJ36T0613</t>
  </si>
  <si>
    <t>AIYUBBHAI KARIMBHAI AJMER</t>
  </si>
  <si>
    <t>GJ03BT8003</t>
  </si>
  <si>
    <t>NATHABHAI SOMABHAI SHEKH</t>
  </si>
  <si>
    <t>M &amp; M / BIG BOLERO PIK UP CBC</t>
  </si>
  <si>
    <t>RAJAK KARIMBHAI CHAUHAN</t>
  </si>
  <si>
    <t>19/05/2025</t>
  </si>
  <si>
    <t>19/05/2024</t>
  </si>
  <si>
    <t>GJ03BW4091</t>
  </si>
  <si>
    <t>CHETAN RATHOD</t>
  </si>
  <si>
    <t>20/05/2024</t>
  </si>
  <si>
    <t>GJ36X1375</t>
  </si>
  <si>
    <t>TATA SIGNA 3530</t>
  </si>
  <si>
    <t>GJ36V4009</t>
  </si>
  <si>
    <t>SIGNA 3530</t>
  </si>
  <si>
    <t>21/05/2024</t>
  </si>
  <si>
    <t>DELVADIYA MERAM NARSHIBHAI</t>
  </si>
  <si>
    <t>GJ36U1186</t>
  </si>
  <si>
    <t>BAJAJ AUTO/RE/COMPACT CNG 4S/Motorized Rickshaw/AUTO RICKSHAW</t>
  </si>
  <si>
    <t>SHAHAMDAR GAFURSHA VALISHA</t>
  </si>
  <si>
    <t>GJ36U4670</t>
  </si>
  <si>
    <t>KATIYA JANAMAMAD UMEDALI</t>
  </si>
  <si>
    <t>GJ36U7318</t>
  </si>
  <si>
    <t>SALIM BAVASHAH KAJEDIYA</t>
  </si>
  <si>
    <t>GJ36U8056</t>
  </si>
  <si>
    <t>PAPPUBHAI VASTABHAI PANSARA</t>
  </si>
  <si>
    <t>GJ12AT7680</t>
  </si>
  <si>
    <t>ASHOK LEYLAND , AL 2214 - 18S SUPER</t>
  </si>
  <si>
    <t>Navghanbhai Khengarbhai Rabari</t>
  </si>
  <si>
    <t>Ashok Leyland Ltd. 2516 IL</t>
  </si>
  <si>
    <t>JITENDRASINH DILAVARSINH JADEJA</t>
  </si>
  <si>
    <t>22/05/2024</t>
  </si>
  <si>
    <t>GJ18AU9901</t>
  </si>
  <si>
    <t xml:space="preserve"> ASHOK LEYLAND 3116 IL / 5900MM 225 WB</t>
  </si>
  <si>
    <t>BHARATBHAI GUNABHAI OLAKIYA</t>
  </si>
  <si>
    <t>GJ36X4445</t>
  </si>
  <si>
    <t>Tata Motors,LPT 1815-DCR48HSD 160B6M6</t>
  </si>
  <si>
    <t>ANVARBHAI IBRAHIMBHAI MOTLANI</t>
  </si>
  <si>
    <t>24/05/2024</t>
  </si>
  <si>
    <t>GJ36U8205</t>
  </si>
  <si>
    <t>PANSARA SANJAY JAYSUKHBHAI</t>
  </si>
  <si>
    <t>25/05/2024</t>
  </si>
  <si>
    <t>GJ36U4966</t>
  </si>
  <si>
    <t>MAKWANA IQBAL AADAMBHAI</t>
  </si>
  <si>
    <t>GJ36U2477</t>
  </si>
  <si>
    <t>ATUL AUTO/SHAKTI/HD BS4/OPEN/PICK UP VAN</t>
  </si>
  <si>
    <t>SAGAR SHAILESH SAVAJIBHAI</t>
  </si>
  <si>
    <t>GJ36U9771</t>
  </si>
  <si>
    <t>BHARAT MAYABHAI BHARVAD</t>
  </si>
  <si>
    <t>GJ36U2481</t>
  </si>
  <si>
    <t>BAJAJ AUTO/RE/COMPACT PLUS</t>
  </si>
  <si>
    <t>RAMGIYA TARUN CHANDULAL</t>
  </si>
  <si>
    <t>26/05/2024</t>
  </si>
  <si>
    <t>ASHOK LEYLAND/DOST/LITE LS FSD/OPEN/PICK UP VAN</t>
  </si>
  <si>
    <t>28/05/2024</t>
  </si>
  <si>
    <t>GJ12AV0287</t>
  </si>
  <si>
    <t>TRAX TOOFAN BS3</t>
  </si>
  <si>
    <t>RAMSINH HIMATSINH SOLANKI</t>
  </si>
  <si>
    <t>ASHOK LEYLAND 2214 &amp; IS 3 STR</t>
  </si>
  <si>
    <t>GJ36W0225</t>
  </si>
  <si>
    <t>KALAR IRFANBHAI SATARBHAI</t>
  </si>
  <si>
    <t>GJ36V1572</t>
  </si>
  <si>
    <t>TATA MOTORS - INTRA V30 PICKUP CLB WO TCU BS 6</t>
  </si>
  <si>
    <t>PARECHA HASMUKHBHAI RAGHAVJIBHAI</t>
  </si>
  <si>
    <t>GJ10TZ0253</t>
  </si>
  <si>
    <t>RAMZAN AELIYAS SANGHAR</t>
  </si>
  <si>
    <t>28/05/2025</t>
  </si>
  <si>
    <t>MAHINDRA/BOLERO/PIKUP FB CBC PS 1.7T XL/OPEN/PICK UP VAN</t>
  </si>
  <si>
    <t>RAJUBHAI POPATBHAI ZAPDA</t>
  </si>
  <si>
    <t>29/05/2024</t>
  </si>
  <si>
    <t>GJ36T7351</t>
  </si>
  <si>
    <t>SULTAN JANMAMADBHAI DAL</t>
  </si>
  <si>
    <t>GJ03BV4330</t>
  </si>
  <si>
    <t>ATA LPK 3118 CRE 8X4 BS IV/TIPPER</t>
  </si>
  <si>
    <t>JETHLOJA BHARAT GUNVANTBHAI</t>
  </si>
  <si>
    <t>MAGMA HDI</t>
  </si>
  <si>
    <t>GJ36V1581</t>
  </si>
  <si>
    <t>NARESH KUMAR</t>
  </si>
  <si>
    <t>GJ36T1157</t>
  </si>
  <si>
    <t>DEVJIBHAI CHAVADA</t>
  </si>
  <si>
    <t>GJ36V3697</t>
  </si>
  <si>
    <t>TATA MOTORS TRUCKS LPT 1212 PARTIALLY BUILT</t>
  </si>
  <si>
    <t>BALDEVBHAI LAKHIRAM GONDALIYA</t>
  </si>
  <si>
    <t>31/05/2024</t>
  </si>
  <si>
    <t>MAHINDRA/BOLERO/MAXI TRUCK PLUS CNG PS BSVI/OPEN/PICK UP VAN</t>
  </si>
  <si>
    <t>REIYANI MAHESHBHAI DEVRAJBHAI</t>
  </si>
  <si>
    <t>GJ36V4474</t>
  </si>
  <si>
    <t>ROHIT AJAY SONKUSRE</t>
  </si>
  <si>
    <t>GJ36T4995</t>
  </si>
  <si>
    <t>PATEL BHARATBHAI HARJIBHAI</t>
  </si>
  <si>
    <t>BHARATBENZ 3528 C BSVI TIPPER</t>
  </si>
  <si>
    <t>GJ03BV8758</t>
  </si>
  <si>
    <t>CHHANIYARA MAHESHBHAI HANSRAJBHAI</t>
  </si>
  <si>
    <t>GJ36X7621</t>
  </si>
  <si>
    <t>SIGNA 3530.K6.7L 56WB 8X4 FBV 23BX CX BSVI, PH-2</t>
  </si>
  <si>
    <t>ASHOKBHAI CHAKUBHAI PANARA</t>
  </si>
  <si>
    <t>GJ36V4347</t>
  </si>
  <si>
    <t>BOL MAXX PUP - CITY LX CNG BSVI</t>
  </si>
  <si>
    <t>07/06/0204</t>
  </si>
  <si>
    <t>Ashok Leyland Ltd. 2516 XI</t>
  </si>
  <si>
    <t>GJ14X5581</t>
  </si>
  <si>
    <t>ASHOK LEYLAND 1616 &amp; XL 3STR</t>
  </si>
  <si>
    <t>NAAIRBHAI MAHIDA</t>
  </si>
  <si>
    <t>GJ03AZ9159</t>
  </si>
  <si>
    <t>MAHINDRA/BOLERO/PICK UP FB 1.25T PS/CLOSED/PICK UP VAN</t>
  </si>
  <si>
    <t>NATUBHAI VIKRAMBHAI SITAPARA</t>
  </si>
  <si>
    <t>GJ36T9518</t>
  </si>
  <si>
    <t>ANSOYABEN NANJIBHAI AGHERA</t>
  </si>
  <si>
    <t>GJ25T9224</t>
  </si>
  <si>
    <t>BOLERO - PICKUP CBC 2WD</t>
  </si>
  <si>
    <t>BABUBHAI KANJIBHAI KHODA</t>
  </si>
  <si>
    <t>GJ03BY2369</t>
  </si>
  <si>
    <t>TATA MOTORS/SFC 407/EX/OPEN/TRUCK</t>
  </si>
  <si>
    <t>DIPAK DHIRUBHAI MAIYAD</t>
  </si>
  <si>
    <t>GJ03BV1680</t>
  </si>
  <si>
    <t>BHARATBENZ 2523 C Tipper</t>
  </si>
  <si>
    <t>10/062024</t>
  </si>
  <si>
    <t>MAHINDRA/BOLERO/PICK UP CBC 1.5T PS/OPEN/PICK UP VAN</t>
  </si>
  <si>
    <t>ADGAMA RAHUL RAJESHBHAI</t>
  </si>
  <si>
    <t>GJ36T5397</t>
  </si>
  <si>
    <t>MAHINDRA/BOLERO/MAXI TRUCK PLUS 1.2T PS BS4/CLOSED/PICK UP VAN</t>
  </si>
  <si>
    <t>RAJESH MERAM DANGAR</t>
  </si>
  <si>
    <t>GJ03AZ5118</t>
  </si>
  <si>
    <t>PIAGGIO/APE/Motorized Rickshaw/AUTO RICKSHAW</t>
  </si>
  <si>
    <t>HEMANTBHAI BATUKDAS RAMANUJ</t>
  </si>
  <si>
    <t>JAY SHIVANSH MIRROR PRIVATE LIMITED</t>
  </si>
  <si>
    <t>13/06/2025</t>
  </si>
  <si>
    <t>GJ03AV4536</t>
  </si>
  <si>
    <t>TATA MOTORS - MAGIC HT FACELIFT</t>
  </si>
  <si>
    <t>PRAVINKUMAR KARIYA</t>
  </si>
  <si>
    <t>GJ03BY4880</t>
  </si>
  <si>
    <t>BHARATBHAI RAMJIBHAI RATHOD</t>
  </si>
  <si>
    <t>GJ36T2472</t>
  </si>
  <si>
    <t>GJ12AV0201</t>
  </si>
  <si>
    <t>TATA MAGIC</t>
  </si>
  <si>
    <t>GJ36U1319</t>
  </si>
  <si>
    <t>AFJAL SALIMBHAI Makwana</t>
  </si>
  <si>
    <t>13/06/2024</t>
  </si>
  <si>
    <t>MARUTI SUZUKI - EECO TOUR V 5 STR AC</t>
  </si>
  <si>
    <t>TOFIK HUSHENBHAI PILUDIYA</t>
  </si>
  <si>
    <t>GJ03BZ9100</t>
  </si>
  <si>
    <t>14/062024</t>
  </si>
  <si>
    <t>GJ36V8128</t>
  </si>
  <si>
    <t>BOLERO - MAXI TRUCK PLUS CNG MS BS VI V</t>
  </si>
  <si>
    <t>JAVED SULEMANBHAI MULTANI</t>
  </si>
  <si>
    <t>GJ14W3288</t>
  </si>
  <si>
    <t>ASHOK LEYLAND , 2516 - IT 180 WB TUSKER SUPER 6X2</t>
  </si>
  <si>
    <t>SANIYA HAKUBHAI NAJIBHAI</t>
  </si>
  <si>
    <t>GJ11Z6074</t>
  </si>
  <si>
    <t>TATA MOTORS - ACE MAGIC EXPRESS BS 4</t>
  </si>
  <si>
    <t>DHARAMENDRASINH RANAJITSINH ZALA</t>
  </si>
  <si>
    <t>16/06/2024</t>
  </si>
  <si>
    <t>GJ36T2200</t>
  </si>
  <si>
    <t>JADEJA INDRASINH PRABHATSINH</t>
  </si>
  <si>
    <t>MAHINDRA/BOLERO/PICK UP FB 1.7T BS6 BS PS/OPEN/TRUCK</t>
  </si>
  <si>
    <t>YUNUSHBHAI GAJIBHAI PARASARA</t>
  </si>
  <si>
    <t>GJ36V7707</t>
  </si>
  <si>
    <t>MASABHAI HIRABHAI GAMARA</t>
  </si>
  <si>
    <t>18/06/2024</t>
  </si>
  <si>
    <t>GJ36V4148</t>
  </si>
  <si>
    <t>MUSTAK THARU JAM</t>
  </si>
  <si>
    <t>GJ36T7707</t>
  </si>
  <si>
    <t>19/06/2024</t>
  </si>
  <si>
    <t>GJ36V4716</t>
  </si>
  <si>
    <t>Tata Motors,LPT 1512-16020 GVW</t>
  </si>
  <si>
    <t>14/06/2025</t>
  </si>
  <si>
    <t>GJ36V6410</t>
  </si>
  <si>
    <t>TATA SIGNA &amp; 4018 S CR BS IV 3 STR</t>
  </si>
  <si>
    <t>INUSBHAI NURMAMADBHAI PAYAK</t>
  </si>
  <si>
    <t>GJ36V1927</t>
  </si>
  <si>
    <t>ISMAILBHAI SAJANBHAI KUMBHAR</t>
  </si>
  <si>
    <t>GJ36V4763</t>
  </si>
  <si>
    <t>ASHVINBHAI BECHARBHAI BARAIYA</t>
  </si>
  <si>
    <t>20/06/2024</t>
  </si>
  <si>
    <t>GJ36T4065</t>
  </si>
  <si>
    <t>MARUTI , SUPER CARRY - DIESEL STD</t>
  </si>
  <si>
    <t>ALPESH GAGJIBHAI MANDARIYA</t>
  </si>
  <si>
    <t>ASHOK LEYLAND 3116 &amp; 6 STR</t>
  </si>
  <si>
    <t>GHANSHYAM GOPALBHAI KERASHIYA</t>
  </si>
  <si>
    <t>BMT PLUS PS 1.2T</t>
  </si>
  <si>
    <t>SHRI ANADH APANG GAU ASHRAM WAKANER</t>
  </si>
  <si>
    <t>The Oriental</t>
  </si>
  <si>
    <t>GJ03AZ4414</t>
  </si>
  <si>
    <t>MUSTAK SUMRA</t>
  </si>
  <si>
    <t>GJ36V4645</t>
  </si>
  <si>
    <t>22/06/2024</t>
  </si>
  <si>
    <t>BAJAJ AUTO/RE/4S CNG FI BS6/Motorized Rickshaw/AUTO RICKSHAW</t>
  </si>
  <si>
    <t>SERMAMAD JUMMABHAI JEDA</t>
  </si>
  <si>
    <t>GJ18BT5329</t>
  </si>
  <si>
    <t>ASHOK LEYLAND , AL - 3118</t>
  </si>
  <si>
    <t>THACKER SURESH CHUNILAL</t>
  </si>
  <si>
    <t>GJ36W0092</t>
  </si>
  <si>
    <t>CAPITAL AUTO INDUSTRIES , 3W/D - PICK UP VAN</t>
  </si>
  <si>
    <t>MAHEBUBBHAI MAMADBHAI SUMRA</t>
  </si>
  <si>
    <t>25/06/2025</t>
  </si>
  <si>
    <t>PACHIYA JALABHAI MEPABHAI</t>
  </si>
  <si>
    <t>LPT 2518 TRUCK</t>
  </si>
  <si>
    <t>GJ36U6222</t>
  </si>
  <si>
    <t>CHANIYA BASIT RAMJANBHAI</t>
  </si>
  <si>
    <t>VIJAY NARANBHAI CHAVADA</t>
  </si>
  <si>
    <t>25/06/2024</t>
  </si>
  <si>
    <t>MANOJBHAI MAGANBHAI VACHHANI</t>
  </si>
  <si>
    <t>27/06/2024</t>
  </si>
  <si>
    <t>CHETANBHAI DEVAYATBHAI DANGAR</t>
  </si>
  <si>
    <t>27/06/2025</t>
  </si>
  <si>
    <t>BOLERO - MAXI TRUCK PLUS CNG</t>
  </si>
  <si>
    <t>JAHIDBHAI ISMAILBHAI PARASARA</t>
  </si>
  <si>
    <t>BAJAJ TEMPO TRAX TOAFUN</t>
  </si>
  <si>
    <t>ALJIBHAI KANJIBHAI RATHOD</t>
  </si>
  <si>
    <t>28/06/2024</t>
  </si>
  <si>
    <t>RAVODARA RAMESH BACHUBHAI</t>
  </si>
  <si>
    <t>GJ36T7289</t>
  </si>
  <si>
    <t>ISUZU/D MAX/CREW 4JA1 BSIV/OPEN/TRUCK</t>
  </si>
  <si>
    <t>HAMIRPARA SHAILESH JAYANTILAL</t>
  </si>
  <si>
    <t>Tata Motors,Signa-3525.K - Tipper</t>
  </si>
  <si>
    <t>KUKABHAI KANABHAI KUNPARA</t>
  </si>
  <si>
    <t>29/06/2024</t>
  </si>
  <si>
    <t>ASHOK LEYLAND , 1618 - T</t>
  </si>
  <si>
    <t>VOHRA HARUNBHAI ISMAILBHAI</t>
  </si>
  <si>
    <t xml:space="preserve">TATA MOTORS , LPT 1618 </t>
  </si>
  <si>
    <t>GJ36AF0765</t>
  </si>
  <si>
    <t>MAHINDRA &amp; MAHINDRA/BOLERO/PLUS CNG/OPEN/CONSTRUCTION EQUIPMENTS</t>
  </si>
  <si>
    <t>ASLAM IBRAHIMBHAI UNADPOTRA</t>
  </si>
  <si>
    <t>30/06/2024</t>
  </si>
  <si>
    <t>MAHINDRA AND MAHINDRA - BOLERO PICKUP FB PS 1.3T</t>
  </si>
  <si>
    <t>PRAHLADBHAI LABHUBHAI SURELA</t>
  </si>
  <si>
    <t>29/06/2025</t>
  </si>
  <si>
    <t>MAHINDRA/BOLERO/PIKUP</t>
  </si>
  <si>
    <t>SIPAI FARIDBHAI MUSTUFABHAI</t>
  </si>
  <si>
    <t>TATA MOTORS , LPT 1109 - EX</t>
  </si>
  <si>
    <t>IKBALBHAI JUMABHAI SUMARA</t>
  </si>
  <si>
    <t>NILESHKUMAR MAKASANA</t>
  </si>
  <si>
    <t>TATA MOTORS , LPT 3118</t>
  </si>
  <si>
    <t>VADGAMA MAYODINBHAI YUSUFBHAI</t>
  </si>
  <si>
    <t>ASHOK LEYLAND , DOST - LS</t>
  </si>
  <si>
    <t>JAYDIP JAGDISHBHAI PARMAR</t>
  </si>
  <si>
    <t>GJ36T7228</t>
  </si>
  <si>
    <t>EICHER / PRO 5025 K CWC</t>
  </si>
  <si>
    <t>DAL SADIKBHAI AMADBHAI</t>
  </si>
  <si>
    <t>MEGMA</t>
  </si>
  <si>
    <t>GJ36X4084</t>
  </si>
  <si>
    <t>EICHER MOTOR / PRO 2110</t>
  </si>
  <si>
    <t>BACHUBHAI MOTIBHAI GINGORA</t>
  </si>
  <si>
    <t>GJ12BZ0322</t>
  </si>
  <si>
    <t>Tata Motors,Signa-4018.S</t>
  </si>
  <si>
    <t>SHREEDEEP LOGISTICS</t>
  </si>
  <si>
    <t>GJ12BZ0098</t>
  </si>
  <si>
    <t>Tata Motors,Signa-4018</t>
  </si>
  <si>
    <t>GJ12BZ0143</t>
  </si>
  <si>
    <t>GJ12BZ0134</t>
  </si>
  <si>
    <t>GJ12BZ0085</t>
  </si>
  <si>
    <t>Tata Motors,LPT 1916-DCR49HSD</t>
  </si>
  <si>
    <t>RATDIYA JAGJIVANBHAI</t>
  </si>
  <si>
    <t>STAFF BUS</t>
  </si>
  <si>
    <t>TATA LP 410</t>
  </si>
  <si>
    <t xml:space="preserve">NEW </t>
  </si>
  <si>
    <t>TATA CITY RIDE</t>
  </si>
  <si>
    <t>GJ36S3852</t>
  </si>
  <si>
    <t>misc d</t>
  </si>
  <si>
    <t>BOLERO CNG</t>
  </si>
  <si>
    <t>GJ36U3215</t>
  </si>
  <si>
    <t>RE MAXIMA / Z CNG BSVI</t>
  </si>
  <si>
    <t>JITENDRABHAI LAKJMANBHAI DEKAVADIYA</t>
  </si>
  <si>
    <t>GJ36U7069</t>
  </si>
  <si>
    <t>SHANKARLAL THAKKAR</t>
  </si>
  <si>
    <t>TATA MOTORS , LPT 1109</t>
  </si>
  <si>
    <t>SALIMBHAI IQBALBHAI CHANIYA</t>
  </si>
  <si>
    <t>KISHORBHAI HEMANTLAL POPAT</t>
  </si>
  <si>
    <t>GJ36W0110</t>
  </si>
  <si>
    <t>JUBERBHAI HANIFBHAI PARMAR</t>
  </si>
  <si>
    <t>GJ27TT1083</t>
  </si>
  <si>
    <t>TATA ACE &amp; GOLD BS6</t>
  </si>
  <si>
    <t>SALIMBHAI RASULBHAI CHAUHAN</t>
  </si>
  <si>
    <t>ASHARAFBHAI CHAUHAN</t>
  </si>
  <si>
    <t>ASHVINBHAI CHAVADA</t>
  </si>
  <si>
    <t>MOTORS/407/D/CLOSED/TANKER</t>
  </si>
  <si>
    <t>JAKIRHUSEN RAJAKBHAI CHAUHAN</t>
  </si>
  <si>
    <t>GJ03EA3177</t>
  </si>
  <si>
    <t>JOHN DEERE - 5036 C</t>
  </si>
  <si>
    <t>KANANI PARESHKUMAR PARSOTTAMBHAI</t>
  </si>
  <si>
    <t>SHAILESHBHAI BAVARVA</t>
  </si>
  <si>
    <t>BOLERO - PICKUP 4WD BSIV</t>
  </si>
  <si>
    <t>KISHANBHAI LALITBHAI PARMAR</t>
  </si>
  <si>
    <t>GJ25U8072</t>
  </si>
  <si>
    <t>GOPALBHAI RAYDHANBHAI VIKANI</t>
  </si>
  <si>
    <t>13/07/2025</t>
  </si>
  <si>
    <t>GJ04H9434</t>
  </si>
  <si>
    <t>SAILESH MANHAR FULTARIYA</t>
  </si>
  <si>
    <t>GJ36V4967</t>
  </si>
  <si>
    <t>PRADIPKUMAR ODHAVJIBHAI AGHARA</t>
  </si>
  <si>
    <t>MAHINDRA AND MAHINDRA - BOLERO</t>
  </si>
  <si>
    <t>ALTAF GULMAMADBHAI GODHAVIYA</t>
  </si>
  <si>
    <t>GJ36U7553</t>
  </si>
  <si>
    <t>DABHI RATILALBHAI CHAKUBHAI</t>
  </si>
  <si>
    <t>GJ03EA4435</t>
  </si>
  <si>
    <t>AKBARBHAI SANGANBHAI MOVAR</t>
  </si>
  <si>
    <t>GJ03AX9270</t>
  </si>
  <si>
    <t>MUKESHBHAI NANJIBHAI GHODASARA</t>
  </si>
  <si>
    <t>HABIBBHAI GAJIBHAI SHERASIYA</t>
  </si>
  <si>
    <t>RAJUBHAI MASABHAI GAMARA</t>
  </si>
  <si>
    <t>LP 712/45 / CITY RIDE BSVI</t>
  </si>
  <si>
    <t>SUNFLOWER EDUCATION TRUST</t>
  </si>
  <si>
    <t>GJ36V4630</t>
  </si>
  <si>
    <t>BAJAJ COMPACT</t>
  </si>
  <si>
    <t>GJ03AT3623</t>
  </si>
  <si>
    <t>GUDHDA PRAKASH KALUBHA</t>
  </si>
  <si>
    <t>14/07/2024</t>
  </si>
  <si>
    <t>SOMANYMAXPRIVATELIMITED</t>
  </si>
  <si>
    <t>GJ36V4591</t>
  </si>
  <si>
    <t>MAHINDRA AND MAHINDRA - SUPRO PROFITTRUCK CNG DUO</t>
  </si>
  <si>
    <t>KAGATHARA MERU GAGJI</t>
  </si>
  <si>
    <t>GJ03V3646</t>
  </si>
  <si>
    <t>TATA MOTORS/SFC 407/TT DIESEL/OPEN/TRUCK</t>
  </si>
  <si>
    <t>DANDECHA MAHESHKUMAR GELABHAI</t>
  </si>
  <si>
    <t>GJ36V4635</t>
  </si>
  <si>
    <t>ASHOK LEYLAND BADA DOST - I4</t>
  </si>
  <si>
    <t>BHARAT AMRUTLAL MIYATRA</t>
  </si>
  <si>
    <t>16/07/2024</t>
  </si>
  <si>
    <t>TATA LPT &amp; 1109 H EX2 5 STR</t>
  </si>
  <si>
    <t>17/07/2024</t>
  </si>
  <si>
    <t>GJ36V2344</t>
  </si>
  <si>
    <t>BALAJI ENTERPRISE</t>
  </si>
  <si>
    <t>DANGROCHA MAGHAVBHAI VAGHAJIBHAI</t>
  </si>
  <si>
    <t>GJ03AZ9205</t>
  </si>
  <si>
    <t>EICHER MOTOR / 11.10 TRUCK</t>
  </si>
  <si>
    <t>AAL BUGHABHAI JIVANBHAI</t>
  </si>
  <si>
    <t>ASHOK LEYLAND 2516 &amp; H/4 TAURUS 6X4</t>
  </si>
  <si>
    <t>GHANSHYAMBHAI GOPALBHAI KERASHIYA KERASHIYA</t>
  </si>
  <si>
    <t>17-07-2025</t>
  </si>
  <si>
    <t>GJ36X3873</t>
  </si>
  <si>
    <t>LPT 712 - BSVI</t>
  </si>
  <si>
    <t>DHARMENDRABHAI DHANJIBHAI MIYATRA</t>
  </si>
  <si>
    <t>31/07/2025</t>
  </si>
  <si>
    <t>RAKESH AMBARAMJI SURYAVANSHI</t>
  </si>
  <si>
    <t>PAYAK ILEYAS UMARBHAI</t>
  </si>
  <si>
    <t>GJ36V4682</t>
  </si>
  <si>
    <t>ZAPDA DINESHBHAI SATABHAI</t>
  </si>
  <si>
    <t>TATA MOTORS/407/D/CLOSED/TANKER</t>
  </si>
  <si>
    <t>THASARIYA ARIF HASANBHAI</t>
  </si>
  <si>
    <t>18/07/2024</t>
  </si>
  <si>
    <t>MAHINDRA &amp; MAHINDRA , BOLERO - MAXI TRUCK</t>
  </si>
  <si>
    <t>TARAPARA MANSUKH PRABHULAL</t>
  </si>
  <si>
    <t>19/07/2024</t>
  </si>
  <si>
    <t>GJ36X8975</t>
  </si>
  <si>
    <t>HONESH AQUA SOLUTION</t>
  </si>
  <si>
    <t>19/07/2025</t>
  </si>
  <si>
    <t>GADHVALA IDRISH MAMADBHAI</t>
  </si>
  <si>
    <t>SABIRHUSEN AHAMAD MATHAKIYA</t>
  </si>
  <si>
    <t>20/07/2024</t>
  </si>
  <si>
    <t>KARSHANBHAI RAMJIBHAI DABHI</t>
  </si>
  <si>
    <t>GJ36U8114</t>
  </si>
  <si>
    <t>IMRAN SATARBHAI MINIVADIYA</t>
  </si>
  <si>
    <t>GJ36X6740</t>
  </si>
  <si>
    <t>GJ36V4638</t>
  </si>
  <si>
    <t>SABBIRBHAI ISMAILBHAI SHERASHIYA</t>
  </si>
  <si>
    <t>GJ36V4935</t>
  </si>
  <si>
    <t>AVADIYA RAJESHBHAI DIDARALI</t>
  </si>
  <si>
    <t>TATA LPT2518</t>
  </si>
  <si>
    <t>DD03L9177</t>
  </si>
  <si>
    <t>MAHINDRA 3200 DI</t>
  </si>
  <si>
    <t>22/07/2024</t>
  </si>
  <si>
    <t>GJ03AT3795</t>
  </si>
  <si>
    <t>TATA MOTORS / LPT 1109 EX TRUCK</t>
  </si>
  <si>
    <t>JIVANBHAI BIJALBHAI KHAMBHLA</t>
  </si>
  <si>
    <t>SAGAR JEMALBHAI KHAMBHALA</t>
  </si>
  <si>
    <t>GJ36U4708</t>
  </si>
  <si>
    <t>NOTIYAR NURMAMAD HAJI</t>
  </si>
  <si>
    <t>23/07/2024</t>
  </si>
  <si>
    <t>ASHOK LEYLAND , 3118 - II</t>
  </si>
  <si>
    <t>HUSEIN VALIBHAI SODHA .</t>
  </si>
  <si>
    <t>GJ36V4142</t>
  </si>
  <si>
    <t>Vijaybhai MANUBHAI Goga</t>
  </si>
  <si>
    <t>CHEQUE</t>
  </si>
  <si>
    <t>LPT 3118 Platform Body / Steel Rolls</t>
  </si>
  <si>
    <t>KRISHNA SHIVAJI DESHMUKH .</t>
  </si>
  <si>
    <t>24/07/2024</t>
  </si>
  <si>
    <t>GJ36X0910</t>
  </si>
  <si>
    <t>SANJAY MANSUKHBHAI HAMIRPARA</t>
  </si>
  <si>
    <t>26/07/2024</t>
  </si>
  <si>
    <t>GJ36U4777</t>
  </si>
  <si>
    <t>BAJAJ AUTO/RE/COMPACT CNG 2S/Motorized Rickshaw/AUTO RICKSHAW</t>
  </si>
  <si>
    <t>KANZARIYA PRAKASH NARSHIBHAI</t>
  </si>
  <si>
    <t>JAHID BADI</t>
  </si>
  <si>
    <t>27/07/2025</t>
  </si>
  <si>
    <t>ASHOK LEYLAND - DOST RLS BS 4</t>
  </si>
  <si>
    <t>GJ36U7904</t>
  </si>
  <si>
    <t>BAJAJ AUTO/MAXIMA/ZCNG/Motorized Rickshaw</t>
  </si>
  <si>
    <t>RAYDHAN GOVINDBHAI DANGAR</t>
  </si>
  <si>
    <t>GJ01BV3489</t>
  </si>
  <si>
    <t>AL 2214/27S</t>
  </si>
  <si>
    <t>PARMAR ARBAJ MAHMADBHAI .</t>
  </si>
  <si>
    <t>GJ12BV9344</t>
  </si>
  <si>
    <t>ASHISHKUMAR SURESHBHAI BAREJIYA</t>
  </si>
  <si>
    <t>GJ36U7269</t>
  </si>
  <si>
    <t>JAVIDBHAI GANIBHAI JUNACH</t>
  </si>
  <si>
    <t>ASHOKBHAI ARJANBHAI DHAMECHA</t>
  </si>
  <si>
    <t>27/07/2024</t>
  </si>
  <si>
    <t>BABU LAKHABHAI PADHERIYA</t>
  </si>
  <si>
    <t>GJ27TT6035</t>
  </si>
  <si>
    <t>ASHOK LEYLAND 3116 &amp; D</t>
  </si>
  <si>
    <t>28/07/2024</t>
  </si>
  <si>
    <t>GJ36V4769</t>
  </si>
  <si>
    <t>DULERAY JIVRAJBHAI AMBANI</t>
  </si>
  <si>
    <t>GJ36V4756</t>
  </si>
  <si>
    <t>NASHARUDIN AHAMADBHAI MATHAKIYA</t>
  </si>
  <si>
    <t>29/07/2024</t>
  </si>
  <si>
    <t>PRAVINBHAI DEVAJIBHAI GHODASAR</t>
  </si>
  <si>
    <t>EICHER MOTOR / PRO 2080 XP</t>
  </si>
  <si>
    <t>KATIYA AVESHBHAI ABDULBHAI</t>
  </si>
  <si>
    <t>30/07/2024</t>
  </si>
  <si>
    <t>GJ03BV6625</t>
  </si>
  <si>
    <t>RAMESHBHAI PARSADIYA</t>
  </si>
  <si>
    <t>GJ02Z7862</t>
  </si>
  <si>
    <t>BOLERO - CAMPER SC XL FB PS</t>
  </si>
  <si>
    <t>KATODIYA MUNABHAI SINDHABHAI</t>
  </si>
  <si>
    <t>GJ36U8652</t>
  </si>
  <si>
    <t>BHAVIN BHAGAVANJEE DHOLAKIYA</t>
  </si>
  <si>
    <t>GJ36U7661</t>
  </si>
  <si>
    <t>DHOLAKIYA DENISH BHGVANJIBHAI</t>
  </si>
  <si>
    <t>GJ36T9137</t>
  </si>
  <si>
    <t>DIPAKBHAI DHANJIBHAI DETROJA</t>
  </si>
  <si>
    <t>MANVI PELLET PACKING</t>
  </si>
  <si>
    <t>GJ36V1089</t>
  </si>
  <si>
    <t>BOLERO - PIK UP FB 1.7T PS BS V</t>
  </si>
  <si>
    <t>BHARATBHAI REVABHAI GAMARA</t>
  </si>
  <si>
    <t>GJ36U9881</t>
  </si>
  <si>
    <t>MANISH MUCHHDIYA</t>
  </si>
  <si>
    <t>31/07/2024</t>
  </si>
  <si>
    <t>ASHOK LEYLAND - DOST RLS BS 6</t>
  </si>
  <si>
    <t>BATUKBHAI VASURBHAI BORICHA</t>
  </si>
  <si>
    <t>MAMADBHAI KARIMBHAI SAMA</t>
  </si>
  <si>
    <t>GJ13W1549</t>
  </si>
  <si>
    <t>ASHOK LEYLAND 2516 &amp; IL</t>
  </si>
  <si>
    <t>GOHIL JAYDIP LALJIBHAI</t>
  </si>
  <si>
    <t>LAST HISAB NA BAKI</t>
  </si>
  <si>
    <t>GJ36T8492</t>
  </si>
  <si>
    <t>SANTWANI INDANE GRAMIN VITRAK</t>
  </si>
  <si>
    <t>98255 88742</t>
  </si>
  <si>
    <t>GJ36T7151</t>
  </si>
  <si>
    <t>ASHOK LEYLAND - 2518</t>
  </si>
  <si>
    <t>S K PETROLEUM</t>
  </si>
  <si>
    <t>ROHIT DILIPBHAI BABARIYA</t>
  </si>
  <si>
    <t>96381 04792</t>
  </si>
  <si>
    <t>GJ36X1982</t>
  </si>
  <si>
    <t>SHADURBHAI GOKALBHAI GIGOLA</t>
  </si>
  <si>
    <t>87580 68203</t>
  </si>
  <si>
    <t>GJ36W0070</t>
  </si>
  <si>
    <t>KULDIPSIH GIRIRAJSIH JAJEJA</t>
  </si>
  <si>
    <t>GJ36T8337</t>
  </si>
  <si>
    <t>KUNNAPARA MANSUKHBHAI HEMANTBHAI</t>
  </si>
  <si>
    <t>97262 63969</t>
  </si>
  <si>
    <t>AHAMAD VALIMAMAD VAKALIYA</t>
  </si>
  <si>
    <t>BOKHANI RAMESHBHAI VALJIBHAI</t>
  </si>
  <si>
    <t>GJ07AT1872</t>
  </si>
  <si>
    <t>ATUL AUTO/SHAKTI/CARGO/OPEN/PICK UP VAN</t>
  </si>
  <si>
    <t>GJ36V2268</t>
  </si>
  <si>
    <t>RAMESHBHAI MERUBHAI KAROTARA</t>
  </si>
  <si>
    <t>GJ36T4778</t>
  </si>
  <si>
    <t>JADEJA VIRENDRASINH SATUBHA</t>
  </si>
  <si>
    <t>MARUTI SUZUKI SUPER CARRY</t>
  </si>
  <si>
    <t>DUDABHAI NUDHABHAI BHARAVAD</t>
  </si>
  <si>
    <t>SUPER CARRY STD BS 6</t>
  </si>
  <si>
    <t>ASHOKBHAI THOBHANBHAI PATEL</t>
  </si>
  <si>
    <t>GJ36U5569</t>
  </si>
  <si>
    <t>PREMJIBHAI UGHREJA</t>
  </si>
  <si>
    <t>GJ36X7181</t>
  </si>
  <si>
    <t>DEVRAJBHAI SAMATBHAI BHUMBHARIYA</t>
  </si>
  <si>
    <t>GJ36V2431</t>
  </si>
  <si>
    <t>SUPRO MINITRUCK VX</t>
  </si>
  <si>
    <t>CHAVDA KISHAN RAMESHBHAI</t>
  </si>
  <si>
    <t>GJ36U0915</t>
  </si>
  <si>
    <t>BAJAJ AUTO - RE COMPACT 2S</t>
  </si>
  <si>
    <t>SATAR GANIBHAI MINIVADIYA</t>
  </si>
  <si>
    <t>GJ36T8163</t>
  </si>
  <si>
    <t>TATA MOTORS/INTRA</t>
  </si>
  <si>
    <t>DHIRAJ RANCHHODBHAI DEVDA</t>
  </si>
  <si>
    <t>BOLERO - PIKUP FB 1.7T PS XL CBC</t>
  </si>
  <si>
    <t>RAJA IQBALBHAI JUMABHAI</t>
  </si>
  <si>
    <t>GJ03AT1538</t>
  </si>
  <si>
    <t>NILESH KARUBHA GUDHADA</t>
  </si>
  <si>
    <t>GJ36W0527</t>
  </si>
  <si>
    <t>BAJAJ AUTO/MAXIMA/ZCNG</t>
  </si>
  <si>
    <t>KAIDA IMRANBHAI HUSENBHAI</t>
  </si>
  <si>
    <t>BAJAJ AUTO - RE OPTIMA 4S</t>
  </si>
  <si>
    <t>BUKHARI MAHAMADHANIF YAKUBIYA</t>
  </si>
  <si>
    <t>GJ36V3896</t>
  </si>
  <si>
    <t>TATA MOTORS - LPS 4018 SIGNA</t>
  </si>
  <si>
    <t>NEW MAYUR LOGISTICS</t>
  </si>
  <si>
    <t>GJ36V2856</t>
  </si>
  <si>
    <t>- SUPRO PROFITTRUCK MINI LX WD BS6</t>
  </si>
  <si>
    <t>JIVABHAI DANGAR</t>
  </si>
  <si>
    <t>GJ36V4841</t>
  </si>
  <si>
    <t>BOLERO B6 O BS 6</t>
  </si>
  <si>
    <t>MURUBHAI DEVANANDBHAI BAKUTRA</t>
  </si>
  <si>
    <t>/Motorized Rickshaw/AUTO RICKSHAW</t>
  </si>
  <si>
    <t>PATHAN IMTIYAZKHAN USMANKHAN</t>
  </si>
  <si>
    <t>PATHAN MUSTAK OSMANBHAI</t>
  </si>
  <si>
    <t>TATA MOTORS , SIGNA - 4830.TK 10X4</t>
  </si>
  <si>
    <t>NANAJIBHAI JERAMBHAI KUNPARA</t>
  </si>
  <si>
    <t>GJ13AV1939</t>
  </si>
  <si>
    <t>SORA AJIMBHAI ALARAKHABHAI</t>
  </si>
  <si>
    <t>GJ36V5124</t>
  </si>
  <si>
    <t>TATA / SIGNA 3525</t>
  </si>
  <si>
    <t>MEHULBHAI OGHADBHAI LAMBARIYA</t>
  </si>
  <si>
    <t>GJ36U2824</t>
  </si>
  <si>
    <t>BAJAJ AUTO - RE COMPACT 4S</t>
  </si>
  <si>
    <t>BHARVAD MASHRUBHAI DHARABHAI</t>
  </si>
  <si>
    <t>TOTA PARBAT BHANABHAI</t>
  </si>
  <si>
    <t>GJ36V2982</t>
  </si>
  <si>
    <t>NARENDRA LAXMINARAYAN SHARMA</t>
  </si>
  <si>
    <t>GJ36V4928</t>
  </si>
  <si>
    <t>KASAMBHAI IBRAHIMBHAI DALVANI</t>
  </si>
  <si>
    <t>17/08/2025</t>
  </si>
  <si>
    <t>BOLERO MAXI TRUCK PLUS</t>
  </si>
  <si>
    <t>VIPULBHAI SANARIYA</t>
  </si>
  <si>
    <t>SETANIYA PABABHAI MASHABHAI</t>
  </si>
  <si>
    <t>GJ36U7012</t>
  </si>
  <si>
    <t>HUSSAIN NOORMOHAMMAD SHIPAI</t>
  </si>
  <si>
    <t>JAYANTI GHANA KUNPARA</t>
  </si>
  <si>
    <t>14/08/2024</t>
  </si>
  <si>
    <t>GJ36V1898</t>
  </si>
  <si>
    <t>BOLERO - MAXI TRUCK PLUS 1.2 T BS IV</t>
  </si>
  <si>
    <t>DINESHBHAI BHAGVANJIBHAI KONDHIYA</t>
  </si>
  <si>
    <t>JAGDISHBHAI BHARATBHAI SHIYAR</t>
  </si>
  <si>
    <t>RAFIKBHAI LAKHABHAI HALA</t>
  </si>
  <si>
    <t>GJ36V2379</t>
  </si>
  <si>
    <t>MAHESHBHAI AMARSHIBHAI GANGADIYA</t>
  </si>
  <si>
    <t>GJ36U3572</t>
  </si>
  <si>
    <t>GJ03BU7898</t>
  </si>
  <si>
    <t>BAJAJ AUTO - RE COMPACT CNG 4S</t>
  </si>
  <si>
    <t>GAMARA SUNJAY KUKABHAI</t>
  </si>
  <si>
    <t>Tata LPT 2518</t>
  </si>
  <si>
    <t>IRFAN ISHABHAI THEBA</t>
  </si>
  <si>
    <t>INUSHBHAI NURMAMADBHAI PAYAK</t>
  </si>
  <si>
    <t>RELINACE</t>
  </si>
  <si>
    <t>15/08/2024</t>
  </si>
  <si>
    <t>GJ36U5322</t>
  </si>
  <si>
    <t>UKEDIYA DILIP NARSHIBHAI</t>
  </si>
  <si>
    <t>GJ36X4646</t>
  </si>
  <si>
    <t>SAMAT RANABHAI SARSAIYA</t>
  </si>
  <si>
    <t>GJ03AX1592</t>
  </si>
  <si>
    <t>MAHINDRA/MAXXIMO/LOAD BS-IV</t>
  </si>
  <si>
    <t>JIVAN RATABHAI ZAMPADA</t>
  </si>
  <si>
    <t>SUMARA IMRANBHAI MAHAMAD HUSENBHAI</t>
  </si>
  <si>
    <t>GJ10Z5794</t>
  </si>
  <si>
    <t>RAJABHAI RATABHAI BHARVAD</t>
  </si>
  <si>
    <t>ASHOK LEYLAND 3116 &amp; IL 2STR</t>
  </si>
  <si>
    <t>JITENDRASINH D JADEJA</t>
  </si>
  <si>
    <t>16/08/2024</t>
  </si>
  <si>
    <t>GJ36U7723</t>
  </si>
  <si>
    <t>BHAVESH HARGOVINDBHAI CHANDARANA</t>
  </si>
  <si>
    <t>16/08/2025</t>
  </si>
  <si>
    <t>GJ01TA8304</t>
  </si>
  <si>
    <t>BHARVAD GELABHAI BABUBHAI</t>
  </si>
  <si>
    <t>GJ36U0058</t>
  </si>
  <si>
    <t>MAHESHBHAI PRAVINBHAI GOSAI</t>
  </si>
  <si>
    <t>GJ36U2250</t>
  </si>
  <si>
    <t>HABIB FAKIRMAMADBHAI SHAIKH</t>
  </si>
  <si>
    <t>18/08/2024</t>
  </si>
  <si>
    <t>GJ36X4287</t>
  </si>
  <si>
    <t>BOL MAXX PUP HD - 2.0 LX BSVI</t>
  </si>
  <si>
    <t>VIJAY LAKHAMANBHAI GINGORA</t>
  </si>
  <si>
    <t>GJ13AX1376</t>
  </si>
  <si>
    <t>SANJAYBHAI GHANSHYAMBHAI SABALIYA</t>
  </si>
  <si>
    <t>19/08/2025</t>
  </si>
  <si>
    <t>TATA MOTORS , LPT 1512</t>
  </si>
  <si>
    <t>GJ36U0184</t>
  </si>
  <si>
    <t>MUNDHAVA HAMIRBHAI MOMBHAI</t>
  </si>
  <si>
    <t>GJ36U8259</t>
  </si>
  <si>
    <t>MAIYUDEEN SATARMIYA SAIYYAD</t>
  </si>
  <si>
    <t>GJ36X7999</t>
  </si>
  <si>
    <t>TATA MOTORS - INTRA V30 PICKUP LX CLB BS6</t>
  </si>
  <si>
    <t>RAMJANBHAI HARUNBHAI BHATTI</t>
  </si>
  <si>
    <t>19/08/2024</t>
  </si>
  <si>
    <t>GJ36T5321</t>
  </si>
  <si>
    <t>BOLERO MAXITRUCK PLUS</t>
  </si>
  <si>
    <t>BHAVESH ARJANBHAI VADOLIYA</t>
  </si>
  <si>
    <t>GJ36U6066</t>
  </si>
  <si>
    <t>BAJAJ AUTO - MAXIMA Z CNG BS 6 AUTO RICKSHAW / C</t>
  </si>
  <si>
    <t>DHAMABHAI BAMBHAVA</t>
  </si>
  <si>
    <t>POPAT KHUSAL CHANDUBHAI</t>
  </si>
  <si>
    <t>GJ36U2142</t>
  </si>
  <si>
    <t>GJ36T3430</t>
  </si>
  <si>
    <t>GINGORA JALABHAI LAKHAMANBHAI</t>
  </si>
  <si>
    <t>SHERASIYA HUSEN HAJI</t>
  </si>
  <si>
    <t>21/08/2024</t>
  </si>
  <si>
    <t>GJ36V5029</t>
  </si>
  <si>
    <t>SHERASIYA JUNEJ HAJIBHAI</t>
  </si>
  <si>
    <t>GJ36U3632</t>
  </si>
  <si>
    <t>MOD RAFIKBHAI BABUBHAI</t>
  </si>
  <si>
    <t>GJ36U2235</t>
  </si>
  <si>
    <t>KADAR SIDIK MANEK</t>
  </si>
  <si>
    <t>KACHCHI IMARAN RAFIKBHAI</t>
  </si>
  <si>
    <t>GJ36V1343</t>
  </si>
  <si>
    <t>TATA MOTORS - INTRA V30 NON AC BS 6</t>
  </si>
  <si>
    <t>MOHAMMADTUFEL ZUBERBHAI BADI</t>
  </si>
  <si>
    <t>GJ36V5095</t>
  </si>
  <si>
    <t>TATA MOTORS - INTRA V30 PICKUP VX CBC BS 6</t>
  </si>
  <si>
    <t>GANESHIYA SAGARBHAI ASHOKBHAI</t>
  </si>
  <si>
    <t>GJ36T1707</t>
  </si>
  <si>
    <t>KANJIYA RAMESH PRAGAJIBHAI</t>
  </si>
  <si>
    <t>GJ01TA3208</t>
  </si>
  <si>
    <t>BAJAJ AUTO/RE/OPTIMA</t>
  </si>
  <si>
    <t>SOLANKI AKIL MAHMADBHAI</t>
  </si>
  <si>
    <t>GJ36W0916</t>
  </si>
  <si>
    <t>DIPAKGAR SUKHDEVGAR GOSAI</t>
  </si>
  <si>
    <t>. MANEK SARFARAZ RAFIKBHAI</t>
  </si>
  <si>
    <t>22/08/2024</t>
  </si>
  <si>
    <t>GJ36W0704</t>
  </si>
  <si>
    <t>RAMESHBHAI MANGABHAI TOTA</t>
  </si>
  <si>
    <t>23/08/2024</t>
  </si>
  <si>
    <t>GJ36T8929</t>
  </si>
  <si>
    <t>TATA MOTORS , LPT 1109 - HEX2/42</t>
  </si>
  <si>
    <t>ABRANI HASAM IBRAHIMBHAI</t>
  </si>
  <si>
    <t>GJ36U6735</t>
  </si>
  <si>
    <t>NIMAVAT DHARMENDRABHAI GORDHANBHAI</t>
  </si>
  <si>
    <t>GJ36W0534</t>
  </si>
  <si>
    <t>SINDHA DUDABHAI BHARWAD</t>
  </si>
  <si>
    <t>GJ33T3485</t>
  </si>
  <si>
    <t>ASHISHKUMAR KAMABHAI SOLANKI</t>
  </si>
  <si>
    <t>JANTA GRUH UDHYOG</t>
  </si>
  <si>
    <t>GJ36T7357</t>
  </si>
  <si>
    <t>AL 4123</t>
  </si>
  <si>
    <t>GJ36W0828</t>
  </si>
  <si>
    <t>GJ36W0761</t>
  </si>
  <si>
    <t>GJ36T3668</t>
  </si>
  <si>
    <t>AL DOST</t>
  </si>
  <si>
    <t>25/08/2024</t>
  </si>
  <si>
    <t>GJ36W0808</t>
  </si>
  <si>
    <t>BAJAJ AUTO/MAXIMA/ZCNG/Motorized</t>
  </si>
  <si>
    <t>MUNDHAVA RAMESHBHAI DUDABHAI</t>
  </si>
  <si>
    <t>GJ36X5321</t>
  </si>
  <si>
    <t>GJ36X4415</t>
  </si>
  <si>
    <t>ILIYASBHAI ABBASBHAI AGARIYA</t>
  </si>
  <si>
    <t>30/08/2024</t>
  </si>
  <si>
    <t>OM ANTIQUE ZONE</t>
  </si>
  <si>
    <t xml:space="preserve"> 30/08/2025
</t>
  </si>
  <si>
    <t>GJ13AW9343</t>
  </si>
  <si>
    <t>LAMBARIYA GOVINDBHAI BHIMABHAI</t>
  </si>
  <si>
    <t>OM AYURVEDIC STORE</t>
  </si>
  <si>
    <t>GJ36V5648</t>
  </si>
  <si>
    <t>ASHOKBHAI BACHUBHAI BHADJA</t>
  </si>
  <si>
    <t>GJ36W0796</t>
  </si>
  <si>
    <t>MUNA HAKA ADAGAMA</t>
  </si>
  <si>
    <t>GJ36W0574</t>
  </si>
  <si>
    <t>MANSUKHBHAI SHAMATBHAI MAKWANA</t>
  </si>
  <si>
    <t>GJ36U6653</t>
  </si>
  <si>
    <t>SHAHAMDAR AMINSHAH ALTAFSHAH</t>
  </si>
  <si>
    <t>GJ18AV9729</t>
  </si>
  <si>
    <t>LEEMBA BHALA DABHI</t>
  </si>
  <si>
    <t>BOLERO - PICKUP FB 2WD BS IV</t>
  </si>
  <si>
    <t>KISHAN RAMJIBHAI LAMBARIYA</t>
  </si>
  <si>
    <t>31/08/2024</t>
  </si>
  <si>
    <t>GJ36W0994</t>
  </si>
  <si>
    <t>BHIMANI SHAILESHBHAI MERUBHAI</t>
  </si>
  <si>
    <t>GJ36W0984</t>
  </si>
  <si>
    <t>SURESHBHAI DADUBHAI RATHOD</t>
  </si>
  <si>
    <t>RAJNIKANT GADHAJI THAKOR</t>
  </si>
  <si>
    <t>TATA MOTORS , LPT 1512 - DCR42CBC 125B6M5</t>
  </si>
  <si>
    <t>BHAGUBHAI RANABHAI SANGANI</t>
  </si>
  <si>
    <t>GJ36W0482</t>
  </si>
  <si>
    <t>KUNTIYA VIKRAMBHAI RAMESHBHAI</t>
  </si>
  <si>
    <t>MAHINDRA AND MAHINDRA - SUPRO</t>
  </si>
  <si>
    <t>RAMIZ FIROJBHAI AKBANI</t>
  </si>
  <si>
    <t>GJ12AN5223</t>
  </si>
  <si>
    <t>ESCORTS LTD TRACTOR</t>
  </si>
  <si>
    <t>BHATASANA RAMESH HARAKHJIBHAI</t>
  </si>
  <si>
    <t>02/09/0205</t>
  </si>
  <si>
    <t>GJ36W0122</t>
  </si>
  <si>
    <t>PARMAR ASHOKBHAI RANABHAI</t>
  </si>
  <si>
    <t>GJ36U7950</t>
  </si>
  <si>
    <t>THAKOR DINESH BABULAL</t>
  </si>
  <si>
    <t>ARIF BISMILAKHAN PATHAN</t>
  </si>
  <si>
    <t>EICHER MOTOR / PRO 1110 H</t>
  </si>
  <si>
    <t>SATAKA BHAGAVANAJI HIRABHAI</t>
  </si>
  <si>
    <t>GJ36W0989</t>
  </si>
  <si>
    <t>ATUL AUTO , ATUL SHAKTI - 435 CARGO XL D</t>
  </si>
  <si>
    <t>VERANA MAHESHBHAI JEMALBHAI</t>
  </si>
  <si>
    <t>ASHOK LEYLAND DOST &amp; LS 2 STR</t>
  </si>
  <si>
    <t>KUNDHIYA NATHALAL GOVABHAI</t>
  </si>
  <si>
    <t>GJ36W0639</t>
  </si>
  <si>
    <t>ATUL AUTO , ATUL SHAKTI - CARGO</t>
  </si>
  <si>
    <t>DABHI DINESHBHAI TULSIBHAI</t>
  </si>
  <si>
    <t>GJ36W0662</t>
  </si>
  <si>
    <t>BHARATBHAI NATUBHAI OGANIYA</t>
  </si>
  <si>
    <t>GJ03AV0396</t>
  </si>
  <si>
    <t>SALIM ADAMBHAI MAKVANA</t>
  </si>
  <si>
    <t>MAHAMAND ISMAIL VIKIYA</t>
  </si>
  <si>
    <t>13/09/2025</t>
  </si>
  <si>
    <t>GJ36W0907</t>
  </si>
  <si>
    <t>VIKRAM AMARSHIBHAI BHIMANI</t>
  </si>
  <si>
    <t>GJ36U2480</t>
  </si>
  <si>
    <t>BAJAJ AUTO/RE/COMPACT PLUS CNG/Motorized Rickshaw/AUTO RICKSHAW</t>
  </si>
  <si>
    <t>GJ36W0746</t>
  </si>
  <si>
    <t>AJAY SOMABHAI THORIYA</t>
  </si>
  <si>
    <t>GJ03BY6877</t>
  </si>
  <si>
    <t>NILESHBHAI VAGJIBHAI BORAD</t>
  </si>
  <si>
    <t>GJ36V4720</t>
  </si>
  <si>
    <t>MANSUKH SARVAIYA</t>
  </si>
  <si>
    <t>GJ36W0672</t>
  </si>
  <si>
    <t>JOLAPARA JAYANTIBHAI JETHABHAI</t>
  </si>
  <si>
    <t>GJ36V5410</t>
  </si>
  <si>
    <t>SHAILESH KUNVARJIBHAI KANZARIYA</t>
  </si>
  <si>
    <t>GJ36U0275</t>
  </si>
  <si>
    <t>BAJAJ AUTO/RE/OPTIMA CNG 4S/Motorized Rickshaw/AUTO RICKSHAW</t>
  </si>
  <si>
    <t>ZANZAVADIYA JAYANTILAL BABULAL</t>
  </si>
  <si>
    <t>BHARATBENZ 1617</t>
  </si>
  <si>
    <t>GJ36T3311</t>
  </si>
  <si>
    <t>GJ36V2073</t>
  </si>
  <si>
    <t>25/08/2025</t>
  </si>
  <si>
    <t>GJ14AT5353</t>
  </si>
  <si>
    <t>GJ15UU1876</t>
  </si>
  <si>
    <t>ADARSHKUMAR BHIKHABHAI FATEPARA</t>
  </si>
  <si>
    <t>GJ17XX4172</t>
  </si>
  <si>
    <t>TATA MOTORS , LPT 3518</t>
  </si>
  <si>
    <t>MEMON SHAHNAVAJ SALIMBHAI</t>
  </si>
  <si>
    <t>TATA LPT 3718 &amp; CR BS IV</t>
  </si>
  <si>
    <t>MEMON SHANAWAZ MOHAMM SALIMBHAI</t>
  </si>
  <si>
    <t>20/08/2024</t>
  </si>
  <si>
    <t>GJ36V4448</t>
  </si>
  <si>
    <t>Ashok Leyland Ltd UB 2820 6600 WB 32 LS BSVI</t>
  </si>
  <si>
    <t>GARIBNAWAZ PETROLEUM .</t>
  </si>
  <si>
    <t>2,80,00</t>
  </si>
  <si>
    <t>MH45AF7400</t>
  </si>
  <si>
    <t>MUNDHAVA MATRABHAI VIRAMBHAI</t>
  </si>
  <si>
    <t>GJ36T8665</t>
  </si>
  <si>
    <t>MANSUKHBHAI DABHI</t>
  </si>
  <si>
    <t>GJ10TW7016</t>
  </si>
  <si>
    <t>VARU RAJABHAI</t>
  </si>
  <si>
    <t>MU4501-45 HP AGRICULTURAL TRACTOR</t>
  </si>
  <si>
    <t>SHRI HALVAD PANJRAPOLE SANSTHA</t>
  </si>
  <si>
    <t>BOLERO - PICKUP 1.25T PS 2WD BSIII</t>
  </si>
  <si>
    <t>MIYATRA RAJENDRABHAI DHANJIBHAI</t>
  </si>
  <si>
    <t>KASAMBHAI DAUDBHAI SUMARA</t>
  </si>
  <si>
    <t>GJ36V5075</t>
  </si>
  <si>
    <t>CHANDRESHBHAI SHANTILAL VORA</t>
  </si>
  <si>
    <t>GJ36W0658</t>
  </si>
  <si>
    <t>CHAVDA SANJAYBHAI ARJANBHAI</t>
  </si>
  <si>
    <t>GJ36U3610</t>
  </si>
  <si>
    <t>SARVAIYA SURESH JADAVJIBHAI</t>
  </si>
  <si>
    <t>GJ36W0508</t>
  </si>
  <si>
    <t>SARANIYA MEPABHAI NATHABHAI</t>
  </si>
  <si>
    <t>GJ36U6918</t>
  </si>
  <si>
    <t>GJ36W0960</t>
  </si>
  <si>
    <t>RAUMA SARFARAJ YUNUSBHAI</t>
  </si>
  <si>
    <t>GJ36V6072</t>
  </si>
  <si>
    <t>RAMESHBHAI MERUBHAI BHADKA</t>
  </si>
  <si>
    <t>GJ36W0826</t>
  </si>
  <si>
    <t>SAGAR ARJANBHAI RUDATLA</t>
  </si>
  <si>
    <t>GJ36W0663</t>
  </si>
  <si>
    <t>VALENZA CERAMIC LLP</t>
  </si>
  <si>
    <t>GJ36U8144</t>
  </si>
  <si>
    <t>SHAKTI CHOVASIYA</t>
  </si>
  <si>
    <t>GJ36W0670</t>
  </si>
  <si>
    <t>JAM RASUL NURMAHMAD</t>
  </si>
  <si>
    <t>SOMANI BHIKHUBHAI BHAGVANJIBHAI</t>
  </si>
  <si>
    <t>13/09/2024</t>
  </si>
  <si>
    <t>GJ36W0586</t>
  </si>
  <si>
    <t>SOLANKI RATILAL</t>
  </si>
  <si>
    <t>17/09/2025</t>
  </si>
  <si>
    <t>KAVAR JITENDRABHAI DEVAJIBHAI</t>
  </si>
  <si>
    <t>TATA MOTORS/LPT 1109/EX TILT CLB/CLOSED/TRUCK</t>
  </si>
  <si>
    <t>HASNEN GULAMBHAI KHOLERA</t>
  </si>
  <si>
    <t>ZITHARABHAI NARUBHAI BARIYA</t>
  </si>
  <si>
    <t>GJ05BT0033</t>
  </si>
  <si>
    <t>ASHOK LEYLAND DOST &amp; LE BS III</t>
  </si>
  <si>
    <t>BHAGIRATH BHAGIRATH</t>
  </si>
  <si>
    <t>KISHANBHAI KUNVARJIBHAI CHAUHAN</t>
  </si>
  <si>
    <t>GJ12BJ3508</t>
  </si>
  <si>
    <t>GJ36V2069</t>
  </si>
  <si>
    <t>HASHMUKHBHAI VALAJIBHAI SARAVAIYA</t>
  </si>
  <si>
    <t>GJ36T8698</t>
  </si>
  <si>
    <t>MARAVIYA HANIFBHAI</t>
  </si>
  <si>
    <t>19/09/2025</t>
  </si>
  <si>
    <t>13/09/24</t>
  </si>
  <si>
    <t>GJ03BZ2007</t>
  </si>
  <si>
    <t>MARUTI SUZUKI ERTIGA SMART HYBRID VXI</t>
  </si>
  <si>
    <t>14/09/2024</t>
  </si>
  <si>
    <t>PRAVINBHAI CHHAGANBHAI ODIYA</t>
  </si>
  <si>
    <t>16/09/2025</t>
  </si>
  <si>
    <t>15/09/2024</t>
  </si>
  <si>
    <t>GJ36W6877</t>
  </si>
  <si>
    <t>NILESHBHAI VAGHJIBHAI BORAD</t>
  </si>
  <si>
    <t>15/09/2025</t>
  </si>
  <si>
    <t>GJ36W0619</t>
  </si>
  <si>
    <t>ALPESH HASMUKHBHAI ZALA</t>
  </si>
  <si>
    <t>16/09/2024</t>
  </si>
  <si>
    <t>GJ36U5486</t>
  </si>
  <si>
    <t>BATHAVAR PALABHAI MEDHABHAI</t>
  </si>
  <si>
    <t>GJ36V6731</t>
  </si>
  <si>
    <t>VIBHABHAI DANABHAI KUNVARIYA</t>
  </si>
  <si>
    <t>17/09/2024</t>
  </si>
  <si>
    <t>GJ36W0754</t>
  </si>
  <si>
    <t>MUMTAJ MUSTAK MOVAR</t>
  </si>
  <si>
    <t>GJ36W0969</t>
  </si>
  <si>
    <t>BAVARIA JAYESH PREMJIBHAI</t>
  </si>
  <si>
    <t>GJ36W0877</t>
  </si>
  <si>
    <t>BATUK JIVANBHAI DHOLAKIYA</t>
  </si>
  <si>
    <t>GJ36W0606</t>
  </si>
  <si>
    <t>PARMAR NILESHBHAI DEVJIBHAI</t>
  </si>
  <si>
    <t>GJ36U5570</t>
  </si>
  <si>
    <t>PANCHASRA VELJI HAMIR</t>
  </si>
  <si>
    <t>18/09/2024</t>
  </si>
  <si>
    <t>ASHOK LEYLAND 1618 &amp; 4X2 H</t>
  </si>
  <si>
    <t>OLAKIYA NAGJIBHAI RAGHUBHA</t>
  </si>
  <si>
    <t>20/09/2025</t>
  </si>
  <si>
    <t>19/09/2024</t>
  </si>
  <si>
    <t>GJ36W0955</t>
  </si>
  <si>
    <t>MAHESHBHAI JAMBUJI SARKHETIYA</t>
  </si>
  <si>
    <t>RAUMA ABBAS RASULBHAI</t>
  </si>
  <si>
    <t>ASHOK LEYLAND - U 3718 IL G 91 CABIN</t>
  </si>
  <si>
    <t>18/09/2025</t>
  </si>
  <si>
    <t>GJ36W0879</t>
  </si>
  <si>
    <t>RATHOD NARANBHAI MULAJIBHAI</t>
  </si>
  <si>
    <t>TATA INTRA &amp; THUNDER GOLD INTRA V10 BS6</t>
  </si>
  <si>
    <t>MAGANLAL POPAT KUNDARIYA</t>
  </si>
  <si>
    <t>AJAMERI YUNUSBHAI ABDULBHAI</t>
  </si>
  <si>
    <t>28/09/2025</t>
  </si>
  <si>
    <t>GJ36V5731</t>
  </si>
  <si>
    <t>EICHER MOTORS/PRO 2055/T/CLOSED/TRUCK</t>
  </si>
  <si>
    <t>VAGHELA DIVYESH RAJESHBHAI</t>
  </si>
  <si>
    <t>MOHYUDEEN CHAUHAN</t>
  </si>
  <si>
    <t>GJ36W0998</t>
  </si>
  <si>
    <t>ABASBHAI HUSHENBHAI KATIYA</t>
  </si>
  <si>
    <t>SHINDHABHAI GHELABHAI GAMARA</t>
  </si>
  <si>
    <t>GJ36V5340</t>
  </si>
  <si>
    <t>AJIMHOSSAIN TAHID SEKH</t>
  </si>
  <si>
    <t>GJ03BT1313</t>
  </si>
  <si>
    <t>JETHABHAI DEVRAJBHAI AJANA</t>
  </si>
  <si>
    <t>GJ36W0068</t>
  </si>
  <si>
    <t>GAMARA BHALABHAI</t>
  </si>
  <si>
    <t>GJ13AT5487</t>
  </si>
  <si>
    <t>JINDANI MAHMADAKARAM KASAMBHAI</t>
  </si>
  <si>
    <t>KISHAN SURESHBHAI CHAUHAN</t>
  </si>
  <si>
    <t>GJ13AH0541</t>
  </si>
  <si>
    <t>NEW HOLLAND</t>
  </si>
  <si>
    <t>SALMANKHAN UMARKHAN KHORAM</t>
  </si>
  <si>
    <t>PARULBEN RAJESHBHAI SONAGRA</t>
  </si>
  <si>
    <t>GJ36W0853</t>
  </si>
  <si>
    <t>MANEK SALEMAN OSHMAN</t>
  </si>
  <si>
    <t>GJ36W0894</t>
  </si>
  <si>
    <t>OD MATHURBHAI LALJIBHAI</t>
  </si>
  <si>
    <t>GJ03BT3486</t>
  </si>
  <si>
    <t>MESANIYA IBRAHIMBHAI AHMAD</t>
  </si>
  <si>
    <t>DHIRAJBHAI CHAKUBHAI PANSARA</t>
  </si>
  <si>
    <t>GJ36W0157</t>
  </si>
  <si>
    <t>RATHOD PARVEZ</t>
  </si>
  <si>
    <t>GJ12AY8588</t>
  </si>
  <si>
    <t>TATA LPT &amp; 2518 TC/48</t>
  </si>
  <si>
    <t>MR. DHUSA .</t>
  </si>
  <si>
    <t>23/09/2024</t>
  </si>
  <si>
    <t>GJ03AU3530</t>
  </si>
  <si>
    <t>SARFARAJ HAJIBHAI DALVANI</t>
  </si>
  <si>
    <t>GJ36V1900</t>
  </si>
  <si>
    <t>PORDIYA SUNIL GHANSHYAMBHAI</t>
  </si>
  <si>
    <t>PATHAN NORIN IMRANBHAI</t>
  </si>
  <si>
    <t>GJ02XX3018</t>
  </si>
  <si>
    <t>WAHAJUDDINKHAN ABDULKADIRKHAN</t>
  </si>
  <si>
    <t>PLOT NO-25,LABH SOCIETY NEAR SATYAM SOCIETY MADHAPAR,MORBI</t>
  </si>
  <si>
    <t>: ANDARNA ANDARNA, PO MORBI MDG DIST, MORBI, GUJARAT 363641</t>
  </si>
  <si>
    <t>AT RAJA VADLA TAL WANKANER DIST RAJKOT WANKANER, RAJKOT, GUJARAT, India, 363621.</t>
  </si>
  <si>
    <t>GJ36X0092</t>
  </si>
  <si>
    <t>ASHOK LEYLAND 3718 &amp; 4 STR</t>
  </si>
  <si>
    <t>KUMBHARPAR WANKANER AMARSAR WANKANER, RAJKOT, GUJARAT</t>
  </si>
  <si>
    <t>24/08/2024</t>
  </si>
  <si>
    <t>GJ12BW3369</t>
  </si>
  <si>
    <t>TATA SIGNA &amp; 4923 S CR BS4 5STR</t>
  </si>
  <si>
    <t>BHARTBHAI JIVAN</t>
  </si>
  <si>
    <t>RASNAL PITHAD JAMNAGAR KHAMBHALIA, JAMNAGAR, GUJARAT, India, 361220.</t>
  </si>
  <si>
    <t>GJ36T4063</t>
  </si>
  <si>
    <t>AT-MAKANSAR MORBI RAJKOT MORBI, RAJKOT, GUJARAT, India, 363641.</t>
  </si>
  <si>
    <t>GJ10TV8000</t>
  </si>
  <si>
    <t>ASHOK LEYLAND AL 3116 &amp; TRUCK</t>
  </si>
  <si>
    <t>HARDIP LAKHABHA FUNADA</t>
  </si>
  <si>
    <t>KHADIYA VAS NEAR PANJAPOL LILAPAR ROAD MORBI, RAJKOT, GUJARAT, India, 363641</t>
  </si>
  <si>
    <t>GJ36W0614</t>
  </si>
  <si>
    <t>KARELIYA RAHUL</t>
  </si>
  <si>
    <t>DABHI JITESH BACHUBHA</t>
  </si>
  <si>
    <t>GJ36W0707</t>
  </si>
  <si>
    <t>MIYANA FIROJ BACHUBHA</t>
  </si>
  <si>
    <t>GJ13AX0340</t>
  </si>
  <si>
    <t>MUNAF IKBALBHAI KALADIYA</t>
  </si>
  <si>
    <t>GJ36U7390</t>
  </si>
  <si>
    <t>KADRI BASIRMIYA HAIDARMIYA</t>
  </si>
  <si>
    <t>GJ36W0558</t>
  </si>
  <si>
    <t>BHAVESH NATUBHAI BAJANIYA</t>
  </si>
  <si>
    <t>GJ36V0392</t>
  </si>
  <si>
    <t>KANZARIYA PARESHBHAI JIVRAJBHAI</t>
  </si>
  <si>
    <t>GJ03AT1114</t>
  </si>
  <si>
    <t>Ashok Leyland Ltd AL 2214/27S</t>
  </si>
  <si>
    <t>JAYENDRASINH DILAVARSINH JADEJA</t>
  </si>
  <si>
    <t>GJ36T7296</t>
  </si>
  <si>
    <t>KOLI BALDEVBHAI RAMSANGBHA</t>
  </si>
  <si>
    <t>GJ36W0871</t>
  </si>
  <si>
    <t>PARMAR JAYSUKHBHAI VAJABHAI</t>
  </si>
  <si>
    <t>GJ36U7329</t>
  </si>
  <si>
    <t>SOHARVADI JUSAB ISMAILBHAI</t>
  </si>
  <si>
    <t>RAIYABHAI NAGJIBHAI MUNDHAVA</t>
  </si>
  <si>
    <t>29/09/2025</t>
  </si>
  <si>
    <t>GJ36U7099</t>
  </si>
  <si>
    <t>DHANDHAL JORUBHAI TAPUBHAI</t>
  </si>
  <si>
    <t>GJ13AW9716</t>
  </si>
  <si>
    <t>TATA LPT 1212 DCR 48/TRUCK</t>
  </si>
  <si>
    <t>RAVIBHAI DEVJIBHAI GABU</t>
  </si>
  <si>
    <t>GJ36U5023</t>
  </si>
  <si>
    <t>PILUDIYA RAFIKBHAI KASAMBHAI</t>
  </si>
  <si>
    <t>GJ36W0716</t>
  </si>
  <si>
    <t>MANOJBHAI BHATTI</t>
  </si>
  <si>
    <t>TATA MOTORS - ACE GOLD PLUS BS 6</t>
  </si>
  <si>
    <t>GJ36U1618</t>
  </si>
  <si>
    <t>UNNADPAUTRA SALIMBHAI NURMAMADBHAI</t>
  </si>
  <si>
    <t>GJ36V2220</t>
  </si>
  <si>
    <t>PRAVINBHAI ODHAVAJIBHAI PATEL</t>
  </si>
  <si>
    <t>GJ36U9311</t>
  </si>
  <si>
    <t>BABUGIRI GOSAI</t>
  </si>
  <si>
    <t>SUMRA AADIL GULAMHUSEN</t>
  </si>
  <si>
    <t>GJ36W0694</t>
  </si>
  <si>
    <t>MANISHBHAI SETANIYA</t>
  </si>
  <si>
    <t>GJ36T7317</t>
  </si>
  <si>
    <t>KHANOJ UMEDBHAI BAGATHARIYA</t>
  </si>
  <si>
    <t>GJ36V5240</t>
  </si>
  <si>
    <t>ASHOK LEYLAND - BADA DOST I2 BS 6</t>
  </si>
  <si>
    <t>BATUKBHAI BORICHA</t>
  </si>
  <si>
    <t>GJ36V5265</t>
  </si>
  <si>
    <t>HARDIK VIDJA</t>
  </si>
  <si>
    <t>GJ36V0966</t>
  </si>
  <si>
    <t>DUDHIBEN LALJIBHA JETPARIYA</t>
  </si>
  <si>
    <t>GJ36U5334</t>
  </si>
  <si>
    <t>MAHAMADAJAJ B AJMATRA</t>
  </si>
  <si>
    <t>GJ36U9300</t>
  </si>
  <si>
    <t>CHANIYA AHEMAD VALIMAMADBHAI</t>
  </si>
  <si>
    <t>GJ36W0538</t>
  </si>
  <si>
    <t>ATUL GEM PAXX</t>
  </si>
  <si>
    <t>ASHOKBHAI HIRABHAI BHARVAD</t>
  </si>
  <si>
    <t>DALPAUTRA FIROJ HAJIBHAI</t>
  </si>
  <si>
    <t>GJ36W0783</t>
  </si>
  <si>
    <t>PARMAR JAGDISHBHAI DALABHAI</t>
  </si>
  <si>
    <t>TATA ACE &amp; MEGA XL</t>
  </si>
  <si>
    <t>JITENDRA JAYSUKHLAL JOSHI</t>
  </si>
  <si>
    <t>SIGNA 3530.TK - TIPPER BSVI</t>
  </si>
  <si>
    <t>GJ36U5461</t>
  </si>
  <si>
    <t>DABHI HASMUKH MAVJIBHAI</t>
  </si>
  <si>
    <t>GJ36W0763</t>
  </si>
  <si>
    <t>DIVAKAR VASANTDAS KUBAVAT</t>
  </si>
  <si>
    <t>GJ36W0883</t>
  </si>
  <si>
    <t>SAHRUKHBHAI BOGHADIYA</t>
  </si>
  <si>
    <t>KHODIDAS NANJIBHAI TOTA</t>
  </si>
  <si>
    <t>MAYUR VRUJLAL PARMAR</t>
  </si>
  <si>
    <t>ASHOK LEYLAND/2516/IL/OPEN/TRUCK</t>
  </si>
  <si>
    <t>DIGVIJAYSINH DILAVRSINH JADEJA</t>
  </si>
  <si>
    <t>GJ36V0207</t>
  </si>
  <si>
    <t>DINESHBHAI DHANJI VADAVIYA</t>
  </si>
  <si>
    <t>GJ36T0676</t>
  </si>
  <si>
    <t>DINESHBHAI JERAMBHAI ANKHAJA</t>
  </si>
  <si>
    <t>GJ36W0525</t>
  </si>
  <si>
    <t>RAMESHBHAI PREMJIBHAI KAGATHARA</t>
  </si>
  <si>
    <t>RATHOD AMRUTLAL ARJANBHAI</t>
  </si>
  <si>
    <t>GJ36W0928</t>
  </si>
  <si>
    <t>MANSUKH GOVINDBHAI KAGTHARA</t>
  </si>
  <si>
    <t>GJ36T8874</t>
  </si>
  <si>
    <t>KARSHANBHAI RAMJIBHAI DABHI R</t>
  </si>
  <si>
    <t>GJ36V5241</t>
  </si>
  <si>
    <t>BOLERO MAXX PUP</t>
  </si>
  <si>
    <t>ABDULRAJAK HUSENBHAI JINGYA</t>
  </si>
  <si>
    <t>GJ36V2302</t>
  </si>
  <si>
    <t>KOLI MOTIBHAI RANABHAI</t>
  </si>
  <si>
    <t>TOFIK RAHIMBHAI KADIVAR</t>
  </si>
  <si>
    <t>GJ36W0947</t>
  </si>
  <si>
    <t>MAHENDRA KUMAR KANJIBHAI PARGHI</t>
  </si>
  <si>
    <t>LPT 2516 LB Tipper</t>
  </si>
  <si>
    <t>MANEK AVESH KHAMISHA</t>
  </si>
  <si>
    <t>SUBHANBHAI KHAMISHABHAI MANEK</t>
  </si>
  <si>
    <t>RATHOD LALAJI PREMJIBHAI</t>
  </si>
  <si>
    <t>ALLAN KHAN NASRUDDIN KHAN</t>
  </si>
  <si>
    <t>GJ36W0966</t>
  </si>
  <si>
    <t>PARA HAJIBHAI</t>
  </si>
  <si>
    <t>GJ36V4064</t>
  </si>
  <si>
    <t>MADHAV ENTERPRISE</t>
  </si>
  <si>
    <t>GJ36U7095</t>
  </si>
  <si>
    <t>ARJUNSINH ZALA</t>
  </si>
  <si>
    <t>TATA MOTORS/LPT 1109/36 CAB EX</t>
  </si>
  <si>
    <t>JAIBUL HASAN</t>
  </si>
  <si>
    <t>GJ36T4601</t>
  </si>
  <si>
    <t>BHARVAD GHANSHYAMBHAI HARJIBHAI</t>
  </si>
  <si>
    <t>GJ36W0995</t>
  </si>
  <si>
    <t>MAHESHKUMAR REVABHAI KHARAGIYA</t>
  </si>
  <si>
    <t>GJ36W0588</t>
  </si>
  <si>
    <t>RAMESH MAGAVANIYA VIRAJIBHAI</t>
  </si>
  <si>
    <t>GJ13AW0933</t>
  </si>
  <si>
    <t>MEHULKUMAR GELABHAI RATADIYA</t>
  </si>
  <si>
    <t>TATA MOTORS - SIGNA 3525.T 56WB BS6</t>
  </si>
  <si>
    <t>HEENABEN BHAVINKUMAR KHANDHADIYA</t>
  </si>
  <si>
    <t>CHETANGAR BHAGVANGAR GAUSWAMI</t>
  </si>
  <si>
    <t>GJ36V9649</t>
  </si>
  <si>
    <t>SAVANI NAYANBHAI JAMANBHAI</t>
  </si>
  <si>
    <t>GJ01TF4436</t>
  </si>
  <si>
    <t>LAMBARIYA MOM MADHA</t>
  </si>
  <si>
    <t>GJ36U5941</t>
  </si>
  <si>
    <t>MAGANBHAI BHURABHAI KUMBHARVADIYA</t>
  </si>
  <si>
    <t>GJ09Z1817</t>
  </si>
  <si>
    <t>MAHINDRA BOLERO &amp; MAXI TRUCK 2WD</t>
  </si>
  <si>
    <t>RANCHHODBHAI DEVSIBHAI RABARI</t>
  </si>
  <si>
    <t>GJ36X6072</t>
  </si>
  <si>
    <t>EICHER / PRO 2110 H CAB &amp; HSD (SL) BSVI</t>
  </si>
  <si>
    <t>GJ36X1147</t>
  </si>
  <si>
    <t>SHRIF OSAMAN MOVAR</t>
  </si>
  <si>
    <t>GJ36W0551</t>
  </si>
  <si>
    <t>MATRABHAI MOTIBHAI RAVA MOTIBHAI</t>
  </si>
  <si>
    <t>GJ36V2951</t>
  </si>
  <si>
    <t>JAYESHBHAI RAMESHBHAI MUNDADIYA</t>
  </si>
  <si>
    <t>GJ36U8731</t>
  </si>
  <si>
    <t>DODIYA GOPABHAI SHAMJIBHAI</t>
  </si>
  <si>
    <t>GJ36U8564</t>
  </si>
  <si>
    <t>AKBARBHAI AMADBHAI SUMARA</t>
  </si>
  <si>
    <t>GJ36W0665</t>
  </si>
  <si>
    <t>THUKRAL ELECTRIC BIKES - THUKRAL GRAND</t>
  </si>
  <si>
    <t>PARMAR MAHESH GENAJIBHAI</t>
  </si>
  <si>
    <t>GJ36T7111</t>
  </si>
  <si>
    <t>ISUZU/D MAX/SPACE CAB FLAT DECK/OPEN/PICK UP VAN</t>
  </si>
  <si>
    <t>RAFIKBHAI RAZAKBHAI MANDVIYA</t>
  </si>
  <si>
    <t>GJ36W0856</t>
  </si>
  <si>
    <t>JEDA HUSENBHAI USMANBHAI</t>
  </si>
  <si>
    <t>GJ36S3680</t>
  </si>
  <si>
    <t>AMBANIYA MANHAR RAMJI</t>
  </si>
  <si>
    <t>GJ36S3795</t>
  </si>
  <si>
    <t>BHOJA JEMA ABANIYA</t>
  </si>
  <si>
    <t>GJ36X4075</t>
  </si>
  <si>
    <t>RAJULGIRI CHANDRESHGIRI GOSAI</t>
  </si>
  <si>
    <t>GJ03BY6369</t>
  </si>
  <si>
    <t>RAVI NARSHIBHAI JAMANG</t>
  </si>
  <si>
    <t>GJ36W0925</t>
  </si>
  <si>
    <t>SANTOSHBHAI HIRABHAI KANZARIYA</t>
  </si>
  <si>
    <t>GJ36T0450</t>
  </si>
  <si>
    <t>AZADBHAI R THEBA</t>
  </si>
  <si>
    <t>GJ36W0634</t>
  </si>
  <si>
    <t>RAJESHBHAI SHANKARLAL SANURA</t>
  </si>
  <si>
    <t>GJ03AX6722</t>
  </si>
  <si>
    <t>EICHER MOTORS/11.10/DIESEL/OPEN/TRUCK</t>
  </si>
  <si>
    <t>GORVADIYA NARANBHAI RAVAJIBHAI</t>
  </si>
  <si>
    <t>KIHALA RAJUBHAI MANUBHA</t>
  </si>
  <si>
    <t>UGABHAI J DANGAR</t>
  </si>
  <si>
    <t>GJ36T3086</t>
  </si>
  <si>
    <t>RAMESHBHAI DEVJIBHAI DABHI</t>
  </si>
  <si>
    <t>GJ36V2578</t>
  </si>
  <si>
    <t>NOTIYAR MAHAMAD HAJIBHAI</t>
  </si>
  <si>
    <t>GJ14Z3974</t>
  </si>
  <si>
    <t>PIPAR GAFARBHAI</t>
  </si>
  <si>
    <t>GJ36W0656</t>
  </si>
  <si>
    <t>PARMAR HARESH DINESHBHAI</t>
  </si>
  <si>
    <t>GJ01HT2554</t>
  </si>
  <si>
    <t>TATA LPT &amp; 1512/48 CRX</t>
  </si>
  <si>
    <t>GJ03AZ7309</t>
  </si>
  <si>
    <t>PIAGGIO APE CITY STR 4</t>
  </si>
  <si>
    <t>UMARBHAI SUMARA</t>
  </si>
  <si>
    <t>FUTURE GENRALI</t>
  </si>
  <si>
    <t>SFC 407 - GOLD BSVI</t>
  </si>
  <si>
    <t>BHARATBHAI MATHRABHAI ZANPADA</t>
  </si>
  <si>
    <t>GJ36V1455</t>
  </si>
  <si>
    <t>ULTRA T.7 TWIN TYRE BSVI</t>
  </si>
  <si>
    <t>HEENA PETROLEUM</t>
  </si>
  <si>
    <t>74,90</t>
  </si>
  <si>
    <t>GJ03AZ8429</t>
  </si>
  <si>
    <t>GJ36T2154</t>
  </si>
  <si>
    <t>VADSOLA HARESHBHAI GOVINDBHAI</t>
  </si>
  <si>
    <t>GJ10TT7923</t>
  </si>
  <si>
    <t>RAVJIBHAI LAXMANBHAI BHARVAD</t>
  </si>
  <si>
    <t>GJ03AX9988</t>
  </si>
  <si>
    <t>RAHIL IQBALBHAI LANJA</t>
  </si>
  <si>
    <t>KARAMSHIBHAI SIDABHAI BHARVAD</t>
  </si>
  <si>
    <t>GJ36W0864</t>
  </si>
  <si>
    <t>RAHUL SURELA</t>
  </si>
  <si>
    <t>GJ36W0977</t>
  </si>
  <si>
    <t>AJAY DEGAMA</t>
  </si>
  <si>
    <t>GJ03AT3581</t>
  </si>
  <si>
    <t>TATA / LPT 1109 EX 2 CR</t>
  </si>
  <si>
    <t>MIYATRA MANSUKHBHAI PREMJIBHAI</t>
  </si>
  <si>
    <t>BAHUCHAR ENTERPRIS</t>
  </si>
  <si>
    <t>GJ36V2932</t>
  </si>
  <si>
    <t>GHUGHABHAI BHARVAD</t>
  </si>
  <si>
    <t>GJ36W0816</t>
  </si>
  <si>
    <t>SANJAY MANIVADIYA</t>
  </si>
  <si>
    <t>GJ36S3735</t>
  </si>
  <si>
    <t>TRX 15</t>
  </si>
  <si>
    <t>GJ36S3947</t>
  </si>
  <si>
    <t>3DX PLUS</t>
  </si>
  <si>
    <t>PATADIYA</t>
  </si>
  <si>
    <t>GJ36W0543</t>
  </si>
  <si>
    <t>MANSUKHBHAI PRABHUBHAI KOLI</t>
  </si>
  <si>
    <t>GHANCHI MAYUDIN SUBHANBHAI</t>
  </si>
  <si>
    <t>GJ36U1836</t>
  </si>
  <si>
    <t>SHAHMADAR SHAHILSHA MUSTAFASHA</t>
  </si>
  <si>
    <t>GJ36W0949</t>
  </si>
  <si>
    <t>RAJESHKUMAR JOGADIYA</t>
  </si>
  <si>
    <t>GJ36W0539</t>
  </si>
  <si>
    <t>KAGATHARA VIJAY JAGDISHBHAI</t>
  </si>
  <si>
    <t>BHAVESH ANTRESA</t>
  </si>
  <si>
    <t>GJ36V5494</t>
  </si>
  <si>
    <t>GOPALBHAI VELABHAI DORALA</t>
  </si>
  <si>
    <t>GJ36V2898</t>
  </si>
  <si>
    <t>SATISHKUMAR PRAVINBHAI VARMORA</t>
  </si>
  <si>
    <t>18/10/2024</t>
  </si>
  <si>
    <t>GJ36V9818</t>
  </si>
  <si>
    <t>KASAMBHAI DAUDBHAI SHEKH</t>
  </si>
  <si>
    <t>20/10/2025</t>
  </si>
  <si>
    <t>GJ36T9268</t>
  </si>
  <si>
    <t>ANILKUMAR KESHUBHAI GANGADIYA</t>
  </si>
  <si>
    <t>KUKVA VIPUL BABUBHAI</t>
  </si>
  <si>
    <t>GJ03AZ2180</t>
  </si>
  <si>
    <t>ASHOK LEYLAND / 3118 IL SUPER WB5350</t>
  </si>
  <si>
    <t>HEMUBHA MANUBHA VAGHELA</t>
  </si>
  <si>
    <t>GJ36V2817</t>
  </si>
  <si>
    <t>MOTIBHAI VERSHIBHAI DABHI</t>
  </si>
  <si>
    <t>19/10/2024</t>
  </si>
  <si>
    <t>GJ36S2972</t>
  </si>
  <si>
    <t>MILAN MANILAL BAPODARIYA</t>
  </si>
  <si>
    <t>GJ03SS6819</t>
  </si>
  <si>
    <t>TRACTOR LOADER</t>
  </si>
  <si>
    <t>SONAFIELD CERAMIC</t>
  </si>
  <si>
    <t>GJ36U5623</t>
  </si>
  <si>
    <t>EICHER TERRA 16</t>
  </si>
  <si>
    <t>GJ36T0019</t>
  </si>
  <si>
    <t>GJ36U8595</t>
  </si>
  <si>
    <t>GJ36V2356</t>
  </si>
  <si>
    <t>GJ36W1343</t>
  </si>
  <si>
    <t>23/10/2025</t>
  </si>
  <si>
    <t>GJ36T5250</t>
  </si>
  <si>
    <t>GJ04X8679</t>
  </si>
  <si>
    <t xml:space="preserve">SN </t>
  </si>
  <si>
    <t>GJ36W0674</t>
  </si>
  <si>
    <t>GJ36V2468</t>
  </si>
  <si>
    <t>GJ36V5589</t>
  </si>
  <si>
    <t>GJ36X9892</t>
  </si>
  <si>
    <t>TATA / SIGNA 3530 K/TK</t>
  </si>
  <si>
    <t>SHREE RADHEKRISHNA ENTERPRISE</t>
  </si>
  <si>
    <t>CHEQUE POLICY</t>
  </si>
  <si>
    <t>G36X4169</t>
  </si>
  <si>
    <t>GJ36V4974</t>
  </si>
  <si>
    <t>ASHOK LEYLAND 2516 &amp; 6X2</t>
  </si>
  <si>
    <t>MANSUKHBHAI GOPALBHAI KERASIYA</t>
  </si>
  <si>
    <t>GJ36V2900</t>
  </si>
  <si>
    <t>SUNILBHAI GHANSHYAMBHAI PORDIYA</t>
  </si>
  <si>
    <t>GJ36V5107</t>
  </si>
  <si>
    <t>TATA MOTORS , LPT 1816 - DCR39HSD</t>
  </si>
  <si>
    <t>VIPULBHAI BHUPATBHAI KANJIYA</t>
  </si>
  <si>
    <t>GJ36X1898</t>
  </si>
  <si>
    <t>PABABHAI MACHCHABHAI SETANIYA</t>
  </si>
  <si>
    <t>GJ36X1239</t>
  </si>
  <si>
    <t>SANGANI BHAGUBHAI RANABHAI</t>
  </si>
  <si>
    <t>20/10/2024</t>
  </si>
  <si>
    <t>GJ36V5670</t>
  </si>
  <si>
    <t>NIRANJANBHAI MOHANBHAI PARIYA</t>
  </si>
  <si>
    <t>GJ36W1326</t>
  </si>
  <si>
    <t>RANJITBHAI GORDHANBHAI SAKALIYA</t>
  </si>
  <si>
    <t>27/10/2025</t>
  </si>
  <si>
    <t>GJ36T1531</t>
  </si>
  <si>
    <t>RAMESHBHAI AMARABHAI THORIYA</t>
  </si>
  <si>
    <t>GJ36W1149</t>
  </si>
  <si>
    <t>CHAUHAN SANJAYBHAI MANSINGBHAI</t>
  </si>
  <si>
    <t>GJ36W1397</t>
  </si>
  <si>
    <t>SURESH KANJIBHAI PATDYA KANJIBHAI</t>
  </si>
  <si>
    <t>GJ03BT9778</t>
  </si>
  <si>
    <t>ASHOK LEYLAND / AL 3718 3718 TRUCK</t>
  </si>
  <si>
    <t>SHERASIYA ILMUDEEN HAJIBHAI</t>
  </si>
  <si>
    <t>GJ36X2637</t>
  </si>
  <si>
    <t>KATODIYA MAIYABHAI HINDUBHAI</t>
  </si>
  <si>
    <t>GJ36V0540</t>
  </si>
  <si>
    <t>VINODBHAI HIRABHAI ZAPADA</t>
  </si>
  <si>
    <t>GJ36U4025</t>
  </si>
  <si>
    <t>PANKAJBHAI DINESHBHAI PARMAR</t>
  </si>
  <si>
    <t>GJ03BY0415</t>
  </si>
  <si>
    <t>TATA MOTORS/LPK 909/EX/OPEN/TIPPER</t>
  </si>
  <si>
    <t>MAHIPATBHAI DEVRAJBHAI MIYATRA</t>
  </si>
  <si>
    <t>GJ03V9631</t>
  </si>
  <si>
    <t>ASHOK LEYLAND/CT 1611/COMET/OPEN/TIPPER</t>
  </si>
  <si>
    <t>ARBANI AVESH ADAMBHAI</t>
  </si>
  <si>
    <t>GJ13U9065</t>
  </si>
  <si>
    <t>ASHOK LEYLAND / AL 1612 TRUCK</t>
  </si>
  <si>
    <t>RAVI VINODBHAI MAKWANA</t>
  </si>
  <si>
    <t>GJ02Z1283</t>
  </si>
  <si>
    <t>ASHOK LEYLAND / AL 1613 H TRUCK</t>
  </si>
  <si>
    <t>TAHIRBHAI ABHARAMBHAI KAIDA</t>
  </si>
  <si>
    <t>GJ36U1542</t>
  </si>
  <si>
    <t>MANHARSINH DOLUBHA SOLANKI</t>
  </si>
  <si>
    <t>GJ36V5782</t>
  </si>
  <si>
    <t>TATA / SIGNA 3530 TK 8*4 BSVI HD 23 BOX</t>
  </si>
  <si>
    <t>KUNAPARA SATISH LAGDHIRBHAI</t>
  </si>
  <si>
    <t>26/10/2025</t>
  </si>
  <si>
    <t>GJ36U6420</t>
  </si>
  <si>
    <t>SHANKARBHAI NATHUBHAI SONAGRA</t>
  </si>
  <si>
    <t>GJ36W1062</t>
  </si>
  <si>
    <t>MAKVANA SANJAYKUMAR SAVAJIBHAI</t>
  </si>
  <si>
    <t>RAJUBHAI DHAMECHA</t>
  </si>
  <si>
    <t>GJ36T7284</t>
  </si>
  <si>
    <t>KARAMSHIBHAI RAGHUBHAI GARIYA</t>
  </si>
  <si>
    <t>GJ13AV6656</t>
  </si>
  <si>
    <t>MAHESH MOTIBHAI LAMBARIYA</t>
  </si>
  <si>
    <t>GJ03BT6371</t>
  </si>
  <si>
    <t>GUDHDA AMUBHAI BABABHAI</t>
  </si>
  <si>
    <t>MUNDHAVA GOVIND NARUBHAI</t>
  </si>
  <si>
    <t>GJ15AT1524</t>
  </si>
  <si>
    <t>PRAVINDAN MOJDAN GADHAVI</t>
  </si>
  <si>
    <t>25/10/2024</t>
  </si>
  <si>
    <t>ASHOK LEYLAND / 3718 N</t>
  </si>
  <si>
    <t>RAJUBHAI ODEDARA</t>
  </si>
  <si>
    <t>TATA LPT &amp; 3118 TC 3STR</t>
  </si>
  <si>
    <t>OSMAN S MOVAR</t>
  </si>
  <si>
    <t>GJ03BW5401</t>
  </si>
  <si>
    <t>JADAV KISHORBHAI KARNABHAI</t>
  </si>
  <si>
    <t>GJ36W1425</t>
  </si>
  <si>
    <t>LALITBHAI KARSHANBHAI SUNDARIYA</t>
  </si>
  <si>
    <t>GJ36V4966</t>
  </si>
  <si>
    <t>KHIT RANCHHODBHAI DEVABHAI</t>
  </si>
  <si>
    <t>GJ03BX7057</t>
  </si>
  <si>
    <t>VIJAY KALUBHAI BAVALIYA</t>
  </si>
  <si>
    <t>26/10/2024</t>
  </si>
  <si>
    <t>CHANDU VINZVADIYA</t>
  </si>
  <si>
    <t>GJ36W0997</t>
  </si>
  <si>
    <t>MAHESH TARSHI CHAVDA</t>
  </si>
  <si>
    <t>GJ36W1238</t>
  </si>
  <si>
    <t>DEVRAJ GORDHANBHAI RATHOD</t>
  </si>
  <si>
    <t>SUNIL SAVJIBHAI THARESA</t>
  </si>
  <si>
    <t>GJ36W1133</t>
  </si>
  <si>
    <t>ARIF SUMARA</t>
  </si>
  <si>
    <t>GJ36V5789</t>
  </si>
  <si>
    <t>PETHABHAI SATABHAI BHARVAD</t>
  </si>
  <si>
    <t>GJ36X9449</t>
  </si>
  <si>
    <t>MAHINDRA/BOLERO/MAXX PUP HD 1.7L MX/OPEN/PICK UP VAN</t>
  </si>
  <si>
    <t>AJANAA RATILAL BHIMABHAI</t>
  </si>
  <si>
    <t>27/10/2024</t>
  </si>
  <si>
    <t>GJ36V5730</t>
  </si>
  <si>
    <t>KISHOR HARJIBHAI MEVADA</t>
  </si>
  <si>
    <t>GJ36V1987</t>
  </si>
  <si>
    <t>SHERASIYA INUS HUSENBHAI</t>
  </si>
  <si>
    <t>TATA MOTORS/LPT 1109/36 CAB EX/OPEN/TRUCK</t>
  </si>
  <si>
    <t>RATADIYA NILESH JAGJIVANBHAI</t>
  </si>
  <si>
    <t>GJ36V0734</t>
  </si>
  <si>
    <t>GOLTAR DEVABHAI MAIYABHAI</t>
  </si>
  <si>
    <t>28/10/2024</t>
  </si>
  <si>
    <t>GAMARA JAYESHBHAI BHAGUBHAI</t>
  </si>
  <si>
    <t>GJ03BY8848</t>
  </si>
  <si>
    <t>ASHOK LEYLAND 2518 &amp; IL 2 STR</t>
  </si>
  <si>
    <t>BHANU SABIR JANAMAMAD</t>
  </si>
  <si>
    <t>GJ36U1428</t>
  </si>
  <si>
    <t>SHAILESHBHAI VASTABHAI JADAV</t>
  </si>
  <si>
    <t>GJ36V5637</t>
  </si>
  <si>
    <t>BHARATBHAI KANJIBHAI DETROJA</t>
  </si>
  <si>
    <t>GJ19X3714</t>
  </si>
  <si>
    <t>MARUTI SUZUKI EECO &amp; FLEXI GREEN.</t>
  </si>
  <si>
    <t>NIMESH VINUBHAI JOSHI</t>
  </si>
  <si>
    <t>GJ36V0994</t>
  </si>
  <si>
    <t>TATA / LPT 1109 1109GLPTDCR38HSD85B6M5</t>
  </si>
  <si>
    <t>MARVEL PACKAGING</t>
  </si>
  <si>
    <t>ASHOK LEYLAND TAURUS &amp; 2516/02</t>
  </si>
  <si>
    <t>HUSEN RASULBHAI CHUDESARA</t>
  </si>
  <si>
    <t>GJ14AT1994</t>
  </si>
  <si>
    <t>TATA MOTORS/LPT 1109/EX/OPEN/TRUCK</t>
  </si>
  <si>
    <t>HARESHKUMAR PRAVINBHAI JADAV</t>
  </si>
  <si>
    <t>GJ36W1449</t>
  </si>
  <si>
    <t>. VINODBHAI KUNDHIYA</t>
  </si>
  <si>
    <t>f 27/10/2025</t>
  </si>
  <si>
    <t>GJ36W1228</t>
  </si>
  <si>
    <t>STAR I-GLOBAL - ELECTRIKA A1</t>
  </si>
  <si>
    <t xml:space="preserve">. SUMARA YUSUFBHAI  ABDULBHAI </t>
  </si>
  <si>
    <t>29/10/2024</t>
  </si>
  <si>
    <t>GJ36U5611</t>
  </si>
  <si>
    <t>. ATRESA MANISH KANTILAL G</t>
  </si>
  <si>
    <t>JENTIBHAI MANGABHAI NAIYA</t>
  </si>
  <si>
    <t>GJ36V0812</t>
  </si>
  <si>
    <t>LENORA VITRIFIED LLP</t>
  </si>
  <si>
    <t>GJ36V2549</t>
  </si>
  <si>
    <t>GJ36V0976</t>
  </si>
  <si>
    <t>USMAN HASHAN KADIVAR</t>
  </si>
  <si>
    <t>30/10/2024</t>
  </si>
  <si>
    <t>ASHOK LEYLAND TUSKER &amp; 2516 IL BS III</t>
  </si>
  <si>
    <t>ASHVINBHAI JAGDISHBHAI GANESHIYA</t>
  </si>
  <si>
    <t xml:space="preserve">AMIT SALIMBHAI PALEJA </t>
  </si>
  <si>
    <t>GJ36W1204</t>
  </si>
  <si>
    <t xml:space="preserve">JETHABHAI BAMBHAVA </t>
  </si>
  <si>
    <t>HITESH BAMBHAVA</t>
  </si>
  <si>
    <t>GJ36V9610</t>
  </si>
  <si>
    <t xml:space="preserve">NAVGHAN HALVADIYA </t>
  </si>
  <si>
    <t>ISMAIL MOVAR</t>
  </si>
  <si>
    <t>GJ36T6463</t>
  </si>
  <si>
    <t>GJ36V2873</t>
  </si>
  <si>
    <t>DHANSUKHBHAI KESHAVJIBHAI PARMAR</t>
  </si>
  <si>
    <t>E comet 1412</t>
  </si>
  <si>
    <t>Mr.NAGALA SATISH ASHOK .</t>
  </si>
  <si>
    <t>GJ36T7389</t>
  </si>
  <si>
    <t>MR PRAVINBHAI KHODABHAI VARU</t>
  </si>
  <si>
    <t>MR. MUNABHAI</t>
  </si>
  <si>
    <t>GJ36T3056</t>
  </si>
  <si>
    <t>BOLERO MAXI TRUCK PLUS 1.2T PS</t>
  </si>
  <si>
    <t>MR. RAMDE KANABHAI MARIYA</t>
  </si>
  <si>
    <t>MR. LALAJIBHAI BHAVESHBHAI DEGAMA</t>
  </si>
  <si>
    <t>GJ36V3337</t>
  </si>
  <si>
    <t>ASHOK LEYLAND - 1618H/4 10R20TY 32 LS E4</t>
  </si>
  <si>
    <t>VAJUBHAI KHENGARBHAI KHATARIYA</t>
  </si>
  <si>
    <t>GJ36V5724</t>
  </si>
  <si>
    <t>TATA MOTORS , LPT 1616 - DCR49HSD</t>
  </si>
  <si>
    <t>Mr KANANI DINESHBHAI CHELAIYABHA</t>
  </si>
  <si>
    <t>Mr UDHREJA VALJI DHIRUBHAI</t>
  </si>
  <si>
    <t>RABARI DEVABHAI JESANGBHAI G</t>
  </si>
  <si>
    <t>GJ36V5800</t>
  </si>
  <si>
    <t>NARBHERAM PRABHUDAS PARMA</t>
  </si>
  <si>
    <t>GJ36V0652</t>
  </si>
  <si>
    <t>VASUKI ENTERPRISE</t>
  </si>
  <si>
    <t>GJ36V3051</t>
  </si>
  <si>
    <t>BOLERO CAMPER GOLD ZX 2WD PS BS 6</t>
  </si>
  <si>
    <t>PARESHBHAI SAVAJIBHAI VARSADA</t>
  </si>
  <si>
    <t>GJ36U8676</t>
  </si>
  <si>
    <t>SADHVANI ISMALI TAJMAMAD</t>
  </si>
  <si>
    <t>GJ36V5620</t>
  </si>
  <si>
    <t>KUNAPARA DASHARATHBHAI KUKABHAI</t>
  </si>
  <si>
    <t>GJ36V5762</t>
  </si>
  <si>
    <t>MANSUKHLAL LALJIBHAI KOL</t>
  </si>
  <si>
    <t>GJ36U8874</t>
  </si>
  <si>
    <t>JUSAB AKBAR BHATTI</t>
  </si>
  <si>
    <t>GJ36V6210</t>
  </si>
  <si>
    <t>RAZAK ABDULBHAI BHLUR</t>
  </si>
  <si>
    <t>GJ10X8786</t>
  </si>
  <si>
    <t>VIPULBHAI AMARABHAI JETHA</t>
  </si>
  <si>
    <t>GJ36V2513</t>
  </si>
  <si>
    <t>PRADIPBHAI ODHAVJIBHAI AGHARA</t>
  </si>
  <si>
    <t>GJ36W1182</t>
  </si>
  <si>
    <t>SARLA RAMJI KANABHAI</t>
  </si>
  <si>
    <t>PRAKASHVAN PRAMODVAN GOSWAMI</t>
  </si>
  <si>
    <t>GJ36W1357</t>
  </si>
  <si>
    <t>BHAVAN TOTA</t>
  </si>
  <si>
    <t>GJ36V2190</t>
  </si>
  <si>
    <t>CHHANA LALJIBHAI UKEDIYA</t>
  </si>
  <si>
    <t>OLANKI VASIM HANIFBHAI</t>
  </si>
  <si>
    <t>GJ36W1063</t>
  </si>
  <si>
    <t>MR. NIMESHBHAI VARANIYA</t>
  </si>
  <si>
    <t>GJ36W6375</t>
  </si>
  <si>
    <t>GANESH SOLANKI</t>
  </si>
  <si>
    <t xml:space="preserve">  </t>
  </si>
  <si>
    <t>GJ36U8621</t>
  </si>
  <si>
    <t>ROHIT KHINT</t>
  </si>
  <si>
    <t>BHUPATBHAI PARSOTAMBHAI AADHROJIYA</t>
  </si>
  <si>
    <t>GJ36W1259</t>
  </si>
  <si>
    <t>Mr KUNDHIYA KANJIBHAI BHAGUBHAI</t>
  </si>
  <si>
    <t>GJ11TT0498</t>
  </si>
  <si>
    <t>BOLERO MAXI TRUCK PLUS CBC 1.2 T BS6</t>
  </si>
  <si>
    <t xml:space="preserve"> MOMAIYA DAYABHAI KHATANA</t>
  </si>
  <si>
    <t>GJ36T7010</t>
  </si>
  <si>
    <t>PETHABHAI SATABHAI BHARWAD</t>
  </si>
  <si>
    <t>GJ36W1085</t>
  </si>
  <si>
    <t>MAVJIBHAI DEVSHIBHAI BHOYA</t>
  </si>
  <si>
    <t>GJ03BZ1325</t>
  </si>
  <si>
    <t>JIVRAJBHAI VASHRAMBHAI GAMI</t>
  </si>
  <si>
    <t>GJ36U8738</t>
  </si>
  <si>
    <t>MERABHAI GOLTAR</t>
  </si>
  <si>
    <t>GJ36W1025</t>
  </si>
  <si>
    <t>JILABHAI MUNDHAVA</t>
  </si>
  <si>
    <t>SOMA SOMANI</t>
  </si>
  <si>
    <t>RAJUBHAI DABHI</t>
  </si>
  <si>
    <t>ASHOK LEYLAND - CA 1015/39 H CBC BS 6</t>
  </si>
  <si>
    <t>SAI PETROLEUM</t>
  </si>
  <si>
    <t>GJ03AT2197</t>
  </si>
  <si>
    <t>ASHOK LEYLAND/1612/AL/OPEN/TRUCK</t>
  </si>
  <si>
    <t>BABARIYA DILIPBHAI KANJIBHAI</t>
  </si>
  <si>
    <t>GJ36W1175</t>
  </si>
  <si>
    <t>RAFIK MOVAR</t>
  </si>
  <si>
    <t>GJ36U8553</t>
  </si>
  <si>
    <t>SANJAYBHAI ITODARA</t>
  </si>
  <si>
    <t>GJ36U6508</t>
  </si>
  <si>
    <t>PIAGGIO VEHICLES PVT. LTD. , APE - XTRA LDX PU CARGO</t>
  </si>
  <si>
    <t>MODI YOGIBHAI KISHORBHAI</t>
  </si>
  <si>
    <t>GJ14AT8621</t>
  </si>
  <si>
    <t>KARATHIYA RAHUL KAMLESHBHAI</t>
  </si>
  <si>
    <t>GJ36U9084</t>
  </si>
  <si>
    <t>Mr MAMAD MUSA BUTA</t>
  </si>
  <si>
    <t>GJ36T5600</t>
  </si>
  <si>
    <t>ASHOK LEYLAND - 2518 IL 6*2 4902 MM (193") WB</t>
  </si>
  <si>
    <t>14/11/2024</t>
  </si>
  <si>
    <t>GJ27TD1607</t>
  </si>
  <si>
    <t>ATUL AUTO/SMART/XD AQUA CNG CLOSED/CLOSED/PICK UP VAN</t>
  </si>
  <si>
    <t>DHARODIYA SHAILESHBHAI GOKALBHA</t>
  </si>
  <si>
    <t>GJ27V8365</t>
  </si>
  <si>
    <t>ASHOK LEYLAND 2516 &amp; T 3 STR</t>
  </si>
  <si>
    <t>SARVAIYA RAVIKUMAR GIRADHARBHAI</t>
  </si>
  <si>
    <t>GJ36X1172</t>
  </si>
  <si>
    <t>TATA LPS &amp; 4018 TC</t>
  </si>
  <si>
    <t>MR. SHAHID NURMAMADBHAI BHANU</t>
  </si>
  <si>
    <t>GJ03BZ2008</t>
  </si>
  <si>
    <t>MARUTI SUZUKI - DZIRE VXI CNG BS 6</t>
  </si>
  <si>
    <t>GHELABHAI GHELABHAI VISABHAI ZAPADA</t>
  </si>
  <si>
    <t>GJ36V2744</t>
  </si>
  <si>
    <t>ASHOK LEYLAND UJ3525 T 23CUM BSVI/TIPPER</t>
  </si>
  <si>
    <t>r RAJNIKANT VALLABHBHAI CHHATROL</t>
  </si>
  <si>
    <t>AL3121</t>
  </si>
  <si>
    <t>GJ36V2509</t>
  </si>
  <si>
    <t>GJ36V2822</t>
  </si>
  <si>
    <t>GJ36V2749</t>
  </si>
  <si>
    <t>GJ36V2594</t>
  </si>
  <si>
    <t>GJ36V2659</t>
  </si>
  <si>
    <t>GJ03BW5425</t>
  </si>
  <si>
    <t>ERTIGA TAXI</t>
  </si>
  <si>
    <t>GJ36V5822</t>
  </si>
  <si>
    <t>ASHOK LEYLAND / PARTNER SUPER 1114 BSVI</t>
  </si>
  <si>
    <t>173 ARUNODAY NAGAR NEAR JAIN DERASAR MORVI MORVI, RAJKOT, GUJARAT, India, 363642.</t>
  </si>
  <si>
    <t>GJ04W5747</t>
  </si>
  <si>
    <t>ASHOK LEYLAND 2516 &amp; H</t>
  </si>
  <si>
    <t>BHADKA MAHESH RAMJIBHAI</t>
  </si>
  <si>
    <t>AT VADNAGAR BEHIND BUS STATION,HALVAD TA HALVAD,MORBI HALVAD, MORBI, GUJARAT, India, 363330.</t>
  </si>
  <si>
    <t>CHAVDA RAJESHBHAI ARJANBHAI</t>
  </si>
  <si>
    <t>AT MAHIKA TAL WANKANER MORBI WANKANER, MORBI, GUJARAT, India</t>
  </si>
  <si>
    <t>GJ11VV5023</t>
  </si>
  <si>
    <t>ASHOK LEYLAND 1616 &amp; IL / 4 STR</t>
  </si>
  <si>
    <t>AMITKUMAR JAGDISHBHAI AGOLA</t>
  </si>
  <si>
    <t>BODI PIPARADI BHAVNAGAR BOTAD, BHAVNAGAR, GUJARAT, India, 364720.</t>
  </si>
  <si>
    <t>LOKHIL BHARATBHAI KANJIBHAI</t>
  </si>
  <si>
    <t>KRUSHNA NAGAR GUNGAN POST GUNGAN RAJKOT MORBI, RAJKOT, GUJARAT, India, 363642.</t>
  </si>
  <si>
    <t>83 MALIYA VENASAR RAJKOT MALIYA, RAJKOT, GUJARAT, India, 363630.</t>
  </si>
  <si>
    <t>KASUNDRA STREET RAVAPAR 2 MORBI MORBI, GUJARAT, India, 363641.</t>
  </si>
  <si>
    <t>GULAMMUSTUFA HAJIBHAI SHERASIYA</t>
  </si>
  <si>
    <t>JODHPAR WANKANER MORBI WANKANER, MORBI, GUJARAT, India, 363621. P</t>
  </si>
  <si>
    <t>AT JODHPAR TAL WANKANER DIST RAJKOT WANKANER, RAJKOT, GUJARAT, India, 363621.</t>
  </si>
  <si>
    <t>GJ36T6865</t>
  </si>
  <si>
    <t>HAN GELA HIRALAL</t>
  </si>
  <si>
    <t>GJ06YY7901</t>
  </si>
  <si>
    <t>BHAGVANJIBHAI DUNGARBHAI SARVAIYA</t>
  </si>
  <si>
    <t>17/11/2025</t>
  </si>
  <si>
    <t>GJ36V0226</t>
  </si>
  <si>
    <t>MR RATDIYA NILESH JAGJIVANBHAI</t>
  </si>
  <si>
    <t>TATA LPT 1109 1109GLPTDCR38HSD85B6M5/TRUC</t>
  </si>
  <si>
    <t>MARVEL PACKAGIN</t>
  </si>
  <si>
    <t>99099 72201</t>
  </si>
  <si>
    <t>GJ36T8456</t>
  </si>
  <si>
    <t>THUNGA RAYMAL SAVABHA</t>
  </si>
  <si>
    <t>JOHN DEERE - 5310 4WD WITH LOADER</t>
  </si>
  <si>
    <t>SOMANY MAX PRIVATE LIMITED</t>
  </si>
  <si>
    <t>MR. ASHOKSINH P JADEJA</t>
  </si>
  <si>
    <t>GJ12BX9666</t>
  </si>
  <si>
    <t>MR HAIN VELABHAI RUPABHAI</t>
  </si>
  <si>
    <t>GJ36V2075</t>
  </si>
  <si>
    <t>DINESH BACHUBHAI KUMBHARVADIA</t>
  </si>
  <si>
    <t>EICHER MOTOR / EICHER 10.90</t>
  </si>
  <si>
    <t>MR MANISHKUMAR N POPAT</t>
  </si>
  <si>
    <t>MRS. GAMI VINABEN  YOGESHBHAI</t>
  </si>
  <si>
    <t>MR. MANJURHUSEN VALIMAMAD SIPAI .</t>
  </si>
  <si>
    <t>ASHOK LEYLAND 1616 &amp; XL 2 STR.</t>
  </si>
  <si>
    <t>MANSUKHBHAI NAVGHANBHAI MAGVANIYA</t>
  </si>
  <si>
    <t>GJ36W1457</t>
  </si>
  <si>
    <t>Mr GANESHIYA RAJUBHAI DEVSHIBHAI</t>
  </si>
  <si>
    <t>GJ03AT0378</t>
  </si>
  <si>
    <t>ASHOK LEYLAND 2214 &amp; 1 S-180 WB</t>
  </si>
  <si>
    <t>ANVARKHA UMARKHA KHORAM .</t>
  </si>
  <si>
    <t>98794 98738</t>
  </si>
  <si>
    <t>GJ14Z1880</t>
  </si>
  <si>
    <t>TATA LPT 1109 1109</t>
  </si>
  <si>
    <t>GJ13AW3127</t>
  </si>
  <si>
    <t>GJ36V8037</t>
  </si>
  <si>
    <t>TATA MOTORS , LPT 1512 - SLR48HSD 125 B6M5</t>
  </si>
  <si>
    <t>RFAN ISHABHAI THEBA</t>
  </si>
  <si>
    <t>SH 19 G FLOOR VARUDI ,COMPLEX ,MORBI , Morbi Ppw,Rajkot, Gujarat-363642,</t>
  </si>
  <si>
    <t>GJ03BW8129</t>
  </si>
  <si>
    <t>KALIKA POT 4 MAFATIYA PARA MORBI MORBI MORBI, RAJKOT, GUJARAT, India, 363641.</t>
  </si>
  <si>
    <t>GADHAVI BHARATBHAI KARSHANBHAI</t>
  </si>
  <si>
    <t>BLOCK NO 13 NANDANVAN SOCIETY,VASAD,ANAND,ANAND GUJARAT</t>
  </si>
  <si>
    <t>GJ10X9821</t>
  </si>
  <si>
    <t>TATA LPT &amp; 3118</t>
  </si>
  <si>
    <t>GADHAVI SAGARDAN SAMARATDAN</t>
  </si>
  <si>
    <t>128-3,BHAGYALAXMI SOCIETY VEGETABLE ROAD MORBI MORBI, RAJKOT, GUJARAT, India, 363642.</t>
  </si>
  <si>
    <t>AVESH KHAMISHA MANEK</t>
  </si>
  <si>
    <t>MALIYA RAJKOT . . RAJKOT, GUJARAT, India, 363670.</t>
  </si>
  <si>
    <t>GJ36T5392</t>
  </si>
  <si>
    <t>SANJAYSINH OMPRAKASH THAKUR</t>
  </si>
  <si>
    <t>96645 72420</t>
  </si>
  <si>
    <t>116 GUJARAT HOUSING BOARD, SANALA ROAD, MORBI, GUJARAT 363641</t>
  </si>
  <si>
    <t>GJ14Z3550</t>
  </si>
  <si>
    <t>CHANDRAKANT MAGANBHAI RAMANUJ</t>
  </si>
  <si>
    <t>NANDVAN DERALA RAJKOT MALIYA, RAJKOT, GUJARAT, India, 363660.</t>
  </si>
  <si>
    <t>SABIRBHAI RASHULBHAI SHIPAI</t>
  </si>
  <si>
    <t>RAVAL SHERI, MOCHI BAZAR AT. LIMBDI DIST. SURENDRANAGAR, LIMBDI, SURENDRANAGAR, GUJARAT, India, 363421</t>
  </si>
  <si>
    <t>TATA LPK &amp; 3118 TC</t>
  </si>
  <si>
    <t>VIJAYBHAI MOHANBHAI KAKASANIYA</t>
  </si>
  <si>
    <t>401 LORDS HEIGHTS SHAKTI TOWNSHIP RAVAPAR MORBI, GUJARAT, India, 363641.</t>
  </si>
  <si>
    <t>SAMJIBHAI KANABHAI VIRADA</t>
  </si>
  <si>
    <t>KRUSHNANAGAR MORBI MORBI, GUJARAT, India, 363691</t>
  </si>
  <si>
    <t>GJ36V7781</t>
  </si>
  <si>
    <t>VADAVIYA RASULBHAI HASANBHAI</t>
  </si>
  <si>
    <t>JUNA RAJAVADLA RAJKOT WANKANER, RAJKOT, GUJARAT, India, 363621</t>
  </si>
  <si>
    <t>GJ36V0563</t>
  </si>
  <si>
    <t>TATA 1512 &amp; LPT BS6</t>
  </si>
  <si>
    <t>VIJAYBHAI ANNDABHAI TAMARIYA</t>
  </si>
  <si>
    <t>SARTANPAR DHUVA RAJKOT WANKANER, RAJKOT, GUJARAT, India, 363621.</t>
  </si>
  <si>
    <t>GJ10TT6242</t>
  </si>
  <si>
    <t>STREET NO 17 BEHIND MADHAPAR VAVDI MORBI, RAJKOT, GUJARAT, India, 363641.</t>
  </si>
  <si>
    <t>GJ36V2925</t>
  </si>
  <si>
    <t>SURAJBHAI LAGHUBHAI BHARVAD</t>
  </si>
  <si>
    <t>AT LAXMINAGAR NAVA ,SUDULKA , MORBI ,GUJARAT, : Morbi Mdg,Morbi, : Morbi-363641,</t>
  </si>
  <si>
    <t>Mr CHAUHAN JITESH VALJIBHAI</t>
  </si>
  <si>
    <t xml:space="preserve"> 99095 48086</t>
  </si>
  <si>
    <t>GJ36W1461</t>
  </si>
  <si>
    <t>Mr MAIRA KIRAN NANJIBHAI</t>
  </si>
  <si>
    <t>72020 27065</t>
  </si>
  <si>
    <t>GJ36U9329</t>
  </si>
  <si>
    <t>Mr PARMAR RAJENDRAKUMAR ASHVINBHAI</t>
  </si>
  <si>
    <t>GJ36V5751</t>
  </si>
  <si>
    <t>TATA / SIGNA 3530 TK BS-VI</t>
  </si>
  <si>
    <t xml:space="preserve"> 29/11/2025</t>
  </si>
  <si>
    <t>GJ36W1096</t>
  </si>
  <si>
    <t>DASHRATH MOHANBHAI KHANDHAR</t>
  </si>
  <si>
    <t>GJ36T8691</t>
  </si>
  <si>
    <t>MAHINDRA/BMT Plus/BS6 1.2/OPEN/TRUCK</t>
  </si>
  <si>
    <t>BHIMANI MANSUKHBHAI HARKHABHAI</t>
  </si>
  <si>
    <t>6352 567 281</t>
  </si>
  <si>
    <t>MR. MEMON AAMIR</t>
  </si>
  <si>
    <t>BHARVAD KARSHANBHAI BALABHAI</t>
  </si>
  <si>
    <t>90994 29987</t>
  </si>
  <si>
    <t>PARMAR LAXMANBHAI DHANJIBHAI</t>
  </si>
  <si>
    <t>878 086 8186</t>
  </si>
  <si>
    <t xml:space="preserve"> Mr MOVAR HANIF HANSAN</t>
  </si>
  <si>
    <t>97247 43671</t>
  </si>
  <si>
    <t>99133 93644</t>
  </si>
  <si>
    <t>GJ36T5436</t>
  </si>
  <si>
    <t>SALIM AYUBBHAI SAHMADAR</t>
  </si>
  <si>
    <t>99792 53430</t>
  </si>
  <si>
    <t>GJ13W0369</t>
  </si>
  <si>
    <t>ATUL AUTO/SHAKTI/DELIVERY VAN/CLOSED/PICK UP VAN</t>
  </si>
  <si>
    <t>Mr KOLI HIRABHAI JINABHAI</t>
  </si>
  <si>
    <t>99256 69134</t>
  </si>
  <si>
    <t>GJ36V3291</t>
  </si>
  <si>
    <t>RATADIYA DILIPBHAI JAGDISHBHAI</t>
  </si>
  <si>
    <t>99789 52054</t>
  </si>
  <si>
    <t>GJ36V2754</t>
  </si>
  <si>
    <t>MARUTI SUZUKI/SUPER CARRY/STD CLB CNG Partially Built/CLOSED/PICK UP VAN</t>
  </si>
  <si>
    <t>SONAGRA PRAKASHKUMAR GORDHANBHAI</t>
  </si>
  <si>
    <t>99794 61379</t>
  </si>
  <si>
    <t>99793 83418</t>
  </si>
  <si>
    <t>GJ13AX2747</t>
  </si>
  <si>
    <t>JINDANI AJAJ HUSENBHAI</t>
  </si>
  <si>
    <t>GJ36T3175</t>
  </si>
  <si>
    <t>MAHINDRA BOLERO &amp; MAXI TRUCK 2WD 2 STR</t>
  </si>
  <si>
    <t>KIRITBHAI MAVJIBHAI HADIYAL</t>
  </si>
  <si>
    <t>GJ10TV9282</t>
  </si>
  <si>
    <t>ABDULKADAR USMANSHA SAIYAD</t>
  </si>
  <si>
    <t>GJ36V5746</t>
  </si>
  <si>
    <t>MEHUL RANCHHODBHAI DORARA</t>
  </si>
  <si>
    <t>GJ02ZZ9294</t>
  </si>
  <si>
    <t>RABRI ROHITBHAI VASHRAMBHAI</t>
  </si>
  <si>
    <t>NEAR KRUSHIVIDHALAY BEHIND BUS STATION VADANAGAR HALVAD</t>
  </si>
  <si>
    <t>GJ18AX8002</t>
  </si>
  <si>
    <t>ASHOK LEYLAND 1616 &amp; IL 2 STR</t>
  </si>
  <si>
    <t>VIJAYBHAI JESHINGBHAI BHADKA</t>
  </si>
  <si>
    <t>BEHIND BUS STAND VADNAGAR HALVAD HALVAD, SURENDRANAGAR, GUJARAT, India, 363330.</t>
  </si>
  <si>
    <t>VAVADI ROAD LOMJIVAN PARK STREET NO 2, NEAR MASJID,MORBI MORBI, GUJARAT, India, 363641.</t>
  </si>
  <si>
    <t>GJ36V2928</t>
  </si>
  <si>
    <t>PARMAR SURESHBHAI VIRJIBHAI</t>
  </si>
  <si>
    <t>AT MAGHRIKHADA SANGANI TAL CHOTILA CHOTILA, SURENDRANAGAR, GUJARAT, India, 363520.</t>
  </si>
  <si>
    <t>MAHENDRANAGAR MAHENDRANAGAR, RAJKOT, GUJARAT 363642</t>
  </si>
  <si>
    <t>TATA MOTORS/LPT 1109/36 CAB EX BS2/CLOSED/TANKER</t>
  </si>
  <si>
    <t>AT RAJALNAGAR CHARADVA TA HALVAD MORBI MORBI Gujar, at, 363330, HALVAD, GUJARAT, INDIA</t>
  </si>
  <si>
    <t>GJ16W0788</t>
  </si>
  <si>
    <t>TATA LPT &amp; 1109/42 EX2 BS III</t>
  </si>
  <si>
    <t>SOLANKI RAMESHKUMAR MULUBHAI</t>
  </si>
  <si>
    <t>AT KRUSHNANAGAR GUNGAN TA MORBI MORBI, RAJKOT, GUJARAT, India, 363642</t>
  </si>
  <si>
    <t>ARUNODAY NAGAR NEAR JAIN DERASAR TA MORBI MORVI, RAJKOT</t>
  </si>
  <si>
    <t>TATA LPT &amp; 4825 BS6 10X2</t>
  </si>
  <si>
    <t>KUMBHARPARA WANKANER MORBI WANKANER, RAJKOT, GUJARAT, India, 363621</t>
  </si>
  <si>
    <t>MR. HAJIBHA JANAMAMAD SANDHVANI</t>
  </si>
  <si>
    <t>99098 74439</t>
  </si>
  <si>
    <t>MAYURSINH RAGHUVIRSINH ZALA</t>
  </si>
  <si>
    <t>BOLERO - PICK UP FB MS 1.3 T</t>
  </si>
  <si>
    <t>97122 66515</t>
  </si>
  <si>
    <t>DMAX - SPACE CAB</t>
  </si>
  <si>
    <t>98255 53951</t>
  </si>
  <si>
    <t>THEBA IRFANBHAI ISHABHAI</t>
  </si>
  <si>
    <t>GJ36V5621</t>
  </si>
  <si>
    <t>ASHOK LEYLAND GF 3520 66 HCO/OPEN</t>
  </si>
  <si>
    <t>RJ14GQ9237</t>
  </si>
  <si>
    <t>BOLERO PICUP</t>
  </si>
  <si>
    <t>DEV SHARMA</t>
  </si>
  <si>
    <t>GJ36S3197</t>
  </si>
  <si>
    <t>UTTAM CONSTRUCTION EQUIPMENT/SHAKTI 12/DIESEL/OPEN/CONSTRUCTION EQUIPMENTS</t>
  </si>
  <si>
    <t>SHREE RADHEKIRSHNA ENTERPRISE</t>
  </si>
  <si>
    <t>MAHINDRA AND MAHINDRA - JEETO PLUS 16 BS 6</t>
  </si>
  <si>
    <t>GJ03BV8202</t>
  </si>
  <si>
    <t>MAHINDRA AND MAHINDRA - BOLERO POWER PLUS SLE</t>
  </si>
  <si>
    <t>M/S MAA MOMAI ENTERPRISE</t>
  </si>
  <si>
    <t>79903 01082</t>
  </si>
  <si>
    <t>GJ13AV3136</t>
  </si>
  <si>
    <t>BAJAJ RE MAXIMA Z CNG</t>
  </si>
  <si>
    <t>MAHESH SAMRATBHAI PATADIYA</t>
  </si>
  <si>
    <t>87585 66900</t>
  </si>
  <si>
    <t>GJ36S3906</t>
  </si>
  <si>
    <t>AJAX MIXER</t>
  </si>
  <si>
    <t>GJ36U9105</t>
  </si>
  <si>
    <t>Tata Motors LPT 1616</t>
  </si>
  <si>
    <t>GAMARA CHETAN KARANABHAI</t>
  </si>
  <si>
    <t>GJ36W1058</t>
  </si>
  <si>
    <t>PARMAR MANSUKHBHAI NARSHIBHAI</t>
  </si>
  <si>
    <t>MAHINDRA/MAXX PUP/CITY VX/OPEN/TRUCK</t>
  </si>
  <si>
    <t>MAKWANA ROHIT MAGANBHA</t>
  </si>
  <si>
    <t>70433 90111</t>
  </si>
  <si>
    <t>GJ03BW8679</t>
  </si>
  <si>
    <t xml:space="preserve">ZALA RAJENDRASINH JATUBHA </t>
  </si>
  <si>
    <t>90162 50001</t>
  </si>
  <si>
    <t>GJ36V5685</t>
  </si>
  <si>
    <t>ANIL KHODABHAI HADGARDA</t>
  </si>
  <si>
    <t>GJ13AW7464</t>
  </si>
  <si>
    <t>MASRUBHAI VISHABHAI BAMBHAVA</t>
  </si>
  <si>
    <t>GJ36V0054</t>
  </si>
  <si>
    <t>GJ36V8696</t>
  </si>
  <si>
    <t>ROOM NO 204 BLG NO 5 G-WING YASHWANT SRUSHTI PALGHAR BOISAR TA&amp;DI-PALGHAR PALGHAR, THANE, MAHARASHTRA, India, 40150</t>
  </si>
  <si>
    <t>GJ36V3734</t>
  </si>
  <si>
    <t>MOTIBHAI RATABHAI BHARVAD</t>
  </si>
  <si>
    <t>MACHCHO NAGAR, JAMBUDIYA MORVI, SURENDRANAGAR, GUJARAT 363331</t>
  </si>
  <si>
    <t>GJ36X5751</t>
  </si>
  <si>
    <t>VALAJI DEHARBHAI SIHORA</t>
  </si>
  <si>
    <t>MAHINDRA AND MAHINDRA - BOLERO MAXITRUCK PLUS BS 4</t>
  </si>
  <si>
    <t>81280 33777</t>
  </si>
  <si>
    <t>ACE/14XW/CRANE/OPEN/CONSTRUCTION EQUIPMENTS</t>
  </si>
  <si>
    <t>GJ36V3297</t>
  </si>
  <si>
    <t>LPT 1412 - BSVI</t>
  </si>
  <si>
    <t>SUNRISE CHEMICALS</t>
  </si>
  <si>
    <t>99255 55575</t>
  </si>
  <si>
    <t>GJ36V5362</t>
  </si>
  <si>
    <t>JASAMATGAR NARANGAR GOSAI</t>
  </si>
  <si>
    <t xml:space="preserve"> 97269 93560</t>
  </si>
  <si>
    <t>TATA / LPT 1112 WB 3800 HSD BSVI</t>
  </si>
  <si>
    <t>GJ37T7806</t>
  </si>
  <si>
    <t>Mr PANCHIYA MUKESH HIRABHAI</t>
  </si>
  <si>
    <t>GJ36V3442</t>
  </si>
  <si>
    <t>TATA LPT 1212 1212LPTDCR42HSD125B6M5CHASSISCABWITHHIGHDE/TRUCK</t>
  </si>
  <si>
    <t>Mr ROHIT ARJANBHAI MUNDHVA</t>
  </si>
  <si>
    <t>97275 82113</t>
  </si>
  <si>
    <t>GJ36W1406</t>
  </si>
  <si>
    <t>Mr NAKUM KANJIBHAI BHIMJIBHAI</t>
  </si>
  <si>
    <t>TATA / SIGNA 3525 TK8X4EBSVI</t>
  </si>
  <si>
    <t>SHAILESHBHAI RAMJIBHAI AAL</t>
  </si>
  <si>
    <t>GJ36T7041</t>
  </si>
  <si>
    <t>TATA MOTORS - LPT 1212 DCR 49 HSD B6</t>
  </si>
  <si>
    <t>MR. KISHANBHAI BUTABHAI GAMARA</t>
  </si>
  <si>
    <t>GJ03AZ2650</t>
  </si>
  <si>
    <t>JAYANTIBHAI JESHABHAI KANJIYA</t>
  </si>
  <si>
    <t>91068 73596</t>
  </si>
  <si>
    <t>GJ36S1432</t>
  </si>
  <si>
    <t>AMMANN APOLLO - WM6 CEV ST BS6</t>
  </si>
  <si>
    <t>MR. YOGESH LAKHMANBHAI MAKVANA</t>
  </si>
  <si>
    <t>98797 93917</t>
  </si>
  <si>
    <t>98799 93917</t>
  </si>
  <si>
    <t>GJ36V3436</t>
  </si>
  <si>
    <t>Tata Motors</t>
  </si>
  <si>
    <t>GJ36T6119</t>
  </si>
  <si>
    <t>BOLERO - PICK UP 1.7</t>
  </si>
  <si>
    <t>BHAVESHBHAI KARABHAI BHUVA</t>
  </si>
  <si>
    <t>99044 02044</t>
  </si>
  <si>
    <t>MR. AYADANBHAI DESURBHAI ZILARIYA</t>
  </si>
  <si>
    <t>GJ36S2360</t>
  </si>
  <si>
    <t>FOSSIL FUEL</t>
  </si>
  <si>
    <t>99095 22202</t>
  </si>
  <si>
    <t>GJ13AX6357</t>
  </si>
  <si>
    <t>TATA / SIGNA 3525 TK 8X4EBSVI RS23BX</t>
  </si>
  <si>
    <t>DINESHBHAI VELABHAI GOLTAR</t>
  </si>
  <si>
    <t>6353 877 584</t>
  </si>
  <si>
    <t>GJ36S1778</t>
  </si>
  <si>
    <t>JOHN DEERE - 5310 S</t>
  </si>
  <si>
    <t xml:space="preserve"> 95865 86328</t>
  </si>
  <si>
    <t>ASHOK LEYLAND / 3718 BS-IV</t>
  </si>
  <si>
    <t>97121 00092</t>
  </si>
  <si>
    <t>TATA MOTORS - INTRA V30 BS 6</t>
  </si>
  <si>
    <t>MR. YOGESHBHAI LAKHMANBHAI MAKVANA</t>
  </si>
  <si>
    <t>PIK UP FB 1.7T PS BS VI</t>
  </si>
  <si>
    <t>GJ39CA1904</t>
  </si>
  <si>
    <t>ESCORTS KUBOTA LIMITED 439 E1 POWERTRAC</t>
  </si>
  <si>
    <t>VADHADIYA JAYESH PRABHULAL</t>
  </si>
  <si>
    <t>GJ36V5737</t>
  </si>
  <si>
    <t>PARMAR JETHABHAI KANJIBHAI</t>
  </si>
  <si>
    <t>94285 71848</t>
  </si>
  <si>
    <t>GJ36V5334</t>
  </si>
  <si>
    <t>SML ISUZU SAMRAT GS 4240 HSD 17F/TRUC</t>
  </si>
  <si>
    <t>MAYURKUMAR RAJENDRABHAI MIYATRA</t>
  </si>
  <si>
    <t>BAJAJ AUTO/MAXIMA/CARGO PV CNG/OPEN/PICK UP VAN</t>
  </si>
  <si>
    <t>MARVANIYA KHODIDAS</t>
  </si>
  <si>
    <t>PINTU BHIMABHAI NAKIYA</t>
  </si>
  <si>
    <t>99134 46989</t>
  </si>
  <si>
    <t>GJ36S3745</t>
  </si>
  <si>
    <t>INDO POWER 14</t>
  </si>
  <si>
    <t>MD LADLE ANSARI</t>
  </si>
  <si>
    <t>SUPER CARRY - SUPER CARRY CNG STD</t>
  </si>
  <si>
    <t>MANJURHUSEN USMANBHAI SHERASIYA</t>
  </si>
  <si>
    <t>96625 62596</t>
  </si>
  <si>
    <t>GJ03HA7538</t>
  </si>
  <si>
    <t>NEW HOLLAND 6010 2 STR</t>
  </si>
  <si>
    <t>ADROJA MAHESH AMARSHIBHAI</t>
  </si>
  <si>
    <t>GJ10TX5416</t>
  </si>
  <si>
    <t>YOGESH RATILALBHAI VIDJA</t>
  </si>
  <si>
    <t>IMRAN IQBALBHAI KADARI</t>
  </si>
  <si>
    <t>GJ13V4688</t>
  </si>
  <si>
    <t>MAHINDRA/MAXX/PICK UP CBC FB 2WD/OPEN/PICK UP VAN</t>
  </si>
  <si>
    <t>GHANCHI ZAVID HUSENBHAI</t>
  </si>
  <si>
    <t xml:space="preserve"> 99741 99228</t>
  </si>
  <si>
    <t>97272 25280</t>
  </si>
  <si>
    <t>GJ16AV2445</t>
  </si>
  <si>
    <t>SANJAYBHAI PRATAPBHAI AMALIYAR</t>
  </si>
  <si>
    <t>6358 911 977</t>
  </si>
  <si>
    <t>GJ36X7324</t>
  </si>
  <si>
    <t>Mr CHHANABHAI KARABHAI LAMBARIYA</t>
  </si>
  <si>
    <t xml:space="preserve"> 98259 40738</t>
  </si>
  <si>
    <t>GJ14X8045</t>
  </si>
  <si>
    <t>CHATRABHUJ DHANJIBHAI DETROJA</t>
  </si>
  <si>
    <t>TATA MOTORS/LPT 909/34 CAB EX BS2/OPEN/TRUCK</t>
  </si>
  <si>
    <t>LPT 2515 / 48 TC EX EII</t>
  </si>
  <si>
    <t>AMADBHAI AKABARBHAI BHATTI</t>
  </si>
  <si>
    <t>AJMERI BADRUDIN YUNUSBHAI</t>
  </si>
  <si>
    <t>GJ36X0886</t>
  </si>
  <si>
    <t>PRO 2049 - E HSD BSVI</t>
  </si>
  <si>
    <t>RAJESHBHAI DEVJIBHAI PARMAR</t>
  </si>
  <si>
    <t>99258 52619</t>
  </si>
  <si>
    <t>GJ36U2317</t>
  </si>
  <si>
    <t>BAJAJ RE</t>
  </si>
  <si>
    <t>GJ03AT4205</t>
  </si>
  <si>
    <t>DALSUKH MANDAN GARCHAR</t>
  </si>
  <si>
    <t>GJ36T5458</t>
  </si>
  <si>
    <t>TATA LPK &amp; 2518 TC 3STR</t>
  </si>
  <si>
    <t>HR55W5836</t>
  </si>
  <si>
    <t>NARESH YADAV</t>
  </si>
  <si>
    <t>GJ12BW5008</t>
  </si>
  <si>
    <t>TATA LPT &amp; 1412/48 CRX BS IV</t>
  </si>
  <si>
    <t>BHURAJI DHIRAJI THAKOR</t>
  </si>
  <si>
    <t>MR. HUSHEN ABDULBHAI SUMRA</t>
  </si>
  <si>
    <t>GJ36T5270</t>
  </si>
  <si>
    <t xml:space="preserve"> 99982 52863</t>
  </si>
  <si>
    <t>GJ13AT7364</t>
  </si>
  <si>
    <t>TATA LPK &amp; 2518 TC</t>
  </si>
  <si>
    <t>VIPUL DEVAYATBHAI DANGAR</t>
  </si>
  <si>
    <t xml:space="preserve"> 98252 41788</t>
  </si>
  <si>
    <t>GJ36T7542</t>
  </si>
  <si>
    <t>HAN PRAKASHBHAI SOMABHAI</t>
  </si>
  <si>
    <t>GJ21V1205</t>
  </si>
  <si>
    <t>TATA LPT &amp; 1109 3 STR</t>
  </si>
  <si>
    <t>KALUBHAI LAKHABHAI SABALIYA</t>
  </si>
  <si>
    <t>GJ36X 5551</t>
  </si>
  <si>
    <t>GJ36X2151</t>
  </si>
  <si>
    <t>GJ36T9395</t>
  </si>
  <si>
    <t>ASHOK LEYLAND 2518 &amp; T 2 STR</t>
  </si>
  <si>
    <t>GJ36T8251</t>
  </si>
  <si>
    <t>407 TANKER</t>
  </si>
  <si>
    <t>ASHOK LEYLAND 3118 &amp; IL 2 STR</t>
  </si>
  <si>
    <t xml:space="preserve"> BASIRBHAI MAMADBHAI CHANIYA</t>
  </si>
  <si>
    <t>92650 54138</t>
  </si>
  <si>
    <t>ASHOK LEYLAND 3718 &amp; IL 2STR</t>
  </si>
  <si>
    <t>INDRISHBHAI ONDHIYA</t>
  </si>
  <si>
    <t>CC</t>
  </si>
  <si>
    <t>MARUTI SUZUKI EECO&amp;5 STR WITH A/C+HTR</t>
  </si>
  <si>
    <t>BHAVESHBHAI TRIBHOVANBHAI GAMI</t>
  </si>
  <si>
    <t>GJ03CK4386</t>
  </si>
  <si>
    <t>BAJAJ/AVENGER</t>
  </si>
  <si>
    <t>SALIM GULAMHUSEN VADAVARIYA</t>
  </si>
  <si>
    <t>GJ36N9131</t>
  </si>
  <si>
    <t>HONDA/ACTIVA</t>
  </si>
  <si>
    <t>IBRAHIMBHAI UMARBHAI MODAN</t>
  </si>
  <si>
    <t>GJ36N8398</t>
  </si>
  <si>
    <t>YAMAHA FZS FI</t>
  </si>
  <si>
    <t>Samir Ibrahimbhai Lanja</t>
  </si>
  <si>
    <t>Bajaj Allianz</t>
  </si>
  <si>
    <t>Maruti Suzuki,Wagon R,Lxi 4 Seater</t>
  </si>
  <si>
    <t>RAMJANBHAI DAUDBHAIDALVANI</t>
  </si>
  <si>
    <t>GJ01HN2524</t>
  </si>
  <si>
    <t>Maruti Suzuki,Omni,MPI Std</t>
  </si>
  <si>
    <t>SUVARIYA SATISHBHAIDURLABHJIBHAI</t>
  </si>
  <si>
    <t>GJ08AJ5254</t>
  </si>
  <si>
    <t>FORD/ECOSPORT</t>
  </si>
  <si>
    <t>GJ36R5243</t>
  </si>
  <si>
    <t>SWIFT&amp;VX</t>
  </si>
  <si>
    <t>HARSHADBHAI CHANDULAL JAKASANIYA</t>
  </si>
  <si>
    <t>GJ03LB1319</t>
  </si>
  <si>
    <t>VERNA</t>
  </si>
  <si>
    <t>SOHIL RASULBHAI SUMRA</t>
  </si>
  <si>
    <t>GJ36B0519</t>
  </si>
  <si>
    <t>Maruti Suzuki,Eeco &amp; 7 Str</t>
  </si>
  <si>
    <t>MODAN ANVARBHAI SHARIFBHAI</t>
  </si>
  <si>
    <t>GJ13AB0285</t>
  </si>
  <si>
    <t>Maruti Suzuki,Eeco &amp; 5 Str With A/C+Ht</t>
  </si>
  <si>
    <t>IMRANBHAI OSMANBHAI PAYAK</t>
  </si>
  <si>
    <t>GJ01KH0016</t>
  </si>
  <si>
    <t>OMNI&amp;E MPI STD BS IV</t>
  </si>
  <si>
    <t>SHERASIYA ABDULGAFUR HAJIBHAI</t>
  </si>
  <si>
    <t>GJ03CR3829</t>
  </si>
  <si>
    <t>ALTO&amp;LXI</t>
  </si>
  <si>
    <t>AAMIN AMADBHAI PAYAK</t>
  </si>
  <si>
    <t>GJ36Q9131</t>
  </si>
  <si>
    <t>MODAN ASLAM IBRAHIMBHAI</t>
  </si>
  <si>
    <t>GJ36E0181</t>
  </si>
  <si>
    <t>ROYAL ENFIELD</t>
  </si>
  <si>
    <t>Dalvani Aasif Iqbalbhai</t>
  </si>
  <si>
    <t>GJ36R8511</t>
  </si>
  <si>
    <t>Maruti Suzuki,Eeco &amp; 5 Str With A/C+Htr</t>
  </si>
  <si>
    <t>KUMBHARVADIA RAMESH AYADAN</t>
  </si>
  <si>
    <t>21/06/2024</t>
  </si>
  <si>
    <t>GJ04D9769</t>
  </si>
  <si>
    <t>TRAX&amp;CRUISER CLASSIC 10 SEATER BS III</t>
  </si>
  <si>
    <t>BHAGIRATHSINH DIGVIJAYSINH JADEJA</t>
  </si>
  <si>
    <t>GJ13CC4449</t>
  </si>
  <si>
    <t>EECO&amp;5 STR WITH A/C+HTR</t>
  </si>
  <si>
    <t>KURESHI SHAHRUKHBHAI RAFIKBHAI</t>
  </si>
  <si>
    <t>GJ10F7339</t>
  </si>
  <si>
    <t>WAGON R&amp;LXI</t>
  </si>
  <si>
    <t>JINDANI JAHUR HUSENBHAI</t>
  </si>
  <si>
    <t>GJ03JK2796</t>
  </si>
  <si>
    <t>/SPLENDOR PLUS</t>
  </si>
  <si>
    <t>PARTH VARJANGBHAI VIRDA</t>
  </si>
  <si>
    <t>GJ13K1540</t>
  </si>
  <si>
    <t>SPLENDOR</t>
  </si>
  <si>
    <t>MAKVANA DILIPBHAI JAYANTILAL</t>
  </si>
  <si>
    <t>GJ36E3277</t>
  </si>
  <si>
    <t>CB SHINE</t>
  </si>
  <si>
    <t>Altaf Salemanbhai Kaida</t>
  </si>
  <si>
    <t>27-06-2025</t>
  </si>
  <si>
    <t>NANO&amp;TWIST XT</t>
  </si>
  <si>
    <t>BHATTI ABBASBHAI KAREEMBHAI</t>
  </si>
  <si>
    <t>GJ36C4166</t>
  </si>
  <si>
    <t>CT 100</t>
  </si>
  <si>
    <t>Abdulkarim Valimamad Chaniya</t>
  </si>
  <si>
    <t>GJ36N0050</t>
  </si>
  <si>
    <t>Yunusbhai Abdula Sandhi</t>
  </si>
  <si>
    <t>GJ36N8698</t>
  </si>
  <si>
    <t>ACTIVA/5G STD (BSIV)</t>
  </si>
  <si>
    <t>YOGESHKUMAR YADAV</t>
  </si>
  <si>
    <t>MARUTI/SWIFT DZIRE</t>
  </si>
  <si>
    <t>CHANIYA YUNUSHBHAI NURMAMAMDBHAI</t>
  </si>
  <si>
    <t>GJ03CS3395</t>
  </si>
  <si>
    <t>MANDARIYA ASHOKBHAI DHANJIBHAI</t>
  </si>
  <si>
    <t>EECO&amp;5 STR</t>
  </si>
  <si>
    <t>SHEVINGIYA RAHIM HAJIBHAI</t>
  </si>
  <si>
    <t>GJ03EB9676</t>
  </si>
  <si>
    <t>SPLENDOR PRO</t>
  </si>
  <si>
    <t>SANARIYA RAHUL BHIKHABHAI</t>
  </si>
  <si>
    <t>GJ03CM5830</t>
  </si>
  <si>
    <t>MURUGESHAN NAIDU</t>
  </si>
  <si>
    <t>GJ13N4584</t>
  </si>
  <si>
    <t>GJ03FK4890</t>
  </si>
  <si>
    <t>SANTRO&amp;GLS</t>
  </si>
  <si>
    <t>VARMORA JAYANTIBHAI THOBHANBHAI</t>
  </si>
  <si>
    <t>Hyundai,Accent &amp; GLE</t>
  </si>
  <si>
    <t>GJ03FA3052</t>
  </si>
  <si>
    <t>HERO HONDA/SPLENDOR PLUS</t>
  </si>
  <si>
    <t>VISHALBHAI MOMBHAI DABHI</t>
  </si>
  <si>
    <t>GJ03BK2521</t>
  </si>
  <si>
    <t>BAJAJ/PLATINA</t>
  </si>
  <si>
    <t>HARSHADBHAI DEVJIBHAI SOLANKI</t>
  </si>
  <si>
    <t>GJ05FR1811</t>
  </si>
  <si>
    <t>ACTIVA/SCV 110</t>
  </si>
  <si>
    <t>DAN BAHADUR DAMABHAI PARI</t>
  </si>
  <si>
    <t>GJ03EC1161</t>
  </si>
  <si>
    <t>I20&amp;1.4 SPORTZ BS IV</t>
  </si>
  <si>
    <t>SHEKH ISUBBHAI KASAMBHAI</t>
  </si>
  <si>
    <t>GJ27BM6365</t>
  </si>
  <si>
    <t>AVENGER 220</t>
  </si>
  <si>
    <t>Quraishi Irfanahmed Maqboolhussain</t>
  </si>
  <si>
    <t>GJ23H5846</t>
  </si>
  <si>
    <t>Maruti Suzuki,Alto &amp; LXI</t>
  </si>
  <si>
    <t>MEHTA NISHITHBHAI KISHORBHAI</t>
  </si>
  <si>
    <t>GJ03DM0696</t>
  </si>
  <si>
    <t>AMITBHAI RAMESHBHAI MAKWANA</t>
  </si>
  <si>
    <t>SCORPIO&amp;2.5 LX TURBO 2WD</t>
  </si>
  <si>
    <t>IMTIYAJBHAI ABDULBHAI JESANI</t>
  </si>
  <si>
    <t>GJ03HP0014</t>
  </si>
  <si>
    <t>ROYAL ENFIELD/CLASSIC</t>
  </si>
  <si>
    <t>KHIMANI MOHMMADRAISH TAUFEEKBHAI</t>
  </si>
  <si>
    <t>GJ01HJ9335</t>
  </si>
  <si>
    <t>SANTRO&amp;XL BSIII</t>
  </si>
  <si>
    <t>SANJAY KALABHAI MEGHANI</t>
  </si>
  <si>
    <t>GJ01KE7276</t>
  </si>
  <si>
    <t>ACCENT&amp;GLE</t>
  </si>
  <si>
    <t>VAKALIYA MAKBULBHAI ABDULKARIMBHAI</t>
  </si>
  <si>
    <t>GJ36P7154</t>
  </si>
  <si>
    <t>VEDANT JITENDRA MEHTA</t>
  </si>
  <si>
    <t>19‐07‐2025</t>
  </si>
  <si>
    <t>GJ36A6544</t>
  </si>
  <si>
    <t>JUPITER/BSIV</t>
  </si>
  <si>
    <t>MANSHUKHABHAI CHHGANBHAI VADHADIYA</t>
  </si>
  <si>
    <t>GJ36N4762</t>
  </si>
  <si>
    <t>Sevingiya Mubarak Anavarbhai</t>
  </si>
  <si>
    <t>22-07-2025</t>
  </si>
  <si>
    <t>21/07/2024</t>
  </si>
  <si>
    <t>ELITE I20&amp;ASTA 1.4 CRDI</t>
  </si>
  <si>
    <t>SANJA RAVIKUMAR JASAMATBHAI</t>
  </si>
  <si>
    <t>GJ09M4675</t>
  </si>
  <si>
    <t>TRAX&amp;CRUISER 10 SEATER</t>
  </si>
  <si>
    <t>AABEDIN ABBASMIYA BUKHARI</t>
  </si>
  <si>
    <t>GJ03EN8027</t>
  </si>
  <si>
    <t>GJ36F8507</t>
  </si>
  <si>
    <t>GRAND I10&amp;SPORTZ 1.2 CRDI</t>
  </si>
  <si>
    <t>KANDIYA KAUSHIK KANTILAL</t>
  </si>
  <si>
    <t>ALTO&amp;800</t>
  </si>
  <si>
    <t>MAKASANA NILESH RAMANIKBHAI</t>
  </si>
  <si>
    <t>GJ06DQ5727</t>
  </si>
  <si>
    <t>I20&amp;1.2 SPORTZ</t>
  </si>
  <si>
    <t>GJ03KC0765</t>
  </si>
  <si>
    <t>I20</t>
  </si>
  <si>
    <t>RAHUL BHARATBHAI MAKVANA</t>
  </si>
  <si>
    <t>GJ03ED0327</t>
  </si>
  <si>
    <t>SAVARIYA BHARAT GOVIND</t>
  </si>
  <si>
    <t>GJ03EL2462</t>
  </si>
  <si>
    <t>SWIFT</t>
  </si>
  <si>
    <t>KHODIDAS CHHAGANBHAI SORIYA</t>
  </si>
  <si>
    <t>RAFIK MAHAMADBHAI JUNEJA</t>
  </si>
  <si>
    <t>Hyundai,Grand I10</t>
  </si>
  <si>
    <t>ASHOKBHAI CHHAGANBHAI GADHIYA</t>
  </si>
  <si>
    <t>Honda,WRV &amp; VX MT Diese</t>
  </si>
  <si>
    <t>HARSHAD RAGHAVJIBHAI KAVAR</t>
  </si>
  <si>
    <t>GJ36H4234</t>
  </si>
  <si>
    <t>Parmar Ravi Devjibhai</t>
  </si>
  <si>
    <t>GJ03HG3085</t>
  </si>
  <si>
    <t>82385 69372</t>
  </si>
  <si>
    <t>GJ01HD6430</t>
  </si>
  <si>
    <t>Hyundai,New Santro</t>
  </si>
  <si>
    <t>AJMERI HUSHEN ABUBHAI</t>
  </si>
  <si>
    <t>SEPTEMBER 2024 TW 4W</t>
  </si>
  <si>
    <t>GJ03BC6237</t>
  </si>
  <si>
    <t>Bhuriya Ranjitbhai Kevanbhai</t>
  </si>
  <si>
    <t>GJ36H4065</t>
  </si>
  <si>
    <t>ACTIVA/4G</t>
  </si>
  <si>
    <t>MANSUKHBHAI MOHANBHAI LANGHROJA</t>
  </si>
  <si>
    <t>GJ03FA0464</t>
  </si>
  <si>
    <t>ACTIVA/HET</t>
  </si>
  <si>
    <t>KINJALBEN MERUBHAI RATHOD</t>
  </si>
  <si>
    <t>TOYOTA QUALIS&amp;2.4 D FS 10S</t>
  </si>
  <si>
    <t>VADAVARIYA SALIM GULAMHUSENBHAI</t>
  </si>
  <si>
    <t>GJ12BF9899</t>
  </si>
  <si>
    <t>FORTUNER&amp;3.0L 2 WD AUTOMATIC</t>
  </si>
  <si>
    <t>KHOD IMRAN HUSENBHAI</t>
  </si>
  <si>
    <t>Hyundai,Santro &amp; XL BSIII</t>
  </si>
  <si>
    <t>SHERASHIYA DINESHBHAI BHUDARBHAI</t>
  </si>
  <si>
    <t>GJ36AJ4442</t>
  </si>
  <si>
    <t>MARUTI/BREZZA</t>
  </si>
  <si>
    <t>GJ36F6292</t>
  </si>
  <si>
    <t>TATA MOTORS TIAGO&amp;XT MT</t>
  </si>
  <si>
    <t>PANCHOTIYA KESHAVIBHAI AMARSHIBHAI</t>
  </si>
  <si>
    <t>GJ36P8045</t>
  </si>
  <si>
    <t>Narayan Lal Modi Ram Gurjar</t>
  </si>
  <si>
    <t>Maruti Suzuki,Eeco &amp; 5 Str</t>
  </si>
  <si>
    <t>VASIMBHAI MAHAMDBHAI SOLANKI</t>
  </si>
  <si>
    <t>GJ36M6396</t>
  </si>
  <si>
    <t>Bhimjibhai Savjibhai Makwana</t>
  </si>
  <si>
    <t>GJ16AP8022</t>
  </si>
  <si>
    <t>NITIN RAMESHBHAI MAKAWANA</t>
  </si>
  <si>
    <t>ZURICH KOTAK</t>
  </si>
  <si>
    <t>GJ18CF2660</t>
  </si>
  <si>
    <t>ACTIVA/CBS</t>
  </si>
  <si>
    <t>MANI BHUSHAN SINGH</t>
  </si>
  <si>
    <t>GJ36K6646</t>
  </si>
  <si>
    <t>TVS VICTOR</t>
  </si>
  <si>
    <t>Mahesh Narsibhai Dholakiya</t>
  </si>
  <si>
    <t>GJ05CP1358</t>
  </si>
  <si>
    <t>DHIRUBHAI RAGHABHAI KHIMANIYA</t>
  </si>
  <si>
    <t>DANJIBHAI VASHRAMBHAI HADIYAL</t>
  </si>
  <si>
    <t>GJ03BA1941</t>
  </si>
  <si>
    <t>Hyundai,Santro &amp; XG</t>
  </si>
  <si>
    <t>JADAV SHANTILAL DHANJIBHAI</t>
  </si>
  <si>
    <t>GJ36M6142</t>
  </si>
  <si>
    <t>SAMIRBHAI IBRAHIMBHAI LANJA</t>
  </si>
  <si>
    <t>GJ13CC4854</t>
  </si>
  <si>
    <t>Maruti Suzuki,Eeco,5 Str</t>
  </si>
  <si>
    <t>JIVABHAI MUSHABHAIJAMNA</t>
  </si>
  <si>
    <t>GJ36L0315</t>
  </si>
  <si>
    <t>MARUTI/DZIRE</t>
  </si>
  <si>
    <t>NAIMISHKUMAR SAMJIBHAI DAVRA</t>
  </si>
  <si>
    <t>TJ</t>
  </si>
  <si>
    <t>GJ36M2900</t>
  </si>
  <si>
    <t>ACTIVA/4G BSIV</t>
  </si>
  <si>
    <t>OM PRAKASH</t>
  </si>
  <si>
    <t>GJ36L0642</t>
  </si>
  <si>
    <t>MOHSIN SALIMBHAI DOSHANI</t>
  </si>
  <si>
    <t>GJ02AC9262</t>
  </si>
  <si>
    <t>Force,Trax &amp; Toofan 2596</t>
  </si>
  <si>
    <t>SAIYAD ASIF ABASMIYA</t>
  </si>
  <si>
    <t>USMANKHA HISMATKHA KHORAM</t>
  </si>
  <si>
    <t>GJ36K3388</t>
  </si>
  <si>
    <t>JUSABBHAI ANVARBHAI BHATTI</t>
  </si>
  <si>
    <t>GJ03CA5361</t>
  </si>
  <si>
    <t>BRIJESH VIJAYBHAI DAVE</t>
  </si>
  <si>
    <t>GJ03CR1864</t>
  </si>
  <si>
    <t>Hyundai,Santro &amp; GLS</t>
  </si>
  <si>
    <t>MEHULKUMAR ARVINDBHAI HIRAPARA</t>
  </si>
  <si>
    <t>GJ36A1563</t>
  </si>
  <si>
    <t>Arandiya Mahamdrafik Husenbhai</t>
  </si>
  <si>
    <t>27-09-2025</t>
  </si>
  <si>
    <t>GJ36L0665</t>
  </si>
  <si>
    <t>Maruti Suzuki,Wagon R &amp; VXI BS4</t>
  </si>
  <si>
    <t>MUKESH SILETISINGH YADAV</t>
  </si>
  <si>
    <t>GJ03CP1554</t>
  </si>
  <si>
    <t>HERO/SPLENDOR</t>
  </si>
  <si>
    <t>SAMIR MAHAMADBHAI SHEKH</t>
  </si>
  <si>
    <t>GJ36K3405</t>
  </si>
  <si>
    <t>TVS STAR CITY</t>
  </si>
  <si>
    <t>Kaladiya Ayub Ahemadbhai</t>
  </si>
  <si>
    <t>28-09-2025</t>
  </si>
  <si>
    <t>GJ36B6871</t>
  </si>
  <si>
    <t>HYUNDAI XCENT1.1 CRDI MT BASE</t>
  </si>
  <si>
    <t>GJ36P7121</t>
  </si>
  <si>
    <t>AGHAM MOHSIN IQBALBHAI</t>
  </si>
  <si>
    <t>GJ27AJ7185</t>
  </si>
  <si>
    <t>Patel Jivarambhai Jamabhai</t>
  </si>
  <si>
    <t>GJ01KQ1086</t>
  </si>
  <si>
    <t>Hyundai,Elite I20 &amp; Sportz</t>
  </si>
  <si>
    <t>KATESHIYA HITESHBHAI CHAKUBHAI</t>
  </si>
  <si>
    <t>GJ36H1808</t>
  </si>
  <si>
    <t>Rathod Amrutlal Arjanbhai</t>
  </si>
  <si>
    <t>GJ03DC7418</t>
  </si>
  <si>
    <t>PLEASURE/ELECTRIC START</t>
  </si>
  <si>
    <t>FARUKBHAI KASAMBHAI UMRETIYA</t>
  </si>
  <si>
    <t>GJ36M9719</t>
  </si>
  <si>
    <t>CLASSIC 350</t>
  </si>
  <si>
    <t>Ghoniya Nawaz Hanifbhai</t>
  </si>
  <si>
    <t>Mahindra &amp; Mahindra,Scorpio &amp; S11</t>
  </si>
  <si>
    <t>KHOD IMRAN HUSHENBHAI</t>
  </si>
  <si>
    <t>AUGUST 2024 TW 4W</t>
  </si>
  <si>
    <t>GJ03DJ2722</t>
  </si>
  <si>
    <r>
      <rPr>
        <rFont val="Arial"/>
        <color theme="1"/>
      </rPr>
      <t xml:space="preserve">HERO HONDA/CD </t>
    </r>
    <r>
      <rPr>
        <rFont val="Arial"/>
        <color rgb="FFFF00FF"/>
      </rPr>
      <t>P35</t>
    </r>
  </si>
  <si>
    <t>PARMAR NANDLAL DHANJIBHAI</t>
  </si>
  <si>
    <t>GJ03DN2956</t>
  </si>
  <si>
    <t>Maruti Suzuki,Alto</t>
  </si>
  <si>
    <t>AMIT RAMESHKUMAR MOYDA</t>
  </si>
  <si>
    <t>GJ36F1435</t>
  </si>
  <si>
    <t>GRAND I10&amp;SPORTZ</t>
  </si>
  <si>
    <t>HARSHADBHAI RAMESHBHAI ZETHALOJA</t>
  </si>
  <si>
    <t>GJ01HL4450</t>
  </si>
  <si>
    <t>VORA GANESH AMARSHIBHAI</t>
  </si>
  <si>
    <t>GJ03BA1189</t>
  </si>
  <si>
    <t>Force,Trax &amp; Cruiser Classic</t>
  </si>
  <si>
    <t>BUKHARI BISMILLAH DOLUMIYA</t>
  </si>
  <si>
    <t>GJ03FN4442</t>
  </si>
  <si>
    <t>SUZUKI/ACCESS</t>
  </si>
  <si>
    <t>HARESH KARSHANBHAI SOLANKI</t>
  </si>
  <si>
    <t>GJ36J6377</t>
  </si>
  <si>
    <t>MEMAN JAVEDBHAI BASIRBHAI</t>
  </si>
  <si>
    <t>GJ36H6207</t>
  </si>
  <si>
    <t>MAESTRO EDGE/DRS FI CAST BSVI</t>
  </si>
  <si>
    <t>VIRJIBHAI BECHARBHAI KANZARIYA</t>
  </si>
  <si>
    <t>GJ36M1174</t>
  </si>
  <si>
    <t>CD 110 DREAM</t>
  </si>
  <si>
    <t>Bipinbhai Ramniklal Khambhayata</t>
  </si>
  <si>
    <t>GJ03FR0773</t>
  </si>
  <si>
    <t>PARMAR JUBERBHAI HANIFBHAI</t>
  </si>
  <si>
    <t>GJ36L1991</t>
  </si>
  <si>
    <t>GJ03FM2138</t>
  </si>
  <si>
    <t>KAUSHIK RAMESHBHAI BOKHANI</t>
  </si>
  <si>
    <t>GJ03HB9159</t>
  </si>
  <si>
    <t>KALADIYA AYUB AHEMADBHAI</t>
  </si>
  <si>
    <t>GJ03HB6473</t>
  </si>
  <si>
    <t>HERO MOTOCORP/HF DELUXE</t>
  </si>
  <si>
    <t>ANVARBHAI AHMADBHAI KALADIYA</t>
  </si>
  <si>
    <t>GJ36AC5625</t>
  </si>
  <si>
    <t>SWIFT&amp;VXI 1197 CC</t>
  </si>
  <si>
    <t>SURESHBHAI NANJIBHAI SANARIYA</t>
  </si>
  <si>
    <t>GJ03ER7050</t>
  </si>
  <si>
    <t>ALTO&amp;K10 VXI (O)</t>
  </si>
  <si>
    <t>VIPULBHAI PRANJIVANBHAI SANARIYA</t>
  </si>
  <si>
    <t>SANTRO</t>
  </si>
  <si>
    <t>AGHAM HAJIBHAI MUSABHAI</t>
  </si>
  <si>
    <t>Renault,KWID &amp; STD</t>
  </si>
  <si>
    <t>KAMLESHBHAI JENTIBHAI VINDHANI</t>
  </si>
  <si>
    <t>GJ10BG7459</t>
  </si>
  <si>
    <t>KASMANI SAMEER JIKARBHAI</t>
  </si>
  <si>
    <t>GJ36F2675</t>
  </si>
  <si>
    <t>SOYEL HARUNKHAN KHORAM</t>
  </si>
  <si>
    <t>GJ36F3939</t>
  </si>
  <si>
    <t>TAVERA&amp;NEO3 LT 7 C STR BS II</t>
  </si>
  <si>
    <t>PARMAR MAHESH AMARSHIBHAI</t>
  </si>
  <si>
    <t>GJ24A6714</t>
  </si>
  <si>
    <t>TRAX&amp;TOOFAN 2596 CC</t>
  </si>
  <si>
    <t>YUNUSBHAI ADAMBHAI LOLADIYA</t>
  </si>
  <si>
    <t>GJ13AF7596</t>
  </si>
  <si>
    <t>CHANDARANA SUNIL SOMCHANDBHAI</t>
  </si>
  <si>
    <t>GJ03DN7876</t>
  </si>
  <si>
    <t>SHAHMADAR SUHELSHA ALARAKHUSHA</t>
  </si>
  <si>
    <t>GJ36F9180</t>
  </si>
  <si>
    <t>SWIFT&amp;VDI BS IV</t>
  </si>
  <si>
    <t>MOTIBHAI VIBHABHAI RABARI</t>
  </si>
  <si>
    <t>OCTOBER 2024 TW 4W</t>
  </si>
  <si>
    <t>GJ03LH4806</t>
  </si>
  <si>
    <t>HERO MOTOCORP/SPLENDOR</t>
  </si>
  <si>
    <t>GANU PARMAR</t>
  </si>
  <si>
    <t>Maruti Suzuki,Ertiga &amp; Vdi</t>
  </si>
  <si>
    <t>SANARIYA VIPULBHAI PRANJIVANBHAI</t>
  </si>
  <si>
    <t>GJ03EQ8394</t>
  </si>
  <si>
    <t>HONDA/SHINE</t>
  </si>
  <si>
    <t>PARMAR VRUJLA</t>
  </si>
  <si>
    <t>GJ36H9733</t>
  </si>
  <si>
    <t>ELECTRIC START ALLOY WHEEL FR. DISC</t>
  </si>
  <si>
    <t>Somo Bechar Koli</t>
  </si>
  <si>
    <t>GJ03HP9061</t>
  </si>
  <si>
    <t>YAMAHA/FAZER</t>
  </si>
  <si>
    <t>JAYKISHAN SUNDARLAL ADVANI</t>
  </si>
  <si>
    <t>GJ13NN4183</t>
  </si>
  <si>
    <t>MARUTI SUZUKI</t>
  </si>
  <si>
    <t>ASLAMBHAI ABDULBHAI AAGARIYA</t>
  </si>
  <si>
    <t>CHANIYA HANIFBHAI AYUBBHAI</t>
  </si>
  <si>
    <t>GJ01RA0413</t>
  </si>
  <si>
    <t>Maruti Suzuki,Eeco &amp; 7 Str LPG</t>
  </si>
  <si>
    <t>FIROJ HAJIBHAI DALPAUTRA</t>
  </si>
  <si>
    <t>GJ03BF1304</t>
  </si>
  <si>
    <t>Rahimbhai Osamanbhai Ajmeri</t>
  </si>
  <si>
    <t>GJ06DB4182</t>
  </si>
  <si>
    <t>WAGON R&amp;LXI BS3</t>
  </si>
  <si>
    <t>GHODASARA MUKESH NANJI</t>
  </si>
  <si>
    <t>GJ03HK3995</t>
  </si>
  <si>
    <t>ASHISHBHAI HEMANTBHAI ADROJA</t>
  </si>
  <si>
    <t>GJ16AJ7365</t>
  </si>
  <si>
    <t>VAIBHAV JAGDISHBHAI MAHETA</t>
  </si>
  <si>
    <t>BUKHARI MAYODINBHAI ABDULMIYA</t>
  </si>
  <si>
    <t>GJ36N0226</t>
  </si>
  <si>
    <t>Manharkumar Hardasbhai Desai</t>
  </si>
  <si>
    <t>GJ03HB7799</t>
  </si>
  <si>
    <t>SANURA RAJESHBHAI SHANKARLAL</t>
  </si>
  <si>
    <t>GJ03EC7466</t>
  </si>
  <si>
    <t>RAMESHBHAI MADHABHAI PARSADIYA</t>
  </si>
  <si>
    <t>SAMANA SOYAL IKBALBHAI</t>
  </si>
  <si>
    <t>GJ03CA2168</t>
  </si>
  <si>
    <t>SUNIL MAHEBUBBHAI NATHANI</t>
  </si>
  <si>
    <t>Maruti Suzuki,Swift &amp; 1.2 Vxi BS IV</t>
  </si>
  <si>
    <t>NAREJA ZUBERBHAI HUSENBHAI</t>
  </si>
  <si>
    <t>GJ27BD1643</t>
  </si>
  <si>
    <t>PULSAR 220 DTS-F</t>
  </si>
  <si>
    <t>Movar Rafik Hasanbhai</t>
  </si>
  <si>
    <t>GJ36F5071</t>
  </si>
  <si>
    <t>HYUNDAI/GRAND I10</t>
  </si>
  <si>
    <t>KADIVAR RAJNIKANT LAKHMANBHAI</t>
  </si>
  <si>
    <t>Maruti Suzuki,Alto &amp; 800 - Lxi</t>
  </si>
  <si>
    <t>BHATTI ASMAL HABIBBHA</t>
  </si>
  <si>
    <t>GJ36AC3102</t>
  </si>
  <si>
    <t>NEW SANTRO&amp;1.1 ERA EXECUTIVE MT</t>
  </si>
  <si>
    <t>ASHOKBHAI KAMRUDINBHAI PANJVANI</t>
  </si>
  <si>
    <t>GJ03KC0182</t>
  </si>
  <si>
    <t>MANOJ ASHOKBHAI KATHARANI</t>
  </si>
  <si>
    <t>GJ03KC4093</t>
  </si>
  <si>
    <t>GOVINDBHAI NATHABHAI VIKANI</t>
  </si>
  <si>
    <t>GJ36A1310</t>
  </si>
  <si>
    <t>Liyakat Bavamiya Bukhari</t>
  </si>
  <si>
    <t>GJ36H0499</t>
  </si>
  <si>
    <t>Chauhan Sanjay Chandubhai</t>
  </si>
  <si>
    <t>GJ06CB9923</t>
  </si>
  <si>
    <t>HYUNDAI/VERNA</t>
  </si>
  <si>
    <t>ASLAMBHAI JUSABBHAI SETA</t>
  </si>
  <si>
    <t>GJ04D6487</t>
  </si>
  <si>
    <t>Bajaj Tempo,Trax &amp; Cruiser 10 Seater</t>
  </si>
  <si>
    <t>BHABHLUBHAI DEVATBHAI KHACHAR</t>
  </si>
  <si>
    <t>GJ03FG0942</t>
  </si>
  <si>
    <t>ADILBHAI GULAMHUSEN SUMARA</t>
  </si>
  <si>
    <t>GJ18CD1855</t>
  </si>
  <si>
    <t>PLEASURE/NEW</t>
  </si>
  <si>
    <t>GJ03FR3469</t>
  </si>
  <si>
    <t>MAESTRO/DLX</t>
  </si>
  <si>
    <t>PAYAK AASHIF FARUKBHAI</t>
  </si>
  <si>
    <t>GJ13AK7872</t>
  </si>
  <si>
    <t>ALPESH KISHORVAN GOSVAMI</t>
  </si>
  <si>
    <t>GJ03ER9429</t>
  </si>
  <si>
    <t>SHILPA BHAVARSINGH RAJPUT</t>
  </si>
  <si>
    <t>GJ36C7649</t>
  </si>
  <si>
    <t>Atik Nadimbhai Bhungar</t>
  </si>
  <si>
    <t>GJ03DH0181</t>
  </si>
  <si>
    <t>FARUKBHAI ABDULHUSENBHAI CHANIYA</t>
  </si>
  <si>
    <t>GJ36N4379</t>
  </si>
  <si>
    <t>FATAMABEN AFAJALBHAI KALADIYA</t>
  </si>
  <si>
    <t>GJ15PP1181</t>
  </si>
  <si>
    <t>HITESHBHAI NATHALAL MUNJARIA</t>
  </si>
  <si>
    <t>GJ13AM9431</t>
  </si>
  <si>
    <t>YASHVANTBHAI NAVALBHAI INDARIA</t>
  </si>
  <si>
    <t>GJ36Q3372</t>
  </si>
  <si>
    <t>Gamara Sanjay Ranabhai</t>
  </si>
  <si>
    <t>GJ06EH1132</t>
  </si>
  <si>
    <t>MANZA</t>
  </si>
  <si>
    <t xml:space="preserve"> MAHMADIRSHAD HUSENBHAI PITHADIYA</t>
  </si>
  <si>
    <t>GJ03HG8661</t>
  </si>
  <si>
    <t>CHANIYA MOHSIN YUNUSBHAI</t>
  </si>
  <si>
    <t>GJ03FD2037</t>
  </si>
  <si>
    <t>ODHAVJIBHAI DEVJIBHAI BAREJIYA</t>
  </si>
  <si>
    <t>GJ03DG6510</t>
  </si>
  <si>
    <t>Santro</t>
  </si>
  <si>
    <t>RAJESH DHIRAJLAL GAJERA</t>
  </si>
  <si>
    <t>NOVEMBER 2024 TW 4W</t>
  </si>
  <si>
    <t>GJ03JA2424</t>
  </si>
  <si>
    <t>SPLENDOR PLUS/ELEC ST DISC BRAKE SW</t>
  </si>
  <si>
    <t>MAHAMDJUNED GANIBHAI UMARETIYA</t>
  </si>
  <si>
    <t>GJ03DS3553</t>
  </si>
  <si>
    <t>BAJAJ/DISCOVER</t>
  </si>
  <si>
    <t>GHANCHI ASLAMBHAI ALARAKHA</t>
  </si>
  <si>
    <t>GJ13AN7533</t>
  </si>
  <si>
    <t>VASIM INDRISHBHAI MAKRANI</t>
  </si>
  <si>
    <t>GJ38BE7809</t>
  </si>
  <si>
    <t>Harrier</t>
  </si>
  <si>
    <t>ROHITKUMAR VASUDEVBHAI SADHU</t>
  </si>
  <si>
    <t>GJ13AR8873</t>
  </si>
  <si>
    <t>GADHADARA DINESH KALABHAI</t>
  </si>
  <si>
    <t>GJ36AC3145</t>
  </si>
  <si>
    <t>MEHULKUMAR SAMATBHAI DHAKAN</t>
  </si>
  <si>
    <t>GJ36E6500</t>
  </si>
  <si>
    <t>ACTIVA 125/DLX</t>
  </si>
  <si>
    <t>GJ01RY0888</t>
  </si>
  <si>
    <t>VERNA FLUIDIC&amp;1.6 CRDI</t>
  </si>
  <si>
    <t>AMITKUMAR PRAFULBHAI DAVE</t>
  </si>
  <si>
    <t>GJ10AP1505</t>
  </si>
  <si>
    <t>A&amp;STAR</t>
  </si>
  <si>
    <t>DAUDBHAI ISABHAI AGHAM</t>
  </si>
  <si>
    <t>GJ36H4705</t>
  </si>
  <si>
    <t>AHMAD JUSABBHAI SAMA</t>
  </si>
  <si>
    <t>GJ03FK1922</t>
  </si>
  <si>
    <t>MICRA</t>
  </si>
  <si>
    <t>VIKRAMSINH MOHABATSINH JADEJA</t>
  </si>
  <si>
    <t xml:space="preserve">ZURICH </t>
  </si>
  <si>
    <t>GJ12CF5136</t>
  </si>
  <si>
    <t>PLATINA</t>
  </si>
  <si>
    <t>Govindbhai Ranmalbhai Varchand</t>
  </si>
  <si>
    <t>14-11-2025</t>
  </si>
  <si>
    <t>GJ36L1922</t>
  </si>
  <si>
    <t>EcoSport</t>
  </si>
  <si>
    <t>Mr VIKRAMSINH MAHOBATSINH JADEJA</t>
  </si>
  <si>
    <t>GJ36D3026</t>
  </si>
  <si>
    <t>YAMAHA/CYGNUS</t>
  </si>
  <si>
    <t>MAKWANA RAMJANBHAI GAFARBHAI</t>
  </si>
  <si>
    <t>GJ36B0465</t>
  </si>
  <si>
    <t>Mr ZINABHAI RAMJIBHAI KHANADARIA</t>
  </si>
  <si>
    <t>GJ03ES2798</t>
  </si>
  <si>
    <t>Mr. NIMAVAT CHETANBHAI BALDEVBHAI</t>
  </si>
  <si>
    <t>GJ36B1334</t>
  </si>
  <si>
    <t>MARUTI/ALTO 800</t>
  </si>
  <si>
    <t>ARVINDBHAI JAMANADAS RAMANANDI</t>
  </si>
  <si>
    <t>GJ03HG8857</t>
  </si>
  <si>
    <t>SAMTANI ISMAIL ABDULABHA</t>
  </si>
  <si>
    <t>78610 23505</t>
  </si>
  <si>
    <t>GJ03HB5983</t>
  </si>
  <si>
    <t>YAMAHA/FZ16 FI</t>
  </si>
  <si>
    <t>ANSARI MAHMADIRSAD MAHMADIBRAHIM</t>
  </si>
  <si>
    <t>GJ13N4013</t>
  </si>
  <si>
    <t>Omni</t>
  </si>
  <si>
    <t>PRASHANT NILESHBHAI PARMAR</t>
  </si>
  <si>
    <t>97122 00143</t>
  </si>
  <si>
    <t>GJ36K3920</t>
  </si>
  <si>
    <t>RFANBHAI ALARAKHABHAI VIKIYA</t>
  </si>
  <si>
    <t xml:space="preserve"> 98252 78653</t>
  </si>
  <si>
    <t>GJ36R9217</t>
  </si>
  <si>
    <t>SEVANGIYA VASHIM ANVARBHAI</t>
  </si>
  <si>
    <t>92653 49502</t>
  </si>
  <si>
    <t>GJ03HD8604</t>
  </si>
  <si>
    <t>RATHOD SAVAN JAYANTILAL</t>
  </si>
  <si>
    <t>6351 496 137</t>
  </si>
  <si>
    <t>GJ03EC1301</t>
  </si>
  <si>
    <t>LADHANI SALIM ISHABHAI</t>
  </si>
  <si>
    <t>GJ36F9268</t>
  </si>
  <si>
    <t>Baleno</t>
  </si>
  <si>
    <t>DESAI SHANTILAL CHAGANBHAI</t>
  </si>
  <si>
    <t>GJ36B9094</t>
  </si>
  <si>
    <t>JUNEJA SULTAN IBRAHIMBHAI</t>
  </si>
  <si>
    <t>GJ13CC7026</t>
  </si>
  <si>
    <t>Classic</t>
  </si>
  <si>
    <t>KALDIYA RAJABBHAI RASULBHAI</t>
  </si>
  <si>
    <t>GJ27AM3548</t>
  </si>
  <si>
    <t>PULSAR 200</t>
  </si>
  <si>
    <t>Alarakha Hamirbhai Sumara</t>
  </si>
  <si>
    <t>GJ03EN8933</t>
  </si>
  <si>
    <t>RAMANUJ HITESH SURESHBHAI</t>
  </si>
  <si>
    <t>GJ03BM9383</t>
  </si>
  <si>
    <t>MAGAN GOVIND VARAN</t>
  </si>
  <si>
    <t>81606 27008</t>
  </si>
  <si>
    <t>GJ36E9492</t>
  </si>
  <si>
    <t>Ghodasara Pravinbhai Devjibhai</t>
  </si>
  <si>
    <t>GJ01PK6302</t>
  </si>
  <si>
    <t>MEMON MO JAFAR ISMAILBHA</t>
  </si>
  <si>
    <t>GJ36D8544</t>
  </si>
  <si>
    <t>Vadsola Ganeshbhai Jadavjibhai</t>
  </si>
  <si>
    <t>GJ03JR8513</t>
  </si>
  <si>
    <t>Mr MESANIYA ISMAIL MAMAD</t>
  </si>
  <si>
    <t xml:space="preserve"> 91064 77156</t>
  </si>
  <si>
    <t>GJ03DQ5332</t>
  </si>
  <si>
    <t>Kaida Tahirbhai Abharambhai</t>
  </si>
  <si>
    <t>GJ03HD5522</t>
  </si>
  <si>
    <t>AKARAMKHAN AYUBKHAN PATHAN</t>
  </si>
  <si>
    <t>GJ01KG8874</t>
  </si>
  <si>
    <t>Accent</t>
  </si>
  <si>
    <t>SANDHANI BHAVESHKUMAR CHANDUBHA</t>
  </si>
  <si>
    <t>97232 50631</t>
  </si>
  <si>
    <t>GJ10BR7035</t>
  </si>
  <si>
    <t>Wagon R</t>
  </si>
  <si>
    <t>VALIYANI MUBARKBHAI SAMSUDINBHAI</t>
  </si>
  <si>
    <t>95746 70572</t>
  </si>
  <si>
    <t>GJ03KC4499</t>
  </si>
  <si>
    <t>SHAHMADAR IQBALSHA ALARAKHSHA</t>
  </si>
  <si>
    <t>98258 68995</t>
  </si>
  <si>
    <t>GJ10AP0927</t>
  </si>
  <si>
    <t>I10</t>
  </si>
  <si>
    <t>RAMAVAT MANOJBHAI SHAMKARDAS</t>
  </si>
  <si>
    <t>GJ03HK1432</t>
  </si>
  <si>
    <t>CELERIO</t>
  </si>
  <si>
    <t>Badi Yusuf Alavdi</t>
  </si>
  <si>
    <t>16-12-2025</t>
  </si>
  <si>
    <t>GJ10AB4354</t>
  </si>
  <si>
    <t>Baraiya Dilip</t>
  </si>
  <si>
    <t>GJ10CG4265</t>
  </si>
  <si>
    <t>KWID</t>
  </si>
  <si>
    <t>Mr BHARATBHAI DAHYABHAI PATEL</t>
  </si>
  <si>
    <t>Jigneshbhai Manilal Sheth</t>
  </si>
  <si>
    <t>94294 71654</t>
  </si>
  <si>
    <t>GJ36D6820</t>
  </si>
  <si>
    <t>Devjibhai Pravinbhai Parmar</t>
  </si>
  <si>
    <t xml:space="preserve">17-12-2025 </t>
  </si>
  <si>
    <t>Parghi Naranbhai Bavabhai</t>
  </si>
  <si>
    <t>820 077 5788</t>
  </si>
  <si>
    <t>GJ36H8009</t>
  </si>
  <si>
    <t>ROYAL ENFIELD, REDDITCH EDITION</t>
  </si>
  <si>
    <t>UMESHBHAI BHANJIBHAI RATHOD</t>
  </si>
  <si>
    <t>NATIONAL INSURANCE</t>
  </si>
  <si>
    <t>GJ01KH7740</t>
  </si>
  <si>
    <t>i 10 1.1</t>
  </si>
  <si>
    <t>Fakir Faruksha Ikbalsha</t>
  </si>
  <si>
    <t xml:space="preserve"> 91061 88644</t>
  </si>
  <si>
    <t>20-12-2025</t>
  </si>
  <si>
    <t>GJ13QQ1135</t>
  </si>
  <si>
    <t>Rathva Lavingbhai</t>
  </si>
  <si>
    <t>Sedat Ashib Salimbhai</t>
  </si>
  <si>
    <t>6351 990 051</t>
  </si>
  <si>
    <t>GJ36AC0331</t>
  </si>
  <si>
    <t>Manjur Hushen Babusha Fakir</t>
  </si>
  <si>
    <t>99092 16376</t>
  </si>
  <si>
    <t>GJ36F9537</t>
  </si>
  <si>
    <t>MUSTAK SATARBHAICHICHODRA</t>
  </si>
  <si>
    <t>78178 69200</t>
  </si>
  <si>
    <t>GJ03BA8619</t>
  </si>
  <si>
    <t>Verna</t>
  </si>
  <si>
    <t>Mr PINJARA ANVAR ABDULBHAI</t>
  </si>
  <si>
    <t>99782 92045</t>
  </si>
  <si>
    <t>GJ07CR3338</t>
  </si>
  <si>
    <t>BURGMAN 125</t>
  </si>
  <si>
    <t>Pathan Nawabkhan Ashifkhan</t>
  </si>
  <si>
    <t xml:space="preserve"> 079908 04426</t>
  </si>
  <si>
    <t>23-12-2025</t>
  </si>
  <si>
    <t>GJ03FE0945</t>
  </si>
  <si>
    <t>HAYATE</t>
  </si>
  <si>
    <t>Sumra Mustak Hasam</t>
  </si>
  <si>
    <t>87580 52822</t>
  </si>
  <si>
    <t>GJ03HA0827</t>
  </si>
  <si>
    <t>SANTRO XING</t>
  </si>
  <si>
    <t>Ramjanbhai Daudbhai Dalvani</t>
  </si>
  <si>
    <t>99780 03048</t>
  </si>
  <si>
    <t>ACTIVA</t>
  </si>
  <si>
    <t>GJ03EP9478</t>
  </si>
  <si>
    <t>DREAM YUGA</t>
  </si>
  <si>
    <t>Rauma Sajid Majidbhai</t>
  </si>
  <si>
    <t>90994 22802</t>
  </si>
  <si>
    <t>29-12-2025</t>
  </si>
  <si>
    <t>GJ03DP3090</t>
  </si>
  <si>
    <t>Hiren Ranchhodbhai Bar</t>
  </si>
  <si>
    <t>GJ15PP0181</t>
  </si>
  <si>
    <t>Makrani Arifbhai Mhebubbhai</t>
  </si>
  <si>
    <t>28-12-2025</t>
  </si>
  <si>
    <t>MAESTRO</t>
  </si>
  <si>
    <t>99091 73444</t>
  </si>
  <si>
    <t>31-12-2025</t>
  </si>
  <si>
    <t>GJ36R4833</t>
  </si>
  <si>
    <t>GRAND i10</t>
  </si>
  <si>
    <t>Agola Sarang Jagjivanbhai</t>
  </si>
  <si>
    <t>99134 42769</t>
  </si>
  <si>
    <t>GJ03HD6154</t>
  </si>
  <si>
    <t>Baria Dhuleramchandra Dhanabhai</t>
  </si>
  <si>
    <t>GJ15KK9512</t>
  </si>
  <si>
    <t>Dholakiya Khodabhai Viththalbhai</t>
  </si>
  <si>
    <t>GJ03HF6684</t>
  </si>
  <si>
    <t>Motlani Musa Mahommad</t>
  </si>
  <si>
    <t>OGHADBHAI JEMALBHAI KAROTRA</t>
  </si>
  <si>
    <t xml:space="preserve"> 99784 23810</t>
  </si>
  <si>
    <t>GJ36M8972</t>
  </si>
  <si>
    <t>2 W</t>
  </si>
  <si>
    <t>Bosiya Parvinbhai Shamjibhai</t>
  </si>
  <si>
    <t>GJ12BR4889</t>
  </si>
  <si>
    <t>SABIRBHAI UMARBHAI IMANI</t>
  </si>
  <si>
    <t>GJ36L8287</t>
  </si>
  <si>
    <t>XUV 300 - Diesel</t>
  </si>
  <si>
    <t>Mr KULDIPBHAI DILIPBHAI VIRAMGAMA</t>
  </si>
  <si>
    <t>97247 63922‬</t>
  </si>
  <si>
    <t>GJ01KG3481</t>
  </si>
  <si>
    <t>Alto</t>
  </si>
  <si>
    <t>KURESHI INUSABHAI MANHAMADBHAI</t>
  </si>
  <si>
    <t>GJ02DA4976</t>
  </si>
  <si>
    <t>Mr MAKEL MOHSINBHAI ISUBBHAI</t>
  </si>
  <si>
    <t>GJ02AC3533</t>
  </si>
  <si>
    <t>Zen Estilo</t>
  </si>
  <si>
    <t>CHANDRESH RAGHAVJIBHAIHADIYAL</t>
  </si>
  <si>
    <t>GJ03BD9188</t>
  </si>
  <si>
    <t>HERO HONDA/CD</t>
  </si>
  <si>
    <t>JAHID JUMABHAI NAREJA</t>
  </si>
  <si>
    <t>Farukbhai Amadbhai Piludiya</t>
  </si>
  <si>
    <t>99130 22200</t>
  </si>
  <si>
    <t>83204 99788</t>
  </si>
  <si>
    <t>18-01-2026</t>
  </si>
  <si>
    <t>KARELIYA MAHESH MANSUKHBHAI</t>
  </si>
  <si>
    <t>GJ03EM9800</t>
  </si>
  <si>
    <t>Leembabhai Bhalabhai Dabhi</t>
  </si>
  <si>
    <t>GJ12BF7425</t>
  </si>
  <si>
    <t>Mr PATHAN SIKANDAR ABDULBHAI</t>
  </si>
  <si>
    <t>98252 21148</t>
  </si>
  <si>
    <t>GJ36M5231</t>
  </si>
  <si>
    <t>Farukbhai Kasambhai Umretiya</t>
  </si>
  <si>
    <t>GJ13CA2535</t>
  </si>
  <si>
    <t>Mr MUKESHBHAI GORDHANBHAI VAGHARI</t>
  </si>
  <si>
    <t>75748 33240</t>
  </si>
  <si>
    <t xml:space="preserve"> 80003 01500</t>
  </si>
  <si>
    <t>GJ36D0557</t>
  </si>
  <si>
    <t>Chaudhri Ismailbhai Mamadbhai</t>
  </si>
  <si>
    <t>25-01-2026</t>
  </si>
  <si>
    <t>GJ36J2212</t>
  </si>
  <si>
    <t>Abdulbhai Mamadbhai Chaudhari</t>
  </si>
  <si>
    <t>GJ36P7326</t>
  </si>
  <si>
    <t>GJ10CH3013</t>
  </si>
  <si>
    <t>Iqbalbhai Salemanbhai Kamora</t>
  </si>
  <si>
    <t>GJ36H1147</t>
  </si>
  <si>
    <t>PULSAR 220 DTS-Fi</t>
  </si>
  <si>
    <t>Gulambhai Ishabhai Manek</t>
  </si>
  <si>
    <t>DISCOVER 125</t>
  </si>
  <si>
    <t>29-01-2026</t>
  </si>
  <si>
    <t>GJ03EC1020</t>
  </si>
  <si>
    <t>MAHAMAD AADIL RIYAZ HUSEN GHELA</t>
  </si>
  <si>
    <t>Swift</t>
  </si>
  <si>
    <t>Mr SALIMKHA HAMIRKHA KHORAM</t>
  </si>
  <si>
    <t xml:space="preserve">96380 21625 </t>
  </si>
  <si>
    <t>HT</t>
  </si>
  <si>
    <t>GJ36P7585</t>
  </si>
  <si>
    <t>Tofiqbhai Karimbhai Hingorja</t>
  </si>
  <si>
    <t>31-01-2026</t>
  </si>
  <si>
    <t>GJ03FM2792</t>
  </si>
  <si>
    <t>Niteshbhai Karamshibhai Khodani</t>
  </si>
  <si>
    <t xml:space="preserve">BAJA J </t>
  </si>
  <si>
    <t>GJ03DA6808</t>
  </si>
  <si>
    <t>DISCOVER 135 DTSI</t>
  </si>
  <si>
    <t>Milanbhai Manilal Bapodariya</t>
  </si>
  <si>
    <t>GJ03ME5654</t>
  </si>
  <si>
    <t>HARRIER</t>
  </si>
  <si>
    <t>MR. VASANI PARESHBHAI MEPABHAI</t>
  </si>
  <si>
    <t>97263 84450</t>
  </si>
  <si>
    <t>ZURICH</t>
  </si>
  <si>
    <t>GJ12BF7306</t>
  </si>
  <si>
    <t>Mr PRITESH MANILAL BAPODARIYA</t>
  </si>
  <si>
    <t>GJ02CA2197</t>
  </si>
  <si>
    <t>Mr RAHIL RAHIMBHAI JUNAT</t>
  </si>
  <si>
    <t>70165 49526</t>
  </si>
  <si>
    <t>GJ10AP2193</t>
  </si>
  <si>
    <t>GJ36K4765</t>
  </si>
  <si>
    <t>Amreliya Basir Osmanbhai</t>
  </si>
  <si>
    <t>97271 87281</t>
  </si>
  <si>
    <t>GJ36J8152</t>
  </si>
  <si>
    <t>Jayeshbhai Shantilal Nayakpura</t>
  </si>
  <si>
    <t>99258 52455</t>
  </si>
  <si>
    <t>GJ03AQ5198</t>
  </si>
  <si>
    <t>Prakashbhai Dhirajlal Gandhi</t>
  </si>
  <si>
    <t xml:space="preserve"> 99258 52455</t>
  </si>
  <si>
    <t>AKHAI IDRISHBHAI RAJAKBHAI</t>
  </si>
  <si>
    <t>92271 47786</t>
  </si>
  <si>
    <t xml:space="preserve"> 82007 02807</t>
  </si>
  <si>
    <t>GJ36C5161</t>
  </si>
  <si>
    <t>Imaranbhai Mahamdbhai Tariya</t>
  </si>
  <si>
    <t>GJ12AR5544</t>
  </si>
  <si>
    <t>STAR</t>
  </si>
  <si>
    <t>Kirtibhai Parbatbhai Kuvadiya</t>
  </si>
  <si>
    <t>GJ36K9794</t>
  </si>
  <si>
    <t>Unraputra Imtiyajbhai Ismailbhai</t>
  </si>
  <si>
    <t>91732 86107</t>
  </si>
  <si>
    <t>GJ38B3110</t>
  </si>
  <si>
    <t>MARUTI/VITARA BREZZA/ZDI+</t>
  </si>
  <si>
    <t>MR. BHADARAKA IQBAL HAJIBHAI</t>
  </si>
  <si>
    <t xml:space="preserve"> 78749 49645</t>
  </si>
  <si>
    <t>GJ03BR0819</t>
  </si>
  <si>
    <t>Sevangiya Ramjanbhai Ishabhai</t>
  </si>
  <si>
    <t xml:space="preserve"> 95100 18191</t>
  </si>
  <si>
    <t>GJ38BD3535</t>
  </si>
  <si>
    <t>Chauhan Salimbhai Ismailbhai</t>
  </si>
  <si>
    <t>97730 37975</t>
  </si>
  <si>
    <t>GJ36M1983</t>
  </si>
  <si>
    <t>GJ36IC0272</t>
  </si>
  <si>
    <t>Celerio</t>
  </si>
  <si>
    <t>Mr NAGINBHAI TRIBHOVAN KAILA</t>
  </si>
  <si>
    <t>GJ03LR3665</t>
  </si>
  <si>
    <t>Solanki Rajakbhai Abdulbhai</t>
  </si>
  <si>
    <t>GJ36AC4792</t>
  </si>
  <si>
    <t>TOYOTA/FORTUNER</t>
  </si>
  <si>
    <t>Mr MADKIYA FEZALBHAI G</t>
  </si>
  <si>
    <t>GJ03FA5137</t>
  </si>
  <si>
    <t>HF DELUX</t>
  </si>
  <si>
    <t xml:space="preserve"> 96247 20037</t>
  </si>
  <si>
    <t>GJ36N1939</t>
  </si>
  <si>
    <t>Multani Yashin Adambhai</t>
  </si>
  <si>
    <t>GJ36A0073</t>
  </si>
  <si>
    <t>FZS FI</t>
  </si>
  <si>
    <t>Sandip Bhanu Singh</t>
  </si>
  <si>
    <t>Mr SANJAYKUMAR NARBHERAMBHAI BOPALIYA</t>
  </si>
  <si>
    <t> 97261 44040</t>
  </si>
  <si>
    <t>GJ36M8647</t>
  </si>
  <si>
    <t>Devjibhai Merubhai Varaniy</t>
  </si>
  <si>
    <t>GJ13AB7144</t>
  </si>
  <si>
    <t>Mr JEDA NURMAMAD ADAM</t>
  </si>
  <si>
    <t>820 003 0131</t>
  </si>
  <si>
    <t>GJ03EK5808</t>
  </si>
  <si>
    <t>Khambhala Hasmukhbhai Ramjibhai</t>
  </si>
  <si>
    <t xml:space="preserve"> 96380 23978</t>
  </si>
  <si>
    <t>GJ36K7948</t>
  </si>
  <si>
    <t>Rajesh Pratapbhai Vaghela</t>
  </si>
  <si>
    <t>90996 70222</t>
  </si>
  <si>
    <t>GJ03HD9226</t>
  </si>
  <si>
    <t>UNICORN</t>
  </si>
  <si>
    <t>Vaghela Vinodbhai Pratapbhai</t>
  </si>
  <si>
    <t>GJ36N5487</t>
  </si>
  <si>
    <t>Ganpatbhai Kadvabhai Patel</t>
  </si>
  <si>
    <t>GJ10BH6926</t>
  </si>
  <si>
    <t>Savaliya Kenish Kishorbhai</t>
  </si>
  <si>
    <t>90162 04815</t>
  </si>
  <si>
    <t>13-02-2026</t>
  </si>
  <si>
    <t>GJ03FM1902</t>
  </si>
  <si>
    <t>Ghanshyambhai Hirjibhai Methaniya</t>
  </si>
  <si>
    <t xml:space="preserve">98252 44944 </t>
  </si>
  <si>
    <t>GJ36E0188</t>
  </si>
  <si>
    <t>PLEASURE</t>
  </si>
  <si>
    <t>Dharmendrabhai Narendrabhai Joshi</t>
  </si>
  <si>
    <t>99258 68874</t>
  </si>
  <si>
    <t>GJ36B4521</t>
  </si>
  <si>
    <t>Mr RASHIKLAL JIVRAJBHAI KASUNDRA</t>
  </si>
  <si>
    <t>97256 46041</t>
  </si>
  <si>
    <t>GJ03EK0614</t>
  </si>
  <si>
    <t>Sevingya Alatafbhai Ismailbhai</t>
  </si>
  <si>
    <t>97376 60133</t>
  </si>
  <si>
    <t>15-02-2026</t>
  </si>
  <si>
    <t>GJ36C9872</t>
  </si>
  <si>
    <t>SHINE</t>
  </si>
  <si>
    <t>Falani Sohil Anvarbhai</t>
  </si>
  <si>
    <t>GJ36E3847</t>
  </si>
  <si>
    <t>Umretiya Sadikbhai Ganibhai</t>
  </si>
  <si>
    <t>097279 22147</t>
  </si>
  <si>
    <t>GJ36C7421</t>
  </si>
  <si>
    <t>Bhatt Rameshbhai Bhanushankar</t>
  </si>
  <si>
    <t>Mr SURESHBHAI JAYANTIBHAI CHHATROLA</t>
  </si>
  <si>
    <t>98258 11859</t>
  </si>
  <si>
    <t>GJ03LA1044</t>
  </si>
  <si>
    <t>Vadhukiya Dilipbhai Keshubhai</t>
  </si>
  <si>
    <t>20-02-2026</t>
  </si>
  <si>
    <t>GJ13AH8788</t>
  </si>
  <si>
    <t>Grand I10</t>
  </si>
  <si>
    <t>Mr KASHMANI ALTAFBHAI ADBULSHKURBHAI</t>
  </si>
  <si>
    <t>GJ12P5240</t>
  </si>
  <si>
    <t>Mr GALAB HUSENBHAI KASAMBHAI</t>
  </si>
  <si>
    <t>GJ10DG9993</t>
  </si>
  <si>
    <t>YZF R15 M</t>
  </si>
  <si>
    <t>Shahmadar Akarmsha Husensha</t>
  </si>
  <si>
    <t>832 031 7856</t>
  </si>
  <si>
    <t>22-02-2026</t>
  </si>
  <si>
    <t>GJ36AB7797</t>
  </si>
  <si>
    <t>Daud Amadbhai Mer</t>
  </si>
  <si>
    <t>95862 96566</t>
  </si>
  <si>
    <t>GJ03DE7386</t>
  </si>
  <si>
    <t>Bhungar Jusab Salimbhai</t>
  </si>
  <si>
    <t>GJ36Q6906</t>
  </si>
  <si>
    <t>Kashmani Tufelahemad Karimbhai</t>
  </si>
  <si>
    <t>91 0 680 369 3</t>
  </si>
  <si>
    <t>GJ36K2497</t>
  </si>
  <si>
    <t>Ajimbhai Payak</t>
  </si>
  <si>
    <t> 98248 21197</t>
  </si>
  <si>
    <t>GJ06HQ3382</t>
  </si>
  <si>
    <t>ACTIVA I</t>
  </si>
  <si>
    <t>Bukhari Kasammiya Sultanmiya</t>
  </si>
  <si>
    <t>87994 23240</t>
  </si>
  <si>
    <t>GJ03CF6601</t>
  </si>
  <si>
    <t>Tajaram Bhoma Ram</t>
  </si>
  <si>
    <t>90334 62929</t>
  </si>
  <si>
    <t>24-02-2026</t>
  </si>
  <si>
    <t>GJ36R7698</t>
  </si>
  <si>
    <t>Seltos - Diesel</t>
  </si>
  <si>
    <t>Mr HUSENBHAI SALEMAMDBHAI SATHTHA</t>
  </si>
  <si>
    <t>GJ36B3879</t>
  </si>
  <si>
    <t>Mr JATOI IMTIYAJAKHAN ALIKHAN</t>
  </si>
  <si>
    <t>GJ36K4040</t>
  </si>
  <si>
    <t>Langhnoja Kalpesh Mansukhbhai</t>
  </si>
  <si>
    <t xml:space="preserve"> 97123 54141</t>
  </si>
  <si>
    <t>GJ36J9397</t>
  </si>
  <si>
    <t>Jadeja Baldevsinh G</t>
  </si>
  <si>
    <t>GJ03HJ4700</t>
  </si>
  <si>
    <t>JUPITER</t>
  </si>
  <si>
    <t>Isabhai Musabhai Theba</t>
  </si>
  <si>
    <t>GJ36F8630</t>
  </si>
  <si>
    <t>MARUTI/SWIFT</t>
  </si>
  <si>
    <t>Mr DADHANIYA BHANJIBHAI TARSHIBHAI</t>
  </si>
  <si>
    <t>GJ36Q5359</t>
  </si>
  <si>
    <t>Chavda Kamal Mohanbhai</t>
  </si>
  <si>
    <t xml:space="preserve"> 97239 81571</t>
  </si>
  <si>
    <t>GJ36L5783</t>
  </si>
  <si>
    <t>Tigor</t>
  </si>
  <si>
    <t>Mr SANDHANI BHAVESHKUMAR CHANDUBHAI</t>
  </si>
  <si>
    <t>GJ36F6794</t>
  </si>
  <si>
    <t>Mr FAKIR JAMALASHA JUSABSHA</t>
  </si>
  <si>
    <t>GJ13AB4008</t>
  </si>
  <si>
    <t>Mr SARVAIYA HARSUKHBHAI RUPABHAI</t>
  </si>
  <si>
    <t>90991 21292</t>
  </si>
  <si>
    <t>97249 49213</t>
  </si>
  <si>
    <t>GJ03BM6609</t>
  </si>
  <si>
    <t>Chhantbar Firojbhai Abdulajij</t>
  </si>
  <si>
    <t>28-02-2026</t>
  </si>
  <si>
    <t>GJ36AJ0092</t>
  </si>
  <si>
    <t>CRETA/1.5 CRDI SX TECH MT BSVI</t>
  </si>
  <si>
    <t>MADAKIYA ASGARBHAI ABDULBHAI</t>
  </si>
  <si>
    <t>97279 23500</t>
  </si>
  <si>
    <t>GJ36AF3664</t>
  </si>
  <si>
    <t>VENUE/1.2 Kappa S (MT) BSVI</t>
  </si>
  <si>
    <t>DANGAR SUBHASJBHAI HIRABHAI</t>
  </si>
  <si>
    <t>92652 04892</t>
  </si>
  <si>
    <t>GJ36H7024</t>
  </si>
  <si>
    <t>Lanja Dinmohamedbhai Daudbhai</t>
  </si>
  <si>
    <t>GJ36E0005</t>
  </si>
  <si>
    <t>Gulambhai Sadikbhai Manek</t>
  </si>
  <si>
    <t xml:space="preserve"> 99138 98712</t>
  </si>
  <si>
    <t>GJ12CG9866</t>
  </si>
  <si>
    <t>Versa</t>
  </si>
  <si>
    <t>Mr BUKHARI ABBASMIYA HUSHENMIYA</t>
  </si>
  <si>
    <t>GJ01HU9380</t>
  </si>
  <si>
    <t>Mr HARESH KANJIBHAI CHAVDA</t>
  </si>
  <si>
    <t>GJ03FJ6041</t>
  </si>
  <si>
    <t>Badi Mohmadyunus Usmanbhai</t>
  </si>
  <si>
    <t xml:space="preserve"> 94266 66143</t>
  </si>
  <si>
    <t>GJ03CJ4304</t>
  </si>
  <si>
    <t>Sahil Ganibhai Odiya</t>
  </si>
  <si>
    <t>79906 45249</t>
  </si>
  <si>
    <t>GJ03FP5432</t>
  </si>
  <si>
    <t>Narshibhai Lalajibhai Baraiya</t>
  </si>
  <si>
    <t>GJ03CQ9291</t>
  </si>
  <si>
    <t>Chaniya Yunush Musabhai</t>
  </si>
  <si>
    <t>GJ36L5169</t>
  </si>
  <si>
    <t>Mr RAMAVAT SAMIR NARENDRABHAI</t>
  </si>
  <si>
    <t>GJ03BS8741</t>
  </si>
  <si>
    <t>Padsumbiya Nilesh Maganbhai</t>
  </si>
  <si>
    <t>13-03-2026</t>
  </si>
  <si>
    <t>GJ36R1443</t>
  </si>
  <si>
    <t>THAKKAR PARSOTAMBHAI BHARATBHAI</t>
  </si>
  <si>
    <t xml:space="preserve"> 81605 04223</t>
  </si>
  <si>
    <t>Mr PARMAR CHANRESHKUMAR</t>
  </si>
  <si>
    <t>94282 85058</t>
  </si>
  <si>
    <t>GJ03CR6793</t>
  </si>
  <si>
    <t>Mr DINESHBHAI LALJIBHAI RATHOD</t>
  </si>
  <si>
    <t>Mr MAKVANA KARIMBHAI NASIRBHAI</t>
  </si>
  <si>
    <t>GJ36N2821</t>
  </si>
  <si>
    <t>Khint Raiyabhai Karmanbhai</t>
  </si>
  <si>
    <t>16-03-2026</t>
  </si>
  <si>
    <t>GJ03EL0583</t>
  </si>
  <si>
    <t>Mr PATHAN BARKATKHAN ABDULKHAN</t>
  </si>
  <si>
    <t>88662 99178</t>
  </si>
  <si>
    <t>GJ03FD6619</t>
  </si>
  <si>
    <t>Mr CHANIYA RAMJUBHAI KASAMBHAI</t>
  </si>
  <si>
    <t>GJ13HH7862</t>
  </si>
  <si>
    <t>Parmar Imaranbhai Ramjanbhai</t>
  </si>
  <si>
    <t>GJ36B0905</t>
  </si>
  <si>
    <t>Mr NAKUM GANESH KUNVARJIBHAI</t>
  </si>
  <si>
    <t>GJ36D5425</t>
  </si>
  <si>
    <t>SPLENDOR NXG</t>
  </si>
  <si>
    <t>Bhungar Bilalbhai Habibbhai</t>
  </si>
  <si>
    <t>GJ36AC8854</t>
  </si>
  <si>
    <t>Mr SHABIRHUSAIN NURDIN LADHANI</t>
  </si>
  <si>
    <t>GJ03FK6599</t>
  </si>
  <si>
    <t xml:space="preserve">MARUTI SUZUKI , SWIFT DZIRE </t>
  </si>
  <si>
    <t xml:space="preserve">PARMAR NARBHERAMBHAI KESAVJIBHAI </t>
  </si>
  <si>
    <t>GJ01KR7794</t>
  </si>
  <si>
    <t>Rapid</t>
  </si>
  <si>
    <t>Mr PATHAN JAVIDKHAN JAYBBULKHAN</t>
  </si>
  <si>
    <t>Grand I10 Nios - Petrol</t>
  </si>
  <si>
    <t>Mr BUKHARI MAYODIN BAKARMIYA</t>
  </si>
  <si>
    <t>GJ12DS7465</t>
  </si>
  <si>
    <t>Mr MANEK ANVAR VALIMAMAD</t>
  </si>
  <si>
    <t> 92655 90110</t>
  </si>
  <si>
    <t>GJ12BH8186</t>
  </si>
  <si>
    <t>Parmar Sureshkumar Mohanlal</t>
  </si>
  <si>
    <t>27-03-2026</t>
  </si>
  <si>
    <t>GJ36E1558</t>
  </si>
  <si>
    <t>Rathwa Mangaliben Fatesingbhai</t>
  </si>
  <si>
    <t> 99135 80608</t>
  </si>
  <si>
    <t>GJ36J6597</t>
  </si>
  <si>
    <t>Parmar Dineshbhai Laljibhai</t>
  </si>
  <si>
    <t>97272 45213</t>
  </si>
  <si>
    <t>GJ36P6106</t>
  </si>
  <si>
    <t>Rathod Lalita Harisinh</t>
  </si>
  <si>
    <t>92655 43203</t>
  </si>
  <si>
    <t>28-03-2026</t>
  </si>
  <si>
    <t>GJ03HA5733</t>
  </si>
  <si>
    <t>MR. RATHOD  HIREN PRAVINBHAI</t>
  </si>
  <si>
    <t>GJ13AN9943</t>
  </si>
  <si>
    <t>Khalifa Yusufbhai Rasulbhai</t>
  </si>
  <si>
    <t>GJ03HG0876</t>
  </si>
  <si>
    <t>Ganeshia Manish Dineshbhai</t>
  </si>
  <si>
    <t>GJ03FN2220</t>
  </si>
  <si>
    <t>Chaniya Habibbhai Abdulbhai</t>
  </si>
  <si>
    <t>GJ03EC9293</t>
  </si>
  <si>
    <t>Mr ABBAS GAKUR KATIYA</t>
  </si>
  <si>
    <t>GJ03BA8884</t>
  </si>
  <si>
    <t>Corolla</t>
  </si>
  <si>
    <t>Mr MOVAR Husen Amad</t>
  </si>
  <si>
    <t>GJ36L4700</t>
  </si>
  <si>
    <t>Mr LAKHANI ABDUL FATEMAMADBHAI</t>
  </si>
  <si>
    <t>GJ36F6749</t>
  </si>
  <si>
    <t>Mr RATHOD HIREN PRAVINBHAI</t>
  </si>
  <si>
    <t>GJ36H4943</t>
  </si>
  <si>
    <t>ACCESS</t>
  </si>
  <si>
    <t>Nakum Keshavji Mohan</t>
  </si>
  <si>
    <t xml:space="preserve"> 99793 58931</t>
  </si>
  <si>
    <t>SANTRO 1.1</t>
  </si>
  <si>
    <t>Abba Gakur Katiya</t>
  </si>
  <si>
    <t>98254 96011</t>
  </si>
  <si>
    <t>GJ01RB6345</t>
  </si>
  <si>
    <t>Kadari Mahamadfaruk Sikandarmiya</t>
  </si>
  <si>
    <t>MR MAHMADSAHIL ABDULRAHIM</t>
  </si>
  <si>
    <t>GJ12BF7777</t>
  </si>
  <si>
    <t>Fortuner</t>
  </si>
  <si>
    <t>Mr PATHAN ZUBERKHAN JAIBULHASAN</t>
  </si>
  <si>
    <t>GJ03FH3622</t>
  </si>
  <si>
    <t>Chauhan Firojbhai</t>
  </si>
  <si>
    <t>GJ01HW1154</t>
  </si>
  <si>
    <t xml:space="preserve">MR. NAYKA HARESHBHAI </t>
  </si>
  <si>
    <t>GJ21CB0225</t>
  </si>
  <si>
    <t>Endeavour</t>
  </si>
  <si>
    <t>Mr RATHOD RAMSIBHAI RANCHHODBHAI</t>
  </si>
  <si>
    <t>GJ03CA9507</t>
  </si>
  <si>
    <t>Maheshbhai Karshanbhai Bhimani</t>
  </si>
  <si>
    <t>GJ27AA7067</t>
  </si>
  <si>
    <t>KEDA MUSTAK ABDULBHAI</t>
  </si>
  <si>
    <t>96649 11038</t>
  </si>
  <si>
    <t>GJ10CG9012</t>
  </si>
  <si>
    <t xml:space="preserve">BUKHARI KADARMIYA ASRFMIYA </t>
  </si>
  <si>
    <t>GJ03CG9021</t>
  </si>
  <si>
    <t>Bavarva Jayantilal Devjibhai</t>
  </si>
  <si>
    <t>17-04-2026</t>
  </si>
  <si>
    <t>GJ03FD7792</t>
  </si>
  <si>
    <t>Ghetiya Digantbhai Bhagvanjibhai</t>
  </si>
  <si>
    <t>GJ03FK3990</t>
  </si>
  <si>
    <t>Bhogayata Nilesh Karabhai</t>
  </si>
  <si>
    <t xml:space="preserve"> 97731 12546</t>
  </si>
  <si>
    <t>19-04-2026</t>
  </si>
  <si>
    <t>GJ11S8140</t>
  </si>
  <si>
    <t>OMNI</t>
  </si>
  <si>
    <t>MR. ABDULKHA RASULKHA KHORAM</t>
  </si>
  <si>
    <t>GJ37C2284</t>
  </si>
  <si>
    <t>Mr. BUKHARISAIYED IQBAL RAJAK</t>
  </si>
  <si>
    <t xml:space="preserve"> 81288 46751</t>
  </si>
  <si>
    <t>GJ36AC8538</t>
  </si>
  <si>
    <t>Venue - Petrol</t>
  </si>
  <si>
    <t>Mr SANANDIYA GAUTAMBHAI SHIVLAL</t>
  </si>
  <si>
    <t>GJ36B9988</t>
  </si>
  <si>
    <t>MR. SETANIA KHENGARBHAI HANU</t>
  </si>
  <si>
    <t>91 63522 39236</t>
  </si>
  <si>
    <t>81282 12231</t>
  </si>
  <si>
    <t>GJ03FD4914</t>
  </si>
  <si>
    <t>MR. PADSUMBIYA MAHESHBHAI</t>
  </si>
  <si>
    <t>GJ03HR9143</t>
  </si>
  <si>
    <t>POLO</t>
  </si>
  <si>
    <t>MR. SANGHAVANI HUSHEN HEDAR</t>
  </si>
  <si>
    <t>GJ36P7950</t>
  </si>
  <si>
    <t>SPORT</t>
  </si>
  <si>
    <t>Parmar Rohitbhai Tikubhai</t>
  </si>
  <si>
    <t>76986 49447</t>
  </si>
  <si>
    <t>GJ10CM6503</t>
  </si>
  <si>
    <t>Chauhan Pragjibhai</t>
  </si>
  <si>
    <t>25-04-2026</t>
  </si>
  <si>
    <t>GJ11S9382</t>
  </si>
  <si>
    <t>RITZ</t>
  </si>
  <si>
    <t>GOPALBHAI JIVABHAI KERASIYA</t>
  </si>
  <si>
    <t>99789 20690</t>
  </si>
  <si>
    <t>GJ06DL7292</t>
  </si>
  <si>
    <t>Makvana Karimbhai Nasirbhai</t>
  </si>
  <si>
    <t>29-04-2026</t>
  </si>
  <si>
    <t>GJ03EF1714</t>
  </si>
  <si>
    <t>BULLET</t>
  </si>
  <si>
    <t>Sandhvani Parvez Savdin</t>
  </si>
  <si>
    <t>GJ36AF5747</t>
  </si>
  <si>
    <t>Surela Gangaram Navdhanbhai</t>
  </si>
  <si>
    <t>30-04-2026</t>
  </si>
  <si>
    <t>GJ36AL3760</t>
  </si>
  <si>
    <t>Jindani Karim Ibrahimbhai</t>
  </si>
  <si>
    <t>99256 44747</t>
  </si>
  <si>
    <t>GJ36AC8623</t>
  </si>
  <si>
    <t>New Safari</t>
  </si>
  <si>
    <t>Mr GANESHBHAI POPATBHAI KASUNDRA</t>
  </si>
  <si>
    <t>GJ36R9241</t>
  </si>
  <si>
    <t>ALTO</t>
  </si>
  <si>
    <t>Parasara Jahidhushen Rahimbhai</t>
  </si>
  <si>
    <t>GJ36AA7886</t>
  </si>
  <si>
    <t>GLAMOUR</t>
  </si>
  <si>
    <t>Faruk Ibrahim Jam</t>
  </si>
  <si>
    <t>GJ12CP9340</t>
  </si>
  <si>
    <t>D-Max</t>
  </si>
  <si>
    <t>Mr SANDHVANI PARVEZ SAVDIN</t>
  </si>
  <si>
    <t>GJ36D8864</t>
  </si>
  <si>
    <t>Jaydeep Prafulbhai Doshi</t>
  </si>
  <si>
    <t>GJ04AP2316</t>
  </si>
  <si>
    <t>ZEN ESTILO</t>
  </si>
  <si>
    <t>SUMARA SIKANDAR ISHABHAI</t>
  </si>
  <si>
    <t>GJ36M8527</t>
  </si>
  <si>
    <t>Ajmeri Jisan Rahimbhai</t>
  </si>
  <si>
    <t>GJ03JB9531</t>
  </si>
  <si>
    <t>Hargan Mahmud Abdulamjid</t>
  </si>
  <si>
    <t>GJ36F4901</t>
  </si>
  <si>
    <t>HYUNDAI GRAND I10</t>
  </si>
  <si>
    <t>DETROJA JAYDIP NARBHERAMBHAI</t>
  </si>
  <si>
    <t>Mahindra &amp; Mahindra,Bolero &amp; Camper Gold 2WD BS III</t>
  </si>
  <si>
    <t>KATIYA JAVEDBHAI SHABBIRBHAI</t>
  </si>
  <si>
    <t>GJ36AF1116</t>
  </si>
  <si>
    <t>TATA TIAGO XZ PLUS ICNG DUAL TONE</t>
  </si>
  <si>
    <t>Mr. JAVED SULEMANBHAI MULTANI</t>
  </si>
  <si>
    <t xml:space="preserve"> 93269 84542</t>
  </si>
  <si>
    <t>GJ10BA9041</t>
  </si>
  <si>
    <t>2w</t>
  </si>
  <si>
    <t>Niteshbhai Rameshbhai Vajar</t>
  </si>
  <si>
    <t>99792 86547‬</t>
  </si>
  <si>
    <t>13-05-2026</t>
  </si>
  <si>
    <t>GJ36F1574</t>
  </si>
  <si>
    <t>MARUTI SUZUKI S-CROSS ZETA 1.3</t>
  </si>
  <si>
    <t>MR NIMESHBHAI RAGHAVJIBHAI KAVAR</t>
  </si>
  <si>
    <t>GJ36AF4700</t>
  </si>
  <si>
    <t>Godhviya Alarakha Rahimbha</t>
  </si>
  <si>
    <t>84011 74982</t>
  </si>
  <si>
    <t>GJ12DG6694</t>
  </si>
  <si>
    <t>TIGOR</t>
  </si>
  <si>
    <t>MR. AKSHAY DHIRUBHAI VIRDA</t>
  </si>
  <si>
    <t>99138 26181</t>
  </si>
  <si>
    <t>14-05-2026</t>
  </si>
  <si>
    <t>GJ13CD4965</t>
  </si>
  <si>
    <t>SCORPIO CLASSIC/S11 MT BSV</t>
  </si>
  <si>
    <t>AVESHBHAI</t>
  </si>
  <si>
    <t>99983 32292</t>
  </si>
  <si>
    <t>GJ03HA6717</t>
  </si>
  <si>
    <t>ALTO 800</t>
  </si>
  <si>
    <t>Makvana Mansukhbhai Meghjibhai</t>
  </si>
  <si>
    <t>85116 60511</t>
  </si>
  <si>
    <t>76007 35505</t>
  </si>
  <si>
    <t>20-05-2026</t>
  </si>
  <si>
    <t>GJ03LB6282</t>
  </si>
  <si>
    <t>Juvariya Abdulbhai Ibrahimbhai</t>
  </si>
  <si>
    <t>96875 19091</t>
  </si>
  <si>
    <t xml:space="preserve"> 91735 99461</t>
  </si>
  <si>
    <t>GJ01RS3239</t>
  </si>
  <si>
    <t>JAZZ/1.5 V MT IDTEC</t>
  </si>
  <si>
    <t>AFZAL IMAMSHA KURESHI</t>
  </si>
  <si>
    <t>83475 81199</t>
  </si>
  <si>
    <t>GJ36B9457</t>
  </si>
  <si>
    <t>ERTIGA/SMART HYBRID VDI</t>
  </si>
  <si>
    <t>NAYNABEN ASHOKBHAI KHAKHAR</t>
  </si>
  <si>
    <t>98242 61768</t>
  </si>
  <si>
    <t>26/05/2026</t>
  </si>
  <si>
    <t>GJ36L0973</t>
  </si>
  <si>
    <t>MARUTI-MARUTI EECO 7 STR</t>
  </si>
  <si>
    <t>DEVESH KANABHAI RATHOD</t>
  </si>
  <si>
    <t xml:space="preserve"> 91042 89039</t>
  </si>
  <si>
    <t>The Oriental Insurance</t>
  </si>
  <si>
    <t>GJ03HB0092</t>
  </si>
  <si>
    <t>Ansari Bilal Parbatbhai</t>
  </si>
  <si>
    <t>GJ03CJ8629</t>
  </si>
  <si>
    <t>Oghadbhai Jemalbhai Karotra</t>
  </si>
  <si>
    <t>GJ03DP7288</t>
  </si>
  <si>
    <t>Payak Salimbhai Rahemanbhai</t>
  </si>
  <si>
    <t>Payak Jubiben Rahemanbhai</t>
  </si>
  <si>
    <t>26-05-2026</t>
  </si>
  <si>
    <t>GJ36K7480</t>
  </si>
  <si>
    <t>Gulam Haidarali Mohmad Umar</t>
  </si>
  <si>
    <t>GJ11BN9098</t>
  </si>
  <si>
    <t>Khavadia Rameshbhai Ranachhodbhai</t>
  </si>
  <si>
    <t>GJ03DQ8283</t>
  </si>
  <si>
    <t>PASSION PRO</t>
  </si>
  <si>
    <t>WAGON R</t>
  </si>
  <si>
    <t>Agham Aabid Daudbhai</t>
  </si>
  <si>
    <t>909993 39853</t>
  </si>
  <si>
    <t>GJ01KE3435</t>
  </si>
  <si>
    <t>Jethaloja Harshadbhai Rugnathbhai</t>
  </si>
  <si>
    <t>98798 18930</t>
  </si>
  <si>
    <t>GJ36L0910</t>
  </si>
  <si>
    <t>MARUTI SUZUKI S-CROSS SMART HYBRID ZETA</t>
  </si>
  <si>
    <t>MR RAFIKBHAI DALVANI</t>
  </si>
  <si>
    <t>99048 90790</t>
  </si>
  <si>
    <t xml:space="preserve">FUTURE </t>
  </si>
  <si>
    <t>GJ03FJ9549</t>
  </si>
  <si>
    <t>Moldiya Ghanshyambhai Badarbhai</t>
  </si>
  <si>
    <t xml:space="preserve">95866  49497 </t>
  </si>
  <si>
    <t>95743 85017</t>
  </si>
  <si>
    <t>28-05-2026</t>
  </si>
  <si>
    <t>GJ36P4359</t>
  </si>
  <si>
    <t>Ketan Nagjibhai Jivani</t>
  </si>
  <si>
    <t>30-05-2026</t>
  </si>
  <si>
    <t>GJ36L1880</t>
  </si>
  <si>
    <t>Samana Ikbalbhai Alarakha</t>
  </si>
  <si>
    <t>GJ36AC9028</t>
  </si>
  <si>
    <t>Mal Prakash Ramabhai</t>
  </si>
  <si>
    <t>GJ36L0678</t>
  </si>
  <si>
    <t>ENDEAVOUR-2.2L 4X2 TITANIUM PLUS AT</t>
  </si>
  <si>
    <t>MRS KAUSHARBEN IMRAN PAYAK</t>
  </si>
  <si>
    <t>GJ36AC7468</t>
  </si>
  <si>
    <t>MARUTI SUZUKI ALTO LXI CNG</t>
  </si>
  <si>
    <t>MR ABBAS VALIMAMAD SANDHAVANI</t>
  </si>
  <si>
    <t>79842 49281</t>
  </si>
  <si>
    <t>GJ01SW2477</t>
  </si>
  <si>
    <t>GJ36AJ1181</t>
  </si>
  <si>
    <t>CRETA 1.5 EX CRDI</t>
  </si>
  <si>
    <t>MAKSUD MAMDBHAI MOTLANI</t>
  </si>
  <si>
    <t>GJ36AJ3354</t>
  </si>
  <si>
    <t>HYUNDAI AURA SX 1.2 CNG</t>
  </si>
  <si>
    <t>Multani Javed Sulemanbhai</t>
  </si>
  <si>
    <t>30/05/2026</t>
  </si>
  <si>
    <t xml:space="preserve">ZUNO </t>
  </si>
  <si>
    <t>GJ36N1228</t>
  </si>
  <si>
    <t>HONDA CB SHINE SP DRUM CBS BS</t>
  </si>
  <si>
    <t>Piludiya Sohilbhai Sidikbhai</t>
  </si>
  <si>
    <t>GJ12BF8763</t>
  </si>
  <si>
    <t>MAHINDR A &amp; MAHINDR A BOLERO CAMPER PS 2WD</t>
  </si>
  <si>
    <t>GJ36AL3989</t>
  </si>
  <si>
    <t>Mr. BILAL PARBATBHAI ANSARI</t>
  </si>
  <si>
    <t>99252 99710</t>
  </si>
  <si>
    <t>79845 06120</t>
  </si>
  <si>
    <t>GJ36N1525</t>
  </si>
  <si>
    <t xml:space="preserve">2W </t>
  </si>
  <si>
    <t>SPLENDOR I SMART</t>
  </si>
  <si>
    <t>Babariya Bhurendra Dilipbhai</t>
  </si>
  <si>
    <t>GJ03FR6242</t>
  </si>
  <si>
    <t>Mr. THEBA HANIF MUSABHAI</t>
  </si>
  <si>
    <t>98254 84598</t>
  </si>
  <si>
    <t>GJ36AL3193</t>
  </si>
  <si>
    <t>TRIBER/RXL BSVI</t>
  </si>
  <si>
    <t>RAJESH BODA</t>
  </si>
  <si>
    <t xml:space="preserve">GO DIGIT </t>
  </si>
  <si>
    <t>GJ36F6417</t>
  </si>
  <si>
    <t>MARUTI SUZUKI EECO TOUR V 5 SEATER AC CNG</t>
  </si>
  <si>
    <t>Mr. VISHALBHAI RAJUBHAI RATHOD</t>
  </si>
  <si>
    <t>GJ36R1549</t>
  </si>
  <si>
    <t xml:space="preserve"> MARUTI ALTO</t>
  </si>
  <si>
    <t>Riyaz Nurudin Katiya</t>
  </si>
  <si>
    <t>98254 17664</t>
  </si>
  <si>
    <t>GJ09AG5613</t>
  </si>
  <si>
    <t xml:space="preserve">MARUTI EECO </t>
  </si>
  <si>
    <t>Rafai Sultan Jumabhai</t>
  </si>
  <si>
    <t>GJ36AC9645</t>
  </si>
  <si>
    <t xml:space="preserve">MARUTI SUZUKI EECO  </t>
  </si>
  <si>
    <t xml:space="preserve">MR. MANSUKHBHAI BABUBHAI PANARA </t>
  </si>
  <si>
    <t xml:space="preserve">NATIONAL </t>
  </si>
  <si>
    <t>GJ13DD2847</t>
  </si>
  <si>
    <t>BAJAJ DISCOVER DTS-Si KICK STAR</t>
  </si>
  <si>
    <t>Thakor Rahulbhai Becharbhai</t>
  </si>
  <si>
    <t>GJ03HJ5267</t>
  </si>
  <si>
    <t>HERO MOTOCORP PASSION XPRO</t>
  </si>
  <si>
    <t>Sherasiya Kirit Harilal</t>
  </si>
  <si>
    <t>92655 78455‬</t>
  </si>
  <si>
    <t>GJ01RX9879</t>
  </si>
  <si>
    <t>VOLKSWAGEN POLO</t>
  </si>
  <si>
    <t>Jethloja Bipinbhai Bhanjibhai</t>
  </si>
  <si>
    <t>GJ36B5062</t>
  </si>
  <si>
    <t xml:space="preserve">HYUNDAI 120 ASTA 1.4 CRDI </t>
  </si>
  <si>
    <t xml:space="preserve">MR.JAYANTILAL MULJIBHAI CHHATROLA </t>
  </si>
  <si>
    <t>GJ03EC2748</t>
  </si>
  <si>
    <t xml:space="preserve">CHEVROLETTAVERA LS B3 10 STR BS III </t>
  </si>
  <si>
    <t xml:space="preserve">MR. KANZARIYA MAVJI KANJIBHAI </t>
  </si>
  <si>
    <t>GJ03EH0248</t>
  </si>
  <si>
    <t>Parmar Juberbhai Hanifbhai</t>
  </si>
  <si>
    <t>GJ13QQ4302</t>
  </si>
  <si>
    <t>Multani Ikbalbhai Isubbhai</t>
  </si>
  <si>
    <t>GJ36AB7867</t>
  </si>
  <si>
    <t>YAMAHA YZF R15  V3 ABS BS V</t>
  </si>
  <si>
    <t>Sandhvani Mosin Hasambhai</t>
  </si>
  <si>
    <t>GJ36K2525</t>
  </si>
  <si>
    <t>HONDA CB SHINE</t>
  </si>
  <si>
    <t>Pathan Mujibkhan Mazarmahamad</t>
  </si>
  <si>
    <t>GJ03FL1103</t>
  </si>
  <si>
    <t>HERO MOTOCORP PLEASURE LIMITED EDITION</t>
  </si>
  <si>
    <t>Hadiyal Rohitbhai Dayabhai</t>
  </si>
  <si>
    <t>GJ03HG9292</t>
  </si>
  <si>
    <t>ROYAL ENFIELD CLASSIC 350</t>
  </si>
  <si>
    <t>Sevangia Asif Alarkhabhai</t>
  </si>
  <si>
    <t>GJ27AN9060</t>
  </si>
  <si>
    <t>Mr. ANSARI JAMILAHEMAD</t>
  </si>
  <si>
    <t>15/06/2026</t>
  </si>
  <si>
    <t>GJ36AC0474</t>
  </si>
  <si>
    <t>Mr. JITENDRA MAGANBHAI MAKWANA</t>
  </si>
  <si>
    <t>81550 57980</t>
  </si>
  <si>
    <t>AA BAKI CHE NEXT HISAB MA LEVANI</t>
  </si>
  <si>
    <t>12-1805-0007397308-00</t>
  </si>
  <si>
    <t>MARUTI SWIFT 1.2L VXI ISS</t>
  </si>
  <si>
    <t>Jakasaniya Harshad Chandulal</t>
  </si>
  <si>
    <t>17-06-2026</t>
  </si>
  <si>
    <t xml:space="preserve">YES </t>
  </si>
  <si>
    <t xml:space="preserve">cover-ok </t>
  </si>
  <si>
    <t>MORBI SHERI JETPAR RAJKOT , JETPAR M RAJKOT 363630 GUJARA</t>
  </si>
  <si>
    <t>LIKHYIA ANAND POPATBHAI</t>
  </si>
  <si>
    <t>GJ36W1114</t>
  </si>
  <si>
    <t>ARVINDBHAI NARAYANBHAI KANZARIYA</t>
  </si>
  <si>
    <t>Asif Rajakbhai Chauhan</t>
  </si>
  <si>
    <t>GJ36V5947</t>
  </si>
  <si>
    <t>ACE GOLD - CNG BSVI</t>
  </si>
  <si>
    <t>MANTHANBHAI YOGESHBHAI KUBAVAT</t>
  </si>
  <si>
    <t>MR. HUSENBHAI VALIMAHMAD MOVAR</t>
  </si>
  <si>
    <t>Devabhai Raymal Muriyana</t>
  </si>
  <si>
    <t>LPT 2512</t>
  </si>
  <si>
    <t>Yashinbhai Ikbalbhai Dal</t>
  </si>
  <si>
    <t>GJ03BW8104</t>
  </si>
  <si>
    <t>CHOTHA VIRAJIBHAI PARAJIYA</t>
  </si>
  <si>
    <t>GJ03BT1943</t>
  </si>
  <si>
    <t>MAHINDRA BOLERO &amp; MAXI TRUCK</t>
  </si>
  <si>
    <t>M/S VINAYAK CORPORATION</t>
  </si>
  <si>
    <t>GJ36U7393</t>
  </si>
  <si>
    <t>MR. SHAHMADAR ASLAMSHA AKBARSHA .</t>
  </si>
  <si>
    <t>GJ36S3202</t>
  </si>
  <si>
    <t>ZALA SURENDRASINH KESHUBHA</t>
  </si>
  <si>
    <t>GJ03BX9628</t>
  </si>
  <si>
    <t>MR. JOGADIYA KACHRABHAI CHATURBHAI .</t>
  </si>
  <si>
    <t>GJ36W4786</t>
  </si>
  <si>
    <t>MR. HANIFBHAI MAHMADBHAI PADHIYAR</t>
  </si>
  <si>
    <t>GJ03Z7264</t>
  </si>
  <si>
    <t>Dharajiya Nagjibhai Kalabhai</t>
  </si>
  <si>
    <t>NILESHBHAI SHANKHESARIYA</t>
  </si>
  <si>
    <t>Bajaj Auto Limited,Maxima-Cargo CNG</t>
  </si>
  <si>
    <t>GIRISHBHAI GOVINDBHAIJADAV</t>
  </si>
  <si>
    <t>IMRANBHAI HUSENBHAIMANDAKIYA</t>
  </si>
  <si>
    <t>GJ36W1036</t>
  </si>
  <si>
    <t>RAFIK MINIWADIYA  YUNUSHBHAI</t>
  </si>
  <si>
    <t>GJ36U9156</t>
  </si>
  <si>
    <t>MR. SUMRA IQBAL  JIVABHAI</t>
  </si>
  <si>
    <t>GJ36U9106</t>
  </si>
  <si>
    <t>MOTIBHAI PARSADIYA</t>
  </si>
  <si>
    <t>MAHINDRA AND MAHINDRA - BOLERO MAXI TRUCK PLUS 1.2T PS</t>
  </si>
  <si>
    <t>DELVANIYA RAMSIBHAI</t>
  </si>
  <si>
    <t>GJ36U0125</t>
  </si>
  <si>
    <t>GJ36V0396</t>
  </si>
  <si>
    <t>PARMAR VIKRAM LIMBABHAI</t>
  </si>
  <si>
    <t>HADIYAL HASMUKHBHAI AMARSHIBHAI</t>
  </si>
  <si>
    <t>GJ36W9111</t>
  </si>
  <si>
    <t>BHARATIBEN BHARVAD</t>
  </si>
  <si>
    <t>BAJAJ AUTO - RE 205 D</t>
  </si>
  <si>
    <t>MRS. CHANIYA ALARAKHABHAI KHAMISHABHAI</t>
  </si>
  <si>
    <t>GJ36W1428</t>
  </si>
  <si>
    <t>RAMESH SADHARIYA</t>
  </si>
  <si>
    <t>GJ01BV2243</t>
  </si>
  <si>
    <t>Sonagra Bhagvanbhai</t>
  </si>
  <si>
    <t>GJ36U6599</t>
  </si>
  <si>
    <t>CHAVDA DHARMENDRA CHANDULAL</t>
  </si>
  <si>
    <t>BOLERO - PIKUP FB 1.7T  PS XL  CBC BSVI</t>
  </si>
  <si>
    <t>MR. RAMESHKUMAR JAGMALBHAI DHORALIYA</t>
  </si>
  <si>
    <t>GJ36W7086</t>
  </si>
  <si>
    <t>PATHAN MUBARAKKHAN RASIDKHAN</t>
  </si>
  <si>
    <t>ARVIND RANCHHODBHAI CHHIPARIYA</t>
  </si>
  <si>
    <t>GJ36T3528</t>
  </si>
  <si>
    <t>BOLERO PICK-UP FB</t>
  </si>
  <si>
    <t>GANESHBHAI RANCHODBHAI GARACHAR</t>
  </si>
  <si>
    <t>r ADHROJIA VELJIBHAI AVCHARBHAI</t>
  </si>
  <si>
    <t>GJ36W0993</t>
  </si>
  <si>
    <t>MR. ABDULKADAR HAIDARMIYA KADARI</t>
  </si>
  <si>
    <t>GJ36V5806</t>
  </si>
  <si>
    <t>VADAVIYA MOHAMADSEHABAN HUSEN</t>
  </si>
  <si>
    <t>GJ36V0640</t>
  </si>
  <si>
    <t>MS AMUL FURNITURE</t>
  </si>
  <si>
    <t>GJ36U9189</t>
  </si>
  <si>
    <t>ATUL AUTO - RIK 3P 200 BI FUEL BS 6</t>
  </si>
  <si>
    <t>MR. KHIMANIYA BHARATBHAI KHENGARBHAI</t>
  </si>
  <si>
    <t>GJ36U9530</t>
  </si>
  <si>
    <t>VADAVIYA SIRAJ MAMADBHAI</t>
  </si>
  <si>
    <t>MAHEBUBBHAI HUSENBHAI SUMRA</t>
  </si>
  <si>
    <t xml:space="preserve"> GOPALBHAI CHHELABHAI MANGULA</t>
  </si>
  <si>
    <t>MR. CHANDULALO AMRSIBHAI BHOJVYA</t>
  </si>
  <si>
    <t>VIJAYKUMAR BHANABHAI BAMBHAVA</t>
  </si>
  <si>
    <t>GJ03BW6819</t>
  </si>
  <si>
    <t>MAHINDRA/BOLERO/MAXI TRUCK PLUS CBC 1.2T PS BS4/CLOSED/PICK UP VAN</t>
  </si>
  <si>
    <t>JITUBHAI VALJIBHAI DHADVI</t>
  </si>
  <si>
    <t>GJ36V5701</t>
  </si>
  <si>
    <t>TATA MOTORS - TITANIUM WH</t>
  </si>
  <si>
    <t>SHREE RAM GRUH UDHYOG</t>
  </si>
  <si>
    <t>GJ36V5673</t>
  </si>
  <si>
    <t>MAHINDRA AND MAHINDRA - BOLERO B6 O BS 6</t>
  </si>
  <si>
    <t>MR. HITENDRASINH BHOJUBHA ZALA</t>
  </si>
  <si>
    <t>MR. RAHULBHAI ASHVINBHAI KOTECHA</t>
  </si>
  <si>
    <t>TATA ACE &amp; ZIP</t>
  </si>
  <si>
    <t>GJ36V5324</t>
  </si>
  <si>
    <t xml:space="preserve"> BOHKIYA BHUPAT BHAGVANBHAI</t>
  </si>
  <si>
    <t>ADHROJIYA SANJAYAVACHARBHAI</t>
  </si>
  <si>
    <t>GJ36T6418</t>
  </si>
  <si>
    <t>ASHOK LEYLAND - DOST RLS BS 3</t>
  </si>
  <si>
    <t>UTTAMBHAI KISHORBHAI GONDALIYA</t>
  </si>
  <si>
    <t>GJ36V6618</t>
  </si>
  <si>
    <t>LORIA DILIP RAGHAVJIBHAI</t>
  </si>
  <si>
    <t>GJ01FT7441</t>
  </si>
  <si>
    <t>MARUTI SUZUKI - DZIRE S TOUR</t>
  </si>
  <si>
    <t>MAKVANA MEHULKUMAR</t>
  </si>
  <si>
    <t>GJ14X0021</t>
  </si>
  <si>
    <t>MAHINDRA/BOLERO/PICK UP FB 2WD BS3/OPEN/PICK UP VAN</t>
  </si>
  <si>
    <t>SINDHAV RAVIKUMAR POPATBHA</t>
  </si>
  <si>
    <t>GJ35T0212</t>
  </si>
  <si>
    <t>MR. JADAV HASMUKH CHAKUBHAI</t>
  </si>
  <si>
    <t>GJ36W1537</t>
  </si>
  <si>
    <t>MR. MANOJPARI GHANSHYAMPARI GOSAI</t>
  </si>
  <si>
    <t>GJ36V5893</t>
  </si>
  <si>
    <t>MR. GHANCHI ASPAK ABBASBHAI</t>
  </si>
  <si>
    <t>MAHINDRA/BOLERO CAMPER/GOLD VX/OPEN/PICK UP VAN</t>
  </si>
  <si>
    <t>KANJIBHAI BHANJIBHAI KANZARIYA</t>
  </si>
  <si>
    <t>Bajaj Auto Limited GC Max</t>
  </si>
  <si>
    <t>SOYAB MAHMADBHAI CHANIYA</t>
  </si>
  <si>
    <t>GJ36V3246</t>
  </si>
  <si>
    <t>BOLERO - PIKUP FB 1.7T PS XL HSD BSVI</t>
  </si>
  <si>
    <t>DELVANIYA MANSUKH BABUBHA</t>
  </si>
  <si>
    <t>GJ36W1221</t>
  </si>
  <si>
    <t>BAJAJ AUTO - MAXIMA C</t>
  </si>
  <si>
    <t>PANAKA ADAM HUSHENBHAI .</t>
  </si>
  <si>
    <t>GJ36U1241</t>
  </si>
  <si>
    <t>MR. PILUDIYA MUSTAKBHAI HUSENBHAI</t>
  </si>
  <si>
    <t>GJ36U1787</t>
  </si>
  <si>
    <t>BAJAJ AUTO - RE 145</t>
  </si>
  <si>
    <t>GOVINDBHAI PANCHABHAI PARMAR</t>
  </si>
  <si>
    <t>GJ36U7982</t>
  </si>
  <si>
    <t>MR. RAVA MAHESHBHAI BHALABHA</t>
  </si>
  <si>
    <t>GJ36W8182</t>
  </si>
  <si>
    <t>MR. HADGARDA NARESHBHAI GANDUBHAI</t>
  </si>
  <si>
    <t>GJ36U9343</t>
  </si>
  <si>
    <t>BAJAJ AUTO - RE MAX Z CNG BS 6</t>
  </si>
  <si>
    <t>MR. AJAY RAVJIBHAI BARAIYA .</t>
  </si>
  <si>
    <t>GJ36U5710</t>
  </si>
  <si>
    <t>MAHESH N GANGIYA</t>
  </si>
  <si>
    <t>GJ36W1450</t>
  </si>
  <si>
    <t>MR. AMBALIYA JETHABHAI GOVINDBHAI</t>
  </si>
  <si>
    <t>GJ36W4440</t>
  </si>
  <si>
    <t>MR. MERU FANGALIYA DEVABHAI .</t>
  </si>
  <si>
    <t>GJ36V3037</t>
  </si>
  <si>
    <t>INTRA V30 - LX BSVI</t>
  </si>
  <si>
    <t>MATHAKIYA BASIR FATEH</t>
  </si>
  <si>
    <t>GJ36U9339</t>
  </si>
  <si>
    <t>JAPDA GAUTAM HAKABHAI .</t>
  </si>
  <si>
    <t>DALVADI KALPESH VIRAJIBHAI .</t>
  </si>
  <si>
    <t>CHANDUBHAI RAMSURBHAI SINDHAV</t>
  </si>
  <si>
    <t>MAHINDRA AND MAHINDRA - BOLERO PICK UP 4WD BS6</t>
  </si>
  <si>
    <t>BHUMBHARIYA PRAVINBHAI PANCHABHAI</t>
  </si>
  <si>
    <t>GJ03AX6786</t>
  </si>
  <si>
    <t>GINGORA VIJAYKUMAR NATHABHAI</t>
  </si>
  <si>
    <t>GJ36W0318</t>
  </si>
  <si>
    <t>JAHID HUSENBHAI KURESHI</t>
  </si>
  <si>
    <t>MAHINDRA/BOLERO/MAXI TRUCK PLUS 2WD MDI/OPEN/PICK UP VAN</t>
  </si>
  <si>
    <t>KESHUBHAI LALJIBHAI DHANDHUKIYA</t>
  </si>
  <si>
    <t>GJ36W0163</t>
  </si>
  <si>
    <t>BAJAJ AUTO - RE MAXIMA</t>
  </si>
  <si>
    <t>MR. KALUBHAI MUCCHDIYA RAMJIBHAI</t>
  </si>
  <si>
    <t>GJ36W1075</t>
  </si>
  <si>
    <t>ATUL GEMI PAXX BSVI</t>
  </si>
  <si>
    <t>ABHIJEET MADHUAUDAM BHATT</t>
  </si>
  <si>
    <t>GJ36W0711</t>
  </si>
  <si>
    <t>MR. VINOD KANJIBHAI AGEVADIYA</t>
  </si>
  <si>
    <t>GJ03Z7422</t>
  </si>
  <si>
    <t>Mahesh Kanji Koli</t>
  </si>
  <si>
    <t>22-12-2025</t>
  </si>
  <si>
    <t>GJ36U7669</t>
  </si>
  <si>
    <t>ASHISH DHIRAJLAL KATHRANI</t>
  </si>
  <si>
    <t>GJ36W1474</t>
  </si>
  <si>
    <t>MUNDHAVA DEVABHAI MOTIBHAI</t>
  </si>
  <si>
    <t>MARUTI SUZUKI EECO &amp; CARGO PETROL</t>
  </si>
  <si>
    <t>KOTECHA RAHUL ASHWINBHAI</t>
  </si>
  <si>
    <t>VISHAL LAMBARIYA</t>
  </si>
  <si>
    <t>GJ11Y5517</t>
  </si>
  <si>
    <t>TATA LPT 909</t>
  </si>
  <si>
    <t>GHETIYA SHANTILAL</t>
  </si>
  <si>
    <t>GJ36X1415</t>
  </si>
  <si>
    <t>LAMBARIYA VIRAM</t>
  </si>
  <si>
    <t>GANATRA RAHUL</t>
  </si>
  <si>
    <t>GJ36V5787</t>
  </si>
  <si>
    <t>GADHAVALA NAZARUDDIN VALIMAMAD</t>
  </si>
  <si>
    <t>MAHINDRA/BOLERO/MAXI TRUCK 2WD/OPEN/PICK UP VAN</t>
  </si>
  <si>
    <t>RAJANIKANTBHAI JAGDISH GHODASARA</t>
  </si>
  <si>
    <t>PAYMENT RECEIVED</t>
  </si>
  <si>
    <t>31-12</t>
  </si>
  <si>
    <t>27-12</t>
  </si>
  <si>
    <t>26-12</t>
  </si>
  <si>
    <t>21-12</t>
  </si>
  <si>
    <t>19-12</t>
  </si>
  <si>
    <t>18-12</t>
  </si>
  <si>
    <t>TOTAL RECEIVED</t>
  </si>
  <si>
    <t>PAYMENT BAKI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</si>
</sst>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/dd/yyyy"/>
    <numFmt numFmtId="165" formatCode="m/d/yyyy"/>
    <numFmt numFmtId="166" formatCode="0.00000"/>
    <numFmt numFmtId="167" formatCode="mm-dd-yyyy"/>
    <numFmt numFmtId="168" formatCode="mm/dd/yy"/>
    <numFmt numFmtId="169" formatCode="m-d-yyyy"/>
    <numFmt numFmtId="170" formatCode="m-d"/>
    <numFmt numFmtId="171" formatCode="mmm yyyy"/>
    <numFmt numFmtId="172" formatCode="mmmm yyyy"/>
    <numFmt numFmtId="173" formatCode="dd-mmm-yyyy"/>
  </numFmts>
  <fonts count="39">
    <font>
      <sz val="12.0"/>
      <color theme="1"/>
      <name val="Calibri"/>
      <scheme val="minor"/>
    </font>
    <font>
      <b/>
      <sz val="14.0"/>
      <color rgb="FF351C75"/>
      <name val="Arial"/>
    </font>
    <font>
      <color theme="1"/>
      <name val="Calibri"/>
      <scheme val="minor"/>
    </font>
    <font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5.0"/>
      <color theme="1"/>
      <name val="Calibri"/>
      <scheme val="minor"/>
    </font>
    <font/>
    <font>
      <b/>
      <color theme="1"/>
      <name val="Arial"/>
    </font>
    <font>
      <sz val="11.0"/>
      <color theme="1"/>
      <name val="Arial"/>
    </font>
    <font>
      <sz val="12.0"/>
      <color rgb="FF000000"/>
      <name val="Arial"/>
    </font>
    <font>
      <sz val="11.0"/>
      <color rgb="FF000000"/>
      <name val="Arial"/>
    </font>
    <font>
      <sz val="12.0"/>
      <color rgb="FF000000"/>
      <name val="Calibri"/>
    </font>
    <font>
      <sz val="14.0"/>
      <color theme="1"/>
      <name val="Arial"/>
    </font>
    <font>
      <sz val="11.0"/>
      <color rgb="FF000000"/>
      <name val="Calibri"/>
    </font>
    <font>
      <b/>
      <sz val="14.0"/>
      <color theme="1"/>
      <name val="Arial"/>
    </font>
    <font>
      <b/>
      <sz val="17.0"/>
      <color theme="1"/>
      <name val="Calibri"/>
      <scheme val="minor"/>
    </font>
    <font>
      <b/>
      <sz val="16.0"/>
      <color theme="1"/>
      <name val="Calibri"/>
      <scheme val="minor"/>
    </font>
    <font>
      <b/>
      <sz val="18.0"/>
      <color rgb="FF000000"/>
      <name val="Calibri"/>
    </font>
    <font>
      <b/>
      <sz val="18.0"/>
      <color theme="1"/>
      <name val="Calibri"/>
    </font>
    <font>
      <sz val="20.0"/>
      <color rgb="FF000000"/>
      <name val="Calibri"/>
    </font>
    <font>
      <sz val="12.0"/>
      <color rgb="FFFF0000"/>
      <name val="Calibri"/>
    </font>
    <font>
      <color rgb="FFFF0000"/>
      <name val="Calibri"/>
      <scheme val="minor"/>
    </font>
    <font>
      <b/>
      <sz val="18.0"/>
      <color theme="1"/>
      <name val="Calibri"/>
      <scheme val="minor"/>
    </font>
    <font>
      <sz val="13.0"/>
      <color theme="1"/>
      <name val="Calibri"/>
      <scheme val="minor"/>
    </font>
    <font>
      <b/>
      <sz val="16.0"/>
      <color theme="1"/>
      <name val="Arial"/>
    </font>
    <font>
      <b/>
      <sz val="27.0"/>
      <color rgb="FF351C75"/>
      <name val="Arial"/>
    </font>
    <font>
      <b/>
      <sz val="24.0"/>
      <color theme="1"/>
      <name val="Calibri"/>
      <scheme val="minor"/>
    </font>
    <font>
      <b/>
      <sz val="20.0"/>
      <color theme="1"/>
      <name val="Calibri"/>
      <scheme val="minor"/>
    </font>
    <font>
      <b/>
      <sz val="32.0"/>
      <color theme="1"/>
      <name val="Calibri"/>
      <scheme val="minor"/>
    </font>
    <font>
      <b/>
      <sz val="21.0"/>
      <color theme="1"/>
      <name val="Calibri"/>
      <scheme val="minor"/>
    </font>
    <font>
      <b/>
      <sz val="26.0"/>
      <color theme="1"/>
      <name val="Calibri"/>
      <scheme val="minor"/>
    </font>
    <font>
      <b/>
      <sz val="28.0"/>
      <color theme="1"/>
      <name val="Calibri"/>
      <scheme val="minor"/>
    </font>
    <font>
      <sz val="11.0"/>
      <color theme="1"/>
      <name val="Calibri"/>
      <scheme val="minor"/>
    </font>
    <font>
      <color rgb="FF263238"/>
      <name val="Arial"/>
    </font>
    <font>
      <sz val="9.0"/>
      <color theme="1"/>
      <name val="Arial"/>
    </font>
    <font>
      <b/>
      <sz val="23.0"/>
      <color theme="1"/>
      <name val="Arial"/>
    </font>
    <font>
      <color rgb="FFFFFFFF"/>
      <name val="Arial"/>
    </font>
    <font>
      <b/>
      <sz val="16.0"/>
      <color rgb="FFFF0000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rgb="FFFF9900"/>
        <bgColor rgb="FFFF9900"/>
      </patternFill>
    </fill>
    <fill>
      <patternFill patternType="solid">
        <fgColor rgb="FFEA4335"/>
        <bgColor rgb="FFEA4335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9BC2E6"/>
        <bgColor rgb="FF9BC2E6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F8F8F8"/>
        <bgColor rgb="FFF8F8F8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1" fillId="3" fontId="3" numFmtId="0" xfId="0" applyAlignment="1" applyBorder="1" applyFill="1" applyFont="1">
      <alignment horizontal="center" vertical="bottom"/>
    </xf>
    <xf borderId="1" fillId="0" fontId="3" numFmtId="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right" vertical="bottom"/>
    </xf>
    <xf borderId="1" fillId="4" fontId="3" numFmtId="0" xfId="0" applyAlignment="1" applyBorder="1" applyFill="1" applyFon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3" numFmtId="3" xfId="0" applyAlignment="1" applyBorder="1" applyFont="1" applyNumberFormat="1">
      <alignment horizontal="center" vertical="bottom"/>
    </xf>
    <xf borderId="1" fillId="3" fontId="3" numFmtId="4" xfId="0" applyAlignment="1" applyBorder="1" applyFont="1" applyNumberFormat="1">
      <alignment horizontal="center" vertical="bottom"/>
    </xf>
    <xf borderId="1" fillId="4" fontId="3" numFmtId="164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1" fillId="5" fontId="4" numFmtId="164" xfId="0" applyAlignment="1" applyBorder="1" applyFill="1" applyFont="1" applyNumberFormat="1">
      <alignment horizontal="center" vertical="bottom"/>
    </xf>
    <xf borderId="1" fillId="5" fontId="4" numFmtId="0" xfId="0" applyAlignment="1" applyBorder="1" applyFont="1">
      <alignment vertical="bottom"/>
    </xf>
    <xf borderId="1" fillId="5" fontId="4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shrinkToFit="0" vertical="bottom" wrapText="1"/>
    </xf>
    <xf borderId="1" fillId="5" fontId="4" numFmtId="4" xfId="0" applyAlignment="1" applyBorder="1" applyFont="1" applyNumberFormat="1">
      <alignment horizontal="center" vertical="bottom"/>
    </xf>
    <xf borderId="1" fillId="5" fontId="5" numFmtId="0" xfId="0" applyAlignment="1" applyBorder="1" applyFont="1">
      <alignment vertical="bottom"/>
    </xf>
    <xf borderId="1" fillId="5" fontId="4" numFmtId="3" xfId="0" applyAlignment="1" applyBorder="1" applyFont="1" applyNumberFormat="1">
      <alignment horizontal="center" vertical="bottom"/>
    </xf>
    <xf borderId="1" fillId="5" fontId="4" numFmtId="0" xfId="0" applyAlignment="1" applyBorder="1" applyFont="1">
      <alignment horizontal="right" vertical="bottom"/>
    </xf>
    <xf borderId="1" fillId="0" fontId="2" numFmtId="0" xfId="0" applyBorder="1" applyFont="1"/>
    <xf borderId="1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vertical="bottom"/>
    </xf>
    <xf borderId="1" fillId="3" fontId="1" numFmtId="0" xfId="0" applyAlignment="1" applyBorder="1" applyFont="1">
      <alignment horizontal="center" shrinkToFit="0" vertical="bottom" wrapText="1"/>
    </xf>
    <xf borderId="1" fillId="3" fontId="4" numFmtId="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readingOrder="0"/>
    </xf>
    <xf borderId="1" fillId="3" fontId="4" numFmtId="0" xfId="0" applyAlignment="1" applyBorder="1" applyFont="1">
      <alignment horizontal="right" vertical="bottom"/>
    </xf>
    <xf borderId="0" fillId="3" fontId="2" numFmtId="0" xfId="0" applyAlignment="1" applyFont="1">
      <alignment readingOrder="0"/>
    </xf>
    <xf borderId="0" fillId="3" fontId="2" numFmtId="0" xfId="0" applyFont="1"/>
    <xf borderId="1" fillId="3" fontId="4" numFmtId="164" xfId="0" applyAlignment="1" applyBorder="1" applyFont="1" applyNumberFormat="1">
      <alignment horizontal="center" vertical="bottom"/>
    </xf>
    <xf borderId="2" fillId="0" fontId="6" numFmtId="0" xfId="0" applyAlignment="1" applyBorder="1" applyFont="1">
      <alignment readingOrder="0"/>
    </xf>
    <xf borderId="3" fillId="0" fontId="7" numFmtId="0" xfId="0" applyBorder="1" applyFont="1"/>
    <xf borderId="1" fillId="6" fontId="3" numFmtId="0" xfId="0" applyAlignment="1" applyBorder="1" applyFill="1" applyFont="1">
      <alignment horizontal="center" vertical="bottom"/>
    </xf>
    <xf borderId="1" fillId="6" fontId="3" numFmtId="0" xfId="0" applyAlignment="1" applyBorder="1" applyFont="1">
      <alignment vertical="bottom"/>
    </xf>
    <xf borderId="1" fillId="6" fontId="3" numFmtId="3" xfId="0" applyAlignment="1" applyBorder="1" applyFont="1" applyNumberFormat="1">
      <alignment horizontal="center" vertical="bottom"/>
    </xf>
    <xf borderId="1" fillId="6" fontId="1" numFmtId="0" xfId="0" applyAlignment="1" applyBorder="1" applyFont="1">
      <alignment horizontal="center" readingOrder="0" shrinkToFit="0" vertical="bottom" wrapText="1"/>
    </xf>
    <xf borderId="1" fillId="6" fontId="3" numFmtId="4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readingOrder="0"/>
    </xf>
    <xf borderId="1" fillId="6" fontId="4" numFmtId="0" xfId="0" applyAlignment="1" applyBorder="1" applyFont="1">
      <alignment horizontal="right" vertical="bottom"/>
    </xf>
    <xf borderId="0" fillId="6" fontId="2" numFmtId="0" xfId="0" applyFont="1"/>
    <xf borderId="1" fillId="6" fontId="1" numFmtId="0" xfId="0" applyAlignment="1" applyBorder="1" applyFont="1">
      <alignment horizontal="center" shrinkToFit="0" vertical="bottom" wrapText="1"/>
    </xf>
    <xf borderId="1" fillId="6" fontId="4" numFmtId="0" xfId="0" applyAlignment="1" applyBorder="1" applyFont="1">
      <alignment horizontal="center" vertical="bottom"/>
    </xf>
    <xf borderId="1" fillId="6" fontId="4" numFmtId="0" xfId="0" applyAlignment="1" applyBorder="1" applyFont="1">
      <alignment vertical="bottom"/>
    </xf>
    <xf borderId="0" fillId="6" fontId="2" numFmtId="0" xfId="0" applyAlignment="1" applyFont="1">
      <alignment readingOrder="0"/>
    </xf>
    <xf borderId="1" fillId="6" fontId="3" numFmtId="165" xfId="0" applyAlignment="1" applyBorder="1" applyFont="1" applyNumberFormat="1">
      <alignment horizontal="center" vertical="bottom"/>
    </xf>
    <xf borderId="1" fillId="6" fontId="3" numFmtId="164" xfId="0" applyAlignment="1" applyBorder="1" applyFont="1" applyNumberFormat="1">
      <alignment horizontal="center" vertical="bottom"/>
    </xf>
    <xf borderId="1" fillId="6" fontId="4" numFmtId="4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2" fillId="0" fontId="8" numFmtId="0" xfId="0" applyAlignment="1" applyBorder="1" applyFon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horizontal="center" vertical="bottom"/>
    </xf>
    <xf borderId="1" fillId="5" fontId="3" numFmtId="3" xfId="0" applyAlignment="1" applyBorder="1" applyFont="1" applyNumberFormat="1">
      <alignment horizontal="center" vertical="bottom"/>
    </xf>
    <xf borderId="0" fillId="5" fontId="2" numFmtId="0" xfId="0" applyAlignment="1" applyFont="1">
      <alignment readingOrder="0"/>
    </xf>
    <xf borderId="1" fillId="5" fontId="3" numFmtId="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readingOrder="0"/>
    </xf>
    <xf borderId="0" fillId="0" fontId="3" numFmtId="4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5" fontId="3" numFmtId="4" xfId="0" applyAlignment="1" applyFont="1" applyNumberFormat="1">
      <alignment horizontal="center" readingOrder="0" vertical="bottom"/>
    </xf>
    <xf borderId="0" fillId="5" fontId="3" numFmtId="4" xfId="0" applyAlignment="1" applyFont="1" applyNumberFormat="1">
      <alignment horizontal="center" vertical="bottom"/>
    </xf>
    <xf borderId="1" fillId="7" fontId="1" numFmtId="0" xfId="0" applyAlignment="1" applyBorder="1" applyFill="1" applyFont="1">
      <alignment horizontal="center" shrinkToFit="0" vertical="bottom" wrapText="1"/>
    </xf>
    <xf borderId="0" fillId="7" fontId="3" numFmtId="4" xfId="0" applyAlignment="1" applyFont="1" applyNumberFormat="1">
      <alignment horizontal="center" vertical="bottom"/>
    </xf>
    <xf borderId="1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3" numFmtId="166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8" fontId="3" numFmtId="0" xfId="0" applyAlignment="1" applyFill="1" applyFont="1">
      <alignment vertical="bottom"/>
    </xf>
    <xf borderId="1" fillId="0" fontId="4" numFmtId="0" xfId="0" applyAlignment="1" applyBorder="1" applyFont="1">
      <alignment horizontal="right" readingOrder="0" vertical="bottom"/>
    </xf>
    <xf borderId="0" fillId="0" fontId="8" numFmtId="0" xfId="0" applyAlignment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3" numFmtId="164" xfId="0" applyAlignment="1" applyBorder="1" applyFont="1" applyNumberFormat="1">
      <alignment horizontal="left" vertical="bottom"/>
    </xf>
    <xf borderId="0" fillId="0" fontId="3" numFmtId="0" xfId="0" applyAlignment="1" applyFont="1">
      <alignment horizontal="right" vertical="bottom"/>
    </xf>
    <xf borderId="1" fillId="4" fontId="9" numFmtId="0" xfId="0" applyAlignment="1" applyBorder="1" applyFont="1">
      <alignment horizontal="left" shrinkToFit="0" vertical="bottom" wrapText="1"/>
    </xf>
    <xf borderId="0" fillId="0" fontId="3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167" xfId="0" applyAlignment="1" applyFont="1" applyNumberFormat="1">
      <alignment horizontal="right" vertical="bottom"/>
    </xf>
    <xf borderId="1" fillId="0" fontId="8" numFmtId="0" xfId="0" applyAlignment="1" applyBorder="1" applyFont="1">
      <alignment horizontal="center" vertical="bottom"/>
    </xf>
    <xf borderId="1" fillId="0" fontId="3" numFmtId="3" xfId="0" applyAlignment="1" applyBorder="1" applyFont="1" applyNumberFormat="1">
      <alignment horizontal="right" vertical="bottom"/>
    </xf>
    <xf borderId="1" fillId="0" fontId="3" numFmtId="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left"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vertical="bottom"/>
    </xf>
    <xf borderId="0" fillId="0" fontId="3" numFmtId="0" xfId="0" applyAlignment="1" applyFont="1">
      <alignment horizontal="right" readingOrder="0" vertical="bottom"/>
    </xf>
    <xf borderId="1" fillId="0" fontId="3" numFmtId="164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horizontal="left" readingOrder="0" shrinkToFit="0" vertical="bottom" wrapText="1"/>
    </xf>
    <xf borderId="0" fillId="0" fontId="3" numFmtId="4" xfId="0" applyAlignment="1" applyFont="1" applyNumberFormat="1">
      <alignment horizontal="right" readingOrder="0" vertical="bottom"/>
    </xf>
    <xf borderId="1" fillId="5" fontId="3" numFmtId="164" xfId="0" applyAlignment="1" applyBorder="1" applyFont="1" applyNumberFormat="1">
      <alignment horizontal="left" vertical="bottom"/>
    </xf>
    <xf borderId="0" fillId="5" fontId="3" numFmtId="0" xfId="0" applyAlignment="1" applyFont="1">
      <alignment horizontal="left" vertical="bottom"/>
    </xf>
    <xf borderId="1" fillId="5" fontId="3" numFmtId="0" xfId="0" applyAlignment="1" applyBorder="1" applyFont="1">
      <alignment horizontal="left" vertical="bottom"/>
    </xf>
    <xf borderId="1" fillId="5" fontId="3" numFmtId="0" xfId="0" applyAlignment="1" applyBorder="1" applyFont="1">
      <alignment vertical="bottom"/>
    </xf>
    <xf borderId="0" fillId="5" fontId="3" numFmtId="0" xfId="0" applyAlignment="1" applyFont="1">
      <alignment horizontal="right" vertical="bottom"/>
    </xf>
    <xf borderId="1" fillId="5" fontId="3" numFmtId="164" xfId="0" applyAlignment="1" applyBorder="1" applyFont="1" applyNumberFormat="1">
      <alignment horizontal="right" vertical="bottom"/>
    </xf>
    <xf borderId="1" fillId="5" fontId="9" numFmtId="0" xfId="0" applyAlignment="1" applyBorder="1" applyFont="1">
      <alignment horizontal="left" shrinkToFit="0" vertical="bottom" wrapText="1"/>
    </xf>
    <xf borderId="0" fillId="5" fontId="3" numFmtId="4" xfId="0" applyAlignment="1" applyFont="1" applyNumberFormat="1">
      <alignment horizontal="right" vertical="bottom"/>
    </xf>
    <xf borderId="1" fillId="5" fontId="3" numFmtId="165" xfId="0" applyAlignment="1" applyBorder="1" applyFont="1" applyNumberFormat="1">
      <alignment horizontal="left" vertical="bottom"/>
    </xf>
    <xf borderId="1" fillId="5" fontId="3" numFmtId="0" xfId="0" applyAlignment="1" applyBorder="1" applyFont="1">
      <alignment horizontal="right" vertical="bottom"/>
    </xf>
    <xf borderId="1" fillId="5" fontId="3" numFmtId="165" xfId="0" applyAlignment="1" applyBorder="1" applyFont="1" applyNumberFormat="1">
      <alignment vertical="bottom"/>
    </xf>
    <xf borderId="1" fillId="5" fontId="3" numFmtId="4" xfId="0" applyAlignment="1" applyBorder="1" applyFont="1" applyNumberFormat="1">
      <alignment horizontal="right" vertical="bottom"/>
    </xf>
    <xf borderId="1" fillId="5" fontId="4" numFmtId="164" xfId="0" applyAlignment="1" applyBorder="1" applyFont="1" applyNumberFormat="1">
      <alignment horizontal="left" vertical="bottom"/>
    </xf>
    <xf borderId="0" fillId="5" fontId="4" numFmtId="0" xfId="0" applyAlignment="1" applyFont="1">
      <alignment horizontal="left" vertical="bottom"/>
    </xf>
    <xf borderId="1" fillId="5" fontId="4" numFmtId="0" xfId="0" applyAlignment="1" applyBorder="1" applyFont="1">
      <alignment horizontal="left"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right" vertical="bottom"/>
    </xf>
    <xf borderId="0" fillId="5" fontId="4" numFmtId="164" xfId="0" applyAlignment="1" applyFont="1" applyNumberFormat="1">
      <alignment horizontal="right" vertical="bottom"/>
    </xf>
    <xf borderId="0" fillId="5" fontId="4" numFmtId="4" xfId="0" applyAlignment="1" applyFont="1" applyNumberFormat="1">
      <alignment horizontal="right" vertical="bottom"/>
    </xf>
    <xf borderId="0" fillId="5" fontId="5" numFmtId="0" xfId="0" applyAlignment="1" applyFont="1">
      <alignment vertical="bottom"/>
    </xf>
    <xf borderId="1" fillId="5" fontId="3" numFmtId="0" xfId="0" applyAlignment="1" applyBorder="1" applyFont="1">
      <alignment readingOrder="0" vertical="bottom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vertical="bottom"/>
    </xf>
    <xf borderId="1" fillId="0" fontId="3" numFmtId="167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4" fontId="3" numFmtId="0" xfId="0" applyAlignment="1" applyFont="1">
      <alignment horizontal="left" readingOrder="0" vertical="bottom"/>
    </xf>
    <xf borderId="1" fillId="4" fontId="3" numFmtId="0" xfId="0" applyAlignment="1" applyBorder="1" applyFont="1">
      <alignment vertical="bottom"/>
    </xf>
    <xf borderId="0" fillId="8" fontId="3" numFmtId="0" xfId="0" applyAlignment="1" applyFont="1">
      <alignment horizontal="left" readingOrder="0" vertical="bottom"/>
    </xf>
    <xf borderId="1" fillId="8" fontId="3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9" numFmtId="0" xfId="0" applyAlignment="1" applyBorder="1" applyFont="1">
      <alignment horizontal="left" shrinkToFit="0" vertical="bottom" wrapText="1"/>
    </xf>
    <xf borderId="1" fillId="0" fontId="4" numFmtId="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" fillId="4" fontId="9" numFmtId="0" xfId="0" applyAlignment="1" applyBorder="1" applyFont="1">
      <alignment horizontal="left" readingOrder="0" shrinkToFit="0" vertical="bottom" wrapText="1"/>
    </xf>
    <xf borderId="0" fillId="5" fontId="4" numFmtId="0" xfId="0" applyAlignment="1" applyFont="1">
      <alignment readingOrder="0" vertical="bottom"/>
    </xf>
    <xf borderId="1" fillId="5" fontId="4" numFmtId="0" xfId="0" applyAlignment="1" applyBorder="1" applyFont="1">
      <alignment readingOrder="0" vertical="bottom"/>
    </xf>
    <xf borderId="0" fillId="5" fontId="4" numFmtId="0" xfId="0" applyAlignment="1" applyFont="1">
      <alignment horizontal="right" readingOrder="0" vertical="bottom"/>
    </xf>
    <xf borderId="0" fillId="5" fontId="4" numFmtId="164" xfId="0" applyAlignment="1" applyFont="1" applyNumberFormat="1">
      <alignment horizontal="right" readingOrder="0" vertical="bottom"/>
    </xf>
    <xf borderId="1" fillId="5" fontId="9" numFmtId="0" xfId="0" applyAlignment="1" applyBorder="1" applyFont="1">
      <alignment horizontal="left" readingOrder="0" shrinkToFit="0" vertical="bottom" wrapText="1"/>
    </xf>
    <xf borderId="0" fillId="5" fontId="4" numFmtId="4" xfId="0" applyAlignment="1" applyFont="1" applyNumberFormat="1">
      <alignment horizontal="right" readingOrder="0" vertical="bottom"/>
    </xf>
    <xf borderId="0" fillId="5" fontId="5" numFmtId="0" xfId="0" applyAlignment="1" applyFont="1">
      <alignment readingOrder="0" vertical="bottom"/>
    </xf>
    <xf borderId="0" fillId="5" fontId="2" numFmtId="0" xfId="0" applyFont="1"/>
    <xf borderId="0" fillId="5" fontId="3" numFmtId="164" xfId="0" applyAlignment="1" applyFont="1" applyNumberFormat="1">
      <alignment horizontal="left" readingOrder="0" vertical="bottom"/>
    </xf>
    <xf borderId="1" fillId="5" fontId="4" numFmtId="164" xfId="0" applyAlignment="1" applyBorder="1" applyFont="1" applyNumberFormat="1">
      <alignment horizontal="right" vertical="bottom"/>
    </xf>
    <xf borderId="1" fillId="5" fontId="4" numFmtId="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5" fontId="3" numFmtId="0" xfId="0" applyAlignment="1" applyFont="1">
      <alignment horizontal="left" readingOrder="0" vertical="bottom"/>
    </xf>
    <xf borderId="1" fillId="5" fontId="4" numFmtId="3" xfId="0" applyAlignment="1" applyBorder="1" applyFont="1" applyNumberFormat="1">
      <alignment horizontal="right" vertical="bottom"/>
    </xf>
    <xf borderId="1" fillId="5" fontId="3" numFmtId="3" xfId="0" applyAlignment="1" applyBorder="1" applyFont="1" applyNumberFormat="1">
      <alignment horizontal="right" vertical="bottom"/>
    </xf>
    <xf borderId="1" fillId="0" fontId="3" numFmtId="4" xfId="0" applyAlignment="1" applyBorder="1" applyFont="1" applyNumberFormat="1">
      <alignment vertical="bottom"/>
    </xf>
    <xf borderId="1" fillId="2" fontId="9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left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right" vertical="bottom"/>
    </xf>
    <xf borderId="1" fillId="2" fontId="3" numFmtId="164" xfId="0" applyAlignment="1" applyBorder="1" applyFont="1" applyNumberFormat="1">
      <alignment horizontal="right" vertical="bottom"/>
    </xf>
    <xf borderId="1" fillId="2" fontId="3" numFmtId="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readingOrder="0"/>
    </xf>
    <xf borderId="1" fillId="0" fontId="3" numFmtId="0" xfId="0" applyAlignment="1" applyBorder="1" applyFont="1">
      <alignment horizontal="right" readingOrder="0" vertical="bottom"/>
    </xf>
    <xf borderId="1" fillId="0" fontId="3" numFmtId="164" xfId="0" applyAlignment="1" applyBorder="1" applyFont="1" applyNumberFormat="1">
      <alignment readingOrder="0" vertical="bottom"/>
    </xf>
    <xf borderId="1" fillId="5" fontId="3" numFmtId="0" xfId="0" applyAlignment="1" applyBorder="1" applyFont="1">
      <alignment horizontal="left" shrinkToFit="0" vertical="bottom" wrapText="1"/>
    </xf>
    <xf borderId="1" fillId="4" fontId="3" numFmtId="0" xfId="0" applyAlignment="1" applyBorder="1" applyFont="1">
      <alignment horizontal="left" shrinkToFit="0" vertical="bottom" wrapText="1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1" fillId="5" fontId="3" numFmtId="4" xfId="0" applyAlignment="1" applyBorder="1" applyFont="1" applyNumberFormat="1">
      <alignment vertical="bottom"/>
    </xf>
    <xf borderId="0" fillId="5" fontId="3" numFmtId="3" xfId="0" applyAlignment="1" applyFont="1" applyNumberFormat="1">
      <alignment vertical="bottom"/>
    </xf>
    <xf borderId="0" fillId="5" fontId="3" numFmtId="4" xfId="0" applyAlignment="1" applyFont="1" applyNumberFormat="1">
      <alignment vertical="bottom"/>
    </xf>
    <xf borderId="1" fillId="5" fontId="4" numFmtId="0" xfId="0" applyAlignment="1" applyBorder="1" applyFont="1">
      <alignment horizontal="left" shrinkToFit="0" vertical="bottom" wrapText="1"/>
    </xf>
    <xf borderId="0" fillId="5" fontId="3" numFmtId="0" xfId="0" applyAlignment="1" applyFont="1">
      <alignment horizontal="right" readingOrder="0" vertical="bottom"/>
    </xf>
    <xf borderId="1" fillId="4" fontId="3" numFmtId="0" xfId="0" applyAlignment="1" applyBorder="1" applyFont="1">
      <alignment horizontal="left" readingOrder="0" shrinkToFit="0" vertical="bottom" wrapText="1"/>
    </xf>
    <xf borderId="1" fillId="5" fontId="10" numFmtId="168" xfId="0" applyAlignment="1" applyBorder="1" applyFont="1" applyNumberFormat="1">
      <alignment horizontal="left" readingOrder="0" shrinkToFit="0" vertical="bottom" wrapText="0"/>
    </xf>
    <xf borderId="3" fillId="5" fontId="10" numFmtId="0" xfId="0" applyAlignment="1" applyBorder="1" applyFont="1">
      <alignment readingOrder="0" shrinkToFit="0" vertical="bottom" wrapText="0"/>
    </xf>
    <xf borderId="3" fillId="5" fontId="10" numFmtId="11" xfId="0" applyAlignment="1" applyBorder="1" applyFont="1" applyNumberFormat="1">
      <alignment horizontal="right" readingOrder="0" shrinkToFit="0" vertical="bottom" wrapText="0"/>
    </xf>
    <xf borderId="3" fillId="5" fontId="10" numFmtId="0" xfId="0" applyAlignment="1" applyBorder="1" applyFont="1">
      <alignment horizontal="right" readingOrder="0" shrinkToFit="0" vertical="bottom" wrapText="0"/>
    </xf>
    <xf borderId="3" fillId="5" fontId="10" numFmtId="168" xfId="0" applyAlignment="1" applyBorder="1" applyFont="1" applyNumberFormat="1">
      <alignment horizontal="right" readingOrder="0" shrinkToFit="0" vertical="bottom" wrapText="0"/>
    </xf>
    <xf borderId="3" fillId="5" fontId="11" numFmtId="0" xfId="0" applyAlignment="1" applyBorder="1" applyFont="1">
      <alignment horizontal="left" readingOrder="0" shrinkToFit="0" vertical="bottom" wrapText="0"/>
    </xf>
    <xf borderId="3" fillId="5" fontId="10" numFmtId="4" xfId="0" applyAlignment="1" applyBorder="1" applyFont="1" applyNumberFormat="1">
      <alignment horizontal="right" readingOrder="0" shrinkToFit="0" vertical="bottom" wrapText="0"/>
    </xf>
    <xf borderId="4" fillId="5" fontId="10" numFmtId="168" xfId="0" applyAlignment="1" applyBorder="1" applyFont="1" applyNumberFormat="1">
      <alignment horizontal="left" readingOrder="0" shrinkToFit="0" vertical="bottom" wrapText="0"/>
    </xf>
    <xf borderId="5" fillId="5" fontId="10" numFmtId="0" xfId="0" applyAlignment="1" applyBorder="1" applyFont="1">
      <alignment readingOrder="0" shrinkToFit="0" vertical="bottom" wrapText="0"/>
    </xf>
    <xf borderId="5" fillId="5" fontId="12" numFmtId="0" xfId="0" applyAlignment="1" applyBorder="1" applyFont="1">
      <alignment shrinkToFit="0" vertical="bottom" wrapText="0"/>
    </xf>
    <xf borderId="5" fillId="5" fontId="10" numFmtId="0" xfId="0" applyAlignment="1" applyBorder="1" applyFont="1">
      <alignment horizontal="right" readingOrder="0" shrinkToFit="0" vertical="bottom" wrapText="0"/>
    </xf>
    <xf borderId="5" fillId="5" fontId="11" numFmtId="0" xfId="0" applyAlignment="1" applyBorder="1" applyFont="1">
      <alignment horizontal="left" readingOrder="0" shrinkToFit="0" vertical="bottom" wrapText="0"/>
    </xf>
    <xf borderId="5" fillId="5" fontId="10" numFmtId="4" xfId="0" applyAlignment="1" applyBorder="1" applyFont="1" applyNumberFormat="1">
      <alignment horizontal="right" readingOrder="0" shrinkToFit="0" vertical="bottom" wrapText="0"/>
    </xf>
    <xf borderId="5" fillId="5" fontId="10" numFmtId="11" xfId="0" applyAlignment="1" applyBorder="1" applyFont="1" applyNumberFormat="1">
      <alignment horizontal="right" readingOrder="0" shrinkToFit="0" vertical="bottom" wrapText="0"/>
    </xf>
    <xf borderId="5" fillId="5" fontId="10" numFmtId="168" xfId="0" applyAlignment="1" applyBorder="1" applyFont="1" applyNumberFormat="1">
      <alignment horizontal="right" readingOrder="0" shrinkToFit="0" vertical="bottom" wrapText="0"/>
    </xf>
    <xf borderId="0" fillId="6" fontId="3" numFmtId="0" xfId="0" applyAlignment="1" applyFont="1">
      <alignment vertical="bottom"/>
    </xf>
    <xf borderId="0" fillId="6" fontId="3" numFmtId="0" xfId="0" applyAlignment="1" applyFont="1">
      <alignment horizontal="right" vertical="bottom"/>
    </xf>
    <xf borderId="1" fillId="6" fontId="3" numFmtId="0" xfId="0" applyAlignment="1" applyBorder="1" applyFont="1">
      <alignment horizontal="left" shrinkToFit="0" vertical="bottom" wrapText="1"/>
    </xf>
    <xf borderId="0" fillId="6" fontId="3" numFmtId="4" xfId="0" applyAlignment="1" applyFont="1" applyNumberFormat="1">
      <alignment horizontal="right" vertical="bottom"/>
    </xf>
    <xf borderId="1" fillId="4" fontId="4" numFmtId="0" xfId="0" applyAlignment="1" applyBorder="1" applyFont="1">
      <alignment horizontal="left" shrinkToFit="0" vertical="bottom" wrapText="1"/>
    </xf>
    <xf borderId="0" fillId="0" fontId="3" numFmtId="164" xfId="0" applyAlignment="1" applyFont="1" applyNumberFormat="1">
      <alignment horizontal="left" readingOrder="0" vertical="bottom"/>
    </xf>
    <xf borderId="0" fillId="0" fontId="3" numFmtId="164" xfId="0" applyAlignment="1" applyFont="1" applyNumberFormat="1">
      <alignment horizontal="right" readingOrder="0" vertical="bottom"/>
    </xf>
    <xf borderId="1" fillId="0" fontId="3" numFmtId="0" xfId="0" applyAlignment="1" applyBorder="1" applyFont="1">
      <alignment horizontal="left" readingOrder="0" shrinkToFit="0" vertical="bottom" wrapText="1"/>
    </xf>
    <xf borderId="0" fillId="0" fontId="3" numFmtId="164" xfId="0" applyAlignment="1" applyFont="1" applyNumberFormat="1">
      <alignment horizontal="left" vertical="bottom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3" numFmtId="4" xfId="0" applyAlignment="1" applyBorder="1" applyFont="1" applyNumberFormat="1">
      <alignment horizontal="right" readingOrder="0" vertical="bottom"/>
    </xf>
    <xf borderId="0" fillId="5" fontId="3" numFmtId="16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1" fillId="3" fontId="3" numFmtId="0" xfId="0" applyAlignment="1" applyBorder="1" applyFont="1">
      <alignment vertical="bottom"/>
    </xf>
    <xf borderId="0" fillId="3" fontId="3" numFmtId="4" xfId="0" applyAlignment="1" applyFont="1" applyNumberFormat="1">
      <alignment horizontal="right" vertical="bottom"/>
    </xf>
    <xf borderId="1" fillId="4" fontId="3" numFmtId="0" xfId="0" applyAlignment="1" applyBorder="1" applyFont="1">
      <alignment horizontal="right" vertical="bottom"/>
    </xf>
    <xf borderId="1" fillId="4" fontId="3" numFmtId="4" xfId="0" applyAlignment="1" applyBorder="1" applyFont="1" applyNumberFormat="1">
      <alignment horizontal="right" vertical="bottom"/>
    </xf>
    <xf borderId="1" fillId="3" fontId="4" numFmtId="0" xfId="0" applyAlignment="1" applyBorder="1" applyFont="1">
      <alignment horizontal="left" shrinkToFit="0" vertical="bottom" wrapText="1"/>
    </xf>
    <xf borderId="1" fillId="5" fontId="2" numFmtId="0" xfId="0" applyAlignment="1" applyBorder="1" applyFont="1">
      <alignment horizontal="left"/>
    </xf>
    <xf borderId="2" fillId="5" fontId="2" numFmtId="0" xfId="0" applyAlignment="1" applyBorder="1" applyFont="1">
      <alignment readingOrder="0"/>
    </xf>
    <xf borderId="6" fillId="0" fontId="7" numFmtId="0" xfId="0" applyBorder="1" applyFont="1"/>
    <xf borderId="1" fillId="0" fontId="4" numFmtId="0" xfId="0" applyAlignment="1" applyBorder="1" applyFont="1">
      <alignment horizontal="left" shrinkToFit="0" vertical="bottom" wrapText="1"/>
    </xf>
    <xf borderId="1" fillId="0" fontId="3" numFmtId="164" xfId="0" applyAlignment="1" applyBorder="1" applyFont="1" applyNumberFormat="1">
      <alignment vertical="bottom"/>
    </xf>
    <xf borderId="1" fillId="5" fontId="3" numFmtId="0" xfId="0" applyAlignment="1" applyBorder="1" applyFont="1">
      <alignment horizontal="right" readingOrder="0" vertical="bottom"/>
    </xf>
    <xf borderId="1" fillId="0" fontId="3" numFmtId="167" xfId="0" applyAlignment="1" applyBorder="1" applyFont="1" applyNumberFormat="1">
      <alignment horizontal="center" vertical="bottom"/>
    </xf>
    <xf borderId="0" fillId="0" fontId="2" numFmtId="0" xfId="0" applyAlignment="1" applyFont="1">
      <alignment horizontal="right" readingOrder="0"/>
    </xf>
    <xf borderId="0" fillId="5" fontId="4" numFmtId="0" xfId="0" applyAlignment="1" applyFont="1">
      <alignment horizontal="center" vertical="bottom"/>
    </xf>
    <xf borderId="0" fillId="3" fontId="3" numFmtId="0" xfId="0" applyAlignment="1" applyFont="1">
      <alignment horizontal="right" vertical="bottom"/>
    </xf>
    <xf borderId="0" fillId="5" fontId="5" numFmtId="0" xfId="0" applyAlignment="1" applyFont="1">
      <alignment horizontal="right" vertical="bottom"/>
    </xf>
    <xf borderId="0" fillId="2" fontId="2" numFmtId="0" xfId="0" applyAlignment="1" applyFont="1">
      <alignment readingOrder="0" vertical="center"/>
    </xf>
    <xf borderId="1" fillId="0" fontId="3" numFmtId="167" xfId="0" applyAlignment="1" applyBorder="1" applyFont="1" applyNumberFormat="1">
      <alignment vertical="bottom"/>
    </xf>
    <xf borderId="1" fillId="4" fontId="1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1" fillId="0" fontId="1" numFmtId="0" xfId="0" applyAlignment="1" applyBorder="1" applyFont="1">
      <alignment horizontal="left" readingOrder="0" shrinkToFit="0" vertical="bottom" wrapText="1"/>
    </xf>
    <xf borderId="0" fillId="0" fontId="4" numFmtId="0" xfId="0" applyAlignment="1" applyFont="1">
      <alignment horizontal="right" readingOrder="0" vertical="bottom"/>
    </xf>
    <xf borderId="1" fillId="5" fontId="1" numFmtId="0" xfId="0" applyAlignment="1" applyBorder="1" applyFont="1">
      <alignment horizontal="left" shrinkToFit="0" vertical="bottom" wrapText="1"/>
    </xf>
    <xf borderId="1" fillId="4" fontId="3" numFmtId="164" xfId="0" applyAlignment="1" applyBorder="1" applyFont="1" applyNumberFormat="1">
      <alignment vertical="bottom"/>
    </xf>
    <xf borderId="1" fillId="4" fontId="3" numFmtId="0" xfId="0" applyAlignment="1" applyBorder="1" applyFont="1">
      <alignment horizontal="left" vertical="bottom"/>
    </xf>
    <xf borderId="1" fillId="5" fontId="3" numFmtId="164" xfId="0" applyAlignment="1" applyBorder="1" applyFont="1" applyNumberFormat="1">
      <alignment horizontal="center" vertical="bottom"/>
    </xf>
    <xf borderId="1" fillId="5" fontId="3" numFmtId="164" xfId="0" applyAlignment="1" applyBorder="1" applyFont="1" applyNumberFormat="1">
      <alignment vertical="bottom"/>
    </xf>
    <xf borderId="0" fillId="0" fontId="2" numFmtId="0" xfId="0" applyAlignment="1" applyFont="1">
      <alignment horizontal="center"/>
    </xf>
    <xf borderId="0" fillId="2" fontId="3" numFmtId="0" xfId="0" applyAlignment="1" applyFont="1">
      <alignment horizontal="left" vertical="bottom"/>
    </xf>
    <xf borderId="1" fillId="0" fontId="3" numFmtId="164" xfId="0" applyAlignment="1" applyBorder="1" applyFont="1" applyNumberFormat="1">
      <alignment horizontal="center" readingOrder="0" vertical="bottom"/>
    </xf>
    <xf borderId="0" fillId="0" fontId="3" numFmtId="167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quotePrefix="1"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horizontal="left" shrinkToFit="0" vertical="bottom" wrapText="1"/>
    </xf>
    <xf borderId="1" fillId="5" fontId="3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center" shrinkToFit="0" vertical="bottom" wrapText="1"/>
    </xf>
    <xf borderId="0" fillId="0" fontId="3" numFmtId="167" xfId="0" applyAlignment="1" applyFont="1" applyNumberFormat="1">
      <alignment horizontal="center" vertical="bottom"/>
    </xf>
    <xf borderId="1" fillId="0" fontId="3" numFmtId="49" xfId="0" applyAlignment="1" applyBorder="1" applyFont="1" applyNumberFormat="1">
      <alignment horizontal="right" vertical="bottom"/>
    </xf>
    <xf borderId="1" fillId="0" fontId="3" numFmtId="167" xfId="0" applyAlignment="1" applyBorder="1" applyFont="1" applyNumberFormat="1">
      <alignment horizontal="left" vertical="bottom"/>
    </xf>
    <xf borderId="1" fillId="0" fontId="3" numFmtId="1" xfId="0" applyAlignment="1" applyBorder="1" applyFont="1" applyNumberFormat="1">
      <alignment horizontal="left" vertical="bottom"/>
    </xf>
    <xf borderId="1" fillId="0" fontId="3" numFmtId="165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left" vertical="bottom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vertical="bottom"/>
    </xf>
    <xf borderId="1" fillId="5" fontId="3" numFmtId="167" xfId="0" applyAlignment="1" applyBorder="1" applyFont="1" applyNumberFormat="1">
      <alignment vertical="bottom"/>
    </xf>
    <xf quotePrefix="1" borderId="1" fillId="5" fontId="3" numFmtId="0" xfId="0" applyAlignment="1" applyBorder="1" applyFont="1">
      <alignment vertical="bottom"/>
    </xf>
    <xf borderId="1" fillId="9" fontId="3" numFmtId="0" xfId="0" applyAlignment="1" applyBorder="1" applyFill="1" applyFont="1">
      <alignment vertical="bottom"/>
    </xf>
    <xf borderId="1" fillId="10" fontId="3" numFmtId="0" xfId="0" applyAlignment="1" applyBorder="1" applyFill="1" applyFont="1">
      <alignment vertical="bottom"/>
    </xf>
    <xf borderId="1" fillId="4" fontId="1" numFmtId="0" xfId="0" applyAlignment="1" applyBorder="1" applyFont="1">
      <alignment horizontal="center" shrinkToFit="0" vertical="bottom" wrapText="1"/>
    </xf>
    <xf borderId="1" fillId="3" fontId="3" numFmtId="0" xfId="0" applyAlignment="1" applyBorder="1" applyFont="1">
      <alignment horizontal="center" readingOrder="0" vertical="bottom"/>
    </xf>
    <xf borderId="1" fillId="5" fontId="3" numFmtId="167" xfId="0" applyAlignment="1" applyBorder="1" applyFont="1" applyNumberFormat="1">
      <alignment horizontal="center" vertical="bottom"/>
    </xf>
    <xf borderId="1" fillId="2" fontId="3" numFmtId="164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2" fontId="3" numFmtId="167" xfId="0" applyAlignment="1" applyBorder="1" applyFont="1" applyNumberFormat="1">
      <alignment horizontal="center" vertical="bottom"/>
    </xf>
    <xf borderId="1" fillId="2" fontId="3" numFmtId="4" xfId="0" applyAlignment="1" applyBorder="1" applyFont="1" applyNumberFormat="1">
      <alignment horizontal="center" vertical="bottom"/>
    </xf>
    <xf borderId="0" fillId="2" fontId="2" numFmtId="0" xfId="0" applyAlignment="1" applyFont="1">
      <alignment readingOrder="0"/>
    </xf>
    <xf borderId="1" fillId="2" fontId="4" numFmtId="0" xfId="0" applyAlignment="1" applyBorder="1" applyFont="1">
      <alignment horizontal="right" vertical="bottom"/>
    </xf>
    <xf borderId="0" fillId="2" fontId="2" numFmtId="0" xfId="0" applyFont="1"/>
    <xf borderId="0" fillId="3" fontId="3" numFmtId="164" xfId="0" applyAlignment="1" applyFont="1" applyNumberFormat="1">
      <alignment horizontal="right" vertical="bottom"/>
    </xf>
    <xf borderId="0" fillId="3" fontId="3" numFmtId="164" xfId="0" applyAlignment="1" applyFont="1" applyNumberFormat="1">
      <alignment horizontal="center"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0" fillId="2" fontId="3" numFmtId="3" xfId="0" applyAlignment="1" applyFont="1" applyNumberFormat="1">
      <alignment horizontal="center" vertical="bottom"/>
    </xf>
    <xf borderId="0" fillId="2" fontId="3" numFmtId="0" xfId="0" applyAlignment="1" applyFont="1">
      <alignment horizontal="right" vertical="bottom"/>
    </xf>
    <xf borderId="0" fillId="2" fontId="3" numFmtId="4" xfId="0" applyAlignment="1" applyFont="1" applyNumberFormat="1">
      <alignment horizontal="center" vertical="bottom"/>
    </xf>
    <xf borderId="1" fillId="2" fontId="4" numFmtId="0" xfId="0" applyAlignment="1" applyBorder="1" applyFont="1">
      <alignment horizontal="right" readingOrder="0" vertical="bottom"/>
    </xf>
    <xf borderId="0" fillId="4" fontId="3" numFmtId="0" xfId="0" applyAlignment="1" applyFont="1">
      <alignment horizontal="center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center" vertical="bottom"/>
    </xf>
    <xf borderId="1" fillId="3" fontId="3" numFmtId="167" xfId="0" applyAlignment="1" applyBorder="1" applyFont="1" applyNumberFormat="1">
      <alignment horizontal="center" vertical="bottom"/>
    </xf>
    <xf borderId="0" fillId="3" fontId="3" numFmtId="4" xfId="0" applyAlignment="1" applyFont="1" applyNumberFormat="1">
      <alignment horizontal="center" vertical="bottom"/>
    </xf>
    <xf borderId="1" fillId="3" fontId="4" numFmtId="0" xfId="0" applyAlignment="1" applyBorder="1" applyFont="1">
      <alignment horizontal="right" readingOrder="0" vertical="bottom"/>
    </xf>
    <xf borderId="1" fillId="5" fontId="4" numFmtId="167" xfId="0" applyAlignment="1" applyBorder="1" applyFont="1" applyNumberFormat="1">
      <alignment horizontal="center" vertical="bottom"/>
    </xf>
    <xf borderId="1" fillId="5" fontId="4" numFmtId="165" xfId="0" applyAlignment="1" applyBorder="1" applyFont="1" applyNumberFormat="1">
      <alignment horizontal="center" vertical="bottom"/>
    </xf>
    <xf borderId="0" fillId="5" fontId="4" numFmtId="164" xfId="0" applyAlignment="1" applyFont="1" applyNumberFormat="1">
      <alignment horizontal="center" vertical="bottom"/>
    </xf>
    <xf borderId="0" fillId="5" fontId="4" numFmtId="3" xfId="0" applyAlignment="1" applyFont="1" applyNumberFormat="1">
      <alignment horizontal="center" vertical="bottom"/>
    </xf>
    <xf borderId="1" fillId="3" fontId="4" numFmtId="165" xfId="0" applyAlignment="1" applyBorder="1" applyFont="1" applyNumberFormat="1">
      <alignment horizontal="center" vertical="bottom"/>
    </xf>
    <xf borderId="0" fillId="3" fontId="4" numFmtId="0" xfId="0" applyAlignment="1" applyFont="1">
      <alignment vertical="bottom"/>
    </xf>
    <xf borderId="0" fillId="3" fontId="4" numFmtId="165" xfId="0" applyAlignment="1" applyFont="1" applyNumberFormat="1">
      <alignment horizontal="center" vertical="bottom"/>
    </xf>
    <xf borderId="1" fillId="3" fontId="4" numFmtId="167" xfId="0" applyAlignment="1" applyBorder="1" applyFont="1" applyNumberFormat="1">
      <alignment horizontal="center" vertical="bottom"/>
    </xf>
    <xf borderId="0" fillId="3" fontId="4" numFmtId="4" xfId="0" applyAlignment="1" applyFont="1" applyNumberFormat="1">
      <alignment horizontal="center" vertical="bottom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0" fillId="3" fontId="4" numFmtId="3" xfId="0" applyAlignment="1" applyFont="1" applyNumberFormat="1">
      <alignment horizontal="center" vertical="bottom"/>
    </xf>
    <xf borderId="1" fillId="0" fontId="14" numFmtId="4" xfId="0" applyAlignment="1" applyBorder="1" applyFont="1" applyNumberFormat="1">
      <alignment horizontal="left" readingOrder="0" shrinkToFit="0" wrapText="0"/>
    </xf>
    <xf borderId="0" fillId="0" fontId="2" numFmtId="0" xfId="0" applyFont="1"/>
    <xf borderId="1" fillId="0" fontId="3" numFmtId="169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horizontal="left" readingOrder="0" shrinkToFit="0" wrapText="0"/>
    </xf>
    <xf borderId="1" fillId="5" fontId="3" numFmtId="165" xfId="0" applyAlignment="1" applyBorder="1" applyFont="1" applyNumberFormat="1">
      <alignment horizontal="center" vertical="bottom"/>
    </xf>
    <xf borderId="0" fillId="5" fontId="3" numFmtId="165" xfId="0" applyAlignment="1" applyFont="1" applyNumberFormat="1">
      <alignment horizontal="center" vertical="bottom"/>
    </xf>
    <xf borderId="1" fillId="0" fontId="14" numFmtId="4" xfId="0" applyAlignment="1" applyBorder="1" applyFont="1" applyNumberFormat="1">
      <alignment horizontal="left" readingOrder="0" shrinkToFit="0" vertical="bottom" wrapText="0"/>
    </xf>
    <xf borderId="1" fillId="5" fontId="3" numFmtId="169" xfId="0" applyAlignment="1" applyBorder="1" applyFont="1" applyNumberFormat="1">
      <alignment horizontal="center" vertical="bottom"/>
    </xf>
    <xf borderId="1" fillId="4" fontId="3" numFmtId="169" xfId="0" applyAlignment="1" applyBorder="1" applyFont="1" applyNumberFormat="1">
      <alignment horizontal="center" vertical="bottom"/>
    </xf>
    <xf borderId="1" fillId="4" fontId="3" numFmtId="4" xfId="0" applyAlignment="1" applyBorder="1" applyFont="1" applyNumberFormat="1">
      <alignment horizontal="center" vertical="bottom"/>
    </xf>
    <xf borderId="1" fillId="2" fontId="15" numFmtId="0" xfId="0" applyAlignment="1" applyBorder="1" applyFont="1">
      <alignment horizontal="center" shrinkToFit="0" vertical="bottom" wrapText="1"/>
    </xf>
    <xf borderId="1" fillId="2" fontId="3" numFmtId="169" xfId="0" applyAlignment="1" applyBorder="1" applyFont="1" applyNumberFormat="1">
      <alignment horizontal="center" vertical="bottom"/>
    </xf>
    <xf borderId="1" fillId="0" fontId="3" numFmtId="169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center" vertical="bottom"/>
    </xf>
    <xf borderId="0" fillId="0" fontId="16" numFmtId="0" xfId="0" applyFont="1"/>
    <xf borderId="0" fillId="4" fontId="3" numFmtId="164" xfId="0" applyAlignment="1" applyFont="1" applyNumberFormat="1">
      <alignment horizontal="center" vertical="bottom"/>
    </xf>
    <xf borderId="0" fillId="0" fontId="17" numFmtId="0" xfId="0" applyFont="1"/>
    <xf borderId="0" fillId="0" fontId="2" numFmtId="0" xfId="0" applyAlignment="1" applyFont="1">
      <alignment readingOrder="0" shrinkToFit="0" wrapText="1"/>
    </xf>
    <xf borderId="0" fillId="0" fontId="2" numFmtId="170" xfId="0" applyAlignment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1" fillId="0" fontId="18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9" numFmtId="0" xfId="0" applyBorder="1" applyFont="1"/>
    <xf borderId="1" fillId="0" fontId="12" numFmtId="0" xfId="0" applyAlignment="1" applyBorder="1" applyFont="1">
      <alignment horizontal="right"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2" fontId="12" numFmtId="0" xfId="0" applyAlignment="1" applyBorder="1" applyFont="1">
      <alignment horizontal="right" readingOrder="0" shrinkToFit="0" vertical="bottom" wrapText="0"/>
    </xf>
    <xf borderId="1" fillId="2" fontId="12" numFmtId="0" xfId="0" applyAlignment="1" applyBorder="1" applyFont="1">
      <alignment readingOrder="0" shrinkToFit="0" vertical="bottom" wrapText="0"/>
    </xf>
    <xf borderId="1" fillId="2" fontId="12" numFmtId="0" xfId="0" applyAlignment="1" applyBorder="1" applyFont="1">
      <alignment shrinkToFit="0" vertical="bottom" wrapText="0"/>
    </xf>
    <xf borderId="1" fillId="4" fontId="12" numFmtId="0" xfId="0" applyAlignment="1" applyBorder="1" applyFont="1">
      <alignment horizontal="right" readingOrder="0" shrinkToFit="0" vertical="bottom" wrapText="0"/>
    </xf>
    <xf borderId="1" fillId="4" fontId="12" numFmtId="0" xfId="0" applyAlignment="1" applyBorder="1" applyFont="1">
      <alignment readingOrder="0" shrinkToFit="0" vertical="bottom" wrapText="0"/>
    </xf>
    <xf borderId="1" fillId="4" fontId="12" numFmtId="0" xfId="0" applyAlignment="1" applyBorder="1" applyFont="1">
      <alignment shrinkToFit="0" vertical="bottom" wrapText="0"/>
    </xf>
    <xf borderId="1" fillId="4" fontId="12" numFmtId="0" xfId="0" applyAlignment="1" applyBorder="1" applyFont="1">
      <alignment shrinkToFit="0" vertical="bottom" wrapText="0"/>
    </xf>
    <xf borderId="1" fillId="0" fontId="20" numFmtId="0" xfId="0" applyAlignment="1" applyBorder="1" applyFont="1">
      <alignment shrinkToFit="0" vertical="bottom" wrapText="0"/>
    </xf>
    <xf borderId="1" fillId="11" fontId="12" numFmtId="0" xfId="0" applyAlignment="1" applyBorder="1" applyFill="1" applyFont="1">
      <alignment horizontal="right" readingOrder="0" shrinkToFit="0" vertical="bottom" wrapText="0"/>
    </xf>
    <xf borderId="1" fillId="11" fontId="12" numFmtId="0" xfId="0" applyAlignment="1" applyBorder="1" applyFont="1">
      <alignment readingOrder="0" shrinkToFit="0" vertical="bottom" wrapText="0"/>
    </xf>
    <xf borderId="1" fillId="11" fontId="12" numFmtId="0" xfId="0" applyAlignment="1" applyBorder="1" applyFont="1">
      <alignment shrinkToFit="0" vertical="bottom" wrapText="0"/>
    </xf>
    <xf borderId="1" fillId="0" fontId="21" numFmtId="0" xfId="0" applyAlignment="1" applyBorder="1" applyFont="1">
      <alignment horizontal="right" readingOrder="0" shrinkToFit="0" vertical="bottom" wrapText="0"/>
    </xf>
    <xf borderId="1" fillId="0" fontId="21" numFmtId="0" xfId="0" applyAlignment="1" applyBorder="1" applyFont="1">
      <alignment readingOrder="0" shrinkToFit="0" vertical="bottom" wrapText="0"/>
    </xf>
    <xf borderId="1" fillId="0" fontId="21" numFmtId="0" xfId="0" applyAlignment="1" applyBorder="1" applyFont="1">
      <alignment shrinkToFit="0" vertical="bottom" wrapText="0"/>
    </xf>
    <xf borderId="1" fillId="2" fontId="21" numFmtId="0" xfId="0" applyAlignment="1" applyBorder="1" applyFont="1">
      <alignment horizontal="right" readingOrder="0" shrinkToFit="0" vertical="bottom" wrapText="0"/>
    </xf>
    <xf borderId="1" fillId="2" fontId="21" numFmtId="0" xfId="0" applyAlignment="1" applyBorder="1" applyFont="1">
      <alignment readingOrder="0" shrinkToFit="0" vertical="bottom" wrapText="0"/>
    </xf>
    <xf borderId="1" fillId="2" fontId="21" numFmtId="0" xfId="0" applyAlignment="1" applyBorder="1" applyFont="1">
      <alignment shrinkToFit="0" vertical="bottom" wrapText="0"/>
    </xf>
    <xf borderId="1" fillId="0" fontId="22" numFmtId="0" xfId="0" applyBorder="1" applyFont="1"/>
    <xf borderId="1" fillId="2" fontId="2" numFmtId="0" xfId="0" applyBorder="1" applyFont="1"/>
    <xf borderId="1" fillId="0" fontId="18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2" fontId="12" numFmtId="0" xfId="0" applyAlignment="1" applyBorder="1" applyFont="1">
      <alignment horizontal="right" readingOrder="0" shrinkToFit="0" vertical="bottom" wrapText="0"/>
    </xf>
    <xf borderId="1" fillId="0" fontId="18" numFmtId="0" xfId="0" applyAlignment="1" applyBorder="1" applyFont="1">
      <alignment horizontal="right" readingOrder="0" shrinkToFit="0" vertical="bottom" wrapText="0"/>
    </xf>
    <xf borderId="1" fillId="12" fontId="12" numFmtId="0" xfId="0" applyAlignment="1" applyBorder="1" applyFill="1" applyFont="1">
      <alignment readingOrder="0" shrinkToFit="0" vertical="bottom" wrapText="0"/>
    </xf>
    <xf borderId="1" fillId="12" fontId="12" numFmtId="0" xfId="0" applyAlignment="1" applyBorder="1" applyFont="1">
      <alignment shrinkToFit="0" vertical="bottom" wrapText="0"/>
    </xf>
    <xf borderId="1" fillId="12" fontId="12" numFmtId="0" xfId="0" applyAlignment="1" applyBorder="1" applyFont="1">
      <alignment horizontal="right" readingOrder="0" shrinkToFit="0" vertical="bottom" wrapText="0"/>
    </xf>
    <xf borderId="1" fillId="12" fontId="18" numFmtId="0" xfId="0" applyAlignment="1" applyBorder="1" applyFont="1">
      <alignment shrinkToFit="0" vertical="bottom" wrapText="0"/>
    </xf>
    <xf borderId="1" fillId="12" fontId="2" numFmtId="0" xfId="0" applyBorder="1" applyFont="1"/>
    <xf borderId="1" fillId="0" fontId="12" numFmtId="0" xfId="0" applyAlignment="1" applyBorder="1" applyFont="1">
      <alignment shrinkToFit="0" vertical="bottom" wrapText="0"/>
    </xf>
    <xf borderId="1" fillId="0" fontId="5" numFmtId="0" xfId="0" applyBorder="1" applyFont="1"/>
    <xf borderId="1" fillId="4" fontId="18" numFmtId="0" xfId="0" applyAlignment="1" applyBorder="1" applyFont="1">
      <alignment readingOrder="0" shrinkToFit="0" vertical="bottom" wrapText="0"/>
    </xf>
    <xf borderId="3" fillId="4" fontId="18" numFmtId="0" xfId="0" applyAlignment="1" applyBorder="1" applyFont="1">
      <alignment readingOrder="0" shrinkToFit="0" vertical="bottom" wrapText="0"/>
    </xf>
    <xf borderId="3" fillId="4" fontId="18" numFmtId="0" xfId="0" applyAlignment="1" applyBorder="1" applyFont="1">
      <alignment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2" fontId="12" numFmtId="0" xfId="0" applyAlignment="1" applyFont="1">
      <alignment shrinkToFit="0" vertical="bottom" wrapText="0"/>
    </xf>
    <xf borderId="0" fillId="2" fontId="12" numFmtId="0" xfId="0" applyAlignment="1" applyFont="1">
      <alignment shrinkToFit="0" vertical="bottom" wrapText="0"/>
    </xf>
    <xf borderId="0" fillId="2" fontId="12" numFmtId="0" xfId="0" applyAlignment="1" applyFont="1">
      <alignment readingOrder="0" shrinkToFit="0" vertical="bottom" wrapText="0"/>
    </xf>
    <xf borderId="3" fillId="0" fontId="12" numFmtId="0" xfId="0" applyAlignment="1" applyBorder="1" applyFont="1">
      <alignment readingOrder="0" shrinkToFit="0" vertical="bottom" wrapText="0"/>
    </xf>
    <xf borderId="3" fillId="0" fontId="12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horizontal="right" readingOrder="0" shrinkToFit="0" vertical="bottom" wrapText="0"/>
    </xf>
    <xf borderId="3" fillId="0" fontId="12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horizontal="right" readingOrder="0" shrinkToFit="0" vertical="bottom" wrapText="0"/>
    </xf>
    <xf borderId="5" fillId="0" fontId="12" numFmtId="0" xfId="0" applyAlignment="1" applyBorder="1" applyFont="1">
      <alignment readingOrder="0" shrinkToFit="0" vertical="bottom" wrapText="0"/>
    </xf>
    <xf borderId="5" fillId="0" fontId="12" numFmtId="0" xfId="0" applyAlignment="1" applyBorder="1" applyFont="1">
      <alignment horizontal="right" readingOrder="0" shrinkToFit="0" vertical="bottom" wrapText="0"/>
    </xf>
    <xf borderId="5" fillId="0" fontId="12" numFmtId="0" xfId="0" applyAlignment="1" applyBorder="1" applyFont="1">
      <alignment shrinkToFit="0" vertical="bottom" wrapText="0"/>
    </xf>
    <xf borderId="5" fillId="2" fontId="12" numFmtId="0" xfId="0" applyAlignment="1" applyBorder="1" applyFont="1">
      <alignment readingOrder="0" shrinkToFit="0" vertical="bottom" wrapText="0"/>
    </xf>
    <xf borderId="5" fillId="2" fontId="12" numFmtId="0" xfId="0" applyAlignment="1" applyBorder="1" applyFont="1">
      <alignment horizontal="right" readingOrder="0" shrinkToFit="0" vertical="bottom" wrapText="0"/>
    </xf>
    <xf borderId="5" fillId="2" fontId="12" numFmtId="0" xfId="0" applyAlignment="1" applyBorder="1" applyFont="1">
      <alignment shrinkToFit="0" vertical="bottom" wrapText="0"/>
    </xf>
    <xf borderId="4" fillId="2" fontId="12" numFmtId="0" xfId="0" applyAlignment="1" applyBorder="1" applyFont="1">
      <alignment horizontal="right" readingOrder="0" shrinkToFit="0" vertical="bottom" wrapText="0"/>
    </xf>
    <xf borderId="5" fillId="2" fontId="12" numFmtId="0" xfId="0" applyAlignment="1" applyBorder="1" applyFont="1">
      <alignment shrinkToFit="0" vertical="bottom" wrapText="0"/>
    </xf>
    <xf borderId="4" fillId="3" fontId="12" numFmtId="0" xfId="0" applyAlignment="1" applyBorder="1" applyFont="1">
      <alignment horizontal="right" readingOrder="0" shrinkToFit="0" vertical="bottom" wrapText="0"/>
    </xf>
    <xf borderId="5" fillId="3" fontId="12" numFmtId="0" xfId="0" applyAlignment="1" applyBorder="1" applyFont="1">
      <alignment readingOrder="0" shrinkToFit="0" vertical="bottom" wrapText="0"/>
    </xf>
    <xf borderId="5" fillId="3" fontId="12" numFmtId="0" xfId="0" applyAlignment="1" applyBorder="1" applyFont="1">
      <alignment shrinkToFit="0" vertical="bottom" wrapText="0"/>
    </xf>
    <xf borderId="5" fillId="3" fontId="12" numFmtId="0" xfId="0" applyAlignment="1" applyBorder="1" applyFont="1">
      <alignment horizontal="right" readingOrder="0" shrinkToFit="0" vertical="bottom" wrapText="0"/>
    </xf>
    <xf borderId="0" fillId="3" fontId="12" numFmtId="0" xfId="0" applyAlignment="1" applyFont="1">
      <alignment shrinkToFit="0" vertical="bottom" wrapText="0"/>
    </xf>
    <xf borderId="1" fillId="3" fontId="2" numFmtId="0" xfId="0" applyBorder="1" applyFont="1"/>
    <xf borderId="1" fillId="2" fontId="12" numFmtId="0" xfId="0" applyAlignment="1" applyBorder="1" applyFont="1">
      <alignment shrinkToFit="0" vertical="bottom" wrapText="0"/>
    </xf>
    <xf borderId="1" fillId="2" fontId="18" numFmtId="0" xfId="0" applyAlignment="1" applyBorder="1" applyFont="1">
      <alignment readingOrder="0" shrinkToFit="0" vertical="bottom" wrapText="0"/>
    </xf>
    <xf borderId="3" fillId="2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3" fillId="2" fontId="3" numFmtId="0" xfId="0" applyAlignment="1" applyBorder="1" applyFont="1">
      <alignment readingOrder="0" vertical="bottom"/>
    </xf>
    <xf borderId="3" fillId="2" fontId="3" numFmtId="164" xfId="0" applyAlignment="1" applyBorder="1" applyFont="1" applyNumberFormat="1">
      <alignment vertical="bottom"/>
    </xf>
    <xf borderId="5" fillId="2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5" fillId="2" fontId="3" numFmtId="0" xfId="0" applyAlignment="1" applyBorder="1" applyFont="1">
      <alignment readingOrder="0" vertical="bottom"/>
    </xf>
    <xf borderId="5" fillId="2" fontId="3" numFmtId="164" xfId="0" applyAlignment="1" applyBorder="1" applyFont="1" applyNumberFormat="1">
      <alignment vertical="bottom"/>
    </xf>
    <xf borderId="5" fillId="2" fontId="18" numFmtId="0" xfId="0" applyAlignment="1" applyBorder="1" applyFont="1">
      <alignment readingOrder="0" shrinkToFit="0" vertical="bottom" wrapText="0"/>
    </xf>
    <xf borderId="5" fillId="2" fontId="2" numFmtId="0" xfId="0" applyBorder="1" applyFont="1"/>
    <xf borderId="5" fillId="0" fontId="3" numFmtId="0" xfId="0" applyAlignment="1" applyBorder="1" applyFont="1">
      <alignment vertical="bottom"/>
    </xf>
    <xf borderId="5" fillId="0" fontId="18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vertical="bottom"/>
    </xf>
    <xf borderId="5" fillId="0" fontId="12" numFmtId="0" xfId="0" applyAlignment="1" applyBorder="1" applyFont="1">
      <alignment shrinkToFit="0" vertical="bottom" wrapText="0"/>
    </xf>
    <xf borderId="5" fillId="0" fontId="2" numFmtId="0" xfId="0" applyBorder="1" applyFont="1"/>
    <xf borderId="5" fillId="0" fontId="18" numFmtId="0" xfId="0" applyAlignment="1" applyBorder="1" applyFont="1">
      <alignment horizontal="right" readingOrder="0" shrinkToFit="0" vertical="bottom" wrapText="0"/>
    </xf>
    <xf borderId="5" fillId="0" fontId="18" numFmtId="0" xfId="0" applyAlignment="1" applyBorder="1" applyFont="1">
      <alignment shrinkToFit="0" vertical="bottom" wrapText="0"/>
    </xf>
    <xf borderId="1" fillId="0" fontId="18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1" fillId="0" fontId="23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1" fillId="0" fontId="24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horizontal="left" readingOrder="0" vertical="bottom"/>
    </xf>
    <xf borderId="1" fillId="2" fontId="25" numFmtId="0" xfId="0" applyAlignment="1" applyBorder="1" applyFont="1">
      <alignment vertical="bottom"/>
    </xf>
    <xf borderId="1" fillId="2" fontId="25" numFmtId="164" xfId="0" applyAlignment="1" applyBorder="1" applyFont="1" applyNumberFormat="1">
      <alignment horizontal="center" vertical="bottom"/>
    </xf>
    <xf borderId="1" fillId="2" fontId="25" numFmtId="0" xfId="0" applyAlignment="1" applyBorder="1" applyFont="1">
      <alignment horizontal="left" vertical="bottom"/>
    </xf>
    <xf borderId="1" fillId="2" fontId="25" numFmtId="0" xfId="0" applyAlignment="1" applyBorder="1" applyFont="1">
      <alignment horizontal="center" vertical="bottom"/>
    </xf>
    <xf borderId="1" fillId="2" fontId="25" numFmtId="3" xfId="0" applyAlignment="1" applyBorder="1" applyFont="1" applyNumberFormat="1">
      <alignment vertical="bottom"/>
    </xf>
    <xf borderId="1" fillId="2" fontId="17" numFmtId="0" xfId="0" applyAlignment="1" applyBorder="1" applyFont="1">
      <alignment readingOrder="0"/>
    </xf>
    <xf borderId="1" fillId="2" fontId="17" numFmtId="0" xfId="0" applyBorder="1" applyFont="1"/>
    <xf borderId="1" fillId="2" fontId="17" numFmtId="3" xfId="0" applyBorder="1" applyFont="1" applyNumberFormat="1"/>
    <xf borderId="1" fillId="2" fontId="3" numFmtId="3" xfId="0" applyAlignment="1" applyBorder="1" applyFont="1" applyNumberFormat="1">
      <alignment vertical="bottom"/>
    </xf>
    <xf borderId="1" fillId="2" fontId="2" numFmtId="3" xfId="0" applyBorder="1" applyFont="1" applyNumberFormat="1"/>
    <xf borderId="1" fillId="2" fontId="3" numFmtId="4" xfId="0" applyAlignment="1" applyBorder="1" applyFont="1" applyNumberFormat="1">
      <alignment vertical="bottom"/>
    </xf>
    <xf borderId="1" fillId="2" fontId="2" numFmtId="4" xfId="0" applyBorder="1" applyFont="1" applyNumberFormat="1"/>
    <xf borderId="1" fillId="2" fontId="3" numFmtId="165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left" vertical="bottom"/>
    </xf>
    <xf borderId="1" fillId="6" fontId="3" numFmtId="0" xfId="0" applyAlignment="1" applyBorder="1" applyFont="1">
      <alignment readingOrder="0" vertical="bottom"/>
    </xf>
    <xf borderId="1" fillId="6" fontId="2" numFmtId="0" xfId="0" applyBorder="1" applyFont="1"/>
    <xf borderId="1" fillId="2" fontId="3" numFmtId="3" xfId="0" applyAlignment="1" applyBorder="1" applyFont="1" applyNumberFormat="1">
      <alignment readingOrder="0" vertical="bottom"/>
    </xf>
    <xf borderId="1" fillId="2" fontId="3" numFmtId="4" xfId="0" applyAlignment="1" applyBorder="1" applyFont="1" applyNumberFormat="1">
      <alignment readingOrder="0" vertical="bottom"/>
    </xf>
    <xf borderId="1" fillId="3" fontId="3" numFmtId="0" xfId="0" applyAlignment="1" applyBorder="1" applyFont="1">
      <alignment horizontal="left" vertical="bottom"/>
    </xf>
    <xf borderId="1" fillId="3" fontId="3" numFmtId="165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1" fillId="2" fontId="3" numFmtId="3" xfId="0" applyAlignment="1" applyBorder="1" applyFont="1" applyNumberFormat="1">
      <alignment horizontal="right" readingOrder="0" vertical="bottom"/>
    </xf>
    <xf borderId="1" fillId="2" fontId="3" numFmtId="3" xfId="0" applyAlignment="1" applyBorder="1" applyFont="1" applyNumberFormat="1">
      <alignment horizontal="right" vertical="bottom"/>
    </xf>
    <xf borderId="1" fillId="6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horizontal="right" readingOrder="0" vertical="bottom"/>
    </xf>
    <xf borderId="3" fillId="2" fontId="3" numFmtId="0" xfId="0" applyAlignment="1" applyBorder="1" applyFont="1">
      <alignment horizontal="center" vertical="bottom"/>
    </xf>
    <xf borderId="3" fillId="2" fontId="3" numFmtId="164" xfId="0" applyAlignment="1" applyBorder="1" applyFont="1" applyNumberFormat="1">
      <alignment horizontal="right" vertical="bottom"/>
    </xf>
    <xf borderId="3" fillId="2" fontId="3" numFmtId="0" xfId="0" applyAlignment="1" applyBorder="1" applyFont="1">
      <alignment horizontal="right" readingOrder="0" vertical="bottom"/>
    </xf>
    <xf borderId="3" fillId="2" fontId="3" numFmtId="0" xfId="0" applyAlignment="1" applyBorder="1" applyFont="1">
      <alignment horizontal="right" vertical="bottom"/>
    </xf>
    <xf borderId="4" fillId="0" fontId="3" numFmtId="165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horizontal="right" vertical="bottom"/>
    </xf>
    <xf borderId="1" fillId="0" fontId="2" numFmtId="3" xfId="0" applyBorder="1" applyFont="1" applyNumberFormat="1"/>
    <xf borderId="4" fillId="2" fontId="3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2" fontId="3" numFmtId="164" xfId="0" applyAlignment="1" applyBorder="1" applyFont="1" applyNumberFormat="1">
      <alignment horizontal="right" vertical="bottom"/>
    </xf>
    <xf borderId="5" fillId="2" fontId="3" numFmtId="0" xfId="0" applyAlignment="1" applyBorder="1" applyFont="1">
      <alignment horizontal="right" vertical="bottom"/>
    </xf>
    <xf borderId="4" fillId="6" fontId="3" numFmtId="0" xfId="0" applyAlignment="1" applyBorder="1" applyFont="1">
      <alignment horizontal="center" vertical="bottom"/>
    </xf>
    <xf borderId="5" fillId="6" fontId="3" numFmtId="0" xfId="0" applyAlignment="1" applyBorder="1" applyFont="1">
      <alignment vertical="bottom"/>
    </xf>
    <xf borderId="5" fillId="6" fontId="3" numFmtId="0" xfId="0" applyAlignment="1" applyBorder="1" applyFont="1">
      <alignment horizontal="center" vertical="bottom"/>
    </xf>
    <xf borderId="5" fillId="6" fontId="3" numFmtId="164" xfId="0" applyAlignment="1" applyBorder="1" applyFont="1" applyNumberFormat="1">
      <alignment horizontal="right" vertical="bottom"/>
    </xf>
    <xf borderId="5" fillId="6" fontId="3" numFmtId="0" xfId="0" applyAlignment="1" applyBorder="1" applyFont="1">
      <alignment horizontal="right" vertical="bottom"/>
    </xf>
    <xf borderId="5" fillId="2" fontId="3" numFmtId="3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right" readingOrder="0" vertical="bottom"/>
    </xf>
    <xf borderId="5" fillId="2" fontId="3" numFmtId="3" xfId="0" applyAlignment="1" applyBorder="1" applyFont="1" applyNumberFormat="1">
      <alignment horizontal="right" readingOrder="0" vertical="bottom"/>
    </xf>
    <xf borderId="4" fillId="3" fontId="3" numFmtId="0" xfId="0" applyAlignment="1" applyBorder="1" applyFont="1">
      <alignment horizontal="center" vertical="bottom"/>
    </xf>
    <xf borderId="5" fillId="3" fontId="3" numFmtId="0" xfId="0" applyAlignment="1" applyBorder="1" applyFont="1">
      <alignment vertical="bottom"/>
    </xf>
    <xf borderId="5" fillId="3" fontId="3" numFmtId="0" xfId="0" applyAlignment="1" applyBorder="1" applyFont="1">
      <alignment horizontal="center" vertical="bottom"/>
    </xf>
    <xf borderId="5" fillId="3" fontId="3" numFmtId="0" xfId="0" applyAlignment="1" applyBorder="1" applyFont="1">
      <alignment horizontal="right" readingOrder="0" vertical="bottom"/>
    </xf>
    <xf borderId="5" fillId="3" fontId="3" numFmtId="0" xfId="0" applyAlignment="1" applyBorder="1" applyFont="1">
      <alignment horizontal="right" vertical="bottom"/>
    </xf>
    <xf borderId="5" fillId="2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4" xfId="0" applyAlignment="1" applyBorder="1" applyFont="1" applyNumberFormat="1">
      <alignment horizontal="right" vertical="bottom"/>
    </xf>
    <xf borderId="1" fillId="0" fontId="2" numFmtId="4" xfId="0" applyBorder="1" applyFont="1" applyNumberFormat="1"/>
    <xf borderId="5" fillId="0" fontId="3" numFmtId="0" xfId="0" applyAlignment="1" applyBorder="1" applyFont="1">
      <alignment horizontal="right" readingOrder="0" vertical="bottom"/>
    </xf>
    <xf borderId="5" fillId="6" fontId="3" numFmtId="3" xfId="0" applyAlignment="1" applyBorder="1" applyFont="1" applyNumberFormat="1">
      <alignment vertical="bottom"/>
    </xf>
    <xf borderId="5" fillId="2" fontId="3" numFmtId="4" xfId="0" applyAlignment="1" applyBorder="1" applyFont="1" applyNumberFormat="1">
      <alignment horizontal="right" readingOrder="0" vertical="bottom"/>
    </xf>
    <xf borderId="7" fillId="2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1" fillId="6" fontId="3" numFmtId="164" xfId="0" applyAlignment="1" applyBorder="1" applyFont="1" applyNumberFormat="1">
      <alignment vertical="bottom"/>
    </xf>
    <xf borderId="2" fillId="2" fontId="3" numFmtId="0" xfId="0" applyAlignment="1" applyBorder="1" applyFont="1">
      <alignment horizontal="center" readingOrder="0" vertical="bottom"/>
    </xf>
    <xf borderId="6" fillId="2" fontId="3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horizontal="center" readingOrder="0" vertical="bottom"/>
    </xf>
    <xf borderId="1" fillId="2" fontId="3" numFmtId="164" xfId="0" applyAlignment="1" applyBorder="1" applyFont="1" applyNumberFormat="1">
      <alignment vertical="bottom"/>
    </xf>
    <xf borderId="1" fillId="6" fontId="3" numFmtId="0" xfId="0" applyAlignment="1" applyBorder="1" applyFont="1">
      <alignment horizontal="right" readingOrder="0" vertical="bottom"/>
    </xf>
    <xf borderId="1" fillId="2" fontId="3" numFmtId="165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164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right" vertical="bottom"/>
    </xf>
    <xf borderId="4" fillId="0" fontId="3" numFmtId="164" xfId="0" applyAlignment="1" applyBorder="1" applyFont="1" applyNumberFormat="1">
      <alignment horizontal="center" vertical="bottom"/>
    </xf>
    <xf borderId="4" fillId="2" fontId="3" numFmtId="164" xfId="0" applyAlignment="1" applyBorder="1" applyFont="1" applyNumberFormat="1">
      <alignment horizontal="center" vertical="bottom"/>
    </xf>
    <xf borderId="3" fillId="2" fontId="3" numFmtId="165" xfId="0" applyAlignment="1" applyBorder="1" applyFont="1" applyNumberFormat="1">
      <alignment vertical="bottom"/>
    </xf>
    <xf borderId="4" fillId="2" fontId="3" numFmtId="165" xfId="0" applyAlignment="1" applyBorder="1" applyFont="1" applyNumberFormat="1">
      <alignment horizontal="center" vertical="bottom"/>
    </xf>
    <xf borderId="5" fillId="2" fontId="3" numFmtId="165" xfId="0" applyAlignment="1" applyBorder="1" applyFont="1" applyNumberFormat="1">
      <alignment horizontal="right" vertical="bottom"/>
    </xf>
    <xf borderId="5" fillId="2" fontId="3" numFmtId="165" xfId="0" applyAlignment="1" applyBorder="1" applyFont="1" applyNumberFormat="1">
      <alignment vertical="bottom"/>
    </xf>
    <xf borderId="3" fillId="6" fontId="3" numFmtId="0" xfId="0" applyAlignment="1" applyBorder="1" applyFont="1">
      <alignment vertical="bottom"/>
    </xf>
    <xf borderId="3" fillId="6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vertical="bottom"/>
    </xf>
    <xf borderId="4" fillId="0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4" fillId="6" fontId="3" numFmtId="0" xfId="0" applyAlignment="1" applyBorder="1" applyFont="1">
      <alignment vertical="bottom"/>
    </xf>
    <xf borderId="8" fillId="2" fontId="3" numFmtId="0" xfId="0" applyAlignment="1" applyBorder="1" applyFont="1">
      <alignment vertical="bottom"/>
    </xf>
    <xf borderId="9" fillId="2" fontId="3" numFmtId="0" xfId="0" applyAlignment="1" applyBorder="1" applyFont="1">
      <alignment vertical="bottom"/>
    </xf>
    <xf borderId="9" fillId="2" fontId="3" numFmtId="0" xfId="0" applyAlignment="1" applyBorder="1" applyFont="1">
      <alignment horizontal="right" vertical="bottom"/>
    </xf>
    <xf borderId="8" fillId="2" fontId="3" numFmtId="0" xfId="0" applyAlignment="1" applyBorder="1" applyFont="1">
      <alignment horizontal="right" vertical="bottom"/>
    </xf>
    <xf borderId="10" fillId="0" fontId="3" numFmtId="0" xfId="0" applyAlignment="1" applyBorder="1" applyFont="1">
      <alignment vertical="bottom"/>
    </xf>
    <xf borderId="10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3" xfId="0" applyAlignment="1" applyBorder="1" applyFont="1" applyNumberFormat="1">
      <alignment horizontal="right" vertical="bottom"/>
    </xf>
    <xf borderId="4" fillId="2" fontId="3" numFmtId="0" xfId="0" applyAlignment="1" applyBorder="1" applyFont="1">
      <alignment vertical="bottom"/>
    </xf>
    <xf borderId="11" fillId="2" fontId="3" numFmtId="0" xfId="0" applyAlignment="1" applyBorder="1" applyFont="1">
      <alignment horizontal="center" readingOrder="0" vertical="bottom"/>
    </xf>
    <xf borderId="10" fillId="0" fontId="7" numFmtId="0" xfId="0" applyBorder="1" applyFont="1"/>
    <xf borderId="5" fillId="0" fontId="7" numFmtId="0" xfId="0" applyBorder="1" applyFont="1"/>
    <xf borderId="5" fillId="2" fontId="3" numFmtId="4" xfId="0" applyAlignment="1" applyBorder="1" applyFont="1" applyNumberFormat="1">
      <alignment horizontal="right" vertical="bottom"/>
    </xf>
    <xf borderId="1" fillId="13" fontId="2" numFmtId="0" xfId="0" applyBorder="1" applyFill="1" applyFont="1"/>
    <xf borderId="4" fillId="13" fontId="3" numFmtId="0" xfId="0" applyAlignment="1" applyBorder="1" applyFont="1">
      <alignment vertical="bottom"/>
    </xf>
    <xf borderId="5" fillId="13" fontId="3" numFmtId="0" xfId="0" applyAlignment="1" applyBorder="1" applyFont="1">
      <alignment vertical="bottom"/>
    </xf>
    <xf borderId="5" fillId="13" fontId="3" numFmtId="0" xfId="0" applyAlignment="1" applyBorder="1" applyFont="1">
      <alignment horizontal="right" vertical="bottom"/>
    </xf>
    <xf borderId="5" fillId="13" fontId="3" numFmtId="164" xfId="0" applyAlignment="1" applyBorder="1" applyFont="1" applyNumberFormat="1">
      <alignment horizontal="right" vertical="bottom"/>
    </xf>
    <xf borderId="5" fillId="13" fontId="3" numFmtId="0" xfId="0" applyAlignment="1" applyBorder="1" applyFont="1">
      <alignment horizontal="right" readingOrder="0" vertical="bottom"/>
    </xf>
    <xf borderId="1" fillId="13" fontId="2" numFmtId="0" xfId="0" applyAlignment="1" applyBorder="1" applyFont="1">
      <alignment readingOrder="0"/>
    </xf>
    <xf borderId="7" fillId="2" fontId="3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17" numFmtId="0" xfId="0" applyBorder="1" applyFont="1"/>
    <xf borderId="1" fillId="0" fontId="17" numFmtId="1" xfId="0" applyBorder="1" applyFont="1" applyNumberFormat="1"/>
    <xf borderId="2" fillId="0" fontId="17" numFmtId="0" xfId="0" applyAlignment="1" applyBorder="1" applyFont="1">
      <alignment readingOrder="0"/>
    </xf>
    <xf borderId="0" fillId="0" fontId="26" numFmtId="0" xfId="0" applyAlignment="1" applyFont="1">
      <alignment horizontal="left" readingOrder="0" shrinkToFit="0" vertical="bottom" wrapText="1"/>
    </xf>
    <xf borderId="0" fillId="0" fontId="26" numFmtId="171" xfId="0" applyAlignment="1" applyFont="1" applyNumberFormat="1">
      <alignment horizontal="center" readingOrder="0" shrinkToFit="0" vertical="bottom" wrapText="1"/>
    </xf>
    <xf borderId="2" fillId="0" fontId="27" numFmtId="0" xfId="0" applyAlignment="1" applyBorder="1" applyFont="1">
      <alignment horizontal="left" readingOrder="0"/>
    </xf>
    <xf borderId="0" fillId="0" fontId="28" numFmtId="1" xfId="0" applyFont="1" applyNumberFormat="1"/>
    <xf borderId="3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left" vertical="bottom"/>
    </xf>
    <xf borderId="3" fillId="0" fontId="3" numFmtId="0" xfId="0" applyAlignment="1" applyBorder="1" applyFont="1">
      <alignment horizontal="left" vertical="bottom"/>
    </xf>
    <xf borderId="3" fillId="0" fontId="3" numFmtId="0" xfId="0" applyAlignment="1" applyBorder="1" applyFont="1">
      <alignment horizontal="right" readingOrder="0" vertical="bottom"/>
    </xf>
    <xf borderId="3" fillId="0" fontId="3" numFmtId="0" xfId="0" applyAlignment="1" applyBorder="1" applyFont="1">
      <alignment readingOrder="0" vertical="bottom"/>
    </xf>
    <xf borderId="5" fillId="0" fontId="3" numFmtId="3" xfId="0" applyAlignment="1" applyBorder="1" applyFont="1" applyNumberFormat="1">
      <alignment horizontal="right" readingOrder="0" vertical="bottom"/>
    </xf>
    <xf borderId="5" fillId="0" fontId="3" numFmtId="164" xfId="0" applyAlignment="1" applyBorder="1" applyFont="1" applyNumberFormat="1">
      <alignment vertical="bottom"/>
    </xf>
    <xf borderId="0" fillId="0" fontId="28" numFmtId="0" xfId="0" applyFont="1"/>
    <xf borderId="0" fillId="0" fontId="29" numFmtId="171" xfId="0" applyAlignment="1" applyFont="1" applyNumberFormat="1">
      <alignment horizontal="center" readingOrder="0"/>
    </xf>
    <xf borderId="4" fillId="0" fontId="3" numFmtId="164" xfId="0" applyAlignment="1" applyBorder="1" applyFont="1" applyNumberFormat="1">
      <alignment horizontal="left" vertical="bottom"/>
    </xf>
    <xf borderId="3" fillId="0" fontId="3" numFmtId="164" xfId="0" applyAlignment="1" applyBorder="1" applyFont="1" applyNumberFormat="1">
      <alignment horizontal="left" vertical="bottom"/>
    </xf>
    <xf borderId="4" fillId="0" fontId="3" numFmtId="0" xfId="0" applyAlignment="1" applyBorder="1" applyFont="1">
      <alignment horizontal="left" readingOrder="0" vertical="bottom"/>
    </xf>
    <xf borderId="10" fillId="0" fontId="3" numFmtId="4" xfId="0" applyAlignment="1" applyBorder="1" applyFont="1" applyNumberFormat="1">
      <alignment horizontal="right" vertical="bottom"/>
    </xf>
    <xf borderId="5" fillId="4" fontId="3" numFmtId="0" xfId="0" applyAlignment="1" applyBorder="1" applyFont="1">
      <alignment horizontal="center" vertical="bottom"/>
    </xf>
    <xf borderId="5" fillId="0" fontId="3" numFmtId="3" xfId="0" applyAlignment="1" applyBorder="1" applyFont="1" applyNumberFormat="1">
      <alignment vertical="bottom"/>
    </xf>
    <xf borderId="0" fillId="0" fontId="27" numFmtId="0" xfId="0" applyAlignment="1" applyFont="1">
      <alignment readingOrder="0"/>
    </xf>
    <xf borderId="3" fillId="0" fontId="3" numFmtId="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0" fillId="0" fontId="30" numFmtId="0" xfId="0" applyFont="1"/>
    <xf borderId="0" fillId="0" fontId="31" numFmtId="172" xfId="0" applyAlignment="1" applyFont="1" applyNumberFormat="1">
      <alignment horizontal="left" readingOrder="0"/>
    </xf>
    <xf borderId="3" fillId="0" fontId="3" numFmtId="164" xfId="0" applyAlignment="1" applyBorder="1" applyFont="1" applyNumberFormat="1">
      <alignment vertical="bottom"/>
    </xf>
    <xf borderId="0" fillId="0" fontId="32" numFmtId="172" xfId="0" applyAlignment="1" applyFont="1" applyNumberFormat="1">
      <alignment horizontal="center" readingOrder="0"/>
    </xf>
    <xf borderId="7" fillId="0" fontId="3" numFmtId="3" xfId="0" applyAlignment="1" applyBorder="1" applyFont="1" applyNumberFormat="1">
      <alignment horizontal="right" vertical="bottom"/>
    </xf>
    <xf borderId="10" fillId="0" fontId="3" numFmtId="3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center" vertical="bottom"/>
    </xf>
    <xf borderId="3" fillId="2" fontId="4" numFmtId="0" xfId="0" applyAlignment="1" applyBorder="1" applyFont="1">
      <alignment horizontal="left" vertical="bottom"/>
    </xf>
    <xf borderId="3" fillId="2" fontId="4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3" fillId="2" fontId="4" numFmtId="0" xfId="0" applyAlignment="1" applyBorder="1" applyFont="1">
      <alignment horizontal="right" vertical="bottom"/>
    </xf>
    <xf borderId="3" fillId="2" fontId="4" numFmtId="3" xfId="0" applyAlignment="1" applyBorder="1" applyFont="1" applyNumberFormat="1">
      <alignment horizontal="right" vertical="bottom"/>
    </xf>
    <xf borderId="0" fillId="2" fontId="5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5" fillId="2" fontId="4" numFmtId="0" xfId="0" applyAlignment="1" applyBorder="1" applyFont="1">
      <alignment horizontal="left" vertical="bottom"/>
    </xf>
    <xf borderId="5" fillId="2" fontId="4" numFmtId="0" xfId="0" applyAlignment="1" applyBorder="1" applyFont="1">
      <alignment vertical="bottom"/>
    </xf>
    <xf borderId="5" fillId="2" fontId="5" numFmtId="0" xfId="0" applyAlignment="1" applyBorder="1" applyFont="1">
      <alignment vertical="bottom"/>
    </xf>
    <xf borderId="5" fillId="2" fontId="4" numFmtId="0" xfId="0" applyAlignment="1" applyBorder="1" applyFont="1">
      <alignment horizontal="right" vertical="bottom"/>
    </xf>
    <xf borderId="5" fillId="2" fontId="4" numFmtId="0" xfId="0" applyAlignment="1" applyBorder="1" applyFont="1">
      <alignment readingOrder="0" vertical="bottom"/>
    </xf>
    <xf borderId="5" fillId="2" fontId="4" numFmtId="3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0" fillId="0" fontId="33" numFmtId="0" xfId="0" applyAlignment="1" applyFont="1">
      <alignment readingOrder="0"/>
    </xf>
    <xf borderId="7" fillId="0" fontId="9" numFmtId="0" xfId="0" applyAlignment="1" applyBorder="1" applyFont="1">
      <alignment readingOrder="0" vertical="bottom"/>
    </xf>
    <xf borderId="5" fillId="0" fontId="9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readingOrder="0" vertical="bottom"/>
    </xf>
    <xf borderId="7" fillId="0" fontId="9" numFmtId="0" xfId="0" applyAlignment="1" applyBorder="1" applyFont="1">
      <alignment horizontal="right" readingOrder="0" vertical="bottom"/>
    </xf>
    <xf borderId="7" fillId="0" fontId="3" numFmtId="4" xfId="0" applyAlignment="1" applyBorder="1" applyFont="1" applyNumberFormat="1">
      <alignment horizontal="right" vertical="bottom"/>
    </xf>
    <xf borderId="1" fillId="0" fontId="33" numFmtId="0" xfId="0" applyAlignment="1" applyBorder="1" applyFont="1">
      <alignment readingOrder="0"/>
    </xf>
    <xf borderId="1" fillId="0" fontId="9" numFmtId="0" xfId="0" applyAlignment="1" applyBorder="1" applyFont="1">
      <alignment horizontal="left" readingOrder="0" vertical="bottom"/>
    </xf>
    <xf borderId="1" fillId="0" fontId="9" numFmtId="0" xfId="0" applyAlignment="1" applyBorder="1" applyFont="1">
      <alignment readingOrder="0" vertical="bottom"/>
    </xf>
    <xf borderId="3" fillId="13" fontId="3" numFmtId="0" xfId="0" applyAlignment="1" applyBorder="1" applyFont="1">
      <alignment vertical="bottom"/>
    </xf>
    <xf borderId="7" fillId="13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5" fillId="14" fontId="34" numFmtId="0" xfId="0" applyAlignment="1" applyBorder="1" applyFill="1" applyFont="1">
      <alignment vertical="bottom"/>
    </xf>
    <xf borderId="5" fillId="0" fontId="3" numFmtId="4" xfId="0" applyAlignment="1" applyBorder="1" applyFont="1" applyNumberFormat="1">
      <alignment horizontal="right" readingOrder="0" vertical="bottom"/>
    </xf>
    <xf borderId="1" fillId="0" fontId="34" numFmtId="0" xfId="0" applyAlignment="1" applyBorder="1" applyFont="1">
      <alignment horizontal="left" vertical="bottom"/>
    </xf>
    <xf borderId="5" fillId="14" fontId="34" numFmtId="0" xfId="0" applyAlignment="1" applyBorder="1" applyFont="1">
      <alignment horizontal="left" vertical="bottom"/>
    </xf>
    <xf borderId="5" fillId="14" fontId="34" numFmtId="0" xfId="0" applyAlignment="1" applyBorder="1" applyFont="1">
      <alignment horizontal="right" vertical="bottom"/>
    </xf>
    <xf borderId="5" fillId="14" fontId="34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/>
    </xf>
    <xf borderId="1" fillId="0" fontId="34" numFmtId="0" xfId="0" applyAlignment="1" applyBorder="1" applyFont="1">
      <alignment horizontal="right" vertical="bottom"/>
    </xf>
    <xf borderId="1" fillId="0" fontId="34" numFmtId="0" xfId="0" applyAlignment="1" applyBorder="1" applyFont="1">
      <alignment horizontal="right" readingOrder="0" vertical="bottom"/>
    </xf>
    <xf borderId="1" fillId="0" fontId="2" numFmtId="164" xfId="0" applyAlignment="1" applyBorder="1" applyFont="1" applyNumberFormat="1">
      <alignment horizontal="left" readingOrder="0"/>
    </xf>
    <xf borderId="1" fillId="0" fontId="9" numFmtId="0" xfId="0" applyAlignment="1" applyBorder="1" applyFont="1">
      <alignment vertical="bottom"/>
    </xf>
    <xf borderId="1" fillId="4" fontId="3" numFmtId="0" xfId="0" applyAlignment="1" applyBorder="1" applyFont="1">
      <alignment readingOrder="0" vertical="bottom"/>
    </xf>
    <xf borderId="12" fillId="0" fontId="3" numFmtId="164" xfId="0" applyAlignment="1" applyBorder="1" applyFont="1" applyNumberFormat="1">
      <alignment horizontal="left" readingOrder="0" vertical="bottom"/>
    </xf>
    <xf borderId="12" fillId="0" fontId="2" numFmtId="0" xfId="0" applyAlignment="1" applyBorder="1" applyFont="1">
      <alignment readingOrder="0"/>
    </xf>
    <xf borderId="12" fillId="0" fontId="2" numFmtId="0" xfId="0" applyBorder="1" applyFont="1"/>
    <xf borderId="12" fillId="0" fontId="2" numFmtId="0" xfId="0" applyAlignment="1" applyBorder="1" applyFont="1">
      <alignment horizontal="center"/>
    </xf>
    <xf borderId="12" fillId="0" fontId="2" numFmtId="164" xfId="0" applyAlignment="1" applyBorder="1" applyFont="1" applyNumberFormat="1">
      <alignment readingOrder="0"/>
    </xf>
    <xf borderId="0" fillId="5" fontId="2" numFmtId="0" xfId="0" applyAlignment="1" applyFont="1">
      <alignment horizontal="left" readingOrder="0"/>
    </xf>
    <xf borderId="0" fillId="2" fontId="2" numFmtId="0" xfId="0" applyAlignment="1" applyFont="1">
      <alignment horizontal="left"/>
    </xf>
    <xf borderId="0" fillId="0" fontId="10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4" xfId="0" applyAlignment="1" applyFont="1" applyNumberFormat="1">
      <alignment horizontal="right" readingOrder="0" shrinkToFit="0" vertical="bottom" wrapText="0"/>
    </xf>
    <xf borderId="0" fillId="0" fontId="10" numFmtId="4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0" fontId="3" numFmtId="165" xfId="0" applyAlignment="1" applyBorder="1" applyFont="1" applyNumberFormat="1">
      <alignment horizontal="left" vertical="bottom"/>
    </xf>
    <xf borderId="1" fillId="0" fontId="5" numFmtId="0" xfId="0" applyAlignment="1" applyBorder="1" applyFont="1">
      <alignment readingOrder="0" vertical="bottom"/>
    </xf>
    <xf borderId="2" fillId="0" fontId="3" numFmtId="4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horizontal="right" vertical="bottom"/>
    </xf>
    <xf borderId="2" fillId="0" fontId="3" numFmtId="4" xfId="0" applyAlignment="1" applyBorder="1" applyFont="1" applyNumberFormat="1">
      <alignment horizontal="right" readingOrder="0" vertical="bottom"/>
    </xf>
    <xf borderId="2" fillId="5" fontId="3" numFmtId="4" xfId="0" applyAlignment="1" applyBorder="1" applyFont="1" applyNumberFormat="1">
      <alignment horizontal="right" vertical="bottom"/>
    </xf>
    <xf borderId="13" fillId="0" fontId="28" numFmtId="0" xfId="0" applyAlignment="1" applyBorder="1" applyFont="1">
      <alignment horizontal="center" readingOrder="0" vertical="center"/>
    </xf>
    <xf borderId="8" fillId="0" fontId="7" numFmtId="0" xfId="0" applyBorder="1" applyFont="1"/>
    <xf borderId="14" fillId="0" fontId="7" numFmtId="0" xfId="0" applyBorder="1" applyFont="1"/>
    <xf borderId="7" fillId="0" fontId="7" numFmtId="0" xfId="0" applyBorder="1" applyFont="1"/>
    <xf borderId="2" fillId="5" fontId="3" numFmtId="0" xfId="0" applyAlignment="1" applyBorder="1" applyFont="1">
      <alignment horizontal="right" vertical="bottom"/>
    </xf>
    <xf borderId="11" fillId="0" fontId="7" numFmtId="0" xfId="0" applyBorder="1" applyFont="1"/>
    <xf borderId="1" fillId="5" fontId="3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shrinkToFit="0" vertical="bottom" wrapText="0"/>
    </xf>
    <xf borderId="1" fillId="4" fontId="3" numFmtId="164" xfId="0" applyAlignment="1" applyBorder="1" applyFont="1" applyNumberFormat="1">
      <alignment horizontal="left" vertical="bottom"/>
    </xf>
    <xf borderId="0" fillId="2" fontId="3" numFmtId="4" xfId="0" applyAlignment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horizontal="right" vertical="bottom"/>
    </xf>
    <xf borderId="0" fillId="2" fontId="3" numFmtId="0" xfId="0" applyAlignment="1" applyFont="1">
      <alignment horizontal="right" vertical="bottom"/>
    </xf>
    <xf borderId="1" fillId="4" fontId="3" numFmtId="165" xfId="0" applyAlignment="1" applyBorder="1" applyFont="1" applyNumberFormat="1">
      <alignment horizontal="left" vertical="bottom"/>
    </xf>
    <xf borderId="1" fillId="4" fontId="3" numFmtId="0" xfId="0" applyAlignment="1" applyBorder="1" applyFont="1">
      <alignment horizontal="left" readingOrder="0" vertical="bottom"/>
    </xf>
    <xf borderId="1" fillId="5" fontId="3" numFmtId="173" xfId="0" applyAlignment="1" applyBorder="1" applyFont="1" applyNumberFormat="1">
      <alignment horizontal="right" vertical="bottom"/>
    </xf>
    <xf borderId="0" fillId="4" fontId="3" numFmtId="0" xfId="0" applyAlignment="1" applyFont="1">
      <alignment horizontal="left" vertical="bottom"/>
    </xf>
    <xf borderId="0" fillId="4" fontId="3" numFmtId="164" xfId="0" applyAlignment="1" applyFont="1" applyNumberFormat="1">
      <alignment vertical="bottom"/>
    </xf>
    <xf borderId="0" fillId="4" fontId="3" numFmtId="164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4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1" fillId="0" fontId="3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readingOrder="0" vertical="bottom"/>
    </xf>
    <xf borderId="0" fillId="0" fontId="3" numFmtId="165" xfId="0" applyAlignment="1" applyFont="1" applyNumberFormat="1">
      <alignment vertical="bottom"/>
    </xf>
    <xf borderId="1" fillId="5" fontId="3" numFmtId="3" xfId="0" applyAlignment="1" applyBorder="1" applyFont="1" applyNumberFormat="1">
      <alignment vertical="bottom"/>
    </xf>
    <xf borderId="1" fillId="2" fontId="1" numFmtId="0" xfId="0" applyAlignment="1" applyBorder="1" applyFont="1">
      <alignment horizontal="center" readingOrder="0" shrinkToFit="0" vertical="bottom" wrapText="1"/>
    </xf>
    <xf borderId="0" fillId="0" fontId="35" numFmtId="0" xfId="0" applyAlignment="1" applyFont="1">
      <alignment readingOrder="0" vertical="bottom"/>
    </xf>
    <xf borderId="1" fillId="0" fontId="35" numFmtId="164" xfId="0" applyAlignment="1" applyBorder="1" applyFont="1" applyNumberFormat="1">
      <alignment vertical="bottom"/>
    </xf>
    <xf borderId="3" fillId="0" fontId="35" numFmtId="0" xfId="0" applyAlignment="1" applyBorder="1" applyFont="1">
      <alignment vertical="bottom"/>
    </xf>
    <xf borderId="3" fillId="0" fontId="35" numFmtId="0" xfId="0" applyAlignment="1" applyBorder="1" applyFont="1">
      <alignment horizontal="right" vertical="bottom"/>
    </xf>
    <xf borderId="3" fillId="0" fontId="35" numFmtId="164" xfId="0" applyAlignment="1" applyBorder="1" applyFont="1" applyNumberFormat="1">
      <alignment horizontal="right" vertical="bottom"/>
    </xf>
    <xf borderId="4" fillId="0" fontId="35" numFmtId="164" xfId="0" applyAlignment="1" applyBorder="1" applyFont="1" applyNumberFormat="1">
      <alignment vertical="bottom"/>
    </xf>
    <xf borderId="5" fillId="0" fontId="35" numFmtId="0" xfId="0" applyAlignment="1" applyBorder="1" applyFont="1">
      <alignment vertical="bottom"/>
    </xf>
    <xf borderId="5" fillId="0" fontId="35" numFmtId="0" xfId="0" applyAlignment="1" applyBorder="1" applyFont="1">
      <alignment horizontal="right" vertical="bottom"/>
    </xf>
    <xf borderId="5" fillId="0" fontId="35" numFmtId="164" xfId="0" applyAlignment="1" applyBorder="1" applyFont="1" applyNumberFormat="1">
      <alignment horizontal="right" vertical="bottom"/>
    </xf>
    <xf borderId="5" fillId="0" fontId="35" numFmtId="167" xfId="0" applyAlignment="1" applyBorder="1" applyFont="1" applyNumberFormat="1">
      <alignment horizontal="right" vertical="bottom"/>
    </xf>
    <xf borderId="4" fillId="0" fontId="35" numFmtId="0" xfId="0" applyAlignment="1" applyBorder="1" applyFont="1">
      <alignment vertical="bottom"/>
    </xf>
    <xf borderId="5" fillId="0" fontId="35" numFmtId="4" xfId="0" applyAlignment="1" applyBorder="1" applyFont="1" applyNumberFormat="1">
      <alignment horizontal="right" vertical="bottom"/>
    </xf>
    <xf borderId="5" fillId="2" fontId="35" numFmtId="0" xfId="0" applyAlignment="1" applyBorder="1" applyFont="1">
      <alignment vertical="bottom"/>
    </xf>
    <xf borderId="0" fillId="0" fontId="31" numFmtId="0" xfId="0" applyAlignment="1" applyFont="1">
      <alignment horizontal="center" readingOrder="0"/>
    </xf>
    <xf borderId="1" fillId="4" fontId="3" numFmtId="164" xfId="0" applyAlignment="1" applyBorder="1" applyFont="1" applyNumberFormat="1">
      <alignment horizontal="right" vertical="bottom"/>
    </xf>
    <xf borderId="1" fillId="4" fontId="3" numFmtId="165" xfId="0" applyAlignment="1" applyBorder="1" applyFont="1" applyNumberFormat="1">
      <alignment vertical="bottom"/>
    </xf>
    <xf borderId="1" fillId="15" fontId="3" numFmtId="0" xfId="0" applyAlignment="1" applyBorder="1" applyFill="1" applyFont="1">
      <alignment vertical="bottom"/>
    </xf>
    <xf borderId="1" fillId="0" fontId="2" numFmtId="164" xfId="0" applyBorder="1" applyFont="1" applyNumberFormat="1"/>
    <xf borderId="1" fillId="0" fontId="2" numFmtId="167" xfId="0" applyBorder="1" applyFont="1" applyNumberFormat="1"/>
    <xf borderId="1" fillId="4" fontId="9" numFmtId="0" xfId="0" applyAlignment="1" applyBorder="1" applyFont="1">
      <alignment horizontal="center" shrinkToFit="0" vertical="bottom" wrapText="1"/>
    </xf>
    <xf borderId="1" fillId="4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16" fontId="3" numFmtId="0" xfId="0" applyAlignment="1" applyBorder="1" applyFill="1" applyFont="1">
      <alignment vertical="bottom"/>
    </xf>
    <xf borderId="1" fillId="16" fontId="3" numFmtId="0" xfId="0" applyAlignment="1" applyBorder="1" applyFont="1">
      <alignment horizontal="right" vertical="bottom"/>
    </xf>
    <xf borderId="1" fillId="16" fontId="3" numFmtId="0" xfId="0" applyAlignment="1" applyBorder="1" applyFont="1">
      <alignment horizontal="center" shrinkToFit="0" vertical="bottom" wrapText="1"/>
    </xf>
    <xf borderId="0" fillId="0" fontId="2" numFmtId="164" xfId="0" applyFont="1" applyNumberFormat="1"/>
    <xf borderId="0" fillId="0" fontId="2" numFmtId="167" xfId="0" applyFont="1" applyNumberFormat="1"/>
    <xf borderId="0" fillId="0" fontId="2" numFmtId="4" xfId="0" applyFont="1" applyNumberFormat="1"/>
    <xf borderId="1" fillId="4" fontId="4" numFmtId="0" xfId="0" applyAlignment="1" applyBorder="1" applyFont="1">
      <alignment horizontal="center" shrinkToFit="0" vertical="bottom" wrapText="1"/>
    </xf>
    <xf borderId="1" fillId="4" fontId="3" numFmtId="167" xfId="0" applyAlignment="1" applyBorder="1" applyFont="1" applyNumberFormat="1">
      <alignment horizontal="center" vertical="bottom"/>
    </xf>
    <xf borderId="0" fillId="4" fontId="3" numFmtId="0" xfId="0" applyAlignment="1" applyFont="1">
      <alignment horizontal="right" vertical="bottom"/>
    </xf>
    <xf borderId="1" fillId="0" fontId="3" numFmtId="0" xfId="0" applyAlignment="1" applyBorder="1" applyFont="1">
      <alignment horizontal="right"/>
    </xf>
    <xf borderId="2" fillId="2" fontId="36" numFmtId="172" xfId="0" applyAlignment="1" applyBorder="1" applyFont="1" applyNumberFormat="1">
      <alignment horizontal="center" readingOrder="0" vertical="bottom"/>
    </xf>
    <xf borderId="2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readingOrder="0" shrinkToFit="0" vertical="bottom" wrapText="1"/>
    </xf>
    <xf borderId="3" fillId="2" fontId="2" numFmtId="0" xfId="0" applyBorder="1" applyFont="1"/>
    <xf borderId="1" fillId="0" fontId="37" numFmtId="0" xfId="0" applyAlignment="1" applyBorder="1" applyFont="1">
      <alignment vertical="bottom"/>
    </xf>
    <xf borderId="2" fillId="0" fontId="3" numFmtId="3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0" fillId="0" fontId="17" numFmtId="2" xfId="0" applyFont="1" applyNumberFormat="1"/>
    <xf borderId="0" fillId="0" fontId="23" numFmtId="0" xfId="0" applyAlignment="1" applyFont="1">
      <alignment readingOrder="0"/>
    </xf>
    <xf borderId="0" fillId="0" fontId="23" numFmtId="0" xfId="0" applyFont="1"/>
    <xf borderId="15" fillId="0" fontId="38" numFmtId="0" xfId="0" applyAlignment="1" applyBorder="1" applyFont="1">
      <alignment readingOrder="0"/>
    </xf>
    <xf borderId="15" fillId="0" fontId="38" numFmtId="2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1.22" defaultRowHeight="15.0"/>
  <cols>
    <col customWidth="1" min="1" max="1" width="23.44"/>
    <col customWidth="1" min="2" max="2" width="12.0"/>
    <col customWidth="1" min="3" max="3" width="27.89"/>
    <col customWidth="1" min="5" max="5" width="32.3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7" t="s">
        <v>18</v>
      </c>
      <c r="B2" s="8" t="s">
        <v>19</v>
      </c>
      <c r="C2" s="8" t="s">
        <v>20</v>
      </c>
      <c r="D2" s="7" t="s">
        <v>21</v>
      </c>
      <c r="E2" s="8" t="s">
        <v>22</v>
      </c>
      <c r="F2" s="8" t="s">
        <v>23</v>
      </c>
      <c r="G2" s="7">
        <v>7.98467355E9</v>
      </c>
      <c r="H2" s="8"/>
      <c r="I2" s="7">
        <v>7250.0</v>
      </c>
      <c r="J2" s="7" t="s">
        <v>24</v>
      </c>
      <c r="K2" s="7" t="s">
        <v>25</v>
      </c>
      <c r="L2" s="9" t="s">
        <v>26</v>
      </c>
      <c r="M2" s="7" t="s">
        <v>27</v>
      </c>
      <c r="N2" s="10" t="s">
        <v>28</v>
      </c>
      <c r="O2" s="11">
        <v>16149.0</v>
      </c>
      <c r="P2" s="11">
        <v>16969.0</v>
      </c>
      <c r="Q2" s="5">
        <v>44.0</v>
      </c>
      <c r="R2" s="12">
        <f t="shared" ref="R2:R77" si="1">O2*Q2%</f>
        <v>7105.56</v>
      </c>
    </row>
    <row r="3">
      <c r="A3" s="7" t="s">
        <v>18</v>
      </c>
      <c r="B3" s="8" t="s">
        <v>29</v>
      </c>
      <c r="C3" s="8" t="s">
        <v>30</v>
      </c>
      <c r="D3" s="7" t="s">
        <v>21</v>
      </c>
      <c r="E3" s="8" t="s">
        <v>31</v>
      </c>
      <c r="F3" s="8" t="s">
        <v>32</v>
      </c>
      <c r="G3" s="7">
        <v>9.722223071E9</v>
      </c>
      <c r="H3" s="7">
        <v>8.320061495E9</v>
      </c>
      <c r="I3" s="7">
        <v>18500.0</v>
      </c>
      <c r="J3" s="7" t="s">
        <v>24</v>
      </c>
      <c r="K3" s="7" t="s">
        <v>25</v>
      </c>
      <c r="L3" s="9" t="s">
        <v>26</v>
      </c>
      <c r="M3" s="7" t="s">
        <v>33</v>
      </c>
      <c r="N3" s="10" t="s">
        <v>28</v>
      </c>
      <c r="O3" s="11">
        <v>35413.0</v>
      </c>
      <c r="P3" s="11">
        <v>37197.0</v>
      </c>
      <c r="Q3" s="5">
        <v>51.0</v>
      </c>
      <c r="R3" s="12">
        <f t="shared" si="1"/>
        <v>18060.63</v>
      </c>
    </row>
    <row r="4">
      <c r="A4" s="7" t="s">
        <v>34</v>
      </c>
      <c r="B4" s="8" t="s">
        <v>35</v>
      </c>
      <c r="C4" s="8" t="s">
        <v>36</v>
      </c>
      <c r="D4" s="7" t="s">
        <v>37</v>
      </c>
      <c r="E4" s="8" t="s">
        <v>38</v>
      </c>
      <c r="F4" s="8" t="s">
        <v>39</v>
      </c>
      <c r="G4" s="7">
        <v>9.978883459E9</v>
      </c>
      <c r="H4" s="7">
        <v>8.849593219E9</v>
      </c>
      <c r="I4" s="7">
        <v>5000.0</v>
      </c>
      <c r="J4" s="7" t="s">
        <v>40</v>
      </c>
      <c r="K4" s="7" t="s">
        <v>41</v>
      </c>
      <c r="L4" s="9" t="s">
        <v>26</v>
      </c>
      <c r="M4" s="7" t="s">
        <v>27</v>
      </c>
      <c r="N4" s="7" t="s">
        <v>28</v>
      </c>
      <c r="O4" s="11">
        <v>2485.0</v>
      </c>
      <c r="P4" s="11">
        <v>2933.0</v>
      </c>
      <c r="Q4" s="5">
        <v>0.0</v>
      </c>
      <c r="R4" s="12">
        <f t="shared" si="1"/>
        <v>0</v>
      </c>
    </row>
    <row r="5">
      <c r="A5" s="7" t="s">
        <v>34</v>
      </c>
      <c r="B5" s="8" t="s">
        <v>42</v>
      </c>
      <c r="C5" s="8" t="s">
        <v>43</v>
      </c>
      <c r="D5" s="7" t="s">
        <v>44</v>
      </c>
      <c r="E5" s="8" t="s">
        <v>45</v>
      </c>
      <c r="F5" s="8" t="s">
        <v>46</v>
      </c>
      <c r="G5" s="7">
        <v>9.723681567E9</v>
      </c>
      <c r="H5" s="7">
        <v>7.990288965E9</v>
      </c>
      <c r="I5" s="7">
        <v>1600.0</v>
      </c>
      <c r="J5" s="7" t="s">
        <v>47</v>
      </c>
      <c r="K5" s="7" t="s">
        <v>48</v>
      </c>
      <c r="L5" s="9" t="s">
        <v>49</v>
      </c>
      <c r="M5" s="7" t="s">
        <v>50</v>
      </c>
      <c r="N5" s="7" t="s">
        <v>28</v>
      </c>
      <c r="O5" s="7">
        <v>22538.0</v>
      </c>
      <c r="P5" s="7">
        <v>24508.0</v>
      </c>
      <c r="Q5" s="5">
        <v>63.0</v>
      </c>
      <c r="R5" s="12">
        <f t="shared" si="1"/>
        <v>14198.94</v>
      </c>
    </row>
    <row r="6">
      <c r="A6" s="7" t="s">
        <v>51</v>
      </c>
      <c r="B6" s="8" t="s">
        <v>52</v>
      </c>
      <c r="C6" s="8" t="s">
        <v>53</v>
      </c>
      <c r="D6" s="7" t="s">
        <v>21</v>
      </c>
      <c r="E6" s="8" t="s">
        <v>54</v>
      </c>
      <c r="F6" s="8" t="s">
        <v>55</v>
      </c>
      <c r="G6" s="7">
        <v>9.978398341E9</v>
      </c>
      <c r="H6" s="7">
        <v>8.16090026E9</v>
      </c>
      <c r="I6" s="7">
        <v>28000.0</v>
      </c>
      <c r="J6" s="7" t="s">
        <v>40</v>
      </c>
      <c r="K6" s="7" t="s">
        <v>56</v>
      </c>
      <c r="L6" s="9" t="s">
        <v>49</v>
      </c>
      <c r="M6" s="7" t="s">
        <v>33</v>
      </c>
      <c r="N6" s="7" t="s">
        <v>28</v>
      </c>
      <c r="O6" s="11">
        <v>45187.0</v>
      </c>
      <c r="P6" s="11">
        <v>47607.0</v>
      </c>
      <c r="Q6" s="5">
        <v>29.0</v>
      </c>
      <c r="R6" s="12">
        <f t="shared" si="1"/>
        <v>13104.23</v>
      </c>
    </row>
    <row r="7">
      <c r="A7" s="7" t="s">
        <v>57</v>
      </c>
      <c r="B7" s="8" t="s">
        <v>58</v>
      </c>
      <c r="C7" s="8" t="s">
        <v>59</v>
      </c>
      <c r="D7" s="7" t="s">
        <v>60</v>
      </c>
      <c r="E7" s="8" t="s">
        <v>61</v>
      </c>
      <c r="F7" s="8" t="s">
        <v>62</v>
      </c>
      <c r="G7" s="7">
        <v>7.567583475E9</v>
      </c>
      <c r="H7" s="7" t="s">
        <v>63</v>
      </c>
      <c r="I7" s="7">
        <v>109.0</v>
      </c>
      <c r="J7" s="13" t="s">
        <v>64</v>
      </c>
      <c r="K7" s="7" t="s">
        <v>65</v>
      </c>
      <c r="L7" s="9" t="s">
        <v>26</v>
      </c>
      <c r="M7" s="7" t="s">
        <v>27</v>
      </c>
      <c r="N7" s="7" t="s">
        <v>28</v>
      </c>
      <c r="O7" s="11">
        <v>714.0</v>
      </c>
      <c r="P7" s="11">
        <v>842.0</v>
      </c>
      <c r="Q7" s="5">
        <v>58.0</v>
      </c>
      <c r="R7" s="12">
        <f t="shared" si="1"/>
        <v>414.12</v>
      </c>
    </row>
    <row r="8">
      <c r="A8" s="7" t="s">
        <v>57</v>
      </c>
      <c r="B8" s="8" t="s">
        <v>66</v>
      </c>
      <c r="C8" s="8" t="s">
        <v>67</v>
      </c>
      <c r="D8" s="7" t="s">
        <v>21</v>
      </c>
      <c r="E8" s="8" t="s">
        <v>68</v>
      </c>
      <c r="F8" s="8" t="s">
        <v>69</v>
      </c>
      <c r="G8" s="7">
        <v>9.925112789E9</v>
      </c>
      <c r="H8" s="7">
        <v>7.016331195E9</v>
      </c>
      <c r="I8" s="7">
        <v>47500.0</v>
      </c>
      <c r="J8" s="7" t="s">
        <v>40</v>
      </c>
      <c r="K8" s="7" t="s">
        <v>70</v>
      </c>
      <c r="L8" s="9" t="s">
        <v>49</v>
      </c>
      <c r="M8" s="7" t="s">
        <v>71</v>
      </c>
      <c r="N8" s="7" t="s">
        <v>28</v>
      </c>
      <c r="O8" s="11">
        <v>52754.0</v>
      </c>
      <c r="P8" s="11">
        <v>56498.0</v>
      </c>
      <c r="Q8" s="5">
        <v>27.0</v>
      </c>
      <c r="R8" s="12">
        <f t="shared" si="1"/>
        <v>14243.58</v>
      </c>
    </row>
    <row r="9">
      <c r="A9" s="7" t="s">
        <v>72</v>
      </c>
      <c r="B9" s="8" t="s">
        <v>73</v>
      </c>
      <c r="C9" s="8" t="s">
        <v>74</v>
      </c>
      <c r="D9" s="7" t="s">
        <v>75</v>
      </c>
      <c r="E9" s="8" t="s">
        <v>76</v>
      </c>
      <c r="F9" s="8" t="s">
        <v>77</v>
      </c>
      <c r="G9" s="7">
        <v>7.567540024E9</v>
      </c>
      <c r="H9" s="7">
        <v>9.913564016E9</v>
      </c>
      <c r="I9" s="7">
        <v>995.0</v>
      </c>
      <c r="J9" s="7" t="s">
        <v>64</v>
      </c>
      <c r="K9" s="7" t="s">
        <v>78</v>
      </c>
      <c r="L9" s="9" t="s">
        <v>49</v>
      </c>
      <c r="M9" s="7" t="s">
        <v>27</v>
      </c>
      <c r="N9" s="7" t="s">
        <v>28</v>
      </c>
      <c r="O9" s="11">
        <v>5136.09</v>
      </c>
      <c r="P9" s="7">
        <v>5477.0</v>
      </c>
      <c r="Q9" s="5">
        <v>50.0</v>
      </c>
      <c r="R9" s="12">
        <f t="shared" si="1"/>
        <v>2568.045</v>
      </c>
    </row>
    <row r="10">
      <c r="A10" s="7" t="s">
        <v>72</v>
      </c>
      <c r="B10" s="8" t="s">
        <v>79</v>
      </c>
      <c r="C10" s="8" t="s">
        <v>80</v>
      </c>
      <c r="D10" s="7" t="s">
        <v>75</v>
      </c>
      <c r="E10" s="8" t="s">
        <v>81</v>
      </c>
      <c r="F10" s="8" t="s">
        <v>82</v>
      </c>
      <c r="G10" s="7">
        <v>9.924025507E9</v>
      </c>
      <c r="H10" s="7">
        <v>9.17318398E9</v>
      </c>
      <c r="I10" s="7">
        <v>995.0</v>
      </c>
      <c r="J10" s="7" t="s">
        <v>83</v>
      </c>
      <c r="K10" s="7" t="s">
        <v>78</v>
      </c>
      <c r="L10" s="9" t="s">
        <v>49</v>
      </c>
      <c r="M10" s="7" t="s">
        <v>84</v>
      </c>
      <c r="N10" s="7" t="s">
        <v>28</v>
      </c>
      <c r="O10" s="11">
        <v>6599.54</v>
      </c>
      <c r="P10" s="7">
        <v>7204.0</v>
      </c>
      <c r="Q10" s="5">
        <v>50.0</v>
      </c>
      <c r="R10" s="12">
        <f t="shared" si="1"/>
        <v>3299.77</v>
      </c>
    </row>
    <row r="11">
      <c r="A11" s="7" t="s">
        <v>72</v>
      </c>
      <c r="B11" s="8" t="s">
        <v>85</v>
      </c>
      <c r="C11" s="8" t="s">
        <v>86</v>
      </c>
      <c r="D11" s="7" t="s">
        <v>44</v>
      </c>
      <c r="E11" s="8" t="s">
        <v>45</v>
      </c>
      <c r="F11" s="8" t="s">
        <v>87</v>
      </c>
      <c r="G11" s="7">
        <v>9.909001102E9</v>
      </c>
      <c r="H11" s="7">
        <v>9.650299999E9</v>
      </c>
      <c r="I11" s="7">
        <v>1600.0</v>
      </c>
      <c r="J11" s="7" t="s">
        <v>88</v>
      </c>
      <c r="K11" s="7" t="s">
        <v>48</v>
      </c>
      <c r="L11" s="9" t="s">
        <v>49</v>
      </c>
      <c r="M11" s="7" t="s">
        <v>89</v>
      </c>
      <c r="N11" s="7" t="s">
        <v>28</v>
      </c>
      <c r="O11" s="7">
        <v>21086.0</v>
      </c>
      <c r="P11" s="7">
        <v>22795.0</v>
      </c>
      <c r="Q11" s="5">
        <v>63.0</v>
      </c>
      <c r="R11" s="12">
        <f t="shared" si="1"/>
        <v>13284.18</v>
      </c>
    </row>
    <row r="12">
      <c r="A12" s="7" t="s">
        <v>90</v>
      </c>
      <c r="B12" s="8" t="s">
        <v>91</v>
      </c>
      <c r="C12" s="8" t="s">
        <v>92</v>
      </c>
      <c r="D12" s="7" t="s">
        <v>93</v>
      </c>
      <c r="E12" s="8" t="s">
        <v>94</v>
      </c>
      <c r="F12" s="8" t="s">
        <v>95</v>
      </c>
      <c r="G12" s="7">
        <v>9.979042264E9</v>
      </c>
      <c r="H12" s="7">
        <v>9.925727413E9</v>
      </c>
      <c r="I12" s="7">
        <v>11990.0</v>
      </c>
      <c r="J12" s="14">
        <v>46447.0</v>
      </c>
      <c r="K12" s="7" t="s">
        <v>25</v>
      </c>
      <c r="L12" s="9" t="s">
        <v>49</v>
      </c>
      <c r="M12" s="7" t="s">
        <v>96</v>
      </c>
      <c r="N12" s="7" t="s">
        <v>28</v>
      </c>
      <c r="O12" s="11">
        <v>31706.0</v>
      </c>
      <c r="P12" s="11">
        <v>33879.0</v>
      </c>
      <c r="Q12" s="5">
        <v>31.0</v>
      </c>
      <c r="R12" s="12">
        <f t="shared" si="1"/>
        <v>9828.86</v>
      </c>
    </row>
    <row r="13">
      <c r="A13" s="7" t="s">
        <v>90</v>
      </c>
      <c r="B13" s="8" t="s">
        <v>97</v>
      </c>
      <c r="C13" s="8" t="s">
        <v>98</v>
      </c>
      <c r="D13" s="7" t="s">
        <v>44</v>
      </c>
      <c r="E13" s="8" t="s">
        <v>45</v>
      </c>
      <c r="F13" s="8" t="s">
        <v>99</v>
      </c>
      <c r="G13" s="7">
        <v>6.354672758E9</v>
      </c>
      <c r="H13" s="7">
        <v>9.408958253E9</v>
      </c>
      <c r="I13" s="7">
        <v>1600.0</v>
      </c>
      <c r="J13" s="7" t="s">
        <v>100</v>
      </c>
      <c r="K13" s="7" t="s">
        <v>48</v>
      </c>
      <c r="L13" s="9" t="s">
        <v>49</v>
      </c>
      <c r="M13" s="7" t="s">
        <v>101</v>
      </c>
      <c r="N13" s="7" t="s">
        <v>28</v>
      </c>
      <c r="O13" s="7">
        <v>20487.0</v>
      </c>
      <c r="P13" s="7">
        <v>22088.0</v>
      </c>
      <c r="Q13" s="5">
        <v>63.0</v>
      </c>
      <c r="R13" s="12">
        <f t="shared" si="1"/>
        <v>12906.81</v>
      </c>
    </row>
    <row r="14">
      <c r="A14" s="7" t="s">
        <v>90</v>
      </c>
      <c r="B14" s="8" t="s">
        <v>102</v>
      </c>
      <c r="C14" s="8" t="s">
        <v>103</v>
      </c>
      <c r="D14" s="7" t="s">
        <v>21</v>
      </c>
      <c r="E14" s="8" t="s">
        <v>104</v>
      </c>
      <c r="F14" s="8" t="s">
        <v>105</v>
      </c>
      <c r="G14" s="7">
        <v>9.427678604E9</v>
      </c>
      <c r="H14" s="7">
        <v>9.879271104E9</v>
      </c>
      <c r="I14" s="7">
        <v>47500.0</v>
      </c>
      <c r="J14" s="7" t="s">
        <v>106</v>
      </c>
      <c r="K14" s="7" t="s">
        <v>70</v>
      </c>
      <c r="L14" s="9" t="s">
        <v>49</v>
      </c>
      <c r="M14" s="7" t="s">
        <v>71</v>
      </c>
      <c r="N14" s="7" t="s">
        <v>28</v>
      </c>
      <c r="O14" s="11">
        <v>51463.0</v>
      </c>
      <c r="P14" s="11">
        <v>54975.0</v>
      </c>
      <c r="Q14" s="5">
        <v>27.0</v>
      </c>
      <c r="R14" s="12">
        <f t="shared" si="1"/>
        <v>13895.01</v>
      </c>
    </row>
    <row r="15">
      <c r="A15" s="7" t="s">
        <v>90</v>
      </c>
      <c r="B15" s="8" t="s">
        <v>107</v>
      </c>
      <c r="C15" s="8" t="s">
        <v>108</v>
      </c>
      <c r="D15" s="7" t="s">
        <v>21</v>
      </c>
      <c r="E15" s="8" t="s">
        <v>109</v>
      </c>
      <c r="F15" s="8" t="s">
        <v>110</v>
      </c>
      <c r="G15" s="7">
        <v>7.228934347E9</v>
      </c>
      <c r="H15" s="7">
        <v>9.87984388E9</v>
      </c>
      <c r="I15" s="7">
        <v>25000.0</v>
      </c>
      <c r="J15" s="7" t="s">
        <v>83</v>
      </c>
      <c r="K15" s="7" t="s">
        <v>25</v>
      </c>
      <c r="L15" s="9" t="s">
        <v>26</v>
      </c>
      <c r="M15" s="7" t="s">
        <v>111</v>
      </c>
      <c r="N15" s="7" t="s">
        <v>28</v>
      </c>
      <c r="O15" s="7">
        <v>44050.0</v>
      </c>
      <c r="P15" s="7">
        <v>46266.0</v>
      </c>
      <c r="Q15" s="5">
        <v>51.0</v>
      </c>
      <c r="R15" s="12">
        <f t="shared" si="1"/>
        <v>22465.5</v>
      </c>
    </row>
    <row r="16">
      <c r="A16" s="7" t="s">
        <v>90</v>
      </c>
      <c r="B16" s="8" t="s">
        <v>112</v>
      </c>
      <c r="C16" s="8" t="s">
        <v>113</v>
      </c>
      <c r="D16" s="7" t="s">
        <v>44</v>
      </c>
      <c r="E16" s="8" t="s">
        <v>114</v>
      </c>
      <c r="F16" s="8" t="s">
        <v>115</v>
      </c>
      <c r="G16" s="7">
        <v>9.924392315E9</v>
      </c>
      <c r="H16" s="7">
        <v>9.664835696E9</v>
      </c>
      <c r="I16" s="7">
        <v>3490.0</v>
      </c>
      <c r="J16" s="7" t="s">
        <v>83</v>
      </c>
      <c r="K16" s="7" t="s">
        <v>116</v>
      </c>
      <c r="L16" s="9" t="s">
        <v>49</v>
      </c>
      <c r="M16" s="7" t="s">
        <v>71</v>
      </c>
      <c r="N16" s="7" t="s">
        <v>28</v>
      </c>
      <c r="O16" s="7">
        <v>20671.0</v>
      </c>
      <c r="P16" s="7">
        <v>22293.0</v>
      </c>
      <c r="Q16" s="5">
        <v>54.0</v>
      </c>
      <c r="R16" s="12">
        <f t="shared" si="1"/>
        <v>11162.34</v>
      </c>
    </row>
    <row r="17">
      <c r="A17" s="7" t="s">
        <v>90</v>
      </c>
      <c r="B17" s="8" t="s">
        <v>117</v>
      </c>
      <c r="C17" s="8" t="s">
        <v>118</v>
      </c>
      <c r="D17" s="7" t="s">
        <v>75</v>
      </c>
      <c r="E17" s="8" t="s">
        <v>119</v>
      </c>
      <c r="F17" s="8" t="s">
        <v>120</v>
      </c>
      <c r="G17" s="7">
        <v>6.357029313E9</v>
      </c>
      <c r="H17" s="7" t="s">
        <v>63</v>
      </c>
      <c r="I17" s="7">
        <v>995.0</v>
      </c>
      <c r="J17" s="7" t="s">
        <v>106</v>
      </c>
      <c r="K17" s="7" t="s">
        <v>78</v>
      </c>
      <c r="L17" s="9" t="s">
        <v>49</v>
      </c>
      <c r="M17" s="7" t="s">
        <v>71</v>
      </c>
      <c r="N17" s="7" t="s">
        <v>28</v>
      </c>
      <c r="O17" s="11">
        <v>5166.39</v>
      </c>
      <c r="P17" s="7">
        <v>5512.0</v>
      </c>
      <c r="Q17" s="5">
        <v>50.0</v>
      </c>
      <c r="R17" s="12">
        <f t="shared" si="1"/>
        <v>2583.195</v>
      </c>
    </row>
    <row r="18">
      <c r="A18" s="7" t="s">
        <v>121</v>
      </c>
      <c r="B18" s="8" t="s">
        <v>122</v>
      </c>
      <c r="C18" s="8" t="s">
        <v>123</v>
      </c>
      <c r="D18" s="7" t="s">
        <v>60</v>
      </c>
      <c r="E18" s="8" t="s">
        <v>124</v>
      </c>
      <c r="F18" s="8" t="s">
        <v>125</v>
      </c>
      <c r="G18" s="7">
        <v>9.909173444E9</v>
      </c>
      <c r="H18" s="7" t="s">
        <v>63</v>
      </c>
      <c r="I18" s="7">
        <v>109.0</v>
      </c>
      <c r="J18" s="7" t="s">
        <v>126</v>
      </c>
      <c r="K18" s="7" t="s">
        <v>65</v>
      </c>
      <c r="L18" s="9" t="s">
        <v>26</v>
      </c>
      <c r="M18" s="7" t="s">
        <v>71</v>
      </c>
      <c r="N18" s="7" t="s">
        <v>28</v>
      </c>
      <c r="O18" s="7">
        <v>714.0</v>
      </c>
      <c r="P18" s="7">
        <v>842.0</v>
      </c>
      <c r="Q18" s="5">
        <v>52.0</v>
      </c>
      <c r="R18" s="12">
        <f t="shared" si="1"/>
        <v>371.28</v>
      </c>
    </row>
    <row r="19">
      <c r="A19" s="7" t="s">
        <v>121</v>
      </c>
      <c r="B19" s="8" t="s">
        <v>127</v>
      </c>
      <c r="C19" s="8" t="s">
        <v>128</v>
      </c>
      <c r="D19" s="7" t="s">
        <v>75</v>
      </c>
      <c r="E19" s="8" t="s">
        <v>81</v>
      </c>
      <c r="F19" s="8" t="s">
        <v>129</v>
      </c>
      <c r="G19" s="7" t="s">
        <v>130</v>
      </c>
      <c r="H19" s="7">
        <v>9.898523503E9</v>
      </c>
      <c r="I19" s="7">
        <v>1250.0</v>
      </c>
      <c r="J19" s="7" t="s">
        <v>100</v>
      </c>
      <c r="K19" s="7" t="s">
        <v>78</v>
      </c>
      <c r="L19" s="9" t="s">
        <v>49</v>
      </c>
      <c r="M19" s="7" t="s">
        <v>101</v>
      </c>
      <c r="N19" s="7" t="s">
        <v>28</v>
      </c>
      <c r="O19" s="11">
        <v>5344.12</v>
      </c>
      <c r="P19" s="7">
        <v>5722.0</v>
      </c>
      <c r="Q19" s="5">
        <v>50.0</v>
      </c>
      <c r="R19" s="12">
        <f t="shared" si="1"/>
        <v>2672.06</v>
      </c>
    </row>
    <row r="20">
      <c r="A20" s="7" t="s">
        <v>121</v>
      </c>
      <c r="B20" s="8" t="s">
        <v>131</v>
      </c>
      <c r="C20" s="8" t="s">
        <v>132</v>
      </c>
      <c r="D20" s="7" t="s">
        <v>21</v>
      </c>
      <c r="E20" s="8" t="s">
        <v>133</v>
      </c>
      <c r="F20" s="8" t="s">
        <v>134</v>
      </c>
      <c r="G20" s="7">
        <v>8.562927E8</v>
      </c>
      <c r="H20" s="7">
        <v>9.712100092E9</v>
      </c>
      <c r="I20" s="7">
        <v>42000.0</v>
      </c>
      <c r="J20" s="7" t="s">
        <v>126</v>
      </c>
      <c r="K20" s="7" t="s">
        <v>70</v>
      </c>
      <c r="L20" s="9" t="s">
        <v>49</v>
      </c>
      <c r="M20" s="7" t="s">
        <v>71</v>
      </c>
      <c r="N20" s="7" t="s">
        <v>28</v>
      </c>
      <c r="O20" s="11">
        <v>50524.0</v>
      </c>
      <c r="P20" s="11">
        <v>53867.0</v>
      </c>
      <c r="Q20" s="5">
        <v>27.0</v>
      </c>
      <c r="R20" s="12">
        <f t="shared" si="1"/>
        <v>13641.48</v>
      </c>
    </row>
    <row r="21">
      <c r="A21" s="7" t="s">
        <v>121</v>
      </c>
      <c r="B21" s="8" t="s">
        <v>135</v>
      </c>
      <c r="C21" s="8" t="s">
        <v>136</v>
      </c>
      <c r="D21" s="7" t="s">
        <v>75</v>
      </c>
      <c r="E21" s="8" t="s">
        <v>137</v>
      </c>
      <c r="F21" s="8" t="s">
        <v>138</v>
      </c>
      <c r="G21" s="7">
        <v>8.238932992E9</v>
      </c>
      <c r="H21" s="7">
        <v>9.274442551E9</v>
      </c>
      <c r="I21" s="7">
        <v>882.0</v>
      </c>
      <c r="J21" s="7" t="s">
        <v>100</v>
      </c>
      <c r="K21" s="7" t="s">
        <v>78</v>
      </c>
      <c r="L21" s="9" t="s">
        <v>49</v>
      </c>
      <c r="M21" s="7" t="s">
        <v>27</v>
      </c>
      <c r="N21" s="7" t="s">
        <v>28</v>
      </c>
      <c r="O21" s="11">
        <v>5371.84</v>
      </c>
      <c r="P21" s="7">
        <v>5755.0</v>
      </c>
      <c r="Q21" s="5">
        <v>50.0</v>
      </c>
      <c r="R21" s="12">
        <f t="shared" si="1"/>
        <v>2685.92</v>
      </c>
    </row>
    <row r="22">
      <c r="A22" s="14">
        <v>46023.0</v>
      </c>
      <c r="B22" s="8" t="s">
        <v>139</v>
      </c>
      <c r="C22" s="8" t="s">
        <v>140</v>
      </c>
      <c r="D22" s="7" t="s">
        <v>44</v>
      </c>
      <c r="E22" s="8" t="s">
        <v>141</v>
      </c>
      <c r="F22" s="8" t="s">
        <v>142</v>
      </c>
      <c r="G22" s="7">
        <v>9.723190696E9</v>
      </c>
      <c r="H22" s="7">
        <v>9.913584194E9</v>
      </c>
      <c r="I22" s="7">
        <v>2450.0</v>
      </c>
      <c r="J22" s="14">
        <v>46388.0</v>
      </c>
      <c r="K22" s="7" t="s">
        <v>143</v>
      </c>
      <c r="L22" s="9" t="s">
        <v>26</v>
      </c>
      <c r="M22" s="7" t="s">
        <v>144</v>
      </c>
      <c r="N22" s="7" t="s">
        <v>28</v>
      </c>
      <c r="O22" s="11">
        <v>16149.0</v>
      </c>
      <c r="P22" s="11">
        <v>16969.0</v>
      </c>
      <c r="Q22" s="5">
        <v>62.0</v>
      </c>
      <c r="R22" s="12">
        <f t="shared" si="1"/>
        <v>10012.38</v>
      </c>
    </row>
    <row r="23">
      <c r="A23" s="14">
        <v>46023.0</v>
      </c>
      <c r="B23" s="8" t="s">
        <v>145</v>
      </c>
      <c r="C23" s="8" t="s">
        <v>146</v>
      </c>
      <c r="D23" s="7" t="s">
        <v>21</v>
      </c>
      <c r="E23" s="8" t="s">
        <v>147</v>
      </c>
      <c r="F23" s="8" t="s">
        <v>148</v>
      </c>
      <c r="G23" s="7" t="s">
        <v>149</v>
      </c>
      <c r="H23" s="7" t="s">
        <v>150</v>
      </c>
      <c r="I23" s="7">
        <v>35000.0</v>
      </c>
      <c r="J23" s="7" t="s">
        <v>126</v>
      </c>
      <c r="K23" s="7" t="s">
        <v>25</v>
      </c>
      <c r="L23" s="9" t="s">
        <v>26</v>
      </c>
      <c r="M23" s="7" t="s">
        <v>151</v>
      </c>
      <c r="N23" s="7" t="s">
        <v>28</v>
      </c>
      <c r="O23" s="7">
        <v>44050.0</v>
      </c>
      <c r="P23" s="7">
        <v>46266.0</v>
      </c>
      <c r="Q23" s="5">
        <v>51.0</v>
      </c>
      <c r="R23" s="12">
        <f t="shared" si="1"/>
        <v>22465.5</v>
      </c>
    </row>
    <row r="24">
      <c r="A24" s="14">
        <v>46023.0</v>
      </c>
      <c r="B24" s="8" t="s">
        <v>152</v>
      </c>
      <c r="C24" s="8" t="s">
        <v>153</v>
      </c>
      <c r="D24" s="7" t="s">
        <v>44</v>
      </c>
      <c r="E24" s="8" t="s">
        <v>154</v>
      </c>
      <c r="F24" s="8" t="s">
        <v>155</v>
      </c>
      <c r="G24" s="7">
        <v>9.328608173E9</v>
      </c>
      <c r="H24" s="7">
        <v>9.978294147E9</v>
      </c>
      <c r="I24" s="7">
        <v>1600.0</v>
      </c>
      <c r="J24" s="7" t="s">
        <v>100</v>
      </c>
      <c r="K24" s="7" t="s">
        <v>48</v>
      </c>
      <c r="L24" s="9" t="s">
        <v>49</v>
      </c>
      <c r="M24" s="7" t="s">
        <v>71</v>
      </c>
      <c r="N24" s="7" t="s">
        <v>28</v>
      </c>
      <c r="O24" s="7">
        <v>20570.0</v>
      </c>
      <c r="P24" s="7">
        <v>22186.0</v>
      </c>
      <c r="Q24" s="5">
        <v>63.0</v>
      </c>
      <c r="R24" s="12">
        <f t="shared" si="1"/>
        <v>12959.1</v>
      </c>
    </row>
    <row r="25">
      <c r="A25" s="14">
        <v>46054.0</v>
      </c>
      <c r="B25" s="8" t="s">
        <v>156</v>
      </c>
      <c r="C25" s="8" t="s">
        <v>157</v>
      </c>
      <c r="D25" s="7" t="s">
        <v>21</v>
      </c>
      <c r="E25" s="8" t="s">
        <v>158</v>
      </c>
      <c r="F25" s="8" t="s">
        <v>159</v>
      </c>
      <c r="G25" s="7">
        <v>9.879412378E9</v>
      </c>
      <c r="H25" s="7">
        <v>9.824073456E9</v>
      </c>
      <c r="I25" s="7">
        <v>35000.0</v>
      </c>
      <c r="J25" s="14">
        <v>46388.0</v>
      </c>
      <c r="K25" s="7" t="s">
        <v>78</v>
      </c>
      <c r="L25" s="9" t="s">
        <v>49</v>
      </c>
      <c r="M25" s="7" t="s">
        <v>71</v>
      </c>
      <c r="N25" s="7" t="s">
        <v>28</v>
      </c>
      <c r="O25" s="11">
        <v>46242.83</v>
      </c>
      <c r="P25" s="7">
        <v>48853.0</v>
      </c>
      <c r="Q25" s="5">
        <v>33.0</v>
      </c>
      <c r="R25" s="12">
        <f t="shared" si="1"/>
        <v>15260.1339</v>
      </c>
    </row>
    <row r="26">
      <c r="A26" s="14">
        <v>46054.0</v>
      </c>
      <c r="B26" s="8" t="s">
        <v>160</v>
      </c>
      <c r="C26" s="8" t="s">
        <v>161</v>
      </c>
      <c r="D26" s="7" t="s">
        <v>44</v>
      </c>
      <c r="E26" s="8" t="s">
        <v>45</v>
      </c>
      <c r="F26" s="8" t="s">
        <v>162</v>
      </c>
      <c r="G26" s="7">
        <v>7.56700363E9</v>
      </c>
      <c r="H26" s="7">
        <v>9.662562596E9</v>
      </c>
      <c r="I26" s="7">
        <v>1600.0</v>
      </c>
      <c r="J26" s="14">
        <v>46447.0</v>
      </c>
      <c r="K26" s="7" t="s">
        <v>48</v>
      </c>
      <c r="L26" s="9" t="s">
        <v>49</v>
      </c>
      <c r="M26" s="7" t="s">
        <v>71</v>
      </c>
      <c r="N26" s="7" t="s">
        <v>28</v>
      </c>
      <c r="O26" s="7">
        <v>20265.0</v>
      </c>
      <c r="P26" s="7">
        <v>21826.0</v>
      </c>
      <c r="Q26" s="5">
        <v>63.0</v>
      </c>
      <c r="R26" s="12">
        <f t="shared" si="1"/>
        <v>12766.95</v>
      </c>
    </row>
    <row r="27">
      <c r="A27" s="14">
        <v>46054.0</v>
      </c>
      <c r="B27" s="8" t="s">
        <v>163</v>
      </c>
      <c r="C27" s="8" t="s">
        <v>164</v>
      </c>
      <c r="D27" s="7" t="s">
        <v>44</v>
      </c>
      <c r="E27" s="8" t="s">
        <v>165</v>
      </c>
      <c r="F27" s="8" t="s">
        <v>166</v>
      </c>
      <c r="G27" s="7">
        <v>9.66244075E9</v>
      </c>
      <c r="H27" s="7">
        <v>6.352785385E9</v>
      </c>
      <c r="I27" s="7">
        <v>1445.0</v>
      </c>
      <c r="J27" s="14">
        <v>46447.0</v>
      </c>
      <c r="K27" s="7" t="s">
        <v>48</v>
      </c>
      <c r="L27" s="9" t="s">
        <v>49</v>
      </c>
      <c r="M27" s="7" t="s">
        <v>71</v>
      </c>
      <c r="N27" s="7" t="s">
        <v>28</v>
      </c>
      <c r="O27" s="7">
        <v>16786.0</v>
      </c>
      <c r="P27" s="7">
        <v>17721.0</v>
      </c>
      <c r="Q27" s="5">
        <v>63.0</v>
      </c>
      <c r="R27" s="12">
        <f t="shared" si="1"/>
        <v>10575.18</v>
      </c>
    </row>
    <row r="28">
      <c r="A28" s="14">
        <v>46054.0</v>
      </c>
      <c r="B28" s="8" t="s">
        <v>167</v>
      </c>
      <c r="C28" s="8" t="s">
        <v>168</v>
      </c>
      <c r="D28" s="7" t="s">
        <v>75</v>
      </c>
      <c r="E28" s="8" t="s">
        <v>81</v>
      </c>
      <c r="F28" s="8" t="s">
        <v>169</v>
      </c>
      <c r="G28" s="7">
        <v>9.737324226E9</v>
      </c>
      <c r="H28" s="7" t="s">
        <v>63</v>
      </c>
      <c r="I28" s="7">
        <v>990.0</v>
      </c>
      <c r="J28" s="14">
        <v>46388.0</v>
      </c>
      <c r="K28" s="7" t="s">
        <v>78</v>
      </c>
      <c r="L28" s="9" t="s">
        <v>26</v>
      </c>
      <c r="M28" s="7" t="s">
        <v>170</v>
      </c>
      <c r="N28" s="7" t="s">
        <v>28</v>
      </c>
      <c r="O28" s="11">
        <v>4602.0</v>
      </c>
      <c r="P28" s="11">
        <v>4846.0</v>
      </c>
      <c r="Q28" s="5">
        <v>50.0</v>
      </c>
      <c r="R28" s="12">
        <f t="shared" si="1"/>
        <v>2301</v>
      </c>
    </row>
    <row r="29">
      <c r="A29" s="14">
        <v>46054.0</v>
      </c>
      <c r="B29" s="8" t="s">
        <v>171</v>
      </c>
      <c r="C29" s="8" t="s">
        <v>172</v>
      </c>
      <c r="D29" s="7" t="s">
        <v>44</v>
      </c>
      <c r="E29" s="8" t="s">
        <v>173</v>
      </c>
      <c r="F29" s="8" t="s">
        <v>174</v>
      </c>
      <c r="G29" s="7">
        <v>9.979869574E9</v>
      </c>
      <c r="H29" s="7" t="s">
        <v>63</v>
      </c>
      <c r="I29" s="7">
        <v>1550.0</v>
      </c>
      <c r="J29" s="7" t="s">
        <v>175</v>
      </c>
      <c r="K29" s="7" t="s">
        <v>48</v>
      </c>
      <c r="L29" s="9" t="s">
        <v>49</v>
      </c>
      <c r="M29" s="7" t="s">
        <v>84</v>
      </c>
      <c r="N29" s="7" t="s">
        <v>28</v>
      </c>
      <c r="O29" s="7">
        <v>16759.0</v>
      </c>
      <c r="P29" s="7">
        <v>17689.0</v>
      </c>
      <c r="Q29" s="5">
        <v>63.0</v>
      </c>
      <c r="R29" s="12">
        <f t="shared" si="1"/>
        <v>10558.17</v>
      </c>
    </row>
    <row r="30">
      <c r="A30" s="14">
        <v>46054.0</v>
      </c>
      <c r="B30" s="8" t="s">
        <v>176</v>
      </c>
      <c r="C30" s="8" t="s">
        <v>177</v>
      </c>
      <c r="D30" s="7" t="s">
        <v>44</v>
      </c>
      <c r="E30" s="8" t="s">
        <v>178</v>
      </c>
      <c r="F30" s="8" t="s">
        <v>179</v>
      </c>
      <c r="G30" s="7" t="s">
        <v>180</v>
      </c>
      <c r="H30" s="7">
        <v>9.173465503E9</v>
      </c>
      <c r="I30" s="7">
        <v>3460.0</v>
      </c>
      <c r="J30" s="7" t="s">
        <v>126</v>
      </c>
      <c r="K30" s="7" t="s">
        <v>116</v>
      </c>
      <c r="L30" s="9" t="s">
        <v>49</v>
      </c>
      <c r="M30" s="7" t="s">
        <v>101</v>
      </c>
      <c r="N30" s="7" t="s">
        <v>28</v>
      </c>
      <c r="O30" s="11">
        <v>21588.0</v>
      </c>
      <c r="P30" s="11">
        <v>23376.0</v>
      </c>
      <c r="Q30" s="5">
        <v>54.0</v>
      </c>
      <c r="R30" s="12">
        <f t="shared" si="1"/>
        <v>11657.52</v>
      </c>
    </row>
    <row r="31">
      <c r="A31" s="14">
        <v>46113.0</v>
      </c>
      <c r="B31" s="8" t="s">
        <v>181</v>
      </c>
      <c r="C31" s="8" t="s">
        <v>182</v>
      </c>
      <c r="D31" s="7" t="s">
        <v>44</v>
      </c>
      <c r="E31" s="8" t="s">
        <v>183</v>
      </c>
      <c r="F31" s="8" t="s">
        <v>184</v>
      </c>
      <c r="G31" s="7">
        <v>9.925314748E9</v>
      </c>
      <c r="H31" s="7">
        <v>9.586288641E9</v>
      </c>
      <c r="I31" s="7">
        <v>1550.0</v>
      </c>
      <c r="J31" s="14">
        <v>46419.0</v>
      </c>
      <c r="K31" s="7" t="s">
        <v>48</v>
      </c>
      <c r="L31" s="9" t="s">
        <v>49</v>
      </c>
      <c r="M31" s="7" t="s">
        <v>185</v>
      </c>
      <c r="N31" s="7" t="s">
        <v>28</v>
      </c>
      <c r="O31" s="11">
        <v>16942.0</v>
      </c>
      <c r="P31" s="11">
        <v>17905.0</v>
      </c>
      <c r="Q31" s="5">
        <v>63.0</v>
      </c>
      <c r="R31" s="12">
        <f t="shared" si="1"/>
        <v>10673.46</v>
      </c>
    </row>
    <row r="32">
      <c r="A32" s="14">
        <v>46143.0</v>
      </c>
      <c r="B32" s="8" t="s">
        <v>186</v>
      </c>
      <c r="C32" s="8" t="s">
        <v>187</v>
      </c>
      <c r="D32" s="7" t="s">
        <v>44</v>
      </c>
      <c r="E32" s="8" t="s">
        <v>188</v>
      </c>
      <c r="F32" s="8" t="s">
        <v>189</v>
      </c>
      <c r="G32" s="7">
        <v>9.099975475E9</v>
      </c>
      <c r="H32" s="7">
        <v>9.212259977E9</v>
      </c>
      <c r="I32" s="7">
        <v>1600.0</v>
      </c>
      <c r="J32" s="14">
        <v>46478.0</v>
      </c>
      <c r="K32" s="7" t="s">
        <v>78</v>
      </c>
      <c r="L32" s="9" t="s">
        <v>49</v>
      </c>
      <c r="M32" s="7" t="s">
        <v>89</v>
      </c>
      <c r="N32" s="7" t="s">
        <v>28</v>
      </c>
      <c r="O32" s="11">
        <v>20827.56</v>
      </c>
      <c r="P32" s="11">
        <v>22490.16</v>
      </c>
      <c r="Q32" s="5">
        <v>62.0</v>
      </c>
      <c r="R32" s="12">
        <f t="shared" si="1"/>
        <v>12913.0872</v>
      </c>
    </row>
    <row r="33">
      <c r="A33" s="14">
        <v>46143.0</v>
      </c>
      <c r="B33" s="8" t="s">
        <v>190</v>
      </c>
      <c r="C33" s="8" t="s">
        <v>191</v>
      </c>
      <c r="D33" s="7" t="s">
        <v>44</v>
      </c>
      <c r="E33" s="8" t="s">
        <v>188</v>
      </c>
      <c r="F33" s="8" t="s">
        <v>192</v>
      </c>
      <c r="G33" s="7">
        <v>9.099975475E9</v>
      </c>
      <c r="H33" s="7">
        <v>9.212259977E9</v>
      </c>
      <c r="I33" s="7">
        <v>1600.0</v>
      </c>
      <c r="J33" s="14">
        <v>46478.0</v>
      </c>
      <c r="K33" s="7" t="s">
        <v>78</v>
      </c>
      <c r="L33" s="9" t="s">
        <v>49</v>
      </c>
      <c r="M33" s="7" t="s">
        <v>89</v>
      </c>
      <c r="N33" s="7" t="s">
        <v>28</v>
      </c>
      <c r="O33" s="7">
        <v>21311.08</v>
      </c>
      <c r="P33" s="7">
        <v>23060.72</v>
      </c>
      <c r="Q33" s="5">
        <v>62.0</v>
      </c>
      <c r="R33" s="12">
        <f t="shared" si="1"/>
        <v>13212.8696</v>
      </c>
    </row>
    <row r="34">
      <c r="A34" s="14">
        <v>46204.0</v>
      </c>
      <c r="B34" s="8" t="s">
        <v>193</v>
      </c>
      <c r="C34" s="8" t="s">
        <v>194</v>
      </c>
      <c r="D34" s="7" t="s">
        <v>21</v>
      </c>
      <c r="E34" s="8" t="s">
        <v>195</v>
      </c>
      <c r="F34" s="8" t="s">
        <v>196</v>
      </c>
      <c r="G34" s="7">
        <v>9.537320329E9</v>
      </c>
      <c r="H34" s="7">
        <v>8.780282072E9</v>
      </c>
      <c r="I34" s="7">
        <v>28000.0</v>
      </c>
      <c r="J34" s="14">
        <v>46508.0</v>
      </c>
      <c r="K34" s="7" t="s">
        <v>78</v>
      </c>
      <c r="L34" s="9" t="s">
        <v>49</v>
      </c>
      <c r="M34" s="7" t="s">
        <v>111</v>
      </c>
      <c r="N34" s="7" t="s">
        <v>28</v>
      </c>
      <c r="O34" s="11">
        <v>48414.26</v>
      </c>
      <c r="P34" s="11">
        <v>51415.0</v>
      </c>
      <c r="Q34" s="5">
        <v>33.0</v>
      </c>
      <c r="R34" s="12">
        <f t="shared" si="1"/>
        <v>15976.7058</v>
      </c>
    </row>
    <row r="35">
      <c r="A35" s="14">
        <v>46054.0</v>
      </c>
      <c r="B35" s="8" t="s">
        <v>197</v>
      </c>
      <c r="C35" s="8" t="s">
        <v>198</v>
      </c>
      <c r="D35" s="7" t="s">
        <v>60</v>
      </c>
      <c r="E35" s="8" t="s">
        <v>199</v>
      </c>
      <c r="F35" s="8" t="s">
        <v>200</v>
      </c>
      <c r="G35" s="7">
        <v>9.408040085E9</v>
      </c>
      <c r="H35" s="7" t="s">
        <v>63</v>
      </c>
      <c r="I35" s="7">
        <v>109.0</v>
      </c>
      <c r="J35" s="14">
        <v>46388.0</v>
      </c>
      <c r="K35" s="7" t="s">
        <v>65</v>
      </c>
      <c r="L35" s="9" t="s">
        <v>26</v>
      </c>
      <c r="M35" s="7" t="s">
        <v>27</v>
      </c>
      <c r="N35" s="7" t="s">
        <v>28</v>
      </c>
      <c r="O35" s="11">
        <v>714.0</v>
      </c>
      <c r="P35" s="11">
        <v>842.0</v>
      </c>
      <c r="Q35" s="5">
        <v>58.0</v>
      </c>
      <c r="R35" s="12">
        <f t="shared" si="1"/>
        <v>414.12</v>
      </c>
    </row>
    <row r="36">
      <c r="A36" s="14">
        <v>46054.0</v>
      </c>
      <c r="B36" s="8" t="s">
        <v>201</v>
      </c>
      <c r="C36" s="8" t="s">
        <v>202</v>
      </c>
      <c r="D36" s="7" t="s">
        <v>21</v>
      </c>
      <c r="E36" s="8" t="s">
        <v>203</v>
      </c>
      <c r="F36" s="8" t="s">
        <v>204</v>
      </c>
      <c r="G36" s="7" t="s">
        <v>205</v>
      </c>
      <c r="H36" s="7">
        <v>9.624049919E9</v>
      </c>
      <c r="I36" s="7">
        <v>35000.0</v>
      </c>
      <c r="J36" s="7" t="s">
        <v>126</v>
      </c>
      <c r="K36" s="7" t="s">
        <v>25</v>
      </c>
      <c r="L36" s="9" t="s">
        <v>49</v>
      </c>
      <c r="M36" s="7" t="s">
        <v>96</v>
      </c>
      <c r="N36" s="7" t="s">
        <v>28</v>
      </c>
      <c r="O36" s="11">
        <v>71474.0</v>
      </c>
      <c r="P36" s="11">
        <v>78626.0</v>
      </c>
      <c r="Q36" s="5">
        <v>27.0</v>
      </c>
      <c r="R36" s="12">
        <f t="shared" si="1"/>
        <v>19297.98</v>
      </c>
    </row>
    <row r="37">
      <c r="A37" s="14">
        <v>46054.0</v>
      </c>
      <c r="B37" s="8" t="s">
        <v>206</v>
      </c>
      <c r="C37" s="8" t="s">
        <v>207</v>
      </c>
      <c r="D37" s="7" t="s">
        <v>21</v>
      </c>
      <c r="E37" s="8" t="s">
        <v>203</v>
      </c>
      <c r="F37" s="8" t="s">
        <v>204</v>
      </c>
      <c r="G37" s="7" t="s">
        <v>205</v>
      </c>
      <c r="H37" s="7">
        <v>9.624049919E9</v>
      </c>
      <c r="I37" s="7">
        <v>35000.0</v>
      </c>
      <c r="J37" s="7" t="s">
        <v>126</v>
      </c>
      <c r="K37" s="7" t="s">
        <v>25</v>
      </c>
      <c r="L37" s="9" t="s">
        <v>49</v>
      </c>
      <c r="M37" s="7" t="s">
        <v>96</v>
      </c>
      <c r="N37" s="7" t="s">
        <v>28</v>
      </c>
      <c r="O37" s="11">
        <v>71474.0</v>
      </c>
      <c r="P37" s="11">
        <v>78626.0</v>
      </c>
      <c r="Q37" s="5">
        <v>27.0</v>
      </c>
      <c r="R37" s="12">
        <f t="shared" si="1"/>
        <v>19297.98</v>
      </c>
    </row>
    <row r="38">
      <c r="A38" s="14">
        <v>46082.0</v>
      </c>
      <c r="B38" s="8" t="s">
        <v>208</v>
      </c>
      <c r="C38" s="8" t="s">
        <v>209</v>
      </c>
      <c r="D38" s="7" t="s">
        <v>75</v>
      </c>
      <c r="E38" s="8" t="s">
        <v>81</v>
      </c>
      <c r="F38" s="8" t="s">
        <v>210</v>
      </c>
      <c r="G38" s="7">
        <v>6.354812701E9</v>
      </c>
      <c r="H38" s="7">
        <v>9.726929433E9</v>
      </c>
      <c r="I38" s="7">
        <v>990.0</v>
      </c>
      <c r="J38" s="14">
        <v>46419.0</v>
      </c>
      <c r="K38" s="7" t="s">
        <v>78</v>
      </c>
      <c r="L38" s="9" t="s">
        <v>49</v>
      </c>
      <c r="M38" s="7" t="s">
        <v>71</v>
      </c>
      <c r="N38" s="7" t="s">
        <v>28</v>
      </c>
      <c r="O38" s="11">
        <v>5116.88</v>
      </c>
      <c r="P38" s="7">
        <v>5454.0</v>
      </c>
      <c r="Q38" s="5">
        <v>50.0</v>
      </c>
      <c r="R38" s="12">
        <f t="shared" si="1"/>
        <v>2558.44</v>
      </c>
    </row>
    <row r="39">
      <c r="A39" s="14">
        <v>46082.0</v>
      </c>
      <c r="B39" s="8" t="s">
        <v>211</v>
      </c>
      <c r="C39" s="8" t="s">
        <v>212</v>
      </c>
      <c r="D39" s="7" t="s">
        <v>75</v>
      </c>
      <c r="E39" s="8" t="s">
        <v>81</v>
      </c>
      <c r="F39" s="8" t="s">
        <v>213</v>
      </c>
      <c r="G39" s="7">
        <v>9.726929433E9</v>
      </c>
      <c r="H39" s="7">
        <v>6.354434065E9</v>
      </c>
      <c r="I39" s="7">
        <v>995.0</v>
      </c>
      <c r="J39" s="14">
        <v>46419.0</v>
      </c>
      <c r="K39" s="7" t="s">
        <v>78</v>
      </c>
      <c r="L39" s="9" t="s">
        <v>49</v>
      </c>
      <c r="M39" s="7" t="s">
        <v>71</v>
      </c>
      <c r="N39" s="7" t="s">
        <v>28</v>
      </c>
      <c r="O39" s="11">
        <v>5166.39</v>
      </c>
      <c r="P39" s="7">
        <v>5512.0</v>
      </c>
      <c r="Q39" s="5">
        <v>50.0</v>
      </c>
      <c r="R39" s="12">
        <f t="shared" si="1"/>
        <v>2583.195</v>
      </c>
    </row>
    <row r="40">
      <c r="A40" s="14">
        <v>46082.0</v>
      </c>
      <c r="B40" s="8" t="s">
        <v>214</v>
      </c>
      <c r="C40" s="8" t="s">
        <v>215</v>
      </c>
      <c r="D40" s="7" t="s">
        <v>75</v>
      </c>
      <c r="E40" s="8" t="s">
        <v>81</v>
      </c>
      <c r="F40" s="8" t="s">
        <v>210</v>
      </c>
      <c r="G40" s="7">
        <v>6.354812701E9</v>
      </c>
      <c r="H40" s="7">
        <v>9.726929433E9</v>
      </c>
      <c r="I40" s="7">
        <v>990.0</v>
      </c>
      <c r="J40" s="14">
        <v>46419.0</v>
      </c>
      <c r="K40" s="7" t="s">
        <v>78</v>
      </c>
      <c r="L40" s="9" t="s">
        <v>49</v>
      </c>
      <c r="M40" s="7" t="s">
        <v>71</v>
      </c>
      <c r="N40" s="7" t="s">
        <v>28</v>
      </c>
      <c r="O40" s="11">
        <v>5204.01</v>
      </c>
      <c r="P40" s="11">
        <v>5557.0</v>
      </c>
      <c r="Q40" s="5">
        <v>50.0</v>
      </c>
      <c r="R40" s="12">
        <f t="shared" si="1"/>
        <v>2602.005</v>
      </c>
    </row>
    <row r="41">
      <c r="A41" s="14">
        <v>46082.0</v>
      </c>
      <c r="B41" s="8" t="s">
        <v>216</v>
      </c>
      <c r="C41" s="8" t="s">
        <v>217</v>
      </c>
      <c r="D41" s="7" t="s">
        <v>75</v>
      </c>
      <c r="E41" s="8" t="s">
        <v>81</v>
      </c>
      <c r="F41" s="8" t="s">
        <v>218</v>
      </c>
      <c r="G41" s="7">
        <v>6.354434065E9</v>
      </c>
      <c r="H41" s="7">
        <v>9.726929433E9</v>
      </c>
      <c r="I41" s="7">
        <v>995.0</v>
      </c>
      <c r="J41" s="14">
        <v>46419.0</v>
      </c>
      <c r="K41" s="7" t="s">
        <v>78</v>
      </c>
      <c r="L41" s="9" t="s">
        <v>49</v>
      </c>
      <c r="M41" s="7" t="s">
        <v>219</v>
      </c>
      <c r="N41" s="7" t="s">
        <v>28</v>
      </c>
      <c r="O41" s="11">
        <v>5314.91</v>
      </c>
      <c r="P41" s="7">
        <v>5688.0</v>
      </c>
      <c r="Q41" s="5">
        <v>50.0</v>
      </c>
      <c r="R41" s="12">
        <f t="shared" si="1"/>
        <v>2657.455</v>
      </c>
    </row>
    <row r="42">
      <c r="A42" s="14">
        <v>46082.0</v>
      </c>
      <c r="B42" s="8" t="s">
        <v>220</v>
      </c>
      <c r="C42" s="8" t="s">
        <v>221</v>
      </c>
      <c r="D42" s="7" t="s">
        <v>44</v>
      </c>
      <c r="E42" s="8" t="s">
        <v>45</v>
      </c>
      <c r="F42" s="8" t="s">
        <v>222</v>
      </c>
      <c r="G42" s="7">
        <v>9.979569906E9</v>
      </c>
      <c r="H42" s="7">
        <v>7.984915815E9</v>
      </c>
      <c r="I42" s="7">
        <v>1600.0</v>
      </c>
      <c r="J42" s="14">
        <v>46388.0</v>
      </c>
      <c r="K42" s="7" t="s">
        <v>48</v>
      </c>
      <c r="L42" s="9" t="s">
        <v>49</v>
      </c>
      <c r="M42" s="7" t="s">
        <v>71</v>
      </c>
      <c r="N42" s="7" t="s">
        <v>28</v>
      </c>
      <c r="O42" s="7">
        <v>21275.0</v>
      </c>
      <c r="P42" s="7">
        <v>23018.0</v>
      </c>
      <c r="Q42" s="5">
        <v>63.0</v>
      </c>
      <c r="R42" s="12">
        <f t="shared" si="1"/>
        <v>13403.25</v>
      </c>
    </row>
    <row r="43">
      <c r="A43" s="14">
        <v>46113.0</v>
      </c>
      <c r="B43" s="8" t="s">
        <v>223</v>
      </c>
      <c r="C43" s="8" t="s">
        <v>224</v>
      </c>
      <c r="D43" s="7" t="s">
        <v>75</v>
      </c>
      <c r="E43" s="8" t="s">
        <v>225</v>
      </c>
      <c r="F43" s="8" t="s">
        <v>226</v>
      </c>
      <c r="G43" s="7">
        <v>9.727046336E9</v>
      </c>
      <c r="H43" s="8"/>
      <c r="I43" s="7">
        <v>995.0</v>
      </c>
      <c r="J43" s="14">
        <v>46508.0</v>
      </c>
      <c r="K43" s="7" t="s">
        <v>41</v>
      </c>
      <c r="L43" s="9" t="s">
        <v>49</v>
      </c>
      <c r="M43" s="7" t="s">
        <v>71</v>
      </c>
      <c r="N43" s="7" t="s">
        <v>28</v>
      </c>
      <c r="O43" s="11">
        <v>5576.0</v>
      </c>
      <c r="P43" s="15">
        <v>5988.0</v>
      </c>
      <c r="Q43" s="5">
        <v>52.5</v>
      </c>
      <c r="R43" s="12">
        <f t="shared" si="1"/>
        <v>2927.4</v>
      </c>
    </row>
    <row r="44">
      <c r="A44" s="14">
        <v>46113.0</v>
      </c>
      <c r="B44" s="8" t="s">
        <v>227</v>
      </c>
      <c r="C44" s="8" t="s">
        <v>228</v>
      </c>
      <c r="D44" s="7" t="s">
        <v>21</v>
      </c>
      <c r="E44" s="8" t="s">
        <v>229</v>
      </c>
      <c r="F44" s="8" t="s">
        <v>230</v>
      </c>
      <c r="G44" s="7">
        <v>9.727847275E9</v>
      </c>
      <c r="H44" s="7" t="s">
        <v>63</v>
      </c>
      <c r="I44" s="7">
        <v>12990.0</v>
      </c>
      <c r="J44" s="14">
        <v>46447.0</v>
      </c>
      <c r="K44" s="7" t="s">
        <v>25</v>
      </c>
      <c r="L44" s="9" t="s">
        <v>26</v>
      </c>
      <c r="M44" s="7" t="s">
        <v>33</v>
      </c>
      <c r="N44" s="7" t="s">
        <v>28</v>
      </c>
      <c r="O44" s="7">
        <v>35463.0</v>
      </c>
      <c r="P44" s="7">
        <v>37256.0</v>
      </c>
      <c r="Q44" s="5">
        <v>51.0</v>
      </c>
      <c r="R44" s="12">
        <f t="shared" si="1"/>
        <v>18086.13</v>
      </c>
    </row>
    <row r="45">
      <c r="A45" s="14">
        <v>46113.0</v>
      </c>
      <c r="B45" s="8" t="s">
        <v>231</v>
      </c>
      <c r="C45" s="8" t="s">
        <v>232</v>
      </c>
      <c r="D45" s="7" t="s">
        <v>44</v>
      </c>
      <c r="E45" s="8" t="s">
        <v>233</v>
      </c>
      <c r="F45" s="8" t="s">
        <v>234</v>
      </c>
      <c r="G45" s="7">
        <v>9.624873389E9</v>
      </c>
      <c r="H45" s="7">
        <v>6.353547946E9</v>
      </c>
      <c r="I45" s="7">
        <v>1600.0</v>
      </c>
      <c r="J45" s="14">
        <v>46631.0</v>
      </c>
      <c r="K45" s="7" t="s">
        <v>48</v>
      </c>
      <c r="L45" s="9" t="s">
        <v>49</v>
      </c>
      <c r="M45" s="7" t="s">
        <v>71</v>
      </c>
      <c r="N45" s="7" t="s">
        <v>28</v>
      </c>
      <c r="O45" s="7">
        <v>16701.0</v>
      </c>
      <c r="P45" s="7">
        <v>17621.0</v>
      </c>
      <c r="Q45" s="5">
        <v>63.0</v>
      </c>
      <c r="R45" s="12">
        <f t="shared" si="1"/>
        <v>10521.63</v>
      </c>
    </row>
    <row r="46">
      <c r="A46" s="14">
        <v>46113.0</v>
      </c>
      <c r="B46" s="8" t="s">
        <v>235</v>
      </c>
      <c r="C46" s="8" t="s">
        <v>236</v>
      </c>
      <c r="D46" s="7" t="s">
        <v>75</v>
      </c>
      <c r="E46" s="8" t="s">
        <v>81</v>
      </c>
      <c r="F46" s="8" t="s">
        <v>237</v>
      </c>
      <c r="G46" s="7">
        <v>7.567540024E9</v>
      </c>
      <c r="H46" s="7">
        <v>9.913564016E9</v>
      </c>
      <c r="I46" s="7">
        <v>990.0</v>
      </c>
      <c r="J46" s="14">
        <v>46447.0</v>
      </c>
      <c r="K46" s="7" t="s">
        <v>78</v>
      </c>
      <c r="L46" s="9" t="s">
        <v>49</v>
      </c>
      <c r="M46" s="7" t="s">
        <v>71</v>
      </c>
      <c r="N46" s="7" t="s">
        <v>28</v>
      </c>
      <c r="O46" s="11">
        <v>5077.27</v>
      </c>
      <c r="P46" s="7">
        <v>5407.0</v>
      </c>
      <c r="Q46" s="5">
        <v>50.0</v>
      </c>
      <c r="R46" s="12">
        <f t="shared" si="1"/>
        <v>2538.635</v>
      </c>
    </row>
    <row r="47">
      <c r="A47" s="14">
        <v>46113.0</v>
      </c>
      <c r="B47" s="8" t="s">
        <v>238</v>
      </c>
      <c r="C47" s="8" t="s">
        <v>239</v>
      </c>
      <c r="D47" s="7" t="s">
        <v>75</v>
      </c>
      <c r="E47" s="8" t="s">
        <v>119</v>
      </c>
      <c r="F47" s="8" t="s">
        <v>240</v>
      </c>
      <c r="G47" s="7">
        <v>7.567703873E9</v>
      </c>
      <c r="H47" s="7">
        <v>9.714231016E9</v>
      </c>
      <c r="I47" s="7">
        <v>995.0</v>
      </c>
      <c r="J47" s="14">
        <v>46447.0</v>
      </c>
      <c r="K47" s="7" t="s">
        <v>78</v>
      </c>
      <c r="L47" s="9" t="s">
        <v>49</v>
      </c>
      <c r="M47" s="7" t="s">
        <v>33</v>
      </c>
      <c r="N47" s="7" t="s">
        <v>28</v>
      </c>
      <c r="O47" s="11">
        <v>5552.54</v>
      </c>
      <c r="P47" s="7">
        <v>5968.0</v>
      </c>
      <c r="Q47" s="5">
        <v>50.0</v>
      </c>
      <c r="R47" s="12">
        <f t="shared" si="1"/>
        <v>2776.27</v>
      </c>
    </row>
    <row r="48">
      <c r="A48" s="14">
        <v>46143.0</v>
      </c>
      <c r="B48" s="8" t="s">
        <v>241</v>
      </c>
      <c r="C48" s="8" t="s">
        <v>242</v>
      </c>
      <c r="D48" s="7" t="s">
        <v>93</v>
      </c>
      <c r="E48" s="8" t="s">
        <v>243</v>
      </c>
      <c r="F48" s="8" t="s">
        <v>244</v>
      </c>
      <c r="G48" s="7">
        <v>8.320347922E9</v>
      </c>
      <c r="H48" s="7">
        <v>9.727527425E9</v>
      </c>
      <c r="I48" s="7">
        <v>9600.0</v>
      </c>
      <c r="J48" s="14">
        <v>46478.0</v>
      </c>
      <c r="K48" s="7" t="s">
        <v>25</v>
      </c>
      <c r="L48" s="9" t="s">
        <v>26</v>
      </c>
      <c r="M48" s="7" t="s">
        <v>71</v>
      </c>
      <c r="N48" s="7" t="s">
        <v>28</v>
      </c>
      <c r="O48" s="7">
        <v>27885.0</v>
      </c>
      <c r="P48" s="7">
        <v>29370.0</v>
      </c>
      <c r="Q48" s="5">
        <v>43.0</v>
      </c>
      <c r="R48" s="12">
        <f t="shared" si="1"/>
        <v>11990.55</v>
      </c>
    </row>
    <row r="49">
      <c r="A49" s="14">
        <v>46174.0</v>
      </c>
      <c r="B49" s="8" t="s">
        <v>245</v>
      </c>
      <c r="C49" s="8" t="s">
        <v>246</v>
      </c>
      <c r="D49" s="7" t="s">
        <v>75</v>
      </c>
      <c r="E49" s="8" t="s">
        <v>225</v>
      </c>
      <c r="F49" s="8" t="s">
        <v>247</v>
      </c>
      <c r="G49" s="7">
        <v>9.909323999E9</v>
      </c>
      <c r="H49" s="7">
        <v>9.277009575E9</v>
      </c>
      <c r="I49" s="7">
        <v>995.0</v>
      </c>
      <c r="J49" s="14">
        <v>46600.0</v>
      </c>
      <c r="K49" s="7" t="s">
        <v>41</v>
      </c>
      <c r="L49" s="9" t="s">
        <v>49</v>
      </c>
      <c r="M49" s="7" t="s">
        <v>71</v>
      </c>
      <c r="N49" s="7" t="s">
        <v>28</v>
      </c>
      <c r="O49" s="11">
        <v>5576.0</v>
      </c>
      <c r="P49" s="11">
        <v>5988.0</v>
      </c>
      <c r="Q49" s="5">
        <v>52.5</v>
      </c>
      <c r="R49" s="12">
        <f t="shared" si="1"/>
        <v>2927.4</v>
      </c>
    </row>
    <row r="50">
      <c r="A50" s="14">
        <v>46174.0</v>
      </c>
      <c r="B50" s="8" t="s">
        <v>248</v>
      </c>
      <c r="C50" s="8" t="s">
        <v>249</v>
      </c>
      <c r="D50" s="7" t="s">
        <v>21</v>
      </c>
      <c r="E50" s="8" t="s">
        <v>250</v>
      </c>
      <c r="F50" s="8" t="s">
        <v>251</v>
      </c>
      <c r="G50" s="7">
        <v>9.825765417E9</v>
      </c>
      <c r="H50" s="7" t="s">
        <v>63</v>
      </c>
      <c r="I50" s="7">
        <v>35000.0</v>
      </c>
      <c r="J50" s="14">
        <v>46478.0</v>
      </c>
      <c r="K50" s="7" t="s">
        <v>25</v>
      </c>
      <c r="L50" s="9" t="s">
        <v>26</v>
      </c>
      <c r="M50" s="7" t="s">
        <v>71</v>
      </c>
      <c r="N50" s="7" t="s">
        <v>28</v>
      </c>
      <c r="O50" s="11">
        <v>44060.0</v>
      </c>
      <c r="P50" s="11">
        <v>46277.0</v>
      </c>
      <c r="Q50" s="5">
        <v>51.0</v>
      </c>
      <c r="R50" s="12">
        <f t="shared" si="1"/>
        <v>22470.6</v>
      </c>
    </row>
    <row r="51">
      <c r="A51" s="14">
        <v>46174.0</v>
      </c>
      <c r="B51" s="8" t="s">
        <v>252</v>
      </c>
      <c r="C51" s="8" t="s">
        <v>253</v>
      </c>
      <c r="D51" s="7" t="s">
        <v>75</v>
      </c>
      <c r="E51" s="8" t="s">
        <v>81</v>
      </c>
      <c r="F51" s="8" t="s">
        <v>254</v>
      </c>
      <c r="G51" s="7">
        <v>9.624873389E9</v>
      </c>
      <c r="H51" s="7">
        <v>6.353547946E9</v>
      </c>
      <c r="I51" s="7">
        <v>990.0</v>
      </c>
      <c r="J51" s="14">
        <v>46508.0</v>
      </c>
      <c r="K51" s="7" t="s">
        <v>78</v>
      </c>
      <c r="L51" s="9" t="s">
        <v>49</v>
      </c>
      <c r="M51" s="7" t="s">
        <v>71</v>
      </c>
      <c r="N51" s="7" t="s">
        <v>28</v>
      </c>
      <c r="O51" s="11">
        <v>4879.24</v>
      </c>
      <c r="P51" s="7">
        <v>5174.0</v>
      </c>
      <c r="Q51" s="5">
        <v>50.0</v>
      </c>
      <c r="R51" s="12">
        <f t="shared" si="1"/>
        <v>2439.62</v>
      </c>
    </row>
    <row r="52">
      <c r="A52" s="14">
        <v>46204.0</v>
      </c>
      <c r="B52" s="8" t="s">
        <v>255</v>
      </c>
      <c r="C52" s="8" t="s">
        <v>256</v>
      </c>
      <c r="D52" s="7" t="s">
        <v>44</v>
      </c>
      <c r="E52" s="8" t="s">
        <v>257</v>
      </c>
      <c r="F52" s="8" t="s">
        <v>258</v>
      </c>
      <c r="G52" s="7">
        <v>8.128211483E9</v>
      </c>
      <c r="H52" s="7">
        <v>9.825212751E9</v>
      </c>
      <c r="I52" s="7">
        <v>1260.0</v>
      </c>
      <c r="J52" s="7" t="s">
        <v>259</v>
      </c>
      <c r="K52" s="7" t="s">
        <v>48</v>
      </c>
      <c r="L52" s="9" t="s">
        <v>49</v>
      </c>
      <c r="M52" s="7" t="s">
        <v>71</v>
      </c>
      <c r="N52" s="7" t="s">
        <v>28</v>
      </c>
      <c r="O52" s="11">
        <v>16807.0</v>
      </c>
      <c r="P52" s="11">
        <v>17746.0</v>
      </c>
      <c r="Q52" s="5">
        <v>63.0</v>
      </c>
      <c r="R52" s="12">
        <f t="shared" si="1"/>
        <v>10588.41</v>
      </c>
    </row>
    <row r="53">
      <c r="A53" s="14">
        <v>46204.0</v>
      </c>
      <c r="B53" s="8" t="s">
        <v>260</v>
      </c>
      <c r="C53" s="8" t="s">
        <v>261</v>
      </c>
      <c r="D53" s="7" t="s">
        <v>44</v>
      </c>
      <c r="E53" s="8" t="s">
        <v>262</v>
      </c>
      <c r="F53" s="8" t="s">
        <v>263</v>
      </c>
      <c r="G53" s="7">
        <v>6.352080451E9</v>
      </c>
      <c r="H53" s="7">
        <v>9.97931317E9</v>
      </c>
      <c r="I53" s="7">
        <v>1600.0</v>
      </c>
      <c r="J53" s="14">
        <v>46508.0</v>
      </c>
      <c r="K53" s="7" t="s">
        <v>48</v>
      </c>
      <c r="L53" s="9" t="s">
        <v>49</v>
      </c>
      <c r="M53" s="7" t="s">
        <v>219</v>
      </c>
      <c r="N53" s="7" t="s">
        <v>28</v>
      </c>
      <c r="O53" s="11">
        <v>20466.0</v>
      </c>
      <c r="P53" s="11">
        <v>22064.0</v>
      </c>
      <c r="Q53" s="5">
        <v>63.0</v>
      </c>
      <c r="R53" s="12">
        <f t="shared" si="1"/>
        <v>12893.58</v>
      </c>
    </row>
    <row r="54">
      <c r="A54" s="14">
        <v>46204.0</v>
      </c>
      <c r="B54" s="8" t="s">
        <v>264</v>
      </c>
      <c r="C54" s="8" t="s">
        <v>265</v>
      </c>
      <c r="D54" s="7" t="s">
        <v>44</v>
      </c>
      <c r="E54" s="8" t="s">
        <v>45</v>
      </c>
      <c r="F54" s="8" t="s">
        <v>266</v>
      </c>
      <c r="G54" s="7">
        <v>9.913446989E9</v>
      </c>
      <c r="H54" s="7">
        <v>9.913446996E9</v>
      </c>
      <c r="I54" s="7">
        <v>1600.0</v>
      </c>
      <c r="J54" s="14">
        <v>46508.0</v>
      </c>
      <c r="K54" s="7" t="s">
        <v>48</v>
      </c>
      <c r="L54" s="9" t="s">
        <v>49</v>
      </c>
      <c r="M54" s="7" t="s">
        <v>71</v>
      </c>
      <c r="N54" s="7" t="s">
        <v>28</v>
      </c>
      <c r="O54" s="7">
        <v>20570.0</v>
      </c>
      <c r="P54" s="7">
        <v>22186.0</v>
      </c>
      <c r="Q54" s="5">
        <v>63.0</v>
      </c>
      <c r="R54" s="12">
        <f t="shared" si="1"/>
        <v>12959.1</v>
      </c>
    </row>
    <row r="55">
      <c r="A55" s="14">
        <v>46204.0</v>
      </c>
      <c r="B55" s="8" t="s">
        <v>267</v>
      </c>
      <c r="C55" s="8" t="s">
        <v>268</v>
      </c>
      <c r="D55" s="7" t="s">
        <v>21</v>
      </c>
      <c r="E55" s="8" t="s">
        <v>269</v>
      </c>
      <c r="F55" s="8" t="s">
        <v>270</v>
      </c>
      <c r="G55" s="7">
        <v>8.329666175E9</v>
      </c>
      <c r="H55" s="7" t="s">
        <v>63</v>
      </c>
      <c r="I55" s="7">
        <v>45500.0</v>
      </c>
      <c r="J55" s="14">
        <v>46539.0</v>
      </c>
      <c r="K55" s="7" t="s">
        <v>56</v>
      </c>
      <c r="L55" s="9" t="s">
        <v>49</v>
      </c>
      <c r="M55" s="7" t="s">
        <v>271</v>
      </c>
      <c r="N55" s="7" t="s">
        <v>28</v>
      </c>
      <c r="O55" s="16">
        <v>48405.0</v>
      </c>
      <c r="P55" s="11">
        <v>51366.0</v>
      </c>
      <c r="Q55" s="5">
        <v>24.0</v>
      </c>
      <c r="R55" s="12">
        <f t="shared" si="1"/>
        <v>11617.2</v>
      </c>
    </row>
    <row r="56">
      <c r="A56" s="14">
        <v>46204.0</v>
      </c>
      <c r="B56" s="8" t="s">
        <v>272</v>
      </c>
      <c r="C56" s="8" t="s">
        <v>273</v>
      </c>
      <c r="D56" s="7" t="s">
        <v>44</v>
      </c>
      <c r="E56" s="8" t="s">
        <v>45</v>
      </c>
      <c r="F56" s="8" t="s">
        <v>274</v>
      </c>
      <c r="G56" s="7">
        <v>9.687789442E9</v>
      </c>
      <c r="H56" s="7">
        <v>9.879175798E9</v>
      </c>
      <c r="I56" s="7">
        <v>1600.0</v>
      </c>
      <c r="J56" s="14">
        <v>46661.0</v>
      </c>
      <c r="K56" s="7" t="s">
        <v>48</v>
      </c>
      <c r="L56" s="9" t="s">
        <v>49</v>
      </c>
      <c r="M56" s="7" t="s">
        <v>185</v>
      </c>
      <c r="N56" s="7" t="s">
        <v>28</v>
      </c>
      <c r="O56" s="15">
        <v>20652.0</v>
      </c>
      <c r="P56" s="11">
        <v>22283.0</v>
      </c>
      <c r="Q56" s="5">
        <v>63.0</v>
      </c>
      <c r="R56" s="12">
        <f t="shared" si="1"/>
        <v>13010.76</v>
      </c>
    </row>
    <row r="57">
      <c r="A57" s="14">
        <v>46204.0</v>
      </c>
      <c r="B57" s="8" t="s">
        <v>275</v>
      </c>
      <c r="C57" s="8" t="s">
        <v>276</v>
      </c>
      <c r="D57" s="7" t="s">
        <v>44</v>
      </c>
      <c r="E57" s="8" t="s">
        <v>45</v>
      </c>
      <c r="F57" s="8" t="s">
        <v>277</v>
      </c>
      <c r="G57" s="7">
        <v>6.352670587E9</v>
      </c>
      <c r="H57" s="7" t="s">
        <v>63</v>
      </c>
      <c r="I57" s="7">
        <v>1600.0</v>
      </c>
      <c r="J57" s="14">
        <v>46508.0</v>
      </c>
      <c r="K57" s="7" t="s">
        <v>48</v>
      </c>
      <c r="L57" s="9" t="s">
        <v>49</v>
      </c>
      <c r="M57" s="7" t="s">
        <v>278</v>
      </c>
      <c r="N57" s="7" t="s">
        <v>28</v>
      </c>
      <c r="O57" s="11">
        <v>22092.0</v>
      </c>
      <c r="P57" s="11">
        <v>23982.0</v>
      </c>
      <c r="Q57" s="5">
        <v>63.0</v>
      </c>
      <c r="R57" s="12">
        <f t="shared" si="1"/>
        <v>13917.96</v>
      </c>
    </row>
    <row r="58">
      <c r="A58" s="14">
        <v>46204.0</v>
      </c>
      <c r="B58" s="8" t="s">
        <v>279</v>
      </c>
      <c r="C58" s="8" t="s">
        <v>280</v>
      </c>
      <c r="D58" s="7" t="s">
        <v>44</v>
      </c>
      <c r="E58" s="8" t="s">
        <v>45</v>
      </c>
      <c r="F58" s="8" t="s">
        <v>281</v>
      </c>
      <c r="G58" s="7">
        <v>9.687789442E9</v>
      </c>
      <c r="H58" s="7">
        <v>9.879175798E9</v>
      </c>
      <c r="I58" s="7">
        <v>1600.0</v>
      </c>
      <c r="J58" s="14">
        <v>46692.0</v>
      </c>
      <c r="K58" s="7" t="s">
        <v>48</v>
      </c>
      <c r="L58" s="9" t="s">
        <v>49</v>
      </c>
      <c r="M58" s="7" t="s">
        <v>71</v>
      </c>
      <c r="N58" s="7" t="s">
        <v>28</v>
      </c>
      <c r="O58" s="11">
        <v>20679.0</v>
      </c>
      <c r="P58" s="7">
        <v>22315.0</v>
      </c>
      <c r="Q58" s="5">
        <v>63.0</v>
      </c>
      <c r="R58" s="12">
        <f t="shared" si="1"/>
        <v>13027.77</v>
      </c>
    </row>
    <row r="59">
      <c r="A59" s="14">
        <v>46204.0</v>
      </c>
      <c r="B59" s="8" t="s">
        <v>282</v>
      </c>
      <c r="C59" s="8" t="s">
        <v>283</v>
      </c>
      <c r="D59" s="7" t="s">
        <v>44</v>
      </c>
      <c r="E59" s="8" t="s">
        <v>257</v>
      </c>
      <c r="F59" s="8" t="s">
        <v>284</v>
      </c>
      <c r="G59" s="7">
        <v>9.898070588E9</v>
      </c>
      <c r="H59" s="7">
        <v>7.990301381E9</v>
      </c>
      <c r="I59" s="7">
        <v>2500.0</v>
      </c>
      <c r="J59" s="14">
        <v>46508.0</v>
      </c>
      <c r="K59" s="7" t="s">
        <v>48</v>
      </c>
      <c r="L59" s="9" t="s">
        <v>49</v>
      </c>
      <c r="M59" s="7" t="s">
        <v>285</v>
      </c>
      <c r="N59" s="7" t="s">
        <v>28</v>
      </c>
      <c r="O59" s="11">
        <v>17100.0</v>
      </c>
      <c r="P59" s="11">
        <v>18092.0</v>
      </c>
      <c r="Q59" s="5">
        <v>63.0</v>
      </c>
      <c r="R59" s="12">
        <f t="shared" si="1"/>
        <v>10773</v>
      </c>
    </row>
    <row r="60">
      <c r="A60" s="14">
        <v>46204.0</v>
      </c>
      <c r="B60" s="8" t="s">
        <v>286</v>
      </c>
      <c r="C60" s="8" t="s">
        <v>287</v>
      </c>
      <c r="D60" s="7" t="s">
        <v>75</v>
      </c>
      <c r="E60" s="8" t="s">
        <v>81</v>
      </c>
      <c r="F60" s="8" t="s">
        <v>288</v>
      </c>
      <c r="G60" s="7">
        <v>9.638852153E9</v>
      </c>
      <c r="H60" s="7" t="s">
        <v>63</v>
      </c>
      <c r="I60" s="7">
        <v>995.0</v>
      </c>
      <c r="J60" s="14">
        <v>46539.0</v>
      </c>
      <c r="K60" s="7" t="s">
        <v>78</v>
      </c>
      <c r="L60" s="9" t="s">
        <v>49</v>
      </c>
      <c r="M60" s="7" t="s">
        <v>111</v>
      </c>
      <c r="N60" s="7" t="s">
        <v>28</v>
      </c>
      <c r="O60" s="11">
        <v>5362.44</v>
      </c>
      <c r="P60" s="11">
        <v>5744.0</v>
      </c>
      <c r="Q60" s="5">
        <v>50.0</v>
      </c>
      <c r="R60" s="12">
        <f t="shared" si="1"/>
        <v>2681.22</v>
      </c>
    </row>
    <row r="61">
      <c r="A61" s="14">
        <v>46235.0</v>
      </c>
      <c r="B61" s="8" t="s">
        <v>289</v>
      </c>
      <c r="C61" s="8" t="s">
        <v>290</v>
      </c>
      <c r="D61" s="7" t="s">
        <v>75</v>
      </c>
      <c r="E61" s="8" t="s">
        <v>291</v>
      </c>
      <c r="F61" s="8" t="s">
        <v>292</v>
      </c>
      <c r="G61" s="7">
        <v>6.353692688E9</v>
      </c>
      <c r="H61" s="7">
        <v>9.825699562E9</v>
      </c>
      <c r="I61" s="7">
        <v>990.0</v>
      </c>
      <c r="J61" s="17">
        <v>46569.0</v>
      </c>
      <c r="K61" s="7" t="s">
        <v>41</v>
      </c>
      <c r="L61" s="9" t="s">
        <v>49</v>
      </c>
      <c r="M61" s="7" t="s">
        <v>71</v>
      </c>
      <c r="N61" s="7" t="s">
        <v>28</v>
      </c>
      <c r="O61" s="11">
        <v>5566.0</v>
      </c>
      <c r="P61" s="11">
        <v>5976.0</v>
      </c>
      <c r="Q61" s="5">
        <v>52.5</v>
      </c>
      <c r="R61" s="12">
        <f t="shared" si="1"/>
        <v>2922.15</v>
      </c>
    </row>
    <row r="62">
      <c r="A62" s="14">
        <v>46235.0</v>
      </c>
      <c r="B62" s="8" t="s">
        <v>293</v>
      </c>
      <c r="C62" s="8" t="s">
        <v>294</v>
      </c>
      <c r="D62" s="7" t="s">
        <v>63</v>
      </c>
      <c r="E62" s="8" t="s">
        <v>295</v>
      </c>
      <c r="F62" s="8" t="s">
        <v>296</v>
      </c>
      <c r="G62" s="7">
        <v>9.979374474E9</v>
      </c>
      <c r="H62" s="7">
        <v>9.067593333E9</v>
      </c>
      <c r="I62" s="7" t="s">
        <v>63</v>
      </c>
      <c r="J62" s="18">
        <v>46539.0</v>
      </c>
      <c r="K62" s="7" t="s">
        <v>297</v>
      </c>
      <c r="L62" s="9" t="s">
        <v>49</v>
      </c>
      <c r="M62" s="7" t="s">
        <v>84</v>
      </c>
      <c r="N62" s="7" t="s">
        <v>28</v>
      </c>
      <c r="O62" s="11">
        <v>7386.8</v>
      </c>
      <c r="P62" s="11">
        <v>8716.0</v>
      </c>
      <c r="Q62" s="5">
        <v>25.0</v>
      </c>
      <c r="R62" s="12">
        <f t="shared" si="1"/>
        <v>1846.7</v>
      </c>
    </row>
    <row r="63">
      <c r="A63" s="19">
        <v>46266.0</v>
      </c>
      <c r="B63" s="8" t="s">
        <v>298</v>
      </c>
      <c r="C63" s="8" t="s">
        <v>299</v>
      </c>
      <c r="D63" s="7" t="s">
        <v>21</v>
      </c>
      <c r="E63" s="8" t="s">
        <v>300</v>
      </c>
      <c r="F63" s="8" t="s">
        <v>301</v>
      </c>
      <c r="G63" s="7">
        <v>8.141489308E9</v>
      </c>
      <c r="H63" s="7">
        <v>9.724860034E9</v>
      </c>
      <c r="I63" s="7">
        <v>42000.0</v>
      </c>
      <c r="J63" s="17">
        <v>46569.0</v>
      </c>
      <c r="K63" s="7" t="s">
        <v>70</v>
      </c>
      <c r="L63" s="9" t="s">
        <v>49</v>
      </c>
      <c r="M63" s="7" t="s">
        <v>219</v>
      </c>
      <c r="N63" s="7" t="s">
        <v>28</v>
      </c>
      <c r="O63" s="11">
        <v>50213.0</v>
      </c>
      <c r="P63" s="11">
        <v>53500.0</v>
      </c>
      <c r="Q63" s="5">
        <v>27.0</v>
      </c>
      <c r="R63" s="12">
        <f t="shared" si="1"/>
        <v>13557.51</v>
      </c>
    </row>
    <row r="64">
      <c r="A64" s="19">
        <v>46266.0</v>
      </c>
      <c r="B64" s="8" t="s">
        <v>302</v>
      </c>
      <c r="C64" s="8" t="s">
        <v>303</v>
      </c>
      <c r="D64" s="7" t="s">
        <v>60</v>
      </c>
      <c r="E64" s="8" t="s">
        <v>304</v>
      </c>
      <c r="F64" s="8" t="s">
        <v>305</v>
      </c>
      <c r="G64" s="7">
        <v>7.990894209E9</v>
      </c>
      <c r="H64" s="7">
        <v>9.925891784E9</v>
      </c>
      <c r="I64" s="7">
        <v>125.0</v>
      </c>
      <c r="J64" s="14">
        <v>46600.0</v>
      </c>
      <c r="K64" s="7" t="s">
        <v>65</v>
      </c>
      <c r="L64" s="9" t="s">
        <v>26</v>
      </c>
      <c r="M64" s="7" t="s">
        <v>27</v>
      </c>
      <c r="N64" s="7" t="s">
        <v>28</v>
      </c>
      <c r="O64" s="7">
        <v>714.0</v>
      </c>
      <c r="P64" s="7">
        <v>842.0</v>
      </c>
      <c r="Q64" s="5">
        <v>58.0</v>
      </c>
      <c r="R64" s="12">
        <f t="shared" si="1"/>
        <v>414.12</v>
      </c>
    </row>
    <row r="65">
      <c r="A65" s="19">
        <v>46266.0</v>
      </c>
      <c r="B65" s="8" t="s">
        <v>306</v>
      </c>
      <c r="C65" s="8" t="s">
        <v>307</v>
      </c>
      <c r="D65" s="7" t="s">
        <v>60</v>
      </c>
      <c r="E65" s="8" t="s">
        <v>199</v>
      </c>
      <c r="F65" s="8" t="s">
        <v>308</v>
      </c>
      <c r="G65" s="7">
        <v>9.427222508E9</v>
      </c>
      <c r="H65" s="7" t="s">
        <v>63</v>
      </c>
      <c r="I65" s="7">
        <v>109.0</v>
      </c>
      <c r="J65" s="19">
        <v>46661.0</v>
      </c>
      <c r="K65" s="7" t="s">
        <v>65</v>
      </c>
      <c r="L65" s="9" t="s">
        <v>26</v>
      </c>
      <c r="M65" s="7" t="s">
        <v>71</v>
      </c>
      <c r="N65" s="7" t="s">
        <v>28</v>
      </c>
      <c r="O65" s="11">
        <v>714.0</v>
      </c>
      <c r="P65" s="11">
        <v>842.0</v>
      </c>
      <c r="Q65" s="5">
        <v>58.0</v>
      </c>
      <c r="R65" s="12">
        <f t="shared" si="1"/>
        <v>414.12</v>
      </c>
    </row>
    <row r="66">
      <c r="A66" s="19">
        <v>46266.0</v>
      </c>
      <c r="B66" s="8" t="s">
        <v>309</v>
      </c>
      <c r="C66" s="8" t="s">
        <v>310</v>
      </c>
      <c r="D66" s="7" t="s">
        <v>21</v>
      </c>
      <c r="E66" s="8" t="s">
        <v>158</v>
      </c>
      <c r="F66" s="8" t="s">
        <v>311</v>
      </c>
      <c r="G66" s="7">
        <v>9.727631306E9</v>
      </c>
      <c r="H66" s="7">
        <v>9.574155135E9</v>
      </c>
      <c r="I66" s="7">
        <v>35000.0</v>
      </c>
      <c r="J66" s="17">
        <v>46569.0</v>
      </c>
      <c r="K66" s="7" t="s">
        <v>78</v>
      </c>
      <c r="L66" s="9" t="s">
        <v>49</v>
      </c>
      <c r="M66" s="7" t="s">
        <v>285</v>
      </c>
      <c r="N66" s="7" t="s">
        <v>28</v>
      </c>
      <c r="O66" s="11">
        <v>45992.77</v>
      </c>
      <c r="P66" s="11">
        <v>48558.0</v>
      </c>
      <c r="Q66" s="5">
        <v>33.0</v>
      </c>
      <c r="R66" s="12">
        <f t="shared" si="1"/>
        <v>15177.6141</v>
      </c>
    </row>
    <row r="67">
      <c r="A67" s="19">
        <v>46266.0</v>
      </c>
      <c r="B67" s="8" t="s">
        <v>312</v>
      </c>
      <c r="C67" s="8" t="s">
        <v>313</v>
      </c>
      <c r="D67" s="7" t="s">
        <v>21</v>
      </c>
      <c r="E67" s="8" t="s">
        <v>314</v>
      </c>
      <c r="F67" s="8" t="s">
        <v>315</v>
      </c>
      <c r="G67" s="7">
        <v>9.601101224E9</v>
      </c>
      <c r="H67" s="7" t="s">
        <v>63</v>
      </c>
      <c r="I67" s="7">
        <v>25000.0</v>
      </c>
      <c r="J67" s="14">
        <v>46600.0</v>
      </c>
      <c r="K67" s="7" t="s">
        <v>78</v>
      </c>
      <c r="L67" s="9" t="s">
        <v>49</v>
      </c>
      <c r="M67" s="7" t="s">
        <v>285</v>
      </c>
      <c r="N67" s="7" t="s">
        <v>28</v>
      </c>
      <c r="O67" s="11">
        <v>47073.45</v>
      </c>
      <c r="P67" s="11">
        <v>49833.0</v>
      </c>
      <c r="Q67" s="5">
        <v>33.0</v>
      </c>
      <c r="R67" s="12">
        <f t="shared" si="1"/>
        <v>15534.2385</v>
      </c>
    </row>
    <row r="68">
      <c r="A68" s="19">
        <v>46296.0</v>
      </c>
      <c r="B68" s="8" t="s">
        <v>316</v>
      </c>
      <c r="C68" s="8" t="s">
        <v>317</v>
      </c>
      <c r="D68" s="7" t="s">
        <v>44</v>
      </c>
      <c r="E68" s="8" t="s">
        <v>318</v>
      </c>
      <c r="F68" s="8" t="s">
        <v>319</v>
      </c>
      <c r="G68" s="7">
        <v>9.687527361E9</v>
      </c>
      <c r="H68" s="7">
        <v>9.016204815E9</v>
      </c>
      <c r="I68" s="7">
        <v>2450.0</v>
      </c>
      <c r="J68" s="14">
        <v>46631.0</v>
      </c>
      <c r="K68" s="7" t="s">
        <v>143</v>
      </c>
      <c r="L68" s="9" t="s">
        <v>49</v>
      </c>
      <c r="M68" s="7" t="s">
        <v>71</v>
      </c>
      <c r="N68" s="7" t="s">
        <v>28</v>
      </c>
      <c r="O68" s="11">
        <v>17087.0</v>
      </c>
      <c r="P68" s="11">
        <v>18076.0</v>
      </c>
      <c r="Q68" s="5">
        <v>62.0</v>
      </c>
      <c r="R68" s="12">
        <f t="shared" si="1"/>
        <v>10593.94</v>
      </c>
    </row>
    <row r="69">
      <c r="A69" s="19">
        <v>46296.0</v>
      </c>
      <c r="B69" s="8" t="s">
        <v>320</v>
      </c>
      <c r="C69" s="8" t="s">
        <v>321</v>
      </c>
      <c r="D69" s="7" t="s">
        <v>21</v>
      </c>
      <c r="E69" s="8" t="s">
        <v>322</v>
      </c>
      <c r="F69" s="8" t="s">
        <v>323</v>
      </c>
      <c r="G69" s="7">
        <v>8.200030131E9</v>
      </c>
      <c r="H69" s="7">
        <v>9.71438405E9</v>
      </c>
      <c r="I69" s="7">
        <v>28000.0</v>
      </c>
      <c r="J69" s="14">
        <v>46631.0</v>
      </c>
      <c r="K69" s="7" t="s">
        <v>56</v>
      </c>
      <c r="L69" s="9" t="s">
        <v>49</v>
      </c>
      <c r="M69" s="7" t="s">
        <v>71</v>
      </c>
      <c r="N69" s="10" t="s">
        <v>28</v>
      </c>
      <c r="O69" s="11">
        <v>45383.0</v>
      </c>
      <c r="P69" s="11">
        <v>47838.0</v>
      </c>
      <c r="Q69" s="5">
        <v>29.0</v>
      </c>
      <c r="R69" s="12">
        <f t="shared" si="1"/>
        <v>13161.07</v>
      </c>
    </row>
    <row r="70">
      <c r="A70" s="19">
        <v>46296.0</v>
      </c>
      <c r="B70" s="8" t="s">
        <v>324</v>
      </c>
      <c r="C70" s="8" t="s">
        <v>325</v>
      </c>
      <c r="D70" s="7" t="s">
        <v>60</v>
      </c>
      <c r="E70" s="8" t="s">
        <v>326</v>
      </c>
      <c r="F70" s="8" t="s">
        <v>327</v>
      </c>
      <c r="G70" s="7">
        <v>7.35959195E9</v>
      </c>
      <c r="H70" s="7" t="s">
        <v>63</v>
      </c>
      <c r="I70" s="7">
        <v>100.0</v>
      </c>
      <c r="J70" s="19">
        <v>46661.0</v>
      </c>
      <c r="K70" s="7" t="s">
        <v>65</v>
      </c>
      <c r="L70" s="9" t="s">
        <v>26</v>
      </c>
      <c r="M70" s="7" t="s">
        <v>27</v>
      </c>
      <c r="N70" s="7" t="s">
        <v>28</v>
      </c>
      <c r="O70" s="11">
        <v>714.0</v>
      </c>
      <c r="P70" s="11">
        <v>842.0</v>
      </c>
      <c r="Q70" s="5">
        <v>52.0</v>
      </c>
      <c r="R70" s="12">
        <f t="shared" si="1"/>
        <v>371.28</v>
      </c>
    </row>
    <row r="71">
      <c r="A71" s="19">
        <v>46296.0</v>
      </c>
      <c r="B71" s="8" t="s">
        <v>328</v>
      </c>
      <c r="C71" s="8" t="s">
        <v>329</v>
      </c>
      <c r="D71" s="7" t="s">
        <v>21</v>
      </c>
      <c r="E71" s="8" t="s">
        <v>330</v>
      </c>
      <c r="F71" s="8" t="s">
        <v>331</v>
      </c>
      <c r="G71" s="7">
        <v>9.574991612E9</v>
      </c>
      <c r="H71" s="7" t="s">
        <v>63</v>
      </c>
      <c r="I71" s="7">
        <v>12990.0</v>
      </c>
      <c r="J71" s="14">
        <v>46600.0</v>
      </c>
      <c r="K71" s="7" t="s">
        <v>78</v>
      </c>
      <c r="L71" s="9" t="s">
        <v>49</v>
      </c>
      <c r="M71" s="7" t="s">
        <v>27</v>
      </c>
      <c r="N71" s="7" t="s">
        <v>28</v>
      </c>
      <c r="O71" s="11">
        <v>36666.19</v>
      </c>
      <c r="P71" s="11">
        <v>38675.0</v>
      </c>
      <c r="Q71" s="5">
        <v>31.0</v>
      </c>
      <c r="R71" s="12">
        <f t="shared" si="1"/>
        <v>11366.5189</v>
      </c>
    </row>
    <row r="72">
      <c r="A72" s="19">
        <v>46327.0</v>
      </c>
      <c r="B72" s="8" t="s">
        <v>332</v>
      </c>
      <c r="C72" s="8" t="s">
        <v>333</v>
      </c>
      <c r="D72" s="7" t="s">
        <v>75</v>
      </c>
      <c r="E72" s="8" t="s">
        <v>334</v>
      </c>
      <c r="F72" s="8" t="s">
        <v>335</v>
      </c>
      <c r="G72" s="7">
        <v>9.979908588E9</v>
      </c>
      <c r="H72" s="7">
        <v>9.624964293E9</v>
      </c>
      <c r="I72" s="7">
        <v>995.0</v>
      </c>
      <c r="J72" s="19">
        <v>46722.0</v>
      </c>
      <c r="K72" s="7" t="s">
        <v>41</v>
      </c>
      <c r="L72" s="9" t="s">
        <v>49</v>
      </c>
      <c r="M72" s="7" t="s">
        <v>71</v>
      </c>
      <c r="N72" s="7" t="s">
        <v>28</v>
      </c>
      <c r="O72" s="11">
        <v>5829.0</v>
      </c>
      <c r="P72" s="11">
        <v>6293.0</v>
      </c>
      <c r="Q72" s="5">
        <v>52.5</v>
      </c>
      <c r="R72" s="12">
        <f t="shared" si="1"/>
        <v>3060.225</v>
      </c>
    </row>
    <row r="73">
      <c r="A73" s="19">
        <v>46327.0</v>
      </c>
      <c r="B73" s="8" t="s">
        <v>336</v>
      </c>
      <c r="C73" s="8" t="s">
        <v>337</v>
      </c>
      <c r="D73" s="7" t="s">
        <v>44</v>
      </c>
      <c r="E73" s="8" t="s">
        <v>338</v>
      </c>
      <c r="F73" s="8" t="s">
        <v>339</v>
      </c>
      <c r="G73" s="7">
        <v>8.1285002E9</v>
      </c>
      <c r="H73" s="7">
        <v>9.9047002E9</v>
      </c>
      <c r="I73" s="7">
        <v>1600.0</v>
      </c>
      <c r="J73" s="19">
        <v>46631.0</v>
      </c>
      <c r="K73" s="7" t="s">
        <v>78</v>
      </c>
      <c r="L73" s="9" t="s">
        <v>49</v>
      </c>
      <c r="M73" s="7" t="s">
        <v>340</v>
      </c>
      <c r="N73" s="7" t="s">
        <v>28</v>
      </c>
      <c r="O73" s="7">
        <v>17282.05</v>
      </c>
      <c r="P73" s="7">
        <v>18306.45</v>
      </c>
      <c r="Q73" s="5">
        <v>62.0</v>
      </c>
      <c r="R73" s="12">
        <f t="shared" si="1"/>
        <v>10714.871</v>
      </c>
    </row>
    <row r="74">
      <c r="A74" s="19">
        <v>46327.0</v>
      </c>
      <c r="B74" s="8" t="s">
        <v>341</v>
      </c>
      <c r="C74" s="8" t="s">
        <v>342</v>
      </c>
      <c r="D74" s="7" t="s">
        <v>44</v>
      </c>
      <c r="E74" s="8" t="s">
        <v>343</v>
      </c>
      <c r="F74" s="8" t="s">
        <v>344</v>
      </c>
      <c r="G74" s="7">
        <v>9.979218799E9</v>
      </c>
      <c r="H74" s="7">
        <v>8.1540883E9</v>
      </c>
      <c r="I74" s="7">
        <v>2100.0</v>
      </c>
      <c r="J74" s="19">
        <v>46661.0</v>
      </c>
      <c r="K74" s="7" t="s">
        <v>25</v>
      </c>
      <c r="L74" s="9" t="s">
        <v>26</v>
      </c>
      <c r="M74" s="7" t="s">
        <v>89</v>
      </c>
      <c r="N74" s="7" t="s">
        <v>28</v>
      </c>
      <c r="O74" s="11">
        <v>16149.0</v>
      </c>
      <c r="P74" s="11">
        <v>16969.0</v>
      </c>
      <c r="Q74" s="5">
        <v>65.0</v>
      </c>
      <c r="R74" s="12">
        <f t="shared" si="1"/>
        <v>10496.85</v>
      </c>
    </row>
    <row r="75">
      <c r="A75" s="19">
        <v>46327.0</v>
      </c>
      <c r="B75" s="8" t="s">
        <v>345</v>
      </c>
      <c r="C75" s="8" t="s">
        <v>346</v>
      </c>
      <c r="D75" s="7" t="s">
        <v>75</v>
      </c>
      <c r="E75" s="8" t="s">
        <v>347</v>
      </c>
      <c r="F75" s="8" t="s">
        <v>348</v>
      </c>
      <c r="G75" s="7">
        <v>9.724221444E9</v>
      </c>
      <c r="H75" s="7">
        <v>8.799501038E9</v>
      </c>
      <c r="I75" s="7">
        <v>995.0</v>
      </c>
      <c r="J75" s="19">
        <v>46631.0</v>
      </c>
      <c r="K75" s="7" t="s">
        <v>78</v>
      </c>
      <c r="L75" s="9" t="s">
        <v>49</v>
      </c>
      <c r="M75" s="7" t="s">
        <v>71</v>
      </c>
      <c r="N75" s="7" t="s">
        <v>28</v>
      </c>
      <c r="O75" s="15">
        <v>5255.5</v>
      </c>
      <c r="P75" s="11">
        <v>5617.54</v>
      </c>
      <c r="Q75" s="5">
        <v>50.0</v>
      </c>
      <c r="R75" s="12">
        <f t="shared" si="1"/>
        <v>2627.75</v>
      </c>
    </row>
    <row r="76">
      <c r="A76" s="19">
        <v>46357.0</v>
      </c>
      <c r="B76" s="8" t="s">
        <v>349</v>
      </c>
      <c r="C76" s="8" t="s">
        <v>350</v>
      </c>
      <c r="D76" s="7" t="s">
        <v>93</v>
      </c>
      <c r="E76" s="8" t="s">
        <v>351</v>
      </c>
      <c r="F76" s="8" t="s">
        <v>352</v>
      </c>
      <c r="G76" s="7">
        <v>7.984551688E9</v>
      </c>
      <c r="H76" s="7" t="s">
        <v>63</v>
      </c>
      <c r="I76" s="7">
        <v>11990.0</v>
      </c>
      <c r="J76" s="19">
        <v>46692.0</v>
      </c>
      <c r="K76" s="7" t="s">
        <v>353</v>
      </c>
      <c r="L76" s="9" t="s">
        <v>49</v>
      </c>
      <c r="M76" s="7" t="s">
        <v>27</v>
      </c>
      <c r="N76" s="7" t="s">
        <v>28</v>
      </c>
      <c r="O76" s="11">
        <v>43605.0</v>
      </c>
      <c r="P76" s="11">
        <v>47920.0</v>
      </c>
      <c r="Q76" s="5">
        <v>30.0</v>
      </c>
      <c r="R76" s="12">
        <f t="shared" si="1"/>
        <v>13081.5</v>
      </c>
    </row>
    <row r="77">
      <c r="A77" s="7" t="s">
        <v>354</v>
      </c>
      <c r="B77" s="8" t="s">
        <v>355</v>
      </c>
      <c r="C77" s="8" t="s">
        <v>356</v>
      </c>
      <c r="D77" s="7" t="s">
        <v>60</v>
      </c>
      <c r="E77" s="8" t="s">
        <v>357</v>
      </c>
      <c r="F77" s="8" t="s">
        <v>358</v>
      </c>
      <c r="G77" s="7">
        <v>9.106613445E9</v>
      </c>
      <c r="H77" s="7" t="s">
        <v>63</v>
      </c>
      <c r="I77" s="7">
        <v>149.0</v>
      </c>
      <c r="J77" s="19">
        <v>46722.0</v>
      </c>
      <c r="K77" s="7" t="s">
        <v>65</v>
      </c>
      <c r="L77" s="9" t="s">
        <v>26</v>
      </c>
      <c r="M77" s="7" t="s">
        <v>27</v>
      </c>
      <c r="N77" s="7" t="s">
        <v>28</v>
      </c>
      <c r="O77" s="11">
        <v>714.0</v>
      </c>
      <c r="P77" s="11">
        <v>842.0</v>
      </c>
      <c r="Q77" s="5">
        <v>52.0</v>
      </c>
      <c r="R77" s="12">
        <f t="shared" si="1"/>
        <v>371.28</v>
      </c>
    </row>
    <row r="78">
      <c r="A78" s="7" t="s">
        <v>354</v>
      </c>
      <c r="B78" s="8" t="s">
        <v>359</v>
      </c>
      <c r="C78" s="8" t="s">
        <v>360</v>
      </c>
      <c r="D78" s="7" t="s">
        <v>21</v>
      </c>
      <c r="E78" s="8" t="s">
        <v>361</v>
      </c>
      <c r="F78" s="8" t="s">
        <v>362</v>
      </c>
      <c r="G78" s="7">
        <v>9.638304642E9</v>
      </c>
      <c r="H78" s="7">
        <v>9.51234443E9</v>
      </c>
      <c r="I78" s="7">
        <v>55000.0</v>
      </c>
      <c r="J78" s="7" t="s">
        <v>363</v>
      </c>
      <c r="K78" s="7" t="s">
        <v>364</v>
      </c>
      <c r="L78" s="9" t="s">
        <v>49</v>
      </c>
      <c r="M78" s="7" t="s">
        <v>365</v>
      </c>
      <c r="N78" s="7" t="s">
        <v>28</v>
      </c>
      <c r="O78" s="11">
        <v>80696.0</v>
      </c>
      <c r="P78" s="11">
        <v>89469.0</v>
      </c>
      <c r="Q78" s="5" t="s">
        <v>366</v>
      </c>
      <c r="R78" s="5">
        <v>12831.0</v>
      </c>
    </row>
    <row r="79">
      <c r="A79" s="7" t="s">
        <v>354</v>
      </c>
      <c r="B79" s="8" t="s">
        <v>367</v>
      </c>
      <c r="C79" s="8" t="s">
        <v>368</v>
      </c>
      <c r="D79" s="7" t="s">
        <v>44</v>
      </c>
      <c r="E79" s="8" t="s">
        <v>178</v>
      </c>
      <c r="F79" s="8" t="s">
        <v>369</v>
      </c>
      <c r="G79" s="7">
        <v>9.724670189E9</v>
      </c>
      <c r="H79" s="7">
        <v>7.990095386E9</v>
      </c>
      <c r="I79" s="7">
        <v>3460.0</v>
      </c>
      <c r="J79" s="14">
        <v>46722.0</v>
      </c>
      <c r="K79" s="7" t="s">
        <v>116</v>
      </c>
      <c r="L79" s="9" t="s">
        <v>49</v>
      </c>
      <c r="M79" s="7" t="s">
        <v>71</v>
      </c>
      <c r="N79" s="7" t="s">
        <v>28</v>
      </c>
      <c r="O79" s="11">
        <v>21985.0</v>
      </c>
      <c r="P79" s="11">
        <v>23846.0</v>
      </c>
      <c r="Q79" s="5">
        <v>54.0</v>
      </c>
      <c r="R79" s="12">
        <f t="shared" ref="R79:R137" si="2">O79*Q79%</f>
        <v>11871.9</v>
      </c>
    </row>
    <row r="80">
      <c r="A80" s="7" t="s">
        <v>370</v>
      </c>
      <c r="B80" s="8" t="s">
        <v>371</v>
      </c>
      <c r="C80" s="8" t="s">
        <v>372</v>
      </c>
      <c r="D80" s="7" t="s">
        <v>44</v>
      </c>
      <c r="E80" s="8" t="s">
        <v>373</v>
      </c>
      <c r="F80" s="8" t="s">
        <v>374</v>
      </c>
      <c r="G80" s="7">
        <v>9.825051721E9</v>
      </c>
      <c r="H80" s="7">
        <v>8.485993847E9</v>
      </c>
      <c r="I80" s="7">
        <v>2850.0</v>
      </c>
      <c r="J80" s="14">
        <v>46722.0</v>
      </c>
      <c r="K80" s="7" t="s">
        <v>116</v>
      </c>
      <c r="L80" s="9" t="s">
        <v>49</v>
      </c>
      <c r="M80" s="7" t="s">
        <v>71</v>
      </c>
      <c r="N80" s="7" t="s">
        <v>28</v>
      </c>
      <c r="O80" s="11">
        <v>21381.0</v>
      </c>
      <c r="P80" s="11">
        <v>23131.0</v>
      </c>
      <c r="Q80" s="5">
        <v>54.0</v>
      </c>
      <c r="R80" s="12">
        <f t="shared" si="2"/>
        <v>11545.74</v>
      </c>
    </row>
    <row r="81">
      <c r="A81" s="7" t="s">
        <v>370</v>
      </c>
      <c r="B81" s="8" t="s">
        <v>375</v>
      </c>
      <c r="C81" s="8" t="s">
        <v>376</v>
      </c>
      <c r="D81" s="7" t="s">
        <v>44</v>
      </c>
      <c r="E81" s="8" t="s">
        <v>377</v>
      </c>
      <c r="F81" s="8" t="s">
        <v>378</v>
      </c>
      <c r="G81" s="7">
        <v>6.353783411E9</v>
      </c>
      <c r="H81" s="7">
        <v>9.978820884E9</v>
      </c>
      <c r="I81" s="7">
        <v>2620.0</v>
      </c>
      <c r="J81" s="14">
        <v>46722.0</v>
      </c>
      <c r="K81" s="7" t="s">
        <v>116</v>
      </c>
      <c r="L81" s="9" t="s">
        <v>49</v>
      </c>
      <c r="M81" s="7" t="s">
        <v>71</v>
      </c>
      <c r="N81" s="7" t="s">
        <v>28</v>
      </c>
      <c r="O81" s="11">
        <v>18616.0</v>
      </c>
      <c r="P81" s="11">
        <v>19870.0</v>
      </c>
      <c r="Q81" s="5">
        <v>54.0</v>
      </c>
      <c r="R81" s="12">
        <f t="shared" si="2"/>
        <v>10052.64</v>
      </c>
    </row>
    <row r="82">
      <c r="A82" s="7" t="s">
        <v>370</v>
      </c>
      <c r="B82" s="8" t="s">
        <v>379</v>
      </c>
      <c r="C82" s="8" t="s">
        <v>380</v>
      </c>
      <c r="D82" s="7" t="s">
        <v>21</v>
      </c>
      <c r="E82" s="8" t="s">
        <v>381</v>
      </c>
      <c r="F82" s="8" t="s">
        <v>382</v>
      </c>
      <c r="G82" s="7">
        <v>9.428277711E9</v>
      </c>
      <c r="H82" s="7">
        <v>9.537704952E9</v>
      </c>
      <c r="I82" s="7">
        <v>28000.0</v>
      </c>
      <c r="J82" s="7" t="s">
        <v>383</v>
      </c>
      <c r="K82" s="7" t="s">
        <v>25</v>
      </c>
      <c r="L82" s="9" t="s">
        <v>26</v>
      </c>
      <c r="M82" s="7" t="s">
        <v>71</v>
      </c>
      <c r="N82" s="7" t="s">
        <v>28</v>
      </c>
      <c r="O82" s="11">
        <v>44050.0</v>
      </c>
      <c r="P82" s="11">
        <v>46266.0</v>
      </c>
      <c r="Q82" s="5">
        <v>51.0</v>
      </c>
      <c r="R82" s="12">
        <f t="shared" si="2"/>
        <v>22465.5</v>
      </c>
    </row>
    <row r="83">
      <c r="A83" s="7" t="s">
        <v>370</v>
      </c>
      <c r="B83" s="8" t="s">
        <v>384</v>
      </c>
      <c r="C83" s="8" t="s">
        <v>385</v>
      </c>
      <c r="D83" s="7" t="s">
        <v>75</v>
      </c>
      <c r="E83" s="8" t="s">
        <v>137</v>
      </c>
      <c r="F83" s="8" t="s">
        <v>386</v>
      </c>
      <c r="G83" s="7" t="s">
        <v>387</v>
      </c>
      <c r="H83" s="7" t="s">
        <v>388</v>
      </c>
      <c r="I83" s="7">
        <v>882.0</v>
      </c>
      <c r="J83" s="7" t="s">
        <v>383</v>
      </c>
      <c r="K83" s="7" t="s">
        <v>78</v>
      </c>
      <c r="L83" s="9" t="s">
        <v>49</v>
      </c>
      <c r="M83" s="7" t="s">
        <v>389</v>
      </c>
      <c r="N83" s="7" t="s">
        <v>28</v>
      </c>
      <c r="O83" s="11">
        <v>5447.28</v>
      </c>
      <c r="P83" s="11">
        <v>5844.0</v>
      </c>
      <c r="Q83" s="5">
        <v>50.0</v>
      </c>
      <c r="R83" s="12">
        <f t="shared" si="2"/>
        <v>2723.64</v>
      </c>
    </row>
    <row r="84">
      <c r="A84" s="7" t="s">
        <v>390</v>
      </c>
      <c r="B84" s="8" t="s">
        <v>391</v>
      </c>
      <c r="C84" s="8" t="s">
        <v>392</v>
      </c>
      <c r="D84" s="7" t="s">
        <v>21</v>
      </c>
      <c r="E84" s="8" t="s">
        <v>381</v>
      </c>
      <c r="F84" s="8" t="s">
        <v>393</v>
      </c>
      <c r="G84" s="7" t="s">
        <v>394</v>
      </c>
      <c r="H84" s="7">
        <v>9.712427382E9</v>
      </c>
      <c r="I84" s="7">
        <v>16200.0</v>
      </c>
      <c r="J84" s="7" t="s">
        <v>363</v>
      </c>
      <c r="K84" s="7" t="s">
        <v>25</v>
      </c>
      <c r="L84" s="9" t="s">
        <v>26</v>
      </c>
      <c r="M84" s="7" t="s">
        <v>340</v>
      </c>
      <c r="N84" s="7" t="s">
        <v>28</v>
      </c>
      <c r="O84" s="7">
        <v>35413.0</v>
      </c>
      <c r="P84" s="7">
        <v>37197.0</v>
      </c>
      <c r="Q84" s="5">
        <v>51.0</v>
      </c>
      <c r="R84" s="12">
        <f t="shared" si="2"/>
        <v>18060.63</v>
      </c>
    </row>
    <row r="85">
      <c r="A85" s="7" t="s">
        <v>390</v>
      </c>
      <c r="B85" s="8" t="s">
        <v>395</v>
      </c>
      <c r="C85" s="8" t="s">
        <v>396</v>
      </c>
      <c r="D85" s="7" t="s">
        <v>75</v>
      </c>
      <c r="E85" s="8" t="s">
        <v>397</v>
      </c>
      <c r="F85" s="8" t="s">
        <v>398</v>
      </c>
      <c r="G85" s="7">
        <v>9.638673152E9</v>
      </c>
      <c r="H85" s="7">
        <v>9.328512465E9</v>
      </c>
      <c r="I85" s="7">
        <v>990.0</v>
      </c>
      <c r="J85" s="7" t="s">
        <v>363</v>
      </c>
      <c r="K85" s="7" t="s">
        <v>78</v>
      </c>
      <c r="L85" s="9" t="s">
        <v>49</v>
      </c>
      <c r="M85" s="7" t="s">
        <v>219</v>
      </c>
      <c r="N85" s="7" t="s">
        <v>28</v>
      </c>
      <c r="O85" s="11">
        <v>4977.67</v>
      </c>
      <c r="P85" s="11">
        <v>5289.69</v>
      </c>
      <c r="Q85" s="5">
        <v>50.0</v>
      </c>
      <c r="R85" s="12">
        <f t="shared" si="2"/>
        <v>2488.835</v>
      </c>
    </row>
    <row r="86">
      <c r="A86" s="7" t="s">
        <v>399</v>
      </c>
      <c r="B86" s="8" t="s">
        <v>400</v>
      </c>
      <c r="C86" s="8" t="s">
        <v>401</v>
      </c>
      <c r="D86" s="7" t="s">
        <v>44</v>
      </c>
      <c r="E86" s="8" t="s">
        <v>402</v>
      </c>
      <c r="F86" s="8" t="s">
        <v>403</v>
      </c>
      <c r="G86" s="7">
        <v>9.664710187E9</v>
      </c>
      <c r="H86" s="7" t="s">
        <v>63</v>
      </c>
      <c r="I86" s="7">
        <v>3895.0</v>
      </c>
      <c r="J86" s="7" t="s">
        <v>404</v>
      </c>
      <c r="K86" s="7" t="s">
        <v>25</v>
      </c>
      <c r="L86" s="9" t="s">
        <v>49</v>
      </c>
      <c r="M86" s="7" t="s">
        <v>278</v>
      </c>
      <c r="N86" s="7" t="s">
        <v>28</v>
      </c>
      <c r="O86" s="11">
        <v>24652.0</v>
      </c>
      <c r="P86" s="11">
        <v>27003.0</v>
      </c>
      <c r="Q86" s="5">
        <v>43.0</v>
      </c>
      <c r="R86" s="12">
        <f t="shared" si="2"/>
        <v>10600.36</v>
      </c>
    </row>
    <row r="87">
      <c r="A87" s="7" t="s">
        <v>399</v>
      </c>
      <c r="B87" s="8" t="s">
        <v>405</v>
      </c>
      <c r="C87" s="8" t="s">
        <v>406</v>
      </c>
      <c r="D87" s="7" t="s">
        <v>44</v>
      </c>
      <c r="E87" s="8" t="s">
        <v>45</v>
      </c>
      <c r="F87" s="8" t="s">
        <v>407</v>
      </c>
      <c r="G87" s="7">
        <v>8.128042544E9</v>
      </c>
      <c r="H87" s="7">
        <v>7.575878937E9</v>
      </c>
      <c r="I87" s="7">
        <v>1600.0</v>
      </c>
      <c r="J87" s="7" t="s">
        <v>408</v>
      </c>
      <c r="K87" s="7" t="s">
        <v>48</v>
      </c>
      <c r="L87" s="9" t="s">
        <v>49</v>
      </c>
      <c r="M87" s="7" t="s">
        <v>71</v>
      </c>
      <c r="N87" s="7" t="s">
        <v>28</v>
      </c>
      <c r="O87" s="11">
        <v>20803.0</v>
      </c>
      <c r="P87" s="11">
        <v>22461.0</v>
      </c>
      <c r="Q87" s="5">
        <v>63.0</v>
      </c>
      <c r="R87" s="12">
        <f t="shared" si="2"/>
        <v>13105.89</v>
      </c>
    </row>
    <row r="88">
      <c r="A88" s="7" t="s">
        <v>399</v>
      </c>
      <c r="B88" s="8" t="s">
        <v>409</v>
      </c>
      <c r="C88" s="8" t="s">
        <v>410</v>
      </c>
      <c r="D88" s="7" t="s">
        <v>44</v>
      </c>
      <c r="E88" s="8" t="s">
        <v>411</v>
      </c>
      <c r="F88" s="8" t="s">
        <v>412</v>
      </c>
      <c r="G88" s="7">
        <v>9.638786168E9</v>
      </c>
      <c r="H88" s="7">
        <v>9.638786148E9</v>
      </c>
      <c r="I88" s="7">
        <v>2145.0</v>
      </c>
      <c r="J88" s="7" t="s">
        <v>363</v>
      </c>
      <c r="K88" s="7" t="s">
        <v>48</v>
      </c>
      <c r="L88" s="9" t="s">
        <v>49</v>
      </c>
      <c r="M88" s="7" t="s">
        <v>185</v>
      </c>
      <c r="N88" s="7" t="s">
        <v>28</v>
      </c>
      <c r="O88" s="11">
        <v>22432.0</v>
      </c>
      <c r="P88" s="11">
        <v>24383.0</v>
      </c>
      <c r="Q88" s="5">
        <v>63.0</v>
      </c>
      <c r="R88" s="12">
        <f t="shared" si="2"/>
        <v>14132.16</v>
      </c>
    </row>
    <row r="89">
      <c r="A89" s="7" t="s">
        <v>399</v>
      </c>
      <c r="B89" s="8" t="s">
        <v>413</v>
      </c>
      <c r="C89" s="8" t="s">
        <v>414</v>
      </c>
      <c r="D89" s="7" t="s">
        <v>44</v>
      </c>
      <c r="E89" s="8" t="s">
        <v>45</v>
      </c>
      <c r="F89" s="8" t="s">
        <v>415</v>
      </c>
      <c r="G89" s="7">
        <v>9.265338843E9</v>
      </c>
      <c r="H89" s="7" t="s">
        <v>63</v>
      </c>
      <c r="I89" s="7">
        <v>1600.0</v>
      </c>
      <c r="J89" s="7" t="s">
        <v>363</v>
      </c>
      <c r="K89" s="7" t="s">
        <v>48</v>
      </c>
      <c r="L89" s="9" t="s">
        <v>49</v>
      </c>
      <c r="M89" s="7" t="s">
        <v>27</v>
      </c>
      <c r="N89" s="7" t="s">
        <v>28</v>
      </c>
      <c r="O89" s="7">
        <v>17536.0</v>
      </c>
      <c r="P89" s="7">
        <v>18606.0</v>
      </c>
      <c r="Q89" s="5">
        <v>63.0</v>
      </c>
      <c r="R89" s="12">
        <f t="shared" si="2"/>
        <v>11047.68</v>
      </c>
    </row>
    <row r="90">
      <c r="A90" s="7" t="s">
        <v>399</v>
      </c>
      <c r="B90" s="8" t="s">
        <v>416</v>
      </c>
      <c r="C90" s="8" t="s">
        <v>417</v>
      </c>
      <c r="D90" s="7" t="s">
        <v>75</v>
      </c>
      <c r="E90" s="8" t="s">
        <v>81</v>
      </c>
      <c r="F90" s="8" t="s">
        <v>418</v>
      </c>
      <c r="G90" s="7">
        <v>9.870073364E9</v>
      </c>
      <c r="H90" s="7">
        <v>6.351227051E9</v>
      </c>
      <c r="I90" s="7">
        <v>990.0</v>
      </c>
      <c r="J90" s="7" t="s">
        <v>419</v>
      </c>
      <c r="K90" s="7" t="s">
        <v>78</v>
      </c>
      <c r="L90" s="9" t="s">
        <v>49</v>
      </c>
      <c r="M90" s="7" t="s">
        <v>340</v>
      </c>
      <c r="N90" s="7" t="s">
        <v>28</v>
      </c>
      <c r="O90" s="11">
        <v>5051.04</v>
      </c>
      <c r="P90" s="11">
        <v>5376.0</v>
      </c>
      <c r="Q90" s="5">
        <v>50.0</v>
      </c>
      <c r="R90" s="12">
        <f t="shared" si="2"/>
        <v>2525.52</v>
      </c>
    </row>
    <row r="91">
      <c r="A91" s="7" t="s">
        <v>420</v>
      </c>
      <c r="B91" s="8" t="s">
        <v>421</v>
      </c>
      <c r="C91" s="8" t="s">
        <v>422</v>
      </c>
      <c r="D91" s="7" t="s">
        <v>44</v>
      </c>
      <c r="E91" s="8" t="s">
        <v>423</v>
      </c>
      <c r="F91" s="8" t="s">
        <v>424</v>
      </c>
      <c r="G91" s="7">
        <v>9.726603538E9</v>
      </c>
      <c r="H91" s="7">
        <v>9.924855857E9</v>
      </c>
      <c r="I91" s="7">
        <v>2450.0</v>
      </c>
      <c r="J91" s="7" t="s">
        <v>419</v>
      </c>
      <c r="K91" s="7" t="s">
        <v>25</v>
      </c>
      <c r="L91" s="9" t="s">
        <v>49</v>
      </c>
      <c r="M91" s="7" t="s">
        <v>71</v>
      </c>
      <c r="N91" s="7" t="s">
        <v>28</v>
      </c>
      <c r="O91" s="15">
        <v>17191.0</v>
      </c>
      <c r="P91" s="15">
        <v>18199.0</v>
      </c>
      <c r="Q91" s="5">
        <v>65.0</v>
      </c>
      <c r="R91" s="12">
        <f t="shared" si="2"/>
        <v>11174.15</v>
      </c>
    </row>
    <row r="92">
      <c r="A92" s="7" t="s">
        <v>420</v>
      </c>
      <c r="B92" s="8" t="s">
        <v>425</v>
      </c>
      <c r="C92" s="8" t="s">
        <v>426</v>
      </c>
      <c r="D92" s="7" t="s">
        <v>93</v>
      </c>
      <c r="E92" s="8" t="s">
        <v>427</v>
      </c>
      <c r="F92" s="8" t="s">
        <v>428</v>
      </c>
      <c r="G92" s="7">
        <v>9.924113509E9</v>
      </c>
      <c r="H92" s="7">
        <v>9.662227938E9</v>
      </c>
      <c r="I92" s="7">
        <v>11950.0</v>
      </c>
      <c r="J92" s="7" t="s">
        <v>419</v>
      </c>
      <c r="K92" s="7" t="s">
        <v>25</v>
      </c>
      <c r="L92" s="9" t="s">
        <v>26</v>
      </c>
      <c r="M92" s="7" t="s">
        <v>89</v>
      </c>
      <c r="N92" s="7" t="s">
        <v>28</v>
      </c>
      <c r="O92" s="11">
        <v>27286.0</v>
      </c>
      <c r="P92" s="11">
        <v>28663.0</v>
      </c>
      <c r="Q92" s="5">
        <v>43.0</v>
      </c>
      <c r="R92" s="12">
        <f t="shared" si="2"/>
        <v>11732.98</v>
      </c>
    </row>
    <row r="93">
      <c r="A93" s="7" t="s">
        <v>420</v>
      </c>
      <c r="B93" s="8" t="s">
        <v>429</v>
      </c>
      <c r="C93" s="8" t="s">
        <v>430</v>
      </c>
      <c r="D93" s="7" t="s">
        <v>75</v>
      </c>
      <c r="E93" s="8" t="s">
        <v>225</v>
      </c>
      <c r="F93" s="8" t="s">
        <v>431</v>
      </c>
      <c r="G93" s="7">
        <v>6.355868716E9</v>
      </c>
      <c r="H93" s="7">
        <v>6.353294096E9</v>
      </c>
      <c r="I93" s="7">
        <v>995.0</v>
      </c>
      <c r="J93" s="7" t="s">
        <v>404</v>
      </c>
      <c r="K93" s="7" t="s">
        <v>41</v>
      </c>
      <c r="L93" s="9" t="s">
        <v>49</v>
      </c>
      <c r="M93" s="7" t="s">
        <v>71</v>
      </c>
      <c r="N93" s="7" t="s">
        <v>28</v>
      </c>
      <c r="O93" s="11">
        <v>5635.0</v>
      </c>
      <c r="P93" s="11">
        <v>6057.0</v>
      </c>
      <c r="Q93" s="5">
        <v>52.5</v>
      </c>
      <c r="R93" s="12">
        <f t="shared" si="2"/>
        <v>2958.375</v>
      </c>
    </row>
    <row r="94">
      <c r="A94" s="7" t="s">
        <v>420</v>
      </c>
      <c r="B94" s="8" t="s">
        <v>432</v>
      </c>
      <c r="C94" s="8" t="s">
        <v>433</v>
      </c>
      <c r="D94" s="7" t="s">
        <v>21</v>
      </c>
      <c r="E94" s="8" t="s">
        <v>434</v>
      </c>
      <c r="F94" s="8" t="s">
        <v>435</v>
      </c>
      <c r="G94" s="7">
        <v>8.849337024E9</v>
      </c>
      <c r="H94" s="7">
        <v>9.879583037E9</v>
      </c>
      <c r="I94" s="7">
        <v>18500.0</v>
      </c>
      <c r="J94" s="7" t="s">
        <v>404</v>
      </c>
      <c r="K94" s="7" t="s">
        <v>25</v>
      </c>
      <c r="L94" s="9" t="s">
        <v>26</v>
      </c>
      <c r="M94" s="7" t="s">
        <v>71</v>
      </c>
      <c r="N94" s="7" t="s">
        <v>28</v>
      </c>
      <c r="O94" s="11">
        <v>35413.0</v>
      </c>
      <c r="P94" s="11">
        <v>37197.0</v>
      </c>
      <c r="Q94" s="5">
        <v>51.0</v>
      </c>
      <c r="R94" s="12">
        <f t="shared" si="2"/>
        <v>18060.63</v>
      </c>
    </row>
    <row r="95">
      <c r="A95" s="7" t="s">
        <v>436</v>
      </c>
      <c r="B95" s="8" t="s">
        <v>437</v>
      </c>
      <c r="C95" s="8" t="s">
        <v>438</v>
      </c>
      <c r="D95" s="7" t="s">
        <v>21</v>
      </c>
      <c r="E95" s="8" t="s">
        <v>434</v>
      </c>
      <c r="F95" s="8" t="s">
        <v>439</v>
      </c>
      <c r="G95" s="7">
        <v>9.979642929E9</v>
      </c>
      <c r="H95" s="7" t="s">
        <v>63</v>
      </c>
      <c r="I95" s="7">
        <v>28000.0</v>
      </c>
      <c r="J95" s="7" t="s">
        <v>404</v>
      </c>
      <c r="K95" s="7" t="s">
        <v>25</v>
      </c>
      <c r="L95" s="9" t="s">
        <v>26</v>
      </c>
      <c r="M95" s="7" t="s">
        <v>71</v>
      </c>
      <c r="N95" s="7" t="s">
        <v>28</v>
      </c>
      <c r="O95" s="11">
        <v>44050.0</v>
      </c>
      <c r="P95" s="11">
        <v>46266.0</v>
      </c>
      <c r="Q95" s="5">
        <v>51.0</v>
      </c>
      <c r="R95" s="12">
        <f t="shared" si="2"/>
        <v>22465.5</v>
      </c>
    </row>
    <row r="96">
      <c r="A96" s="7" t="s">
        <v>436</v>
      </c>
      <c r="B96" s="8" t="s">
        <v>440</v>
      </c>
      <c r="C96" s="8" t="s">
        <v>441</v>
      </c>
      <c r="D96" s="7" t="s">
        <v>21</v>
      </c>
      <c r="E96" s="8" t="s">
        <v>442</v>
      </c>
      <c r="F96" s="8" t="s">
        <v>443</v>
      </c>
      <c r="G96" s="7">
        <v>9.687300786E9</v>
      </c>
      <c r="H96" s="7">
        <v>9.687400786E9</v>
      </c>
      <c r="I96" s="7">
        <v>16020.0</v>
      </c>
      <c r="J96" s="7" t="s">
        <v>444</v>
      </c>
      <c r="K96" s="7" t="s">
        <v>297</v>
      </c>
      <c r="L96" s="9" t="s">
        <v>49</v>
      </c>
      <c r="M96" s="7" t="s">
        <v>71</v>
      </c>
      <c r="N96" s="7" t="s">
        <v>28</v>
      </c>
      <c r="O96" s="15">
        <v>39104.0</v>
      </c>
      <c r="P96" s="11">
        <v>41552.04</v>
      </c>
      <c r="Q96" s="5">
        <v>30.0</v>
      </c>
      <c r="R96" s="12">
        <f t="shared" si="2"/>
        <v>11731.2</v>
      </c>
    </row>
    <row r="97">
      <c r="A97" s="7" t="s">
        <v>436</v>
      </c>
      <c r="B97" s="8" t="s">
        <v>445</v>
      </c>
      <c r="C97" s="8" t="s">
        <v>446</v>
      </c>
      <c r="D97" s="7" t="s">
        <v>21</v>
      </c>
      <c r="E97" s="8" t="s">
        <v>381</v>
      </c>
      <c r="F97" s="8" t="s">
        <v>447</v>
      </c>
      <c r="G97" s="7">
        <v>9.428277711E9</v>
      </c>
      <c r="H97" s="7">
        <v>9.537704952E9</v>
      </c>
      <c r="I97" s="7">
        <v>28000.0</v>
      </c>
      <c r="J97" s="7" t="s">
        <v>444</v>
      </c>
      <c r="K97" s="7" t="s">
        <v>25</v>
      </c>
      <c r="L97" s="9" t="s">
        <v>26</v>
      </c>
      <c r="M97" s="7" t="s">
        <v>71</v>
      </c>
      <c r="N97" s="7" t="s">
        <v>28</v>
      </c>
      <c r="O97" s="11">
        <v>44050.0</v>
      </c>
      <c r="P97" s="11">
        <v>46266.0</v>
      </c>
      <c r="Q97" s="5">
        <v>51.0</v>
      </c>
      <c r="R97" s="12">
        <f t="shared" si="2"/>
        <v>22465.5</v>
      </c>
    </row>
    <row r="98">
      <c r="A98" s="7" t="s">
        <v>436</v>
      </c>
      <c r="B98" s="8" t="s">
        <v>448</v>
      </c>
      <c r="C98" s="8" t="s">
        <v>449</v>
      </c>
      <c r="D98" s="7" t="s">
        <v>93</v>
      </c>
      <c r="E98" s="8" t="s">
        <v>450</v>
      </c>
      <c r="F98" s="8" t="s">
        <v>451</v>
      </c>
      <c r="G98" s="7">
        <v>9.879215889E9</v>
      </c>
      <c r="H98" s="7">
        <v>9.879215889E9</v>
      </c>
      <c r="I98" s="7">
        <v>11950.0</v>
      </c>
      <c r="J98" s="7" t="s">
        <v>452</v>
      </c>
      <c r="K98" s="7" t="s">
        <v>25</v>
      </c>
      <c r="L98" s="9" t="s">
        <v>26</v>
      </c>
      <c r="M98" s="7" t="s">
        <v>84</v>
      </c>
      <c r="N98" s="7" t="s">
        <v>28</v>
      </c>
      <c r="O98" s="11">
        <v>27286.0</v>
      </c>
      <c r="P98" s="7">
        <v>28663.0</v>
      </c>
      <c r="Q98" s="5">
        <v>43.0</v>
      </c>
      <c r="R98" s="12">
        <f t="shared" si="2"/>
        <v>11732.98</v>
      </c>
    </row>
    <row r="99">
      <c r="A99" s="7" t="s">
        <v>436</v>
      </c>
      <c r="B99" s="8" t="s">
        <v>453</v>
      </c>
      <c r="C99" s="8" t="s">
        <v>454</v>
      </c>
      <c r="D99" s="7" t="s">
        <v>21</v>
      </c>
      <c r="E99" s="8" t="s">
        <v>455</v>
      </c>
      <c r="F99" s="8" t="s">
        <v>456</v>
      </c>
      <c r="G99" s="7" t="s">
        <v>457</v>
      </c>
      <c r="H99" s="7" t="s">
        <v>63</v>
      </c>
      <c r="I99" s="7">
        <v>35000.0</v>
      </c>
      <c r="J99" s="7" t="s">
        <v>452</v>
      </c>
      <c r="K99" s="7" t="s">
        <v>25</v>
      </c>
      <c r="L99" s="9" t="s">
        <v>26</v>
      </c>
      <c r="M99" s="7" t="s">
        <v>27</v>
      </c>
      <c r="N99" s="7" t="s">
        <v>28</v>
      </c>
      <c r="O99" s="11">
        <v>44050.0</v>
      </c>
      <c r="P99" s="11">
        <v>46266.0</v>
      </c>
      <c r="Q99" s="5">
        <v>51.0</v>
      </c>
      <c r="R99" s="12">
        <f t="shared" si="2"/>
        <v>22465.5</v>
      </c>
    </row>
    <row r="100">
      <c r="A100" s="7" t="s">
        <v>458</v>
      </c>
      <c r="B100" s="8" t="s">
        <v>459</v>
      </c>
      <c r="C100" s="8" t="s">
        <v>460</v>
      </c>
      <c r="D100" s="7" t="s">
        <v>21</v>
      </c>
      <c r="E100" s="8" t="s">
        <v>434</v>
      </c>
      <c r="F100" s="8" t="s">
        <v>461</v>
      </c>
      <c r="G100" s="7">
        <v>9.979600037E9</v>
      </c>
      <c r="H100" s="7" t="s">
        <v>63</v>
      </c>
      <c r="I100" s="7">
        <v>28000.0</v>
      </c>
      <c r="J100" s="7" t="s">
        <v>462</v>
      </c>
      <c r="K100" s="7" t="s">
        <v>25</v>
      </c>
      <c r="L100" s="9" t="s">
        <v>26</v>
      </c>
      <c r="M100" s="7" t="s">
        <v>71</v>
      </c>
      <c r="N100" s="7" t="s">
        <v>28</v>
      </c>
      <c r="O100" s="7">
        <v>44100.0</v>
      </c>
      <c r="P100" s="7">
        <v>46325.0</v>
      </c>
      <c r="Q100" s="5">
        <v>51.0</v>
      </c>
      <c r="R100" s="12">
        <f t="shared" si="2"/>
        <v>22491</v>
      </c>
    </row>
    <row r="101">
      <c r="A101" s="7" t="s">
        <v>458</v>
      </c>
      <c r="B101" s="8" t="s">
        <v>463</v>
      </c>
      <c r="C101" s="8" t="s">
        <v>464</v>
      </c>
      <c r="D101" s="7" t="s">
        <v>21</v>
      </c>
      <c r="E101" s="8" t="s">
        <v>465</v>
      </c>
      <c r="F101" s="8" t="s">
        <v>466</v>
      </c>
      <c r="G101" s="7">
        <v>9.909617917E9</v>
      </c>
      <c r="H101" s="7">
        <v>9.909081678E9</v>
      </c>
      <c r="I101" s="7">
        <v>16020.0</v>
      </c>
      <c r="J101" s="7" t="s">
        <v>467</v>
      </c>
      <c r="K101" s="7" t="s">
        <v>297</v>
      </c>
      <c r="L101" s="9" t="s">
        <v>49</v>
      </c>
      <c r="M101" s="7" t="s">
        <v>71</v>
      </c>
      <c r="N101" s="7" t="s">
        <v>28</v>
      </c>
      <c r="O101" s="11">
        <v>38175.0</v>
      </c>
      <c r="P101" s="11">
        <v>40455.82</v>
      </c>
      <c r="Q101" s="5">
        <v>30.0</v>
      </c>
      <c r="R101" s="12">
        <f t="shared" si="2"/>
        <v>11452.5</v>
      </c>
    </row>
    <row r="102">
      <c r="A102" s="7" t="s">
        <v>458</v>
      </c>
      <c r="B102" s="8" t="s">
        <v>468</v>
      </c>
      <c r="C102" s="8" t="s">
        <v>469</v>
      </c>
      <c r="D102" s="7" t="s">
        <v>93</v>
      </c>
      <c r="E102" s="8" t="s">
        <v>434</v>
      </c>
      <c r="F102" s="8" t="s">
        <v>470</v>
      </c>
      <c r="G102" s="7">
        <v>9.428888322E9</v>
      </c>
      <c r="H102" s="7">
        <v>8.530652325E9</v>
      </c>
      <c r="I102" s="7">
        <v>11990.0</v>
      </c>
      <c r="J102" s="7" t="s">
        <v>462</v>
      </c>
      <c r="K102" s="7" t="s">
        <v>25</v>
      </c>
      <c r="L102" s="9" t="s">
        <v>26</v>
      </c>
      <c r="M102" s="7" t="s">
        <v>33</v>
      </c>
      <c r="N102" s="7" t="s">
        <v>28</v>
      </c>
      <c r="O102" s="11">
        <v>27286.0</v>
      </c>
      <c r="P102" s="11">
        <v>28663.0</v>
      </c>
      <c r="Q102" s="5">
        <v>43.0</v>
      </c>
      <c r="R102" s="12">
        <f t="shared" si="2"/>
        <v>11732.98</v>
      </c>
    </row>
    <row r="103">
      <c r="A103" s="7" t="s">
        <v>458</v>
      </c>
      <c r="B103" s="8" t="s">
        <v>471</v>
      </c>
      <c r="C103" s="8" t="s">
        <v>472</v>
      </c>
      <c r="D103" s="7" t="s">
        <v>44</v>
      </c>
      <c r="E103" s="8" t="s">
        <v>473</v>
      </c>
      <c r="F103" s="8" t="s">
        <v>474</v>
      </c>
      <c r="G103" s="7">
        <v>9.727477891E9</v>
      </c>
      <c r="H103" s="7">
        <v>9.327712465E9</v>
      </c>
      <c r="I103" s="7">
        <v>2995.0</v>
      </c>
      <c r="J103" s="7" t="s">
        <v>444</v>
      </c>
      <c r="K103" s="7" t="s">
        <v>116</v>
      </c>
      <c r="L103" s="9" t="s">
        <v>49</v>
      </c>
      <c r="M103" s="7" t="s">
        <v>71</v>
      </c>
      <c r="N103" s="7" t="s">
        <v>28</v>
      </c>
      <c r="O103" s="15">
        <v>20801.0</v>
      </c>
      <c r="P103" s="15">
        <v>22446.0</v>
      </c>
      <c r="Q103" s="5">
        <v>54.0</v>
      </c>
      <c r="R103" s="12">
        <f t="shared" si="2"/>
        <v>11232.54</v>
      </c>
    </row>
    <row r="104">
      <c r="A104" s="7" t="s">
        <v>458</v>
      </c>
      <c r="B104" s="8" t="s">
        <v>475</v>
      </c>
      <c r="C104" s="8" t="s">
        <v>476</v>
      </c>
      <c r="D104" s="7" t="s">
        <v>44</v>
      </c>
      <c r="E104" s="8" t="s">
        <v>45</v>
      </c>
      <c r="F104" s="8" t="s">
        <v>477</v>
      </c>
      <c r="G104" s="7">
        <v>7.226886961E9</v>
      </c>
      <c r="H104" s="7">
        <v>7.079546526E9</v>
      </c>
      <c r="I104" s="7">
        <v>1600.0</v>
      </c>
      <c r="J104" s="7" t="s">
        <v>444</v>
      </c>
      <c r="K104" s="7" t="s">
        <v>48</v>
      </c>
      <c r="L104" s="9" t="s">
        <v>49</v>
      </c>
      <c r="M104" s="7" t="s">
        <v>71</v>
      </c>
      <c r="N104" s="7" t="s">
        <v>28</v>
      </c>
      <c r="O104" s="11">
        <v>20526.0</v>
      </c>
      <c r="P104" s="11">
        <v>22134.0</v>
      </c>
      <c r="Q104" s="5">
        <v>63.0</v>
      </c>
      <c r="R104" s="12">
        <f t="shared" si="2"/>
        <v>12931.38</v>
      </c>
    </row>
    <row r="105">
      <c r="A105" s="7" t="s">
        <v>478</v>
      </c>
      <c r="B105" s="8" t="s">
        <v>479</v>
      </c>
      <c r="C105" s="8" t="s">
        <v>480</v>
      </c>
      <c r="D105" s="7" t="s">
        <v>44</v>
      </c>
      <c r="E105" s="8" t="s">
        <v>481</v>
      </c>
      <c r="F105" s="8" t="s">
        <v>482</v>
      </c>
      <c r="G105" s="7">
        <v>9.510088688E9</v>
      </c>
      <c r="H105" s="8"/>
      <c r="I105" s="7">
        <v>2880.0</v>
      </c>
      <c r="J105" s="7" t="s">
        <v>483</v>
      </c>
      <c r="K105" s="7" t="s">
        <v>484</v>
      </c>
      <c r="L105" s="9" t="s">
        <v>26</v>
      </c>
      <c r="M105" s="7" t="s">
        <v>144</v>
      </c>
      <c r="N105" s="7" t="s">
        <v>28</v>
      </c>
      <c r="O105" s="11">
        <v>16099.0</v>
      </c>
      <c r="P105" s="11">
        <v>16910.0</v>
      </c>
      <c r="Q105" s="5">
        <v>35.0</v>
      </c>
      <c r="R105" s="12">
        <f t="shared" si="2"/>
        <v>5634.65</v>
      </c>
    </row>
    <row r="106">
      <c r="A106" s="7" t="s">
        <v>478</v>
      </c>
      <c r="B106" s="8" t="s">
        <v>485</v>
      </c>
      <c r="C106" s="8" t="s">
        <v>486</v>
      </c>
      <c r="D106" s="7" t="s">
        <v>44</v>
      </c>
      <c r="E106" s="8" t="s">
        <v>45</v>
      </c>
      <c r="F106" s="8" t="s">
        <v>487</v>
      </c>
      <c r="G106" s="7">
        <v>6.359221856E9</v>
      </c>
      <c r="H106" s="7">
        <v>9.723448869E9</v>
      </c>
      <c r="I106" s="7">
        <v>1600.0</v>
      </c>
      <c r="J106" s="7" t="s">
        <v>483</v>
      </c>
      <c r="K106" s="7" t="s">
        <v>48</v>
      </c>
      <c r="L106" s="9" t="s">
        <v>49</v>
      </c>
      <c r="M106" s="7" t="s">
        <v>89</v>
      </c>
      <c r="N106" s="7" t="s">
        <v>28</v>
      </c>
      <c r="O106" s="11">
        <v>20800.0</v>
      </c>
      <c r="P106" s="11">
        <v>22458.0</v>
      </c>
      <c r="Q106" s="5">
        <v>63.0</v>
      </c>
      <c r="R106" s="12">
        <f t="shared" si="2"/>
        <v>13104</v>
      </c>
    </row>
    <row r="107">
      <c r="A107" s="7" t="s">
        <v>478</v>
      </c>
      <c r="B107" s="8" t="s">
        <v>488</v>
      </c>
      <c r="C107" s="8" t="s">
        <v>489</v>
      </c>
      <c r="D107" s="7" t="s">
        <v>44</v>
      </c>
      <c r="E107" s="8" t="s">
        <v>178</v>
      </c>
      <c r="F107" s="8" t="s">
        <v>490</v>
      </c>
      <c r="G107" s="7">
        <v>8.469873102E9</v>
      </c>
      <c r="H107" s="7">
        <v>9.909540772E9</v>
      </c>
      <c r="I107" s="7">
        <v>3460.0</v>
      </c>
      <c r="J107" s="7" t="s">
        <v>175</v>
      </c>
      <c r="K107" s="7" t="s">
        <v>116</v>
      </c>
      <c r="L107" s="9" t="s">
        <v>49</v>
      </c>
      <c r="M107" s="7" t="s">
        <v>71</v>
      </c>
      <c r="N107" s="7" t="s">
        <v>28</v>
      </c>
      <c r="O107" s="11">
        <v>20497.0</v>
      </c>
      <c r="P107" s="11">
        <v>22089.0</v>
      </c>
      <c r="Q107" s="5">
        <v>54.0</v>
      </c>
      <c r="R107" s="12">
        <f t="shared" si="2"/>
        <v>11068.38</v>
      </c>
    </row>
    <row r="108">
      <c r="A108" s="7" t="s">
        <v>491</v>
      </c>
      <c r="B108" s="8" t="s">
        <v>492</v>
      </c>
      <c r="C108" s="8" t="s">
        <v>493</v>
      </c>
      <c r="D108" s="7" t="s">
        <v>21</v>
      </c>
      <c r="E108" s="8" t="s">
        <v>494</v>
      </c>
      <c r="F108" s="8" t="s">
        <v>470</v>
      </c>
      <c r="G108" s="7">
        <v>9.428888322E9</v>
      </c>
      <c r="H108" s="7">
        <v>8.530652325E9</v>
      </c>
      <c r="I108" s="7">
        <v>7490.0</v>
      </c>
      <c r="J108" s="7" t="s">
        <v>467</v>
      </c>
      <c r="K108" s="7" t="s">
        <v>25</v>
      </c>
      <c r="L108" s="9" t="s">
        <v>26</v>
      </c>
      <c r="M108" s="7" t="s">
        <v>33</v>
      </c>
      <c r="N108" s="7" t="s">
        <v>28</v>
      </c>
      <c r="O108" s="11">
        <v>16149.0</v>
      </c>
      <c r="P108" s="11">
        <v>16969.0</v>
      </c>
      <c r="Q108" s="5">
        <v>44.0</v>
      </c>
      <c r="R108" s="12">
        <f t="shared" si="2"/>
        <v>7105.56</v>
      </c>
    </row>
    <row r="109">
      <c r="A109" s="7" t="s">
        <v>491</v>
      </c>
      <c r="B109" s="8" t="s">
        <v>495</v>
      </c>
      <c r="C109" s="8" t="s">
        <v>496</v>
      </c>
      <c r="D109" s="7" t="s">
        <v>21</v>
      </c>
      <c r="E109" s="8" t="s">
        <v>381</v>
      </c>
      <c r="F109" s="8" t="s">
        <v>497</v>
      </c>
      <c r="G109" s="8"/>
      <c r="H109" s="8"/>
      <c r="I109" s="7">
        <v>28000.0</v>
      </c>
      <c r="J109" s="7" t="s">
        <v>498</v>
      </c>
      <c r="K109" s="7" t="s">
        <v>25</v>
      </c>
      <c r="L109" s="9" t="s">
        <v>26</v>
      </c>
      <c r="M109" s="7" t="s">
        <v>27</v>
      </c>
      <c r="N109" s="7" t="s">
        <v>28</v>
      </c>
      <c r="O109" s="7">
        <v>44050.0</v>
      </c>
      <c r="P109" s="7">
        <v>46266.0</v>
      </c>
      <c r="Q109" s="5">
        <v>51.0</v>
      </c>
      <c r="R109" s="12">
        <f t="shared" si="2"/>
        <v>22465.5</v>
      </c>
    </row>
    <row r="110">
      <c r="A110" s="7" t="s">
        <v>491</v>
      </c>
      <c r="B110" s="8" t="s">
        <v>499</v>
      </c>
      <c r="C110" s="8" t="s">
        <v>500</v>
      </c>
      <c r="D110" s="7" t="s">
        <v>21</v>
      </c>
      <c r="E110" s="8" t="s">
        <v>31</v>
      </c>
      <c r="F110" s="8" t="s">
        <v>501</v>
      </c>
      <c r="G110" s="7">
        <v>9.824567744E9</v>
      </c>
      <c r="H110" s="7">
        <v>9.870027875E9</v>
      </c>
      <c r="I110" s="7">
        <v>18500.0</v>
      </c>
      <c r="J110" s="7" t="s">
        <v>467</v>
      </c>
      <c r="K110" s="7" t="s">
        <v>25</v>
      </c>
      <c r="L110" s="9" t="s">
        <v>26</v>
      </c>
      <c r="M110" s="7" t="s">
        <v>71</v>
      </c>
      <c r="N110" s="7" t="s">
        <v>28</v>
      </c>
      <c r="O110" s="11">
        <v>36062.0</v>
      </c>
      <c r="P110" s="11">
        <v>37962.0</v>
      </c>
      <c r="Q110" s="5">
        <v>51.0</v>
      </c>
      <c r="R110" s="12">
        <f t="shared" si="2"/>
        <v>18391.62</v>
      </c>
    </row>
    <row r="111">
      <c r="A111" s="7" t="s">
        <v>491</v>
      </c>
      <c r="B111" s="8" t="s">
        <v>502</v>
      </c>
      <c r="C111" s="8" t="s">
        <v>503</v>
      </c>
      <c r="D111" s="7" t="s">
        <v>75</v>
      </c>
      <c r="E111" s="8" t="s">
        <v>225</v>
      </c>
      <c r="F111" s="8" t="s">
        <v>504</v>
      </c>
      <c r="G111" s="7">
        <v>9.913798073E9</v>
      </c>
      <c r="H111" s="7">
        <v>9.825693514E9</v>
      </c>
      <c r="I111" s="7">
        <v>995.0</v>
      </c>
      <c r="J111" s="7" t="s">
        <v>505</v>
      </c>
      <c r="K111" s="7" t="s">
        <v>41</v>
      </c>
      <c r="L111" s="9" t="s">
        <v>49</v>
      </c>
      <c r="M111" s="7" t="s">
        <v>71</v>
      </c>
      <c r="N111" s="7" t="s">
        <v>28</v>
      </c>
      <c r="O111" s="11">
        <v>5851.0</v>
      </c>
      <c r="P111" s="11">
        <v>6313.0</v>
      </c>
      <c r="Q111" s="5">
        <v>52.5</v>
      </c>
      <c r="R111" s="12">
        <f t="shared" si="2"/>
        <v>3071.775</v>
      </c>
    </row>
    <row r="112">
      <c r="A112" s="7" t="s">
        <v>491</v>
      </c>
      <c r="B112" s="8" t="s">
        <v>506</v>
      </c>
      <c r="C112" s="8" t="s">
        <v>507</v>
      </c>
      <c r="D112" s="7" t="s">
        <v>21</v>
      </c>
      <c r="E112" s="8" t="s">
        <v>508</v>
      </c>
      <c r="F112" s="8" t="s">
        <v>509</v>
      </c>
      <c r="G112" s="7">
        <v>7.359264835E9</v>
      </c>
      <c r="H112" s="7" t="s">
        <v>510</v>
      </c>
      <c r="I112" s="7">
        <v>25000.0</v>
      </c>
      <c r="J112" s="7" t="s">
        <v>483</v>
      </c>
      <c r="K112" s="7" t="s">
        <v>25</v>
      </c>
      <c r="L112" s="9" t="s">
        <v>26</v>
      </c>
      <c r="M112" s="7" t="s">
        <v>71</v>
      </c>
      <c r="N112" s="7" t="s">
        <v>28</v>
      </c>
      <c r="O112" s="11">
        <v>44649.0</v>
      </c>
      <c r="P112" s="11">
        <v>46972.0</v>
      </c>
      <c r="Q112" s="5">
        <v>51.0</v>
      </c>
      <c r="R112" s="12">
        <f t="shared" si="2"/>
        <v>22770.99</v>
      </c>
    </row>
    <row r="113">
      <c r="A113" s="7" t="s">
        <v>491</v>
      </c>
      <c r="B113" s="8" t="s">
        <v>511</v>
      </c>
      <c r="C113" s="8" t="s">
        <v>512</v>
      </c>
      <c r="D113" s="7" t="s">
        <v>21</v>
      </c>
      <c r="E113" s="8" t="s">
        <v>513</v>
      </c>
      <c r="F113" s="8" t="s">
        <v>514</v>
      </c>
      <c r="G113" s="7">
        <v>9.979654489E9</v>
      </c>
      <c r="H113" s="7" t="s">
        <v>515</v>
      </c>
      <c r="I113" s="7">
        <v>18500.0</v>
      </c>
      <c r="J113" s="7" t="s">
        <v>467</v>
      </c>
      <c r="K113" s="7" t="s">
        <v>25</v>
      </c>
      <c r="L113" s="9" t="s">
        <v>26</v>
      </c>
      <c r="M113" s="7" t="s">
        <v>71</v>
      </c>
      <c r="N113" s="7" t="s">
        <v>28</v>
      </c>
      <c r="O113" s="7">
        <v>36012.0</v>
      </c>
      <c r="P113" s="7">
        <v>37903.0</v>
      </c>
      <c r="Q113" s="5">
        <v>51.0</v>
      </c>
      <c r="R113" s="12">
        <f t="shared" si="2"/>
        <v>18366.12</v>
      </c>
    </row>
    <row r="114">
      <c r="A114" s="7" t="s">
        <v>516</v>
      </c>
      <c r="B114" s="8" t="s">
        <v>517</v>
      </c>
      <c r="C114" s="8" t="s">
        <v>518</v>
      </c>
      <c r="D114" s="7" t="s">
        <v>44</v>
      </c>
      <c r="E114" s="8" t="s">
        <v>519</v>
      </c>
      <c r="F114" s="8" t="s">
        <v>520</v>
      </c>
      <c r="G114" s="7">
        <v>9.824619036E9</v>
      </c>
      <c r="H114" s="7">
        <v>8.469330839E9</v>
      </c>
      <c r="I114" s="7">
        <v>3895.0</v>
      </c>
      <c r="J114" s="7" t="s">
        <v>467</v>
      </c>
      <c r="K114" s="7" t="s">
        <v>25</v>
      </c>
      <c r="L114" s="9" t="s">
        <v>49</v>
      </c>
      <c r="M114" s="7" t="s">
        <v>71</v>
      </c>
      <c r="N114" s="7" t="s">
        <v>28</v>
      </c>
      <c r="O114" s="15">
        <v>23627.0</v>
      </c>
      <c r="P114" s="15">
        <v>25793.0</v>
      </c>
      <c r="Q114" s="5">
        <v>43.0</v>
      </c>
      <c r="R114" s="12">
        <f t="shared" si="2"/>
        <v>10159.61</v>
      </c>
    </row>
    <row r="115">
      <c r="A115" s="7" t="s">
        <v>521</v>
      </c>
      <c r="B115" s="8" t="s">
        <v>522</v>
      </c>
      <c r="C115" s="8" t="s">
        <v>523</v>
      </c>
      <c r="D115" s="7" t="s">
        <v>44</v>
      </c>
      <c r="E115" s="8" t="s">
        <v>524</v>
      </c>
      <c r="F115" s="8" t="s">
        <v>525</v>
      </c>
      <c r="G115" s="7">
        <v>8.32033693E9</v>
      </c>
      <c r="H115" s="8"/>
      <c r="I115" s="7">
        <v>3490.0</v>
      </c>
      <c r="J115" s="7" t="s">
        <v>498</v>
      </c>
      <c r="K115" s="7" t="s">
        <v>116</v>
      </c>
      <c r="L115" s="9" t="s">
        <v>49</v>
      </c>
      <c r="M115" s="7" t="s">
        <v>71</v>
      </c>
      <c r="N115" s="7" t="s">
        <v>28</v>
      </c>
      <c r="O115" s="11">
        <v>17664.0</v>
      </c>
      <c r="P115" s="11">
        <v>18746.0</v>
      </c>
      <c r="Q115" s="5">
        <v>54.0</v>
      </c>
      <c r="R115" s="12">
        <f t="shared" si="2"/>
        <v>9538.56</v>
      </c>
    </row>
    <row r="116">
      <c r="A116" s="7" t="s">
        <v>521</v>
      </c>
      <c r="B116" s="8" t="s">
        <v>526</v>
      </c>
      <c r="C116" s="8" t="s">
        <v>527</v>
      </c>
      <c r="D116" s="7" t="s">
        <v>44</v>
      </c>
      <c r="E116" s="8" t="s">
        <v>528</v>
      </c>
      <c r="F116" s="8" t="s">
        <v>529</v>
      </c>
      <c r="G116" s="7">
        <v>9.825526009E9</v>
      </c>
      <c r="H116" s="7">
        <v>9.978626022E9</v>
      </c>
      <c r="I116" s="7">
        <v>3490.0</v>
      </c>
      <c r="J116" s="7" t="s">
        <v>530</v>
      </c>
      <c r="K116" s="7" t="s">
        <v>116</v>
      </c>
      <c r="L116" s="9" t="s">
        <v>49</v>
      </c>
      <c r="M116" s="7" t="s">
        <v>71</v>
      </c>
      <c r="N116" s="7" t="s">
        <v>28</v>
      </c>
      <c r="O116" s="11">
        <v>19655.0</v>
      </c>
      <c r="P116" s="11">
        <v>21095.0</v>
      </c>
      <c r="Q116" s="5">
        <v>54.0</v>
      </c>
      <c r="R116" s="12">
        <f t="shared" si="2"/>
        <v>10613.7</v>
      </c>
    </row>
    <row r="117">
      <c r="A117" s="7" t="s">
        <v>521</v>
      </c>
      <c r="B117" s="8" t="s">
        <v>531</v>
      </c>
      <c r="C117" s="8" t="s">
        <v>532</v>
      </c>
      <c r="D117" s="20" t="s">
        <v>533</v>
      </c>
      <c r="E117" s="8" t="s">
        <v>534</v>
      </c>
      <c r="F117" s="8" t="s">
        <v>535</v>
      </c>
      <c r="G117" s="7">
        <v>9.978883488E9</v>
      </c>
      <c r="H117" s="8"/>
      <c r="I117" s="8"/>
      <c r="J117" s="7" t="s">
        <v>536</v>
      </c>
      <c r="K117" s="7" t="s">
        <v>25</v>
      </c>
      <c r="L117" s="9" t="s">
        <v>49</v>
      </c>
      <c r="M117" s="7" t="s">
        <v>71</v>
      </c>
      <c r="N117" s="7" t="s">
        <v>28</v>
      </c>
      <c r="O117" s="11">
        <v>15913.0</v>
      </c>
      <c r="P117" s="11">
        <v>18777.0</v>
      </c>
      <c r="Q117" s="5">
        <v>30.0</v>
      </c>
      <c r="R117" s="12">
        <f t="shared" si="2"/>
        <v>4773.9</v>
      </c>
    </row>
    <row r="118">
      <c r="A118" s="7" t="s">
        <v>521</v>
      </c>
      <c r="B118" s="8" t="s">
        <v>537</v>
      </c>
      <c r="C118" s="8" t="s">
        <v>538</v>
      </c>
      <c r="D118" s="7" t="s">
        <v>44</v>
      </c>
      <c r="E118" s="8" t="s">
        <v>154</v>
      </c>
      <c r="F118" s="8" t="s">
        <v>539</v>
      </c>
      <c r="G118" s="7">
        <v>9.824100987E9</v>
      </c>
      <c r="H118" s="8"/>
      <c r="I118" s="7">
        <v>1600.0</v>
      </c>
      <c r="J118" s="7" t="s">
        <v>536</v>
      </c>
      <c r="K118" s="7" t="s">
        <v>48</v>
      </c>
      <c r="L118" s="9" t="s">
        <v>49</v>
      </c>
      <c r="M118" s="7" t="s">
        <v>285</v>
      </c>
      <c r="N118" s="7" t="s">
        <v>28</v>
      </c>
      <c r="O118" s="11">
        <v>18110.0</v>
      </c>
      <c r="P118" s="11">
        <v>19283.0</v>
      </c>
      <c r="Q118" s="5">
        <v>63.0</v>
      </c>
      <c r="R118" s="12">
        <f t="shared" si="2"/>
        <v>11409.3</v>
      </c>
    </row>
    <row r="119">
      <c r="A119" s="7" t="s">
        <v>540</v>
      </c>
      <c r="B119" s="8" t="s">
        <v>541</v>
      </c>
      <c r="C119" s="8" t="s">
        <v>542</v>
      </c>
      <c r="D119" s="7" t="s">
        <v>93</v>
      </c>
      <c r="E119" s="8" t="s">
        <v>543</v>
      </c>
      <c r="F119" s="8" t="s">
        <v>544</v>
      </c>
      <c r="G119" s="7">
        <v>9.773132711E9</v>
      </c>
      <c r="H119" s="7">
        <v>9.773132711E9</v>
      </c>
      <c r="I119" s="7">
        <v>11990.0</v>
      </c>
      <c r="J119" s="7" t="s">
        <v>536</v>
      </c>
      <c r="K119" s="7" t="s">
        <v>25</v>
      </c>
      <c r="L119" s="9" t="s">
        <v>49</v>
      </c>
      <c r="M119" s="7" t="s">
        <v>71</v>
      </c>
      <c r="N119" s="7" t="s">
        <v>28</v>
      </c>
      <c r="O119" s="11">
        <v>31499.0</v>
      </c>
      <c r="P119" s="11">
        <v>33635.0</v>
      </c>
      <c r="Q119" s="5">
        <v>31.0</v>
      </c>
      <c r="R119" s="12">
        <f t="shared" si="2"/>
        <v>9764.69</v>
      </c>
    </row>
    <row r="120">
      <c r="A120" s="7" t="s">
        <v>540</v>
      </c>
      <c r="B120" s="8" t="s">
        <v>545</v>
      </c>
      <c r="C120" s="8" t="s">
        <v>546</v>
      </c>
      <c r="D120" s="7" t="s">
        <v>44</v>
      </c>
      <c r="E120" s="8" t="s">
        <v>45</v>
      </c>
      <c r="F120" s="8" t="s">
        <v>547</v>
      </c>
      <c r="G120" s="7">
        <v>9.265115926E9</v>
      </c>
      <c r="H120" s="7">
        <v>9.023711661E9</v>
      </c>
      <c r="I120" s="7">
        <v>1600.0</v>
      </c>
      <c r="J120" s="7" t="s">
        <v>259</v>
      </c>
      <c r="K120" s="7" t="s">
        <v>48</v>
      </c>
      <c r="L120" s="9" t="s">
        <v>49</v>
      </c>
      <c r="M120" s="7" t="s">
        <v>89</v>
      </c>
      <c r="N120" s="7" t="s">
        <v>28</v>
      </c>
      <c r="O120" s="11">
        <v>21520.0</v>
      </c>
      <c r="P120" s="11">
        <v>23307.0</v>
      </c>
      <c r="Q120" s="5">
        <v>63.0</v>
      </c>
      <c r="R120" s="12">
        <f t="shared" si="2"/>
        <v>13557.6</v>
      </c>
    </row>
    <row r="121">
      <c r="A121" s="7" t="s">
        <v>548</v>
      </c>
      <c r="B121" s="8" t="s">
        <v>549</v>
      </c>
      <c r="C121" s="8" t="s">
        <v>550</v>
      </c>
      <c r="D121" s="7" t="s">
        <v>21</v>
      </c>
      <c r="E121" s="8" t="s">
        <v>551</v>
      </c>
      <c r="F121" s="8" t="s">
        <v>552</v>
      </c>
      <c r="G121" s="7">
        <v>9.979021262E9</v>
      </c>
      <c r="H121" s="7">
        <v>9.265841155E9</v>
      </c>
      <c r="I121" s="7">
        <v>42000.0</v>
      </c>
      <c r="J121" s="7" t="s">
        <v>553</v>
      </c>
      <c r="K121" s="7" t="s">
        <v>70</v>
      </c>
      <c r="L121" s="9" t="s">
        <v>49</v>
      </c>
      <c r="M121" s="7" t="s">
        <v>89</v>
      </c>
      <c r="N121" s="7" t="s">
        <v>28</v>
      </c>
      <c r="O121" s="11">
        <v>48603.0</v>
      </c>
      <c r="P121" s="11">
        <v>51600.0</v>
      </c>
      <c r="Q121" s="5">
        <v>27.0</v>
      </c>
      <c r="R121" s="12">
        <f t="shared" si="2"/>
        <v>13122.81</v>
      </c>
    </row>
    <row r="122">
      <c r="A122" s="7" t="s">
        <v>548</v>
      </c>
      <c r="B122" s="8" t="s">
        <v>554</v>
      </c>
      <c r="C122" s="8" t="s">
        <v>555</v>
      </c>
      <c r="D122" s="7" t="s">
        <v>44</v>
      </c>
      <c r="E122" s="8" t="s">
        <v>45</v>
      </c>
      <c r="F122" s="8" t="s">
        <v>556</v>
      </c>
      <c r="G122" s="7">
        <v>7.016277021E9</v>
      </c>
      <c r="H122" s="7">
        <v>9.879787312E9</v>
      </c>
      <c r="I122" s="7">
        <v>1600.0</v>
      </c>
      <c r="J122" s="7" t="s">
        <v>530</v>
      </c>
      <c r="K122" s="7" t="s">
        <v>48</v>
      </c>
      <c r="L122" s="9" t="s">
        <v>49</v>
      </c>
      <c r="M122" s="7" t="s">
        <v>71</v>
      </c>
      <c r="N122" s="7" t="s">
        <v>28</v>
      </c>
      <c r="O122" s="7">
        <v>16991.0</v>
      </c>
      <c r="P122" s="7">
        <v>17963.0</v>
      </c>
      <c r="Q122" s="5">
        <v>63.0</v>
      </c>
      <c r="R122" s="12">
        <f t="shared" si="2"/>
        <v>10704.33</v>
      </c>
    </row>
    <row r="123">
      <c r="A123" s="7" t="s">
        <v>557</v>
      </c>
      <c r="B123" s="8" t="s">
        <v>558</v>
      </c>
      <c r="C123" s="8" t="s">
        <v>559</v>
      </c>
      <c r="D123" s="7" t="s">
        <v>44</v>
      </c>
      <c r="E123" s="8" t="s">
        <v>560</v>
      </c>
      <c r="F123" s="8" t="s">
        <v>561</v>
      </c>
      <c r="G123" s="7">
        <v>9.904656371E9</v>
      </c>
      <c r="H123" s="7" t="s">
        <v>63</v>
      </c>
      <c r="I123" s="7">
        <v>6250.0</v>
      </c>
      <c r="J123" s="7" t="s">
        <v>553</v>
      </c>
      <c r="K123" s="7" t="s">
        <v>25</v>
      </c>
      <c r="L123" s="9" t="s">
        <v>26</v>
      </c>
      <c r="M123" s="7" t="s">
        <v>285</v>
      </c>
      <c r="N123" s="7" t="s">
        <v>28</v>
      </c>
      <c r="O123" s="11">
        <v>16748.0</v>
      </c>
      <c r="P123" s="11">
        <v>17676.0</v>
      </c>
      <c r="Q123" s="5">
        <v>44.0</v>
      </c>
      <c r="R123" s="12">
        <f t="shared" si="2"/>
        <v>7369.12</v>
      </c>
    </row>
    <row r="124">
      <c r="A124" s="13" t="s">
        <v>562</v>
      </c>
      <c r="B124" s="8" t="s">
        <v>563</v>
      </c>
      <c r="C124" s="8" t="s">
        <v>564</v>
      </c>
      <c r="D124" s="20" t="s">
        <v>533</v>
      </c>
      <c r="E124" s="8" t="s">
        <v>565</v>
      </c>
      <c r="F124" s="8" t="s">
        <v>566</v>
      </c>
      <c r="G124" s="7">
        <v>7.98417462E9</v>
      </c>
      <c r="H124" s="7" t="s">
        <v>63</v>
      </c>
      <c r="I124" s="7">
        <v>1318.0</v>
      </c>
      <c r="J124" s="7" t="s">
        <v>567</v>
      </c>
      <c r="K124" s="7" t="s">
        <v>25</v>
      </c>
      <c r="L124" s="9" t="s">
        <v>49</v>
      </c>
      <c r="M124" s="7" t="s">
        <v>27</v>
      </c>
      <c r="N124" s="7" t="s">
        <v>28</v>
      </c>
      <c r="O124" s="11">
        <v>2077.0</v>
      </c>
      <c r="P124" s="11">
        <v>2452.0</v>
      </c>
      <c r="Q124" s="5">
        <v>0.0</v>
      </c>
      <c r="R124" s="12">
        <f t="shared" si="2"/>
        <v>0</v>
      </c>
    </row>
    <row r="125">
      <c r="A125" s="7" t="s">
        <v>568</v>
      </c>
      <c r="B125" s="8" t="s">
        <v>569</v>
      </c>
      <c r="C125" s="8" t="s">
        <v>570</v>
      </c>
      <c r="D125" s="7" t="s">
        <v>93</v>
      </c>
      <c r="E125" s="8" t="s">
        <v>434</v>
      </c>
      <c r="F125" s="8" t="s">
        <v>571</v>
      </c>
      <c r="G125" s="7">
        <v>9.825383466E9</v>
      </c>
      <c r="H125" s="7">
        <v>9.898000254E9</v>
      </c>
      <c r="I125" s="7">
        <v>11990.0</v>
      </c>
      <c r="J125" s="7" t="s">
        <v>572</v>
      </c>
      <c r="K125" s="7" t="s">
        <v>25</v>
      </c>
      <c r="L125" s="9" t="s">
        <v>49</v>
      </c>
      <c r="M125" s="7" t="s">
        <v>33</v>
      </c>
      <c r="N125" s="7" t="s">
        <v>28</v>
      </c>
      <c r="O125" s="11">
        <v>31829.0</v>
      </c>
      <c r="P125" s="11">
        <v>34024.0</v>
      </c>
      <c r="Q125" s="5">
        <v>31.0</v>
      </c>
      <c r="R125" s="12">
        <f t="shared" si="2"/>
        <v>9866.99</v>
      </c>
    </row>
    <row r="126">
      <c r="A126" s="7" t="s">
        <v>568</v>
      </c>
      <c r="B126" s="8" t="s">
        <v>573</v>
      </c>
      <c r="C126" s="8" t="s">
        <v>574</v>
      </c>
      <c r="D126" s="7" t="s">
        <v>44</v>
      </c>
      <c r="E126" s="8" t="s">
        <v>575</v>
      </c>
      <c r="F126" s="8" t="s">
        <v>576</v>
      </c>
      <c r="G126" s="7" t="s">
        <v>577</v>
      </c>
      <c r="H126" s="7" t="s">
        <v>578</v>
      </c>
      <c r="I126" s="7">
        <v>2735.0</v>
      </c>
      <c r="J126" s="7" t="s">
        <v>572</v>
      </c>
      <c r="K126" s="7" t="s">
        <v>116</v>
      </c>
      <c r="L126" s="9" t="s">
        <v>49</v>
      </c>
      <c r="M126" s="7" t="s">
        <v>185</v>
      </c>
      <c r="N126" s="7" t="s">
        <v>28</v>
      </c>
      <c r="O126" s="11">
        <v>21309.0</v>
      </c>
      <c r="P126" s="11">
        <v>23047.0</v>
      </c>
      <c r="Q126" s="5">
        <v>54.0</v>
      </c>
      <c r="R126" s="12">
        <f t="shared" si="2"/>
        <v>11506.86</v>
      </c>
    </row>
    <row r="127">
      <c r="A127" s="7" t="s">
        <v>579</v>
      </c>
      <c r="B127" s="8" t="s">
        <v>580</v>
      </c>
      <c r="C127" s="8" t="s">
        <v>581</v>
      </c>
      <c r="D127" s="7" t="s">
        <v>44</v>
      </c>
      <c r="E127" s="8" t="s">
        <v>582</v>
      </c>
      <c r="F127" s="8" t="s">
        <v>583</v>
      </c>
      <c r="G127" s="7">
        <v>9.664746146E9</v>
      </c>
      <c r="H127" s="7">
        <v>8.849285752E9</v>
      </c>
      <c r="I127" s="7">
        <v>2710.0</v>
      </c>
      <c r="J127" s="7" t="s">
        <v>584</v>
      </c>
      <c r="K127" s="7" t="s">
        <v>25</v>
      </c>
      <c r="L127" s="9" t="s">
        <v>26</v>
      </c>
      <c r="M127" s="7" t="s">
        <v>365</v>
      </c>
      <c r="N127" s="7" t="s">
        <v>28</v>
      </c>
      <c r="O127" s="7">
        <v>16748.0</v>
      </c>
      <c r="P127" s="7">
        <v>17676.0</v>
      </c>
      <c r="Q127" s="5">
        <v>60.0</v>
      </c>
      <c r="R127" s="12">
        <f t="shared" si="2"/>
        <v>10048.8</v>
      </c>
    </row>
    <row r="128">
      <c r="A128" s="14">
        <v>46024.0</v>
      </c>
      <c r="B128" s="8" t="s">
        <v>585</v>
      </c>
      <c r="C128" s="8" t="s">
        <v>586</v>
      </c>
      <c r="D128" s="7" t="s">
        <v>44</v>
      </c>
      <c r="E128" s="8" t="s">
        <v>178</v>
      </c>
      <c r="F128" s="8" t="s">
        <v>587</v>
      </c>
      <c r="G128" s="7">
        <v>9.265683085E9</v>
      </c>
      <c r="H128" s="7">
        <v>6.355468077E9</v>
      </c>
      <c r="I128" s="21">
        <v>3460.0</v>
      </c>
      <c r="J128" s="8" t="s">
        <v>588</v>
      </c>
      <c r="K128" s="7" t="s">
        <v>116</v>
      </c>
      <c r="L128" s="9" t="s">
        <v>49</v>
      </c>
      <c r="M128" s="7" t="s">
        <v>71</v>
      </c>
      <c r="N128" s="7" t="s">
        <v>28</v>
      </c>
      <c r="O128" s="11">
        <v>20485.0</v>
      </c>
      <c r="P128" s="11">
        <v>22075.0</v>
      </c>
      <c r="Q128" s="5">
        <v>54.0</v>
      </c>
      <c r="R128" s="12">
        <f t="shared" si="2"/>
        <v>11061.9</v>
      </c>
    </row>
    <row r="129">
      <c r="A129" s="14">
        <v>46083.0</v>
      </c>
      <c r="B129" s="8" t="s">
        <v>589</v>
      </c>
      <c r="C129" s="8" t="s">
        <v>590</v>
      </c>
      <c r="D129" s="7" t="s">
        <v>44</v>
      </c>
      <c r="E129" s="8" t="s">
        <v>154</v>
      </c>
      <c r="F129" s="8" t="s">
        <v>591</v>
      </c>
      <c r="G129" s="7">
        <v>9.099175324E9</v>
      </c>
      <c r="H129" s="7">
        <v>6.355513367E9</v>
      </c>
      <c r="I129" s="21">
        <v>1600.0</v>
      </c>
      <c r="J129" s="22">
        <v>46389.0</v>
      </c>
      <c r="K129" s="7" t="s">
        <v>48</v>
      </c>
      <c r="L129" s="9" t="s">
        <v>49</v>
      </c>
      <c r="M129" s="7" t="s">
        <v>89</v>
      </c>
      <c r="N129" s="7" t="s">
        <v>28</v>
      </c>
      <c r="O129" s="21">
        <v>19865.0</v>
      </c>
      <c r="P129" s="21">
        <v>21354.0</v>
      </c>
      <c r="Q129" s="5">
        <v>63.0</v>
      </c>
      <c r="R129" s="12">
        <f t="shared" si="2"/>
        <v>12514.95</v>
      </c>
    </row>
    <row r="130">
      <c r="A130" s="23">
        <v>46054.0</v>
      </c>
      <c r="B130" s="24" t="s">
        <v>592</v>
      </c>
      <c r="C130" s="24" t="s">
        <v>593</v>
      </c>
      <c r="D130" s="25" t="s">
        <v>21</v>
      </c>
      <c r="E130" s="24" t="s">
        <v>594</v>
      </c>
      <c r="F130" s="24" t="s">
        <v>595</v>
      </c>
      <c r="G130" s="25">
        <v>8.160231655E9</v>
      </c>
      <c r="H130" s="25" t="s">
        <v>596</v>
      </c>
      <c r="I130" s="25">
        <v>12990.0</v>
      </c>
      <c r="J130" s="25" t="s">
        <v>126</v>
      </c>
      <c r="K130" s="25" t="s">
        <v>78</v>
      </c>
      <c r="L130" s="26" t="s">
        <v>49</v>
      </c>
      <c r="M130" s="25" t="s">
        <v>170</v>
      </c>
      <c r="N130" s="25" t="s">
        <v>28</v>
      </c>
      <c r="O130" s="27">
        <v>38342.23</v>
      </c>
      <c r="P130" s="25">
        <v>40653.0</v>
      </c>
      <c r="Q130" s="5">
        <v>31.0</v>
      </c>
      <c r="R130" s="12">
        <f t="shared" si="2"/>
        <v>11886.0913</v>
      </c>
      <c r="S130" s="6" t="s">
        <v>597</v>
      </c>
    </row>
    <row r="131">
      <c r="A131" s="25" t="s">
        <v>72</v>
      </c>
      <c r="B131" s="24" t="s">
        <v>598</v>
      </c>
      <c r="C131" s="24" t="s">
        <v>599</v>
      </c>
      <c r="D131" s="25" t="s">
        <v>21</v>
      </c>
      <c r="E131" s="24" t="s">
        <v>133</v>
      </c>
      <c r="F131" s="24" t="s">
        <v>600</v>
      </c>
      <c r="G131" s="25">
        <v>9.925112789E9</v>
      </c>
      <c r="H131" s="25">
        <v>7.016331195E9</v>
      </c>
      <c r="I131" s="25">
        <v>42000.0</v>
      </c>
      <c r="J131" s="25" t="s">
        <v>64</v>
      </c>
      <c r="K131" s="25" t="s">
        <v>70</v>
      </c>
      <c r="L131" s="26" t="s">
        <v>49</v>
      </c>
      <c r="M131" s="25" t="s">
        <v>71</v>
      </c>
      <c r="N131" s="25" t="s">
        <v>28</v>
      </c>
      <c r="O131" s="27">
        <v>50088.0</v>
      </c>
      <c r="P131" s="27">
        <v>53352.0</v>
      </c>
      <c r="Q131" s="5">
        <v>27.0</v>
      </c>
      <c r="R131" s="12">
        <f t="shared" si="2"/>
        <v>13523.76</v>
      </c>
      <c r="S131" s="6" t="s">
        <v>597</v>
      </c>
    </row>
    <row r="132">
      <c r="A132" s="25" t="s">
        <v>121</v>
      </c>
      <c r="B132" s="24" t="s">
        <v>601</v>
      </c>
      <c r="C132" s="24" t="s">
        <v>602</v>
      </c>
      <c r="D132" s="25" t="s">
        <v>21</v>
      </c>
      <c r="E132" s="24" t="s">
        <v>603</v>
      </c>
      <c r="F132" s="24" t="s">
        <v>604</v>
      </c>
      <c r="G132" s="25" t="s">
        <v>605</v>
      </c>
      <c r="H132" s="28"/>
      <c r="I132" s="25">
        <v>5300.0</v>
      </c>
      <c r="J132" s="25" t="s">
        <v>100</v>
      </c>
      <c r="K132" s="25" t="s">
        <v>25</v>
      </c>
      <c r="L132" s="26" t="s">
        <v>49</v>
      </c>
      <c r="M132" s="25" t="s">
        <v>27</v>
      </c>
      <c r="N132" s="25" t="s">
        <v>28</v>
      </c>
      <c r="O132" s="27">
        <v>16862.0</v>
      </c>
      <c r="P132" s="27">
        <v>17811.0</v>
      </c>
      <c r="Q132" s="5">
        <v>43.0</v>
      </c>
      <c r="R132" s="12">
        <f t="shared" si="2"/>
        <v>7250.66</v>
      </c>
      <c r="S132" s="6" t="s">
        <v>597</v>
      </c>
    </row>
    <row r="133">
      <c r="A133" s="23">
        <v>46235.0</v>
      </c>
      <c r="B133" s="24" t="s">
        <v>606</v>
      </c>
      <c r="C133" s="24" t="s">
        <v>607</v>
      </c>
      <c r="D133" s="25" t="s">
        <v>21</v>
      </c>
      <c r="E133" s="24" t="s">
        <v>203</v>
      </c>
      <c r="F133" s="24" t="s">
        <v>608</v>
      </c>
      <c r="G133" s="25" t="s">
        <v>605</v>
      </c>
      <c r="H133" s="25" t="s">
        <v>63</v>
      </c>
      <c r="I133" s="25">
        <v>25000.0</v>
      </c>
      <c r="J133" s="23">
        <v>46661.0</v>
      </c>
      <c r="K133" s="25" t="s">
        <v>25</v>
      </c>
      <c r="L133" s="26" t="s">
        <v>26</v>
      </c>
      <c r="M133" s="25" t="s">
        <v>71</v>
      </c>
      <c r="N133" s="25" t="s">
        <v>28</v>
      </c>
      <c r="O133" s="27">
        <v>44050.0</v>
      </c>
      <c r="P133" s="27">
        <v>46266.0</v>
      </c>
      <c r="Q133" s="5">
        <v>51.0</v>
      </c>
      <c r="R133" s="12">
        <f t="shared" si="2"/>
        <v>22465.5</v>
      </c>
      <c r="S133" s="6" t="s">
        <v>597</v>
      </c>
    </row>
    <row r="134">
      <c r="A134" s="23">
        <v>46235.0</v>
      </c>
      <c r="B134" s="24" t="s">
        <v>609</v>
      </c>
      <c r="C134" s="24" t="s">
        <v>610</v>
      </c>
      <c r="D134" s="25" t="s">
        <v>21</v>
      </c>
      <c r="E134" s="24" t="s">
        <v>611</v>
      </c>
      <c r="F134" s="24" t="s">
        <v>604</v>
      </c>
      <c r="G134" s="25" t="s">
        <v>605</v>
      </c>
      <c r="H134" s="25" t="s">
        <v>63</v>
      </c>
      <c r="I134" s="25">
        <v>35000.0</v>
      </c>
      <c r="J134" s="23">
        <v>46569.0</v>
      </c>
      <c r="K134" s="25" t="s">
        <v>56</v>
      </c>
      <c r="L134" s="26" t="s">
        <v>49</v>
      </c>
      <c r="M134" s="25" t="s">
        <v>71</v>
      </c>
      <c r="N134" s="25" t="s">
        <v>28</v>
      </c>
      <c r="O134" s="27">
        <v>77887.0</v>
      </c>
      <c r="P134" s="27">
        <v>86193.0</v>
      </c>
      <c r="Q134" s="5">
        <v>29.0</v>
      </c>
      <c r="R134" s="12">
        <f t="shared" si="2"/>
        <v>22587.23</v>
      </c>
      <c r="S134" s="6" t="s">
        <v>597</v>
      </c>
    </row>
    <row r="135">
      <c r="A135" s="23">
        <v>46235.0</v>
      </c>
      <c r="B135" s="24" t="s">
        <v>612</v>
      </c>
      <c r="C135" s="24" t="s">
        <v>613</v>
      </c>
      <c r="D135" s="25" t="s">
        <v>21</v>
      </c>
      <c r="E135" s="24" t="s">
        <v>611</v>
      </c>
      <c r="F135" s="24" t="s">
        <v>604</v>
      </c>
      <c r="G135" s="25" t="s">
        <v>605</v>
      </c>
      <c r="H135" s="25" t="s">
        <v>63</v>
      </c>
      <c r="I135" s="25">
        <v>35000.0</v>
      </c>
      <c r="J135" s="23">
        <v>46569.0</v>
      </c>
      <c r="K135" s="25" t="s">
        <v>56</v>
      </c>
      <c r="L135" s="26" t="s">
        <v>49</v>
      </c>
      <c r="M135" s="25" t="s">
        <v>71</v>
      </c>
      <c r="N135" s="25" t="s">
        <v>28</v>
      </c>
      <c r="O135" s="27">
        <v>77887.0</v>
      </c>
      <c r="P135" s="27">
        <v>86193.0</v>
      </c>
      <c r="Q135" s="5">
        <v>29.0</v>
      </c>
      <c r="R135" s="12">
        <f t="shared" si="2"/>
        <v>22587.23</v>
      </c>
      <c r="S135" s="6" t="s">
        <v>597</v>
      </c>
    </row>
    <row r="136">
      <c r="A136" s="23">
        <v>46235.0</v>
      </c>
      <c r="B136" s="24" t="s">
        <v>614</v>
      </c>
      <c r="C136" s="24" t="s">
        <v>615</v>
      </c>
      <c r="D136" s="25" t="s">
        <v>21</v>
      </c>
      <c r="E136" s="24" t="s">
        <v>611</v>
      </c>
      <c r="F136" s="24" t="s">
        <v>604</v>
      </c>
      <c r="G136" s="25" t="s">
        <v>605</v>
      </c>
      <c r="H136" s="25" t="s">
        <v>63</v>
      </c>
      <c r="I136" s="25">
        <v>35000.0</v>
      </c>
      <c r="J136" s="23">
        <v>46570.0</v>
      </c>
      <c r="K136" s="25" t="s">
        <v>56</v>
      </c>
      <c r="L136" s="26" t="s">
        <v>49</v>
      </c>
      <c r="M136" s="25" t="s">
        <v>71</v>
      </c>
      <c r="N136" s="25" t="s">
        <v>28</v>
      </c>
      <c r="O136" s="25">
        <v>77887.0</v>
      </c>
      <c r="P136" s="29">
        <v>86193.0</v>
      </c>
      <c r="Q136" s="5">
        <v>29.0</v>
      </c>
      <c r="R136" s="12">
        <f t="shared" si="2"/>
        <v>22587.23</v>
      </c>
      <c r="S136" s="6" t="s">
        <v>597</v>
      </c>
    </row>
    <row r="137">
      <c r="A137" s="23">
        <v>46024.0</v>
      </c>
      <c r="B137" s="24" t="s">
        <v>616</v>
      </c>
      <c r="C137" s="24" t="s">
        <v>617</v>
      </c>
      <c r="D137" s="25" t="s">
        <v>44</v>
      </c>
      <c r="E137" s="24" t="s">
        <v>618</v>
      </c>
      <c r="F137" s="24" t="s">
        <v>604</v>
      </c>
      <c r="G137" s="25" t="s">
        <v>619</v>
      </c>
      <c r="H137" s="28"/>
      <c r="I137" s="30">
        <v>2750.0</v>
      </c>
      <c r="J137" s="24" t="s">
        <v>584</v>
      </c>
      <c r="K137" s="25" t="s">
        <v>25</v>
      </c>
      <c r="L137" s="26" t="s">
        <v>49</v>
      </c>
      <c r="M137" s="25" t="s">
        <v>71</v>
      </c>
      <c r="N137" s="25" t="s">
        <v>28</v>
      </c>
      <c r="O137" s="27">
        <v>17065.0</v>
      </c>
      <c r="P137" s="27">
        <v>18050.0</v>
      </c>
      <c r="Q137" s="5">
        <v>60.0</v>
      </c>
      <c r="R137" s="12">
        <f t="shared" si="2"/>
        <v>10239</v>
      </c>
      <c r="S137" s="6" t="s">
        <v>597</v>
      </c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</row>
    <row r="140">
      <c r="A140" s="5" t="s">
        <v>620</v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</row>
    <row r="142">
      <c r="A142" s="32" t="s">
        <v>57</v>
      </c>
      <c r="B142" s="33" t="s">
        <v>621</v>
      </c>
      <c r="C142" s="33" t="s">
        <v>622</v>
      </c>
      <c r="D142" s="32" t="s">
        <v>21</v>
      </c>
      <c r="E142" s="33" t="s">
        <v>623</v>
      </c>
      <c r="F142" s="33" t="s">
        <v>624</v>
      </c>
      <c r="G142" s="32">
        <v>9.979861378E9</v>
      </c>
      <c r="H142" s="32" t="s">
        <v>63</v>
      </c>
      <c r="I142" s="32">
        <v>37000.0</v>
      </c>
      <c r="J142" s="32" t="s">
        <v>40</v>
      </c>
      <c r="K142" s="32" t="s">
        <v>78</v>
      </c>
      <c r="L142" s="34" t="s">
        <v>49</v>
      </c>
      <c r="M142" s="32" t="s">
        <v>27</v>
      </c>
      <c r="N142" s="32" t="s">
        <v>28</v>
      </c>
      <c r="O142" s="35">
        <v>48589.52</v>
      </c>
      <c r="P142" s="35">
        <v>51622.0</v>
      </c>
      <c r="Q142" s="36">
        <v>33.0</v>
      </c>
      <c r="R142" s="37">
        <f t="shared" ref="R142:R149" si="3">O142*Q142%</f>
        <v>16034.5416</v>
      </c>
      <c r="S142" s="38" t="s">
        <v>625</v>
      </c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</row>
    <row r="143">
      <c r="A143" s="40">
        <v>46082.0</v>
      </c>
      <c r="B143" s="33" t="s">
        <v>626</v>
      </c>
      <c r="C143" s="33" t="s">
        <v>627</v>
      </c>
      <c r="D143" s="32" t="s">
        <v>21</v>
      </c>
      <c r="E143" s="33" t="s">
        <v>628</v>
      </c>
      <c r="F143" s="33" t="s">
        <v>629</v>
      </c>
      <c r="G143" s="32">
        <v>8.849354114E9</v>
      </c>
      <c r="H143" s="32">
        <v>8.980832364E9</v>
      </c>
      <c r="I143" s="32">
        <v>28000.0</v>
      </c>
      <c r="J143" s="40">
        <v>46419.0</v>
      </c>
      <c r="K143" s="32" t="s">
        <v>78</v>
      </c>
      <c r="L143" s="34" t="s">
        <v>49</v>
      </c>
      <c r="M143" s="32" t="s">
        <v>33</v>
      </c>
      <c r="N143" s="32" t="s">
        <v>28</v>
      </c>
      <c r="O143" s="35">
        <v>47873.3</v>
      </c>
      <c r="P143" s="35">
        <v>50777.0</v>
      </c>
      <c r="Q143" s="36">
        <v>33.0</v>
      </c>
      <c r="R143" s="37">
        <f t="shared" si="3"/>
        <v>15798.189</v>
      </c>
      <c r="S143" s="38" t="s">
        <v>630</v>
      </c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</row>
    <row r="144">
      <c r="A144" s="40">
        <v>46174.0</v>
      </c>
      <c r="B144" s="33" t="s">
        <v>631</v>
      </c>
      <c r="C144" s="33" t="s">
        <v>632</v>
      </c>
      <c r="D144" s="32" t="s">
        <v>21</v>
      </c>
      <c r="E144" s="33" t="s">
        <v>633</v>
      </c>
      <c r="F144" s="33" t="s">
        <v>634</v>
      </c>
      <c r="G144" s="32">
        <v>8.20001614E9</v>
      </c>
      <c r="H144" s="32">
        <v>9.909173677E9</v>
      </c>
      <c r="I144" s="32">
        <v>15800.0</v>
      </c>
      <c r="J144" s="40">
        <v>46508.0</v>
      </c>
      <c r="K144" s="32" t="s">
        <v>78</v>
      </c>
      <c r="L144" s="34" t="s">
        <v>49</v>
      </c>
      <c r="M144" s="32" t="s">
        <v>71</v>
      </c>
      <c r="N144" s="32" t="s">
        <v>28</v>
      </c>
      <c r="O144" s="35">
        <v>38874.04</v>
      </c>
      <c r="P144" s="32">
        <v>41281.0</v>
      </c>
      <c r="Q144" s="36">
        <v>31.0</v>
      </c>
      <c r="R144" s="37">
        <f t="shared" si="3"/>
        <v>12050.9524</v>
      </c>
      <c r="S144" s="38" t="s">
        <v>630</v>
      </c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</row>
    <row r="145">
      <c r="A145" s="40">
        <v>46174.0</v>
      </c>
      <c r="B145" s="33" t="s">
        <v>635</v>
      </c>
      <c r="C145" s="33" t="s">
        <v>636</v>
      </c>
      <c r="D145" s="32" t="s">
        <v>21</v>
      </c>
      <c r="E145" s="33" t="s">
        <v>594</v>
      </c>
      <c r="F145" s="33" t="s">
        <v>637</v>
      </c>
      <c r="G145" s="32">
        <v>9.664548929E9</v>
      </c>
      <c r="H145" s="32">
        <v>9.913234823E9</v>
      </c>
      <c r="I145" s="32">
        <v>13850.0</v>
      </c>
      <c r="J145" s="40">
        <v>46539.0</v>
      </c>
      <c r="K145" s="32" t="s">
        <v>78</v>
      </c>
      <c r="L145" s="34" t="s">
        <v>49</v>
      </c>
      <c r="M145" s="32" t="s">
        <v>71</v>
      </c>
      <c r="N145" s="32" t="s">
        <v>28</v>
      </c>
      <c r="O145" s="35">
        <v>37819.45</v>
      </c>
      <c r="P145" s="35">
        <v>40036.0</v>
      </c>
      <c r="Q145" s="36">
        <v>31.0</v>
      </c>
      <c r="R145" s="37">
        <f t="shared" si="3"/>
        <v>11724.0295</v>
      </c>
      <c r="S145" s="38" t="s">
        <v>630</v>
      </c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</row>
    <row r="146">
      <c r="A146" s="40">
        <v>46204.0</v>
      </c>
      <c r="B146" s="33" t="s">
        <v>638</v>
      </c>
      <c r="C146" s="33" t="s">
        <v>639</v>
      </c>
      <c r="D146" s="32" t="s">
        <v>21</v>
      </c>
      <c r="E146" s="33" t="s">
        <v>633</v>
      </c>
      <c r="F146" s="33" t="s">
        <v>640</v>
      </c>
      <c r="G146" s="32">
        <v>9.033333157E9</v>
      </c>
      <c r="H146" s="32">
        <v>6.351000398E9</v>
      </c>
      <c r="I146" s="32">
        <v>12990.0</v>
      </c>
      <c r="J146" s="40">
        <v>46539.0</v>
      </c>
      <c r="K146" s="32" t="s">
        <v>78</v>
      </c>
      <c r="L146" s="34" t="s">
        <v>49</v>
      </c>
      <c r="M146" s="32" t="s">
        <v>219</v>
      </c>
      <c r="N146" s="32" t="s">
        <v>28</v>
      </c>
      <c r="O146" s="35">
        <v>37046.21</v>
      </c>
      <c r="P146" s="35">
        <v>39124.0</v>
      </c>
      <c r="Q146" s="36">
        <v>31.0</v>
      </c>
      <c r="R146" s="37">
        <f t="shared" si="3"/>
        <v>11484.3251</v>
      </c>
      <c r="S146" s="38" t="s">
        <v>625</v>
      </c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</row>
    <row r="147">
      <c r="A147" s="40">
        <v>46204.0</v>
      </c>
      <c r="B147" s="33" t="s">
        <v>641</v>
      </c>
      <c r="C147" s="33" t="s">
        <v>642</v>
      </c>
      <c r="D147" s="32" t="s">
        <v>21</v>
      </c>
      <c r="E147" s="33" t="s">
        <v>330</v>
      </c>
      <c r="F147" s="33" t="s">
        <v>640</v>
      </c>
      <c r="G147" s="32">
        <v>9.033333157E9</v>
      </c>
      <c r="H147" s="32">
        <v>6.351000398E9</v>
      </c>
      <c r="I147" s="32">
        <v>12990.0</v>
      </c>
      <c r="J147" s="40">
        <v>46539.0</v>
      </c>
      <c r="K147" s="32" t="s">
        <v>78</v>
      </c>
      <c r="L147" s="34" t="s">
        <v>49</v>
      </c>
      <c r="M147" s="32" t="s">
        <v>219</v>
      </c>
      <c r="N147" s="32" t="s">
        <v>28</v>
      </c>
      <c r="O147" s="35">
        <v>37046.21</v>
      </c>
      <c r="P147" s="32">
        <v>39124.0</v>
      </c>
      <c r="Q147" s="36">
        <v>31.0</v>
      </c>
      <c r="R147" s="37">
        <f t="shared" si="3"/>
        <v>11484.3251</v>
      </c>
      <c r="S147" s="38" t="s">
        <v>630</v>
      </c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</row>
    <row r="148">
      <c r="A148" s="32" t="s">
        <v>521</v>
      </c>
      <c r="B148" s="33" t="s">
        <v>643</v>
      </c>
      <c r="C148" s="33" t="s">
        <v>644</v>
      </c>
      <c r="D148" s="32" t="s">
        <v>21</v>
      </c>
      <c r="E148" s="33" t="s">
        <v>645</v>
      </c>
      <c r="F148" s="33" t="s">
        <v>646</v>
      </c>
      <c r="G148" s="32">
        <v>9.879724797E9</v>
      </c>
      <c r="H148" s="32">
        <v>9.925112789E9</v>
      </c>
      <c r="I148" s="32">
        <v>28000.0</v>
      </c>
      <c r="J148" s="32" t="s">
        <v>536</v>
      </c>
      <c r="K148" s="32" t="s">
        <v>78</v>
      </c>
      <c r="L148" s="34" t="s">
        <v>49</v>
      </c>
      <c r="M148" s="32" t="s">
        <v>71</v>
      </c>
      <c r="N148" s="32" t="s">
        <v>28</v>
      </c>
      <c r="O148" s="35">
        <v>46120.11</v>
      </c>
      <c r="P148" s="35">
        <v>48708.0</v>
      </c>
      <c r="Q148" s="36">
        <v>35.0</v>
      </c>
      <c r="R148" s="37">
        <f t="shared" si="3"/>
        <v>16142.0385</v>
      </c>
      <c r="S148" s="38" t="s">
        <v>630</v>
      </c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</row>
    <row r="149">
      <c r="A149" s="32" t="s">
        <v>540</v>
      </c>
      <c r="B149" s="33" t="s">
        <v>647</v>
      </c>
      <c r="C149" s="33" t="s">
        <v>648</v>
      </c>
      <c r="D149" s="32" t="s">
        <v>21</v>
      </c>
      <c r="E149" s="33" t="s">
        <v>649</v>
      </c>
      <c r="F149" s="33" t="s">
        <v>650</v>
      </c>
      <c r="G149" s="32">
        <v>7.98467355E9</v>
      </c>
      <c r="H149" s="32" t="s">
        <v>63</v>
      </c>
      <c r="I149" s="32">
        <v>35000.0</v>
      </c>
      <c r="J149" s="32" t="s">
        <v>259</v>
      </c>
      <c r="K149" s="32" t="s">
        <v>78</v>
      </c>
      <c r="L149" s="34" t="s">
        <v>49</v>
      </c>
      <c r="M149" s="32" t="s">
        <v>71</v>
      </c>
      <c r="N149" s="32" t="s">
        <v>28</v>
      </c>
      <c r="O149" s="35">
        <v>46378.28</v>
      </c>
      <c r="P149" s="35">
        <v>49013.0</v>
      </c>
      <c r="Q149" s="36">
        <v>35.0</v>
      </c>
      <c r="R149" s="37">
        <f t="shared" si="3"/>
        <v>16232.398</v>
      </c>
      <c r="S149" s="38" t="s">
        <v>630</v>
      </c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</row>
    <row r="153">
      <c r="A153" s="41" t="s">
        <v>651</v>
      </c>
      <c r="B153" s="4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</row>
    <row r="154">
      <c r="A154" s="43" t="s">
        <v>390</v>
      </c>
      <c r="B154" s="44" t="s">
        <v>652</v>
      </c>
      <c r="C154" s="44" t="s">
        <v>653</v>
      </c>
      <c r="D154" s="43" t="s">
        <v>21</v>
      </c>
      <c r="E154" s="44" t="s">
        <v>654</v>
      </c>
      <c r="F154" s="44" t="s">
        <v>655</v>
      </c>
      <c r="G154" s="43">
        <v>9.6389808E9</v>
      </c>
      <c r="H154" s="43" t="s">
        <v>656</v>
      </c>
      <c r="I154" s="45">
        <v>16200.0</v>
      </c>
      <c r="J154" s="43" t="s">
        <v>363</v>
      </c>
      <c r="K154" s="43" t="s">
        <v>297</v>
      </c>
      <c r="L154" s="46" t="s">
        <v>26</v>
      </c>
      <c r="M154" s="43" t="s">
        <v>71</v>
      </c>
      <c r="N154" s="43" t="s">
        <v>28</v>
      </c>
      <c r="O154" s="47">
        <v>35413.0</v>
      </c>
      <c r="P154" s="47">
        <v>37196.66</v>
      </c>
      <c r="Q154" s="48">
        <v>39.0</v>
      </c>
      <c r="R154" s="49">
        <f t="shared" ref="R154:R172" si="4">O154*Q154%</f>
        <v>13811.07</v>
      </c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</row>
    <row r="155">
      <c r="A155" s="43" t="s">
        <v>420</v>
      </c>
      <c r="B155" s="44" t="s">
        <v>657</v>
      </c>
      <c r="C155" s="44" t="s">
        <v>658</v>
      </c>
      <c r="D155" s="43" t="s">
        <v>21</v>
      </c>
      <c r="E155" s="44" t="s">
        <v>434</v>
      </c>
      <c r="F155" s="44" t="s">
        <v>659</v>
      </c>
      <c r="G155" s="43">
        <v>9.638181213E9</v>
      </c>
      <c r="H155" s="43" t="s">
        <v>63</v>
      </c>
      <c r="I155" s="43">
        <v>12500.0</v>
      </c>
      <c r="J155" s="43" t="s">
        <v>404</v>
      </c>
      <c r="K155" s="43" t="s">
        <v>25</v>
      </c>
      <c r="L155" s="51" t="s">
        <v>26</v>
      </c>
      <c r="M155" s="43" t="s">
        <v>71</v>
      </c>
      <c r="N155" s="43" t="s">
        <v>28</v>
      </c>
      <c r="O155" s="47">
        <v>35413.0</v>
      </c>
      <c r="P155" s="47">
        <v>37197.0</v>
      </c>
      <c r="Q155" s="48">
        <v>51.0</v>
      </c>
      <c r="R155" s="49">
        <f t="shared" si="4"/>
        <v>18060.63</v>
      </c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</row>
    <row r="156">
      <c r="A156" s="43" t="s">
        <v>562</v>
      </c>
      <c r="B156" s="44" t="s">
        <v>660</v>
      </c>
      <c r="C156" s="44" t="s">
        <v>661</v>
      </c>
      <c r="D156" s="43" t="s">
        <v>21</v>
      </c>
      <c r="E156" s="44" t="s">
        <v>381</v>
      </c>
      <c r="F156" s="44" t="s">
        <v>662</v>
      </c>
      <c r="G156" s="43">
        <v>9.428277711E9</v>
      </c>
      <c r="H156" s="43">
        <v>9.537704952E9</v>
      </c>
      <c r="I156" s="43">
        <v>28000.0</v>
      </c>
      <c r="J156" s="43" t="s">
        <v>663</v>
      </c>
      <c r="K156" s="43" t="s">
        <v>25</v>
      </c>
      <c r="L156" s="51" t="s">
        <v>26</v>
      </c>
      <c r="M156" s="43" t="s">
        <v>71</v>
      </c>
      <c r="N156" s="43" t="s">
        <v>28</v>
      </c>
      <c r="O156" s="47">
        <v>44649.0</v>
      </c>
      <c r="P156" s="47">
        <v>46972.0</v>
      </c>
      <c r="Q156" s="48">
        <v>49.0</v>
      </c>
      <c r="R156" s="49">
        <f t="shared" si="4"/>
        <v>21878.01</v>
      </c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</row>
    <row r="157">
      <c r="A157" s="52" t="s">
        <v>90</v>
      </c>
      <c r="B157" s="53" t="s">
        <v>664</v>
      </c>
      <c r="C157" s="53" t="s">
        <v>665</v>
      </c>
      <c r="D157" s="52" t="s">
        <v>93</v>
      </c>
      <c r="E157" s="53" t="s">
        <v>666</v>
      </c>
      <c r="F157" s="53" t="s">
        <v>667</v>
      </c>
      <c r="G157" s="52">
        <v>8.160432606E9</v>
      </c>
      <c r="H157" s="52" t="s">
        <v>63</v>
      </c>
      <c r="I157" s="52">
        <v>11990.0</v>
      </c>
      <c r="J157" s="52" t="s">
        <v>106</v>
      </c>
      <c r="K157" s="52" t="s">
        <v>668</v>
      </c>
      <c r="L157" s="51" t="s">
        <v>49</v>
      </c>
      <c r="M157" s="52" t="s">
        <v>27</v>
      </c>
      <c r="N157" s="52" t="s">
        <v>28</v>
      </c>
      <c r="O157" s="52">
        <v>30886.0</v>
      </c>
      <c r="P157" s="52">
        <v>32912.0</v>
      </c>
      <c r="Q157" s="48">
        <v>20.0</v>
      </c>
      <c r="R157" s="49">
        <f t="shared" si="4"/>
        <v>6177.2</v>
      </c>
      <c r="S157" s="54" t="s">
        <v>597</v>
      </c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</row>
    <row r="158">
      <c r="A158" s="55">
        <v>46327.0</v>
      </c>
      <c r="B158" s="44" t="s">
        <v>669</v>
      </c>
      <c r="C158" s="44" t="s">
        <v>670</v>
      </c>
      <c r="D158" s="43" t="s">
        <v>60</v>
      </c>
      <c r="E158" s="44" t="s">
        <v>671</v>
      </c>
      <c r="F158" s="44" t="s">
        <v>672</v>
      </c>
      <c r="G158" s="43">
        <v>9.9130222E9</v>
      </c>
      <c r="H158" s="43" t="s">
        <v>63</v>
      </c>
      <c r="I158" s="43">
        <v>97.0</v>
      </c>
      <c r="J158" s="43" t="s">
        <v>444</v>
      </c>
      <c r="K158" s="43" t="s">
        <v>668</v>
      </c>
      <c r="L158" s="51" t="s">
        <v>26</v>
      </c>
      <c r="M158" s="43" t="s">
        <v>71</v>
      </c>
      <c r="N158" s="43" t="s">
        <v>28</v>
      </c>
      <c r="O158" s="43">
        <v>714.0</v>
      </c>
      <c r="P158" s="43">
        <v>842.0</v>
      </c>
      <c r="Q158" s="48">
        <v>35.0</v>
      </c>
      <c r="R158" s="49">
        <f t="shared" si="4"/>
        <v>249.9</v>
      </c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</row>
    <row r="159">
      <c r="A159" s="55">
        <v>46296.0</v>
      </c>
      <c r="B159" s="44" t="s">
        <v>673</v>
      </c>
      <c r="C159" s="44" t="s">
        <v>674</v>
      </c>
      <c r="D159" s="43" t="s">
        <v>60</v>
      </c>
      <c r="E159" s="44" t="s">
        <v>675</v>
      </c>
      <c r="F159" s="44" t="s">
        <v>676</v>
      </c>
      <c r="G159" s="43">
        <v>7.228934347E9</v>
      </c>
      <c r="H159" s="43" t="s">
        <v>63</v>
      </c>
      <c r="I159" s="43">
        <v>97.0</v>
      </c>
      <c r="J159" s="56">
        <v>46631.0</v>
      </c>
      <c r="K159" s="43" t="s">
        <v>677</v>
      </c>
      <c r="L159" s="51" t="s">
        <v>26</v>
      </c>
      <c r="M159" s="43" t="s">
        <v>27</v>
      </c>
      <c r="N159" s="43" t="s">
        <v>28</v>
      </c>
      <c r="O159" s="47">
        <v>714.0</v>
      </c>
      <c r="P159" s="47">
        <v>842.52</v>
      </c>
      <c r="Q159" s="48">
        <v>40.0</v>
      </c>
      <c r="R159" s="49">
        <f t="shared" si="4"/>
        <v>285.6</v>
      </c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</row>
    <row r="160">
      <c r="A160" s="55">
        <v>46296.0</v>
      </c>
      <c r="B160" s="44" t="s">
        <v>678</v>
      </c>
      <c r="C160" s="44" t="s">
        <v>679</v>
      </c>
      <c r="D160" s="43" t="s">
        <v>60</v>
      </c>
      <c r="E160" s="44" t="s">
        <v>680</v>
      </c>
      <c r="F160" s="44" t="s">
        <v>681</v>
      </c>
      <c r="G160" s="43">
        <v>7.228934347E9</v>
      </c>
      <c r="H160" s="43" t="s">
        <v>63</v>
      </c>
      <c r="I160" s="43">
        <v>109.0</v>
      </c>
      <c r="J160" s="56">
        <v>46631.0</v>
      </c>
      <c r="K160" s="43" t="s">
        <v>677</v>
      </c>
      <c r="L160" s="51" t="s">
        <v>26</v>
      </c>
      <c r="M160" s="43" t="s">
        <v>27</v>
      </c>
      <c r="N160" s="43" t="s">
        <v>28</v>
      </c>
      <c r="O160" s="47">
        <v>714.0</v>
      </c>
      <c r="P160" s="47">
        <v>842.52</v>
      </c>
      <c r="Q160" s="48">
        <v>40.0</v>
      </c>
      <c r="R160" s="49">
        <f t="shared" si="4"/>
        <v>285.6</v>
      </c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</row>
    <row r="161">
      <c r="A161" s="55">
        <v>46266.0</v>
      </c>
      <c r="B161" s="44" t="s">
        <v>682</v>
      </c>
      <c r="C161" s="44" t="s">
        <v>683</v>
      </c>
      <c r="D161" s="43" t="s">
        <v>60</v>
      </c>
      <c r="E161" s="44" t="s">
        <v>684</v>
      </c>
      <c r="F161" s="44" t="s">
        <v>685</v>
      </c>
      <c r="G161" s="43">
        <v>9.586131567E9</v>
      </c>
      <c r="H161" s="43" t="s">
        <v>63</v>
      </c>
      <c r="I161" s="43">
        <v>346.0</v>
      </c>
      <c r="J161" s="56">
        <v>46600.0</v>
      </c>
      <c r="K161" s="43" t="s">
        <v>668</v>
      </c>
      <c r="L161" s="51" t="s">
        <v>26</v>
      </c>
      <c r="M161" s="43" t="s">
        <v>27</v>
      </c>
      <c r="N161" s="43" t="s">
        <v>28</v>
      </c>
      <c r="O161" s="47">
        <v>1366.0</v>
      </c>
      <c r="P161" s="47">
        <v>1612.0</v>
      </c>
      <c r="Q161" s="48">
        <v>35.0</v>
      </c>
      <c r="R161" s="49">
        <f t="shared" si="4"/>
        <v>478.1</v>
      </c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</row>
    <row r="162">
      <c r="A162" s="43" t="s">
        <v>562</v>
      </c>
      <c r="B162" s="44" t="s">
        <v>686</v>
      </c>
      <c r="C162" s="44" t="s">
        <v>687</v>
      </c>
      <c r="D162" s="43" t="s">
        <v>21</v>
      </c>
      <c r="E162" s="44" t="s">
        <v>203</v>
      </c>
      <c r="F162" s="44" t="s">
        <v>688</v>
      </c>
      <c r="G162" s="43">
        <v>9.974003597E9</v>
      </c>
      <c r="H162" s="43">
        <v>7.575810177E9</v>
      </c>
      <c r="I162" s="43">
        <v>31000.0</v>
      </c>
      <c r="J162" s="43" t="s">
        <v>572</v>
      </c>
      <c r="K162" s="43" t="s">
        <v>25</v>
      </c>
      <c r="L162" s="51" t="s">
        <v>26</v>
      </c>
      <c r="M162" s="43" t="s">
        <v>365</v>
      </c>
      <c r="N162" s="43" t="s">
        <v>28</v>
      </c>
      <c r="O162" s="43">
        <v>44050.0</v>
      </c>
      <c r="P162" s="43">
        <v>46266.0</v>
      </c>
      <c r="Q162" s="48">
        <v>49.0</v>
      </c>
      <c r="R162" s="49">
        <f t="shared" si="4"/>
        <v>21584.5</v>
      </c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</row>
    <row r="163">
      <c r="A163" s="52" t="s">
        <v>516</v>
      </c>
      <c r="B163" s="53" t="s">
        <v>689</v>
      </c>
      <c r="C163" s="53" t="s">
        <v>690</v>
      </c>
      <c r="D163" s="52" t="s">
        <v>21</v>
      </c>
      <c r="E163" s="53" t="s">
        <v>691</v>
      </c>
      <c r="F163" s="53" t="s">
        <v>692</v>
      </c>
      <c r="G163" s="52" t="s">
        <v>693</v>
      </c>
      <c r="H163" s="52" t="s">
        <v>694</v>
      </c>
      <c r="I163" s="52">
        <v>16140.0</v>
      </c>
      <c r="J163" s="52" t="s">
        <v>695</v>
      </c>
      <c r="K163" s="52" t="s">
        <v>78</v>
      </c>
      <c r="L163" s="51" t="s">
        <v>49</v>
      </c>
      <c r="M163" s="52" t="s">
        <v>144</v>
      </c>
      <c r="N163" s="52" t="s">
        <v>28</v>
      </c>
      <c r="O163" s="57">
        <v>39035.06</v>
      </c>
      <c r="P163" s="57">
        <v>41471.0</v>
      </c>
      <c r="Q163" s="48">
        <v>23.0</v>
      </c>
      <c r="R163" s="49">
        <f t="shared" si="4"/>
        <v>8978.0638</v>
      </c>
      <c r="S163" s="54" t="s">
        <v>597</v>
      </c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</row>
    <row r="164">
      <c r="A164" s="43" t="s">
        <v>399</v>
      </c>
      <c r="B164" s="44" t="s">
        <v>696</v>
      </c>
      <c r="C164" s="44" t="s">
        <v>697</v>
      </c>
      <c r="D164" s="43" t="s">
        <v>21</v>
      </c>
      <c r="E164" s="44" t="s">
        <v>698</v>
      </c>
      <c r="F164" s="44" t="s">
        <v>699</v>
      </c>
      <c r="G164" s="43">
        <v>9.537307613E9</v>
      </c>
      <c r="H164" s="43">
        <v>9.054498923E9</v>
      </c>
      <c r="I164" s="43">
        <v>12976.0</v>
      </c>
      <c r="J164" s="43" t="s">
        <v>419</v>
      </c>
      <c r="K164" s="43" t="s">
        <v>668</v>
      </c>
      <c r="L164" s="51" t="s">
        <v>26</v>
      </c>
      <c r="M164" s="43" t="s">
        <v>365</v>
      </c>
      <c r="N164" s="43" t="s">
        <v>28</v>
      </c>
      <c r="O164" s="43">
        <v>35463.0</v>
      </c>
      <c r="P164" s="43">
        <v>37257.0</v>
      </c>
      <c r="Q164" s="48">
        <v>35.0</v>
      </c>
      <c r="R164" s="49">
        <f t="shared" si="4"/>
        <v>12412.05</v>
      </c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</row>
    <row r="165">
      <c r="A165" s="43" t="s">
        <v>399</v>
      </c>
      <c r="B165" s="44" t="s">
        <v>700</v>
      </c>
      <c r="C165" s="44" t="s">
        <v>701</v>
      </c>
      <c r="D165" s="43" t="s">
        <v>60</v>
      </c>
      <c r="E165" s="44" t="s">
        <v>702</v>
      </c>
      <c r="F165" s="44" t="s">
        <v>703</v>
      </c>
      <c r="G165" s="43">
        <v>9.727347864E9</v>
      </c>
      <c r="H165" s="43" t="s">
        <v>63</v>
      </c>
      <c r="I165" s="43">
        <v>125.0</v>
      </c>
      <c r="J165" s="43" t="s">
        <v>704</v>
      </c>
      <c r="K165" s="43" t="s">
        <v>65</v>
      </c>
      <c r="L165" s="51" t="s">
        <v>26</v>
      </c>
      <c r="M165" s="43" t="s">
        <v>71</v>
      </c>
      <c r="N165" s="43" t="s">
        <v>28</v>
      </c>
      <c r="O165" s="47">
        <v>714.0</v>
      </c>
      <c r="P165" s="43">
        <v>842.0</v>
      </c>
      <c r="Q165" s="48">
        <v>32.5</v>
      </c>
      <c r="R165" s="49">
        <f t="shared" si="4"/>
        <v>232.05</v>
      </c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</row>
    <row r="166">
      <c r="A166" s="43" t="s">
        <v>399</v>
      </c>
      <c r="B166" s="44" t="s">
        <v>705</v>
      </c>
      <c r="C166" s="44" t="s">
        <v>706</v>
      </c>
      <c r="D166" s="43" t="s">
        <v>60</v>
      </c>
      <c r="E166" s="44" t="s">
        <v>707</v>
      </c>
      <c r="F166" s="44" t="s">
        <v>708</v>
      </c>
      <c r="G166" s="43">
        <v>9.421610196E9</v>
      </c>
      <c r="H166" s="43" t="s">
        <v>63</v>
      </c>
      <c r="I166" s="43">
        <v>125.0</v>
      </c>
      <c r="J166" s="43" t="s">
        <v>404</v>
      </c>
      <c r="K166" s="43" t="s">
        <v>65</v>
      </c>
      <c r="L166" s="51" t="s">
        <v>26</v>
      </c>
      <c r="M166" s="43" t="s">
        <v>27</v>
      </c>
      <c r="N166" s="43" t="s">
        <v>28</v>
      </c>
      <c r="O166" s="43">
        <v>714.0</v>
      </c>
      <c r="P166" s="43">
        <v>842.0</v>
      </c>
      <c r="Q166" s="48">
        <v>32.5</v>
      </c>
      <c r="R166" s="49">
        <f t="shared" si="4"/>
        <v>232.05</v>
      </c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</row>
    <row r="167">
      <c r="A167" s="43" t="s">
        <v>436</v>
      </c>
      <c r="B167" s="44" t="s">
        <v>709</v>
      </c>
      <c r="C167" s="44" t="s">
        <v>710</v>
      </c>
      <c r="D167" s="43" t="s">
        <v>60</v>
      </c>
      <c r="E167" s="44" t="s">
        <v>711</v>
      </c>
      <c r="F167" s="44" t="s">
        <v>712</v>
      </c>
      <c r="G167" s="43" t="s">
        <v>63</v>
      </c>
      <c r="H167" s="43" t="s">
        <v>63</v>
      </c>
      <c r="I167" s="43">
        <v>125.0</v>
      </c>
      <c r="J167" s="43" t="s">
        <v>452</v>
      </c>
      <c r="K167" s="43" t="s">
        <v>677</v>
      </c>
      <c r="L167" s="51" t="s">
        <v>26</v>
      </c>
      <c r="M167" s="43" t="s">
        <v>27</v>
      </c>
      <c r="N167" s="43" t="s">
        <v>28</v>
      </c>
      <c r="O167" s="47">
        <v>714.0</v>
      </c>
      <c r="P167" s="47">
        <v>842.52</v>
      </c>
      <c r="Q167" s="48">
        <v>25.0</v>
      </c>
      <c r="R167" s="49">
        <f t="shared" si="4"/>
        <v>178.5</v>
      </c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</row>
    <row r="168">
      <c r="A168" s="43" t="s">
        <v>57</v>
      </c>
      <c r="B168" s="44" t="s">
        <v>713</v>
      </c>
      <c r="C168" s="44" t="s">
        <v>714</v>
      </c>
      <c r="D168" s="43" t="s">
        <v>60</v>
      </c>
      <c r="E168" s="44" t="s">
        <v>715</v>
      </c>
      <c r="F168" s="44" t="s">
        <v>716</v>
      </c>
      <c r="G168" s="43">
        <v>9.081363642E9</v>
      </c>
      <c r="H168" s="43">
        <v>9.979497657E9</v>
      </c>
      <c r="I168" s="43">
        <v>125.0</v>
      </c>
      <c r="J168" s="43" t="s">
        <v>88</v>
      </c>
      <c r="K168" s="43" t="s">
        <v>65</v>
      </c>
      <c r="L168" s="51" t="s">
        <v>26</v>
      </c>
      <c r="M168" s="43" t="s">
        <v>27</v>
      </c>
      <c r="N168" s="43" t="s">
        <v>28</v>
      </c>
      <c r="O168" s="43">
        <v>714.0</v>
      </c>
      <c r="P168" s="43">
        <v>842.0</v>
      </c>
      <c r="Q168" s="48">
        <v>32.5</v>
      </c>
      <c r="R168" s="49">
        <f t="shared" si="4"/>
        <v>232.05</v>
      </c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</row>
    <row r="169">
      <c r="A169" s="43" t="s">
        <v>51</v>
      </c>
      <c r="B169" s="44" t="s">
        <v>717</v>
      </c>
      <c r="C169" s="44" t="s">
        <v>718</v>
      </c>
      <c r="D169" s="43" t="s">
        <v>60</v>
      </c>
      <c r="E169" s="44" t="s">
        <v>719</v>
      </c>
      <c r="F169" s="44" t="s">
        <v>720</v>
      </c>
      <c r="G169" s="43">
        <v>9.510343565E9</v>
      </c>
      <c r="H169" s="43">
        <v>6.35259381E9</v>
      </c>
      <c r="I169" s="43">
        <v>97.0</v>
      </c>
      <c r="J169" s="43" t="s">
        <v>40</v>
      </c>
      <c r="K169" s="43" t="s">
        <v>65</v>
      </c>
      <c r="L169" s="51" t="s">
        <v>26</v>
      </c>
      <c r="M169" s="43" t="s">
        <v>71</v>
      </c>
      <c r="N169" s="43" t="s">
        <v>28</v>
      </c>
      <c r="O169" s="43">
        <v>714.0</v>
      </c>
      <c r="P169" s="43">
        <v>842.0</v>
      </c>
      <c r="Q169" s="48">
        <v>32.5</v>
      </c>
      <c r="R169" s="49">
        <f t="shared" si="4"/>
        <v>232.05</v>
      </c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</row>
    <row r="170">
      <c r="A170" s="56">
        <v>46023.0</v>
      </c>
      <c r="B170" s="44" t="s">
        <v>721</v>
      </c>
      <c r="C170" s="44" t="s">
        <v>722</v>
      </c>
      <c r="D170" s="43" t="s">
        <v>60</v>
      </c>
      <c r="E170" s="44" t="s">
        <v>723</v>
      </c>
      <c r="F170" s="44" t="s">
        <v>724</v>
      </c>
      <c r="G170" s="43">
        <v>8.849316129E9</v>
      </c>
      <c r="H170" s="43">
        <v>9.879820277E9</v>
      </c>
      <c r="I170" s="43">
        <v>124.0</v>
      </c>
      <c r="J170" s="43" t="s">
        <v>126</v>
      </c>
      <c r="K170" s="43" t="s">
        <v>65</v>
      </c>
      <c r="L170" s="51" t="s">
        <v>26</v>
      </c>
      <c r="M170" s="43" t="s">
        <v>27</v>
      </c>
      <c r="N170" s="43" t="s">
        <v>28</v>
      </c>
      <c r="O170" s="43">
        <v>714.0</v>
      </c>
      <c r="P170" s="43">
        <v>842.0</v>
      </c>
      <c r="Q170" s="48">
        <v>32.5</v>
      </c>
      <c r="R170" s="49">
        <f t="shared" si="4"/>
        <v>232.05</v>
      </c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</row>
    <row r="171">
      <c r="A171" s="56">
        <v>46113.0</v>
      </c>
      <c r="B171" s="44" t="s">
        <v>725</v>
      </c>
      <c r="C171" s="44" t="s">
        <v>726</v>
      </c>
      <c r="D171" s="43" t="s">
        <v>21</v>
      </c>
      <c r="E171" s="44" t="s">
        <v>727</v>
      </c>
      <c r="F171" s="44" t="s">
        <v>728</v>
      </c>
      <c r="G171" s="43">
        <v>9.825383466E9</v>
      </c>
      <c r="H171" s="43">
        <v>9.898000254E9</v>
      </c>
      <c r="I171" s="43">
        <v>16020.0</v>
      </c>
      <c r="J171" s="56">
        <v>46447.0</v>
      </c>
      <c r="K171" s="43" t="s">
        <v>78</v>
      </c>
      <c r="L171" s="51" t="s">
        <v>49</v>
      </c>
      <c r="M171" s="43" t="s">
        <v>33</v>
      </c>
      <c r="N171" s="43" t="s">
        <v>28</v>
      </c>
      <c r="O171" s="47">
        <v>54248.09</v>
      </c>
      <c r="P171" s="43">
        <v>59422.0</v>
      </c>
      <c r="Q171" s="48">
        <v>23.0</v>
      </c>
      <c r="R171" s="49">
        <f t="shared" si="4"/>
        <v>12477.0607</v>
      </c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</row>
    <row r="172">
      <c r="A172" s="43" t="s">
        <v>491</v>
      </c>
      <c r="B172" s="44" t="s">
        <v>729</v>
      </c>
      <c r="C172" s="44" t="s">
        <v>730</v>
      </c>
      <c r="D172" s="43" t="s">
        <v>37</v>
      </c>
      <c r="E172" s="44" t="s">
        <v>731</v>
      </c>
      <c r="F172" s="44" t="s">
        <v>732</v>
      </c>
      <c r="G172" s="43">
        <v>9.8795637E9</v>
      </c>
      <c r="H172" s="44"/>
      <c r="I172" s="43">
        <v>2596.0</v>
      </c>
      <c r="J172" s="43" t="s">
        <v>467</v>
      </c>
      <c r="K172" s="43" t="s">
        <v>733</v>
      </c>
      <c r="L172" s="51" t="s">
        <v>26</v>
      </c>
      <c r="M172" s="43" t="s">
        <v>71</v>
      </c>
      <c r="N172" s="43" t="s">
        <v>28</v>
      </c>
      <c r="O172" s="47">
        <v>7317.0</v>
      </c>
      <c r="P172" s="47">
        <v>8634.0</v>
      </c>
      <c r="Q172" s="48">
        <v>5.0</v>
      </c>
      <c r="R172" s="49">
        <f t="shared" si="4"/>
        <v>365.85</v>
      </c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</row>
    <row r="173">
      <c r="A173" s="14"/>
      <c r="B173" s="58"/>
      <c r="C173" s="58"/>
      <c r="D173" s="7"/>
      <c r="E173" s="58"/>
      <c r="F173" s="58"/>
      <c r="G173" s="7"/>
      <c r="H173" s="7"/>
      <c r="I173" s="7"/>
      <c r="J173" s="14"/>
      <c r="K173" s="7"/>
      <c r="L173" s="9"/>
      <c r="M173" s="7"/>
      <c r="N173" s="7"/>
      <c r="O173" s="11"/>
      <c r="P173" s="11"/>
    </row>
    <row r="174">
      <c r="A174" s="59" t="s">
        <v>734</v>
      </c>
      <c r="B174" s="42"/>
      <c r="C174" s="58"/>
      <c r="D174" s="7"/>
      <c r="E174" s="58"/>
      <c r="F174" s="58"/>
      <c r="G174" s="7"/>
      <c r="H174" s="7"/>
      <c r="I174" s="7"/>
      <c r="J174" s="14"/>
      <c r="K174" s="7"/>
      <c r="L174" s="9"/>
      <c r="M174" s="7"/>
      <c r="N174" s="7"/>
      <c r="O174" s="11"/>
      <c r="P174" s="11"/>
    </row>
    <row r="175">
      <c r="A175" s="14">
        <v>46144.0</v>
      </c>
      <c r="B175" s="58" t="s">
        <v>735</v>
      </c>
      <c r="C175" s="58" t="s">
        <v>736</v>
      </c>
      <c r="D175" s="7" t="s">
        <v>75</v>
      </c>
      <c r="E175" s="58" t="s">
        <v>225</v>
      </c>
      <c r="F175" s="58" t="s">
        <v>737</v>
      </c>
      <c r="G175" s="7" t="s">
        <v>738</v>
      </c>
      <c r="H175" s="7">
        <v>9.106035681E9</v>
      </c>
      <c r="I175" s="7">
        <v>995.0</v>
      </c>
      <c r="J175" s="14">
        <v>46479.0</v>
      </c>
      <c r="K175" s="7" t="s">
        <v>41</v>
      </c>
      <c r="L175" s="9" t="s">
        <v>49</v>
      </c>
      <c r="M175" s="7" t="s">
        <v>71</v>
      </c>
      <c r="N175" s="7" t="s">
        <v>28</v>
      </c>
      <c r="O175" s="11">
        <v>5763.0</v>
      </c>
      <c r="P175" s="11">
        <v>6209.0</v>
      </c>
      <c r="Q175" s="6">
        <v>52.5</v>
      </c>
      <c r="R175" s="12">
        <f t="shared" ref="R175:R223" si="5">O175*Q175%</f>
        <v>3025.575</v>
      </c>
    </row>
    <row r="176">
      <c r="A176" s="14">
        <v>46144.0</v>
      </c>
      <c r="B176" s="58" t="s">
        <v>739</v>
      </c>
      <c r="C176" s="58" t="s">
        <v>740</v>
      </c>
      <c r="D176" s="7" t="s">
        <v>44</v>
      </c>
      <c r="E176" s="58" t="s">
        <v>741</v>
      </c>
      <c r="F176" s="58" t="s">
        <v>742</v>
      </c>
      <c r="G176" s="7">
        <v>6.353710926E9</v>
      </c>
      <c r="H176" s="7">
        <v>9.979672722E9</v>
      </c>
      <c r="I176" s="7">
        <v>3490.0</v>
      </c>
      <c r="J176" s="14">
        <v>46448.0</v>
      </c>
      <c r="K176" s="7" t="s">
        <v>116</v>
      </c>
      <c r="L176" s="9" t="s">
        <v>49</v>
      </c>
      <c r="M176" s="7" t="s">
        <v>71</v>
      </c>
      <c r="N176" s="7" t="s">
        <v>28</v>
      </c>
      <c r="O176" s="11">
        <v>20636.0</v>
      </c>
      <c r="P176" s="11">
        <v>22252.0</v>
      </c>
      <c r="Q176" s="6">
        <v>55.0</v>
      </c>
      <c r="R176" s="12">
        <f t="shared" si="5"/>
        <v>11349.8</v>
      </c>
    </row>
    <row r="177">
      <c r="A177" s="60">
        <v>46175.0</v>
      </c>
      <c r="B177" s="58" t="s">
        <v>743</v>
      </c>
      <c r="C177" s="58" t="s">
        <v>744</v>
      </c>
      <c r="D177" s="7" t="s">
        <v>44</v>
      </c>
      <c r="E177" s="58" t="s">
        <v>343</v>
      </c>
      <c r="F177" s="58" t="s">
        <v>745</v>
      </c>
      <c r="G177" s="7">
        <v>8.160537771E9</v>
      </c>
      <c r="H177" s="7">
        <v>9.979218799E9</v>
      </c>
      <c r="I177" s="7">
        <v>2950.0</v>
      </c>
      <c r="J177" s="14">
        <v>46479.0</v>
      </c>
      <c r="K177" s="7" t="s">
        <v>25</v>
      </c>
      <c r="L177" s="9" t="s">
        <v>26</v>
      </c>
      <c r="M177" s="7" t="s">
        <v>89</v>
      </c>
      <c r="N177" s="7" t="s">
        <v>28</v>
      </c>
      <c r="O177" s="7">
        <v>16748.0</v>
      </c>
      <c r="P177" s="7">
        <v>17676.0</v>
      </c>
      <c r="Q177" s="6">
        <v>60.0</v>
      </c>
      <c r="R177" s="12">
        <f t="shared" si="5"/>
        <v>10048.8</v>
      </c>
    </row>
    <row r="178">
      <c r="A178" s="14">
        <v>46175.0</v>
      </c>
      <c r="B178" s="8" t="s">
        <v>746</v>
      </c>
      <c r="C178" s="8" t="s">
        <v>747</v>
      </c>
      <c r="D178" s="7" t="s">
        <v>21</v>
      </c>
      <c r="E178" s="8" t="s">
        <v>748</v>
      </c>
      <c r="F178" s="8" t="s">
        <v>749</v>
      </c>
      <c r="G178" s="13">
        <v>9.870090243E9</v>
      </c>
      <c r="H178" s="13">
        <v>7.990666343E9</v>
      </c>
      <c r="I178" s="13">
        <v>18250.0</v>
      </c>
      <c r="J178" s="14">
        <v>46509.0</v>
      </c>
      <c r="K178" s="7" t="s">
        <v>25</v>
      </c>
      <c r="L178" s="9" t="s">
        <v>49</v>
      </c>
      <c r="M178" s="7" t="s">
        <v>27</v>
      </c>
      <c r="N178" s="7" t="s">
        <v>28</v>
      </c>
      <c r="O178" s="15">
        <v>55438.0</v>
      </c>
      <c r="P178" s="11">
        <v>60826.0</v>
      </c>
      <c r="Q178" s="6">
        <v>27.0</v>
      </c>
      <c r="R178" s="12">
        <f t="shared" si="5"/>
        <v>14968.26</v>
      </c>
    </row>
    <row r="179">
      <c r="A179" s="14">
        <v>46205.0</v>
      </c>
      <c r="B179" s="8" t="s">
        <v>750</v>
      </c>
      <c r="C179" s="8" t="s">
        <v>751</v>
      </c>
      <c r="D179" s="7" t="s">
        <v>21</v>
      </c>
      <c r="E179" s="8" t="s">
        <v>427</v>
      </c>
      <c r="F179" s="8" t="s">
        <v>752</v>
      </c>
      <c r="G179" s="7">
        <v>9.712962709E9</v>
      </c>
      <c r="H179" s="7">
        <v>9.825962709E9</v>
      </c>
      <c r="I179" s="7">
        <v>7490.0</v>
      </c>
      <c r="J179" s="14">
        <v>46540.0</v>
      </c>
      <c r="K179" s="7" t="s">
        <v>25</v>
      </c>
      <c r="L179" s="9" t="s">
        <v>49</v>
      </c>
      <c r="M179" s="7" t="s">
        <v>71</v>
      </c>
      <c r="N179" s="7" t="s">
        <v>28</v>
      </c>
      <c r="O179" s="11">
        <v>23118.0</v>
      </c>
      <c r="P179" s="11">
        <v>25193.0</v>
      </c>
      <c r="Q179" s="6">
        <v>43.0</v>
      </c>
      <c r="R179" s="12">
        <f t="shared" si="5"/>
        <v>9940.74</v>
      </c>
    </row>
    <row r="180">
      <c r="A180" s="14">
        <v>46236.0</v>
      </c>
      <c r="B180" s="8" t="s">
        <v>753</v>
      </c>
      <c r="C180" s="8" t="s">
        <v>754</v>
      </c>
      <c r="D180" s="7" t="s">
        <v>21</v>
      </c>
      <c r="E180" s="8" t="s">
        <v>755</v>
      </c>
      <c r="F180" s="8" t="s">
        <v>756</v>
      </c>
      <c r="G180" s="7">
        <v>9.879272786E9</v>
      </c>
      <c r="H180" s="7">
        <v>9.712100082E9</v>
      </c>
      <c r="I180" s="21">
        <v>49875.0</v>
      </c>
      <c r="J180" s="14">
        <v>46570.0</v>
      </c>
      <c r="K180" s="7" t="s">
        <v>70</v>
      </c>
      <c r="L180" s="9" t="s">
        <v>49</v>
      </c>
      <c r="M180" s="7" t="s">
        <v>33</v>
      </c>
      <c r="N180" s="7" t="s">
        <v>28</v>
      </c>
      <c r="O180" s="11">
        <v>52168.0</v>
      </c>
      <c r="P180" s="11">
        <v>55807.0</v>
      </c>
      <c r="Q180" s="6">
        <v>29.0</v>
      </c>
      <c r="R180" s="12">
        <f t="shared" si="5"/>
        <v>15128.72</v>
      </c>
    </row>
    <row r="181">
      <c r="A181" s="14">
        <v>46236.0</v>
      </c>
      <c r="B181" s="8" t="s">
        <v>757</v>
      </c>
      <c r="C181" s="8" t="s">
        <v>758</v>
      </c>
      <c r="D181" s="7" t="s">
        <v>21</v>
      </c>
      <c r="E181" s="8" t="s">
        <v>755</v>
      </c>
      <c r="F181" s="8" t="s">
        <v>759</v>
      </c>
      <c r="G181" s="7">
        <v>9.879272786E9</v>
      </c>
      <c r="H181" s="7">
        <v>9.712100082E9</v>
      </c>
      <c r="I181" s="21">
        <v>47500.0</v>
      </c>
      <c r="J181" s="14">
        <v>46570.0</v>
      </c>
      <c r="K181" s="7" t="s">
        <v>70</v>
      </c>
      <c r="L181" s="9" t="s">
        <v>49</v>
      </c>
      <c r="M181" s="7" t="s">
        <v>33</v>
      </c>
      <c r="N181" s="7" t="s">
        <v>28</v>
      </c>
      <c r="O181" s="11">
        <v>53191.0</v>
      </c>
      <c r="P181" s="11">
        <v>57014.0</v>
      </c>
      <c r="Q181" s="6">
        <v>29.0</v>
      </c>
      <c r="R181" s="12">
        <f t="shared" si="5"/>
        <v>15425.39</v>
      </c>
    </row>
    <row r="182">
      <c r="A182" s="14">
        <v>46267.0</v>
      </c>
      <c r="B182" s="8" t="s">
        <v>760</v>
      </c>
      <c r="C182" s="8" t="s">
        <v>761</v>
      </c>
      <c r="D182" s="7" t="s">
        <v>21</v>
      </c>
      <c r="E182" s="8" t="s">
        <v>762</v>
      </c>
      <c r="F182" s="8" t="s">
        <v>763</v>
      </c>
      <c r="G182" s="7">
        <v>9.427678604E9</v>
      </c>
      <c r="H182" s="7">
        <v>7.802985095E9</v>
      </c>
      <c r="I182" s="7">
        <v>42000.0</v>
      </c>
      <c r="J182" s="14">
        <v>46601.0</v>
      </c>
      <c r="K182" s="7" t="s">
        <v>70</v>
      </c>
      <c r="L182" s="9" t="s">
        <v>49</v>
      </c>
      <c r="M182" s="7" t="s">
        <v>71</v>
      </c>
      <c r="N182" s="7" t="s">
        <v>28</v>
      </c>
      <c r="O182" s="11">
        <v>49350.0</v>
      </c>
      <c r="P182" s="11">
        <v>52481.0</v>
      </c>
      <c r="Q182" s="6">
        <v>29.0</v>
      </c>
      <c r="R182" s="12">
        <f t="shared" si="5"/>
        <v>14311.5</v>
      </c>
    </row>
    <row r="183">
      <c r="A183" s="14">
        <v>46297.0</v>
      </c>
      <c r="B183" s="8" t="s">
        <v>764</v>
      </c>
      <c r="C183" s="8" t="s">
        <v>765</v>
      </c>
      <c r="D183" s="7" t="s">
        <v>75</v>
      </c>
      <c r="E183" s="8" t="s">
        <v>291</v>
      </c>
      <c r="F183" s="8" t="s">
        <v>766</v>
      </c>
      <c r="G183" s="7">
        <v>9.72461627E9</v>
      </c>
      <c r="H183" s="7">
        <v>9.60169387E9</v>
      </c>
      <c r="I183" s="7">
        <v>990.0</v>
      </c>
      <c r="J183" s="14">
        <v>46632.0</v>
      </c>
      <c r="K183" s="7" t="s">
        <v>41</v>
      </c>
      <c r="L183" s="9" t="s">
        <v>49</v>
      </c>
      <c r="M183" s="7" t="s">
        <v>71</v>
      </c>
      <c r="N183" s="7" t="s">
        <v>28</v>
      </c>
      <c r="O183" s="11">
        <v>5497.0</v>
      </c>
      <c r="P183" s="11">
        <v>5895.0</v>
      </c>
      <c r="Q183" s="6">
        <v>52.5</v>
      </c>
      <c r="R183" s="12">
        <f t="shared" si="5"/>
        <v>2885.925</v>
      </c>
    </row>
    <row r="184">
      <c r="A184" s="14">
        <v>46297.0</v>
      </c>
      <c r="B184" s="8" t="s">
        <v>767</v>
      </c>
      <c r="C184" s="8" t="s">
        <v>768</v>
      </c>
      <c r="D184" s="7" t="s">
        <v>21</v>
      </c>
      <c r="E184" s="8" t="s">
        <v>769</v>
      </c>
      <c r="F184" s="8" t="s">
        <v>770</v>
      </c>
      <c r="G184" s="7" t="s">
        <v>771</v>
      </c>
      <c r="H184" s="7" t="s">
        <v>772</v>
      </c>
      <c r="I184" s="7">
        <v>18490.0</v>
      </c>
      <c r="J184" s="14">
        <v>46632.0</v>
      </c>
      <c r="K184" s="7" t="s">
        <v>25</v>
      </c>
      <c r="L184" s="9" t="s">
        <v>49</v>
      </c>
      <c r="M184" s="7" t="s">
        <v>27</v>
      </c>
      <c r="N184" s="7" t="s">
        <v>28</v>
      </c>
      <c r="O184" s="15">
        <v>54877.0</v>
      </c>
      <c r="P184" s="15">
        <v>60164.0</v>
      </c>
      <c r="Q184" s="6">
        <v>27.0</v>
      </c>
      <c r="R184" s="12">
        <f t="shared" si="5"/>
        <v>14816.79</v>
      </c>
    </row>
    <row r="185">
      <c r="A185" s="14">
        <v>46297.0</v>
      </c>
      <c r="B185" s="8" t="s">
        <v>773</v>
      </c>
      <c r="C185" s="8" t="s">
        <v>774</v>
      </c>
      <c r="D185" s="7" t="s">
        <v>21</v>
      </c>
      <c r="E185" s="8" t="s">
        <v>775</v>
      </c>
      <c r="F185" s="8" t="s">
        <v>776</v>
      </c>
      <c r="G185" s="7" t="s">
        <v>777</v>
      </c>
      <c r="H185" s="8"/>
      <c r="I185" s="7">
        <v>18000.0</v>
      </c>
      <c r="J185" s="14">
        <v>46632.0</v>
      </c>
      <c r="K185" s="7" t="s">
        <v>25</v>
      </c>
      <c r="L185" s="9" t="s">
        <v>49</v>
      </c>
      <c r="M185" s="7" t="s">
        <v>27</v>
      </c>
      <c r="N185" s="7" t="s">
        <v>28</v>
      </c>
      <c r="O185" s="11">
        <v>51339.0</v>
      </c>
      <c r="P185" s="11">
        <v>55989.0</v>
      </c>
      <c r="Q185" s="6">
        <v>27.0</v>
      </c>
      <c r="R185" s="12">
        <f t="shared" si="5"/>
        <v>13861.53</v>
      </c>
    </row>
    <row r="186">
      <c r="A186" s="14">
        <v>46297.0</v>
      </c>
      <c r="B186" s="8" t="s">
        <v>778</v>
      </c>
      <c r="C186" s="8" t="s">
        <v>779</v>
      </c>
      <c r="D186" s="7" t="s">
        <v>21</v>
      </c>
      <c r="E186" s="8" t="s">
        <v>775</v>
      </c>
      <c r="F186" s="8" t="s">
        <v>776</v>
      </c>
      <c r="G186" s="7" t="s">
        <v>777</v>
      </c>
      <c r="H186" s="8"/>
      <c r="I186" s="7">
        <v>18000.0</v>
      </c>
      <c r="J186" s="14">
        <v>46632.0</v>
      </c>
      <c r="K186" s="7" t="s">
        <v>25</v>
      </c>
      <c r="L186" s="9" t="s">
        <v>49</v>
      </c>
      <c r="M186" s="7" t="s">
        <v>27</v>
      </c>
      <c r="N186" s="7" t="s">
        <v>28</v>
      </c>
      <c r="O186" s="11">
        <v>51339.0</v>
      </c>
      <c r="P186" s="11">
        <v>55989.0</v>
      </c>
      <c r="Q186" s="6">
        <v>27.0</v>
      </c>
      <c r="R186" s="12">
        <f t="shared" si="5"/>
        <v>13861.53</v>
      </c>
    </row>
    <row r="187">
      <c r="A187" s="14">
        <v>46297.0</v>
      </c>
      <c r="B187" s="8" t="s">
        <v>780</v>
      </c>
      <c r="C187" s="8" t="s">
        <v>781</v>
      </c>
      <c r="D187" s="7" t="s">
        <v>37</v>
      </c>
      <c r="E187" s="8" t="s">
        <v>782</v>
      </c>
      <c r="F187" s="8" t="s">
        <v>783</v>
      </c>
      <c r="G187" s="7">
        <v>9.909502121E9</v>
      </c>
      <c r="H187" s="7">
        <v>9.909596056E9</v>
      </c>
      <c r="I187" s="8"/>
      <c r="J187" s="14">
        <v>46601.0</v>
      </c>
      <c r="K187" s="7" t="s">
        <v>116</v>
      </c>
      <c r="L187" s="9" t="s">
        <v>26</v>
      </c>
      <c r="M187" s="7" t="s">
        <v>71</v>
      </c>
      <c r="N187" s="7" t="s">
        <v>28</v>
      </c>
      <c r="O187" s="11">
        <v>7317.0</v>
      </c>
      <c r="P187" s="11">
        <v>8634.0</v>
      </c>
      <c r="Q187" s="6">
        <v>25.0</v>
      </c>
      <c r="R187" s="12">
        <f t="shared" si="5"/>
        <v>1829.25</v>
      </c>
    </row>
    <row r="188">
      <c r="A188" s="14">
        <v>46328.0</v>
      </c>
      <c r="B188" s="58" t="s">
        <v>784</v>
      </c>
      <c r="C188" s="58" t="s">
        <v>785</v>
      </c>
      <c r="D188" s="7" t="s">
        <v>75</v>
      </c>
      <c r="E188" s="58" t="s">
        <v>225</v>
      </c>
      <c r="F188" s="58" t="s">
        <v>786</v>
      </c>
      <c r="G188" s="7">
        <v>9.099380482E9</v>
      </c>
      <c r="H188" s="7">
        <v>9.033935943E9</v>
      </c>
      <c r="I188" s="7">
        <v>995.0</v>
      </c>
      <c r="J188" s="60">
        <v>46693.0</v>
      </c>
      <c r="K188" s="7" t="s">
        <v>41</v>
      </c>
      <c r="L188" s="9" t="s">
        <v>49</v>
      </c>
      <c r="M188" s="7" t="s">
        <v>71</v>
      </c>
      <c r="N188" s="7" t="s">
        <v>28</v>
      </c>
      <c r="O188" s="11">
        <v>5467.0</v>
      </c>
      <c r="P188" s="11">
        <v>5859.0</v>
      </c>
      <c r="Q188" s="6">
        <v>52.5</v>
      </c>
      <c r="R188" s="12">
        <f t="shared" si="5"/>
        <v>2870.175</v>
      </c>
    </row>
    <row r="189">
      <c r="A189" s="14">
        <v>46328.0</v>
      </c>
      <c r="B189" s="58" t="s">
        <v>787</v>
      </c>
      <c r="C189" s="58" t="s">
        <v>788</v>
      </c>
      <c r="D189" s="7" t="s">
        <v>75</v>
      </c>
      <c r="E189" s="58" t="s">
        <v>291</v>
      </c>
      <c r="F189" s="8" t="s">
        <v>789</v>
      </c>
      <c r="G189" s="7">
        <v>9.424883589E9</v>
      </c>
      <c r="H189" s="7">
        <v>9.586986427E9</v>
      </c>
      <c r="I189" s="7">
        <v>1250.0</v>
      </c>
      <c r="J189" s="60">
        <v>46693.0</v>
      </c>
      <c r="K189" s="7" t="s">
        <v>41</v>
      </c>
      <c r="L189" s="9" t="s">
        <v>49</v>
      </c>
      <c r="M189" s="7" t="s">
        <v>365</v>
      </c>
      <c r="N189" s="7" t="s">
        <v>28</v>
      </c>
      <c r="O189" s="11">
        <v>5153.0</v>
      </c>
      <c r="P189" s="11">
        <v>5489.0</v>
      </c>
      <c r="Q189" s="6">
        <v>52.5</v>
      </c>
      <c r="R189" s="12">
        <f t="shared" si="5"/>
        <v>2705.325</v>
      </c>
    </row>
    <row r="190">
      <c r="A190" s="19">
        <v>46358.0</v>
      </c>
      <c r="B190" s="58" t="s">
        <v>790</v>
      </c>
      <c r="C190" s="58" t="s">
        <v>791</v>
      </c>
      <c r="D190" s="20" t="s">
        <v>93</v>
      </c>
      <c r="E190" s="58" t="s">
        <v>434</v>
      </c>
      <c r="F190" s="58" t="s">
        <v>792</v>
      </c>
      <c r="G190" s="7">
        <v>9.687277305E9</v>
      </c>
      <c r="H190" s="7" t="s">
        <v>793</v>
      </c>
      <c r="I190" s="7">
        <v>6250.0</v>
      </c>
      <c r="J190" s="60">
        <v>46693.0</v>
      </c>
      <c r="K190" s="7" t="s">
        <v>25</v>
      </c>
      <c r="L190" s="9" t="s">
        <v>49</v>
      </c>
      <c r="M190" s="7" t="s">
        <v>71</v>
      </c>
      <c r="N190" s="7" t="s">
        <v>28</v>
      </c>
      <c r="O190" s="11">
        <v>17666.0</v>
      </c>
      <c r="P190" s="11">
        <v>18760.0</v>
      </c>
      <c r="Q190" s="6">
        <v>43.0</v>
      </c>
      <c r="R190" s="12">
        <f t="shared" si="5"/>
        <v>7596.38</v>
      </c>
    </row>
    <row r="191">
      <c r="A191" s="19">
        <v>46358.0</v>
      </c>
      <c r="B191" s="58" t="s">
        <v>794</v>
      </c>
      <c r="C191" s="58" t="s">
        <v>795</v>
      </c>
      <c r="D191" s="7" t="s">
        <v>21</v>
      </c>
      <c r="E191" s="58" t="s">
        <v>796</v>
      </c>
      <c r="F191" s="58" t="s">
        <v>797</v>
      </c>
      <c r="G191" s="7" t="s">
        <v>798</v>
      </c>
      <c r="H191" s="7" t="s">
        <v>799</v>
      </c>
      <c r="I191" s="7">
        <v>16140.0</v>
      </c>
      <c r="J191" s="61">
        <v>46693.0</v>
      </c>
      <c r="K191" s="7" t="s">
        <v>56</v>
      </c>
      <c r="L191" s="9" t="s">
        <v>49</v>
      </c>
      <c r="M191" s="7" t="s">
        <v>27</v>
      </c>
      <c r="N191" s="7" t="s">
        <v>28</v>
      </c>
      <c r="O191" s="11">
        <v>40184.0</v>
      </c>
      <c r="P191" s="11">
        <v>42826.0</v>
      </c>
      <c r="Q191" s="6">
        <v>26.0</v>
      </c>
      <c r="R191" s="12">
        <f t="shared" si="5"/>
        <v>10447.84</v>
      </c>
    </row>
    <row r="192">
      <c r="A192" s="7" t="s">
        <v>800</v>
      </c>
      <c r="B192" s="58" t="s">
        <v>801</v>
      </c>
      <c r="C192" s="58" t="s">
        <v>802</v>
      </c>
      <c r="D192" s="7" t="s">
        <v>44</v>
      </c>
      <c r="E192" s="58" t="s">
        <v>741</v>
      </c>
      <c r="F192" s="58" t="s">
        <v>803</v>
      </c>
      <c r="G192" s="7">
        <v>8.320637101E9</v>
      </c>
      <c r="H192" s="7">
        <v>9.998835534E9</v>
      </c>
      <c r="I192" s="7">
        <v>3490.0</v>
      </c>
      <c r="J192" s="62" t="s">
        <v>804</v>
      </c>
      <c r="K192" s="7" t="s">
        <v>116</v>
      </c>
      <c r="L192" s="9" t="s">
        <v>49</v>
      </c>
      <c r="M192" s="7" t="s">
        <v>71</v>
      </c>
      <c r="N192" s="7" t="s">
        <v>28</v>
      </c>
      <c r="O192" s="11">
        <v>20636.0</v>
      </c>
      <c r="P192" s="11">
        <v>22252.0</v>
      </c>
      <c r="Q192" s="6">
        <v>55.0</v>
      </c>
      <c r="R192" s="12">
        <f t="shared" si="5"/>
        <v>11349.8</v>
      </c>
    </row>
    <row r="193">
      <c r="A193" s="7" t="s">
        <v>800</v>
      </c>
      <c r="B193" s="58" t="s">
        <v>805</v>
      </c>
      <c r="C193" s="58" t="s">
        <v>806</v>
      </c>
      <c r="D193" s="7" t="s">
        <v>93</v>
      </c>
      <c r="E193" s="58" t="s">
        <v>427</v>
      </c>
      <c r="F193" s="58" t="s">
        <v>807</v>
      </c>
      <c r="G193" s="7">
        <v>9.574422232E9</v>
      </c>
      <c r="H193" s="7">
        <v>9.574822232E9</v>
      </c>
      <c r="I193" s="7">
        <v>11990.0</v>
      </c>
      <c r="J193" s="61">
        <v>46723.0</v>
      </c>
      <c r="K193" s="7" t="s">
        <v>25</v>
      </c>
      <c r="L193" s="9" t="s">
        <v>49</v>
      </c>
      <c r="M193" s="7" t="s">
        <v>33</v>
      </c>
      <c r="N193" s="7" t="s">
        <v>28</v>
      </c>
      <c r="O193" s="11">
        <v>43386.0</v>
      </c>
      <c r="P193" s="11">
        <v>47661.0</v>
      </c>
      <c r="Q193" s="6">
        <v>31.0</v>
      </c>
      <c r="R193" s="12">
        <f t="shared" si="5"/>
        <v>13449.66</v>
      </c>
    </row>
    <row r="194">
      <c r="A194" s="7" t="s">
        <v>808</v>
      </c>
      <c r="B194" s="58" t="s">
        <v>809</v>
      </c>
      <c r="C194" s="58" t="s">
        <v>810</v>
      </c>
      <c r="D194" s="7" t="s">
        <v>44</v>
      </c>
      <c r="E194" s="58" t="s">
        <v>811</v>
      </c>
      <c r="F194" s="58" t="s">
        <v>812</v>
      </c>
      <c r="G194" s="7">
        <v>9.824857281E9</v>
      </c>
      <c r="H194" s="7" t="s">
        <v>813</v>
      </c>
      <c r="I194" s="7">
        <v>2450.0</v>
      </c>
      <c r="J194" s="62" t="s">
        <v>814</v>
      </c>
      <c r="K194" s="7" t="s">
        <v>143</v>
      </c>
      <c r="L194" s="9" t="s">
        <v>49</v>
      </c>
      <c r="M194" s="7" t="s">
        <v>89</v>
      </c>
      <c r="N194" s="7" t="s">
        <v>28</v>
      </c>
      <c r="O194" s="11">
        <v>16974.0</v>
      </c>
      <c r="P194" s="11">
        <v>17943.0</v>
      </c>
      <c r="Q194" s="6">
        <v>62.0</v>
      </c>
      <c r="R194" s="12">
        <f t="shared" si="5"/>
        <v>10523.88</v>
      </c>
    </row>
    <row r="195">
      <c r="A195" s="7" t="s">
        <v>808</v>
      </c>
      <c r="B195" s="58" t="s">
        <v>815</v>
      </c>
      <c r="C195" s="58" t="s">
        <v>816</v>
      </c>
      <c r="D195" s="7" t="s">
        <v>93</v>
      </c>
      <c r="E195" s="58" t="s">
        <v>817</v>
      </c>
      <c r="F195" s="58" t="s">
        <v>807</v>
      </c>
      <c r="G195" s="7">
        <v>9.574422232E9</v>
      </c>
      <c r="H195" s="7">
        <v>9.574822232E9</v>
      </c>
      <c r="I195" s="7">
        <v>11990.0</v>
      </c>
      <c r="J195" s="7" t="s">
        <v>818</v>
      </c>
      <c r="K195" s="7" t="s">
        <v>25</v>
      </c>
      <c r="L195" s="9" t="s">
        <v>49</v>
      </c>
      <c r="M195" s="7" t="s">
        <v>340</v>
      </c>
      <c r="N195" s="7" t="s">
        <v>28</v>
      </c>
      <c r="O195" s="11">
        <v>42619.0</v>
      </c>
      <c r="P195" s="11">
        <v>46756.0</v>
      </c>
      <c r="Q195" s="6">
        <v>31.0</v>
      </c>
      <c r="R195" s="12">
        <f t="shared" si="5"/>
        <v>13211.89</v>
      </c>
    </row>
    <row r="196">
      <c r="A196" s="7" t="s">
        <v>808</v>
      </c>
      <c r="B196" s="58" t="s">
        <v>819</v>
      </c>
      <c r="C196" s="58" t="s">
        <v>820</v>
      </c>
      <c r="D196" s="7" t="s">
        <v>75</v>
      </c>
      <c r="E196" s="58" t="s">
        <v>225</v>
      </c>
      <c r="F196" s="58" t="s">
        <v>821</v>
      </c>
      <c r="G196" s="7" t="s">
        <v>822</v>
      </c>
      <c r="H196" s="7">
        <v>7.874610231E9</v>
      </c>
      <c r="I196" s="7">
        <v>995.0</v>
      </c>
      <c r="J196" s="62" t="s">
        <v>823</v>
      </c>
      <c r="K196" s="7" t="s">
        <v>41</v>
      </c>
      <c r="L196" s="9" t="s">
        <v>49</v>
      </c>
      <c r="M196" s="7" t="s">
        <v>71</v>
      </c>
      <c r="N196" s="7" t="s">
        <v>28</v>
      </c>
      <c r="O196" s="11">
        <v>5556.0</v>
      </c>
      <c r="P196" s="11">
        <v>5964.0</v>
      </c>
      <c r="Q196" s="6">
        <v>52.5</v>
      </c>
      <c r="R196" s="12">
        <f t="shared" si="5"/>
        <v>2916.9</v>
      </c>
    </row>
    <row r="197">
      <c r="A197" s="7" t="s">
        <v>808</v>
      </c>
      <c r="B197" s="58" t="s">
        <v>824</v>
      </c>
      <c r="C197" s="58" t="s">
        <v>825</v>
      </c>
      <c r="D197" s="7" t="s">
        <v>75</v>
      </c>
      <c r="E197" s="58" t="s">
        <v>291</v>
      </c>
      <c r="F197" s="58" t="s">
        <v>826</v>
      </c>
      <c r="G197" s="7" t="s">
        <v>822</v>
      </c>
      <c r="H197" s="7">
        <v>7.874610231E9</v>
      </c>
      <c r="I197" s="7">
        <v>990.0</v>
      </c>
      <c r="J197" s="62" t="s">
        <v>827</v>
      </c>
      <c r="K197" s="7" t="s">
        <v>41</v>
      </c>
      <c r="L197" s="9" t="s">
        <v>49</v>
      </c>
      <c r="M197" s="7" t="s">
        <v>71</v>
      </c>
      <c r="N197" s="7" t="s">
        <v>28</v>
      </c>
      <c r="O197" s="11">
        <v>5538.0</v>
      </c>
      <c r="P197" s="11">
        <v>5944.0</v>
      </c>
      <c r="Q197" s="6">
        <v>52.5</v>
      </c>
      <c r="R197" s="12">
        <f t="shared" si="5"/>
        <v>2907.45</v>
      </c>
    </row>
    <row r="198">
      <c r="A198" s="7" t="s">
        <v>808</v>
      </c>
      <c r="B198" s="58" t="s">
        <v>828</v>
      </c>
      <c r="C198" s="58" t="s">
        <v>829</v>
      </c>
      <c r="D198" s="7" t="s">
        <v>75</v>
      </c>
      <c r="E198" s="58" t="s">
        <v>830</v>
      </c>
      <c r="F198" s="58" t="s">
        <v>831</v>
      </c>
      <c r="G198" s="7">
        <v>9.638573222E9</v>
      </c>
      <c r="H198" s="7">
        <v>9.099139111E9</v>
      </c>
      <c r="I198" s="7">
        <v>995.0</v>
      </c>
      <c r="J198" s="62" t="s">
        <v>832</v>
      </c>
      <c r="K198" s="7" t="s">
        <v>41</v>
      </c>
      <c r="L198" s="9" t="s">
        <v>49</v>
      </c>
      <c r="M198" s="7" t="s">
        <v>71</v>
      </c>
      <c r="N198" s="7" t="s">
        <v>28</v>
      </c>
      <c r="O198" s="15">
        <v>5356.0</v>
      </c>
      <c r="P198" s="15">
        <v>5736.0</v>
      </c>
      <c r="Q198" s="6">
        <v>52.5</v>
      </c>
      <c r="R198" s="12">
        <f t="shared" si="5"/>
        <v>2811.9</v>
      </c>
    </row>
    <row r="199">
      <c r="A199" s="7" t="s">
        <v>808</v>
      </c>
      <c r="B199" s="58" t="s">
        <v>833</v>
      </c>
      <c r="C199" s="58" t="s">
        <v>834</v>
      </c>
      <c r="D199" s="7" t="s">
        <v>75</v>
      </c>
      <c r="E199" s="58" t="s">
        <v>225</v>
      </c>
      <c r="F199" s="58" t="s">
        <v>835</v>
      </c>
      <c r="G199" s="7">
        <v>8.320707451E9</v>
      </c>
      <c r="H199" s="7">
        <v>8.200497795E9</v>
      </c>
      <c r="I199" s="7">
        <v>995.0</v>
      </c>
      <c r="J199" s="62" t="s">
        <v>804</v>
      </c>
      <c r="K199" s="7" t="s">
        <v>41</v>
      </c>
      <c r="L199" s="9" t="s">
        <v>49</v>
      </c>
      <c r="M199" s="7" t="s">
        <v>71</v>
      </c>
      <c r="N199" s="7" t="s">
        <v>28</v>
      </c>
      <c r="O199" s="11">
        <v>5556.0</v>
      </c>
      <c r="P199" s="11">
        <v>5964.0</v>
      </c>
      <c r="Q199" s="6">
        <v>52.5</v>
      </c>
      <c r="R199" s="12">
        <f t="shared" si="5"/>
        <v>2916.9</v>
      </c>
    </row>
    <row r="200">
      <c r="A200" s="7" t="s">
        <v>808</v>
      </c>
      <c r="B200" s="58" t="s">
        <v>836</v>
      </c>
      <c r="C200" s="58" t="s">
        <v>837</v>
      </c>
      <c r="D200" s="7" t="s">
        <v>37</v>
      </c>
      <c r="E200" s="58" t="s">
        <v>838</v>
      </c>
      <c r="F200" s="58" t="s">
        <v>839</v>
      </c>
      <c r="G200" s="7">
        <v>9.714737777E9</v>
      </c>
      <c r="H200" s="7">
        <v>9.998034111E9</v>
      </c>
      <c r="I200" s="7">
        <v>3298.0</v>
      </c>
      <c r="J200" s="62" t="s">
        <v>804</v>
      </c>
      <c r="K200" s="7" t="s">
        <v>116</v>
      </c>
      <c r="L200" s="9" t="s">
        <v>26</v>
      </c>
      <c r="M200" s="7" t="s">
        <v>365</v>
      </c>
      <c r="N200" s="7" t="s">
        <v>28</v>
      </c>
      <c r="O200" s="11">
        <v>7317.0</v>
      </c>
      <c r="P200" s="11">
        <v>8634.0</v>
      </c>
      <c r="Q200" s="6">
        <v>25.0</v>
      </c>
      <c r="R200" s="12">
        <f t="shared" si="5"/>
        <v>1829.25</v>
      </c>
    </row>
    <row r="201">
      <c r="A201" s="7" t="s">
        <v>808</v>
      </c>
      <c r="B201" s="58" t="s">
        <v>840</v>
      </c>
      <c r="C201" s="58" t="s">
        <v>841</v>
      </c>
      <c r="D201" s="7" t="s">
        <v>44</v>
      </c>
      <c r="E201" s="58" t="s">
        <v>178</v>
      </c>
      <c r="F201" s="58" t="s">
        <v>842</v>
      </c>
      <c r="G201" s="7">
        <v>6.354532466E9</v>
      </c>
      <c r="H201" s="7">
        <v>9.90921622E9</v>
      </c>
      <c r="I201" s="7">
        <v>3460.0</v>
      </c>
      <c r="J201" s="62" t="s">
        <v>827</v>
      </c>
      <c r="K201" s="7" t="s">
        <v>116</v>
      </c>
      <c r="L201" s="9" t="s">
        <v>49</v>
      </c>
      <c r="M201" s="7" t="s">
        <v>71</v>
      </c>
      <c r="N201" s="7" t="s">
        <v>28</v>
      </c>
      <c r="O201" s="11">
        <v>20725.0</v>
      </c>
      <c r="P201" s="11">
        <v>22357.0</v>
      </c>
      <c r="Q201" s="6">
        <v>55.0</v>
      </c>
      <c r="R201" s="12">
        <f t="shared" si="5"/>
        <v>11398.75</v>
      </c>
    </row>
    <row r="202">
      <c r="A202" s="7" t="s">
        <v>843</v>
      </c>
      <c r="B202" s="58" t="s">
        <v>844</v>
      </c>
      <c r="C202" s="58" t="s">
        <v>845</v>
      </c>
      <c r="D202" s="7" t="s">
        <v>44</v>
      </c>
      <c r="E202" s="58" t="s">
        <v>846</v>
      </c>
      <c r="F202" s="58" t="s">
        <v>847</v>
      </c>
      <c r="G202" s="7">
        <v>9.825780075E9</v>
      </c>
      <c r="H202" s="7">
        <v>7.711070708E9</v>
      </c>
      <c r="I202" s="7">
        <v>2850.0</v>
      </c>
      <c r="J202" s="62" t="s">
        <v>818</v>
      </c>
      <c r="K202" s="7" t="s">
        <v>25</v>
      </c>
      <c r="L202" s="9" t="s">
        <v>49</v>
      </c>
      <c r="M202" s="7" t="s">
        <v>278</v>
      </c>
      <c r="N202" s="7" t="s">
        <v>28</v>
      </c>
      <c r="O202" s="11">
        <v>17639.0</v>
      </c>
      <c r="P202" s="11">
        <v>18728.0</v>
      </c>
      <c r="Q202" s="6">
        <v>60.0</v>
      </c>
      <c r="R202" s="12">
        <f t="shared" si="5"/>
        <v>10583.4</v>
      </c>
    </row>
    <row r="203">
      <c r="A203" s="7" t="s">
        <v>848</v>
      </c>
      <c r="B203" s="58" t="s">
        <v>849</v>
      </c>
      <c r="C203" s="58" t="s">
        <v>850</v>
      </c>
      <c r="D203" s="20" t="s">
        <v>851</v>
      </c>
      <c r="E203" s="58" t="s">
        <v>852</v>
      </c>
      <c r="F203" s="8" t="s">
        <v>853</v>
      </c>
      <c r="G203" s="7" t="s">
        <v>854</v>
      </c>
      <c r="H203" s="8"/>
      <c r="I203" s="62">
        <v>2596.0</v>
      </c>
      <c r="J203" s="58" t="s">
        <v>827</v>
      </c>
      <c r="K203" s="7" t="s">
        <v>41</v>
      </c>
      <c r="L203" s="9" t="s">
        <v>49</v>
      </c>
      <c r="M203" s="7" t="s">
        <v>27</v>
      </c>
      <c r="N203" s="7" t="s">
        <v>28</v>
      </c>
      <c r="O203" s="11">
        <v>32943.0</v>
      </c>
      <c r="P203" s="11">
        <v>38873.0</v>
      </c>
      <c r="Q203" s="6">
        <v>15.0</v>
      </c>
      <c r="R203" s="12">
        <f t="shared" si="5"/>
        <v>4941.45</v>
      </c>
    </row>
    <row r="204">
      <c r="A204" s="7" t="s">
        <v>855</v>
      </c>
      <c r="B204" s="58" t="s">
        <v>856</v>
      </c>
      <c r="C204" s="58" t="s">
        <v>857</v>
      </c>
      <c r="D204" s="7" t="s">
        <v>93</v>
      </c>
      <c r="E204" s="58" t="s">
        <v>427</v>
      </c>
      <c r="F204" s="58" t="s">
        <v>858</v>
      </c>
      <c r="G204" s="7" t="s">
        <v>859</v>
      </c>
      <c r="H204" s="7">
        <v>8.14080771E9</v>
      </c>
      <c r="I204" s="7">
        <v>11990.0</v>
      </c>
      <c r="J204" s="62" t="s">
        <v>860</v>
      </c>
      <c r="K204" s="7" t="s">
        <v>25</v>
      </c>
      <c r="L204" s="9" t="s">
        <v>49</v>
      </c>
      <c r="M204" s="7" t="s">
        <v>340</v>
      </c>
      <c r="N204" s="7" t="s">
        <v>28</v>
      </c>
      <c r="O204" s="11">
        <v>44185.0</v>
      </c>
      <c r="P204" s="11">
        <v>48604.0</v>
      </c>
      <c r="Q204" s="6">
        <v>31.0</v>
      </c>
      <c r="R204" s="12">
        <f t="shared" si="5"/>
        <v>13697.35</v>
      </c>
    </row>
    <row r="205">
      <c r="A205" s="7" t="s">
        <v>855</v>
      </c>
      <c r="B205" s="58" t="s">
        <v>861</v>
      </c>
      <c r="C205" s="58" t="s">
        <v>862</v>
      </c>
      <c r="D205" s="7" t="s">
        <v>75</v>
      </c>
      <c r="E205" s="58" t="s">
        <v>225</v>
      </c>
      <c r="F205" s="58" t="s">
        <v>863</v>
      </c>
      <c r="G205" s="7">
        <v>7.621899394E9</v>
      </c>
      <c r="H205" s="7">
        <v>9.726598953E9</v>
      </c>
      <c r="I205" s="7">
        <v>995.0</v>
      </c>
      <c r="J205" s="62" t="s">
        <v>814</v>
      </c>
      <c r="K205" s="7" t="s">
        <v>41</v>
      </c>
      <c r="L205" s="9" t="s">
        <v>49</v>
      </c>
      <c r="M205" s="7" t="s">
        <v>84</v>
      </c>
      <c r="N205" s="7" t="s">
        <v>28</v>
      </c>
      <c r="O205" s="15">
        <v>5633.0</v>
      </c>
      <c r="P205" s="11">
        <v>6055.0</v>
      </c>
      <c r="Q205" s="6">
        <v>52.5</v>
      </c>
      <c r="R205" s="12">
        <f t="shared" si="5"/>
        <v>2957.325</v>
      </c>
    </row>
    <row r="206">
      <c r="A206" s="7" t="s">
        <v>855</v>
      </c>
      <c r="B206" s="58" t="s">
        <v>864</v>
      </c>
      <c r="C206" s="58" t="s">
        <v>865</v>
      </c>
      <c r="D206" s="7" t="s">
        <v>75</v>
      </c>
      <c r="E206" s="58" t="s">
        <v>291</v>
      </c>
      <c r="F206" s="58" t="s">
        <v>866</v>
      </c>
      <c r="G206" s="7">
        <v>9.879972401E9</v>
      </c>
      <c r="H206" s="7">
        <v>9.662701014E9</v>
      </c>
      <c r="I206" s="7">
        <v>990.0</v>
      </c>
      <c r="J206" s="62" t="s">
        <v>814</v>
      </c>
      <c r="K206" s="7" t="s">
        <v>41</v>
      </c>
      <c r="L206" s="9" t="s">
        <v>49</v>
      </c>
      <c r="M206" s="7" t="s">
        <v>867</v>
      </c>
      <c r="N206" s="7" t="s">
        <v>28</v>
      </c>
      <c r="O206" s="11">
        <v>5311.0</v>
      </c>
      <c r="P206" s="11">
        <v>5675.0</v>
      </c>
      <c r="Q206" s="6">
        <v>52.5</v>
      </c>
      <c r="R206" s="12">
        <f t="shared" si="5"/>
        <v>2788.275</v>
      </c>
    </row>
    <row r="207">
      <c r="A207" s="7" t="s">
        <v>868</v>
      </c>
      <c r="B207" s="58" t="s">
        <v>869</v>
      </c>
      <c r="C207" s="58" t="s">
        <v>870</v>
      </c>
      <c r="D207" s="7" t="s">
        <v>21</v>
      </c>
      <c r="E207" s="58" t="s">
        <v>871</v>
      </c>
      <c r="F207" s="58" t="s">
        <v>872</v>
      </c>
      <c r="G207" s="7">
        <v>9.824823333E9</v>
      </c>
      <c r="H207" s="7">
        <v>9.924793333E9</v>
      </c>
      <c r="I207" s="7">
        <v>55000.0</v>
      </c>
      <c r="J207" s="62" t="s">
        <v>823</v>
      </c>
      <c r="K207" s="7" t="s">
        <v>56</v>
      </c>
      <c r="L207" s="9" t="s">
        <v>49</v>
      </c>
      <c r="M207" s="7" t="s">
        <v>89</v>
      </c>
      <c r="N207" s="7" t="s">
        <v>28</v>
      </c>
      <c r="O207" s="11">
        <v>74467.0</v>
      </c>
      <c r="P207" s="11">
        <v>82120.0</v>
      </c>
      <c r="Q207" s="6">
        <v>24.0</v>
      </c>
      <c r="R207" s="12">
        <f t="shared" si="5"/>
        <v>17872.08</v>
      </c>
    </row>
    <row r="208">
      <c r="A208" s="7" t="s">
        <v>868</v>
      </c>
      <c r="B208" s="58" t="s">
        <v>873</v>
      </c>
      <c r="C208" s="58" t="s">
        <v>874</v>
      </c>
      <c r="D208" s="7" t="s">
        <v>21</v>
      </c>
      <c r="E208" s="58" t="s">
        <v>871</v>
      </c>
      <c r="F208" s="58" t="s">
        <v>872</v>
      </c>
      <c r="G208" s="7">
        <v>9.824823333E9</v>
      </c>
      <c r="H208" s="7">
        <v>9.924793333E9</v>
      </c>
      <c r="I208" s="7">
        <v>55000.0</v>
      </c>
      <c r="J208" s="62" t="s">
        <v>823</v>
      </c>
      <c r="K208" s="7" t="s">
        <v>56</v>
      </c>
      <c r="L208" s="9" t="s">
        <v>49</v>
      </c>
      <c r="M208" s="7" t="s">
        <v>89</v>
      </c>
      <c r="N208" s="7" t="s">
        <v>28</v>
      </c>
      <c r="O208" s="11">
        <v>74467.0</v>
      </c>
      <c r="P208" s="11">
        <v>82120.0</v>
      </c>
      <c r="Q208" s="6">
        <v>24.0</v>
      </c>
      <c r="R208" s="12">
        <f t="shared" si="5"/>
        <v>17872.08</v>
      </c>
    </row>
    <row r="209">
      <c r="A209" s="7" t="s">
        <v>868</v>
      </c>
      <c r="B209" s="58" t="s">
        <v>875</v>
      </c>
      <c r="C209" s="58" t="s">
        <v>876</v>
      </c>
      <c r="D209" s="7" t="s">
        <v>21</v>
      </c>
      <c r="E209" s="58" t="s">
        <v>871</v>
      </c>
      <c r="F209" s="58" t="s">
        <v>872</v>
      </c>
      <c r="G209" s="7">
        <v>9.824823333E9</v>
      </c>
      <c r="H209" s="7">
        <v>9.924793333E9</v>
      </c>
      <c r="I209" s="7">
        <v>55000.0</v>
      </c>
      <c r="J209" s="62" t="s">
        <v>823</v>
      </c>
      <c r="K209" s="7" t="s">
        <v>56</v>
      </c>
      <c r="L209" s="9" t="s">
        <v>49</v>
      </c>
      <c r="M209" s="7" t="s">
        <v>89</v>
      </c>
      <c r="N209" s="7" t="s">
        <v>28</v>
      </c>
      <c r="O209" s="7">
        <v>74467.0</v>
      </c>
      <c r="P209" s="7">
        <v>82120.0</v>
      </c>
      <c r="Q209" s="6">
        <v>24.0</v>
      </c>
      <c r="R209" s="12">
        <f t="shared" si="5"/>
        <v>17872.08</v>
      </c>
    </row>
    <row r="210">
      <c r="A210" s="7" t="s">
        <v>868</v>
      </c>
      <c r="B210" s="58" t="s">
        <v>877</v>
      </c>
      <c r="C210" s="58" t="s">
        <v>878</v>
      </c>
      <c r="D210" s="7" t="s">
        <v>21</v>
      </c>
      <c r="E210" s="58" t="s">
        <v>871</v>
      </c>
      <c r="F210" s="58" t="s">
        <v>872</v>
      </c>
      <c r="G210" s="7">
        <v>9.824823333E9</v>
      </c>
      <c r="H210" s="7">
        <v>9.924793333E9</v>
      </c>
      <c r="I210" s="7">
        <v>55000.0</v>
      </c>
      <c r="J210" s="62" t="s">
        <v>823</v>
      </c>
      <c r="K210" s="7" t="s">
        <v>56</v>
      </c>
      <c r="L210" s="9" t="s">
        <v>49</v>
      </c>
      <c r="M210" s="7" t="s">
        <v>89</v>
      </c>
      <c r="N210" s="7" t="s">
        <v>28</v>
      </c>
      <c r="O210" s="11">
        <v>74467.0</v>
      </c>
      <c r="P210" s="11">
        <v>82120.0</v>
      </c>
      <c r="Q210" s="6">
        <v>24.0</v>
      </c>
      <c r="R210" s="12">
        <f t="shared" si="5"/>
        <v>17872.08</v>
      </c>
    </row>
    <row r="211">
      <c r="A211" s="7" t="s">
        <v>868</v>
      </c>
      <c r="B211" s="58" t="s">
        <v>879</v>
      </c>
      <c r="C211" s="58" t="s">
        <v>880</v>
      </c>
      <c r="D211" s="7" t="s">
        <v>21</v>
      </c>
      <c r="E211" s="58" t="s">
        <v>871</v>
      </c>
      <c r="F211" s="58" t="s">
        <v>872</v>
      </c>
      <c r="G211" s="7">
        <v>9.824823333E9</v>
      </c>
      <c r="H211" s="7">
        <v>9.924793333E9</v>
      </c>
      <c r="I211" s="7">
        <v>55000.0</v>
      </c>
      <c r="J211" s="62" t="s">
        <v>823</v>
      </c>
      <c r="K211" s="7" t="s">
        <v>56</v>
      </c>
      <c r="L211" s="9" t="s">
        <v>49</v>
      </c>
      <c r="M211" s="7" t="s">
        <v>89</v>
      </c>
      <c r="N211" s="7" t="s">
        <v>28</v>
      </c>
      <c r="O211" s="11">
        <v>74467.0</v>
      </c>
      <c r="P211" s="11">
        <v>82120.0</v>
      </c>
      <c r="Q211" s="6">
        <v>24.0</v>
      </c>
      <c r="R211" s="12">
        <f t="shared" si="5"/>
        <v>17872.08</v>
      </c>
    </row>
    <row r="212">
      <c r="A212" s="7" t="s">
        <v>868</v>
      </c>
      <c r="B212" s="58" t="s">
        <v>881</v>
      </c>
      <c r="C212" s="58" t="s">
        <v>882</v>
      </c>
      <c r="D212" s="7" t="s">
        <v>21</v>
      </c>
      <c r="E212" s="58" t="s">
        <v>871</v>
      </c>
      <c r="F212" s="58" t="s">
        <v>872</v>
      </c>
      <c r="G212" s="7">
        <v>9.824823333E9</v>
      </c>
      <c r="H212" s="7">
        <v>9.924793333E9</v>
      </c>
      <c r="I212" s="7">
        <v>55000.0</v>
      </c>
      <c r="J212" s="62" t="s">
        <v>823</v>
      </c>
      <c r="K212" s="7" t="s">
        <v>56</v>
      </c>
      <c r="L212" s="9" t="s">
        <v>49</v>
      </c>
      <c r="M212" s="7" t="s">
        <v>89</v>
      </c>
      <c r="N212" s="7" t="s">
        <v>28</v>
      </c>
      <c r="O212" s="11">
        <v>74467.0</v>
      </c>
      <c r="P212" s="11">
        <v>82120.0</v>
      </c>
      <c r="Q212" s="6">
        <v>24.0</v>
      </c>
      <c r="R212" s="12">
        <f t="shared" si="5"/>
        <v>17872.08</v>
      </c>
    </row>
    <row r="213">
      <c r="A213" s="7" t="s">
        <v>868</v>
      </c>
      <c r="B213" s="58" t="s">
        <v>883</v>
      </c>
      <c r="C213" s="58" t="s">
        <v>884</v>
      </c>
      <c r="D213" s="7" t="s">
        <v>21</v>
      </c>
      <c r="E213" s="58" t="s">
        <v>748</v>
      </c>
      <c r="F213" s="58" t="s">
        <v>885</v>
      </c>
      <c r="G213" s="7">
        <v>9.909596021E9</v>
      </c>
      <c r="H213" s="7" t="s">
        <v>63</v>
      </c>
      <c r="I213" s="7">
        <v>35000.0</v>
      </c>
      <c r="J213" s="62" t="s">
        <v>823</v>
      </c>
      <c r="K213" s="7" t="s">
        <v>677</v>
      </c>
      <c r="L213" s="9" t="s">
        <v>49</v>
      </c>
      <c r="M213" s="7" t="s">
        <v>278</v>
      </c>
      <c r="N213" s="7" t="s">
        <v>28</v>
      </c>
      <c r="O213" s="11">
        <v>46749.07</v>
      </c>
      <c r="P213" s="11">
        <v>49450.41</v>
      </c>
      <c r="Q213" s="6">
        <v>24.0</v>
      </c>
      <c r="R213" s="12">
        <f t="shared" si="5"/>
        <v>11219.7768</v>
      </c>
    </row>
    <row r="214">
      <c r="A214" s="7" t="s">
        <v>868</v>
      </c>
      <c r="B214" s="58" t="s">
        <v>886</v>
      </c>
      <c r="C214" s="58" t="s">
        <v>887</v>
      </c>
      <c r="D214" s="7" t="s">
        <v>44</v>
      </c>
      <c r="E214" s="58" t="s">
        <v>888</v>
      </c>
      <c r="F214" s="58" t="s">
        <v>889</v>
      </c>
      <c r="G214" s="7">
        <v>9.510201239E9</v>
      </c>
      <c r="H214" s="7">
        <v>8.84511473E9</v>
      </c>
      <c r="I214" s="7">
        <v>3490.0</v>
      </c>
      <c r="J214" s="7" t="s">
        <v>890</v>
      </c>
      <c r="K214" s="7" t="s">
        <v>25</v>
      </c>
      <c r="L214" s="9" t="s">
        <v>49</v>
      </c>
      <c r="M214" s="7" t="s">
        <v>71</v>
      </c>
      <c r="N214" s="7" t="s">
        <v>28</v>
      </c>
      <c r="O214" s="11">
        <v>21873.0</v>
      </c>
      <c r="P214" s="11">
        <v>23724.0</v>
      </c>
      <c r="Q214" s="6">
        <v>60.0</v>
      </c>
      <c r="R214" s="12">
        <f t="shared" si="5"/>
        <v>13123.8</v>
      </c>
    </row>
    <row r="215">
      <c r="A215" s="7" t="s">
        <v>891</v>
      </c>
      <c r="B215" s="58" t="s">
        <v>892</v>
      </c>
      <c r="C215" s="58" t="s">
        <v>893</v>
      </c>
      <c r="D215" s="7" t="s">
        <v>93</v>
      </c>
      <c r="E215" s="58" t="s">
        <v>434</v>
      </c>
      <c r="F215" s="58" t="s">
        <v>894</v>
      </c>
      <c r="G215" s="7">
        <v>9.925968917E9</v>
      </c>
      <c r="H215" s="7">
        <v>9.913149743E9</v>
      </c>
      <c r="I215" s="7">
        <v>11990.0</v>
      </c>
      <c r="J215" s="62" t="s">
        <v>823</v>
      </c>
      <c r="K215" s="7" t="s">
        <v>25</v>
      </c>
      <c r="L215" s="9" t="s">
        <v>26</v>
      </c>
      <c r="M215" s="7" t="s">
        <v>71</v>
      </c>
      <c r="N215" s="7" t="s">
        <v>28</v>
      </c>
      <c r="O215" s="11">
        <v>27885.0</v>
      </c>
      <c r="P215" s="11">
        <v>29370.0</v>
      </c>
      <c r="Q215" s="6">
        <v>31.0</v>
      </c>
      <c r="R215" s="12">
        <f t="shared" si="5"/>
        <v>8644.35</v>
      </c>
    </row>
    <row r="216">
      <c r="A216" s="7" t="s">
        <v>891</v>
      </c>
      <c r="B216" s="58" t="s">
        <v>895</v>
      </c>
      <c r="C216" s="58" t="s">
        <v>896</v>
      </c>
      <c r="D216" s="7" t="s">
        <v>37</v>
      </c>
      <c r="E216" s="58" t="s">
        <v>897</v>
      </c>
      <c r="F216" s="58" t="s">
        <v>898</v>
      </c>
      <c r="G216" s="7">
        <v>7.20307028E9</v>
      </c>
      <c r="H216" s="7">
        <v>9.979604255E9</v>
      </c>
      <c r="I216" s="7">
        <v>2940.0</v>
      </c>
      <c r="J216" s="62" t="s">
        <v>899</v>
      </c>
      <c r="K216" s="7" t="s">
        <v>25</v>
      </c>
      <c r="L216" s="9" t="s">
        <v>49</v>
      </c>
      <c r="M216" s="7" t="s">
        <v>185</v>
      </c>
      <c r="N216" s="7" t="s">
        <v>28</v>
      </c>
      <c r="O216" s="15">
        <v>9456.0</v>
      </c>
      <c r="P216" s="15">
        <v>11158.0</v>
      </c>
      <c r="Q216" s="6">
        <v>30.0</v>
      </c>
      <c r="R216" s="12">
        <f t="shared" si="5"/>
        <v>2836.8</v>
      </c>
    </row>
    <row r="217">
      <c r="A217" s="7" t="s">
        <v>891</v>
      </c>
      <c r="B217" s="58" t="s">
        <v>900</v>
      </c>
      <c r="C217" s="58" t="s">
        <v>901</v>
      </c>
      <c r="D217" s="7" t="s">
        <v>44</v>
      </c>
      <c r="E217" s="58" t="s">
        <v>902</v>
      </c>
      <c r="F217" s="58" t="s">
        <v>903</v>
      </c>
      <c r="G217" s="7">
        <v>9.016295212E9</v>
      </c>
      <c r="H217" s="7">
        <v>9.664678332E9</v>
      </c>
      <c r="I217" s="7">
        <v>2880.0</v>
      </c>
      <c r="J217" s="62" t="s">
        <v>814</v>
      </c>
      <c r="K217" s="7" t="s">
        <v>116</v>
      </c>
      <c r="L217" s="9" t="s">
        <v>49</v>
      </c>
      <c r="M217" s="7" t="s">
        <v>71</v>
      </c>
      <c r="N217" s="7" t="s">
        <v>28</v>
      </c>
      <c r="O217" s="11">
        <v>17321.0</v>
      </c>
      <c r="P217" s="11">
        <v>18340.0</v>
      </c>
      <c r="Q217" s="6">
        <v>55.0</v>
      </c>
      <c r="R217" s="12">
        <f t="shared" si="5"/>
        <v>9526.55</v>
      </c>
    </row>
    <row r="218">
      <c r="A218" s="7" t="s">
        <v>891</v>
      </c>
      <c r="B218" s="58" t="s">
        <v>904</v>
      </c>
      <c r="C218" s="58" t="s">
        <v>905</v>
      </c>
      <c r="D218" s="7" t="s">
        <v>44</v>
      </c>
      <c r="E218" s="58" t="s">
        <v>906</v>
      </c>
      <c r="F218" s="58" t="s">
        <v>907</v>
      </c>
      <c r="G218" s="7" t="s">
        <v>908</v>
      </c>
      <c r="H218" s="7" t="s">
        <v>63</v>
      </c>
      <c r="I218" s="7">
        <v>2510.0</v>
      </c>
      <c r="J218" s="7" t="s">
        <v>909</v>
      </c>
      <c r="K218" s="7" t="s">
        <v>25</v>
      </c>
      <c r="L218" s="9" t="s">
        <v>49</v>
      </c>
      <c r="M218" s="7" t="s">
        <v>27</v>
      </c>
      <c r="N218" s="7" t="s">
        <v>28</v>
      </c>
      <c r="O218" s="11">
        <v>2005.0</v>
      </c>
      <c r="P218" s="11">
        <v>2207.0</v>
      </c>
      <c r="Q218" s="6">
        <v>0.0</v>
      </c>
      <c r="R218" s="12">
        <f t="shared" si="5"/>
        <v>0</v>
      </c>
    </row>
    <row r="219">
      <c r="A219" s="7" t="s">
        <v>891</v>
      </c>
      <c r="B219" s="58" t="s">
        <v>910</v>
      </c>
      <c r="C219" s="58" t="s">
        <v>911</v>
      </c>
      <c r="D219" s="7" t="s">
        <v>21</v>
      </c>
      <c r="E219" s="58" t="s">
        <v>434</v>
      </c>
      <c r="F219" s="58" t="s">
        <v>912</v>
      </c>
      <c r="G219" s="7" t="s">
        <v>913</v>
      </c>
      <c r="H219" s="7">
        <v>7.778990876E9</v>
      </c>
      <c r="I219" s="7">
        <v>5950.0</v>
      </c>
      <c r="J219" s="62" t="s">
        <v>814</v>
      </c>
      <c r="K219" s="7" t="s">
        <v>25</v>
      </c>
      <c r="L219" s="9" t="s">
        <v>49</v>
      </c>
      <c r="M219" s="7" t="s">
        <v>71</v>
      </c>
      <c r="N219" s="7" t="s">
        <v>28</v>
      </c>
      <c r="O219" s="11">
        <v>18582.0</v>
      </c>
      <c r="P219" s="11">
        <v>19840.0</v>
      </c>
      <c r="Q219" s="6">
        <v>40.0</v>
      </c>
      <c r="R219" s="12">
        <f t="shared" si="5"/>
        <v>7432.8</v>
      </c>
    </row>
    <row r="220">
      <c r="A220" s="7" t="s">
        <v>891</v>
      </c>
      <c r="B220" s="58" t="s">
        <v>914</v>
      </c>
      <c r="C220" s="58" t="s">
        <v>915</v>
      </c>
      <c r="D220" s="7" t="s">
        <v>21</v>
      </c>
      <c r="E220" s="58" t="s">
        <v>748</v>
      </c>
      <c r="F220" s="58" t="s">
        <v>916</v>
      </c>
      <c r="G220" s="7">
        <v>9.909596021E9</v>
      </c>
      <c r="H220" s="7">
        <v>9.624708923E9</v>
      </c>
      <c r="I220" s="7">
        <v>35000.0</v>
      </c>
      <c r="J220" s="7" t="s">
        <v>917</v>
      </c>
      <c r="K220" s="7" t="s">
        <v>677</v>
      </c>
      <c r="L220" s="9" t="s">
        <v>49</v>
      </c>
      <c r="M220" s="7" t="s">
        <v>278</v>
      </c>
      <c r="N220" s="7" t="s">
        <v>28</v>
      </c>
      <c r="O220" s="15">
        <v>47463.59</v>
      </c>
      <c r="P220" s="11">
        <v>50293.53</v>
      </c>
      <c r="Q220" s="6">
        <v>24.0</v>
      </c>
      <c r="R220" s="12">
        <f t="shared" si="5"/>
        <v>11391.2616</v>
      </c>
    </row>
    <row r="221">
      <c r="A221" s="63" t="s">
        <v>891</v>
      </c>
      <c r="B221" s="64" t="s">
        <v>918</v>
      </c>
      <c r="C221" s="64" t="s">
        <v>919</v>
      </c>
      <c r="D221" s="63" t="s">
        <v>21</v>
      </c>
      <c r="E221" s="64" t="s">
        <v>920</v>
      </c>
      <c r="F221" s="64" t="s">
        <v>921</v>
      </c>
      <c r="G221" s="63" t="s">
        <v>605</v>
      </c>
      <c r="H221" s="63" t="s">
        <v>63</v>
      </c>
      <c r="I221" s="65">
        <v>45500.0</v>
      </c>
      <c r="J221" s="65" t="s">
        <v>823</v>
      </c>
      <c r="K221" s="63" t="s">
        <v>56</v>
      </c>
      <c r="L221" s="26" t="s">
        <v>49</v>
      </c>
      <c r="M221" s="63" t="s">
        <v>27</v>
      </c>
      <c r="N221" s="63" t="s">
        <v>28</v>
      </c>
      <c r="O221" s="66">
        <v>47577.0</v>
      </c>
      <c r="P221" s="66">
        <v>50389.0</v>
      </c>
      <c r="Q221" s="67">
        <v>24.0</v>
      </c>
      <c r="R221" s="30">
        <f t="shared" si="5"/>
        <v>11418.48</v>
      </c>
    </row>
    <row r="222">
      <c r="A222" s="63" t="s">
        <v>891</v>
      </c>
      <c r="B222" s="64" t="s">
        <v>922</v>
      </c>
      <c r="C222" s="64" t="s">
        <v>923</v>
      </c>
      <c r="D222" s="63" t="s">
        <v>21</v>
      </c>
      <c r="E222" s="64" t="s">
        <v>920</v>
      </c>
      <c r="F222" s="64" t="s">
        <v>921</v>
      </c>
      <c r="G222" s="63" t="s">
        <v>605</v>
      </c>
      <c r="H222" s="63" t="s">
        <v>63</v>
      </c>
      <c r="I222" s="63">
        <v>45500.0</v>
      </c>
      <c r="J222" s="65" t="s">
        <v>899</v>
      </c>
      <c r="K222" s="63" t="s">
        <v>56</v>
      </c>
      <c r="L222" s="26" t="s">
        <v>49</v>
      </c>
      <c r="M222" s="63" t="s">
        <v>27</v>
      </c>
      <c r="N222" s="63" t="s">
        <v>28</v>
      </c>
      <c r="O222" s="68">
        <v>46499.0</v>
      </c>
      <c r="P222" s="68">
        <v>49117.0</v>
      </c>
      <c r="Q222" s="67">
        <v>24.0</v>
      </c>
      <c r="R222" s="30">
        <f t="shared" si="5"/>
        <v>11159.76</v>
      </c>
    </row>
    <row r="223">
      <c r="A223" s="25" t="s">
        <v>491</v>
      </c>
      <c r="B223" s="24" t="s">
        <v>924</v>
      </c>
      <c r="C223" s="24" t="s">
        <v>925</v>
      </c>
      <c r="D223" s="25" t="s">
        <v>21</v>
      </c>
      <c r="E223" s="24" t="s">
        <v>926</v>
      </c>
      <c r="F223" s="24" t="s">
        <v>927</v>
      </c>
      <c r="G223" s="25">
        <v>9.586474751E9</v>
      </c>
      <c r="H223" s="25">
        <v>9.586947033E9</v>
      </c>
      <c r="I223" s="25">
        <v>35000.0</v>
      </c>
      <c r="J223" s="25" t="s">
        <v>928</v>
      </c>
      <c r="K223" s="25" t="s">
        <v>78</v>
      </c>
      <c r="L223" s="26" t="s">
        <v>49</v>
      </c>
      <c r="M223" s="25" t="s">
        <v>71</v>
      </c>
      <c r="N223" s="25" t="s">
        <v>28</v>
      </c>
      <c r="O223" s="27">
        <v>45913.87</v>
      </c>
      <c r="P223" s="27">
        <v>48465.0</v>
      </c>
      <c r="Q223" s="69">
        <v>33.0</v>
      </c>
      <c r="R223" s="30">
        <f t="shared" si="5"/>
        <v>15151.5771</v>
      </c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</row>
    <row r="225">
      <c r="A225" s="5" t="s">
        <v>929</v>
      </c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</row>
    <row r="226">
      <c r="A226" s="43" t="s">
        <v>420</v>
      </c>
      <c r="B226" s="44" t="s">
        <v>930</v>
      </c>
      <c r="C226" s="44" t="s">
        <v>931</v>
      </c>
      <c r="D226" s="43" t="s">
        <v>44</v>
      </c>
      <c r="E226" s="44" t="s">
        <v>427</v>
      </c>
      <c r="F226" s="44" t="s">
        <v>932</v>
      </c>
      <c r="G226" s="43">
        <v>8.780757411E9</v>
      </c>
      <c r="H226" s="43">
        <v>9.724005611E9</v>
      </c>
      <c r="I226" s="43">
        <v>5400.0</v>
      </c>
      <c r="J226" s="43" t="s">
        <v>404</v>
      </c>
      <c r="K226" s="43" t="s">
        <v>25</v>
      </c>
      <c r="L226" s="51" t="s">
        <v>49</v>
      </c>
      <c r="M226" s="43" t="s">
        <v>340</v>
      </c>
      <c r="N226" s="43" t="s">
        <v>28</v>
      </c>
      <c r="O226" s="47">
        <v>23145.0</v>
      </c>
      <c r="P226" s="47">
        <v>25225.0</v>
      </c>
      <c r="Q226" s="48">
        <v>40.0</v>
      </c>
      <c r="R226" s="49">
        <f t="shared" ref="R226:R249" si="6">O226*Q226%</f>
        <v>9258</v>
      </c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</row>
    <row r="227">
      <c r="A227" s="7" t="s">
        <v>933</v>
      </c>
      <c r="B227" s="58" t="s">
        <v>934</v>
      </c>
      <c r="C227" s="58" t="s">
        <v>935</v>
      </c>
      <c r="D227" s="7" t="s">
        <v>44</v>
      </c>
      <c r="E227" s="58" t="s">
        <v>434</v>
      </c>
      <c r="F227" s="58" t="s">
        <v>936</v>
      </c>
      <c r="G227" s="7">
        <v>9.638021095E9</v>
      </c>
      <c r="H227" s="7" t="s">
        <v>937</v>
      </c>
      <c r="I227" s="7">
        <v>4995.0</v>
      </c>
      <c r="J227" s="7" t="s">
        <v>938</v>
      </c>
      <c r="K227" s="7" t="s">
        <v>25</v>
      </c>
      <c r="L227" s="9" t="s">
        <v>49</v>
      </c>
      <c r="M227" s="7" t="s">
        <v>71</v>
      </c>
      <c r="N227" s="7" t="s">
        <v>28</v>
      </c>
      <c r="O227" s="70">
        <v>19199.0</v>
      </c>
      <c r="P227" s="70">
        <v>20568.0</v>
      </c>
      <c r="Q227" s="5">
        <v>35.0</v>
      </c>
      <c r="R227" s="12">
        <f t="shared" si="6"/>
        <v>6719.65</v>
      </c>
    </row>
    <row r="228">
      <c r="A228" s="7" t="s">
        <v>933</v>
      </c>
      <c r="B228" s="58" t="s">
        <v>939</v>
      </c>
      <c r="C228" s="58" t="s">
        <v>940</v>
      </c>
      <c r="D228" s="7" t="s">
        <v>44</v>
      </c>
      <c r="E228" s="58" t="s">
        <v>741</v>
      </c>
      <c r="F228" s="58" t="s">
        <v>941</v>
      </c>
      <c r="G228" s="7">
        <v>9.727477769E9</v>
      </c>
      <c r="H228" s="7">
        <v>6.351084627E9</v>
      </c>
      <c r="I228" s="7">
        <v>3490.0</v>
      </c>
      <c r="J228" s="62" t="s">
        <v>890</v>
      </c>
      <c r="K228" s="7" t="s">
        <v>116</v>
      </c>
      <c r="L228" s="9" t="s">
        <v>49</v>
      </c>
      <c r="M228" s="7" t="s">
        <v>71</v>
      </c>
      <c r="N228" s="7" t="s">
        <v>28</v>
      </c>
      <c r="O228" s="70">
        <v>21209.0</v>
      </c>
      <c r="P228" s="70">
        <v>23085.0</v>
      </c>
      <c r="Q228" s="5">
        <v>55.0</v>
      </c>
      <c r="R228" s="12">
        <f t="shared" si="6"/>
        <v>11664.95</v>
      </c>
    </row>
    <row r="229">
      <c r="A229" s="7" t="s">
        <v>933</v>
      </c>
      <c r="B229" s="58" t="s">
        <v>942</v>
      </c>
      <c r="C229" s="58" t="s">
        <v>943</v>
      </c>
      <c r="D229" s="7" t="s">
        <v>21</v>
      </c>
      <c r="E229" s="58" t="s">
        <v>944</v>
      </c>
      <c r="F229" s="58" t="s">
        <v>945</v>
      </c>
      <c r="G229" s="7">
        <v>9.879109999E9</v>
      </c>
      <c r="H229" s="7">
        <v>8.128520196E9</v>
      </c>
      <c r="I229" s="11">
        <v>47500.0</v>
      </c>
      <c r="J229" s="62" t="s">
        <v>899</v>
      </c>
      <c r="K229" s="7" t="s">
        <v>70</v>
      </c>
      <c r="L229" s="9" t="s">
        <v>49</v>
      </c>
      <c r="M229" s="7" t="s">
        <v>365</v>
      </c>
      <c r="N229" s="7" t="s">
        <v>28</v>
      </c>
      <c r="O229" s="71">
        <v>55376.0</v>
      </c>
      <c r="P229" s="70">
        <v>59592.0</v>
      </c>
      <c r="Q229" s="5">
        <v>29.0</v>
      </c>
      <c r="R229" s="12">
        <f t="shared" si="6"/>
        <v>16059.04</v>
      </c>
    </row>
    <row r="230">
      <c r="A230" s="7" t="s">
        <v>946</v>
      </c>
      <c r="B230" s="58" t="s">
        <v>947</v>
      </c>
      <c r="C230" s="58" t="s">
        <v>948</v>
      </c>
      <c r="D230" s="7" t="s">
        <v>93</v>
      </c>
      <c r="E230" s="58" t="s">
        <v>949</v>
      </c>
      <c r="F230" s="58" t="s">
        <v>950</v>
      </c>
      <c r="G230" s="7" t="s">
        <v>951</v>
      </c>
      <c r="H230" s="7" t="s">
        <v>952</v>
      </c>
      <c r="I230" s="7">
        <v>11990.0</v>
      </c>
      <c r="J230" s="62" t="s">
        <v>953</v>
      </c>
      <c r="K230" s="7" t="s">
        <v>25</v>
      </c>
      <c r="L230" s="9" t="s">
        <v>26</v>
      </c>
      <c r="M230" s="7" t="s">
        <v>71</v>
      </c>
      <c r="N230" s="7" t="s">
        <v>28</v>
      </c>
      <c r="O230" s="70">
        <v>27885.0</v>
      </c>
      <c r="P230" s="70">
        <v>29370.0</v>
      </c>
      <c r="Q230" s="5">
        <v>43.0</v>
      </c>
      <c r="R230" s="12">
        <f t="shared" si="6"/>
        <v>11990.55</v>
      </c>
    </row>
    <row r="231">
      <c r="A231" s="7" t="s">
        <v>946</v>
      </c>
      <c r="B231" s="8" t="s">
        <v>293</v>
      </c>
      <c r="C231" s="58" t="s">
        <v>954</v>
      </c>
      <c r="D231" s="7" t="s">
        <v>37</v>
      </c>
      <c r="E231" s="58" t="s">
        <v>955</v>
      </c>
      <c r="F231" s="58" t="s">
        <v>956</v>
      </c>
      <c r="G231" s="7">
        <v>9.979374474E9</v>
      </c>
      <c r="H231" s="7">
        <v>9.067593333E9</v>
      </c>
      <c r="I231" s="8"/>
      <c r="J231" s="62" t="s">
        <v>957</v>
      </c>
      <c r="K231" s="7" t="s">
        <v>677</v>
      </c>
      <c r="L231" s="8"/>
      <c r="M231" s="7" t="s">
        <v>84</v>
      </c>
      <c r="N231" s="7" t="s">
        <v>28</v>
      </c>
      <c r="O231" s="70">
        <v>8617.5</v>
      </c>
      <c r="P231" s="70">
        <v>10168.66</v>
      </c>
      <c r="Q231" s="5">
        <v>25.0</v>
      </c>
      <c r="R231" s="12">
        <f t="shared" si="6"/>
        <v>2154.375</v>
      </c>
    </row>
    <row r="232">
      <c r="A232" s="7" t="s">
        <v>958</v>
      </c>
      <c r="B232" s="58" t="s">
        <v>959</v>
      </c>
      <c r="C232" s="58" t="s">
        <v>960</v>
      </c>
      <c r="D232" s="7" t="s">
        <v>44</v>
      </c>
      <c r="E232" s="58" t="s">
        <v>961</v>
      </c>
      <c r="F232" s="58" t="s">
        <v>962</v>
      </c>
      <c r="G232" s="7" t="s">
        <v>963</v>
      </c>
      <c r="H232" s="7">
        <v>7.046330476E9</v>
      </c>
      <c r="I232" s="7">
        <v>2880.0</v>
      </c>
      <c r="J232" s="62" t="s">
        <v>953</v>
      </c>
      <c r="K232" s="7" t="s">
        <v>116</v>
      </c>
      <c r="L232" s="9" t="s">
        <v>49</v>
      </c>
      <c r="M232" s="7" t="s">
        <v>71</v>
      </c>
      <c r="N232" s="7" t="s">
        <v>28</v>
      </c>
      <c r="O232" s="70">
        <v>21305.0</v>
      </c>
      <c r="P232" s="70">
        <v>23044.0</v>
      </c>
      <c r="Q232" s="5">
        <v>55.0</v>
      </c>
      <c r="R232" s="12">
        <f t="shared" si="6"/>
        <v>11717.75</v>
      </c>
    </row>
    <row r="233">
      <c r="A233" s="63" t="s">
        <v>958</v>
      </c>
      <c r="B233" s="64" t="s">
        <v>964</v>
      </c>
      <c r="C233" s="64" t="s">
        <v>965</v>
      </c>
      <c r="D233" s="63" t="s">
        <v>966</v>
      </c>
      <c r="E233" s="64" t="s">
        <v>967</v>
      </c>
      <c r="F233" s="64" t="s">
        <v>968</v>
      </c>
      <c r="G233" s="63" t="s">
        <v>605</v>
      </c>
      <c r="H233" s="63" t="s">
        <v>63</v>
      </c>
      <c r="I233" s="63">
        <v>2993.0</v>
      </c>
      <c r="J233" s="63" t="s">
        <v>969</v>
      </c>
      <c r="K233" s="63" t="s">
        <v>25</v>
      </c>
      <c r="L233" s="26" t="s">
        <v>49</v>
      </c>
      <c r="M233" s="63" t="s">
        <v>27</v>
      </c>
      <c r="N233" s="63" t="s">
        <v>28</v>
      </c>
      <c r="O233" s="72">
        <v>64125.0</v>
      </c>
      <c r="P233" s="73">
        <v>86195.0</v>
      </c>
      <c r="Q233" s="5">
        <v>20.0</v>
      </c>
      <c r="R233" s="12">
        <f t="shared" si="6"/>
        <v>12825</v>
      </c>
    </row>
    <row r="234">
      <c r="A234" s="7" t="s">
        <v>970</v>
      </c>
      <c r="B234" s="58" t="s">
        <v>971</v>
      </c>
      <c r="C234" s="58" t="s">
        <v>972</v>
      </c>
      <c r="D234" s="7" t="s">
        <v>44</v>
      </c>
      <c r="E234" s="58" t="s">
        <v>178</v>
      </c>
      <c r="F234" s="58" t="s">
        <v>973</v>
      </c>
      <c r="G234" s="7">
        <v>9.825417664E9</v>
      </c>
      <c r="H234" s="7">
        <v>9.638821633E9</v>
      </c>
      <c r="I234" s="7">
        <v>3460.0</v>
      </c>
      <c r="J234" s="62" t="s">
        <v>969</v>
      </c>
      <c r="K234" s="7" t="s">
        <v>116</v>
      </c>
      <c r="L234" s="9" t="s">
        <v>49</v>
      </c>
      <c r="M234" s="7" t="s">
        <v>71</v>
      </c>
      <c r="N234" s="7" t="s">
        <v>28</v>
      </c>
      <c r="O234" s="70">
        <v>21017.0</v>
      </c>
      <c r="P234" s="70">
        <v>22857.0</v>
      </c>
      <c r="Q234" s="5">
        <v>55.0</v>
      </c>
      <c r="R234" s="12">
        <f t="shared" si="6"/>
        <v>11559.35</v>
      </c>
    </row>
    <row r="235">
      <c r="A235" s="7" t="s">
        <v>974</v>
      </c>
      <c r="B235" s="58" t="s">
        <v>975</v>
      </c>
      <c r="C235" s="58" t="s">
        <v>976</v>
      </c>
      <c r="D235" s="7" t="s">
        <v>44</v>
      </c>
      <c r="E235" s="58" t="s">
        <v>741</v>
      </c>
      <c r="F235" s="58" t="s">
        <v>977</v>
      </c>
      <c r="G235" s="7">
        <v>9.712233674E9</v>
      </c>
      <c r="H235" s="7">
        <v>9.72344348E9</v>
      </c>
      <c r="I235" s="7">
        <v>3490.0</v>
      </c>
      <c r="J235" s="62" t="s">
        <v>969</v>
      </c>
      <c r="K235" s="7" t="s">
        <v>116</v>
      </c>
      <c r="L235" s="9" t="s">
        <v>49</v>
      </c>
      <c r="M235" s="7" t="s">
        <v>71</v>
      </c>
      <c r="N235" s="7" t="s">
        <v>28</v>
      </c>
      <c r="O235" s="70">
        <v>21390.0</v>
      </c>
      <c r="P235" s="70">
        <v>23142.0</v>
      </c>
      <c r="Q235" s="5">
        <v>55.0</v>
      </c>
      <c r="R235" s="12">
        <f t="shared" si="6"/>
        <v>11764.5</v>
      </c>
    </row>
    <row r="236">
      <c r="A236" s="7" t="s">
        <v>974</v>
      </c>
      <c r="B236" s="58" t="s">
        <v>978</v>
      </c>
      <c r="C236" s="58" t="s">
        <v>979</v>
      </c>
      <c r="D236" s="7" t="s">
        <v>75</v>
      </c>
      <c r="E236" s="58" t="s">
        <v>980</v>
      </c>
      <c r="F236" s="58" t="s">
        <v>981</v>
      </c>
      <c r="G236" s="7" t="s">
        <v>982</v>
      </c>
      <c r="H236" s="7">
        <v>9.825737879E9</v>
      </c>
      <c r="I236" s="7">
        <v>960.0</v>
      </c>
      <c r="J236" s="58" t="s">
        <v>917</v>
      </c>
      <c r="K236" s="7" t="s">
        <v>41</v>
      </c>
      <c r="L236" s="9" t="s">
        <v>26</v>
      </c>
      <c r="M236" s="7" t="s">
        <v>101</v>
      </c>
      <c r="N236" s="7" t="s">
        <v>28</v>
      </c>
      <c r="O236" s="70">
        <v>4817.0</v>
      </c>
      <c r="P236" s="70">
        <v>5099.0</v>
      </c>
      <c r="Q236" s="5">
        <v>52.5</v>
      </c>
      <c r="R236" s="12">
        <f t="shared" si="6"/>
        <v>2528.925</v>
      </c>
    </row>
    <row r="237">
      <c r="A237" s="7" t="s">
        <v>974</v>
      </c>
      <c r="B237" s="58" t="s">
        <v>983</v>
      </c>
      <c r="C237" s="58" t="s">
        <v>984</v>
      </c>
      <c r="D237" s="7" t="s">
        <v>75</v>
      </c>
      <c r="E237" s="58" t="s">
        <v>225</v>
      </c>
      <c r="F237" s="58" t="s">
        <v>985</v>
      </c>
      <c r="G237" s="7">
        <v>9.978553689E9</v>
      </c>
      <c r="H237" s="7">
        <v>7.265054784E9</v>
      </c>
      <c r="I237" s="7">
        <v>995.0</v>
      </c>
      <c r="J237" s="62" t="s">
        <v>986</v>
      </c>
      <c r="K237" s="7" t="s">
        <v>41</v>
      </c>
      <c r="L237" s="9" t="s">
        <v>49</v>
      </c>
      <c r="M237" s="7" t="s">
        <v>71</v>
      </c>
      <c r="N237" s="7" t="s">
        <v>28</v>
      </c>
      <c r="O237" s="70">
        <v>5556.0</v>
      </c>
      <c r="P237" s="70">
        <v>5964.0</v>
      </c>
      <c r="Q237" s="5">
        <v>52.5</v>
      </c>
      <c r="R237" s="12">
        <f t="shared" si="6"/>
        <v>2916.9</v>
      </c>
    </row>
    <row r="238">
      <c r="A238" s="7" t="s">
        <v>567</v>
      </c>
      <c r="B238" s="58" t="s">
        <v>987</v>
      </c>
      <c r="C238" s="58" t="s">
        <v>988</v>
      </c>
      <c r="D238" s="7" t="s">
        <v>44</v>
      </c>
      <c r="E238" s="58" t="s">
        <v>524</v>
      </c>
      <c r="F238" s="58" t="s">
        <v>989</v>
      </c>
      <c r="G238" s="7" t="s">
        <v>990</v>
      </c>
      <c r="H238" s="7">
        <v>9.904333599E9</v>
      </c>
      <c r="I238" s="7">
        <v>3490.0</v>
      </c>
      <c r="J238" s="62" t="s">
        <v>991</v>
      </c>
      <c r="K238" s="7" t="s">
        <v>116</v>
      </c>
      <c r="L238" s="9" t="s">
        <v>49</v>
      </c>
      <c r="M238" s="7" t="s">
        <v>96</v>
      </c>
      <c r="N238" s="7" t="s">
        <v>28</v>
      </c>
      <c r="O238" s="70">
        <v>20037.0</v>
      </c>
      <c r="P238" s="70">
        <v>21545.0</v>
      </c>
      <c r="Q238" s="5">
        <v>55.0</v>
      </c>
      <c r="R238" s="12">
        <f t="shared" si="6"/>
        <v>11020.35</v>
      </c>
    </row>
    <row r="239">
      <c r="A239" s="14">
        <v>46025.0</v>
      </c>
      <c r="B239" s="58" t="s">
        <v>992</v>
      </c>
      <c r="C239" s="58" t="s">
        <v>993</v>
      </c>
      <c r="D239" s="7" t="s">
        <v>44</v>
      </c>
      <c r="E239" s="58" t="s">
        <v>434</v>
      </c>
      <c r="F239" s="58" t="s">
        <v>994</v>
      </c>
      <c r="G239" s="7" t="s">
        <v>995</v>
      </c>
      <c r="H239" s="7">
        <v>9.825877117E9</v>
      </c>
      <c r="I239" s="7">
        <v>6250.0</v>
      </c>
      <c r="J239" s="7" t="s">
        <v>986</v>
      </c>
      <c r="K239" s="7" t="s">
        <v>25</v>
      </c>
      <c r="L239" s="74" t="s">
        <v>26</v>
      </c>
      <c r="M239" s="7" t="s">
        <v>101</v>
      </c>
      <c r="N239" s="7" t="s">
        <v>28</v>
      </c>
      <c r="O239" s="70">
        <v>16748.0</v>
      </c>
      <c r="P239" s="70">
        <v>17676.0</v>
      </c>
      <c r="Q239" s="5">
        <v>40.0</v>
      </c>
      <c r="R239" s="12">
        <f t="shared" si="6"/>
        <v>6699.2</v>
      </c>
    </row>
    <row r="240">
      <c r="A240" s="14">
        <v>46056.0</v>
      </c>
      <c r="B240" s="58" t="s">
        <v>996</v>
      </c>
      <c r="C240" s="58" t="s">
        <v>997</v>
      </c>
      <c r="D240" s="7" t="s">
        <v>21</v>
      </c>
      <c r="E240" s="58" t="s">
        <v>998</v>
      </c>
      <c r="F240" s="58" t="s">
        <v>999</v>
      </c>
      <c r="G240" s="7" t="s">
        <v>1000</v>
      </c>
      <c r="H240" s="7" t="s">
        <v>63</v>
      </c>
      <c r="I240" s="7">
        <v>28000.0</v>
      </c>
      <c r="J240" s="60">
        <v>46390.0</v>
      </c>
      <c r="K240" s="7" t="s">
        <v>25</v>
      </c>
      <c r="L240" s="9" t="s">
        <v>26</v>
      </c>
      <c r="M240" s="7" t="s">
        <v>71</v>
      </c>
      <c r="N240" s="7" t="s">
        <v>28</v>
      </c>
      <c r="O240" s="62">
        <v>44050.0</v>
      </c>
      <c r="P240" s="62">
        <v>46266.0</v>
      </c>
      <c r="Q240" s="5">
        <v>44.0</v>
      </c>
      <c r="R240" s="12">
        <f t="shared" si="6"/>
        <v>19382</v>
      </c>
    </row>
    <row r="241">
      <c r="A241" s="14">
        <v>46056.0</v>
      </c>
      <c r="B241" s="58" t="s">
        <v>1001</v>
      </c>
      <c r="C241" s="58" t="s">
        <v>1002</v>
      </c>
      <c r="D241" s="7" t="s">
        <v>44</v>
      </c>
      <c r="E241" s="58" t="s">
        <v>1003</v>
      </c>
      <c r="F241" s="58" t="s">
        <v>1004</v>
      </c>
      <c r="G241" s="7">
        <v>7.990581079E9</v>
      </c>
      <c r="H241" s="21">
        <v>6.353367408E9</v>
      </c>
      <c r="I241" s="7">
        <v>7450.0</v>
      </c>
      <c r="J241" s="7" t="s">
        <v>986</v>
      </c>
      <c r="K241" s="7" t="s">
        <v>25</v>
      </c>
      <c r="L241" s="9" t="s">
        <v>49</v>
      </c>
      <c r="M241" s="7" t="s">
        <v>71</v>
      </c>
      <c r="N241" s="7" t="s">
        <v>28</v>
      </c>
      <c r="O241" s="70">
        <v>18275.0</v>
      </c>
      <c r="P241" s="70">
        <v>19478.0</v>
      </c>
      <c r="Q241" s="5">
        <v>35.0</v>
      </c>
      <c r="R241" s="12">
        <f t="shared" si="6"/>
        <v>6396.25</v>
      </c>
    </row>
    <row r="242">
      <c r="A242" s="14">
        <v>46056.0</v>
      </c>
      <c r="B242" s="58" t="s">
        <v>1005</v>
      </c>
      <c r="C242" s="58" t="s">
        <v>1006</v>
      </c>
      <c r="D242" s="7" t="s">
        <v>44</v>
      </c>
      <c r="E242" s="58" t="s">
        <v>1007</v>
      </c>
      <c r="F242" s="58" t="s">
        <v>1008</v>
      </c>
      <c r="G242" s="7" t="s">
        <v>995</v>
      </c>
      <c r="H242" s="7">
        <v>9.825877117E9</v>
      </c>
      <c r="I242" s="7">
        <v>2450.0</v>
      </c>
      <c r="J242" s="60">
        <v>46390.0</v>
      </c>
      <c r="K242" s="7" t="s">
        <v>48</v>
      </c>
      <c r="L242" s="9" t="s">
        <v>49</v>
      </c>
      <c r="M242" s="7" t="s">
        <v>101</v>
      </c>
      <c r="N242" s="7" t="s">
        <v>28</v>
      </c>
      <c r="O242" s="70">
        <v>17413.0</v>
      </c>
      <c r="P242" s="70">
        <v>18461.0</v>
      </c>
      <c r="Q242" s="5">
        <v>65.0</v>
      </c>
      <c r="R242" s="12">
        <f t="shared" si="6"/>
        <v>11318.45</v>
      </c>
    </row>
    <row r="243">
      <c r="A243" s="14">
        <v>46115.0</v>
      </c>
      <c r="B243" s="58" t="s">
        <v>1009</v>
      </c>
      <c r="C243" s="58" t="s">
        <v>1010</v>
      </c>
      <c r="D243" s="7" t="s">
        <v>21</v>
      </c>
      <c r="E243" s="58" t="s">
        <v>1011</v>
      </c>
      <c r="F243" s="58" t="s">
        <v>55</v>
      </c>
      <c r="G243" s="7">
        <v>9.978398341E9</v>
      </c>
      <c r="H243" s="7">
        <v>9.638241871E9</v>
      </c>
      <c r="I243" s="7">
        <v>28000.0</v>
      </c>
      <c r="J243" s="60">
        <v>46449.0</v>
      </c>
      <c r="K243" s="7" t="s">
        <v>56</v>
      </c>
      <c r="L243" s="9" t="s">
        <v>49</v>
      </c>
      <c r="M243" s="7" t="s">
        <v>365</v>
      </c>
      <c r="N243" s="7" t="s">
        <v>28</v>
      </c>
      <c r="O243" s="75">
        <v>45314.0</v>
      </c>
      <c r="P243" s="70">
        <v>47757.0</v>
      </c>
      <c r="Q243" s="5">
        <v>29.0</v>
      </c>
      <c r="R243" s="12">
        <f t="shared" si="6"/>
        <v>13141.06</v>
      </c>
    </row>
    <row r="244">
      <c r="A244" s="14">
        <v>46115.0</v>
      </c>
      <c r="B244" s="58" t="s">
        <v>1012</v>
      </c>
      <c r="C244" s="58" t="s">
        <v>1013</v>
      </c>
      <c r="D244" s="7" t="s">
        <v>44</v>
      </c>
      <c r="E244" s="58" t="s">
        <v>434</v>
      </c>
      <c r="F244" s="58" t="s">
        <v>1014</v>
      </c>
      <c r="G244" s="7">
        <v>9.825827656E9</v>
      </c>
      <c r="H244" s="7" t="s">
        <v>1015</v>
      </c>
      <c r="I244" s="7">
        <v>5950.0</v>
      </c>
      <c r="J244" s="14">
        <v>46510.0</v>
      </c>
      <c r="K244" s="7" t="s">
        <v>25</v>
      </c>
      <c r="L244" s="9" t="s">
        <v>26</v>
      </c>
      <c r="M244" s="7" t="s">
        <v>71</v>
      </c>
      <c r="N244" s="7" t="s">
        <v>28</v>
      </c>
      <c r="O244" s="70">
        <v>16748.0</v>
      </c>
      <c r="P244" s="70">
        <v>17676.0</v>
      </c>
      <c r="Q244" s="5">
        <v>40.0</v>
      </c>
      <c r="R244" s="12">
        <f t="shared" si="6"/>
        <v>6699.2</v>
      </c>
    </row>
    <row r="245">
      <c r="A245" s="14">
        <v>46115.0</v>
      </c>
      <c r="B245" s="58" t="s">
        <v>1016</v>
      </c>
      <c r="C245" s="58" t="s">
        <v>1017</v>
      </c>
      <c r="D245" s="7" t="s">
        <v>44</v>
      </c>
      <c r="E245" s="58" t="s">
        <v>1018</v>
      </c>
      <c r="F245" s="58" t="s">
        <v>1019</v>
      </c>
      <c r="G245" s="7" t="s">
        <v>1020</v>
      </c>
      <c r="H245" s="7">
        <v>9.313909043E9</v>
      </c>
      <c r="I245" s="7">
        <v>2670.0</v>
      </c>
      <c r="J245" s="7" t="s">
        <v>1021</v>
      </c>
      <c r="K245" s="7" t="s">
        <v>25</v>
      </c>
      <c r="L245" s="9" t="s">
        <v>26</v>
      </c>
      <c r="M245" s="7" t="s">
        <v>101</v>
      </c>
      <c r="N245" s="7" t="s">
        <v>28</v>
      </c>
      <c r="O245" s="70">
        <v>16748.0</v>
      </c>
      <c r="P245" s="70">
        <v>17676.0</v>
      </c>
      <c r="Q245" s="6">
        <v>60.0</v>
      </c>
      <c r="R245" s="12">
        <f t="shared" si="6"/>
        <v>10048.8</v>
      </c>
    </row>
    <row r="246">
      <c r="A246" s="14">
        <v>46115.0</v>
      </c>
      <c r="B246" s="58" t="s">
        <v>1022</v>
      </c>
      <c r="C246" s="58" t="s">
        <v>1023</v>
      </c>
      <c r="D246" s="7" t="s">
        <v>21</v>
      </c>
      <c r="E246" s="58" t="s">
        <v>748</v>
      </c>
      <c r="F246" s="58" t="s">
        <v>1024</v>
      </c>
      <c r="G246" s="7">
        <v>9.879456253E9</v>
      </c>
      <c r="H246" s="7">
        <v>7.575093751E9</v>
      </c>
      <c r="I246" s="7">
        <v>35500.0</v>
      </c>
      <c r="J246" s="14">
        <v>46449.0</v>
      </c>
      <c r="K246" s="7" t="s">
        <v>25</v>
      </c>
      <c r="L246" s="9" t="s">
        <v>26</v>
      </c>
      <c r="M246" s="7" t="s">
        <v>71</v>
      </c>
      <c r="N246" s="7" t="s">
        <v>28</v>
      </c>
      <c r="O246" s="70">
        <v>44649.0</v>
      </c>
      <c r="P246" s="70">
        <v>46972.0</v>
      </c>
      <c r="Q246" s="5">
        <v>44.0</v>
      </c>
      <c r="R246" s="12">
        <f t="shared" si="6"/>
        <v>19645.56</v>
      </c>
    </row>
    <row r="247">
      <c r="A247" s="14">
        <v>46145.0</v>
      </c>
      <c r="B247" s="58" t="s">
        <v>1025</v>
      </c>
      <c r="C247" s="58" t="s">
        <v>1026</v>
      </c>
      <c r="D247" s="7" t="s">
        <v>93</v>
      </c>
      <c r="E247" s="58" t="s">
        <v>1027</v>
      </c>
      <c r="F247" s="58" t="s">
        <v>1028</v>
      </c>
      <c r="G247" s="7">
        <v>9.624255432E9</v>
      </c>
      <c r="H247" s="7">
        <v>9.624049919E9</v>
      </c>
      <c r="I247" s="7">
        <v>9600.0</v>
      </c>
      <c r="J247" s="60">
        <v>46480.0</v>
      </c>
      <c r="K247" s="7" t="s">
        <v>668</v>
      </c>
      <c r="L247" s="9" t="s">
        <v>49</v>
      </c>
      <c r="M247" s="7" t="s">
        <v>96</v>
      </c>
      <c r="N247" s="7" t="s">
        <v>28</v>
      </c>
      <c r="O247" s="70">
        <v>28177.0</v>
      </c>
      <c r="P247" s="70">
        <v>29715.0</v>
      </c>
      <c r="Q247" s="6">
        <v>28.0</v>
      </c>
      <c r="R247" s="12">
        <f t="shared" si="6"/>
        <v>7889.56</v>
      </c>
    </row>
    <row r="248">
      <c r="A248" s="25" t="s">
        <v>57</v>
      </c>
      <c r="B248" s="24" t="s">
        <v>1029</v>
      </c>
      <c r="C248" s="24" t="s">
        <v>1030</v>
      </c>
      <c r="D248" s="25" t="s">
        <v>21</v>
      </c>
      <c r="E248" s="24" t="s">
        <v>1031</v>
      </c>
      <c r="F248" s="24" t="s">
        <v>1032</v>
      </c>
      <c r="G248" s="25">
        <v>9.924042043E9</v>
      </c>
      <c r="H248" s="25">
        <v>9.824771543E9</v>
      </c>
      <c r="I248" s="25">
        <v>18500.0</v>
      </c>
      <c r="J248" s="25" t="s">
        <v>64</v>
      </c>
      <c r="K248" s="25" t="s">
        <v>56</v>
      </c>
      <c r="L248" s="26" t="s">
        <v>49</v>
      </c>
      <c r="M248" s="25" t="s">
        <v>33</v>
      </c>
      <c r="N248" s="25" t="s">
        <v>28</v>
      </c>
      <c r="O248" s="25">
        <v>36877.0</v>
      </c>
      <c r="P248" s="25">
        <v>38924.0</v>
      </c>
      <c r="Q248" s="76">
        <v>20.0</v>
      </c>
      <c r="R248" s="12">
        <f t="shared" si="6"/>
        <v>7375.4</v>
      </c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</row>
    <row r="249">
      <c r="A249" s="25" t="s">
        <v>399</v>
      </c>
      <c r="B249" s="24" t="s">
        <v>1033</v>
      </c>
      <c r="C249" s="24" t="s">
        <v>1034</v>
      </c>
      <c r="D249" s="25" t="s">
        <v>21</v>
      </c>
      <c r="E249" s="24" t="s">
        <v>1035</v>
      </c>
      <c r="F249" s="24" t="s">
        <v>1036</v>
      </c>
      <c r="G249" s="25">
        <v>7.87752384E9</v>
      </c>
      <c r="H249" s="25">
        <v>9.824823333E9</v>
      </c>
      <c r="I249" s="25">
        <v>55000.0</v>
      </c>
      <c r="J249" s="25" t="s">
        <v>419</v>
      </c>
      <c r="K249" s="25" t="s">
        <v>56</v>
      </c>
      <c r="L249" s="26" t="s">
        <v>49</v>
      </c>
      <c r="M249" s="25" t="s">
        <v>96</v>
      </c>
      <c r="N249" s="25" t="s">
        <v>28</v>
      </c>
      <c r="O249" s="29">
        <v>75956.0</v>
      </c>
      <c r="P249" s="29">
        <v>83877.0</v>
      </c>
      <c r="Q249" s="78">
        <v>24.0</v>
      </c>
      <c r="R249" s="12">
        <f t="shared" si="6"/>
        <v>18229.44</v>
      </c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</row>
    <row r="253">
      <c r="A253" s="14">
        <v>46237.0</v>
      </c>
      <c r="B253" s="8" t="s">
        <v>1037</v>
      </c>
      <c r="C253" s="8" t="s">
        <v>1038</v>
      </c>
      <c r="D253" s="7" t="s">
        <v>44</v>
      </c>
      <c r="E253" s="8" t="s">
        <v>524</v>
      </c>
      <c r="F253" s="8" t="s">
        <v>1039</v>
      </c>
      <c r="G253" s="7">
        <v>8.128042544E9</v>
      </c>
      <c r="H253" s="7">
        <v>9.925409747E9</v>
      </c>
      <c r="I253" s="7">
        <v>3490.0</v>
      </c>
      <c r="J253" s="14">
        <v>46602.0</v>
      </c>
      <c r="K253" s="7" t="s">
        <v>116</v>
      </c>
      <c r="L253" s="9" t="s">
        <v>49</v>
      </c>
      <c r="M253" s="7" t="s">
        <v>71</v>
      </c>
      <c r="N253" s="7" t="s">
        <v>28</v>
      </c>
      <c r="O253" s="11">
        <v>21220.0</v>
      </c>
      <c r="P253" s="11">
        <v>22942.0</v>
      </c>
      <c r="Q253" s="6">
        <v>54.0</v>
      </c>
      <c r="R253" s="12">
        <f t="shared" ref="R253:R312" si="7">O253*Q253%</f>
        <v>11458.8</v>
      </c>
    </row>
    <row r="254">
      <c r="A254" s="14">
        <v>46237.0</v>
      </c>
      <c r="B254" s="8" t="s">
        <v>293</v>
      </c>
      <c r="C254" s="8" t="s">
        <v>1040</v>
      </c>
      <c r="D254" s="7" t="s">
        <v>37</v>
      </c>
      <c r="E254" s="8" t="s">
        <v>1041</v>
      </c>
      <c r="F254" s="8" t="s">
        <v>1042</v>
      </c>
      <c r="G254" s="7">
        <v>8.980805252E9</v>
      </c>
      <c r="H254" s="7">
        <v>8.404000099E9</v>
      </c>
      <c r="I254" s="8"/>
      <c r="J254" s="14">
        <v>46571.0</v>
      </c>
      <c r="K254" s="7" t="s">
        <v>1043</v>
      </c>
      <c r="L254" s="9" t="s">
        <v>49</v>
      </c>
      <c r="M254" s="7" t="s">
        <v>365</v>
      </c>
      <c r="N254" s="7" t="s">
        <v>28</v>
      </c>
      <c r="O254" s="11">
        <v>12690.0</v>
      </c>
      <c r="P254" s="11">
        <v>14974.2</v>
      </c>
      <c r="Q254" s="6">
        <v>22.0</v>
      </c>
      <c r="R254" s="12">
        <f t="shared" si="7"/>
        <v>2791.8</v>
      </c>
    </row>
    <row r="255">
      <c r="A255" s="14">
        <v>46237.0</v>
      </c>
      <c r="B255" s="8" t="s">
        <v>1044</v>
      </c>
      <c r="C255" s="8" t="s">
        <v>1045</v>
      </c>
      <c r="D255" s="7" t="s">
        <v>44</v>
      </c>
      <c r="E255" s="8" t="s">
        <v>1046</v>
      </c>
      <c r="F255" s="8" t="s">
        <v>1047</v>
      </c>
      <c r="G255" s="7">
        <v>7.572875861E9</v>
      </c>
      <c r="H255" s="7">
        <v>7.60018001E9</v>
      </c>
      <c r="I255" s="7">
        <v>2500.0</v>
      </c>
      <c r="J255" s="14">
        <v>46571.0</v>
      </c>
      <c r="K255" s="7" t="s">
        <v>143</v>
      </c>
      <c r="L255" s="9" t="s">
        <v>49</v>
      </c>
      <c r="M255" s="7" t="s">
        <v>27</v>
      </c>
      <c r="N255" s="7" t="s">
        <v>28</v>
      </c>
      <c r="O255" s="11">
        <v>17123.0</v>
      </c>
      <c r="P255" s="11">
        <v>18119.0</v>
      </c>
      <c r="Q255" s="6">
        <v>62.0</v>
      </c>
      <c r="R255" s="12">
        <f t="shared" si="7"/>
        <v>10616.26</v>
      </c>
    </row>
    <row r="256">
      <c r="A256" s="14">
        <v>46298.0</v>
      </c>
      <c r="B256" s="8" t="s">
        <v>1048</v>
      </c>
      <c r="C256" s="8" t="s">
        <v>1049</v>
      </c>
      <c r="D256" s="7" t="s">
        <v>44</v>
      </c>
      <c r="E256" s="8" t="s">
        <v>1050</v>
      </c>
      <c r="F256" s="8" t="s">
        <v>1051</v>
      </c>
      <c r="G256" s="7">
        <v>9.974536399E9</v>
      </c>
      <c r="H256" s="7">
        <v>8.849574364E9</v>
      </c>
      <c r="I256" s="7">
        <v>5300.0</v>
      </c>
      <c r="J256" s="7" t="s">
        <v>1052</v>
      </c>
      <c r="K256" s="7" t="s">
        <v>25</v>
      </c>
      <c r="L256" s="9" t="s">
        <v>26</v>
      </c>
      <c r="M256" s="7" t="s">
        <v>340</v>
      </c>
      <c r="N256" s="7" t="s">
        <v>28</v>
      </c>
      <c r="O256" s="11">
        <v>16748.0</v>
      </c>
      <c r="P256" s="11">
        <v>17676.0</v>
      </c>
      <c r="Q256" s="6">
        <v>44.0</v>
      </c>
      <c r="R256" s="12">
        <f t="shared" si="7"/>
        <v>7369.12</v>
      </c>
    </row>
    <row r="257">
      <c r="A257" s="14">
        <v>46298.0</v>
      </c>
      <c r="B257" s="8" t="s">
        <v>1053</v>
      </c>
      <c r="C257" s="8" t="s">
        <v>1054</v>
      </c>
      <c r="D257" s="7" t="s">
        <v>93</v>
      </c>
      <c r="E257" s="8" t="s">
        <v>1055</v>
      </c>
      <c r="F257" s="8" t="s">
        <v>1056</v>
      </c>
      <c r="G257" s="7">
        <v>9.712821789E9</v>
      </c>
      <c r="H257" s="7">
        <v>8.000033181E9</v>
      </c>
      <c r="I257" s="7">
        <v>11990.0</v>
      </c>
      <c r="J257" s="14">
        <v>46602.0</v>
      </c>
      <c r="K257" s="7" t="s">
        <v>25</v>
      </c>
      <c r="L257" s="9" t="s">
        <v>49</v>
      </c>
      <c r="M257" s="7" t="s">
        <v>27</v>
      </c>
      <c r="N257" s="7" t="s">
        <v>28</v>
      </c>
      <c r="O257" s="11">
        <v>28539.0</v>
      </c>
      <c r="P257" s="11">
        <v>30142.0</v>
      </c>
      <c r="Q257" s="6">
        <v>31.0</v>
      </c>
      <c r="R257" s="12">
        <f t="shared" si="7"/>
        <v>8847.09</v>
      </c>
    </row>
    <row r="258">
      <c r="A258" s="14">
        <v>46298.0</v>
      </c>
      <c r="B258" s="8" t="s">
        <v>1057</v>
      </c>
      <c r="C258" s="8" t="s">
        <v>1058</v>
      </c>
      <c r="D258" s="7" t="s">
        <v>37</v>
      </c>
      <c r="E258" s="8" t="s">
        <v>1059</v>
      </c>
      <c r="F258" s="8" t="s">
        <v>1060</v>
      </c>
      <c r="G258" s="7">
        <v>9.879594866E9</v>
      </c>
      <c r="H258" s="7">
        <v>9.925155855E9</v>
      </c>
      <c r="I258" s="7">
        <v>4399.0</v>
      </c>
      <c r="J258" s="14">
        <v>46724.0</v>
      </c>
      <c r="K258" s="7" t="s">
        <v>25</v>
      </c>
      <c r="L258" s="9" t="s">
        <v>49</v>
      </c>
      <c r="M258" s="7" t="s">
        <v>71</v>
      </c>
      <c r="N258" s="7" t="s">
        <v>28</v>
      </c>
      <c r="O258" s="11">
        <v>16101.0</v>
      </c>
      <c r="P258" s="11">
        <v>18999.0</v>
      </c>
      <c r="Q258" s="6">
        <v>35.0</v>
      </c>
      <c r="R258" s="12">
        <f t="shared" si="7"/>
        <v>5635.35</v>
      </c>
    </row>
    <row r="259">
      <c r="A259" s="14">
        <v>46329.0</v>
      </c>
      <c r="B259" s="8" t="s">
        <v>1061</v>
      </c>
      <c r="C259" s="8" t="s">
        <v>1062</v>
      </c>
      <c r="D259" s="7" t="s">
        <v>93</v>
      </c>
      <c r="E259" s="8" t="s">
        <v>1063</v>
      </c>
      <c r="F259" s="8" t="s">
        <v>1064</v>
      </c>
      <c r="G259" s="7">
        <f>8238843471</f>
        <v>8238843471</v>
      </c>
      <c r="H259" s="7">
        <f>9825383466</f>
        <v>9825383466</v>
      </c>
      <c r="I259" s="7">
        <v>11990.0</v>
      </c>
      <c r="J259" s="14">
        <v>46663.0</v>
      </c>
      <c r="K259" s="7" t="s">
        <v>25</v>
      </c>
      <c r="L259" s="9" t="s">
        <v>49</v>
      </c>
      <c r="M259" s="7" t="s">
        <v>33</v>
      </c>
      <c r="N259" s="7" t="s">
        <v>28</v>
      </c>
      <c r="O259" s="15">
        <v>31224.0</v>
      </c>
      <c r="P259" s="11">
        <v>33310.0</v>
      </c>
      <c r="Q259" s="6">
        <v>31.0</v>
      </c>
      <c r="R259" s="12">
        <f t="shared" si="7"/>
        <v>9679.44</v>
      </c>
    </row>
    <row r="260">
      <c r="A260" s="14">
        <v>46329.0</v>
      </c>
      <c r="B260" s="8" t="s">
        <v>1065</v>
      </c>
      <c r="C260" s="8" t="s">
        <v>1066</v>
      </c>
      <c r="D260" s="7" t="s">
        <v>44</v>
      </c>
      <c r="E260" s="8" t="s">
        <v>402</v>
      </c>
      <c r="F260" s="8" t="s">
        <v>1067</v>
      </c>
      <c r="G260" s="21">
        <v>7.984590709E9</v>
      </c>
      <c r="H260" s="7" t="s">
        <v>63</v>
      </c>
      <c r="I260" s="7">
        <v>3900.0</v>
      </c>
      <c r="J260" s="14">
        <v>46663.0</v>
      </c>
      <c r="K260" s="7" t="s">
        <v>25</v>
      </c>
      <c r="L260" s="9" t="s">
        <v>49</v>
      </c>
      <c r="M260" s="7" t="s">
        <v>365</v>
      </c>
      <c r="N260" s="7" t="s">
        <v>28</v>
      </c>
      <c r="O260" s="11">
        <v>24264.0</v>
      </c>
      <c r="P260" s="11">
        <v>26545.0</v>
      </c>
      <c r="Q260" s="6">
        <v>37.0</v>
      </c>
      <c r="R260" s="12">
        <f t="shared" si="7"/>
        <v>8977.68</v>
      </c>
    </row>
    <row r="261">
      <c r="A261" s="14">
        <v>46329.0</v>
      </c>
      <c r="B261" s="8" t="s">
        <v>1068</v>
      </c>
      <c r="C261" s="8" t="s">
        <v>1069</v>
      </c>
      <c r="D261" s="7" t="s">
        <v>44</v>
      </c>
      <c r="E261" s="8" t="s">
        <v>1070</v>
      </c>
      <c r="F261" s="8" t="s">
        <v>1071</v>
      </c>
      <c r="G261" s="79" t="s">
        <v>1072</v>
      </c>
      <c r="H261" s="7" t="s">
        <v>63</v>
      </c>
      <c r="I261" s="7">
        <v>2990.0</v>
      </c>
      <c r="J261" s="14">
        <v>46633.0</v>
      </c>
      <c r="K261" s="7" t="s">
        <v>25</v>
      </c>
      <c r="L261" s="9" t="s">
        <v>26</v>
      </c>
      <c r="M261" s="7" t="s">
        <v>71</v>
      </c>
      <c r="N261" s="7" t="s">
        <v>28</v>
      </c>
      <c r="O261" s="7">
        <v>16698.0</v>
      </c>
      <c r="P261" s="7">
        <v>17617.0</v>
      </c>
      <c r="Q261" s="6">
        <v>58.0</v>
      </c>
      <c r="R261" s="12">
        <f t="shared" si="7"/>
        <v>9684.84</v>
      </c>
    </row>
    <row r="262">
      <c r="A262" s="14">
        <v>46329.0</v>
      </c>
      <c r="B262" s="8" t="s">
        <v>1073</v>
      </c>
      <c r="C262" s="8" t="s">
        <v>1074</v>
      </c>
      <c r="D262" s="7" t="s">
        <v>966</v>
      </c>
      <c r="E262" s="8" t="s">
        <v>1075</v>
      </c>
      <c r="F262" s="8" t="s">
        <v>1076</v>
      </c>
      <c r="G262" s="7">
        <v>9.662708808E9</v>
      </c>
      <c r="H262" s="7">
        <v>9.825269509E9</v>
      </c>
      <c r="I262" s="7">
        <v>796.0</v>
      </c>
      <c r="J262" s="14">
        <v>46633.0</v>
      </c>
      <c r="K262" s="7" t="s">
        <v>78</v>
      </c>
      <c r="L262" s="9" t="s">
        <v>49</v>
      </c>
      <c r="M262" s="7" t="s">
        <v>71</v>
      </c>
      <c r="N262" s="7" t="s">
        <v>28</v>
      </c>
      <c r="O262" s="80">
        <v>4324.0</v>
      </c>
      <c r="P262" s="11">
        <v>8323.0</v>
      </c>
      <c r="Q262" s="6">
        <v>27.0</v>
      </c>
      <c r="R262" s="12">
        <f t="shared" si="7"/>
        <v>1167.48</v>
      </c>
    </row>
    <row r="263">
      <c r="A263" s="14">
        <v>46359.0</v>
      </c>
      <c r="B263" s="8" t="s">
        <v>1077</v>
      </c>
      <c r="C263" s="8" t="s">
        <v>1078</v>
      </c>
      <c r="D263" s="7" t="s">
        <v>21</v>
      </c>
      <c r="E263" s="8" t="s">
        <v>1079</v>
      </c>
      <c r="F263" s="8" t="s">
        <v>1080</v>
      </c>
      <c r="G263" s="7">
        <v>7.984725913E9</v>
      </c>
      <c r="H263" s="7" t="s">
        <v>63</v>
      </c>
      <c r="I263" s="7">
        <v>28000.0</v>
      </c>
      <c r="J263" s="14">
        <v>46663.0</v>
      </c>
      <c r="K263" s="7" t="s">
        <v>25</v>
      </c>
      <c r="L263" s="9" t="s">
        <v>26</v>
      </c>
      <c r="M263" s="7" t="s">
        <v>219</v>
      </c>
      <c r="N263" s="7" t="s">
        <v>28</v>
      </c>
      <c r="O263" s="11">
        <v>44100.0</v>
      </c>
      <c r="P263" s="7">
        <v>46325.0</v>
      </c>
      <c r="Q263" s="6">
        <v>46.0</v>
      </c>
      <c r="R263" s="12">
        <f t="shared" si="7"/>
        <v>20286</v>
      </c>
    </row>
    <row r="264">
      <c r="A264" s="14">
        <v>46359.0</v>
      </c>
      <c r="B264" s="8" t="s">
        <v>1081</v>
      </c>
      <c r="C264" s="8" t="s">
        <v>1082</v>
      </c>
      <c r="D264" s="7" t="s">
        <v>44</v>
      </c>
      <c r="E264" s="8" t="s">
        <v>178</v>
      </c>
      <c r="F264" s="8" t="s">
        <v>1083</v>
      </c>
      <c r="G264" s="7">
        <v>9.638647786E9</v>
      </c>
      <c r="H264" s="7">
        <v>9.638347783E9</v>
      </c>
      <c r="I264" s="7">
        <v>3460.0</v>
      </c>
      <c r="J264" s="14">
        <v>46663.0</v>
      </c>
      <c r="K264" s="7" t="s">
        <v>116</v>
      </c>
      <c r="L264" s="9" t="s">
        <v>49</v>
      </c>
      <c r="M264" s="7" t="s">
        <v>71</v>
      </c>
      <c r="N264" s="7" t="s">
        <v>28</v>
      </c>
      <c r="O264" s="11">
        <v>21095.0</v>
      </c>
      <c r="P264" s="11">
        <v>22796.0</v>
      </c>
      <c r="Q264" s="6">
        <v>54.0</v>
      </c>
      <c r="R264" s="12">
        <f t="shared" si="7"/>
        <v>11391.3</v>
      </c>
    </row>
    <row r="265">
      <c r="A265" s="7" t="s">
        <v>1084</v>
      </c>
      <c r="B265" s="8" t="s">
        <v>1085</v>
      </c>
      <c r="C265" s="8" t="s">
        <v>1086</v>
      </c>
      <c r="D265" s="7" t="s">
        <v>44</v>
      </c>
      <c r="E265" s="8" t="s">
        <v>434</v>
      </c>
      <c r="F265" s="8" t="s">
        <v>1087</v>
      </c>
      <c r="G265" s="7" t="s">
        <v>1088</v>
      </c>
      <c r="H265" s="7">
        <v>7.433003884E9</v>
      </c>
      <c r="I265" s="7">
        <v>5700.0</v>
      </c>
      <c r="J265" s="14">
        <v>46694.0</v>
      </c>
      <c r="K265" s="7" t="s">
        <v>25</v>
      </c>
      <c r="L265" s="9" t="s">
        <v>26</v>
      </c>
      <c r="M265" s="7" t="s">
        <v>144</v>
      </c>
      <c r="N265" s="7" t="s">
        <v>28</v>
      </c>
      <c r="O265" s="15">
        <v>16748.0</v>
      </c>
      <c r="P265" s="15">
        <v>17676.0</v>
      </c>
      <c r="Q265" s="6">
        <v>44.0</v>
      </c>
      <c r="R265" s="12">
        <f t="shared" si="7"/>
        <v>7369.12</v>
      </c>
    </row>
    <row r="266">
      <c r="A266" s="7" t="s">
        <v>1084</v>
      </c>
      <c r="B266" s="8" t="s">
        <v>1089</v>
      </c>
      <c r="C266" s="8" t="s">
        <v>1090</v>
      </c>
      <c r="D266" s="7" t="s">
        <v>44</v>
      </c>
      <c r="E266" s="8" t="s">
        <v>1091</v>
      </c>
      <c r="F266" s="8" t="s">
        <v>1092</v>
      </c>
      <c r="G266" s="7">
        <v>9.173371235E9</v>
      </c>
      <c r="H266" s="7">
        <v>8.487891733E9</v>
      </c>
      <c r="I266" s="7">
        <v>3480.0</v>
      </c>
      <c r="J266" s="14">
        <v>46724.0</v>
      </c>
      <c r="K266" s="7" t="s">
        <v>116</v>
      </c>
      <c r="L266" s="9" t="s">
        <v>49</v>
      </c>
      <c r="M266" s="7" t="s">
        <v>71</v>
      </c>
      <c r="N266" s="7" t="s">
        <v>28</v>
      </c>
      <c r="O266" s="11">
        <v>21421.0</v>
      </c>
      <c r="P266" s="11">
        <v>23180.0</v>
      </c>
      <c r="Q266" s="6">
        <v>54.0</v>
      </c>
      <c r="R266" s="12">
        <f t="shared" si="7"/>
        <v>11567.34</v>
      </c>
    </row>
    <row r="267">
      <c r="A267" s="7" t="s">
        <v>1084</v>
      </c>
      <c r="B267" s="8" t="s">
        <v>1093</v>
      </c>
      <c r="C267" s="8" t="s">
        <v>1094</v>
      </c>
      <c r="D267" s="7" t="s">
        <v>21</v>
      </c>
      <c r="E267" s="8" t="s">
        <v>748</v>
      </c>
      <c r="F267" s="8" t="s">
        <v>1095</v>
      </c>
      <c r="G267" s="7">
        <v>9.90988989E9</v>
      </c>
      <c r="H267" s="7">
        <v>8.99988989E9</v>
      </c>
      <c r="I267" s="7">
        <v>35000.0</v>
      </c>
      <c r="J267" s="14">
        <v>46724.0</v>
      </c>
      <c r="K267" s="7" t="s">
        <v>116</v>
      </c>
      <c r="L267" s="9" t="s">
        <v>49</v>
      </c>
      <c r="M267" s="7" t="s">
        <v>27</v>
      </c>
      <c r="N267" s="7" t="s">
        <v>28</v>
      </c>
      <c r="O267" s="11">
        <v>88837.0</v>
      </c>
      <c r="P267" s="11">
        <v>99100.0</v>
      </c>
      <c r="Q267" s="6">
        <v>30.0</v>
      </c>
      <c r="R267" s="12">
        <f t="shared" si="7"/>
        <v>26651.1</v>
      </c>
    </row>
    <row r="268">
      <c r="A268" s="7" t="s">
        <v>1084</v>
      </c>
      <c r="B268" s="8" t="s">
        <v>1096</v>
      </c>
      <c r="C268" s="8" t="s">
        <v>1097</v>
      </c>
      <c r="D268" s="7" t="s">
        <v>21</v>
      </c>
      <c r="E268" s="8" t="s">
        <v>748</v>
      </c>
      <c r="F268" s="8" t="s">
        <v>1095</v>
      </c>
      <c r="G268" s="7">
        <v>9.90988989E9</v>
      </c>
      <c r="H268" s="7">
        <v>8.99988989E9</v>
      </c>
      <c r="I268" s="7">
        <v>35000.0</v>
      </c>
      <c r="J268" s="14">
        <v>46724.0</v>
      </c>
      <c r="K268" s="7" t="s">
        <v>116</v>
      </c>
      <c r="L268" s="9" t="s">
        <v>49</v>
      </c>
      <c r="M268" s="7" t="s">
        <v>27</v>
      </c>
      <c r="N268" s="7" t="s">
        <v>28</v>
      </c>
      <c r="O268" s="11">
        <v>88837.0</v>
      </c>
      <c r="P268" s="11">
        <v>99100.0</v>
      </c>
      <c r="Q268" s="6">
        <v>30.0</v>
      </c>
      <c r="R268" s="12">
        <f t="shared" si="7"/>
        <v>26651.1</v>
      </c>
    </row>
    <row r="269">
      <c r="A269" s="7" t="s">
        <v>1098</v>
      </c>
      <c r="B269" s="8" t="s">
        <v>1099</v>
      </c>
      <c r="C269" s="8" t="s">
        <v>1100</v>
      </c>
      <c r="D269" s="7" t="s">
        <v>21</v>
      </c>
      <c r="E269" s="8" t="s">
        <v>1101</v>
      </c>
      <c r="F269" s="8" t="s">
        <v>1102</v>
      </c>
      <c r="G269" s="7">
        <v>9.913222772E9</v>
      </c>
      <c r="H269" s="7">
        <v>9.724842404E9</v>
      </c>
      <c r="I269" s="7">
        <v>25000.0</v>
      </c>
      <c r="J269" s="7" t="s">
        <v>1052</v>
      </c>
      <c r="K269" s="7" t="s">
        <v>25</v>
      </c>
      <c r="L269" s="9" t="s">
        <v>26</v>
      </c>
      <c r="M269" s="7" t="s">
        <v>365</v>
      </c>
      <c r="N269" s="7" t="s">
        <v>28</v>
      </c>
      <c r="O269" s="11">
        <v>44649.0</v>
      </c>
      <c r="P269" s="11">
        <v>46972.0</v>
      </c>
      <c r="Q269" s="6">
        <v>46.0</v>
      </c>
      <c r="R269" s="12">
        <f t="shared" si="7"/>
        <v>20538.54</v>
      </c>
    </row>
    <row r="270">
      <c r="A270" s="7" t="s">
        <v>1103</v>
      </c>
      <c r="B270" s="8" t="s">
        <v>1104</v>
      </c>
      <c r="C270" s="8" t="s">
        <v>1105</v>
      </c>
      <c r="D270" s="7" t="s">
        <v>44</v>
      </c>
      <c r="E270" s="8" t="s">
        <v>1106</v>
      </c>
      <c r="F270" s="8" t="s">
        <v>1107</v>
      </c>
      <c r="G270" s="7">
        <v>9.773143578E9</v>
      </c>
      <c r="H270" s="7">
        <v>9.024592078E9</v>
      </c>
      <c r="I270" s="7">
        <v>2820.0</v>
      </c>
      <c r="J270" s="7" t="s">
        <v>1052</v>
      </c>
      <c r="K270" s="7" t="s">
        <v>25</v>
      </c>
      <c r="L270" s="9" t="s">
        <v>26</v>
      </c>
      <c r="M270" s="7" t="s">
        <v>71</v>
      </c>
      <c r="N270" s="7" t="s">
        <v>28</v>
      </c>
      <c r="O270" s="11">
        <v>16748.0</v>
      </c>
      <c r="P270" s="7">
        <v>17676.0</v>
      </c>
      <c r="Q270" s="6">
        <v>58.0</v>
      </c>
      <c r="R270" s="12">
        <f t="shared" si="7"/>
        <v>9713.84</v>
      </c>
    </row>
    <row r="271">
      <c r="A271" s="7" t="s">
        <v>1108</v>
      </c>
      <c r="B271" s="8" t="s">
        <v>1109</v>
      </c>
      <c r="C271" s="8" t="s">
        <v>1110</v>
      </c>
      <c r="D271" s="7" t="s">
        <v>93</v>
      </c>
      <c r="E271" s="8" t="s">
        <v>1111</v>
      </c>
      <c r="F271" s="8" t="s">
        <v>1112</v>
      </c>
      <c r="G271" s="7" t="s">
        <v>1113</v>
      </c>
      <c r="H271" s="7" t="s">
        <v>1114</v>
      </c>
      <c r="I271" s="7">
        <v>11990.0</v>
      </c>
      <c r="J271" s="7" t="s">
        <v>1115</v>
      </c>
      <c r="K271" s="7" t="s">
        <v>25</v>
      </c>
      <c r="L271" s="9" t="s">
        <v>26</v>
      </c>
      <c r="M271" s="7" t="s">
        <v>27</v>
      </c>
      <c r="N271" s="7" t="s">
        <v>28</v>
      </c>
      <c r="O271" s="11">
        <v>27885.0</v>
      </c>
      <c r="P271" s="11">
        <v>29370.0</v>
      </c>
      <c r="Q271" s="6">
        <v>31.0</v>
      </c>
      <c r="R271" s="12">
        <f t="shared" si="7"/>
        <v>8644.35</v>
      </c>
    </row>
    <row r="272">
      <c r="A272" s="7" t="s">
        <v>1108</v>
      </c>
      <c r="B272" s="8" t="s">
        <v>1116</v>
      </c>
      <c r="C272" s="8" t="s">
        <v>1117</v>
      </c>
      <c r="D272" s="7" t="s">
        <v>44</v>
      </c>
      <c r="E272" s="8" t="s">
        <v>402</v>
      </c>
      <c r="F272" s="8" t="s">
        <v>1118</v>
      </c>
      <c r="G272" s="7">
        <v>9.726920399E9</v>
      </c>
      <c r="H272" s="7">
        <v>9.909874479E9</v>
      </c>
      <c r="I272" s="7">
        <v>3895.0</v>
      </c>
      <c r="J272" s="7" t="s">
        <v>1119</v>
      </c>
      <c r="K272" s="7" t="s">
        <v>25</v>
      </c>
      <c r="L272" s="9" t="s">
        <v>49</v>
      </c>
      <c r="M272" s="7" t="s">
        <v>71</v>
      </c>
      <c r="N272" s="7" t="s">
        <v>28</v>
      </c>
      <c r="O272" s="11">
        <v>23570.0</v>
      </c>
      <c r="P272" s="11">
        <v>25726.0</v>
      </c>
      <c r="Q272" s="6">
        <v>37.0</v>
      </c>
      <c r="R272" s="12">
        <f t="shared" si="7"/>
        <v>8720.9</v>
      </c>
    </row>
    <row r="273">
      <c r="A273" s="7" t="s">
        <v>1120</v>
      </c>
      <c r="B273" s="8" t="s">
        <v>1121</v>
      </c>
      <c r="C273" s="8" t="s">
        <v>1122</v>
      </c>
      <c r="D273" s="7" t="s">
        <v>21</v>
      </c>
      <c r="E273" s="8" t="s">
        <v>1123</v>
      </c>
      <c r="F273" s="8" t="s">
        <v>1124</v>
      </c>
      <c r="G273" s="7">
        <v>9.99849863E9</v>
      </c>
      <c r="H273" s="7">
        <v>9.601101224E9</v>
      </c>
      <c r="I273" s="7">
        <v>25000.0</v>
      </c>
      <c r="J273" s="7" t="s">
        <v>1115</v>
      </c>
      <c r="K273" s="7" t="s">
        <v>25</v>
      </c>
      <c r="L273" s="9" t="s">
        <v>26</v>
      </c>
      <c r="M273" s="7" t="s">
        <v>285</v>
      </c>
      <c r="N273" s="7" t="s">
        <v>28</v>
      </c>
      <c r="O273" s="15">
        <v>44649.0</v>
      </c>
      <c r="P273" s="15">
        <v>46972.0</v>
      </c>
      <c r="Q273" s="6">
        <v>46.0</v>
      </c>
      <c r="R273" s="12">
        <f t="shared" si="7"/>
        <v>20538.54</v>
      </c>
    </row>
    <row r="274">
      <c r="A274" s="7" t="s">
        <v>1120</v>
      </c>
      <c r="B274" s="8" t="s">
        <v>1125</v>
      </c>
      <c r="C274" s="8" t="s">
        <v>1126</v>
      </c>
      <c r="D274" s="7" t="s">
        <v>21</v>
      </c>
      <c r="E274" s="8" t="s">
        <v>1127</v>
      </c>
      <c r="F274" s="8" t="s">
        <v>1128</v>
      </c>
      <c r="G274" s="7">
        <v>9.979573793E9</v>
      </c>
      <c r="H274" s="7">
        <v>9.979450492E9</v>
      </c>
      <c r="I274" s="7">
        <v>12500.0</v>
      </c>
      <c r="J274" s="7" t="s">
        <v>1115</v>
      </c>
      <c r="K274" s="7" t="s">
        <v>25</v>
      </c>
      <c r="L274" s="9" t="s">
        <v>26</v>
      </c>
      <c r="M274" s="7" t="s">
        <v>170</v>
      </c>
      <c r="N274" s="7" t="s">
        <v>28</v>
      </c>
      <c r="O274" s="11">
        <v>36012.0</v>
      </c>
      <c r="P274" s="11">
        <v>37903.0</v>
      </c>
      <c r="Q274" s="6">
        <v>46.0</v>
      </c>
      <c r="R274" s="12">
        <f t="shared" si="7"/>
        <v>16565.52</v>
      </c>
    </row>
    <row r="275">
      <c r="A275" s="7" t="s">
        <v>1120</v>
      </c>
      <c r="B275" s="8" t="s">
        <v>1129</v>
      </c>
      <c r="C275" s="8" t="s">
        <v>1130</v>
      </c>
      <c r="D275" s="7" t="s">
        <v>44</v>
      </c>
      <c r="E275" s="8" t="s">
        <v>1131</v>
      </c>
      <c r="F275" s="8" t="s">
        <v>1132</v>
      </c>
      <c r="G275" s="7">
        <v>7.990301082E9</v>
      </c>
      <c r="H275" s="7">
        <v>7.041869352E9</v>
      </c>
      <c r="I275" s="7">
        <v>2735.0</v>
      </c>
      <c r="J275" s="7" t="s">
        <v>991</v>
      </c>
      <c r="K275" s="7" t="s">
        <v>116</v>
      </c>
      <c r="L275" s="9" t="s">
        <v>49</v>
      </c>
      <c r="M275" s="7" t="s">
        <v>71</v>
      </c>
      <c r="N275" s="7" t="s">
        <v>28</v>
      </c>
      <c r="O275" s="11">
        <v>19979.0</v>
      </c>
      <c r="P275" s="11">
        <v>21631.0</v>
      </c>
      <c r="Q275" s="6">
        <v>54.0</v>
      </c>
      <c r="R275" s="12">
        <f t="shared" si="7"/>
        <v>10788.66</v>
      </c>
    </row>
    <row r="276">
      <c r="A276" s="7" t="s">
        <v>909</v>
      </c>
      <c r="B276" s="8" t="s">
        <v>1133</v>
      </c>
      <c r="C276" s="8" t="s">
        <v>1134</v>
      </c>
      <c r="D276" s="7" t="s">
        <v>93</v>
      </c>
      <c r="E276" s="8" t="s">
        <v>1135</v>
      </c>
      <c r="F276" s="8" t="s">
        <v>1136</v>
      </c>
      <c r="G276" s="7">
        <v>9.998836032E9</v>
      </c>
      <c r="H276" s="7">
        <v>9.913562963E9</v>
      </c>
      <c r="I276" s="7">
        <v>11990.0</v>
      </c>
      <c r="J276" s="7" t="s">
        <v>991</v>
      </c>
      <c r="K276" s="7" t="s">
        <v>25</v>
      </c>
      <c r="L276" s="9" t="s">
        <v>49</v>
      </c>
      <c r="M276" s="7" t="s">
        <v>71</v>
      </c>
      <c r="N276" s="7" t="s">
        <v>28</v>
      </c>
      <c r="O276" s="11">
        <v>33561.0</v>
      </c>
      <c r="P276" s="11">
        <v>36068.0</v>
      </c>
      <c r="Q276" s="6">
        <v>31.0</v>
      </c>
      <c r="R276" s="12">
        <f t="shared" si="7"/>
        <v>10403.91</v>
      </c>
    </row>
    <row r="277">
      <c r="A277" s="7" t="s">
        <v>909</v>
      </c>
      <c r="B277" s="8" t="s">
        <v>1029</v>
      </c>
      <c r="C277" s="8" t="s">
        <v>1137</v>
      </c>
      <c r="D277" s="7" t="s">
        <v>21</v>
      </c>
      <c r="E277" s="8" t="s">
        <v>1138</v>
      </c>
      <c r="F277" s="8" t="s">
        <v>1139</v>
      </c>
      <c r="G277" s="7">
        <v>9.924042043E9</v>
      </c>
      <c r="H277" s="7">
        <v>9.824771543E9</v>
      </c>
      <c r="I277" s="7">
        <v>18500.0</v>
      </c>
      <c r="J277" s="7" t="s">
        <v>1115</v>
      </c>
      <c r="K277" s="7" t="s">
        <v>1043</v>
      </c>
      <c r="L277" s="9" t="s">
        <v>49</v>
      </c>
      <c r="M277" s="81" t="s">
        <v>33</v>
      </c>
      <c r="N277" s="7" t="s">
        <v>28</v>
      </c>
      <c r="O277" s="15">
        <v>39161.86</v>
      </c>
      <c r="P277" s="15">
        <v>41620.32</v>
      </c>
      <c r="Q277" s="6">
        <v>24.0</v>
      </c>
      <c r="R277" s="12">
        <f t="shared" si="7"/>
        <v>9398.8464</v>
      </c>
    </row>
    <row r="278">
      <c r="A278" s="7" t="s">
        <v>1140</v>
      </c>
      <c r="B278" s="8" t="s">
        <v>1141</v>
      </c>
      <c r="C278" s="8" t="s">
        <v>1142</v>
      </c>
      <c r="D278" s="7" t="s">
        <v>37</v>
      </c>
      <c r="E278" s="8" t="s">
        <v>1143</v>
      </c>
      <c r="F278" s="8" t="s">
        <v>1144</v>
      </c>
      <c r="G278" s="7">
        <v>9.924269892E9</v>
      </c>
      <c r="H278" s="7" t="s">
        <v>605</v>
      </c>
      <c r="I278" s="7">
        <v>2730.0</v>
      </c>
      <c r="J278" s="7" t="s">
        <v>1145</v>
      </c>
      <c r="K278" s="7" t="s">
        <v>25</v>
      </c>
      <c r="L278" s="9" t="s">
        <v>49</v>
      </c>
      <c r="M278" s="7" t="s">
        <v>27</v>
      </c>
      <c r="N278" s="7" t="s">
        <v>28</v>
      </c>
      <c r="O278" s="11">
        <v>1101.0</v>
      </c>
      <c r="P278" s="11">
        <v>1300.0</v>
      </c>
      <c r="Q278" s="6">
        <v>0.0</v>
      </c>
      <c r="R278" s="12">
        <f t="shared" si="7"/>
        <v>0</v>
      </c>
    </row>
    <row r="279">
      <c r="A279" s="7" t="s">
        <v>1140</v>
      </c>
      <c r="B279" s="8" t="s">
        <v>1146</v>
      </c>
      <c r="C279" s="8" t="s">
        <v>1147</v>
      </c>
      <c r="D279" s="7" t="s">
        <v>21</v>
      </c>
      <c r="E279" s="8" t="s">
        <v>381</v>
      </c>
      <c r="F279" s="8" t="s">
        <v>1148</v>
      </c>
      <c r="G279" s="7">
        <v>9.033333157E9</v>
      </c>
      <c r="H279" s="7" t="s">
        <v>63</v>
      </c>
      <c r="I279" s="7">
        <v>18500.0</v>
      </c>
      <c r="J279" s="7" t="s">
        <v>1149</v>
      </c>
      <c r="K279" s="7" t="s">
        <v>25</v>
      </c>
      <c r="L279" s="9" t="s">
        <v>26</v>
      </c>
      <c r="M279" s="7" t="s">
        <v>71</v>
      </c>
      <c r="N279" s="7" t="s">
        <v>28</v>
      </c>
      <c r="O279" s="11">
        <v>36012.0</v>
      </c>
      <c r="P279" s="11">
        <v>37903.0</v>
      </c>
      <c r="Q279" s="6">
        <v>46.0</v>
      </c>
      <c r="R279" s="12">
        <f t="shared" si="7"/>
        <v>16565.52</v>
      </c>
    </row>
    <row r="280">
      <c r="A280" s="7" t="s">
        <v>1140</v>
      </c>
      <c r="B280" s="8" t="s">
        <v>1150</v>
      </c>
      <c r="C280" s="8" t="s">
        <v>1151</v>
      </c>
      <c r="D280" s="7" t="s">
        <v>21</v>
      </c>
      <c r="E280" s="8" t="s">
        <v>1152</v>
      </c>
      <c r="F280" s="8" t="s">
        <v>1153</v>
      </c>
      <c r="G280" s="7">
        <v>8.866008121E9</v>
      </c>
      <c r="H280" s="7" t="s">
        <v>1154</v>
      </c>
      <c r="I280" s="7">
        <v>28000.0</v>
      </c>
      <c r="J280" s="7" t="s">
        <v>1155</v>
      </c>
      <c r="K280" s="7" t="s">
        <v>25</v>
      </c>
      <c r="L280" s="9" t="s">
        <v>26</v>
      </c>
      <c r="M280" s="7" t="s">
        <v>101</v>
      </c>
      <c r="N280" s="7" t="s">
        <v>28</v>
      </c>
      <c r="O280" s="11">
        <v>44649.0</v>
      </c>
      <c r="P280" s="11">
        <v>46972.0</v>
      </c>
      <c r="Q280" s="6">
        <v>46.0</v>
      </c>
      <c r="R280" s="12">
        <f t="shared" si="7"/>
        <v>20538.54</v>
      </c>
    </row>
    <row r="281">
      <c r="A281" s="7" t="s">
        <v>1156</v>
      </c>
      <c r="B281" s="8" t="s">
        <v>1157</v>
      </c>
      <c r="C281" s="8" t="s">
        <v>1158</v>
      </c>
      <c r="D281" s="7" t="s">
        <v>21</v>
      </c>
      <c r="E281" s="8" t="s">
        <v>1159</v>
      </c>
      <c r="F281" s="8" t="s">
        <v>1160</v>
      </c>
      <c r="G281" s="7">
        <v>7.990666343E9</v>
      </c>
      <c r="H281" s="7">
        <v>9.870090243E9</v>
      </c>
      <c r="I281" s="7">
        <v>11950.0</v>
      </c>
      <c r="J281" s="7" t="s">
        <v>1161</v>
      </c>
      <c r="K281" s="7" t="s">
        <v>56</v>
      </c>
      <c r="L281" s="9" t="s">
        <v>49</v>
      </c>
      <c r="M281" s="7" t="s">
        <v>71</v>
      </c>
      <c r="N281" s="7" t="s">
        <v>28</v>
      </c>
      <c r="O281" s="7">
        <v>28800.0</v>
      </c>
      <c r="P281" s="7">
        <v>30450.0</v>
      </c>
      <c r="Q281" s="6">
        <v>26.0</v>
      </c>
      <c r="R281" s="12">
        <f t="shared" si="7"/>
        <v>7488</v>
      </c>
    </row>
    <row r="282">
      <c r="A282" s="7" t="s">
        <v>1162</v>
      </c>
      <c r="B282" s="8" t="s">
        <v>1163</v>
      </c>
      <c r="C282" s="8" t="s">
        <v>1164</v>
      </c>
      <c r="D282" s="7" t="s">
        <v>21</v>
      </c>
      <c r="E282" s="8" t="s">
        <v>1165</v>
      </c>
      <c r="F282" s="8" t="s">
        <v>1166</v>
      </c>
      <c r="G282" s="7">
        <v>6.35103053E9</v>
      </c>
      <c r="H282" s="7" t="s">
        <v>1167</v>
      </c>
      <c r="I282" s="7">
        <v>11990.0</v>
      </c>
      <c r="J282" s="7" t="s">
        <v>1149</v>
      </c>
      <c r="K282" s="7" t="s">
        <v>25</v>
      </c>
      <c r="L282" s="9" t="s">
        <v>26</v>
      </c>
      <c r="M282" s="7" t="s">
        <v>71</v>
      </c>
      <c r="N282" s="7" t="s">
        <v>28</v>
      </c>
      <c r="O282" s="15">
        <v>27885.0</v>
      </c>
      <c r="P282" s="15">
        <v>29370.0</v>
      </c>
      <c r="Q282" s="6">
        <v>46.0</v>
      </c>
      <c r="R282" s="12">
        <f t="shared" si="7"/>
        <v>12827.1</v>
      </c>
    </row>
    <row r="283">
      <c r="A283" s="7" t="s">
        <v>1168</v>
      </c>
      <c r="B283" s="8" t="s">
        <v>1169</v>
      </c>
      <c r="C283" s="8" t="s">
        <v>1170</v>
      </c>
      <c r="D283" s="20" t="s">
        <v>93</v>
      </c>
      <c r="E283" s="8" t="s">
        <v>1111</v>
      </c>
      <c r="F283" s="8" t="s">
        <v>1171</v>
      </c>
      <c r="G283" s="7">
        <v>9.92572172E9</v>
      </c>
      <c r="H283" s="7">
        <v>6.352100183E9</v>
      </c>
      <c r="I283" s="7">
        <v>11990.0</v>
      </c>
      <c r="J283" s="7" t="s">
        <v>1172</v>
      </c>
      <c r="K283" s="7" t="s">
        <v>25</v>
      </c>
      <c r="L283" s="9" t="s">
        <v>49</v>
      </c>
      <c r="M283" s="7" t="s">
        <v>71</v>
      </c>
      <c r="N283" s="7" t="s">
        <v>28</v>
      </c>
      <c r="O283" s="11">
        <v>29885.0</v>
      </c>
      <c r="P283" s="11">
        <v>31730.0</v>
      </c>
      <c r="Q283" s="6">
        <v>31.0</v>
      </c>
      <c r="R283" s="12">
        <f t="shared" si="7"/>
        <v>9264.35</v>
      </c>
    </row>
    <row r="284">
      <c r="A284" s="7" t="s">
        <v>1168</v>
      </c>
      <c r="B284" s="8" t="s">
        <v>1173</v>
      </c>
      <c r="C284" s="8" t="s">
        <v>1174</v>
      </c>
      <c r="D284" s="20" t="s">
        <v>93</v>
      </c>
      <c r="E284" s="8" t="s">
        <v>1175</v>
      </c>
      <c r="F284" s="8" t="s">
        <v>1176</v>
      </c>
      <c r="G284" s="7">
        <v>9.898339652E9</v>
      </c>
      <c r="H284" s="7">
        <v>9.825926794E9</v>
      </c>
      <c r="I284" s="7">
        <v>11990.0</v>
      </c>
      <c r="J284" s="7" t="s">
        <v>1149</v>
      </c>
      <c r="K284" s="7" t="s">
        <v>25</v>
      </c>
      <c r="L284" s="9" t="s">
        <v>49</v>
      </c>
      <c r="M284" s="7" t="s">
        <v>71</v>
      </c>
      <c r="N284" s="7" t="s">
        <v>28</v>
      </c>
      <c r="O284" s="11">
        <v>31049.0</v>
      </c>
      <c r="P284" s="11">
        <v>33104.0</v>
      </c>
      <c r="Q284" s="6">
        <v>31.0</v>
      </c>
      <c r="R284" s="12">
        <f t="shared" si="7"/>
        <v>9625.19</v>
      </c>
    </row>
    <row r="285">
      <c r="A285" s="7" t="s">
        <v>1177</v>
      </c>
      <c r="B285" s="58" t="s">
        <v>1178</v>
      </c>
      <c r="C285" s="58" t="s">
        <v>1179</v>
      </c>
      <c r="D285" s="7" t="s">
        <v>44</v>
      </c>
      <c r="E285" s="58" t="s">
        <v>1180</v>
      </c>
      <c r="F285" s="58" t="s">
        <v>1181</v>
      </c>
      <c r="G285" s="7">
        <v>9.023370342E9</v>
      </c>
      <c r="H285" s="7" t="s">
        <v>63</v>
      </c>
      <c r="I285" s="7">
        <v>2820.0</v>
      </c>
      <c r="J285" s="7" t="s">
        <v>1182</v>
      </c>
      <c r="K285" s="7" t="s">
        <v>25</v>
      </c>
      <c r="L285" s="9" t="s">
        <v>26</v>
      </c>
      <c r="M285" s="7" t="s">
        <v>27</v>
      </c>
      <c r="N285" s="7" t="s">
        <v>28</v>
      </c>
      <c r="O285" s="62">
        <v>16698.0</v>
      </c>
      <c r="P285" s="62">
        <v>17617.0</v>
      </c>
      <c r="Q285" s="6">
        <v>58.0</v>
      </c>
      <c r="R285" s="12">
        <f t="shared" si="7"/>
        <v>9684.84</v>
      </c>
    </row>
    <row r="286">
      <c r="A286" s="7" t="s">
        <v>1177</v>
      </c>
      <c r="B286" s="58" t="s">
        <v>1183</v>
      </c>
      <c r="C286" s="58" t="s">
        <v>1184</v>
      </c>
      <c r="D286" s="7" t="s">
        <v>21</v>
      </c>
      <c r="E286" s="58" t="s">
        <v>755</v>
      </c>
      <c r="F286" s="58" t="s">
        <v>1185</v>
      </c>
      <c r="G286" s="7">
        <v>9.879272786E9</v>
      </c>
      <c r="H286" s="7">
        <v>9.712100092E9</v>
      </c>
      <c r="I286" s="7">
        <v>47500.0</v>
      </c>
      <c r="J286" s="62" t="s">
        <v>1186</v>
      </c>
      <c r="K286" s="7" t="s">
        <v>70</v>
      </c>
      <c r="L286" s="9" t="s">
        <v>49</v>
      </c>
      <c r="M286" s="7" t="s">
        <v>33</v>
      </c>
      <c r="N286" s="7" t="s">
        <v>28</v>
      </c>
      <c r="O286" s="70">
        <v>54187.0</v>
      </c>
      <c r="P286" s="75">
        <v>58189.0</v>
      </c>
      <c r="Q286" s="6">
        <v>29.0</v>
      </c>
      <c r="R286" s="12">
        <f t="shared" si="7"/>
        <v>15714.23</v>
      </c>
    </row>
    <row r="287">
      <c r="A287" s="7" t="s">
        <v>1187</v>
      </c>
      <c r="B287" s="58" t="s">
        <v>1188</v>
      </c>
      <c r="C287" s="58" t="s">
        <v>1189</v>
      </c>
      <c r="D287" s="7" t="s">
        <v>966</v>
      </c>
      <c r="E287" s="58" t="s">
        <v>1190</v>
      </c>
      <c r="F287" s="58" t="s">
        <v>1191</v>
      </c>
      <c r="G287" s="7">
        <v>9.904192225E9</v>
      </c>
      <c r="H287" s="7" t="s">
        <v>63</v>
      </c>
      <c r="I287" s="7">
        <v>1197.0</v>
      </c>
      <c r="J287" s="62" t="s">
        <v>1192</v>
      </c>
      <c r="K287" s="7" t="s">
        <v>668</v>
      </c>
      <c r="L287" s="9" t="s">
        <v>26</v>
      </c>
      <c r="M287" s="7" t="s">
        <v>71</v>
      </c>
      <c r="N287" s="7" t="s">
        <v>28</v>
      </c>
      <c r="O287" s="70">
        <v>3901.0</v>
      </c>
      <c r="P287" s="70">
        <v>4603.0</v>
      </c>
      <c r="Q287" s="6">
        <v>46.0</v>
      </c>
      <c r="R287" s="12">
        <f t="shared" si="7"/>
        <v>1794.46</v>
      </c>
    </row>
    <row r="288">
      <c r="A288" s="7" t="s">
        <v>1193</v>
      </c>
      <c r="B288" s="58" t="s">
        <v>1194</v>
      </c>
      <c r="C288" s="58" t="s">
        <v>1195</v>
      </c>
      <c r="D288" s="7" t="s">
        <v>21</v>
      </c>
      <c r="E288" s="58" t="s">
        <v>748</v>
      </c>
      <c r="F288" s="58" t="s">
        <v>1196</v>
      </c>
      <c r="G288" s="7" t="s">
        <v>1197</v>
      </c>
      <c r="H288" s="7">
        <v>6.353157909E9</v>
      </c>
      <c r="I288" s="7">
        <v>28000.0</v>
      </c>
      <c r="J288" s="7" t="s">
        <v>1198</v>
      </c>
      <c r="K288" s="7" t="s">
        <v>25</v>
      </c>
      <c r="L288" s="9" t="s">
        <v>26</v>
      </c>
      <c r="M288" s="7" t="s">
        <v>101</v>
      </c>
      <c r="N288" s="7" t="s">
        <v>28</v>
      </c>
      <c r="O288" s="70">
        <v>44649.0</v>
      </c>
      <c r="P288" s="70">
        <v>46972.0</v>
      </c>
      <c r="Q288" s="6">
        <v>46.0</v>
      </c>
      <c r="R288" s="12">
        <f t="shared" si="7"/>
        <v>20538.54</v>
      </c>
    </row>
    <row r="289">
      <c r="A289" s="7" t="s">
        <v>1193</v>
      </c>
      <c r="B289" s="58" t="s">
        <v>1199</v>
      </c>
      <c r="C289" s="58" t="s">
        <v>1200</v>
      </c>
      <c r="D289" s="7" t="s">
        <v>21</v>
      </c>
      <c r="E289" s="58" t="s">
        <v>434</v>
      </c>
      <c r="F289" s="58" t="s">
        <v>1201</v>
      </c>
      <c r="G289" s="7">
        <v>6.355615906E9</v>
      </c>
      <c r="H289" s="7" t="s">
        <v>63</v>
      </c>
      <c r="I289" s="7">
        <v>28000.0</v>
      </c>
      <c r="J289" s="62" t="s">
        <v>1202</v>
      </c>
      <c r="K289" s="7" t="s">
        <v>25</v>
      </c>
      <c r="L289" s="9" t="s">
        <v>26</v>
      </c>
      <c r="M289" s="7" t="s">
        <v>71</v>
      </c>
      <c r="N289" s="7" t="s">
        <v>28</v>
      </c>
      <c r="O289" s="71">
        <v>44050.0</v>
      </c>
      <c r="P289" s="70">
        <v>46266.0</v>
      </c>
      <c r="Q289" s="6">
        <v>46.0</v>
      </c>
      <c r="R289" s="12">
        <f t="shared" si="7"/>
        <v>20263</v>
      </c>
    </row>
    <row r="290">
      <c r="A290" s="7" t="s">
        <v>1193</v>
      </c>
      <c r="B290" s="58" t="s">
        <v>1203</v>
      </c>
      <c r="C290" s="58" t="s">
        <v>1204</v>
      </c>
      <c r="D290" s="7" t="s">
        <v>44</v>
      </c>
      <c r="E290" s="58" t="s">
        <v>343</v>
      </c>
      <c r="F290" s="58" t="s">
        <v>1205</v>
      </c>
      <c r="G290" s="7">
        <v>9.898354385E9</v>
      </c>
      <c r="H290" s="7">
        <v>8.799478994E9</v>
      </c>
      <c r="I290" s="7">
        <v>4450.0</v>
      </c>
      <c r="J290" s="7" t="s">
        <v>1206</v>
      </c>
      <c r="K290" s="7" t="s">
        <v>25</v>
      </c>
      <c r="L290" s="9" t="s">
        <v>26</v>
      </c>
      <c r="M290" s="7" t="s">
        <v>71</v>
      </c>
      <c r="N290" s="7" t="s">
        <v>28</v>
      </c>
      <c r="O290" s="62">
        <v>16748.0</v>
      </c>
      <c r="P290" s="62">
        <v>17676.0</v>
      </c>
      <c r="Q290" s="6">
        <v>44.0</v>
      </c>
      <c r="R290" s="12">
        <f t="shared" si="7"/>
        <v>7369.12</v>
      </c>
    </row>
    <row r="291">
      <c r="A291" s="7" t="s">
        <v>1207</v>
      </c>
      <c r="B291" s="58" t="s">
        <v>1208</v>
      </c>
      <c r="C291" s="58" t="s">
        <v>1209</v>
      </c>
      <c r="D291" s="7" t="s">
        <v>93</v>
      </c>
      <c r="E291" s="58" t="s">
        <v>94</v>
      </c>
      <c r="F291" s="58" t="s">
        <v>1210</v>
      </c>
      <c r="G291" s="7">
        <v>7.575049579E9</v>
      </c>
      <c r="H291" s="7">
        <v>9.327359305E9</v>
      </c>
      <c r="I291" s="7">
        <v>11990.0</v>
      </c>
      <c r="J291" s="7" t="s">
        <v>1206</v>
      </c>
      <c r="K291" s="7" t="s">
        <v>25</v>
      </c>
      <c r="L291" s="9" t="s">
        <v>49</v>
      </c>
      <c r="M291" s="7" t="s">
        <v>71</v>
      </c>
      <c r="N291" s="7" t="s">
        <v>28</v>
      </c>
      <c r="O291" s="70">
        <v>33228.0</v>
      </c>
      <c r="P291" s="70">
        <v>35675.0</v>
      </c>
      <c r="Q291" s="6">
        <v>31.0</v>
      </c>
      <c r="R291" s="12">
        <f t="shared" si="7"/>
        <v>10300.68</v>
      </c>
    </row>
    <row r="292">
      <c r="A292" s="7" t="s">
        <v>1211</v>
      </c>
      <c r="B292" s="58" t="s">
        <v>1212</v>
      </c>
      <c r="C292" s="58" t="s">
        <v>1213</v>
      </c>
      <c r="D292" s="7" t="s">
        <v>21</v>
      </c>
      <c r="E292" s="58" t="s">
        <v>755</v>
      </c>
      <c r="F292" s="58" t="s">
        <v>1214</v>
      </c>
      <c r="G292" s="7">
        <v>9.624989977E9</v>
      </c>
      <c r="H292" s="7">
        <v>9.825217245E9</v>
      </c>
      <c r="I292" s="7">
        <v>47500.0</v>
      </c>
      <c r="J292" s="62" t="s">
        <v>1202</v>
      </c>
      <c r="K292" s="7" t="s">
        <v>70</v>
      </c>
      <c r="L292" s="9" t="s">
        <v>49</v>
      </c>
      <c r="M292" s="7" t="s">
        <v>33</v>
      </c>
      <c r="N292" s="7" t="s">
        <v>28</v>
      </c>
      <c r="O292" s="70">
        <v>55083.0</v>
      </c>
      <c r="P292" s="70">
        <v>59246.0</v>
      </c>
      <c r="Q292" s="6">
        <v>29.0</v>
      </c>
      <c r="R292" s="12">
        <f t="shared" si="7"/>
        <v>15974.07</v>
      </c>
    </row>
    <row r="293">
      <c r="A293" s="14">
        <v>46026.0</v>
      </c>
      <c r="B293" s="58" t="s">
        <v>1215</v>
      </c>
      <c r="C293" s="58" t="s">
        <v>1216</v>
      </c>
      <c r="D293" s="7" t="s">
        <v>21</v>
      </c>
      <c r="E293" s="58" t="s">
        <v>1217</v>
      </c>
      <c r="F293" s="58" t="s">
        <v>1218</v>
      </c>
      <c r="G293" s="7">
        <v>9.173059246E9</v>
      </c>
      <c r="H293" s="7">
        <v>9.89810983E9</v>
      </c>
      <c r="I293" s="7">
        <v>16200.0</v>
      </c>
      <c r="J293" s="62" t="s">
        <v>1219</v>
      </c>
      <c r="K293" s="7" t="s">
        <v>25</v>
      </c>
      <c r="L293" s="9" t="s">
        <v>26</v>
      </c>
      <c r="M293" s="7" t="s">
        <v>71</v>
      </c>
      <c r="N293" s="7" t="s">
        <v>28</v>
      </c>
      <c r="O293" s="70">
        <v>35413.0</v>
      </c>
      <c r="P293" s="70">
        <v>37197.0</v>
      </c>
      <c r="Q293" s="6">
        <v>46.0</v>
      </c>
      <c r="R293" s="12">
        <f t="shared" si="7"/>
        <v>16289.98</v>
      </c>
    </row>
    <row r="294">
      <c r="A294" s="14">
        <v>46026.0</v>
      </c>
      <c r="B294" s="58" t="s">
        <v>1220</v>
      </c>
      <c r="C294" s="58" t="s">
        <v>1221</v>
      </c>
      <c r="D294" s="7" t="s">
        <v>93</v>
      </c>
      <c r="E294" s="58" t="s">
        <v>434</v>
      </c>
      <c r="F294" s="58" t="s">
        <v>1222</v>
      </c>
      <c r="G294" s="7">
        <v>9.82527774E9</v>
      </c>
      <c r="H294" s="7">
        <v>9.898000254E9</v>
      </c>
      <c r="I294" s="7">
        <v>9600.0</v>
      </c>
      <c r="J294" s="62" t="s">
        <v>1219</v>
      </c>
      <c r="K294" s="7" t="s">
        <v>25</v>
      </c>
      <c r="L294" s="9" t="s">
        <v>26</v>
      </c>
      <c r="M294" s="7" t="s">
        <v>33</v>
      </c>
      <c r="N294" s="7" t="s">
        <v>28</v>
      </c>
      <c r="O294" s="70">
        <v>27286.0</v>
      </c>
      <c r="P294" s="70">
        <v>28663.0</v>
      </c>
      <c r="Q294" s="6">
        <v>31.0</v>
      </c>
      <c r="R294" s="12">
        <f t="shared" si="7"/>
        <v>8458.66</v>
      </c>
    </row>
    <row r="295">
      <c r="A295" s="14">
        <v>46026.0</v>
      </c>
      <c r="B295" s="58" t="s">
        <v>1223</v>
      </c>
      <c r="C295" s="58" t="s">
        <v>1224</v>
      </c>
      <c r="D295" s="7" t="s">
        <v>44</v>
      </c>
      <c r="E295" s="58" t="s">
        <v>434</v>
      </c>
      <c r="F295" s="58" t="s">
        <v>1225</v>
      </c>
      <c r="G295" s="7">
        <v>9.712371443E9</v>
      </c>
      <c r="H295" s="7">
        <v>9.737737748E9</v>
      </c>
      <c r="I295" s="7">
        <v>5950.0</v>
      </c>
      <c r="J295" s="62" t="s">
        <v>1219</v>
      </c>
      <c r="K295" s="7" t="s">
        <v>25</v>
      </c>
      <c r="L295" s="9" t="s">
        <v>26</v>
      </c>
      <c r="M295" s="7" t="s">
        <v>285</v>
      </c>
      <c r="N295" s="7" t="s">
        <v>28</v>
      </c>
      <c r="O295" s="70">
        <v>16748.0</v>
      </c>
      <c r="P295" s="70">
        <v>17676.0</v>
      </c>
      <c r="Q295" s="6">
        <v>44.0</v>
      </c>
      <c r="R295" s="12">
        <f t="shared" si="7"/>
        <v>7369.12</v>
      </c>
    </row>
    <row r="296">
      <c r="A296" s="14">
        <v>46057.0</v>
      </c>
      <c r="B296" s="8" t="s">
        <v>1226</v>
      </c>
      <c r="C296" s="8" t="s">
        <v>1227</v>
      </c>
      <c r="D296" s="7" t="s">
        <v>1228</v>
      </c>
      <c r="E296" s="58" t="s">
        <v>1229</v>
      </c>
      <c r="F296" s="58" t="s">
        <v>1230</v>
      </c>
      <c r="G296" s="7">
        <v>9.879145816E9</v>
      </c>
      <c r="H296" s="7" t="s">
        <v>63</v>
      </c>
      <c r="I296" s="7">
        <v>2750.0</v>
      </c>
      <c r="J296" s="14">
        <v>46027.0</v>
      </c>
      <c r="K296" s="7" t="s">
        <v>25</v>
      </c>
      <c r="L296" s="9" t="s">
        <v>49</v>
      </c>
      <c r="M296" s="7" t="s">
        <v>27</v>
      </c>
      <c r="N296" s="7" t="s">
        <v>28</v>
      </c>
      <c r="O296" s="70">
        <v>2929.0</v>
      </c>
      <c r="P296" s="70">
        <v>3457.0</v>
      </c>
      <c r="Q296" s="6">
        <v>0.0</v>
      </c>
      <c r="R296" s="12">
        <f t="shared" si="7"/>
        <v>0</v>
      </c>
    </row>
    <row r="297">
      <c r="A297" s="14">
        <v>46085.0</v>
      </c>
      <c r="B297" s="58" t="s">
        <v>1231</v>
      </c>
      <c r="C297" s="58" t="s">
        <v>1232</v>
      </c>
      <c r="D297" s="7" t="s">
        <v>44</v>
      </c>
      <c r="E297" s="58" t="s">
        <v>1233</v>
      </c>
      <c r="F297" s="58" t="s">
        <v>1234</v>
      </c>
      <c r="G297" s="7" t="s">
        <v>1235</v>
      </c>
      <c r="H297" s="7">
        <v>8.23808888E9</v>
      </c>
      <c r="I297" s="7">
        <v>3480.0</v>
      </c>
      <c r="J297" s="60">
        <v>46511.0</v>
      </c>
      <c r="K297" s="7" t="s">
        <v>25</v>
      </c>
      <c r="L297" s="9" t="s">
        <v>49</v>
      </c>
      <c r="M297" s="81" t="s">
        <v>340</v>
      </c>
      <c r="N297" s="81" t="s">
        <v>28</v>
      </c>
      <c r="O297" s="70">
        <v>23494.0</v>
      </c>
      <c r="P297" s="70">
        <v>25637.0</v>
      </c>
      <c r="Q297" s="6">
        <v>58.0</v>
      </c>
      <c r="R297" s="12">
        <f t="shared" si="7"/>
        <v>13626.52</v>
      </c>
    </row>
    <row r="298">
      <c r="A298" s="7" t="s">
        <v>1236</v>
      </c>
      <c r="B298" s="8" t="s">
        <v>1237</v>
      </c>
      <c r="C298" s="58" t="s">
        <v>1238</v>
      </c>
      <c r="D298" s="7" t="s">
        <v>1228</v>
      </c>
      <c r="E298" s="58" t="s">
        <v>1239</v>
      </c>
      <c r="F298" s="58" t="s">
        <v>1240</v>
      </c>
      <c r="G298" s="7">
        <v>9.724021134E9</v>
      </c>
      <c r="H298" s="7">
        <v>9.537782896E9</v>
      </c>
      <c r="I298" s="7">
        <v>2596.0</v>
      </c>
      <c r="J298" s="62" t="s">
        <v>1241</v>
      </c>
      <c r="K298" s="7" t="s">
        <v>41</v>
      </c>
      <c r="L298" s="9" t="s">
        <v>49</v>
      </c>
      <c r="M298" s="7" t="s">
        <v>71</v>
      </c>
      <c r="N298" s="7" t="s">
        <v>28</v>
      </c>
      <c r="O298" s="70">
        <v>24315.0</v>
      </c>
      <c r="P298" s="70">
        <v>28691.0</v>
      </c>
      <c r="Q298" s="6">
        <v>15.0</v>
      </c>
      <c r="R298" s="12">
        <f t="shared" si="7"/>
        <v>3647.25</v>
      </c>
    </row>
    <row r="299">
      <c r="A299" s="14">
        <v>46085.0</v>
      </c>
      <c r="B299" s="82" t="s">
        <v>1242</v>
      </c>
      <c r="C299" s="58" t="s">
        <v>1243</v>
      </c>
      <c r="D299" s="7" t="s">
        <v>93</v>
      </c>
      <c r="E299" s="58" t="s">
        <v>434</v>
      </c>
      <c r="F299" s="58" t="s">
        <v>1244</v>
      </c>
      <c r="G299" s="7">
        <v>9.726920399E9</v>
      </c>
      <c r="H299" s="7">
        <v>9.909874479E9</v>
      </c>
      <c r="I299" s="7">
        <v>11990.0</v>
      </c>
      <c r="J299" s="14">
        <v>46422.0</v>
      </c>
      <c r="K299" s="7" t="s">
        <v>25</v>
      </c>
      <c r="L299" s="9" t="s">
        <v>49</v>
      </c>
      <c r="M299" s="7" t="s">
        <v>71</v>
      </c>
      <c r="N299" s="7" t="s">
        <v>28</v>
      </c>
      <c r="O299" s="70">
        <v>33263.0</v>
      </c>
      <c r="P299" s="70">
        <v>35716.0</v>
      </c>
      <c r="Q299" s="6">
        <v>31.0</v>
      </c>
      <c r="R299" s="12">
        <f t="shared" si="7"/>
        <v>10311.53</v>
      </c>
    </row>
    <row r="300">
      <c r="A300" s="14">
        <v>46085.0</v>
      </c>
      <c r="B300" s="82" t="s">
        <v>1245</v>
      </c>
      <c r="C300" s="58" t="s">
        <v>1246</v>
      </c>
      <c r="D300" s="7" t="s">
        <v>44</v>
      </c>
      <c r="E300" s="58" t="s">
        <v>1247</v>
      </c>
      <c r="F300" s="58" t="s">
        <v>1248</v>
      </c>
      <c r="G300" s="7">
        <v>9.601447786E9</v>
      </c>
      <c r="H300" s="7">
        <v>9.662144621E9</v>
      </c>
      <c r="I300" s="7">
        <v>2825.0</v>
      </c>
      <c r="J300" s="60">
        <v>46450.0</v>
      </c>
      <c r="K300" s="7" t="s">
        <v>116</v>
      </c>
      <c r="L300" s="9" t="s">
        <v>49</v>
      </c>
      <c r="M300" s="7" t="s">
        <v>71</v>
      </c>
      <c r="N300" s="7" t="s">
        <v>28</v>
      </c>
      <c r="O300" s="70">
        <v>20272.0</v>
      </c>
      <c r="P300" s="70">
        <v>21978.0</v>
      </c>
      <c r="Q300" s="6">
        <v>54.0</v>
      </c>
      <c r="R300" s="12">
        <f t="shared" si="7"/>
        <v>10946.88</v>
      </c>
    </row>
    <row r="301">
      <c r="A301" s="14">
        <v>46146.0</v>
      </c>
      <c r="B301" s="58" t="s">
        <v>1249</v>
      </c>
      <c r="C301" s="58" t="s">
        <v>1250</v>
      </c>
      <c r="D301" s="7" t="s">
        <v>21</v>
      </c>
      <c r="E301" s="58" t="s">
        <v>1251</v>
      </c>
      <c r="F301" s="58" t="s">
        <v>1252</v>
      </c>
      <c r="G301" s="7">
        <v>9.512455431E9</v>
      </c>
      <c r="H301" s="7">
        <v>9.586102362E9</v>
      </c>
      <c r="I301" s="7">
        <v>18500.0</v>
      </c>
      <c r="J301" s="60">
        <v>46481.0</v>
      </c>
      <c r="K301" s="7" t="s">
        <v>25</v>
      </c>
      <c r="L301" s="9" t="s">
        <v>26</v>
      </c>
      <c r="M301" s="7" t="s">
        <v>33</v>
      </c>
      <c r="N301" s="7" t="s">
        <v>28</v>
      </c>
      <c r="O301" s="70">
        <v>36012.0</v>
      </c>
      <c r="P301" s="70">
        <v>37903.0</v>
      </c>
      <c r="Q301" s="6">
        <v>46.0</v>
      </c>
      <c r="R301" s="12">
        <f t="shared" si="7"/>
        <v>16565.52</v>
      </c>
    </row>
    <row r="302">
      <c r="A302" s="14">
        <v>46146.0</v>
      </c>
      <c r="B302" s="8" t="s">
        <v>1253</v>
      </c>
      <c r="C302" s="58" t="s">
        <v>1254</v>
      </c>
      <c r="D302" s="7" t="s">
        <v>44</v>
      </c>
      <c r="E302" s="58" t="s">
        <v>178</v>
      </c>
      <c r="F302" s="58" t="s">
        <v>1255</v>
      </c>
      <c r="G302" s="7">
        <v>9.687521735E9</v>
      </c>
      <c r="H302" s="7">
        <v>9.998814457E9</v>
      </c>
      <c r="I302" s="7">
        <v>3460.0</v>
      </c>
      <c r="J302" s="60">
        <v>46450.0</v>
      </c>
      <c r="K302" s="7" t="s">
        <v>116</v>
      </c>
      <c r="L302" s="9" t="s">
        <v>49</v>
      </c>
      <c r="M302" s="7" t="s">
        <v>71</v>
      </c>
      <c r="N302" s="7" t="s">
        <v>28</v>
      </c>
      <c r="O302" s="71">
        <v>21046.0</v>
      </c>
      <c r="P302" s="70">
        <v>22736.0</v>
      </c>
      <c r="Q302" s="6">
        <v>54.0</v>
      </c>
      <c r="R302" s="12">
        <f t="shared" si="7"/>
        <v>11364.84</v>
      </c>
    </row>
    <row r="303">
      <c r="A303" s="14">
        <v>46177.0</v>
      </c>
      <c r="B303" s="58" t="s">
        <v>1256</v>
      </c>
      <c r="C303" s="58" t="s">
        <v>1257</v>
      </c>
      <c r="D303" s="7" t="s">
        <v>93</v>
      </c>
      <c r="E303" s="58" t="s">
        <v>1175</v>
      </c>
      <c r="F303" s="58" t="s">
        <v>1258</v>
      </c>
      <c r="G303" s="7" t="s">
        <v>1259</v>
      </c>
      <c r="H303" s="7">
        <v>9.825926794E9</v>
      </c>
      <c r="I303" s="7">
        <v>11990.0</v>
      </c>
      <c r="J303" s="14">
        <v>46511.0</v>
      </c>
      <c r="K303" s="7" t="s">
        <v>25</v>
      </c>
      <c r="L303" s="9" t="s">
        <v>49</v>
      </c>
      <c r="M303" s="7" t="s">
        <v>71</v>
      </c>
      <c r="N303" s="7" t="s">
        <v>28</v>
      </c>
      <c r="O303" s="70">
        <v>29818.0</v>
      </c>
      <c r="P303" s="70">
        <v>31651.0</v>
      </c>
      <c r="Q303" s="6">
        <v>30.0</v>
      </c>
      <c r="R303" s="12">
        <f t="shared" si="7"/>
        <v>8945.4</v>
      </c>
    </row>
    <row r="304">
      <c r="A304" s="14">
        <v>46207.0</v>
      </c>
      <c r="B304" s="58" t="s">
        <v>1260</v>
      </c>
      <c r="C304" s="58" t="s">
        <v>1261</v>
      </c>
      <c r="D304" s="7" t="s">
        <v>93</v>
      </c>
      <c r="E304" s="58" t="s">
        <v>1175</v>
      </c>
      <c r="F304" s="58" t="s">
        <v>1262</v>
      </c>
      <c r="G304" s="7" t="s">
        <v>1263</v>
      </c>
      <c r="H304" s="7">
        <v>9.327359305E9</v>
      </c>
      <c r="I304" s="7">
        <v>11990.0</v>
      </c>
      <c r="J304" s="60">
        <v>46542.0</v>
      </c>
      <c r="K304" s="7" t="s">
        <v>25</v>
      </c>
      <c r="L304" s="9" t="s">
        <v>49</v>
      </c>
      <c r="M304" s="7" t="s">
        <v>71</v>
      </c>
      <c r="N304" s="7" t="s">
        <v>28</v>
      </c>
      <c r="O304" s="70">
        <v>46030.0</v>
      </c>
      <c r="P304" s="70">
        <v>50781.0</v>
      </c>
      <c r="Q304" s="6">
        <v>30.0</v>
      </c>
      <c r="R304" s="12">
        <f t="shared" si="7"/>
        <v>13809</v>
      </c>
    </row>
    <row r="305">
      <c r="A305" s="14">
        <v>46238.0</v>
      </c>
      <c r="B305" s="58" t="s">
        <v>1264</v>
      </c>
      <c r="C305" s="58" t="s">
        <v>1265</v>
      </c>
      <c r="D305" s="7" t="s">
        <v>44</v>
      </c>
      <c r="E305" s="58" t="s">
        <v>402</v>
      </c>
      <c r="F305" s="58" t="s">
        <v>1266</v>
      </c>
      <c r="G305" s="7" t="s">
        <v>1267</v>
      </c>
      <c r="H305" s="7" t="s">
        <v>1268</v>
      </c>
      <c r="I305" s="7">
        <v>3900.0</v>
      </c>
      <c r="J305" s="60">
        <v>46664.0</v>
      </c>
      <c r="K305" s="7" t="s">
        <v>25</v>
      </c>
      <c r="L305" s="9" t="s">
        <v>49</v>
      </c>
      <c r="M305" s="7" t="s">
        <v>340</v>
      </c>
      <c r="N305" s="7" t="s">
        <v>28</v>
      </c>
      <c r="O305" s="70">
        <v>25471.0</v>
      </c>
      <c r="P305" s="70">
        <v>27969.0</v>
      </c>
      <c r="Q305" s="6">
        <v>37.0</v>
      </c>
      <c r="R305" s="12">
        <f t="shared" si="7"/>
        <v>9424.27</v>
      </c>
    </row>
    <row r="306">
      <c r="A306" s="14">
        <v>46299.0</v>
      </c>
      <c r="B306" s="58" t="s">
        <v>1269</v>
      </c>
      <c r="C306" s="58" t="s">
        <v>1270</v>
      </c>
      <c r="D306" s="7" t="s">
        <v>44</v>
      </c>
      <c r="E306" s="58" t="s">
        <v>1271</v>
      </c>
      <c r="F306" s="58" t="s">
        <v>1272</v>
      </c>
      <c r="G306" s="7">
        <v>8.32033693E9</v>
      </c>
      <c r="H306" s="7">
        <v>6.351791067E9</v>
      </c>
      <c r="I306" s="7">
        <v>2450.0</v>
      </c>
      <c r="J306" s="60">
        <v>46664.0</v>
      </c>
      <c r="K306" s="7" t="s">
        <v>143</v>
      </c>
      <c r="L306" s="9" t="s">
        <v>26</v>
      </c>
      <c r="M306" s="7" t="s">
        <v>71</v>
      </c>
      <c r="N306" s="7" t="s">
        <v>28</v>
      </c>
      <c r="O306" s="70">
        <v>16474.0</v>
      </c>
      <c r="P306" s="70">
        <v>17353.0</v>
      </c>
      <c r="Q306" s="6">
        <v>62.0</v>
      </c>
      <c r="R306" s="12">
        <f t="shared" si="7"/>
        <v>10213.88</v>
      </c>
    </row>
    <row r="307">
      <c r="A307" s="14">
        <v>46299.0</v>
      </c>
      <c r="B307" s="58" t="s">
        <v>1273</v>
      </c>
      <c r="C307" s="58" t="s">
        <v>1274</v>
      </c>
      <c r="D307" s="7" t="s">
        <v>21</v>
      </c>
      <c r="E307" s="58" t="s">
        <v>1138</v>
      </c>
      <c r="F307" s="58" t="s">
        <v>1275</v>
      </c>
      <c r="G307" s="7">
        <v>9.979728033E9</v>
      </c>
      <c r="H307" s="7">
        <v>6.352055121E9</v>
      </c>
      <c r="I307" s="7">
        <v>28000.0</v>
      </c>
      <c r="J307" s="14">
        <v>46634.0</v>
      </c>
      <c r="K307" s="7" t="s">
        <v>677</v>
      </c>
      <c r="L307" s="9" t="s">
        <v>49</v>
      </c>
      <c r="M307" s="7" t="s">
        <v>219</v>
      </c>
      <c r="N307" s="7" t="s">
        <v>28</v>
      </c>
      <c r="O307" s="70">
        <v>50580.27</v>
      </c>
      <c r="P307" s="70">
        <v>53971.21</v>
      </c>
      <c r="Q307" s="6">
        <v>24.0</v>
      </c>
      <c r="R307" s="12">
        <f t="shared" si="7"/>
        <v>12139.2648</v>
      </c>
    </row>
    <row r="308">
      <c r="A308" s="14">
        <v>46299.0</v>
      </c>
      <c r="B308" s="58" t="s">
        <v>1276</v>
      </c>
      <c r="C308" s="58" t="s">
        <v>1277</v>
      </c>
      <c r="D308" s="7" t="s">
        <v>21</v>
      </c>
      <c r="E308" s="58" t="s">
        <v>1138</v>
      </c>
      <c r="F308" s="58" t="s">
        <v>1278</v>
      </c>
      <c r="G308" s="7">
        <v>9.979728033E9</v>
      </c>
      <c r="H308" s="7">
        <v>6.352055121E9</v>
      </c>
      <c r="I308" s="7">
        <v>28000.0</v>
      </c>
      <c r="J308" s="14">
        <v>46634.0</v>
      </c>
      <c r="K308" s="7" t="s">
        <v>677</v>
      </c>
      <c r="L308" s="9" t="s">
        <v>49</v>
      </c>
      <c r="M308" s="7" t="s">
        <v>219</v>
      </c>
      <c r="N308" s="7" t="s">
        <v>28</v>
      </c>
      <c r="O308" s="70">
        <v>50580.27</v>
      </c>
      <c r="P308" s="70">
        <v>53971.21</v>
      </c>
      <c r="Q308" s="6">
        <v>24.0</v>
      </c>
      <c r="R308" s="12">
        <f t="shared" si="7"/>
        <v>12139.2648</v>
      </c>
    </row>
    <row r="309">
      <c r="A309" s="14">
        <v>46299.0</v>
      </c>
      <c r="B309" s="58" t="s">
        <v>1279</v>
      </c>
      <c r="C309" s="58" t="s">
        <v>1280</v>
      </c>
      <c r="D309" s="7" t="s">
        <v>44</v>
      </c>
      <c r="E309" s="58" t="s">
        <v>1233</v>
      </c>
      <c r="F309" s="58" t="s">
        <v>1281</v>
      </c>
      <c r="G309" s="7" t="s">
        <v>1282</v>
      </c>
      <c r="H309" s="7">
        <v>6.353380582E9</v>
      </c>
      <c r="I309" s="7">
        <v>3480.0</v>
      </c>
      <c r="J309" s="60">
        <v>46664.0</v>
      </c>
      <c r="K309" s="7" t="s">
        <v>25</v>
      </c>
      <c r="L309" s="9" t="s">
        <v>49</v>
      </c>
      <c r="M309" s="7" t="s">
        <v>101</v>
      </c>
      <c r="N309" s="7" t="s">
        <v>28</v>
      </c>
      <c r="O309" s="71">
        <v>22766.0</v>
      </c>
      <c r="P309" s="70">
        <v>24778.0</v>
      </c>
      <c r="Q309" s="6">
        <v>58.0</v>
      </c>
      <c r="R309" s="12">
        <f t="shared" si="7"/>
        <v>13204.28</v>
      </c>
    </row>
    <row r="310">
      <c r="A310" s="14">
        <v>46299.0</v>
      </c>
      <c r="B310" s="58" t="s">
        <v>1283</v>
      </c>
      <c r="C310" s="58" t="s">
        <v>1284</v>
      </c>
      <c r="D310" s="7" t="s">
        <v>44</v>
      </c>
      <c r="E310" s="58" t="s">
        <v>1285</v>
      </c>
      <c r="F310" s="58" t="s">
        <v>1286</v>
      </c>
      <c r="G310" s="7">
        <v>7.984142893E9</v>
      </c>
      <c r="H310" s="7">
        <v>9.0994042E9</v>
      </c>
      <c r="I310" s="7">
        <v>1630.0</v>
      </c>
      <c r="J310" s="14">
        <v>46634.0</v>
      </c>
      <c r="K310" s="7" t="s">
        <v>1287</v>
      </c>
      <c r="L310" s="9" t="s">
        <v>49</v>
      </c>
      <c r="M310" s="7" t="s">
        <v>71</v>
      </c>
      <c r="N310" s="7" t="s">
        <v>28</v>
      </c>
      <c r="O310" s="71">
        <v>19199.0</v>
      </c>
      <c r="P310" s="70">
        <v>20568.0</v>
      </c>
      <c r="Q310" s="6">
        <v>65.0</v>
      </c>
      <c r="R310" s="12">
        <f t="shared" si="7"/>
        <v>12479.35</v>
      </c>
    </row>
    <row r="311">
      <c r="A311" s="14">
        <v>46360.0</v>
      </c>
      <c r="B311" s="58" t="s">
        <v>1288</v>
      </c>
      <c r="C311" s="58" t="s">
        <v>1289</v>
      </c>
      <c r="D311" s="7" t="s">
        <v>44</v>
      </c>
      <c r="E311" s="58" t="s">
        <v>1290</v>
      </c>
      <c r="F311" s="58" t="s">
        <v>1291</v>
      </c>
      <c r="G311" s="7">
        <v>9.510018267E9</v>
      </c>
      <c r="H311" s="7">
        <v>8.238908334E9</v>
      </c>
      <c r="I311" s="7">
        <v>3490.0</v>
      </c>
      <c r="J311" s="60">
        <v>46664.0</v>
      </c>
      <c r="K311" s="7" t="s">
        <v>25</v>
      </c>
      <c r="L311" s="9" t="s">
        <v>49</v>
      </c>
      <c r="M311" s="7" t="s">
        <v>340</v>
      </c>
      <c r="N311" s="7" t="s">
        <v>28</v>
      </c>
      <c r="O311" s="70">
        <v>22641.0</v>
      </c>
      <c r="P311" s="70">
        <v>24630.0</v>
      </c>
      <c r="Q311" s="6">
        <v>58.0</v>
      </c>
      <c r="R311" s="12">
        <f t="shared" si="7"/>
        <v>13131.78</v>
      </c>
    </row>
    <row r="312">
      <c r="A312" s="14">
        <v>46360.0</v>
      </c>
      <c r="B312" s="58" t="s">
        <v>1292</v>
      </c>
      <c r="C312" s="58" t="s">
        <v>1293</v>
      </c>
      <c r="D312" s="7" t="s">
        <v>21</v>
      </c>
      <c r="E312" s="58" t="s">
        <v>1294</v>
      </c>
      <c r="F312" s="58" t="s">
        <v>1295</v>
      </c>
      <c r="G312" s="7">
        <v>8.200834322E9</v>
      </c>
      <c r="H312" s="7">
        <v>8.200330195E9</v>
      </c>
      <c r="I312" s="7">
        <v>25000.0</v>
      </c>
      <c r="J312" s="60">
        <v>46664.0</v>
      </c>
      <c r="K312" s="7" t="s">
        <v>25</v>
      </c>
      <c r="L312" s="9" t="s">
        <v>26</v>
      </c>
      <c r="M312" s="7" t="s">
        <v>365</v>
      </c>
      <c r="N312" s="7" t="s">
        <v>28</v>
      </c>
      <c r="O312" s="71">
        <v>44649.0</v>
      </c>
      <c r="P312" s="71">
        <v>46972.0</v>
      </c>
      <c r="Q312" s="6">
        <v>46.0</v>
      </c>
      <c r="R312" s="12">
        <f t="shared" si="7"/>
        <v>20538.54</v>
      </c>
    </row>
    <row r="313">
      <c r="A313" s="14">
        <v>46360.0</v>
      </c>
      <c r="B313" s="83" t="s">
        <v>1033</v>
      </c>
      <c r="C313" s="58" t="s">
        <v>1296</v>
      </c>
      <c r="D313" s="7" t="s">
        <v>21</v>
      </c>
      <c r="E313" s="58" t="s">
        <v>1297</v>
      </c>
      <c r="F313" s="58" t="s">
        <v>1298</v>
      </c>
      <c r="G313" s="7">
        <v>7.87752384E9</v>
      </c>
      <c r="H313" s="7">
        <v>9.824823333E9</v>
      </c>
      <c r="I313" s="7">
        <v>55000.0</v>
      </c>
      <c r="J313" s="60">
        <v>46664.0</v>
      </c>
      <c r="K313" s="7" t="s">
        <v>364</v>
      </c>
      <c r="L313" s="9" t="s">
        <v>49</v>
      </c>
      <c r="M313" s="7" t="s">
        <v>96</v>
      </c>
      <c r="N313" s="7" t="s">
        <v>28</v>
      </c>
      <c r="O313" s="70">
        <v>53335.0</v>
      </c>
      <c r="P313" s="70">
        <v>57184.0</v>
      </c>
      <c r="Q313" s="6" t="s">
        <v>1299</v>
      </c>
      <c r="R313" s="84">
        <v>8172.0</v>
      </c>
    </row>
    <row r="314">
      <c r="A314" s="7" t="s">
        <v>1300</v>
      </c>
      <c r="B314" s="58" t="s">
        <v>1301</v>
      </c>
      <c r="C314" s="58" t="s">
        <v>1302</v>
      </c>
      <c r="D314" s="7" t="s">
        <v>44</v>
      </c>
      <c r="E314" s="58" t="s">
        <v>1303</v>
      </c>
      <c r="F314" s="58" t="s">
        <v>1304</v>
      </c>
      <c r="G314" s="7">
        <v>9.978292639E9</v>
      </c>
      <c r="H314" s="7">
        <v>8.160285364E9</v>
      </c>
      <c r="I314" s="7">
        <v>2825.0</v>
      </c>
      <c r="J314" s="62" t="s">
        <v>1305</v>
      </c>
      <c r="K314" s="7" t="s">
        <v>116</v>
      </c>
      <c r="L314" s="9" t="s">
        <v>49</v>
      </c>
      <c r="M314" s="7" t="s">
        <v>71</v>
      </c>
      <c r="N314" s="7" t="s">
        <v>28</v>
      </c>
      <c r="O314" s="70">
        <v>20321.0</v>
      </c>
      <c r="P314" s="70">
        <v>21881.0</v>
      </c>
      <c r="Q314" s="6">
        <v>54.0</v>
      </c>
      <c r="R314" s="12">
        <f t="shared" ref="R314:R335" si="8">O314*Q314%</f>
        <v>10973.34</v>
      </c>
    </row>
    <row r="315">
      <c r="A315" s="7" t="s">
        <v>1306</v>
      </c>
      <c r="B315" s="58" t="s">
        <v>1307</v>
      </c>
      <c r="C315" s="58" t="s">
        <v>1308</v>
      </c>
      <c r="D315" s="7" t="s">
        <v>44</v>
      </c>
      <c r="E315" s="58" t="s">
        <v>1309</v>
      </c>
      <c r="F315" s="58" t="s">
        <v>1310</v>
      </c>
      <c r="G315" s="7">
        <v>7.434994208E9</v>
      </c>
      <c r="H315" s="7">
        <v>7.6001829E9</v>
      </c>
      <c r="I315" s="7">
        <v>3895.0</v>
      </c>
      <c r="J315" s="7" t="s">
        <v>1311</v>
      </c>
      <c r="K315" s="7" t="s">
        <v>25</v>
      </c>
      <c r="L315" s="9" t="s">
        <v>49</v>
      </c>
      <c r="M315" s="7" t="s">
        <v>71</v>
      </c>
      <c r="N315" s="7" t="s">
        <v>28</v>
      </c>
      <c r="O315" s="70">
        <v>24538.0</v>
      </c>
      <c r="P315" s="70">
        <v>26868.0</v>
      </c>
      <c r="Q315" s="6">
        <v>37.0</v>
      </c>
      <c r="R315" s="12">
        <f t="shared" si="8"/>
        <v>9079.06</v>
      </c>
    </row>
    <row r="316">
      <c r="A316" s="7" t="s">
        <v>1306</v>
      </c>
      <c r="B316" s="58" t="s">
        <v>1312</v>
      </c>
      <c r="C316" s="58" t="s">
        <v>1313</v>
      </c>
      <c r="D316" s="7" t="s">
        <v>44</v>
      </c>
      <c r="E316" s="58" t="s">
        <v>1314</v>
      </c>
      <c r="F316" s="58" t="s">
        <v>1315</v>
      </c>
      <c r="G316" s="7">
        <v>9.265311105E9</v>
      </c>
      <c r="H316" s="7">
        <v>9.510071248E9</v>
      </c>
      <c r="I316" s="7">
        <v>2450.0</v>
      </c>
      <c r="J316" s="62" t="s">
        <v>1311</v>
      </c>
      <c r="K316" s="7" t="s">
        <v>143</v>
      </c>
      <c r="L316" s="9" t="s">
        <v>49</v>
      </c>
      <c r="M316" s="7" t="s">
        <v>71</v>
      </c>
      <c r="N316" s="7" t="s">
        <v>28</v>
      </c>
      <c r="O316" s="70">
        <v>16883.0</v>
      </c>
      <c r="P316" s="70">
        <v>17836.0</v>
      </c>
      <c r="Q316" s="6">
        <v>62.0</v>
      </c>
      <c r="R316" s="12">
        <f t="shared" si="8"/>
        <v>10467.46</v>
      </c>
    </row>
    <row r="317">
      <c r="A317" s="7" t="s">
        <v>1306</v>
      </c>
      <c r="B317" s="58" t="s">
        <v>1316</v>
      </c>
      <c r="C317" s="58" t="s">
        <v>1317</v>
      </c>
      <c r="D317" s="7" t="s">
        <v>44</v>
      </c>
      <c r="E317" s="58" t="s">
        <v>1318</v>
      </c>
      <c r="F317" s="58" t="s">
        <v>1319</v>
      </c>
      <c r="G317" s="7" t="s">
        <v>1320</v>
      </c>
      <c r="H317" s="7">
        <v>7.863883514E9</v>
      </c>
      <c r="I317" s="7">
        <v>1600.0</v>
      </c>
      <c r="J317" s="7" t="s">
        <v>1305</v>
      </c>
      <c r="K317" s="20" t="s">
        <v>1287</v>
      </c>
      <c r="L317" s="9" t="s">
        <v>49</v>
      </c>
      <c r="M317" s="7" t="s">
        <v>71</v>
      </c>
      <c r="N317" s="7" t="s">
        <v>28</v>
      </c>
      <c r="O317" s="70">
        <v>19837.0</v>
      </c>
      <c r="P317" s="70">
        <v>21321.0</v>
      </c>
      <c r="Q317" s="6">
        <v>65.0</v>
      </c>
      <c r="R317" s="12">
        <f t="shared" si="8"/>
        <v>12894.05</v>
      </c>
    </row>
    <row r="318">
      <c r="A318" s="7" t="s">
        <v>1321</v>
      </c>
      <c r="B318" s="58" t="s">
        <v>1322</v>
      </c>
      <c r="C318" s="58" t="s">
        <v>1323</v>
      </c>
      <c r="D318" s="7" t="s">
        <v>44</v>
      </c>
      <c r="E318" s="58" t="s">
        <v>1233</v>
      </c>
      <c r="F318" s="58" t="s">
        <v>1324</v>
      </c>
      <c r="G318" s="7">
        <v>9.979379138E9</v>
      </c>
      <c r="H318" s="7">
        <v>9.638587878E9</v>
      </c>
      <c r="I318" s="7">
        <v>3480.0</v>
      </c>
      <c r="J318" s="7" t="s">
        <v>1241</v>
      </c>
      <c r="K318" s="7" t="s">
        <v>25</v>
      </c>
      <c r="L318" s="9" t="s">
        <v>49</v>
      </c>
      <c r="M318" s="7" t="s">
        <v>365</v>
      </c>
      <c r="N318" s="7" t="s">
        <v>28</v>
      </c>
      <c r="O318" s="70">
        <v>21997.0</v>
      </c>
      <c r="P318" s="70">
        <v>23870.0</v>
      </c>
      <c r="Q318" s="6">
        <v>58.0</v>
      </c>
      <c r="R318" s="12">
        <f t="shared" si="8"/>
        <v>12758.26</v>
      </c>
    </row>
    <row r="319">
      <c r="A319" s="7" t="s">
        <v>1321</v>
      </c>
      <c r="B319" s="58" t="s">
        <v>1325</v>
      </c>
      <c r="C319" s="58" t="s">
        <v>1326</v>
      </c>
      <c r="D319" s="7" t="s">
        <v>44</v>
      </c>
      <c r="E319" s="58" t="s">
        <v>1327</v>
      </c>
      <c r="F319" s="58" t="s">
        <v>1328</v>
      </c>
      <c r="G319" s="7">
        <v>9.662347108E9</v>
      </c>
      <c r="H319" s="7">
        <v>6.353609186E9</v>
      </c>
      <c r="I319" s="7">
        <v>3460.0</v>
      </c>
      <c r="J319" s="62" t="s">
        <v>1329</v>
      </c>
      <c r="K319" s="7" t="s">
        <v>116</v>
      </c>
      <c r="L319" s="9" t="s">
        <v>49</v>
      </c>
      <c r="M319" s="7" t="s">
        <v>71</v>
      </c>
      <c r="N319" s="7" t="s">
        <v>28</v>
      </c>
      <c r="O319" s="70">
        <v>21174.0</v>
      </c>
      <c r="P319" s="70">
        <v>22889.0</v>
      </c>
      <c r="Q319" s="6">
        <v>54.0</v>
      </c>
      <c r="R319" s="12">
        <f t="shared" si="8"/>
        <v>11433.96</v>
      </c>
    </row>
    <row r="320">
      <c r="A320" s="7" t="s">
        <v>1330</v>
      </c>
      <c r="B320" s="58" t="s">
        <v>1331</v>
      </c>
      <c r="C320" s="58" t="s">
        <v>1332</v>
      </c>
      <c r="D320" s="7" t="s">
        <v>44</v>
      </c>
      <c r="E320" s="58" t="s">
        <v>1333</v>
      </c>
      <c r="F320" s="58" t="s">
        <v>1334</v>
      </c>
      <c r="G320" s="7">
        <v>9.925734982E9</v>
      </c>
      <c r="H320" s="7">
        <v>9.737891486E9</v>
      </c>
      <c r="I320" s="7">
        <v>2805.0</v>
      </c>
      <c r="J320" s="7" t="s">
        <v>1335</v>
      </c>
      <c r="K320" s="7" t="s">
        <v>25</v>
      </c>
      <c r="L320" s="9" t="s">
        <v>49</v>
      </c>
      <c r="M320" s="7" t="s">
        <v>89</v>
      </c>
      <c r="N320" s="7" t="s">
        <v>28</v>
      </c>
      <c r="O320" s="70">
        <v>19959.0</v>
      </c>
      <c r="P320" s="70">
        <v>21465.0</v>
      </c>
      <c r="Q320" s="6">
        <v>58.0</v>
      </c>
      <c r="R320" s="12">
        <f t="shared" si="8"/>
        <v>11576.22</v>
      </c>
    </row>
    <row r="321">
      <c r="A321" s="7" t="s">
        <v>1330</v>
      </c>
      <c r="B321" s="58" t="s">
        <v>1336</v>
      </c>
      <c r="C321" s="58" t="s">
        <v>1337</v>
      </c>
      <c r="D321" s="7" t="s">
        <v>37</v>
      </c>
      <c r="E321" s="85" t="s">
        <v>1338</v>
      </c>
      <c r="F321" s="58" t="s">
        <v>1339</v>
      </c>
      <c r="G321" s="7">
        <v>9.875064985E9</v>
      </c>
      <c r="H321" s="7">
        <v>7.573020867E9</v>
      </c>
      <c r="I321" s="7">
        <v>7020.0</v>
      </c>
      <c r="J321" s="62" t="s">
        <v>1340</v>
      </c>
      <c r="K321" s="7" t="s">
        <v>25</v>
      </c>
      <c r="L321" s="9" t="s">
        <v>49</v>
      </c>
      <c r="M321" s="7" t="s">
        <v>71</v>
      </c>
      <c r="N321" s="7" t="s">
        <v>28</v>
      </c>
      <c r="O321" s="70">
        <v>11653.0</v>
      </c>
      <c r="P321" s="70">
        <v>13751.0</v>
      </c>
      <c r="Q321" s="6">
        <v>35.0</v>
      </c>
      <c r="R321" s="12">
        <f t="shared" si="8"/>
        <v>4078.55</v>
      </c>
    </row>
    <row r="322">
      <c r="A322" s="7" t="s">
        <v>1341</v>
      </c>
      <c r="B322" s="58" t="s">
        <v>1342</v>
      </c>
      <c r="C322" s="58" t="s">
        <v>1343</v>
      </c>
      <c r="D322" s="7" t="s">
        <v>44</v>
      </c>
      <c r="E322" s="58" t="s">
        <v>1344</v>
      </c>
      <c r="F322" s="58" t="s">
        <v>1345</v>
      </c>
      <c r="G322" s="7">
        <v>9.712191001E9</v>
      </c>
      <c r="H322" s="7">
        <v>9.723435464E9</v>
      </c>
      <c r="I322" s="62">
        <v>3460.0</v>
      </c>
      <c r="J322" s="7" t="s">
        <v>1346</v>
      </c>
      <c r="K322" s="7" t="s">
        <v>25</v>
      </c>
      <c r="L322" s="9" t="s">
        <v>49</v>
      </c>
      <c r="M322" s="7" t="s">
        <v>89</v>
      </c>
      <c r="N322" s="7" t="s">
        <v>28</v>
      </c>
      <c r="O322" s="70">
        <v>22124.0</v>
      </c>
      <c r="P322" s="70">
        <v>24020.0</v>
      </c>
      <c r="Q322" s="6">
        <v>58.0</v>
      </c>
      <c r="R322" s="12">
        <f t="shared" si="8"/>
        <v>12831.92</v>
      </c>
    </row>
    <row r="323">
      <c r="A323" s="7" t="s">
        <v>1341</v>
      </c>
      <c r="B323" s="58" t="s">
        <v>1347</v>
      </c>
      <c r="C323" s="58" t="s">
        <v>1348</v>
      </c>
      <c r="D323" s="7" t="s">
        <v>44</v>
      </c>
      <c r="E323" s="58" t="s">
        <v>1344</v>
      </c>
      <c r="F323" s="58" t="s">
        <v>1345</v>
      </c>
      <c r="G323" s="7">
        <v>9.712191001E9</v>
      </c>
      <c r="H323" s="7">
        <v>9.723435464E9</v>
      </c>
      <c r="I323" s="62">
        <v>3460.0</v>
      </c>
      <c r="J323" s="7" t="s">
        <v>1346</v>
      </c>
      <c r="K323" s="7" t="s">
        <v>25</v>
      </c>
      <c r="L323" s="9" t="s">
        <v>49</v>
      </c>
      <c r="M323" s="7" t="s">
        <v>89</v>
      </c>
      <c r="N323" s="7" t="s">
        <v>28</v>
      </c>
      <c r="O323" s="70">
        <v>22124.0</v>
      </c>
      <c r="P323" s="70">
        <v>24020.0</v>
      </c>
      <c r="Q323" s="6">
        <v>58.0</v>
      </c>
      <c r="R323" s="12">
        <f t="shared" si="8"/>
        <v>12831.92</v>
      </c>
    </row>
    <row r="324">
      <c r="A324" s="7" t="s">
        <v>1341</v>
      </c>
      <c r="B324" s="58" t="s">
        <v>1349</v>
      </c>
      <c r="C324" s="58" t="s">
        <v>1350</v>
      </c>
      <c r="D324" s="7" t="s">
        <v>44</v>
      </c>
      <c r="E324" s="58" t="s">
        <v>1344</v>
      </c>
      <c r="F324" s="58" t="s">
        <v>1345</v>
      </c>
      <c r="G324" s="7">
        <v>9.712191001E9</v>
      </c>
      <c r="H324" s="7">
        <v>9.723435464E9</v>
      </c>
      <c r="I324" s="7">
        <v>3460.0</v>
      </c>
      <c r="J324" s="7" t="s">
        <v>1346</v>
      </c>
      <c r="K324" s="7" t="s">
        <v>25</v>
      </c>
      <c r="L324" s="9" t="s">
        <v>49</v>
      </c>
      <c r="M324" s="7" t="s">
        <v>89</v>
      </c>
      <c r="N324" s="7" t="s">
        <v>28</v>
      </c>
      <c r="O324" s="70">
        <v>22124.0</v>
      </c>
      <c r="P324" s="70">
        <v>24020.0</v>
      </c>
      <c r="Q324" s="6">
        <v>58.0</v>
      </c>
      <c r="R324" s="12">
        <f t="shared" si="8"/>
        <v>12831.92</v>
      </c>
    </row>
    <row r="325">
      <c r="A325" s="7" t="s">
        <v>1341</v>
      </c>
      <c r="B325" s="58" t="s">
        <v>1351</v>
      </c>
      <c r="C325" s="58" t="s">
        <v>1352</v>
      </c>
      <c r="D325" s="7" t="s">
        <v>44</v>
      </c>
      <c r="E325" s="58" t="s">
        <v>1344</v>
      </c>
      <c r="F325" s="58" t="s">
        <v>1345</v>
      </c>
      <c r="G325" s="7">
        <v>9.712191001E9</v>
      </c>
      <c r="H325" s="7">
        <v>9.723435464E9</v>
      </c>
      <c r="I325" s="7">
        <v>3460.0</v>
      </c>
      <c r="J325" s="7" t="s">
        <v>1346</v>
      </c>
      <c r="K325" s="7" t="s">
        <v>25</v>
      </c>
      <c r="L325" s="9" t="s">
        <v>49</v>
      </c>
      <c r="M325" s="7" t="s">
        <v>89</v>
      </c>
      <c r="N325" s="7" t="s">
        <v>28</v>
      </c>
      <c r="O325" s="70">
        <v>22124.0</v>
      </c>
      <c r="P325" s="70">
        <v>24020.0</v>
      </c>
      <c r="Q325" s="6">
        <v>58.0</v>
      </c>
      <c r="R325" s="12">
        <f t="shared" si="8"/>
        <v>12831.92</v>
      </c>
    </row>
    <row r="326">
      <c r="A326" s="7" t="s">
        <v>1341</v>
      </c>
      <c r="B326" s="58" t="s">
        <v>1353</v>
      </c>
      <c r="C326" s="58" t="s">
        <v>1354</v>
      </c>
      <c r="D326" s="7" t="s">
        <v>44</v>
      </c>
      <c r="E326" s="58" t="s">
        <v>1355</v>
      </c>
      <c r="F326" s="58" t="s">
        <v>1356</v>
      </c>
      <c r="G326" s="7">
        <v>9.68750866E9</v>
      </c>
      <c r="H326" s="7">
        <v>9.265655312E9</v>
      </c>
      <c r="I326" s="7">
        <v>2400.0</v>
      </c>
      <c r="J326" s="62" t="s">
        <v>1335</v>
      </c>
      <c r="K326" s="7" t="s">
        <v>143</v>
      </c>
      <c r="L326" s="9" t="s">
        <v>49</v>
      </c>
      <c r="M326" s="7" t="s">
        <v>1357</v>
      </c>
      <c r="N326" s="7" t="s">
        <v>28</v>
      </c>
      <c r="O326" s="70">
        <v>16867.0</v>
      </c>
      <c r="P326" s="70">
        <v>17817.0</v>
      </c>
      <c r="Q326" s="6">
        <v>62.0</v>
      </c>
      <c r="R326" s="12">
        <f t="shared" si="8"/>
        <v>10457.54</v>
      </c>
    </row>
    <row r="327">
      <c r="A327" s="7" t="s">
        <v>1341</v>
      </c>
      <c r="B327" s="58" t="s">
        <v>1358</v>
      </c>
      <c r="C327" s="58" t="s">
        <v>1359</v>
      </c>
      <c r="D327" s="7" t="s">
        <v>21</v>
      </c>
      <c r="E327" s="58" t="s">
        <v>1360</v>
      </c>
      <c r="F327" s="58" t="s">
        <v>1361</v>
      </c>
      <c r="G327" s="7">
        <v>9.925851972E9</v>
      </c>
      <c r="H327" s="7">
        <v>9.979044686E9</v>
      </c>
      <c r="I327" s="7">
        <v>25000.0</v>
      </c>
      <c r="J327" s="62" t="s">
        <v>1335</v>
      </c>
      <c r="K327" s="7" t="s">
        <v>25</v>
      </c>
      <c r="L327" s="9" t="s">
        <v>26</v>
      </c>
      <c r="M327" s="7" t="s">
        <v>340</v>
      </c>
      <c r="N327" s="7" t="s">
        <v>28</v>
      </c>
      <c r="O327" s="70">
        <v>44649.0</v>
      </c>
      <c r="P327" s="70">
        <v>46972.0</v>
      </c>
      <c r="Q327" s="6">
        <v>46.0</v>
      </c>
      <c r="R327" s="12">
        <f t="shared" si="8"/>
        <v>20538.54</v>
      </c>
    </row>
    <row r="328">
      <c r="A328" s="7" t="s">
        <v>1341</v>
      </c>
      <c r="B328" s="58" t="s">
        <v>1362</v>
      </c>
      <c r="C328" s="58" t="s">
        <v>1363</v>
      </c>
      <c r="D328" s="7" t="s">
        <v>44</v>
      </c>
      <c r="E328" s="58" t="s">
        <v>1364</v>
      </c>
      <c r="F328" s="58" t="s">
        <v>1365</v>
      </c>
      <c r="G328" s="7">
        <v>9.979311126E9</v>
      </c>
      <c r="H328" s="7">
        <v>8.460611126E9</v>
      </c>
      <c r="I328" s="7">
        <v>2990.0</v>
      </c>
      <c r="J328" s="14">
        <v>46451.0</v>
      </c>
      <c r="K328" s="7" t="s">
        <v>25</v>
      </c>
      <c r="L328" s="9" t="s">
        <v>49</v>
      </c>
      <c r="M328" s="7" t="s">
        <v>71</v>
      </c>
      <c r="N328" s="7" t="s">
        <v>28</v>
      </c>
      <c r="O328" s="70">
        <v>20869.0</v>
      </c>
      <c r="P328" s="70">
        <v>22539.0</v>
      </c>
      <c r="Q328" s="6">
        <v>58.0</v>
      </c>
      <c r="R328" s="12">
        <f t="shared" si="8"/>
        <v>12104.02</v>
      </c>
    </row>
    <row r="329">
      <c r="A329" s="7" t="s">
        <v>1341</v>
      </c>
      <c r="B329" s="58" t="s">
        <v>1366</v>
      </c>
      <c r="C329" s="58" t="s">
        <v>1367</v>
      </c>
      <c r="D329" s="7" t="s">
        <v>93</v>
      </c>
      <c r="E329" s="58" t="s">
        <v>1368</v>
      </c>
      <c r="F329" s="58" t="s">
        <v>1369</v>
      </c>
      <c r="G329" s="7">
        <v>9.099969916E9</v>
      </c>
      <c r="H329" s="7">
        <v>8.830006101E9</v>
      </c>
      <c r="I329" s="7">
        <v>11950.0</v>
      </c>
      <c r="J329" s="7" t="s">
        <v>1346</v>
      </c>
      <c r="K329" s="7" t="s">
        <v>25</v>
      </c>
      <c r="L329" s="9" t="s">
        <v>26</v>
      </c>
      <c r="M329" s="7" t="s">
        <v>219</v>
      </c>
      <c r="N329" s="7" t="s">
        <v>28</v>
      </c>
      <c r="O329" s="71">
        <v>27885.0</v>
      </c>
      <c r="P329" s="70">
        <v>29370.0</v>
      </c>
      <c r="Q329" s="6">
        <v>30.0</v>
      </c>
      <c r="R329" s="12">
        <f t="shared" si="8"/>
        <v>8365.5</v>
      </c>
    </row>
    <row r="330">
      <c r="A330" s="7" t="s">
        <v>1341</v>
      </c>
      <c r="B330" s="58" t="s">
        <v>1370</v>
      </c>
      <c r="C330" s="58" t="s">
        <v>1371</v>
      </c>
      <c r="D330" s="7" t="s">
        <v>44</v>
      </c>
      <c r="E330" s="58" t="s">
        <v>1372</v>
      </c>
      <c r="F330" s="58" t="s">
        <v>1373</v>
      </c>
      <c r="G330" s="7">
        <v>9.726920399E9</v>
      </c>
      <c r="H330" s="7">
        <v>8.200240483E9</v>
      </c>
      <c r="I330" s="62">
        <v>3490.0</v>
      </c>
      <c r="J330" s="62" t="s">
        <v>1335</v>
      </c>
      <c r="K330" s="7" t="s">
        <v>25</v>
      </c>
      <c r="L330" s="9" t="s">
        <v>49</v>
      </c>
      <c r="M330" s="7" t="s">
        <v>71</v>
      </c>
      <c r="N330" s="7" t="s">
        <v>28</v>
      </c>
      <c r="O330" s="70">
        <v>21602.0</v>
      </c>
      <c r="P330" s="70">
        <v>23404.0</v>
      </c>
      <c r="Q330" s="6">
        <v>58.0</v>
      </c>
      <c r="R330" s="12">
        <f t="shared" si="8"/>
        <v>12529.16</v>
      </c>
    </row>
    <row r="331">
      <c r="A331" s="7" t="s">
        <v>1341</v>
      </c>
      <c r="B331" s="58" t="s">
        <v>1374</v>
      </c>
      <c r="C331" s="58" t="s">
        <v>1375</v>
      </c>
      <c r="D331" s="7" t="s">
        <v>93</v>
      </c>
      <c r="E331" s="58" t="s">
        <v>1368</v>
      </c>
      <c r="F331" s="58" t="s">
        <v>1376</v>
      </c>
      <c r="G331" s="7">
        <v>9.099969916E9</v>
      </c>
      <c r="H331" s="7">
        <v>8.830006101E9</v>
      </c>
      <c r="I331" s="7">
        <v>11990.0</v>
      </c>
      <c r="J331" s="7" t="s">
        <v>1346</v>
      </c>
      <c r="K331" s="7" t="s">
        <v>25</v>
      </c>
      <c r="L331" s="9" t="s">
        <v>26</v>
      </c>
      <c r="M331" s="7" t="s">
        <v>71</v>
      </c>
      <c r="N331" s="7" t="s">
        <v>28</v>
      </c>
      <c r="O331" s="71">
        <v>27885.0</v>
      </c>
      <c r="P331" s="71">
        <v>29370.0</v>
      </c>
      <c r="Q331" s="6">
        <v>30.0</v>
      </c>
      <c r="R331" s="12">
        <f t="shared" si="8"/>
        <v>8365.5</v>
      </c>
    </row>
    <row r="332">
      <c r="A332" s="7" t="s">
        <v>1377</v>
      </c>
      <c r="B332" s="58" t="s">
        <v>1378</v>
      </c>
      <c r="C332" s="58" t="s">
        <v>1379</v>
      </c>
      <c r="D332" s="7" t="s">
        <v>44</v>
      </c>
      <c r="E332" s="58" t="s">
        <v>1380</v>
      </c>
      <c r="F332" s="58" t="s">
        <v>1381</v>
      </c>
      <c r="G332" s="7">
        <v>9.104577244E9</v>
      </c>
      <c r="H332" s="7">
        <v>9.925544273E9</v>
      </c>
      <c r="I332" s="7">
        <v>5700.0</v>
      </c>
      <c r="J332" s="7" t="s">
        <v>1346</v>
      </c>
      <c r="K332" s="7" t="s">
        <v>25</v>
      </c>
      <c r="L332" s="9" t="s">
        <v>26</v>
      </c>
      <c r="M332" s="7" t="s">
        <v>71</v>
      </c>
      <c r="N332" s="7" t="s">
        <v>28</v>
      </c>
      <c r="O332" s="70">
        <v>16149.0</v>
      </c>
      <c r="P332" s="70">
        <v>16969.0</v>
      </c>
      <c r="Q332" s="6">
        <v>44.0</v>
      </c>
      <c r="R332" s="12">
        <f t="shared" si="8"/>
        <v>7105.56</v>
      </c>
    </row>
    <row r="333">
      <c r="A333" s="7" t="s">
        <v>1382</v>
      </c>
      <c r="B333" s="58" t="s">
        <v>1383</v>
      </c>
      <c r="C333" s="58" t="s">
        <v>1384</v>
      </c>
      <c r="D333" s="7" t="s">
        <v>21</v>
      </c>
      <c r="E333" s="58" t="s">
        <v>1385</v>
      </c>
      <c r="F333" s="58" t="s">
        <v>1386</v>
      </c>
      <c r="G333" s="7">
        <v>9.723435464E9</v>
      </c>
      <c r="H333" s="7">
        <v>9.712191001E9</v>
      </c>
      <c r="I333" s="7">
        <v>42000.0</v>
      </c>
      <c r="J333" s="7" t="s">
        <v>1387</v>
      </c>
      <c r="K333" s="7" t="s">
        <v>65</v>
      </c>
      <c r="L333" s="9" t="s">
        <v>26</v>
      </c>
      <c r="M333" s="7" t="s">
        <v>89</v>
      </c>
      <c r="N333" s="7" t="s">
        <v>28</v>
      </c>
      <c r="O333" s="70">
        <v>44673.0</v>
      </c>
      <c r="P333" s="70">
        <v>46963.0</v>
      </c>
      <c r="Q333" s="6">
        <v>44.0</v>
      </c>
      <c r="R333" s="12">
        <f t="shared" si="8"/>
        <v>19656.12</v>
      </c>
    </row>
    <row r="334">
      <c r="A334" s="7" t="s">
        <v>1382</v>
      </c>
      <c r="B334" s="58" t="s">
        <v>1388</v>
      </c>
      <c r="C334" s="58" t="s">
        <v>1389</v>
      </c>
      <c r="D334" s="7" t="s">
        <v>21</v>
      </c>
      <c r="E334" s="58" t="s">
        <v>1385</v>
      </c>
      <c r="F334" s="58" t="s">
        <v>1386</v>
      </c>
      <c r="G334" s="7">
        <v>9.723435464E9</v>
      </c>
      <c r="H334" s="7">
        <v>9.712191001E9</v>
      </c>
      <c r="I334" s="7">
        <v>42000.0</v>
      </c>
      <c r="J334" s="7" t="s">
        <v>1387</v>
      </c>
      <c r="K334" s="7" t="s">
        <v>65</v>
      </c>
      <c r="L334" s="9" t="s">
        <v>26</v>
      </c>
      <c r="M334" s="7" t="s">
        <v>89</v>
      </c>
      <c r="N334" s="7" t="s">
        <v>28</v>
      </c>
      <c r="O334" s="70">
        <v>44673.0</v>
      </c>
      <c r="P334" s="70">
        <v>46963.0</v>
      </c>
      <c r="Q334" s="6">
        <v>44.0</v>
      </c>
      <c r="R334" s="12">
        <f t="shared" si="8"/>
        <v>19656.12</v>
      </c>
    </row>
    <row r="335">
      <c r="A335" s="7" t="s">
        <v>1382</v>
      </c>
      <c r="B335" s="83" t="s">
        <v>1390</v>
      </c>
      <c r="C335" s="58" t="s">
        <v>1391</v>
      </c>
      <c r="D335" s="8"/>
      <c r="E335" s="58" t="s">
        <v>381</v>
      </c>
      <c r="F335" s="58" t="s">
        <v>1392</v>
      </c>
      <c r="G335" s="8"/>
      <c r="H335" s="8"/>
      <c r="I335" s="86">
        <v>16200.0</v>
      </c>
      <c r="J335" s="62" t="s">
        <v>1393</v>
      </c>
      <c r="K335" s="7" t="s">
        <v>25</v>
      </c>
      <c r="L335" s="9" t="s">
        <v>26</v>
      </c>
      <c r="M335" s="7" t="s">
        <v>27</v>
      </c>
      <c r="N335" s="7" t="s">
        <v>28</v>
      </c>
      <c r="O335" s="70">
        <v>36012.0</v>
      </c>
      <c r="P335" s="70">
        <v>37903.0</v>
      </c>
      <c r="Q335" s="6">
        <v>46.0</v>
      </c>
      <c r="R335" s="12">
        <f t="shared" si="8"/>
        <v>16565.52</v>
      </c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</row>
  </sheetData>
  <autoFilter ref="$A$252:$AI$335">
    <sortState ref="A252:AI335">
      <sortCondition ref="A252:A335"/>
      <sortCondition descending="1" ref="J252:J335"/>
    </sortState>
  </autoFilter>
  <mergeCells count="2">
    <mergeCell ref="A153:B153"/>
    <mergeCell ref="A174:B174"/>
  </mergeCells>
  <dataValidations>
    <dataValidation type="list" allowBlank="1" showErrorMessage="1" sqref="L2:L137 L142:L149 L154:L223 L226:L249 L253:L335">
      <formula1>"TP,FULL,SAOD"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0"/>
    <col customWidth="1" min="2" max="2" width="12.56"/>
    <col customWidth="1" min="3" max="3" width="22.89"/>
    <col customWidth="1" min="4" max="4" width="12.44"/>
    <col customWidth="1" min="5" max="5" width="45.89"/>
    <col customWidth="1" min="6" max="6" width="35.89"/>
    <col customWidth="1" min="7" max="7" width="12.22"/>
    <col customWidth="1" min="8" max="8" width="11.78"/>
    <col customWidth="1" min="10" max="10" width="10.0"/>
    <col customWidth="1" min="12" max="12" width="12.67"/>
    <col customWidth="1" min="13" max="13" width="12.44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87">
        <v>45717.0</v>
      </c>
      <c r="B2" s="58" t="s">
        <v>163</v>
      </c>
      <c r="C2" s="58" t="s">
        <v>1394</v>
      </c>
      <c r="D2" s="8" t="s">
        <v>1395</v>
      </c>
      <c r="E2" s="58" t="s">
        <v>1396</v>
      </c>
      <c r="F2" s="58" t="s">
        <v>1397</v>
      </c>
      <c r="G2" s="7">
        <v>9.687507355E9</v>
      </c>
      <c r="H2" s="8"/>
      <c r="I2" s="88">
        <v>1445.0</v>
      </c>
      <c r="J2" s="22" t="s">
        <v>1398</v>
      </c>
      <c r="K2" s="8" t="s">
        <v>70</v>
      </c>
      <c r="L2" s="89" t="s">
        <v>49</v>
      </c>
      <c r="M2" s="8" t="s">
        <v>71</v>
      </c>
      <c r="N2" s="8" t="s">
        <v>28</v>
      </c>
      <c r="O2" s="90">
        <v>17286.0</v>
      </c>
      <c r="P2" s="90">
        <v>19435.0</v>
      </c>
      <c r="Q2" s="6">
        <v>60.0</v>
      </c>
      <c r="R2" s="8">
        <f t="shared" ref="R2:R57" si="1">O2*Q2%</f>
        <v>10371.6</v>
      </c>
    </row>
    <row r="3">
      <c r="A3" s="87">
        <v>45717.0</v>
      </c>
      <c r="B3" s="83" t="s">
        <v>1399</v>
      </c>
      <c r="C3" s="58" t="s">
        <v>1400</v>
      </c>
      <c r="D3" s="8" t="s">
        <v>1395</v>
      </c>
      <c r="E3" s="58" t="s">
        <v>524</v>
      </c>
      <c r="F3" s="58" t="s">
        <v>1401</v>
      </c>
      <c r="G3" s="7" t="s">
        <v>1402</v>
      </c>
      <c r="H3" s="8"/>
      <c r="I3" s="88">
        <v>3490.0</v>
      </c>
      <c r="J3" s="91">
        <v>46054.0</v>
      </c>
      <c r="K3" s="8" t="s">
        <v>116</v>
      </c>
      <c r="L3" s="89" t="s">
        <v>49</v>
      </c>
      <c r="M3" s="8" t="s">
        <v>389</v>
      </c>
      <c r="N3" s="8" t="s">
        <v>28</v>
      </c>
      <c r="O3" s="90">
        <v>21745.0</v>
      </c>
      <c r="P3" s="90">
        <v>24691.0</v>
      </c>
      <c r="Q3" s="6">
        <v>48.0</v>
      </c>
      <c r="R3" s="8">
        <f t="shared" si="1"/>
        <v>10437.6</v>
      </c>
    </row>
    <row r="4">
      <c r="A4" s="87">
        <v>45717.0</v>
      </c>
      <c r="B4" s="58" t="s">
        <v>1403</v>
      </c>
      <c r="C4" s="58" t="s">
        <v>1404</v>
      </c>
      <c r="D4" s="8" t="s">
        <v>1405</v>
      </c>
      <c r="E4" s="58" t="s">
        <v>1406</v>
      </c>
      <c r="F4" s="58" t="s">
        <v>1407</v>
      </c>
      <c r="G4" s="7">
        <v>9.998085842E9</v>
      </c>
      <c r="H4" s="8"/>
      <c r="I4" s="88">
        <v>990.0</v>
      </c>
      <c r="J4" s="91">
        <v>46082.0</v>
      </c>
      <c r="K4" s="8" t="s">
        <v>78</v>
      </c>
      <c r="L4" s="89" t="s">
        <v>49</v>
      </c>
      <c r="M4" s="8" t="s">
        <v>71</v>
      </c>
      <c r="N4" s="8" t="s">
        <v>28</v>
      </c>
      <c r="O4" s="90">
        <v>5342.32</v>
      </c>
      <c r="P4" s="90">
        <v>6034.0</v>
      </c>
      <c r="Q4" s="6">
        <v>59.0</v>
      </c>
      <c r="R4" s="8">
        <f t="shared" si="1"/>
        <v>3151.9688</v>
      </c>
    </row>
    <row r="5">
      <c r="A5" s="87">
        <v>45748.0</v>
      </c>
      <c r="B5" s="58" t="s">
        <v>1408</v>
      </c>
      <c r="C5" s="58" t="s">
        <v>1409</v>
      </c>
      <c r="D5" s="8" t="s">
        <v>21</v>
      </c>
      <c r="E5" s="58" t="s">
        <v>1410</v>
      </c>
      <c r="F5" s="58" t="s">
        <v>1411</v>
      </c>
      <c r="G5" s="7" t="s">
        <v>1412</v>
      </c>
      <c r="H5" s="8"/>
      <c r="I5" s="88">
        <v>11990.0</v>
      </c>
      <c r="J5" s="91">
        <v>46082.0</v>
      </c>
      <c r="K5" s="8" t="s">
        <v>353</v>
      </c>
      <c r="L5" s="89" t="s">
        <v>49</v>
      </c>
      <c r="M5" s="8" t="s">
        <v>365</v>
      </c>
      <c r="N5" s="8" t="s">
        <v>28</v>
      </c>
      <c r="O5" s="90">
        <v>32771.0</v>
      </c>
      <c r="P5" s="90">
        <v>37039.0</v>
      </c>
      <c r="Q5" s="6">
        <v>26.0</v>
      </c>
      <c r="R5" s="8">
        <f t="shared" si="1"/>
        <v>8520.46</v>
      </c>
    </row>
    <row r="6">
      <c r="A6" s="87">
        <v>45748.0</v>
      </c>
      <c r="B6" s="83" t="s">
        <v>1413</v>
      </c>
      <c r="C6" s="58" t="s">
        <v>1414</v>
      </c>
      <c r="D6" s="8" t="s">
        <v>1395</v>
      </c>
      <c r="E6" s="58" t="s">
        <v>1415</v>
      </c>
      <c r="F6" s="58" t="s">
        <v>1416</v>
      </c>
      <c r="G6" s="7" t="s">
        <v>1417</v>
      </c>
      <c r="H6" s="8" t="s">
        <v>1418</v>
      </c>
      <c r="I6" s="88">
        <v>3490.0</v>
      </c>
      <c r="J6" s="91">
        <v>46082.0</v>
      </c>
      <c r="K6" s="8" t="s">
        <v>1419</v>
      </c>
      <c r="L6" s="89" t="s">
        <v>49</v>
      </c>
      <c r="M6" s="8" t="s">
        <v>27</v>
      </c>
      <c r="N6" s="8" t="s">
        <v>28</v>
      </c>
      <c r="O6" s="88">
        <v>19871.0</v>
      </c>
      <c r="P6" s="88">
        <v>22485.0</v>
      </c>
      <c r="Q6" s="6">
        <v>52.0</v>
      </c>
      <c r="R6" s="8">
        <f t="shared" si="1"/>
        <v>10332.92</v>
      </c>
    </row>
    <row r="7">
      <c r="A7" s="87">
        <v>45748.0</v>
      </c>
      <c r="B7" s="92" t="s">
        <v>1420</v>
      </c>
      <c r="C7" s="58" t="s">
        <v>1421</v>
      </c>
      <c r="D7" s="8" t="s">
        <v>1395</v>
      </c>
      <c r="E7" s="58" t="s">
        <v>1422</v>
      </c>
      <c r="F7" s="58" t="s">
        <v>1423</v>
      </c>
      <c r="G7" s="7">
        <v>9.979008407E9</v>
      </c>
      <c r="H7" s="8"/>
      <c r="I7" s="88">
        <v>2735.0</v>
      </c>
      <c r="J7" s="91">
        <v>46357.0</v>
      </c>
      <c r="K7" s="8" t="s">
        <v>1424</v>
      </c>
      <c r="L7" s="89" t="s">
        <v>49</v>
      </c>
      <c r="M7" s="8" t="s">
        <v>71</v>
      </c>
      <c r="N7" s="8" t="s">
        <v>28</v>
      </c>
      <c r="O7" s="88">
        <v>20991.0</v>
      </c>
      <c r="P7" s="88">
        <v>23807.0</v>
      </c>
      <c r="Q7" s="6">
        <v>53.0</v>
      </c>
      <c r="R7" s="8">
        <f t="shared" si="1"/>
        <v>11125.23</v>
      </c>
      <c r="S7" s="8"/>
    </row>
    <row r="8">
      <c r="A8" s="87">
        <v>45748.0</v>
      </c>
      <c r="B8" s="92" t="s">
        <v>657</v>
      </c>
      <c r="C8" s="58" t="s">
        <v>1425</v>
      </c>
      <c r="D8" s="8" t="s">
        <v>21</v>
      </c>
      <c r="E8" s="93" t="s">
        <v>1426</v>
      </c>
      <c r="F8" s="58" t="s">
        <v>1427</v>
      </c>
      <c r="G8" s="7" t="s">
        <v>1428</v>
      </c>
      <c r="H8" s="8"/>
      <c r="I8" s="88">
        <v>12990.0</v>
      </c>
      <c r="J8" s="58" t="s">
        <v>1429</v>
      </c>
      <c r="K8" s="8" t="s">
        <v>65</v>
      </c>
      <c r="L8" s="89" t="s">
        <v>26</v>
      </c>
      <c r="M8" s="8" t="s">
        <v>71</v>
      </c>
      <c r="N8" s="8" t="s">
        <v>28</v>
      </c>
      <c r="O8" s="88">
        <v>35463.0</v>
      </c>
      <c r="P8" s="88">
        <v>39729.0</v>
      </c>
      <c r="Q8" s="6">
        <v>46.0</v>
      </c>
      <c r="R8" s="8">
        <f t="shared" si="1"/>
        <v>16312.98</v>
      </c>
    </row>
    <row r="9">
      <c r="A9" s="87">
        <v>45748.0</v>
      </c>
      <c r="B9" s="92" t="s">
        <v>1430</v>
      </c>
      <c r="C9" s="58" t="s">
        <v>1431</v>
      </c>
      <c r="D9" s="8" t="s">
        <v>1432</v>
      </c>
      <c r="E9" s="58" t="s">
        <v>1433</v>
      </c>
      <c r="F9" s="58" t="s">
        <v>1434</v>
      </c>
      <c r="G9" s="7" t="s">
        <v>1435</v>
      </c>
      <c r="H9" s="8"/>
      <c r="I9" s="88">
        <v>236.0</v>
      </c>
      <c r="J9" s="91">
        <v>46054.0</v>
      </c>
      <c r="K9" s="8" t="s">
        <v>1419</v>
      </c>
      <c r="L9" s="89" t="s">
        <v>49</v>
      </c>
      <c r="M9" s="8" t="s">
        <v>1436</v>
      </c>
      <c r="N9" s="8" t="s">
        <v>28</v>
      </c>
      <c r="O9" s="88">
        <v>7281.0</v>
      </c>
      <c r="P9" s="88">
        <v>8591.0</v>
      </c>
      <c r="Q9" s="6">
        <v>53.0</v>
      </c>
      <c r="R9" s="8">
        <f t="shared" si="1"/>
        <v>3858.93</v>
      </c>
    </row>
    <row r="10">
      <c r="A10" s="87">
        <v>45748.0</v>
      </c>
      <c r="B10" s="58" t="s">
        <v>1437</v>
      </c>
      <c r="C10" s="58" t="s">
        <v>1438</v>
      </c>
      <c r="D10" s="8" t="s">
        <v>1432</v>
      </c>
      <c r="E10" s="58" t="s">
        <v>1439</v>
      </c>
      <c r="F10" s="58" t="s">
        <v>1440</v>
      </c>
      <c r="G10" s="7" t="s">
        <v>1435</v>
      </c>
      <c r="H10" s="8"/>
      <c r="I10" s="88">
        <v>236.0</v>
      </c>
      <c r="J10" s="91">
        <v>46143.0</v>
      </c>
      <c r="K10" s="8" t="s">
        <v>1419</v>
      </c>
      <c r="L10" s="89" t="s">
        <v>49</v>
      </c>
      <c r="M10" s="8" t="s">
        <v>144</v>
      </c>
      <c r="N10" s="8" t="s">
        <v>28</v>
      </c>
      <c r="O10" s="88">
        <v>6899.0</v>
      </c>
      <c r="P10" s="88">
        <v>8141.0</v>
      </c>
      <c r="Q10" s="6">
        <v>53.0</v>
      </c>
      <c r="R10" s="8">
        <f t="shared" si="1"/>
        <v>3656.47</v>
      </c>
    </row>
    <row r="11">
      <c r="A11" s="87">
        <v>45748.0</v>
      </c>
      <c r="B11" s="58" t="s">
        <v>1441</v>
      </c>
      <c r="C11" s="58" t="s">
        <v>1442</v>
      </c>
      <c r="D11" s="8" t="s">
        <v>1432</v>
      </c>
      <c r="E11" s="58" t="s">
        <v>1439</v>
      </c>
      <c r="F11" s="58" t="s">
        <v>1443</v>
      </c>
      <c r="G11" s="7" t="s">
        <v>1444</v>
      </c>
      <c r="H11" s="8"/>
      <c r="I11" s="88">
        <v>236.0</v>
      </c>
      <c r="J11" s="91">
        <v>46082.0</v>
      </c>
      <c r="K11" s="8" t="s">
        <v>1419</v>
      </c>
      <c r="L11" s="89" t="s">
        <v>49</v>
      </c>
      <c r="M11" s="8" t="s">
        <v>144</v>
      </c>
      <c r="N11" s="8" t="s">
        <v>28</v>
      </c>
      <c r="O11" s="88">
        <v>6881.0</v>
      </c>
      <c r="P11" s="88">
        <v>8119.0</v>
      </c>
      <c r="Q11" s="6">
        <v>53.0</v>
      </c>
      <c r="R11" s="8">
        <f t="shared" si="1"/>
        <v>3646.93</v>
      </c>
    </row>
    <row r="12">
      <c r="A12" s="87">
        <v>45748.0</v>
      </c>
      <c r="B12" s="58" t="s">
        <v>1445</v>
      </c>
      <c r="C12" s="58" t="s">
        <v>1446</v>
      </c>
      <c r="D12" s="8" t="s">
        <v>1395</v>
      </c>
      <c r="E12" s="58" t="s">
        <v>178</v>
      </c>
      <c r="F12" s="58" t="s">
        <v>1447</v>
      </c>
      <c r="G12" s="7" t="s">
        <v>1448</v>
      </c>
      <c r="H12" s="8"/>
      <c r="I12" s="88">
        <v>3460.0</v>
      </c>
      <c r="J12" s="91">
        <v>46266.0</v>
      </c>
      <c r="K12" s="8" t="s">
        <v>116</v>
      </c>
      <c r="L12" s="89" t="s">
        <v>49</v>
      </c>
      <c r="M12" s="8" t="s">
        <v>219</v>
      </c>
      <c r="N12" s="8" t="s">
        <v>28</v>
      </c>
      <c r="O12" s="90">
        <v>22045.0</v>
      </c>
      <c r="P12" s="90">
        <v>25045.0</v>
      </c>
      <c r="Q12" s="6">
        <v>48.0</v>
      </c>
      <c r="R12" s="8">
        <f t="shared" si="1"/>
        <v>10581.6</v>
      </c>
    </row>
    <row r="13">
      <c r="A13" s="87">
        <v>45748.0</v>
      </c>
      <c r="B13" s="58" t="s">
        <v>375</v>
      </c>
      <c r="C13" s="58" t="s">
        <v>1449</v>
      </c>
      <c r="D13" s="8" t="s">
        <v>1395</v>
      </c>
      <c r="E13" s="58" t="s">
        <v>1007</v>
      </c>
      <c r="F13" s="58" t="s">
        <v>378</v>
      </c>
      <c r="G13" s="7" t="s">
        <v>1450</v>
      </c>
      <c r="H13" s="8"/>
      <c r="I13" s="88">
        <v>2620.0</v>
      </c>
      <c r="J13" s="91">
        <v>46054.0</v>
      </c>
      <c r="K13" s="8" t="s">
        <v>116</v>
      </c>
      <c r="L13" s="89" t="s">
        <v>49</v>
      </c>
      <c r="M13" s="8" t="s">
        <v>1451</v>
      </c>
      <c r="N13" s="8" t="s">
        <v>28</v>
      </c>
      <c r="O13" s="90">
        <v>18844.0</v>
      </c>
      <c r="P13" s="90">
        <v>21268.0</v>
      </c>
      <c r="Q13" s="6">
        <v>48.0</v>
      </c>
      <c r="R13" s="8">
        <f t="shared" si="1"/>
        <v>9045.12</v>
      </c>
    </row>
    <row r="14">
      <c r="A14" s="87">
        <v>45778.0</v>
      </c>
      <c r="B14" s="58" t="s">
        <v>1452</v>
      </c>
      <c r="C14" s="58" t="s">
        <v>1453</v>
      </c>
      <c r="D14" s="58" t="s">
        <v>1395</v>
      </c>
      <c r="E14" s="58" t="s">
        <v>524</v>
      </c>
      <c r="F14" s="58" t="s">
        <v>1454</v>
      </c>
      <c r="G14" s="7" t="s">
        <v>1455</v>
      </c>
      <c r="H14" s="8"/>
      <c r="I14" s="88">
        <v>3490.0</v>
      </c>
      <c r="J14" s="91">
        <v>46113.0</v>
      </c>
      <c r="K14" s="8" t="s">
        <v>116</v>
      </c>
      <c r="L14" s="89" t="s">
        <v>49</v>
      </c>
      <c r="M14" s="8" t="s">
        <v>1456</v>
      </c>
      <c r="N14" s="8" t="s">
        <v>28</v>
      </c>
      <c r="O14" s="90">
        <v>21069.0</v>
      </c>
      <c r="P14" s="90">
        <v>23893.0</v>
      </c>
      <c r="Q14" s="6">
        <v>48.0</v>
      </c>
      <c r="R14" s="8">
        <f t="shared" si="1"/>
        <v>10113.12</v>
      </c>
    </row>
    <row r="15">
      <c r="A15" s="87">
        <v>45778.0</v>
      </c>
      <c r="B15" s="58" t="s">
        <v>223</v>
      </c>
      <c r="C15" s="58" t="s">
        <v>1457</v>
      </c>
      <c r="D15" s="8" t="s">
        <v>1405</v>
      </c>
      <c r="E15" s="58" t="s">
        <v>1458</v>
      </c>
      <c r="F15" s="58" t="s">
        <v>1459</v>
      </c>
      <c r="G15" s="7">
        <v>9.727046336E9</v>
      </c>
      <c r="H15" s="8"/>
      <c r="I15" s="88">
        <v>995.0</v>
      </c>
      <c r="J15" s="91">
        <v>46143.0</v>
      </c>
      <c r="K15" s="8" t="s">
        <v>78</v>
      </c>
      <c r="L15" s="89" t="s">
        <v>49</v>
      </c>
      <c r="M15" s="8" t="s">
        <v>1460</v>
      </c>
      <c r="N15" s="58" t="s">
        <v>28</v>
      </c>
      <c r="O15" s="90">
        <v>5362.44</v>
      </c>
      <c r="P15" s="90">
        <v>6058.0</v>
      </c>
      <c r="Q15" s="6">
        <v>59.0</v>
      </c>
      <c r="R15" s="8">
        <f t="shared" si="1"/>
        <v>3163.8396</v>
      </c>
    </row>
    <row r="16">
      <c r="A16" s="87">
        <v>45778.0</v>
      </c>
      <c r="B16" s="58" t="s">
        <v>248</v>
      </c>
      <c r="C16" s="58" t="s">
        <v>1461</v>
      </c>
      <c r="D16" s="8" t="s">
        <v>21</v>
      </c>
      <c r="E16" s="93" t="s">
        <v>1462</v>
      </c>
      <c r="F16" s="58" t="s">
        <v>1463</v>
      </c>
      <c r="G16" s="7">
        <v>9.825765417E9</v>
      </c>
      <c r="H16" s="8"/>
      <c r="I16" s="88">
        <v>35200.0</v>
      </c>
      <c r="J16" s="94">
        <v>46082.0</v>
      </c>
      <c r="K16" s="8" t="s">
        <v>65</v>
      </c>
      <c r="L16" s="89" t="s">
        <v>26</v>
      </c>
      <c r="M16" s="8" t="s">
        <v>71</v>
      </c>
      <c r="N16" s="8" t="s">
        <v>28</v>
      </c>
      <c r="O16" s="88">
        <v>44100.0</v>
      </c>
      <c r="P16" s="88">
        <v>49402.0</v>
      </c>
      <c r="Q16" s="6">
        <v>49.0</v>
      </c>
      <c r="R16" s="8">
        <f t="shared" si="1"/>
        <v>21609</v>
      </c>
    </row>
    <row r="17">
      <c r="A17" s="87">
        <v>45778.0</v>
      </c>
      <c r="B17" s="58" t="s">
        <v>631</v>
      </c>
      <c r="C17" s="58" t="s">
        <v>1464</v>
      </c>
      <c r="D17" s="8" t="s">
        <v>21</v>
      </c>
      <c r="E17" s="58" t="s">
        <v>1465</v>
      </c>
      <c r="F17" s="58" t="s">
        <v>1466</v>
      </c>
      <c r="G17" s="7">
        <v>8.20001614E9</v>
      </c>
      <c r="H17" s="8"/>
      <c r="I17" s="88">
        <v>15800.0</v>
      </c>
      <c r="J17" s="91">
        <v>46143.0</v>
      </c>
      <c r="K17" s="8" t="s">
        <v>78</v>
      </c>
      <c r="L17" s="89" t="s">
        <v>49</v>
      </c>
      <c r="M17" s="8" t="s">
        <v>71</v>
      </c>
      <c r="N17" s="8" t="s">
        <v>28</v>
      </c>
      <c r="O17" s="90">
        <v>40502.61</v>
      </c>
      <c r="P17" s="90">
        <v>45674.0</v>
      </c>
      <c r="Q17" s="6">
        <v>24.0</v>
      </c>
      <c r="R17" s="8">
        <f t="shared" si="1"/>
        <v>9720.6264</v>
      </c>
    </row>
    <row r="18">
      <c r="A18" s="87">
        <v>45778.0</v>
      </c>
      <c r="B18" s="83" t="s">
        <v>1467</v>
      </c>
      <c r="C18" s="58" t="s">
        <v>1468</v>
      </c>
      <c r="D18" s="8" t="s">
        <v>21</v>
      </c>
      <c r="E18" s="93">
        <v>2214.0</v>
      </c>
      <c r="F18" s="58" t="s">
        <v>1469</v>
      </c>
      <c r="G18" s="7">
        <v>9.898496407E9</v>
      </c>
      <c r="H18" s="8"/>
      <c r="I18" s="88">
        <v>25000.0</v>
      </c>
      <c r="J18" s="94">
        <v>46082.0</v>
      </c>
      <c r="K18" s="8" t="s">
        <v>65</v>
      </c>
      <c r="L18" s="89" t="s">
        <v>26</v>
      </c>
      <c r="M18" s="8" t="s">
        <v>33</v>
      </c>
      <c r="N18" s="8" t="s">
        <v>28</v>
      </c>
      <c r="O18" s="88">
        <v>44100.0</v>
      </c>
      <c r="P18" s="88">
        <v>49402.0</v>
      </c>
      <c r="Q18" s="6">
        <v>51.0</v>
      </c>
      <c r="R18" s="8">
        <f t="shared" si="1"/>
        <v>22491</v>
      </c>
    </row>
    <row r="19">
      <c r="A19" s="87">
        <v>45778.0</v>
      </c>
      <c r="B19" s="83" t="s">
        <v>1470</v>
      </c>
      <c r="C19" s="58" t="s">
        <v>1471</v>
      </c>
      <c r="D19" s="8" t="s">
        <v>21</v>
      </c>
      <c r="E19" s="93">
        <v>2214.0</v>
      </c>
      <c r="F19" s="58" t="s">
        <v>1472</v>
      </c>
      <c r="G19" s="7">
        <v>9.898496407E9</v>
      </c>
      <c r="H19" s="8"/>
      <c r="I19" s="88">
        <v>28000.0</v>
      </c>
      <c r="J19" s="94">
        <v>46082.0</v>
      </c>
      <c r="K19" s="8" t="s">
        <v>65</v>
      </c>
      <c r="L19" s="89" t="s">
        <v>26</v>
      </c>
      <c r="M19" s="8" t="s">
        <v>33</v>
      </c>
      <c r="N19" s="8" t="s">
        <v>28</v>
      </c>
      <c r="O19" s="88">
        <v>44100.0</v>
      </c>
      <c r="P19" s="88">
        <v>49402.0</v>
      </c>
      <c r="Q19" s="6">
        <v>51.0</v>
      </c>
      <c r="R19" s="8">
        <f t="shared" si="1"/>
        <v>22491</v>
      </c>
    </row>
    <row r="20">
      <c r="A20" s="87">
        <v>45778.0</v>
      </c>
      <c r="B20" s="58" t="s">
        <v>1473</v>
      </c>
      <c r="C20" s="58" t="s">
        <v>1474</v>
      </c>
      <c r="D20" s="8" t="s">
        <v>21</v>
      </c>
      <c r="E20" s="58" t="s">
        <v>1475</v>
      </c>
      <c r="F20" s="58" t="s">
        <v>1476</v>
      </c>
      <c r="G20" s="7">
        <v>9.714323531E9</v>
      </c>
      <c r="H20" s="8"/>
      <c r="I20" s="88">
        <v>10400.0</v>
      </c>
      <c r="J20" s="91">
        <v>46082.0</v>
      </c>
      <c r="K20" s="8" t="s">
        <v>353</v>
      </c>
      <c r="L20" s="89" t="s">
        <v>49</v>
      </c>
      <c r="M20" s="8" t="s">
        <v>1477</v>
      </c>
      <c r="N20" s="8" t="s">
        <v>28</v>
      </c>
      <c r="O20" s="90">
        <v>29768.0</v>
      </c>
      <c r="P20" s="90">
        <v>33495.0</v>
      </c>
      <c r="Q20" s="6">
        <v>26.0</v>
      </c>
      <c r="R20" s="8">
        <f t="shared" si="1"/>
        <v>7739.68</v>
      </c>
    </row>
    <row r="21">
      <c r="A21" s="87">
        <v>45778.0</v>
      </c>
      <c r="B21" s="58" t="s">
        <v>345</v>
      </c>
      <c r="C21" s="58" t="s">
        <v>1478</v>
      </c>
      <c r="D21" s="8" t="s">
        <v>1405</v>
      </c>
      <c r="E21" s="58" t="s">
        <v>1479</v>
      </c>
      <c r="F21" s="58" t="s">
        <v>1480</v>
      </c>
      <c r="G21" s="7" t="s">
        <v>1481</v>
      </c>
      <c r="H21" s="8"/>
      <c r="I21" s="88">
        <v>990.0</v>
      </c>
      <c r="J21" s="91">
        <v>46235.0</v>
      </c>
      <c r="K21" s="8" t="s">
        <v>1419</v>
      </c>
      <c r="L21" s="89" t="s">
        <v>49</v>
      </c>
      <c r="M21" s="8" t="s">
        <v>340</v>
      </c>
      <c r="N21" s="8" t="s">
        <v>28</v>
      </c>
      <c r="O21" s="88">
        <v>5362.0</v>
      </c>
      <c r="P21" s="88">
        <v>6058.0</v>
      </c>
      <c r="Q21" s="6">
        <v>53.0</v>
      </c>
      <c r="R21" s="8">
        <f t="shared" si="1"/>
        <v>2841.86</v>
      </c>
    </row>
    <row r="22">
      <c r="A22" s="87">
        <v>45839.0</v>
      </c>
      <c r="B22" s="58" t="s">
        <v>1482</v>
      </c>
      <c r="C22" s="58" t="s">
        <v>1483</v>
      </c>
      <c r="D22" s="8" t="s">
        <v>1395</v>
      </c>
      <c r="E22" s="58" t="s">
        <v>741</v>
      </c>
      <c r="F22" s="58" t="s">
        <v>1484</v>
      </c>
      <c r="G22" s="7">
        <v>9.265764563E9</v>
      </c>
      <c r="H22" s="8"/>
      <c r="I22" s="88">
        <v>3490.0</v>
      </c>
      <c r="J22" s="91">
        <v>46235.0</v>
      </c>
      <c r="K22" s="8" t="s">
        <v>116</v>
      </c>
      <c r="L22" s="89" t="s">
        <v>49</v>
      </c>
      <c r="M22" s="8" t="s">
        <v>27</v>
      </c>
      <c r="N22" s="8" t="s">
        <v>28</v>
      </c>
      <c r="O22" s="90">
        <v>19253.0</v>
      </c>
      <c r="P22" s="90">
        <v>21751.0</v>
      </c>
      <c r="Q22" s="6">
        <v>48.0</v>
      </c>
      <c r="R22" s="8">
        <f t="shared" si="1"/>
        <v>9241.44</v>
      </c>
    </row>
    <row r="23">
      <c r="A23" s="87">
        <v>45839.0</v>
      </c>
      <c r="B23" s="58" t="s">
        <v>1485</v>
      </c>
      <c r="C23" s="58" t="s">
        <v>1486</v>
      </c>
      <c r="D23" s="8" t="s">
        <v>533</v>
      </c>
      <c r="E23" s="58" t="s">
        <v>1487</v>
      </c>
      <c r="F23" s="58" t="s">
        <v>783</v>
      </c>
      <c r="G23" s="7">
        <v>9.909502121E9</v>
      </c>
      <c r="H23" s="8"/>
      <c r="I23" s="88">
        <v>0.0</v>
      </c>
      <c r="J23" s="91">
        <v>46174.0</v>
      </c>
      <c r="K23" s="8" t="s">
        <v>1419</v>
      </c>
      <c r="L23" s="89" t="s">
        <v>49</v>
      </c>
      <c r="M23" s="8" t="s">
        <v>71</v>
      </c>
      <c r="N23" s="8" t="s">
        <v>28</v>
      </c>
      <c r="O23" s="88">
        <v>9966.0</v>
      </c>
      <c r="P23" s="88">
        <v>11760.0</v>
      </c>
      <c r="Q23" s="6">
        <v>27.0</v>
      </c>
      <c r="R23" s="8">
        <f t="shared" si="1"/>
        <v>2690.82</v>
      </c>
    </row>
    <row r="24">
      <c r="A24" s="87">
        <v>45839.0</v>
      </c>
      <c r="B24" s="58" t="s">
        <v>1488</v>
      </c>
      <c r="C24" s="58" t="s">
        <v>1489</v>
      </c>
      <c r="D24" s="8" t="s">
        <v>533</v>
      </c>
      <c r="E24" s="58" t="s">
        <v>1487</v>
      </c>
      <c r="F24" s="58" t="s">
        <v>1490</v>
      </c>
      <c r="G24" s="7">
        <v>9.909502121E9</v>
      </c>
      <c r="H24" s="8"/>
      <c r="I24" s="21">
        <v>0.0</v>
      </c>
      <c r="J24" s="91">
        <v>46174.0</v>
      </c>
      <c r="K24" s="8" t="s">
        <v>1419</v>
      </c>
      <c r="L24" s="89" t="s">
        <v>49</v>
      </c>
      <c r="M24" s="8" t="s">
        <v>71</v>
      </c>
      <c r="N24" s="8" t="s">
        <v>28</v>
      </c>
      <c r="O24" s="88">
        <v>9966.0</v>
      </c>
      <c r="P24" s="88">
        <v>11760.0</v>
      </c>
      <c r="Q24" s="6">
        <v>27.0</v>
      </c>
      <c r="R24" s="8">
        <f t="shared" si="1"/>
        <v>2690.82</v>
      </c>
    </row>
    <row r="25">
      <c r="A25" s="87">
        <v>45839.0</v>
      </c>
      <c r="B25" s="83" t="s">
        <v>1491</v>
      </c>
      <c r="C25" s="58" t="s">
        <v>1492</v>
      </c>
      <c r="D25" s="8" t="s">
        <v>21</v>
      </c>
      <c r="E25" s="58" t="s">
        <v>1493</v>
      </c>
      <c r="F25" s="58" t="s">
        <v>1494</v>
      </c>
      <c r="G25" s="95" t="s">
        <v>1495</v>
      </c>
      <c r="H25" s="8"/>
      <c r="I25" s="88">
        <v>15360.0</v>
      </c>
      <c r="J25" s="22">
        <v>46143.0</v>
      </c>
      <c r="K25" s="8" t="s">
        <v>677</v>
      </c>
      <c r="L25" s="89" t="s">
        <v>49</v>
      </c>
      <c r="M25" s="8" t="s">
        <v>1456</v>
      </c>
      <c r="N25" s="8" t="s">
        <v>28</v>
      </c>
      <c r="O25" s="88">
        <v>38469.31</v>
      </c>
      <c r="P25" s="88">
        <v>43275.01</v>
      </c>
      <c r="Q25" s="6">
        <v>22.0</v>
      </c>
      <c r="R25" s="8">
        <f t="shared" si="1"/>
        <v>8463.2482</v>
      </c>
    </row>
    <row r="26">
      <c r="A26" s="87">
        <v>45839.0</v>
      </c>
      <c r="B26" s="58" t="s">
        <v>367</v>
      </c>
      <c r="C26" s="58" t="s">
        <v>1496</v>
      </c>
      <c r="D26" s="8" t="s">
        <v>1395</v>
      </c>
      <c r="E26" s="58" t="s">
        <v>178</v>
      </c>
      <c r="F26" s="58" t="s">
        <v>369</v>
      </c>
      <c r="G26" s="7" t="s">
        <v>1497</v>
      </c>
      <c r="H26" s="8"/>
      <c r="I26" s="88">
        <v>3460.0</v>
      </c>
      <c r="J26" s="91">
        <v>46296.0</v>
      </c>
      <c r="K26" s="8" t="s">
        <v>116</v>
      </c>
      <c r="L26" s="89" t="s">
        <v>49</v>
      </c>
      <c r="M26" s="8" t="s">
        <v>219</v>
      </c>
      <c r="N26" s="8" t="s">
        <v>28</v>
      </c>
      <c r="O26" s="90">
        <v>22153.0</v>
      </c>
      <c r="P26" s="90">
        <v>25172.0</v>
      </c>
      <c r="Q26" s="6">
        <v>48.0</v>
      </c>
      <c r="R26" s="8">
        <f t="shared" si="1"/>
        <v>10633.44</v>
      </c>
    </row>
    <row r="27">
      <c r="A27" s="87">
        <v>45839.0</v>
      </c>
      <c r="B27" s="83" t="s">
        <v>1498</v>
      </c>
      <c r="C27" s="58" t="s">
        <v>1499</v>
      </c>
      <c r="D27" s="8" t="s">
        <v>1405</v>
      </c>
      <c r="E27" s="58" t="s">
        <v>1406</v>
      </c>
      <c r="F27" s="58" t="s">
        <v>1500</v>
      </c>
      <c r="G27" s="8"/>
      <c r="H27" s="8"/>
      <c r="I27" s="88">
        <v>990.0</v>
      </c>
      <c r="J27" s="91">
        <v>46174.0</v>
      </c>
      <c r="K27" s="8" t="s">
        <v>78</v>
      </c>
      <c r="L27" s="89" t="s">
        <v>49</v>
      </c>
      <c r="M27" s="8" t="s">
        <v>1456</v>
      </c>
      <c r="N27" s="8" t="s">
        <v>28</v>
      </c>
      <c r="O27" s="90">
        <v>5248.37</v>
      </c>
      <c r="P27" s="90">
        <v>5924.0</v>
      </c>
      <c r="Q27" s="6">
        <v>59.0</v>
      </c>
      <c r="R27" s="8">
        <f t="shared" si="1"/>
        <v>3096.5383</v>
      </c>
    </row>
    <row r="28">
      <c r="A28" s="87">
        <v>45839.0</v>
      </c>
      <c r="B28" s="58" t="s">
        <v>1501</v>
      </c>
      <c r="C28" s="58" t="s">
        <v>1502</v>
      </c>
      <c r="D28" s="8" t="s">
        <v>21</v>
      </c>
      <c r="E28" s="58" t="s">
        <v>1503</v>
      </c>
      <c r="F28" s="58" t="s">
        <v>1504</v>
      </c>
      <c r="G28" s="8"/>
      <c r="H28" s="8"/>
      <c r="I28" s="88">
        <v>12990.0</v>
      </c>
      <c r="J28" s="22">
        <v>46235.0</v>
      </c>
      <c r="K28" s="8" t="s">
        <v>70</v>
      </c>
      <c r="L28" s="89" t="s">
        <v>49</v>
      </c>
      <c r="M28" s="8" t="s">
        <v>71</v>
      </c>
      <c r="N28" s="8" t="s">
        <v>28</v>
      </c>
      <c r="O28" s="90">
        <v>36548.0</v>
      </c>
      <c r="P28" s="90">
        <v>41008.0</v>
      </c>
      <c r="Q28" s="6">
        <v>26.0</v>
      </c>
      <c r="R28" s="8">
        <f t="shared" si="1"/>
        <v>9502.48</v>
      </c>
    </row>
    <row r="29">
      <c r="A29" s="87">
        <v>45870.0</v>
      </c>
      <c r="B29" s="58" t="s">
        <v>289</v>
      </c>
      <c r="C29" s="58" t="s">
        <v>1505</v>
      </c>
      <c r="D29" s="8" t="s">
        <v>1405</v>
      </c>
      <c r="E29" s="58" t="s">
        <v>1506</v>
      </c>
      <c r="F29" s="58" t="s">
        <v>1507</v>
      </c>
      <c r="G29" s="8"/>
      <c r="H29" s="8"/>
      <c r="I29" s="88">
        <v>990.0</v>
      </c>
      <c r="J29" s="91">
        <v>46204.0</v>
      </c>
      <c r="K29" s="8" t="s">
        <v>1419</v>
      </c>
      <c r="L29" s="89" t="s">
        <v>49</v>
      </c>
      <c r="M29" s="8" t="s">
        <v>27</v>
      </c>
      <c r="N29" s="8" t="s">
        <v>28</v>
      </c>
      <c r="O29" s="88">
        <v>5196.0</v>
      </c>
      <c r="P29" s="88">
        <v>5862.0</v>
      </c>
      <c r="Q29" s="6">
        <v>53.0</v>
      </c>
      <c r="R29" s="8">
        <f t="shared" si="1"/>
        <v>2753.88</v>
      </c>
    </row>
    <row r="30">
      <c r="A30" s="87">
        <v>45870.0</v>
      </c>
      <c r="B30" s="58" t="s">
        <v>1508</v>
      </c>
      <c r="C30" s="58" t="s">
        <v>1509</v>
      </c>
      <c r="D30" s="8" t="s">
        <v>21</v>
      </c>
      <c r="E30" s="58" t="s">
        <v>1510</v>
      </c>
      <c r="F30" s="58" t="s">
        <v>1511</v>
      </c>
      <c r="G30" s="8"/>
      <c r="H30" s="8"/>
      <c r="I30" s="88">
        <v>35000.0</v>
      </c>
      <c r="J30" s="91">
        <v>46204.0</v>
      </c>
      <c r="K30" s="8" t="s">
        <v>353</v>
      </c>
      <c r="L30" s="89" t="s">
        <v>49</v>
      </c>
      <c r="M30" s="8" t="s">
        <v>71</v>
      </c>
      <c r="N30" s="8" t="s">
        <v>28</v>
      </c>
      <c r="O30" s="90">
        <v>50023.0</v>
      </c>
      <c r="P30" s="90">
        <v>56390.0</v>
      </c>
      <c r="Q30" s="6">
        <v>26.0</v>
      </c>
      <c r="R30" s="8">
        <f t="shared" si="1"/>
        <v>13005.98</v>
      </c>
    </row>
    <row r="31">
      <c r="A31" s="87">
        <v>45870.0</v>
      </c>
      <c r="B31" s="58" t="s">
        <v>1512</v>
      </c>
      <c r="C31" s="58" t="s">
        <v>1513</v>
      </c>
      <c r="D31" s="58" t="s">
        <v>1432</v>
      </c>
      <c r="E31" s="58" t="s">
        <v>1439</v>
      </c>
      <c r="F31" s="58" t="s">
        <v>1514</v>
      </c>
      <c r="G31" s="8"/>
      <c r="H31" s="8"/>
      <c r="I31" s="88">
        <v>236.0</v>
      </c>
      <c r="J31" s="58" t="s">
        <v>1515</v>
      </c>
      <c r="K31" s="8" t="s">
        <v>1419</v>
      </c>
      <c r="L31" s="89" t="s">
        <v>49</v>
      </c>
      <c r="M31" s="8" t="s">
        <v>340</v>
      </c>
      <c r="N31" s="8" t="s">
        <v>28</v>
      </c>
      <c r="O31" s="88">
        <v>6419.0</v>
      </c>
      <c r="P31" s="88">
        <v>7575.0</v>
      </c>
      <c r="Q31" s="6">
        <v>53.0</v>
      </c>
      <c r="R31" s="8">
        <f t="shared" si="1"/>
        <v>3402.07</v>
      </c>
    </row>
    <row r="32">
      <c r="A32" s="87">
        <v>45870.0</v>
      </c>
      <c r="B32" s="58" t="s">
        <v>1516</v>
      </c>
      <c r="C32" s="58" t="s">
        <v>1517</v>
      </c>
      <c r="D32" s="8" t="s">
        <v>1432</v>
      </c>
      <c r="E32" s="58" t="s">
        <v>1518</v>
      </c>
      <c r="F32" s="58" t="s">
        <v>1519</v>
      </c>
      <c r="G32" s="8"/>
      <c r="H32" s="8"/>
      <c r="I32" s="88">
        <v>470.0</v>
      </c>
      <c r="J32" s="91">
        <v>46204.0</v>
      </c>
      <c r="K32" s="8" t="s">
        <v>1419</v>
      </c>
      <c r="L32" s="89" t="s">
        <v>49</v>
      </c>
      <c r="M32" s="8" t="s">
        <v>1451</v>
      </c>
      <c r="N32" s="8" t="s">
        <v>28</v>
      </c>
      <c r="O32" s="88">
        <v>6419.0</v>
      </c>
      <c r="P32" s="88">
        <v>7575.0</v>
      </c>
      <c r="Q32" s="6">
        <v>53.0</v>
      </c>
      <c r="R32" s="8">
        <f t="shared" si="1"/>
        <v>3402.07</v>
      </c>
    </row>
    <row r="33">
      <c r="A33" s="87">
        <v>45870.0</v>
      </c>
      <c r="B33" s="58" t="s">
        <v>1520</v>
      </c>
      <c r="C33" s="58" t="s">
        <v>1521</v>
      </c>
      <c r="D33" s="8" t="s">
        <v>1395</v>
      </c>
      <c r="E33" s="58" t="s">
        <v>1522</v>
      </c>
      <c r="F33" s="58" t="s">
        <v>1523</v>
      </c>
      <c r="G33" s="8"/>
      <c r="H33" s="8"/>
      <c r="I33" s="88">
        <v>2850.0</v>
      </c>
      <c r="J33" s="91">
        <v>46266.0</v>
      </c>
      <c r="K33" s="8" t="s">
        <v>116</v>
      </c>
      <c r="L33" s="89" t="s">
        <v>49</v>
      </c>
      <c r="M33" s="8" t="s">
        <v>71</v>
      </c>
      <c r="N33" s="8" t="s">
        <v>28</v>
      </c>
      <c r="O33" s="90">
        <v>18504.0</v>
      </c>
      <c r="P33" s="90">
        <v>20866.0</v>
      </c>
      <c r="Q33" s="6">
        <v>48.0</v>
      </c>
      <c r="R33" s="8">
        <f t="shared" si="1"/>
        <v>8881.92</v>
      </c>
    </row>
    <row r="34">
      <c r="A34" s="87">
        <v>45870.0</v>
      </c>
      <c r="B34" s="8" t="s">
        <v>245</v>
      </c>
      <c r="C34" s="8" t="s">
        <v>1524</v>
      </c>
      <c r="D34" s="8" t="s">
        <v>1405</v>
      </c>
      <c r="E34" s="8" t="s">
        <v>1479</v>
      </c>
      <c r="F34" s="8" t="s">
        <v>1525</v>
      </c>
      <c r="G34" s="7" t="s">
        <v>1526</v>
      </c>
      <c r="H34" s="8"/>
      <c r="I34" s="21">
        <v>990.0</v>
      </c>
      <c r="J34" s="22">
        <v>46235.0</v>
      </c>
      <c r="K34" s="8" t="s">
        <v>1419</v>
      </c>
      <c r="L34" s="89" t="s">
        <v>49</v>
      </c>
      <c r="M34" s="8" t="s">
        <v>1456</v>
      </c>
      <c r="N34" s="8" t="s">
        <v>28</v>
      </c>
      <c r="O34" s="21">
        <v>5362.0</v>
      </c>
      <c r="P34" s="21">
        <v>6058.0</v>
      </c>
      <c r="Q34" s="6">
        <v>53.0</v>
      </c>
      <c r="R34" s="8">
        <f t="shared" si="1"/>
        <v>2841.86</v>
      </c>
    </row>
    <row r="35">
      <c r="A35" s="87">
        <v>45870.0</v>
      </c>
      <c r="B35" s="8" t="s">
        <v>1527</v>
      </c>
      <c r="C35" s="8" t="s">
        <v>1528</v>
      </c>
      <c r="D35" s="8" t="s">
        <v>1405</v>
      </c>
      <c r="E35" s="8" t="s">
        <v>1458</v>
      </c>
      <c r="F35" s="8" t="s">
        <v>1529</v>
      </c>
      <c r="G35" s="8"/>
      <c r="H35" s="8"/>
      <c r="I35" s="21">
        <v>995.0</v>
      </c>
      <c r="J35" s="22">
        <v>46235.0</v>
      </c>
      <c r="K35" s="8" t="s">
        <v>78</v>
      </c>
      <c r="L35" s="89" t="s">
        <v>49</v>
      </c>
      <c r="M35" s="8" t="s">
        <v>27</v>
      </c>
      <c r="N35" s="8" t="s">
        <v>28</v>
      </c>
      <c r="O35" s="96">
        <v>5312.0</v>
      </c>
      <c r="P35" s="96">
        <v>5999.0</v>
      </c>
      <c r="Q35" s="6">
        <v>59.0</v>
      </c>
      <c r="R35" s="8">
        <f t="shared" si="1"/>
        <v>3134.08</v>
      </c>
    </row>
    <row r="36">
      <c r="A36" s="87">
        <v>45870.0</v>
      </c>
      <c r="B36" s="8" t="s">
        <v>1530</v>
      </c>
      <c r="C36" s="8" t="s">
        <v>1531</v>
      </c>
      <c r="D36" s="8" t="s">
        <v>1395</v>
      </c>
      <c r="E36" s="8" t="s">
        <v>178</v>
      </c>
      <c r="F36" s="8" t="s">
        <v>1532</v>
      </c>
      <c r="G36" s="7" t="s">
        <v>1533</v>
      </c>
      <c r="H36" s="8"/>
      <c r="I36" s="21">
        <v>3460.0</v>
      </c>
      <c r="J36" s="22">
        <v>46296.0</v>
      </c>
      <c r="K36" s="8" t="s">
        <v>116</v>
      </c>
      <c r="L36" s="89" t="s">
        <v>49</v>
      </c>
      <c r="M36" s="8" t="s">
        <v>1456</v>
      </c>
      <c r="N36" s="8" t="s">
        <v>28</v>
      </c>
      <c r="O36" s="97">
        <v>19219.0</v>
      </c>
      <c r="P36" s="96">
        <v>21711.0</v>
      </c>
      <c r="Q36" s="6">
        <v>48.0</v>
      </c>
      <c r="R36" s="8">
        <f t="shared" si="1"/>
        <v>9225.12</v>
      </c>
    </row>
    <row r="37">
      <c r="A37" s="87">
        <v>45901.0</v>
      </c>
      <c r="B37" s="8" t="s">
        <v>371</v>
      </c>
      <c r="C37" s="8" t="s">
        <v>1534</v>
      </c>
      <c r="D37" s="8" t="s">
        <v>1395</v>
      </c>
      <c r="E37" s="8" t="s">
        <v>1535</v>
      </c>
      <c r="F37" s="8" t="s">
        <v>374</v>
      </c>
      <c r="G37" s="7" t="s">
        <v>1536</v>
      </c>
      <c r="H37" s="8"/>
      <c r="I37" s="21">
        <v>2850.0</v>
      </c>
      <c r="J37" s="22">
        <v>46266.0</v>
      </c>
      <c r="K37" s="8" t="s">
        <v>116</v>
      </c>
      <c r="L37" s="89" t="s">
        <v>49</v>
      </c>
      <c r="M37" s="8" t="s">
        <v>71</v>
      </c>
      <c r="N37" s="8" t="s">
        <v>28</v>
      </c>
      <c r="O37" s="96">
        <v>22012.0</v>
      </c>
      <c r="P37" s="97">
        <v>25006.0</v>
      </c>
      <c r="Q37" s="6">
        <v>48.0</v>
      </c>
      <c r="R37" s="8">
        <f t="shared" si="1"/>
        <v>10565.76</v>
      </c>
    </row>
    <row r="38">
      <c r="A38" s="98">
        <v>45901.0</v>
      </c>
      <c r="B38" s="99" t="s">
        <v>606</v>
      </c>
      <c r="C38" s="100"/>
      <c r="D38" s="99" t="s">
        <v>21</v>
      </c>
      <c r="E38" s="99" t="s">
        <v>1537</v>
      </c>
      <c r="F38" s="86" t="s">
        <v>1538</v>
      </c>
      <c r="G38" s="7"/>
      <c r="H38" s="8"/>
      <c r="I38" s="101">
        <v>25000.0</v>
      </c>
      <c r="J38" s="102">
        <v>46296.0</v>
      </c>
      <c r="K38" s="86" t="s">
        <v>65</v>
      </c>
      <c r="L38" s="103" t="s">
        <v>26</v>
      </c>
      <c r="M38" s="86" t="s">
        <v>27</v>
      </c>
      <c r="N38" s="86" t="s">
        <v>28</v>
      </c>
      <c r="O38" s="104">
        <v>44250.0</v>
      </c>
      <c r="P38" s="104">
        <v>49578.0</v>
      </c>
      <c r="Q38" s="6">
        <v>51.0</v>
      </c>
      <c r="R38" s="8">
        <f t="shared" si="1"/>
        <v>22567.5</v>
      </c>
    </row>
    <row r="39">
      <c r="A39" s="105">
        <v>45717.0</v>
      </c>
      <c r="B39" s="106" t="s">
        <v>1539</v>
      </c>
      <c r="C39" s="106" t="s">
        <v>1540</v>
      </c>
      <c r="D39" s="107" t="s">
        <v>21</v>
      </c>
      <c r="E39" s="106" t="s">
        <v>1541</v>
      </c>
      <c r="F39" s="64" t="s">
        <v>1542</v>
      </c>
      <c r="G39" s="63" t="s">
        <v>1543</v>
      </c>
      <c r="H39" s="108"/>
      <c r="I39" s="109">
        <v>7200.0</v>
      </c>
      <c r="J39" s="110">
        <v>46082.0</v>
      </c>
      <c r="K39" s="108" t="s">
        <v>25</v>
      </c>
      <c r="L39" s="111" t="s">
        <v>49</v>
      </c>
      <c r="M39" s="108" t="s">
        <v>1544</v>
      </c>
      <c r="N39" s="108" t="s">
        <v>28</v>
      </c>
      <c r="O39" s="112">
        <v>20064.0</v>
      </c>
      <c r="P39" s="112">
        <v>22713.0</v>
      </c>
      <c r="Q39" s="6">
        <v>40.0</v>
      </c>
      <c r="R39" s="8">
        <f t="shared" si="1"/>
        <v>8025.6</v>
      </c>
    </row>
    <row r="40">
      <c r="A40" s="113">
        <v>45638.0</v>
      </c>
      <c r="B40" s="107" t="s">
        <v>1545</v>
      </c>
      <c r="C40" s="107"/>
      <c r="D40" s="107" t="s">
        <v>21</v>
      </c>
      <c r="E40" s="107" t="s">
        <v>133</v>
      </c>
      <c r="F40" s="107" t="s">
        <v>1546</v>
      </c>
      <c r="G40" s="108">
        <v>8.140001617E9</v>
      </c>
      <c r="H40" s="108"/>
      <c r="I40" s="114">
        <v>42000.0</v>
      </c>
      <c r="J40" s="115">
        <v>45973.0</v>
      </c>
      <c r="K40" s="108" t="s">
        <v>70</v>
      </c>
      <c r="L40" s="107" t="s">
        <v>49</v>
      </c>
      <c r="M40" s="108" t="s">
        <v>71</v>
      </c>
      <c r="N40" s="108" t="s">
        <v>28</v>
      </c>
      <c r="O40" s="116">
        <v>47199.0</v>
      </c>
      <c r="P40" s="116">
        <v>53040.0</v>
      </c>
      <c r="Q40" s="6">
        <v>26.0</v>
      </c>
      <c r="R40" s="8">
        <f t="shared" si="1"/>
        <v>12271.74</v>
      </c>
      <c r="S40" s="64" t="s">
        <v>1547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58"/>
      <c r="AH40" s="58"/>
      <c r="AI40" s="58"/>
    </row>
    <row r="41">
      <c r="A41" s="113">
        <v>45638.0</v>
      </c>
      <c r="B41" s="107" t="s">
        <v>1548</v>
      </c>
      <c r="C41" s="107"/>
      <c r="D41" s="107" t="s">
        <v>21</v>
      </c>
      <c r="E41" s="107" t="s">
        <v>1549</v>
      </c>
      <c r="F41" s="107" t="s">
        <v>1550</v>
      </c>
      <c r="G41" s="108" t="s">
        <v>1551</v>
      </c>
      <c r="H41" s="108"/>
      <c r="I41" s="114">
        <v>12990.0</v>
      </c>
      <c r="J41" s="115">
        <v>45973.0</v>
      </c>
      <c r="K41" s="108" t="s">
        <v>70</v>
      </c>
      <c r="L41" s="107" t="s">
        <v>49</v>
      </c>
      <c r="M41" s="108" t="s">
        <v>27</v>
      </c>
      <c r="N41" s="108" t="s">
        <v>28</v>
      </c>
      <c r="O41" s="116">
        <v>38007.0</v>
      </c>
      <c r="P41" s="116">
        <v>42729.0</v>
      </c>
      <c r="Q41" s="6">
        <v>26.0</v>
      </c>
      <c r="R41" s="8">
        <f t="shared" si="1"/>
        <v>9881.82</v>
      </c>
      <c r="S41" s="64" t="s">
        <v>1552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58"/>
      <c r="AH41" s="58"/>
      <c r="AI41" s="58"/>
    </row>
    <row r="42">
      <c r="A42" s="107" t="s">
        <v>1553</v>
      </c>
      <c r="B42" s="107" t="s">
        <v>1554</v>
      </c>
      <c r="C42" s="107"/>
      <c r="D42" s="107" t="s">
        <v>21</v>
      </c>
      <c r="E42" s="107" t="s">
        <v>1555</v>
      </c>
      <c r="F42" s="107" t="s">
        <v>1556</v>
      </c>
      <c r="G42" s="108" t="s">
        <v>1557</v>
      </c>
      <c r="H42" s="108"/>
      <c r="I42" s="114">
        <v>40200.0</v>
      </c>
      <c r="J42" s="115">
        <v>46003.0</v>
      </c>
      <c r="K42" s="108" t="s">
        <v>70</v>
      </c>
      <c r="L42" s="107" t="s">
        <v>49</v>
      </c>
      <c r="M42" s="108" t="s">
        <v>71</v>
      </c>
      <c r="N42" s="108" t="s">
        <v>28</v>
      </c>
      <c r="O42" s="116">
        <v>55394.0</v>
      </c>
      <c r="P42" s="116">
        <v>55394.0</v>
      </c>
      <c r="Q42" s="6">
        <v>26.0</v>
      </c>
      <c r="R42" s="8">
        <f t="shared" si="1"/>
        <v>14402.44</v>
      </c>
      <c r="S42" s="64" t="s">
        <v>1558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58"/>
      <c r="AH42" s="58"/>
      <c r="AI42" s="58"/>
    </row>
    <row r="43">
      <c r="A43" s="107" t="s">
        <v>1553</v>
      </c>
      <c r="B43" s="107" t="s">
        <v>1559</v>
      </c>
      <c r="C43" s="107"/>
      <c r="D43" s="107" t="s">
        <v>21</v>
      </c>
      <c r="E43" s="107" t="s">
        <v>1503</v>
      </c>
      <c r="F43" s="107" t="s">
        <v>1560</v>
      </c>
      <c r="G43" s="108" t="s">
        <v>1561</v>
      </c>
      <c r="H43" s="108"/>
      <c r="I43" s="114">
        <v>12990.0</v>
      </c>
      <c r="J43" s="115">
        <v>45973.0</v>
      </c>
      <c r="K43" s="108" t="s">
        <v>70</v>
      </c>
      <c r="L43" s="107" t="s">
        <v>49</v>
      </c>
      <c r="M43" s="108" t="s">
        <v>27</v>
      </c>
      <c r="N43" s="108" t="s">
        <v>28</v>
      </c>
      <c r="O43" s="116">
        <v>38261.0</v>
      </c>
      <c r="P43" s="116">
        <v>43029.0</v>
      </c>
      <c r="Q43" s="6">
        <v>26.0</v>
      </c>
      <c r="R43" s="8">
        <f t="shared" si="1"/>
        <v>9947.86</v>
      </c>
      <c r="S43" s="64" t="s">
        <v>1562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58"/>
      <c r="AH43" s="58"/>
      <c r="AI43" s="58"/>
    </row>
    <row r="44">
      <c r="A44" s="107" t="s">
        <v>1563</v>
      </c>
      <c r="B44" s="107" t="s">
        <v>1564</v>
      </c>
      <c r="C44" s="107"/>
      <c r="D44" s="107" t="s">
        <v>21</v>
      </c>
      <c r="E44" s="107" t="s">
        <v>762</v>
      </c>
      <c r="F44" s="107" t="s">
        <v>1565</v>
      </c>
      <c r="G44" s="108" t="s">
        <v>1566</v>
      </c>
      <c r="H44" s="108"/>
      <c r="I44" s="114">
        <v>42000.0</v>
      </c>
      <c r="J44" s="108" t="s">
        <v>1567</v>
      </c>
      <c r="K44" s="108" t="s">
        <v>70</v>
      </c>
      <c r="L44" s="107" t="s">
        <v>49</v>
      </c>
      <c r="M44" s="108" t="s">
        <v>27</v>
      </c>
      <c r="N44" s="108" t="s">
        <v>28</v>
      </c>
      <c r="O44" s="116">
        <v>50024.0</v>
      </c>
      <c r="P44" s="116">
        <v>56374.0</v>
      </c>
      <c r="Q44" s="6">
        <v>26.0</v>
      </c>
      <c r="R44" s="8">
        <f t="shared" si="1"/>
        <v>13006.24</v>
      </c>
      <c r="S44" s="64" t="s">
        <v>1568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58"/>
      <c r="AH44" s="58"/>
      <c r="AI44" s="58"/>
    </row>
    <row r="45">
      <c r="A45" s="107" t="s">
        <v>1563</v>
      </c>
      <c r="B45" s="107" t="s">
        <v>1569</v>
      </c>
      <c r="C45" s="107"/>
      <c r="D45" s="107" t="s">
        <v>21</v>
      </c>
      <c r="E45" s="107" t="s">
        <v>300</v>
      </c>
      <c r="F45" s="107" t="s">
        <v>1570</v>
      </c>
      <c r="G45" s="108">
        <v>9.724860034E9</v>
      </c>
      <c r="H45" s="108"/>
      <c r="I45" s="114">
        <v>42000.0</v>
      </c>
      <c r="J45" s="108" t="s">
        <v>1567</v>
      </c>
      <c r="K45" s="108" t="s">
        <v>70</v>
      </c>
      <c r="L45" s="107" t="s">
        <v>49</v>
      </c>
      <c r="M45" s="108" t="s">
        <v>185</v>
      </c>
      <c r="N45" s="108" t="s">
        <v>28</v>
      </c>
      <c r="O45" s="116">
        <v>49504.0</v>
      </c>
      <c r="P45" s="116">
        <v>55760.0</v>
      </c>
      <c r="Q45" s="6">
        <v>26.0</v>
      </c>
      <c r="R45" s="8">
        <f t="shared" si="1"/>
        <v>12871.04</v>
      </c>
      <c r="S45" s="64" t="s">
        <v>1571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58"/>
      <c r="AH45" s="58"/>
      <c r="AI45" s="58"/>
    </row>
    <row r="46">
      <c r="A46" s="117">
        <v>45748.0</v>
      </c>
      <c r="B46" s="118" t="s">
        <v>609</v>
      </c>
      <c r="C46" s="118" t="s">
        <v>1572</v>
      </c>
      <c r="D46" s="119" t="s">
        <v>21</v>
      </c>
      <c r="E46" s="118" t="s">
        <v>1573</v>
      </c>
      <c r="F46" s="120" t="s">
        <v>604</v>
      </c>
      <c r="G46" s="25" t="s">
        <v>1574</v>
      </c>
      <c r="H46" s="28"/>
      <c r="I46" s="121">
        <v>35000.0</v>
      </c>
      <c r="J46" s="122">
        <v>46204.0</v>
      </c>
      <c r="K46" s="24" t="s">
        <v>353</v>
      </c>
      <c r="L46" s="111" t="s">
        <v>49</v>
      </c>
      <c r="M46" s="24" t="s">
        <v>27</v>
      </c>
      <c r="N46" s="24" t="s">
        <v>28</v>
      </c>
      <c r="O46" s="123">
        <v>81207.0</v>
      </c>
      <c r="P46" s="123">
        <v>93187.0</v>
      </c>
      <c r="Q46" s="6">
        <v>26.0</v>
      </c>
      <c r="R46" s="8">
        <f t="shared" si="1"/>
        <v>21113.82</v>
      </c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</row>
    <row r="47">
      <c r="A47" s="117">
        <v>45748.0</v>
      </c>
      <c r="B47" s="118" t="s">
        <v>612</v>
      </c>
      <c r="C47" s="118" t="s">
        <v>1575</v>
      </c>
      <c r="D47" s="119" t="s">
        <v>21</v>
      </c>
      <c r="E47" s="118" t="s">
        <v>1573</v>
      </c>
      <c r="F47" s="120" t="s">
        <v>604</v>
      </c>
      <c r="G47" s="25" t="s">
        <v>1574</v>
      </c>
      <c r="H47" s="28"/>
      <c r="I47" s="121">
        <v>35000.0</v>
      </c>
      <c r="J47" s="122">
        <v>46204.0</v>
      </c>
      <c r="K47" s="24" t="s">
        <v>353</v>
      </c>
      <c r="L47" s="111" t="s">
        <v>49</v>
      </c>
      <c r="M47" s="24" t="s">
        <v>27</v>
      </c>
      <c r="N47" s="24" t="s">
        <v>28</v>
      </c>
      <c r="O47" s="123">
        <v>81207.0</v>
      </c>
      <c r="P47" s="123">
        <v>93187.0</v>
      </c>
      <c r="Q47" s="6">
        <v>26.0</v>
      </c>
      <c r="R47" s="8">
        <f t="shared" si="1"/>
        <v>21113.82</v>
      </c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  <c r="AE47" s="124"/>
      <c r="AF47" s="124"/>
      <c r="AG47" s="124"/>
      <c r="AH47" s="124"/>
      <c r="AI47" s="124"/>
    </row>
    <row r="48">
      <c r="A48" s="117">
        <v>45748.0</v>
      </c>
      <c r="B48" s="118" t="s">
        <v>614</v>
      </c>
      <c r="C48" s="118" t="s">
        <v>1576</v>
      </c>
      <c r="D48" s="119" t="s">
        <v>21</v>
      </c>
      <c r="E48" s="118" t="s">
        <v>1577</v>
      </c>
      <c r="F48" s="120" t="s">
        <v>604</v>
      </c>
      <c r="G48" s="25" t="s">
        <v>1574</v>
      </c>
      <c r="H48" s="28"/>
      <c r="I48" s="121">
        <v>35000.0</v>
      </c>
      <c r="J48" s="122">
        <v>46204.0</v>
      </c>
      <c r="K48" s="24" t="s">
        <v>353</v>
      </c>
      <c r="L48" s="111" t="s">
        <v>49</v>
      </c>
      <c r="M48" s="24" t="s">
        <v>27</v>
      </c>
      <c r="N48" s="24" t="s">
        <v>28</v>
      </c>
      <c r="O48" s="123">
        <v>81207.0</v>
      </c>
      <c r="P48" s="123">
        <v>93187.0</v>
      </c>
      <c r="Q48" s="6">
        <v>26.0</v>
      </c>
      <c r="R48" s="8">
        <f t="shared" si="1"/>
        <v>21113.82</v>
      </c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</row>
    <row r="49">
      <c r="A49" s="117">
        <v>45839.0</v>
      </c>
      <c r="B49" s="118" t="s">
        <v>1578</v>
      </c>
      <c r="C49" s="118" t="s">
        <v>1579</v>
      </c>
      <c r="D49" s="119" t="s">
        <v>21</v>
      </c>
      <c r="E49" s="118" t="s">
        <v>1580</v>
      </c>
      <c r="F49" s="120" t="s">
        <v>1581</v>
      </c>
      <c r="G49" s="28"/>
      <c r="H49" s="28"/>
      <c r="I49" s="121">
        <v>35000.0</v>
      </c>
      <c r="J49" s="122">
        <v>46204.0</v>
      </c>
      <c r="K49" s="24" t="s">
        <v>353</v>
      </c>
      <c r="L49" s="111" t="s">
        <v>49</v>
      </c>
      <c r="M49" s="24" t="s">
        <v>71</v>
      </c>
      <c r="N49" s="24" t="s">
        <v>28</v>
      </c>
      <c r="O49" s="123">
        <v>50023.0</v>
      </c>
      <c r="P49" s="123">
        <v>56390.0</v>
      </c>
      <c r="Q49" s="6">
        <v>26.0</v>
      </c>
      <c r="R49" s="8">
        <f t="shared" si="1"/>
        <v>13005.98</v>
      </c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</row>
    <row r="50">
      <c r="A50" s="117">
        <v>45839.0</v>
      </c>
      <c r="B50" s="118" t="s">
        <v>1582</v>
      </c>
      <c r="C50" s="118" t="s">
        <v>1583</v>
      </c>
      <c r="D50" s="119" t="s">
        <v>21</v>
      </c>
      <c r="E50" s="118" t="s">
        <v>1580</v>
      </c>
      <c r="F50" s="120" t="s">
        <v>1581</v>
      </c>
      <c r="G50" s="28"/>
      <c r="H50" s="28"/>
      <c r="I50" s="121">
        <v>35000.0</v>
      </c>
      <c r="J50" s="122">
        <v>46204.0</v>
      </c>
      <c r="K50" s="24" t="s">
        <v>353</v>
      </c>
      <c r="L50" s="111" t="s">
        <v>49</v>
      </c>
      <c r="M50" s="24" t="s">
        <v>71</v>
      </c>
      <c r="N50" s="24" t="s">
        <v>28</v>
      </c>
      <c r="O50" s="123">
        <v>50023.0</v>
      </c>
      <c r="P50" s="123">
        <v>56390.0</v>
      </c>
      <c r="Q50" s="6">
        <v>26.0</v>
      </c>
      <c r="R50" s="8">
        <f t="shared" si="1"/>
        <v>13005.98</v>
      </c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</row>
    <row r="51">
      <c r="A51" s="117">
        <v>45839.0</v>
      </c>
      <c r="B51" s="118" t="s">
        <v>1584</v>
      </c>
      <c r="C51" s="118" t="s">
        <v>1585</v>
      </c>
      <c r="D51" s="119" t="s">
        <v>21</v>
      </c>
      <c r="E51" s="118" t="s">
        <v>1510</v>
      </c>
      <c r="F51" s="120" t="s">
        <v>1581</v>
      </c>
      <c r="G51" s="28"/>
      <c r="H51" s="28"/>
      <c r="I51" s="121">
        <v>35000.0</v>
      </c>
      <c r="J51" s="122">
        <v>46204.0</v>
      </c>
      <c r="K51" s="24" t="s">
        <v>353</v>
      </c>
      <c r="L51" s="111" t="s">
        <v>49</v>
      </c>
      <c r="M51" s="24" t="s">
        <v>71</v>
      </c>
      <c r="N51" s="24" t="s">
        <v>28</v>
      </c>
      <c r="O51" s="123">
        <v>50023.0</v>
      </c>
      <c r="P51" s="123">
        <v>56390.0</v>
      </c>
      <c r="Q51" s="6">
        <v>26.0</v>
      </c>
      <c r="R51" s="8">
        <f t="shared" si="1"/>
        <v>13005.98</v>
      </c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</row>
    <row r="52">
      <c r="A52" s="117">
        <v>45839.0</v>
      </c>
      <c r="B52" s="118" t="s">
        <v>1586</v>
      </c>
      <c r="C52" s="118" t="s">
        <v>1587</v>
      </c>
      <c r="D52" s="118" t="s">
        <v>21</v>
      </c>
      <c r="E52" s="118" t="s">
        <v>1510</v>
      </c>
      <c r="F52" s="120" t="s">
        <v>1581</v>
      </c>
      <c r="G52" s="28"/>
      <c r="H52" s="28"/>
      <c r="I52" s="121">
        <v>35000.0</v>
      </c>
      <c r="J52" s="122">
        <v>46204.0</v>
      </c>
      <c r="K52" s="24" t="s">
        <v>353</v>
      </c>
      <c r="L52" s="111" t="s">
        <v>49</v>
      </c>
      <c r="M52" s="24" t="s">
        <v>71</v>
      </c>
      <c r="N52" s="24" t="s">
        <v>28</v>
      </c>
      <c r="O52" s="123">
        <v>50023.0</v>
      </c>
      <c r="P52" s="123">
        <v>56390.0</v>
      </c>
      <c r="Q52" s="6">
        <v>26.0</v>
      </c>
      <c r="R52" s="8">
        <f t="shared" si="1"/>
        <v>13005.98</v>
      </c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</row>
    <row r="53">
      <c r="A53" s="117">
        <v>45839.0</v>
      </c>
      <c r="B53" s="118" t="s">
        <v>1588</v>
      </c>
      <c r="C53" s="118" t="s">
        <v>1589</v>
      </c>
      <c r="D53" s="118" t="s">
        <v>21</v>
      </c>
      <c r="E53" s="118" t="s">
        <v>1510</v>
      </c>
      <c r="F53" s="120" t="s">
        <v>1581</v>
      </c>
      <c r="G53" s="28"/>
      <c r="H53" s="28"/>
      <c r="I53" s="121">
        <v>35000.0</v>
      </c>
      <c r="J53" s="122">
        <v>46204.0</v>
      </c>
      <c r="K53" s="24" t="s">
        <v>353</v>
      </c>
      <c r="L53" s="111" t="s">
        <v>49</v>
      </c>
      <c r="M53" s="24" t="s">
        <v>71</v>
      </c>
      <c r="N53" s="24" t="s">
        <v>28</v>
      </c>
      <c r="O53" s="123">
        <v>50023.0</v>
      </c>
      <c r="P53" s="123">
        <v>56390.0</v>
      </c>
      <c r="Q53" s="6">
        <v>26.0</v>
      </c>
      <c r="R53" s="8">
        <f t="shared" si="1"/>
        <v>13005.98</v>
      </c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</row>
    <row r="54">
      <c r="A54" s="107" t="s">
        <v>1590</v>
      </c>
      <c r="B54" s="107" t="s">
        <v>541</v>
      </c>
      <c r="C54" s="107"/>
      <c r="D54" s="107" t="s">
        <v>21</v>
      </c>
      <c r="E54" s="107" t="s">
        <v>1591</v>
      </c>
      <c r="F54" s="107" t="s">
        <v>544</v>
      </c>
      <c r="G54" s="108" t="s">
        <v>1592</v>
      </c>
      <c r="H54" s="108"/>
      <c r="I54" s="114">
        <v>11990.0</v>
      </c>
      <c r="J54" s="108" t="s">
        <v>1593</v>
      </c>
      <c r="K54" s="108" t="s">
        <v>25</v>
      </c>
      <c r="L54" s="107" t="s">
        <v>49</v>
      </c>
      <c r="M54" s="108" t="s">
        <v>27</v>
      </c>
      <c r="N54" s="108" t="s">
        <v>28</v>
      </c>
      <c r="O54" s="116">
        <v>30717.0</v>
      </c>
      <c r="P54" s="116">
        <v>34615.0</v>
      </c>
      <c r="Q54" s="125">
        <v>27.0</v>
      </c>
      <c r="R54" s="8">
        <f t="shared" si="1"/>
        <v>8293.59</v>
      </c>
      <c r="S54" s="64" t="s">
        <v>1594</v>
      </c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64"/>
      <c r="AH54" s="64"/>
      <c r="AI54" s="64"/>
    </row>
    <row r="55">
      <c r="A55" s="105">
        <v>45717.0</v>
      </c>
      <c r="B55" s="107" t="s">
        <v>1595</v>
      </c>
      <c r="C55" s="107" t="s">
        <v>1596</v>
      </c>
      <c r="D55" s="107" t="s">
        <v>21</v>
      </c>
      <c r="E55" s="107" t="s">
        <v>1573</v>
      </c>
      <c r="F55" s="108" t="s">
        <v>1597</v>
      </c>
      <c r="G55" s="63" t="s">
        <v>1598</v>
      </c>
      <c r="H55" s="108"/>
      <c r="I55" s="114">
        <v>35000.0</v>
      </c>
      <c r="J55" s="108" t="s">
        <v>1515</v>
      </c>
      <c r="K55" s="108" t="s">
        <v>353</v>
      </c>
      <c r="L55" s="111" t="s">
        <v>49</v>
      </c>
      <c r="M55" s="108" t="s">
        <v>71</v>
      </c>
      <c r="N55" s="108" t="s">
        <v>28</v>
      </c>
      <c r="O55" s="116">
        <v>74466.0</v>
      </c>
      <c r="P55" s="116">
        <v>85233.0</v>
      </c>
      <c r="Q55" s="6">
        <v>26.0</v>
      </c>
      <c r="R55" s="8">
        <f t="shared" si="1"/>
        <v>19361.16</v>
      </c>
      <c r="S55" s="108" t="s">
        <v>1599</v>
      </c>
    </row>
    <row r="56">
      <c r="A56" s="105">
        <v>45717.0</v>
      </c>
      <c r="B56" s="107" t="s">
        <v>1600</v>
      </c>
      <c r="C56" s="107" t="s">
        <v>1601</v>
      </c>
      <c r="D56" s="107" t="s">
        <v>21</v>
      </c>
      <c r="E56" s="107" t="s">
        <v>1602</v>
      </c>
      <c r="F56" s="108" t="s">
        <v>1603</v>
      </c>
      <c r="G56" s="63" t="s">
        <v>1604</v>
      </c>
      <c r="H56" s="108"/>
      <c r="I56" s="114">
        <v>11990.0</v>
      </c>
      <c r="J56" s="110">
        <v>46054.0</v>
      </c>
      <c r="K56" s="108" t="s">
        <v>353</v>
      </c>
      <c r="L56" s="111" t="s">
        <v>49</v>
      </c>
      <c r="M56" s="108" t="s">
        <v>365</v>
      </c>
      <c r="N56" s="108" t="s">
        <v>28</v>
      </c>
      <c r="O56" s="116">
        <v>34273.0</v>
      </c>
      <c r="P56" s="116">
        <v>38811.0</v>
      </c>
      <c r="Q56" s="6">
        <v>26.0</v>
      </c>
      <c r="R56" s="8">
        <f t="shared" si="1"/>
        <v>8910.98</v>
      </c>
      <c r="S56" s="108" t="s">
        <v>1605</v>
      </c>
    </row>
    <row r="57">
      <c r="A57" s="107" t="s">
        <v>72</v>
      </c>
      <c r="B57" s="107" t="s">
        <v>1606</v>
      </c>
      <c r="C57" s="107"/>
      <c r="D57" s="107" t="s">
        <v>21</v>
      </c>
      <c r="E57" s="107" t="s">
        <v>1607</v>
      </c>
      <c r="F57" s="107" t="s">
        <v>1608</v>
      </c>
      <c r="G57" s="108" t="s">
        <v>1609</v>
      </c>
      <c r="H57" s="108"/>
      <c r="I57" s="114">
        <v>35000.0</v>
      </c>
      <c r="J57" s="108" t="s">
        <v>72</v>
      </c>
      <c r="K57" s="108" t="s">
        <v>70</v>
      </c>
      <c r="L57" s="107" t="s">
        <v>49</v>
      </c>
      <c r="M57" s="108" t="s">
        <v>27</v>
      </c>
      <c r="N57" s="108" t="s">
        <v>28</v>
      </c>
      <c r="O57" s="116">
        <v>47848.0</v>
      </c>
      <c r="P57" s="116">
        <v>53824.0</v>
      </c>
      <c r="Q57" s="6">
        <v>26.0</v>
      </c>
      <c r="R57" s="8">
        <f t="shared" si="1"/>
        <v>12440.48</v>
      </c>
      <c r="S57" s="8" t="s">
        <v>1610</v>
      </c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58"/>
      <c r="AI57" s="58"/>
    </row>
    <row r="58">
      <c r="A58" s="126"/>
      <c r="E58" s="126"/>
      <c r="L58" s="126"/>
    </row>
    <row r="59">
      <c r="A59" s="126"/>
      <c r="E59" s="126"/>
      <c r="L59" s="126"/>
    </row>
    <row r="60">
      <c r="A60" s="127">
        <v>1.0</v>
      </c>
      <c r="B60" s="8" t="s">
        <v>1611</v>
      </c>
      <c r="C60" s="8" t="s">
        <v>1612</v>
      </c>
      <c r="D60" s="8" t="s">
        <v>21</v>
      </c>
      <c r="E60" s="8" t="s">
        <v>1613</v>
      </c>
      <c r="F60" s="8" t="s">
        <v>1614</v>
      </c>
      <c r="G60" s="7" t="s">
        <v>1615</v>
      </c>
      <c r="H60" s="8"/>
      <c r="I60" s="21">
        <v>28000.0</v>
      </c>
      <c r="J60" s="128">
        <v>46327.0</v>
      </c>
      <c r="K60" s="8" t="s">
        <v>65</v>
      </c>
      <c r="L60" s="89" t="s">
        <v>49</v>
      </c>
      <c r="M60" s="8" t="s">
        <v>1616</v>
      </c>
      <c r="N60" s="8" t="s">
        <v>28</v>
      </c>
      <c r="O60" s="21">
        <v>44050.0</v>
      </c>
      <c r="P60" s="21">
        <v>49342.0</v>
      </c>
      <c r="Q60" s="129">
        <v>51.0</v>
      </c>
      <c r="R60" s="12">
        <f t="shared" ref="R60:R111" si="2">O60*Q60%</f>
        <v>22465.5</v>
      </c>
    </row>
    <row r="61">
      <c r="A61" s="130">
        <v>2.0</v>
      </c>
      <c r="B61" s="131" t="s">
        <v>1617</v>
      </c>
      <c r="C61" s="8" t="s">
        <v>1618</v>
      </c>
      <c r="D61" s="8" t="s">
        <v>21</v>
      </c>
      <c r="E61" s="21">
        <v>2214.0</v>
      </c>
      <c r="F61" s="8" t="s">
        <v>1619</v>
      </c>
      <c r="G61" s="7">
        <v>9.725356241E9</v>
      </c>
      <c r="H61" s="8"/>
      <c r="I61" s="21">
        <v>28000.0</v>
      </c>
      <c r="J61" s="128">
        <v>46296.0</v>
      </c>
      <c r="K61" s="8" t="s">
        <v>65</v>
      </c>
      <c r="L61" s="89" t="s">
        <v>26</v>
      </c>
      <c r="M61" s="8" t="s">
        <v>389</v>
      </c>
      <c r="N61" s="8" t="s">
        <v>28</v>
      </c>
      <c r="O61" s="21">
        <v>44431.0</v>
      </c>
      <c r="P61" s="21">
        <v>49791.0</v>
      </c>
      <c r="Q61" s="129">
        <v>51.0</v>
      </c>
      <c r="R61" s="12">
        <f t="shared" si="2"/>
        <v>22659.81</v>
      </c>
    </row>
    <row r="62">
      <c r="A62" s="132">
        <v>3.0</v>
      </c>
      <c r="B62" s="133" t="s">
        <v>437</v>
      </c>
      <c r="C62" s="8" t="s">
        <v>1620</v>
      </c>
      <c r="D62" s="8" t="s">
        <v>21</v>
      </c>
      <c r="E62" s="8" t="s">
        <v>1621</v>
      </c>
      <c r="F62" s="8" t="s">
        <v>1622</v>
      </c>
      <c r="G62" s="8"/>
      <c r="H62" s="8"/>
      <c r="I62" s="21">
        <v>28000.0</v>
      </c>
      <c r="J62" s="128">
        <v>46327.0</v>
      </c>
      <c r="K62" s="8" t="s">
        <v>65</v>
      </c>
      <c r="L62" s="89" t="s">
        <v>26</v>
      </c>
      <c r="M62" s="8" t="s">
        <v>71</v>
      </c>
      <c r="N62" s="8" t="s">
        <v>28</v>
      </c>
      <c r="O62" s="21">
        <v>44100.0</v>
      </c>
      <c r="P62" s="21">
        <v>49402.0</v>
      </c>
      <c r="Q62" s="129">
        <v>51.0</v>
      </c>
      <c r="R62" s="12">
        <f t="shared" si="2"/>
        <v>22491</v>
      </c>
    </row>
    <row r="63">
      <c r="A63" s="127">
        <v>4.0</v>
      </c>
      <c r="B63" s="8" t="s">
        <v>1623</v>
      </c>
      <c r="C63" s="8" t="s">
        <v>1624</v>
      </c>
      <c r="D63" s="8" t="s">
        <v>1395</v>
      </c>
      <c r="E63" s="8" t="s">
        <v>178</v>
      </c>
      <c r="F63" s="8" t="s">
        <v>1625</v>
      </c>
      <c r="G63" s="7" t="s">
        <v>1626</v>
      </c>
      <c r="H63" s="8"/>
      <c r="I63" s="21">
        <v>3460.0</v>
      </c>
      <c r="J63" s="22">
        <v>46266.0</v>
      </c>
      <c r="K63" s="8" t="s">
        <v>116</v>
      </c>
      <c r="L63" s="89" t="s">
        <v>49</v>
      </c>
      <c r="M63" s="8" t="s">
        <v>27</v>
      </c>
      <c r="N63" s="8" t="s">
        <v>28</v>
      </c>
      <c r="O63" s="97">
        <v>21738.0</v>
      </c>
      <c r="P63" s="97">
        <v>24682.0</v>
      </c>
      <c r="Q63" s="129">
        <v>48.0</v>
      </c>
      <c r="R63" s="12">
        <f t="shared" si="2"/>
        <v>10434.24</v>
      </c>
    </row>
    <row r="64">
      <c r="A64" s="130">
        <v>5.0</v>
      </c>
      <c r="B64" s="133" t="s">
        <v>255</v>
      </c>
      <c r="C64" s="8" t="s">
        <v>1627</v>
      </c>
      <c r="D64" s="8" t="s">
        <v>1395</v>
      </c>
      <c r="E64" s="8" t="s">
        <v>1628</v>
      </c>
      <c r="F64" s="8" t="s">
        <v>1629</v>
      </c>
      <c r="G64" s="8"/>
      <c r="H64" s="8"/>
      <c r="I64" s="21">
        <v>1250.0</v>
      </c>
      <c r="J64" s="21" t="s">
        <v>521</v>
      </c>
      <c r="K64" s="8" t="s">
        <v>70</v>
      </c>
      <c r="L64" s="89" t="s">
        <v>49</v>
      </c>
      <c r="M64" s="8" t="s">
        <v>71</v>
      </c>
      <c r="N64" s="8" t="s">
        <v>28</v>
      </c>
      <c r="O64" s="97">
        <v>17243.0</v>
      </c>
      <c r="P64" s="97">
        <v>19384.0</v>
      </c>
      <c r="Q64" s="129">
        <v>58.0</v>
      </c>
      <c r="R64" s="12">
        <f t="shared" si="2"/>
        <v>10000.94</v>
      </c>
    </row>
    <row r="65">
      <c r="A65" s="132">
        <v>6.0</v>
      </c>
      <c r="B65" s="131" t="s">
        <v>1630</v>
      </c>
      <c r="C65" s="8" t="s">
        <v>1631</v>
      </c>
      <c r="D65" s="8" t="s">
        <v>533</v>
      </c>
      <c r="E65" s="8" t="s">
        <v>1632</v>
      </c>
      <c r="F65" s="8" t="s">
        <v>1633</v>
      </c>
      <c r="G65" s="7" t="s">
        <v>1634</v>
      </c>
      <c r="H65" s="8"/>
      <c r="I65" s="21">
        <v>2700.0</v>
      </c>
      <c r="J65" s="22">
        <v>46327.0</v>
      </c>
      <c r="K65" s="8" t="s">
        <v>70</v>
      </c>
      <c r="L65" s="89" t="s">
        <v>49</v>
      </c>
      <c r="M65" s="8" t="s">
        <v>27</v>
      </c>
      <c r="N65" s="8" t="s">
        <v>28</v>
      </c>
      <c r="O65" s="97">
        <v>7878.0</v>
      </c>
      <c r="P65" s="97">
        <v>9296.0</v>
      </c>
      <c r="Q65" s="129">
        <v>58.0</v>
      </c>
      <c r="R65" s="12">
        <f t="shared" si="2"/>
        <v>4569.24</v>
      </c>
    </row>
    <row r="66">
      <c r="A66" s="127">
        <v>7.0</v>
      </c>
      <c r="B66" s="83" t="s">
        <v>379</v>
      </c>
      <c r="C66" s="58" t="s">
        <v>1635</v>
      </c>
      <c r="D66" s="8" t="s">
        <v>21</v>
      </c>
      <c r="E66" s="58" t="s">
        <v>1636</v>
      </c>
      <c r="F66" s="58" t="s">
        <v>1637</v>
      </c>
      <c r="G66" s="8"/>
      <c r="H66" s="8"/>
      <c r="I66" s="88">
        <v>28000.0</v>
      </c>
      <c r="J66" s="94">
        <v>46357.0</v>
      </c>
      <c r="K66" s="8" t="s">
        <v>65</v>
      </c>
      <c r="L66" s="89" t="s">
        <v>26</v>
      </c>
      <c r="M66" s="8" t="s">
        <v>71</v>
      </c>
      <c r="N66" s="8" t="s">
        <v>28</v>
      </c>
      <c r="O66" s="88">
        <v>44050.0</v>
      </c>
      <c r="P66" s="88">
        <v>49342.0</v>
      </c>
      <c r="Q66" s="129">
        <v>51.0</v>
      </c>
      <c r="R66" s="12">
        <f t="shared" si="2"/>
        <v>22465.5</v>
      </c>
    </row>
    <row r="67">
      <c r="A67" s="130">
        <v>8.0</v>
      </c>
      <c r="B67" s="83" t="s">
        <v>1638</v>
      </c>
      <c r="C67" s="58" t="s">
        <v>1639</v>
      </c>
      <c r="D67" s="8" t="s">
        <v>1395</v>
      </c>
      <c r="E67" s="58" t="s">
        <v>1640</v>
      </c>
      <c r="F67" s="58" t="s">
        <v>1641</v>
      </c>
      <c r="G67" s="7" t="s">
        <v>1642</v>
      </c>
      <c r="H67" s="8"/>
      <c r="I67" s="88">
        <v>2670.0</v>
      </c>
      <c r="J67" s="91">
        <v>46327.0</v>
      </c>
      <c r="K67" s="8" t="s">
        <v>1419</v>
      </c>
      <c r="L67" s="89" t="s">
        <v>49</v>
      </c>
      <c r="M67" s="8" t="s">
        <v>1456</v>
      </c>
      <c r="N67" s="8" t="s">
        <v>28</v>
      </c>
      <c r="O67" s="88">
        <v>18774.0</v>
      </c>
      <c r="P67" s="88">
        <v>21190.0</v>
      </c>
      <c r="Q67" s="129">
        <v>52.0</v>
      </c>
      <c r="R67" s="12">
        <f t="shared" si="2"/>
        <v>9762.48</v>
      </c>
    </row>
    <row r="68">
      <c r="A68" s="132">
        <v>9.0</v>
      </c>
      <c r="B68" s="58" t="s">
        <v>652</v>
      </c>
      <c r="C68" s="58" t="s">
        <v>1643</v>
      </c>
      <c r="D68" s="8" t="s">
        <v>21</v>
      </c>
      <c r="E68" s="58" t="s">
        <v>1644</v>
      </c>
      <c r="F68" s="58" t="s">
        <v>1645</v>
      </c>
      <c r="G68" s="7" t="s">
        <v>1646</v>
      </c>
      <c r="H68" s="8"/>
      <c r="I68" s="88">
        <v>16200.0</v>
      </c>
      <c r="J68" s="94">
        <v>46357.0</v>
      </c>
      <c r="K68" s="8" t="s">
        <v>65</v>
      </c>
      <c r="L68" s="89" t="s">
        <v>26</v>
      </c>
      <c r="M68" s="8" t="s">
        <v>365</v>
      </c>
      <c r="N68" s="8" t="s">
        <v>28</v>
      </c>
      <c r="O68" s="88">
        <v>35463.0</v>
      </c>
      <c r="P68" s="88">
        <v>39729.0</v>
      </c>
      <c r="Q68" s="129">
        <v>46.0</v>
      </c>
      <c r="R68" s="12">
        <f t="shared" si="2"/>
        <v>16312.98</v>
      </c>
    </row>
    <row r="69">
      <c r="A69" s="127">
        <v>10.0</v>
      </c>
      <c r="B69" s="83" t="s">
        <v>1647</v>
      </c>
      <c r="C69" s="58" t="s">
        <v>1648</v>
      </c>
      <c r="D69" s="8" t="s">
        <v>1395</v>
      </c>
      <c r="E69" s="58" t="s">
        <v>524</v>
      </c>
      <c r="F69" s="58" t="s">
        <v>1649</v>
      </c>
      <c r="G69" s="8"/>
      <c r="H69" s="8"/>
      <c r="I69" s="88">
        <v>3490.0</v>
      </c>
      <c r="J69" s="88" t="s">
        <v>1515</v>
      </c>
      <c r="K69" s="8" t="s">
        <v>116</v>
      </c>
      <c r="L69" s="89" t="s">
        <v>49</v>
      </c>
      <c r="M69" s="8" t="s">
        <v>71</v>
      </c>
      <c r="N69" s="8" t="s">
        <v>28</v>
      </c>
      <c r="O69" s="90">
        <v>21770.0</v>
      </c>
      <c r="P69" s="90">
        <v>24720.0</v>
      </c>
      <c r="Q69" s="129">
        <v>48.0</v>
      </c>
      <c r="R69" s="12">
        <f t="shared" si="2"/>
        <v>10449.6</v>
      </c>
    </row>
    <row r="70">
      <c r="A70" s="130">
        <v>11.0</v>
      </c>
      <c r="B70" s="131" t="s">
        <v>1650</v>
      </c>
      <c r="C70" s="58" t="s">
        <v>1651</v>
      </c>
      <c r="D70" s="8" t="s">
        <v>1395</v>
      </c>
      <c r="E70" s="58" t="s">
        <v>178</v>
      </c>
      <c r="F70" s="58" t="s">
        <v>1652</v>
      </c>
      <c r="G70" s="7" t="s">
        <v>1653</v>
      </c>
      <c r="H70" s="8"/>
      <c r="I70" s="88">
        <v>3460.0</v>
      </c>
      <c r="J70" s="91">
        <v>46357.0</v>
      </c>
      <c r="K70" s="8" t="s">
        <v>116</v>
      </c>
      <c r="L70" s="89" t="s">
        <v>49</v>
      </c>
      <c r="M70" s="8" t="s">
        <v>1477</v>
      </c>
      <c r="N70" s="8" t="s">
        <v>28</v>
      </c>
      <c r="O70" s="90">
        <v>22401.0</v>
      </c>
      <c r="P70" s="90">
        <v>25462.0</v>
      </c>
      <c r="Q70" s="129">
        <v>48.0</v>
      </c>
      <c r="R70" s="12">
        <f t="shared" si="2"/>
        <v>10752.48</v>
      </c>
    </row>
    <row r="71">
      <c r="A71" s="132">
        <v>12.0</v>
      </c>
      <c r="B71" s="58" t="s">
        <v>332</v>
      </c>
      <c r="C71" s="58" t="s">
        <v>1654</v>
      </c>
      <c r="D71" s="8" t="s">
        <v>1405</v>
      </c>
      <c r="E71" s="58" t="s">
        <v>1655</v>
      </c>
      <c r="F71" s="58" t="s">
        <v>1656</v>
      </c>
      <c r="G71" s="7" t="s">
        <v>1657</v>
      </c>
      <c r="H71" s="8" t="s">
        <v>1658</v>
      </c>
      <c r="I71" s="88">
        <v>995.0</v>
      </c>
      <c r="J71" s="91">
        <v>46357.0</v>
      </c>
      <c r="K71" s="8" t="s">
        <v>78</v>
      </c>
      <c r="L71" s="89" t="s">
        <v>49</v>
      </c>
      <c r="M71" s="8" t="s">
        <v>219</v>
      </c>
      <c r="N71" s="8" t="s">
        <v>28</v>
      </c>
      <c r="O71" s="90">
        <v>5175.0</v>
      </c>
      <c r="P71" s="90">
        <v>5838.0</v>
      </c>
      <c r="Q71" s="129">
        <v>59.0</v>
      </c>
      <c r="R71" s="12">
        <f t="shared" si="2"/>
        <v>3053.25</v>
      </c>
    </row>
    <row r="72">
      <c r="A72" s="127">
        <v>13.0</v>
      </c>
      <c r="B72" s="83" t="s">
        <v>1659</v>
      </c>
      <c r="C72" s="58" t="s">
        <v>1660</v>
      </c>
      <c r="D72" s="8" t="s">
        <v>21</v>
      </c>
      <c r="E72" s="58" t="s">
        <v>1661</v>
      </c>
      <c r="F72" s="58" t="s">
        <v>1662</v>
      </c>
      <c r="G72" s="8"/>
      <c r="H72" s="8"/>
      <c r="I72" s="88">
        <v>5950.0</v>
      </c>
      <c r="J72" s="88" t="s">
        <v>1663</v>
      </c>
      <c r="K72" s="8" t="s">
        <v>1419</v>
      </c>
      <c r="L72" s="89" t="s">
        <v>26</v>
      </c>
      <c r="M72" s="8" t="s">
        <v>1544</v>
      </c>
      <c r="N72" s="8" t="s">
        <v>28</v>
      </c>
      <c r="O72" s="88">
        <v>16149.0</v>
      </c>
      <c r="P72" s="88">
        <v>18093.0</v>
      </c>
      <c r="Q72" s="129">
        <v>47.0</v>
      </c>
      <c r="R72" s="12">
        <f t="shared" si="2"/>
        <v>7590.03</v>
      </c>
    </row>
    <row r="73">
      <c r="A73" s="130">
        <v>14.0</v>
      </c>
      <c r="B73" s="58" t="s">
        <v>1664</v>
      </c>
      <c r="C73" s="58" t="s">
        <v>1665</v>
      </c>
      <c r="D73" s="8" t="s">
        <v>21</v>
      </c>
      <c r="E73" s="58" t="s">
        <v>1666</v>
      </c>
      <c r="F73" s="58" t="s">
        <v>1667</v>
      </c>
      <c r="G73" s="7" t="s">
        <v>1668</v>
      </c>
      <c r="H73" s="8"/>
      <c r="I73" s="88">
        <v>35000.0</v>
      </c>
      <c r="J73" s="88" t="s">
        <v>1669</v>
      </c>
      <c r="K73" s="8" t="s">
        <v>353</v>
      </c>
      <c r="L73" s="89" t="s">
        <v>49</v>
      </c>
      <c r="M73" s="8" t="s">
        <v>365</v>
      </c>
      <c r="N73" s="8" t="s">
        <v>28</v>
      </c>
      <c r="O73" s="90">
        <v>78555.0</v>
      </c>
      <c r="P73" s="90">
        <v>90058.0</v>
      </c>
      <c r="Q73" s="129">
        <v>26.0</v>
      </c>
      <c r="R73" s="12">
        <f t="shared" si="2"/>
        <v>20424.3</v>
      </c>
    </row>
    <row r="74">
      <c r="A74" s="132">
        <v>15.0</v>
      </c>
      <c r="B74" s="92" t="s">
        <v>1670</v>
      </c>
      <c r="C74" s="58" t="s">
        <v>1671</v>
      </c>
      <c r="D74" s="8" t="s">
        <v>1405</v>
      </c>
      <c r="E74" s="58" t="s">
        <v>1439</v>
      </c>
      <c r="F74" s="58" t="s">
        <v>1672</v>
      </c>
      <c r="G74" s="7">
        <v>8.735950667E9</v>
      </c>
      <c r="H74" s="8"/>
      <c r="I74" s="88">
        <v>236.0</v>
      </c>
      <c r="J74" s="88" t="s">
        <v>1673</v>
      </c>
      <c r="K74" s="8" t="s">
        <v>1419</v>
      </c>
      <c r="L74" s="89" t="s">
        <v>49</v>
      </c>
      <c r="M74" s="8" t="s">
        <v>1477</v>
      </c>
      <c r="N74" s="8" t="s">
        <v>28</v>
      </c>
      <c r="O74" s="88">
        <v>6419.0</v>
      </c>
      <c r="P74" s="88">
        <v>7575.0</v>
      </c>
      <c r="Q74" s="129">
        <v>53.0</v>
      </c>
      <c r="R74" s="12">
        <f t="shared" si="2"/>
        <v>3402.07</v>
      </c>
    </row>
    <row r="75">
      <c r="A75" s="127">
        <v>16.0</v>
      </c>
      <c r="B75" s="83" t="s">
        <v>1674</v>
      </c>
      <c r="C75" s="58" t="s">
        <v>1675</v>
      </c>
      <c r="D75" s="8" t="s">
        <v>1395</v>
      </c>
      <c r="E75" s="58" t="s">
        <v>1676</v>
      </c>
      <c r="F75" s="58" t="s">
        <v>1677</v>
      </c>
      <c r="G75" s="8"/>
      <c r="H75" s="8"/>
      <c r="I75" s="88">
        <v>2805.0</v>
      </c>
      <c r="J75" s="91">
        <v>46357.0</v>
      </c>
      <c r="K75" s="8" t="s">
        <v>116</v>
      </c>
      <c r="L75" s="89" t="s">
        <v>49</v>
      </c>
      <c r="M75" s="8" t="s">
        <v>27</v>
      </c>
      <c r="N75" s="8" t="s">
        <v>28</v>
      </c>
      <c r="O75" s="134">
        <v>17949.0</v>
      </c>
      <c r="P75" s="90">
        <v>20211.0</v>
      </c>
      <c r="Q75" s="129">
        <v>48.0</v>
      </c>
      <c r="R75" s="12">
        <f t="shared" si="2"/>
        <v>8615.52</v>
      </c>
    </row>
    <row r="76">
      <c r="A76" s="130">
        <v>17.0</v>
      </c>
      <c r="B76" s="8" t="s">
        <v>1678</v>
      </c>
      <c r="C76" s="58" t="s">
        <v>1679</v>
      </c>
      <c r="D76" s="8" t="s">
        <v>21</v>
      </c>
      <c r="E76" s="58" t="s">
        <v>1510</v>
      </c>
      <c r="F76" s="58" t="s">
        <v>1680</v>
      </c>
      <c r="G76" s="7" t="s">
        <v>1681</v>
      </c>
      <c r="H76" s="8"/>
      <c r="I76" s="88">
        <v>35000.0</v>
      </c>
      <c r="J76" s="88" t="s">
        <v>1669</v>
      </c>
      <c r="K76" s="8" t="s">
        <v>353</v>
      </c>
      <c r="L76" s="89" t="s">
        <v>49</v>
      </c>
      <c r="M76" s="8" t="s">
        <v>219</v>
      </c>
      <c r="N76" s="8" t="s">
        <v>28</v>
      </c>
      <c r="O76" s="90">
        <v>48932.0</v>
      </c>
      <c r="P76" s="90">
        <v>55103.0</v>
      </c>
      <c r="Q76" s="129">
        <v>26.0</v>
      </c>
      <c r="R76" s="12">
        <f t="shared" si="2"/>
        <v>12722.32</v>
      </c>
    </row>
    <row r="77">
      <c r="A77" s="132">
        <v>18.0</v>
      </c>
      <c r="B77" s="83" t="s">
        <v>432</v>
      </c>
      <c r="C77" s="58" t="s">
        <v>1682</v>
      </c>
      <c r="D77" s="8" t="s">
        <v>21</v>
      </c>
      <c r="E77" s="58" t="s">
        <v>1683</v>
      </c>
      <c r="F77" s="58" t="s">
        <v>1684</v>
      </c>
      <c r="G77" s="8"/>
      <c r="H77" s="8"/>
      <c r="I77" s="88">
        <v>18500.0</v>
      </c>
      <c r="J77" s="88" t="s">
        <v>1685</v>
      </c>
      <c r="K77" s="8" t="s">
        <v>65</v>
      </c>
      <c r="L77" s="89" t="s">
        <v>26</v>
      </c>
      <c r="M77" s="8" t="s">
        <v>27</v>
      </c>
      <c r="N77" s="8" t="s">
        <v>28</v>
      </c>
      <c r="O77" s="88">
        <v>35413.0</v>
      </c>
      <c r="P77" s="88">
        <v>39669.0</v>
      </c>
      <c r="Q77" s="129">
        <v>46.0</v>
      </c>
      <c r="R77" s="12">
        <f t="shared" si="2"/>
        <v>16289.98</v>
      </c>
    </row>
    <row r="78">
      <c r="A78" s="127">
        <v>19.0</v>
      </c>
      <c r="B78" s="92" t="s">
        <v>1686</v>
      </c>
      <c r="C78" s="58" t="s">
        <v>1687</v>
      </c>
      <c r="D78" s="8" t="s">
        <v>21</v>
      </c>
      <c r="E78" s="58" t="s">
        <v>1621</v>
      </c>
      <c r="F78" s="58" t="s">
        <v>1688</v>
      </c>
      <c r="G78" s="7">
        <v>9.825631135E9</v>
      </c>
      <c r="H78" s="8"/>
      <c r="I78" s="88">
        <v>28000.0</v>
      </c>
      <c r="J78" s="88" t="s">
        <v>1685</v>
      </c>
      <c r="K78" s="8" t="s">
        <v>65</v>
      </c>
      <c r="L78" s="89" t="s">
        <v>26</v>
      </c>
      <c r="M78" s="8" t="s">
        <v>71</v>
      </c>
      <c r="N78" s="8" t="s">
        <v>28</v>
      </c>
      <c r="O78" s="88">
        <v>44431.0</v>
      </c>
      <c r="P78" s="88">
        <v>49791.0</v>
      </c>
      <c r="Q78" s="129">
        <v>51.0</v>
      </c>
      <c r="R78" s="12">
        <f t="shared" si="2"/>
        <v>22659.81</v>
      </c>
    </row>
    <row r="79">
      <c r="A79" s="130">
        <v>20.0</v>
      </c>
      <c r="B79" s="92" t="s">
        <v>475</v>
      </c>
      <c r="C79" s="58" t="s">
        <v>1689</v>
      </c>
      <c r="D79" s="8" t="s">
        <v>1395</v>
      </c>
      <c r="E79" s="58" t="s">
        <v>1690</v>
      </c>
      <c r="F79" s="58" t="s">
        <v>1691</v>
      </c>
      <c r="G79" s="7">
        <v>7.226886961E9</v>
      </c>
      <c r="H79" s="8"/>
      <c r="I79" s="88">
        <v>1600.0</v>
      </c>
      <c r="J79" s="21" t="s">
        <v>1685</v>
      </c>
      <c r="K79" s="8" t="s">
        <v>70</v>
      </c>
      <c r="L79" s="89" t="s">
        <v>49</v>
      </c>
      <c r="M79" s="8" t="s">
        <v>71</v>
      </c>
      <c r="N79" s="8" t="s">
        <v>28</v>
      </c>
      <c r="O79" s="134">
        <v>20543.0</v>
      </c>
      <c r="P79" s="134">
        <v>20543.0</v>
      </c>
      <c r="Q79" s="129">
        <v>58.0</v>
      </c>
      <c r="R79" s="12">
        <f t="shared" si="2"/>
        <v>11914.94</v>
      </c>
    </row>
    <row r="80">
      <c r="A80" s="132">
        <v>21.0</v>
      </c>
      <c r="B80" s="58" t="s">
        <v>1692</v>
      </c>
      <c r="C80" s="58" t="s">
        <v>1693</v>
      </c>
      <c r="D80" s="8" t="s">
        <v>1395</v>
      </c>
      <c r="E80" s="58" t="s">
        <v>1694</v>
      </c>
      <c r="F80" s="58" t="s">
        <v>1695</v>
      </c>
      <c r="G80" s="7" t="s">
        <v>1696</v>
      </c>
      <c r="H80" s="8"/>
      <c r="I80" s="88">
        <v>2095.0</v>
      </c>
      <c r="J80" s="21" t="s">
        <v>1515</v>
      </c>
      <c r="K80" s="8" t="s">
        <v>70</v>
      </c>
      <c r="L80" s="89" t="s">
        <v>49</v>
      </c>
      <c r="M80" s="8" t="s">
        <v>1697</v>
      </c>
      <c r="N80" s="8" t="s">
        <v>28</v>
      </c>
      <c r="O80" s="90">
        <v>18787.0</v>
      </c>
      <c r="P80" s="90">
        <v>21206.0</v>
      </c>
      <c r="Q80" s="129">
        <v>58.0</v>
      </c>
      <c r="R80" s="12">
        <f t="shared" si="2"/>
        <v>10896.46</v>
      </c>
    </row>
    <row r="81">
      <c r="A81" s="127">
        <v>22.0</v>
      </c>
      <c r="B81" s="58" t="s">
        <v>471</v>
      </c>
      <c r="C81" s="58" t="s">
        <v>1698</v>
      </c>
      <c r="D81" s="8" t="s">
        <v>1395</v>
      </c>
      <c r="E81" s="58" t="s">
        <v>1699</v>
      </c>
      <c r="F81" s="58" t="s">
        <v>474</v>
      </c>
      <c r="G81" s="7" t="s">
        <v>1700</v>
      </c>
      <c r="H81" s="8"/>
      <c r="I81" s="88">
        <v>2995.0</v>
      </c>
      <c r="J81" s="88" t="s">
        <v>1701</v>
      </c>
      <c r="K81" s="8" t="s">
        <v>116</v>
      </c>
      <c r="L81" s="89" t="s">
        <v>49</v>
      </c>
      <c r="M81" s="8" t="s">
        <v>144</v>
      </c>
      <c r="N81" s="8" t="s">
        <v>28</v>
      </c>
      <c r="O81" s="90">
        <v>21126.0</v>
      </c>
      <c r="P81" s="90">
        <v>23959.0</v>
      </c>
      <c r="Q81" s="129">
        <v>48.0</v>
      </c>
      <c r="R81" s="12">
        <f t="shared" si="2"/>
        <v>10140.48</v>
      </c>
    </row>
    <row r="82">
      <c r="A82" s="130">
        <v>23.0</v>
      </c>
      <c r="B82" s="58" t="s">
        <v>1702</v>
      </c>
      <c r="C82" s="58" t="s">
        <v>1703</v>
      </c>
      <c r="D82" s="8" t="s">
        <v>1395</v>
      </c>
      <c r="E82" s="58" t="s">
        <v>178</v>
      </c>
      <c r="F82" s="58" t="s">
        <v>1704</v>
      </c>
      <c r="G82" s="7" t="s">
        <v>1705</v>
      </c>
      <c r="H82" s="8"/>
      <c r="I82" s="88">
        <v>3460.0</v>
      </c>
      <c r="J82" s="88" t="s">
        <v>1701</v>
      </c>
      <c r="K82" s="8" t="s">
        <v>116</v>
      </c>
      <c r="L82" s="89" t="s">
        <v>49</v>
      </c>
      <c r="M82" s="8" t="s">
        <v>389</v>
      </c>
      <c r="N82" s="8" t="s">
        <v>28</v>
      </c>
      <c r="O82" s="90">
        <v>21680.0</v>
      </c>
      <c r="P82" s="90">
        <v>24614.0</v>
      </c>
      <c r="Q82" s="129">
        <v>48.0</v>
      </c>
      <c r="R82" s="12">
        <f t="shared" si="2"/>
        <v>10406.4</v>
      </c>
    </row>
    <row r="83">
      <c r="A83" s="132">
        <v>24.0</v>
      </c>
      <c r="B83" s="58" t="s">
        <v>429</v>
      </c>
      <c r="C83" s="58" t="s">
        <v>1706</v>
      </c>
      <c r="D83" s="8" t="s">
        <v>1405</v>
      </c>
      <c r="E83" s="58" t="s">
        <v>1458</v>
      </c>
      <c r="F83" s="58" t="s">
        <v>1707</v>
      </c>
      <c r="G83" s="7" t="s">
        <v>1708</v>
      </c>
      <c r="H83" s="8"/>
      <c r="I83" s="88">
        <v>995.0</v>
      </c>
      <c r="J83" s="88" t="s">
        <v>1669</v>
      </c>
      <c r="K83" s="8" t="s">
        <v>78</v>
      </c>
      <c r="L83" s="89" t="s">
        <v>49</v>
      </c>
      <c r="M83" s="8" t="s">
        <v>340</v>
      </c>
      <c r="N83" s="8" t="s">
        <v>28</v>
      </c>
      <c r="O83" s="90">
        <v>5172.33</v>
      </c>
      <c r="P83" s="90">
        <v>5834.0</v>
      </c>
      <c r="Q83" s="129">
        <v>59.0</v>
      </c>
      <c r="R83" s="12">
        <f t="shared" si="2"/>
        <v>3051.6747</v>
      </c>
    </row>
    <row r="84">
      <c r="A84" s="127">
        <v>25.0</v>
      </c>
      <c r="B84" s="58" t="s">
        <v>1709</v>
      </c>
      <c r="C84" s="58" t="s">
        <v>1710</v>
      </c>
      <c r="D84" s="58" t="s">
        <v>1405</v>
      </c>
      <c r="E84" s="58" t="s">
        <v>1406</v>
      </c>
      <c r="F84" s="58" t="s">
        <v>1711</v>
      </c>
      <c r="G84" s="7" t="s">
        <v>1712</v>
      </c>
      <c r="H84" s="8"/>
      <c r="I84" s="88">
        <v>990.0</v>
      </c>
      <c r="J84" s="88" t="s">
        <v>1669</v>
      </c>
      <c r="K84" s="8" t="s">
        <v>78</v>
      </c>
      <c r="L84" s="89" t="s">
        <v>49</v>
      </c>
      <c r="M84" s="8" t="s">
        <v>1697</v>
      </c>
      <c r="N84" s="8" t="s">
        <v>28</v>
      </c>
      <c r="O84" s="90">
        <v>5740.96</v>
      </c>
      <c r="P84" s="90">
        <v>6505.0</v>
      </c>
      <c r="Q84" s="129">
        <v>59.0</v>
      </c>
      <c r="R84" s="12">
        <f t="shared" si="2"/>
        <v>3387.1664</v>
      </c>
    </row>
    <row r="85">
      <c r="A85" s="130">
        <v>26.0</v>
      </c>
      <c r="B85" s="92" t="s">
        <v>463</v>
      </c>
      <c r="C85" s="58" t="s">
        <v>1713</v>
      </c>
      <c r="D85" s="8" t="s">
        <v>21</v>
      </c>
      <c r="E85" s="58" t="s">
        <v>1465</v>
      </c>
      <c r="F85" s="58" t="s">
        <v>1714</v>
      </c>
      <c r="G85" s="7">
        <v>9.909617917E9</v>
      </c>
      <c r="H85" s="8"/>
      <c r="I85" s="88">
        <v>16020.0</v>
      </c>
      <c r="J85" s="88" t="s">
        <v>1715</v>
      </c>
      <c r="K85" s="8" t="s">
        <v>78</v>
      </c>
      <c r="L85" s="89" t="s">
        <v>49</v>
      </c>
      <c r="M85" s="8" t="s">
        <v>71</v>
      </c>
      <c r="N85" s="8" t="s">
        <v>28</v>
      </c>
      <c r="O85" s="90">
        <v>43159.0</v>
      </c>
      <c r="P85" s="90">
        <v>43159.0</v>
      </c>
      <c r="Q85" s="129">
        <v>26.0</v>
      </c>
      <c r="R85" s="12">
        <f t="shared" si="2"/>
        <v>11221.34</v>
      </c>
    </row>
    <row r="86">
      <c r="A86" s="132">
        <v>27.0</v>
      </c>
      <c r="B86" s="58" t="s">
        <v>1716</v>
      </c>
      <c r="C86" s="58" t="s">
        <v>1717</v>
      </c>
      <c r="D86" s="58" t="s">
        <v>1432</v>
      </c>
      <c r="E86" s="58" t="s">
        <v>1718</v>
      </c>
      <c r="F86" s="58" t="s">
        <v>1719</v>
      </c>
      <c r="G86" s="7">
        <v>9.825962471E9</v>
      </c>
      <c r="H86" s="8"/>
      <c r="I86" s="21">
        <v>769.0</v>
      </c>
      <c r="J86" s="88" t="s">
        <v>1701</v>
      </c>
      <c r="K86" s="8" t="s">
        <v>1419</v>
      </c>
      <c r="L86" s="89" t="s">
        <v>49</v>
      </c>
      <c r="M86" s="8" t="s">
        <v>1477</v>
      </c>
      <c r="N86" s="8" t="s">
        <v>28</v>
      </c>
      <c r="O86" s="88">
        <v>5441.0</v>
      </c>
      <c r="P86" s="88">
        <v>6421.0</v>
      </c>
      <c r="Q86" s="129">
        <v>53.0</v>
      </c>
      <c r="R86" s="12">
        <f t="shared" si="2"/>
        <v>2883.73</v>
      </c>
    </row>
    <row r="87">
      <c r="A87" s="127">
        <v>28.0</v>
      </c>
      <c r="B87" s="92" t="s">
        <v>488</v>
      </c>
      <c r="C87" s="58" t="s">
        <v>1720</v>
      </c>
      <c r="D87" s="8" t="s">
        <v>1395</v>
      </c>
      <c r="E87" s="58" t="s">
        <v>178</v>
      </c>
      <c r="F87" s="58" t="s">
        <v>490</v>
      </c>
      <c r="G87" s="7" t="s">
        <v>1721</v>
      </c>
      <c r="H87" s="8"/>
      <c r="I87" s="88">
        <v>3460.0</v>
      </c>
      <c r="J87" s="58" t="s">
        <v>1701</v>
      </c>
      <c r="K87" s="8" t="s">
        <v>116</v>
      </c>
      <c r="L87" s="89" t="s">
        <v>49</v>
      </c>
      <c r="M87" s="8" t="s">
        <v>1477</v>
      </c>
      <c r="N87" s="8" t="s">
        <v>28</v>
      </c>
      <c r="O87" s="90">
        <v>21562.0</v>
      </c>
      <c r="P87" s="90">
        <v>24476.0</v>
      </c>
      <c r="Q87" s="129">
        <v>48.0</v>
      </c>
      <c r="R87" s="12">
        <f t="shared" si="2"/>
        <v>10349.76</v>
      </c>
    </row>
    <row r="88">
      <c r="A88" s="130">
        <v>29.0</v>
      </c>
      <c r="B88" s="83" t="s">
        <v>1722</v>
      </c>
      <c r="C88" s="58" t="s">
        <v>1723</v>
      </c>
      <c r="D88" s="8" t="s">
        <v>21</v>
      </c>
      <c r="E88" s="58" t="s">
        <v>1724</v>
      </c>
      <c r="F88" s="58" t="s">
        <v>1725</v>
      </c>
      <c r="G88" s="8"/>
      <c r="H88" s="8"/>
      <c r="I88" s="88">
        <v>12990.0</v>
      </c>
      <c r="J88" s="58" t="s">
        <v>1726</v>
      </c>
      <c r="K88" s="8" t="s">
        <v>78</v>
      </c>
      <c r="L88" s="89" t="s">
        <v>49</v>
      </c>
      <c r="M88" s="8" t="s">
        <v>71</v>
      </c>
      <c r="N88" s="8" t="s">
        <v>28</v>
      </c>
      <c r="O88" s="90">
        <v>36537.72</v>
      </c>
      <c r="P88" s="90">
        <v>40996.0</v>
      </c>
      <c r="Q88" s="129">
        <v>26.0</v>
      </c>
      <c r="R88" s="12">
        <f t="shared" si="2"/>
        <v>9499.8072</v>
      </c>
    </row>
    <row r="89">
      <c r="A89" s="132">
        <v>30.0</v>
      </c>
      <c r="B89" s="92" t="s">
        <v>1727</v>
      </c>
      <c r="C89" s="58" t="s">
        <v>1728</v>
      </c>
      <c r="D89" s="8" t="s">
        <v>1405</v>
      </c>
      <c r="E89" s="58" t="s">
        <v>1729</v>
      </c>
      <c r="F89" s="58" t="s">
        <v>1730</v>
      </c>
      <c r="G89" s="7" t="s">
        <v>1731</v>
      </c>
      <c r="H89" s="8"/>
      <c r="I89" s="88">
        <v>960.0</v>
      </c>
      <c r="J89" s="58" t="s">
        <v>1726</v>
      </c>
      <c r="K89" s="8" t="s">
        <v>78</v>
      </c>
      <c r="L89" s="89" t="s">
        <v>49</v>
      </c>
      <c r="M89" s="8" t="s">
        <v>1456</v>
      </c>
      <c r="N89" s="8" t="s">
        <v>28</v>
      </c>
      <c r="O89" s="90">
        <v>5107.8</v>
      </c>
      <c r="P89" s="90">
        <v>5758.0</v>
      </c>
      <c r="Q89" s="129">
        <v>59.0</v>
      </c>
      <c r="R89" s="12">
        <f t="shared" si="2"/>
        <v>3013.602</v>
      </c>
    </row>
    <row r="90">
      <c r="A90" s="127">
        <v>31.0</v>
      </c>
      <c r="B90" s="83" t="s">
        <v>1732</v>
      </c>
      <c r="C90" s="58" t="s">
        <v>1733</v>
      </c>
      <c r="D90" s="8" t="s">
        <v>1395</v>
      </c>
      <c r="E90" s="58" t="s">
        <v>1734</v>
      </c>
      <c r="F90" s="58" t="s">
        <v>1735</v>
      </c>
      <c r="G90" s="8"/>
      <c r="H90" s="8"/>
      <c r="I90" s="88">
        <v>2995.0</v>
      </c>
      <c r="J90" s="58" t="s">
        <v>1736</v>
      </c>
      <c r="K90" s="8" t="s">
        <v>116</v>
      </c>
      <c r="L90" s="89" t="s">
        <v>49</v>
      </c>
      <c r="M90" s="8" t="s">
        <v>27</v>
      </c>
      <c r="N90" s="8" t="s">
        <v>28</v>
      </c>
      <c r="O90" s="90">
        <v>22249.0</v>
      </c>
      <c r="P90" s="90">
        <v>25287.0</v>
      </c>
      <c r="Q90" s="129">
        <v>48.0</v>
      </c>
      <c r="R90" s="12">
        <f t="shared" si="2"/>
        <v>10679.52</v>
      </c>
    </row>
    <row r="91">
      <c r="A91" s="130">
        <v>32.0</v>
      </c>
      <c r="B91" s="83" t="s">
        <v>1737</v>
      </c>
      <c r="C91" s="58" t="s">
        <v>1738</v>
      </c>
      <c r="D91" s="8" t="s">
        <v>21</v>
      </c>
      <c r="E91" s="58" t="s">
        <v>1739</v>
      </c>
      <c r="F91" s="58" t="s">
        <v>1740</v>
      </c>
      <c r="G91" s="8"/>
      <c r="H91" s="8"/>
      <c r="I91" s="88">
        <v>28000.0</v>
      </c>
      <c r="J91" s="58" t="s">
        <v>1726</v>
      </c>
      <c r="K91" s="8" t="s">
        <v>78</v>
      </c>
      <c r="L91" s="89" t="s">
        <v>49</v>
      </c>
      <c r="M91" s="8" t="s">
        <v>71</v>
      </c>
      <c r="N91" s="8" t="s">
        <v>28</v>
      </c>
      <c r="O91" s="90">
        <v>45872.76</v>
      </c>
      <c r="P91" s="90">
        <v>51493.0</v>
      </c>
      <c r="Q91" s="129">
        <v>26.0</v>
      </c>
      <c r="R91" s="12">
        <f t="shared" si="2"/>
        <v>11926.9176</v>
      </c>
    </row>
    <row r="92">
      <c r="A92" s="132">
        <v>33.0</v>
      </c>
      <c r="B92" s="58" t="s">
        <v>1741</v>
      </c>
      <c r="C92" s="58" t="s">
        <v>1742</v>
      </c>
      <c r="D92" s="8" t="s">
        <v>1432</v>
      </c>
      <c r="E92" s="58" t="s">
        <v>1439</v>
      </c>
      <c r="F92" s="58" t="s">
        <v>1743</v>
      </c>
      <c r="G92" s="7" t="s">
        <v>1744</v>
      </c>
      <c r="H92" s="8"/>
      <c r="I92" s="88">
        <v>236.0</v>
      </c>
      <c r="J92" s="58" t="s">
        <v>1701</v>
      </c>
      <c r="K92" s="8" t="s">
        <v>1419</v>
      </c>
      <c r="L92" s="89" t="s">
        <v>49</v>
      </c>
      <c r="M92" s="8" t="s">
        <v>365</v>
      </c>
      <c r="N92" s="8" t="s">
        <v>28</v>
      </c>
      <c r="O92" s="88">
        <v>6809.0</v>
      </c>
      <c r="P92" s="88">
        <v>8035.0</v>
      </c>
      <c r="Q92" s="129">
        <v>53.0</v>
      </c>
      <c r="R92" s="12">
        <f t="shared" si="2"/>
        <v>3608.77</v>
      </c>
    </row>
    <row r="93">
      <c r="A93" s="127">
        <v>34.0</v>
      </c>
      <c r="B93" s="83" t="s">
        <v>1745</v>
      </c>
      <c r="C93" s="58" t="s">
        <v>1746</v>
      </c>
      <c r="D93" s="8" t="s">
        <v>1395</v>
      </c>
      <c r="E93" s="58" t="s">
        <v>1747</v>
      </c>
      <c r="F93" s="58" t="s">
        <v>1748</v>
      </c>
      <c r="G93" s="8"/>
      <c r="H93" s="8"/>
      <c r="I93" s="88">
        <v>3490.0</v>
      </c>
      <c r="J93" s="58" t="s">
        <v>1726</v>
      </c>
      <c r="K93" s="8" t="s">
        <v>1419</v>
      </c>
      <c r="L93" s="89" t="s">
        <v>49</v>
      </c>
      <c r="M93" s="8" t="s">
        <v>71</v>
      </c>
      <c r="N93" s="8" t="s">
        <v>28</v>
      </c>
      <c r="O93" s="88">
        <v>17656.0</v>
      </c>
      <c r="P93" s="88">
        <v>19872.0</v>
      </c>
      <c r="Q93" s="129">
        <v>52.0</v>
      </c>
      <c r="R93" s="12">
        <f t="shared" si="2"/>
        <v>9181.12</v>
      </c>
    </row>
    <row r="94">
      <c r="A94" s="130">
        <v>35.0</v>
      </c>
      <c r="B94" s="5" t="s">
        <v>1312</v>
      </c>
      <c r="C94" s="31"/>
      <c r="D94" s="5" t="s">
        <v>1395</v>
      </c>
      <c r="E94" s="5" t="s">
        <v>1749</v>
      </c>
      <c r="F94" s="135" t="s">
        <v>1750</v>
      </c>
      <c r="G94" s="31"/>
      <c r="H94" s="31"/>
      <c r="I94" s="5">
        <v>2450.0</v>
      </c>
      <c r="J94" s="5" t="s">
        <v>540</v>
      </c>
      <c r="K94" s="5" t="s">
        <v>78</v>
      </c>
      <c r="L94" s="135" t="s">
        <v>49</v>
      </c>
      <c r="M94" s="5" t="s">
        <v>1697</v>
      </c>
      <c r="N94" s="5" t="s">
        <v>28</v>
      </c>
      <c r="O94" s="5">
        <v>17307.0</v>
      </c>
      <c r="P94" s="5">
        <v>19460.0</v>
      </c>
      <c r="Q94" s="78">
        <v>58.0</v>
      </c>
      <c r="R94" s="12">
        <f t="shared" si="2"/>
        <v>10038.06</v>
      </c>
    </row>
    <row r="95">
      <c r="A95" s="132">
        <v>36.0</v>
      </c>
      <c r="B95" s="5" t="s">
        <v>440</v>
      </c>
      <c r="C95" s="31"/>
      <c r="D95" s="5" t="s">
        <v>21</v>
      </c>
      <c r="E95" s="5" t="s">
        <v>1751</v>
      </c>
      <c r="F95" s="135" t="s">
        <v>1752</v>
      </c>
      <c r="G95" s="31"/>
      <c r="H95" s="31"/>
      <c r="I95" s="5">
        <v>16020.0</v>
      </c>
      <c r="J95" s="5" t="s">
        <v>1701</v>
      </c>
      <c r="K95" s="5" t="s">
        <v>78</v>
      </c>
      <c r="L95" s="135" t="s">
        <v>49</v>
      </c>
      <c r="M95" s="5" t="s">
        <v>71</v>
      </c>
      <c r="N95" s="5" t="s">
        <v>28</v>
      </c>
      <c r="O95" s="5">
        <v>39478.0</v>
      </c>
      <c r="P95" s="5">
        <v>44436.0</v>
      </c>
      <c r="Q95" s="78">
        <v>26.0</v>
      </c>
      <c r="R95" s="12">
        <f t="shared" si="2"/>
        <v>10264.28</v>
      </c>
    </row>
    <row r="96">
      <c r="A96" s="127">
        <v>37.0</v>
      </c>
      <c r="B96" s="5" t="s">
        <v>506</v>
      </c>
      <c r="C96" s="31"/>
      <c r="D96" s="5" t="s">
        <v>21</v>
      </c>
      <c r="E96" s="5" t="s">
        <v>1537</v>
      </c>
      <c r="F96" s="135" t="s">
        <v>1753</v>
      </c>
      <c r="G96" s="31"/>
      <c r="H96" s="31"/>
      <c r="I96" s="5">
        <v>25000.0</v>
      </c>
      <c r="J96" s="5" t="s">
        <v>1754</v>
      </c>
      <c r="K96" s="5" t="s">
        <v>65</v>
      </c>
      <c r="L96" s="135" t="s">
        <v>26</v>
      </c>
      <c r="M96" s="5" t="s">
        <v>219</v>
      </c>
      <c r="N96" s="5" t="s">
        <v>28</v>
      </c>
      <c r="O96" s="5">
        <v>44050.0</v>
      </c>
      <c r="P96" s="5">
        <v>49342.0</v>
      </c>
      <c r="Q96" s="78">
        <v>51.0</v>
      </c>
      <c r="R96" s="12">
        <f t="shared" si="2"/>
        <v>22465.5</v>
      </c>
    </row>
    <row r="97">
      <c r="A97" s="130">
        <v>38.0</v>
      </c>
      <c r="B97" s="5" t="s">
        <v>1755</v>
      </c>
      <c r="C97" s="31"/>
      <c r="D97" s="5" t="s">
        <v>21</v>
      </c>
      <c r="E97" s="5" t="s">
        <v>1756</v>
      </c>
      <c r="F97" s="135" t="s">
        <v>1757</v>
      </c>
      <c r="G97" s="31"/>
      <c r="H97" s="31"/>
      <c r="I97" s="5">
        <v>35000.0</v>
      </c>
      <c r="J97" s="5" t="s">
        <v>1701</v>
      </c>
      <c r="K97" s="5" t="s">
        <v>78</v>
      </c>
      <c r="L97" s="135" t="s">
        <v>49</v>
      </c>
      <c r="M97" s="5" t="s">
        <v>389</v>
      </c>
      <c r="N97" s="5" t="s">
        <v>28</v>
      </c>
      <c r="O97" s="5">
        <v>48121.0</v>
      </c>
      <c r="P97" s="5">
        <v>54147.0</v>
      </c>
      <c r="Q97" s="78">
        <v>26.0</v>
      </c>
      <c r="R97" s="12">
        <f t="shared" si="2"/>
        <v>12511.46</v>
      </c>
    </row>
    <row r="98">
      <c r="A98" s="132">
        <v>39.0</v>
      </c>
      <c r="B98" s="5" t="s">
        <v>1758</v>
      </c>
      <c r="C98" s="31"/>
      <c r="D98" s="5" t="s">
        <v>1759</v>
      </c>
      <c r="E98" s="5" t="s">
        <v>1760</v>
      </c>
      <c r="F98" s="135" t="s">
        <v>1761</v>
      </c>
      <c r="G98" s="31"/>
      <c r="H98" s="31"/>
      <c r="I98" s="31"/>
      <c r="J98" s="5" t="s">
        <v>1726</v>
      </c>
      <c r="K98" s="5" t="s">
        <v>1419</v>
      </c>
      <c r="L98" s="135" t="s">
        <v>49</v>
      </c>
      <c r="M98" s="5" t="s">
        <v>144</v>
      </c>
      <c r="N98" s="5" t="s">
        <v>28</v>
      </c>
      <c r="O98" s="5">
        <v>6835.0</v>
      </c>
      <c r="P98" s="5">
        <v>8065.0</v>
      </c>
      <c r="Q98" s="78">
        <v>53.0</v>
      </c>
      <c r="R98" s="12">
        <f t="shared" si="2"/>
        <v>3622.55</v>
      </c>
    </row>
    <row r="99">
      <c r="A99" s="127">
        <v>40.0</v>
      </c>
      <c r="B99" s="5" t="s">
        <v>1762</v>
      </c>
      <c r="C99" s="31"/>
      <c r="D99" s="5" t="s">
        <v>1759</v>
      </c>
      <c r="E99" s="5" t="s">
        <v>1760</v>
      </c>
      <c r="F99" s="135" t="s">
        <v>1763</v>
      </c>
      <c r="G99" s="31"/>
      <c r="H99" s="31"/>
      <c r="I99" s="31"/>
      <c r="J99" s="5" t="s">
        <v>1715</v>
      </c>
      <c r="K99" s="5" t="s">
        <v>1419</v>
      </c>
      <c r="L99" s="135" t="s">
        <v>49</v>
      </c>
      <c r="M99" s="5" t="s">
        <v>33</v>
      </c>
      <c r="N99" s="5" t="s">
        <v>28</v>
      </c>
      <c r="O99" s="5">
        <v>6419.0</v>
      </c>
      <c r="P99" s="5">
        <v>7575.0</v>
      </c>
      <c r="Q99" s="78">
        <v>53.0</v>
      </c>
      <c r="R99" s="12">
        <f t="shared" si="2"/>
        <v>3402.07</v>
      </c>
    </row>
    <row r="100">
      <c r="A100" s="130">
        <v>41.0</v>
      </c>
      <c r="B100" s="5" t="s">
        <v>1764</v>
      </c>
      <c r="C100" s="31"/>
      <c r="D100" s="5" t="s">
        <v>1395</v>
      </c>
      <c r="E100" s="5" t="s">
        <v>1765</v>
      </c>
      <c r="F100" s="135" t="s">
        <v>1766</v>
      </c>
      <c r="G100" s="31"/>
      <c r="H100" s="31"/>
      <c r="I100" s="5">
        <v>3490.0</v>
      </c>
      <c r="J100" s="5" t="s">
        <v>540</v>
      </c>
      <c r="K100" s="5" t="s">
        <v>1419</v>
      </c>
      <c r="L100" s="135" t="s">
        <v>49</v>
      </c>
      <c r="M100" s="5" t="s">
        <v>71</v>
      </c>
      <c r="N100" s="5" t="s">
        <v>28</v>
      </c>
      <c r="O100" s="5">
        <v>23914.0</v>
      </c>
      <c r="P100" s="5">
        <v>27256.0</v>
      </c>
      <c r="Q100" s="78">
        <v>52.0</v>
      </c>
      <c r="R100" s="12">
        <f t="shared" si="2"/>
        <v>12435.28</v>
      </c>
    </row>
    <row r="101">
      <c r="A101" s="132">
        <v>42.0</v>
      </c>
      <c r="B101" s="5" t="s">
        <v>1767</v>
      </c>
      <c r="C101" s="31"/>
      <c r="D101" s="5" t="s">
        <v>1759</v>
      </c>
      <c r="E101" s="5" t="s">
        <v>1760</v>
      </c>
      <c r="F101" s="135" t="s">
        <v>1768</v>
      </c>
      <c r="G101" s="31"/>
      <c r="H101" s="31"/>
      <c r="I101" s="31"/>
      <c r="J101" s="5" t="s">
        <v>1736</v>
      </c>
      <c r="K101" s="5" t="s">
        <v>1419</v>
      </c>
      <c r="L101" s="135" t="s">
        <v>49</v>
      </c>
      <c r="M101" s="5" t="s">
        <v>219</v>
      </c>
      <c r="N101" s="5" t="s">
        <v>28</v>
      </c>
      <c r="O101" s="5">
        <v>6394.0</v>
      </c>
      <c r="P101" s="5">
        <v>7544.0</v>
      </c>
      <c r="Q101" s="78">
        <v>53.0</v>
      </c>
      <c r="R101" s="12">
        <f t="shared" si="2"/>
        <v>3388.82</v>
      </c>
    </row>
    <row r="102">
      <c r="A102" s="127">
        <v>43.0</v>
      </c>
      <c r="B102" s="5" t="s">
        <v>445</v>
      </c>
      <c r="C102" s="31"/>
      <c r="D102" s="5" t="s">
        <v>21</v>
      </c>
      <c r="E102" s="5" t="s">
        <v>1769</v>
      </c>
      <c r="F102" s="135" t="s">
        <v>1637</v>
      </c>
      <c r="G102" s="31"/>
      <c r="H102" s="31"/>
      <c r="I102" s="5">
        <v>28000.0</v>
      </c>
      <c r="J102" s="5" t="s">
        <v>1701</v>
      </c>
      <c r="K102" s="5" t="s">
        <v>65</v>
      </c>
      <c r="L102" s="135" t="s">
        <v>26</v>
      </c>
      <c r="M102" s="5" t="s">
        <v>71</v>
      </c>
      <c r="N102" s="5" t="s">
        <v>28</v>
      </c>
      <c r="O102" s="5">
        <v>44531.0</v>
      </c>
      <c r="P102" s="5">
        <v>49909.0</v>
      </c>
      <c r="Q102" s="78">
        <v>51.0</v>
      </c>
      <c r="R102" s="12">
        <f t="shared" si="2"/>
        <v>22710.81</v>
      </c>
    </row>
    <row r="103">
      <c r="A103" s="130">
        <v>44.0</v>
      </c>
      <c r="B103" s="5" t="s">
        <v>459</v>
      </c>
      <c r="C103" s="31"/>
      <c r="D103" s="5" t="s">
        <v>21</v>
      </c>
      <c r="E103" s="5" t="s">
        <v>1770</v>
      </c>
      <c r="F103" s="135" t="s">
        <v>1771</v>
      </c>
      <c r="G103" s="31"/>
      <c r="H103" s="31"/>
      <c r="I103" s="5">
        <v>25000.0</v>
      </c>
      <c r="J103" s="5" t="s">
        <v>1736</v>
      </c>
      <c r="K103" s="5" t="s">
        <v>65</v>
      </c>
      <c r="L103" s="135" t="s">
        <v>26</v>
      </c>
      <c r="M103" s="5" t="s">
        <v>71</v>
      </c>
      <c r="N103" s="5" t="s">
        <v>28</v>
      </c>
      <c r="O103" s="5">
        <v>44150.0</v>
      </c>
      <c r="P103" s="5">
        <v>49460.0</v>
      </c>
      <c r="Q103" s="78">
        <v>51.0</v>
      </c>
      <c r="R103" s="12">
        <f t="shared" si="2"/>
        <v>22516.5</v>
      </c>
    </row>
    <row r="104">
      <c r="A104" s="132">
        <v>45.0</v>
      </c>
      <c r="B104" s="5" t="s">
        <v>1772</v>
      </c>
      <c r="C104" s="31"/>
      <c r="D104" s="5" t="s">
        <v>21</v>
      </c>
      <c r="E104" s="5" t="s">
        <v>1773</v>
      </c>
      <c r="F104" s="135" t="s">
        <v>1774</v>
      </c>
      <c r="G104" s="31"/>
      <c r="H104" s="31"/>
      <c r="I104" s="5">
        <v>42000.0</v>
      </c>
      <c r="J104" s="5" t="s">
        <v>1754</v>
      </c>
      <c r="K104" s="5" t="s">
        <v>70</v>
      </c>
      <c r="L104" s="135" t="s">
        <v>49</v>
      </c>
      <c r="M104" s="5" t="s">
        <v>71</v>
      </c>
      <c r="N104" s="5" t="s">
        <v>28</v>
      </c>
      <c r="O104" s="5">
        <v>49129.0</v>
      </c>
      <c r="P104" s="5">
        <v>55318.0</v>
      </c>
      <c r="Q104" s="78">
        <v>25.0</v>
      </c>
      <c r="R104" s="12">
        <f t="shared" si="2"/>
        <v>12282.25</v>
      </c>
    </row>
    <row r="105">
      <c r="A105" s="127">
        <v>46.0</v>
      </c>
      <c r="B105" s="5" t="s">
        <v>1775</v>
      </c>
      <c r="C105" s="31"/>
      <c r="D105" s="5" t="s">
        <v>21</v>
      </c>
      <c r="E105" s="5" t="s">
        <v>1537</v>
      </c>
      <c r="F105" s="135" t="s">
        <v>1776</v>
      </c>
      <c r="G105" s="31"/>
      <c r="H105" s="31"/>
      <c r="I105" s="5">
        <v>28000.0</v>
      </c>
      <c r="J105" s="5" t="s">
        <v>1777</v>
      </c>
      <c r="K105" s="5" t="s">
        <v>78</v>
      </c>
      <c r="L105" s="135" t="s">
        <v>49</v>
      </c>
      <c r="M105" s="5" t="s">
        <v>71</v>
      </c>
      <c r="N105" s="5" t="s">
        <v>28</v>
      </c>
      <c r="O105" s="5">
        <v>46234.0</v>
      </c>
      <c r="P105" s="5">
        <v>51920.0</v>
      </c>
      <c r="Q105" s="78">
        <v>26.0</v>
      </c>
      <c r="R105" s="12">
        <f t="shared" si="2"/>
        <v>12020.84</v>
      </c>
    </row>
    <row r="106">
      <c r="A106" s="130">
        <v>47.0</v>
      </c>
      <c r="B106" s="5" t="s">
        <v>1778</v>
      </c>
      <c r="C106" s="31"/>
      <c r="D106" s="5" t="s">
        <v>1395</v>
      </c>
      <c r="E106" s="5" t="s">
        <v>528</v>
      </c>
      <c r="F106" s="135" t="s">
        <v>1779</v>
      </c>
      <c r="G106" s="31"/>
      <c r="H106" s="31"/>
      <c r="I106" s="5">
        <v>2700.0</v>
      </c>
      <c r="J106" s="5" t="s">
        <v>1726</v>
      </c>
      <c r="K106" s="5" t="s">
        <v>116</v>
      </c>
      <c r="L106" s="135" t="s">
        <v>49</v>
      </c>
      <c r="M106" s="5" t="s">
        <v>365</v>
      </c>
      <c r="N106" s="5" t="s">
        <v>28</v>
      </c>
      <c r="O106" s="5">
        <v>18866.0</v>
      </c>
      <c r="P106" s="5">
        <v>21294.0</v>
      </c>
      <c r="Q106" s="78">
        <v>48.0</v>
      </c>
      <c r="R106" s="12">
        <f t="shared" si="2"/>
        <v>9055.68</v>
      </c>
    </row>
    <row r="107">
      <c r="A107" s="132">
        <v>48.0</v>
      </c>
      <c r="B107" s="5" t="s">
        <v>1780</v>
      </c>
      <c r="C107" s="31"/>
      <c r="D107" s="5" t="s">
        <v>1395</v>
      </c>
      <c r="E107" s="5" t="s">
        <v>1781</v>
      </c>
      <c r="F107" s="135" t="s">
        <v>1782</v>
      </c>
      <c r="G107" s="31"/>
      <c r="H107" s="31"/>
      <c r="I107" s="5">
        <v>1850.0</v>
      </c>
      <c r="J107" s="5" t="s">
        <v>1783</v>
      </c>
      <c r="K107" s="5" t="s">
        <v>70</v>
      </c>
      <c r="L107" s="135" t="s">
        <v>49</v>
      </c>
      <c r="M107" s="5" t="s">
        <v>71</v>
      </c>
      <c r="N107" s="5" t="s">
        <v>28</v>
      </c>
      <c r="O107" s="5">
        <v>17674.0</v>
      </c>
      <c r="P107" s="5">
        <v>19890.0</v>
      </c>
      <c r="Q107" s="78">
        <v>58.0</v>
      </c>
      <c r="R107" s="12">
        <f t="shared" si="2"/>
        <v>10250.92</v>
      </c>
    </row>
    <row r="108">
      <c r="A108" s="127">
        <v>49.0</v>
      </c>
      <c r="B108" s="5" t="s">
        <v>517</v>
      </c>
      <c r="C108" s="31"/>
      <c r="D108" s="5" t="s">
        <v>21</v>
      </c>
      <c r="E108" s="5" t="s">
        <v>178</v>
      </c>
      <c r="F108" s="135" t="s">
        <v>1784</v>
      </c>
      <c r="G108" s="31"/>
      <c r="H108" s="31"/>
      <c r="I108" s="5">
        <v>3895.0</v>
      </c>
      <c r="J108" s="5" t="s">
        <v>1726</v>
      </c>
      <c r="K108" s="5" t="s">
        <v>116</v>
      </c>
      <c r="L108" s="135" t="s">
        <v>49</v>
      </c>
      <c r="M108" s="5" t="s">
        <v>27</v>
      </c>
      <c r="N108" s="5" t="s">
        <v>28</v>
      </c>
      <c r="O108" s="5">
        <v>22530.0</v>
      </c>
      <c r="P108" s="5">
        <v>25618.0</v>
      </c>
      <c r="Q108" s="78">
        <v>30.0</v>
      </c>
      <c r="R108" s="12">
        <f t="shared" si="2"/>
        <v>6759</v>
      </c>
    </row>
    <row r="109">
      <c r="A109" s="130">
        <v>50.0</v>
      </c>
      <c r="B109" s="5" t="s">
        <v>1785</v>
      </c>
      <c r="C109" s="31"/>
      <c r="D109" s="5" t="s">
        <v>75</v>
      </c>
      <c r="E109" s="5" t="s">
        <v>1786</v>
      </c>
      <c r="F109" s="135" t="s">
        <v>1787</v>
      </c>
      <c r="G109" s="31"/>
      <c r="H109" s="31"/>
      <c r="I109" s="31"/>
      <c r="J109" s="5" t="s">
        <v>1701</v>
      </c>
      <c r="K109" s="5" t="s">
        <v>1419</v>
      </c>
      <c r="L109" s="135" t="s">
        <v>49</v>
      </c>
      <c r="M109" s="5" t="s">
        <v>27</v>
      </c>
      <c r="N109" s="5" t="s">
        <v>28</v>
      </c>
      <c r="O109" s="5">
        <v>5394.0</v>
      </c>
      <c r="P109" s="5">
        <v>6096.0</v>
      </c>
      <c r="Q109" s="78">
        <v>53.0</v>
      </c>
      <c r="R109" s="12">
        <f t="shared" si="2"/>
        <v>2858.82</v>
      </c>
    </row>
    <row r="110">
      <c r="A110" s="132">
        <v>51.0</v>
      </c>
      <c r="B110" s="5" t="s">
        <v>1788</v>
      </c>
      <c r="C110" s="31"/>
      <c r="D110" s="5" t="s">
        <v>21</v>
      </c>
      <c r="E110" s="5" t="s">
        <v>1789</v>
      </c>
      <c r="F110" s="135" t="s">
        <v>1790</v>
      </c>
      <c r="G110" s="31"/>
      <c r="H110" s="31"/>
      <c r="I110" s="5">
        <v>9600.0</v>
      </c>
      <c r="J110" s="5" t="s">
        <v>1777</v>
      </c>
      <c r="K110" s="5" t="s">
        <v>1419</v>
      </c>
      <c r="L110" s="135" t="s">
        <v>26</v>
      </c>
      <c r="M110" s="5" t="s">
        <v>27</v>
      </c>
      <c r="N110" s="5" t="s">
        <v>28</v>
      </c>
      <c r="O110" s="5">
        <v>27286.0</v>
      </c>
      <c r="P110" s="5">
        <v>30566.0</v>
      </c>
      <c r="Q110" s="78">
        <v>47.0</v>
      </c>
      <c r="R110" s="12">
        <f t="shared" si="2"/>
        <v>12824.42</v>
      </c>
    </row>
    <row r="111">
      <c r="A111" s="127">
        <v>52.0</v>
      </c>
      <c r="B111" s="136" t="s">
        <v>1600</v>
      </c>
      <c r="C111" s="137"/>
      <c r="D111" s="136" t="s">
        <v>21</v>
      </c>
      <c r="E111" s="136" t="s">
        <v>1791</v>
      </c>
      <c r="F111" s="136" t="s">
        <v>1792</v>
      </c>
      <c r="G111" s="137"/>
      <c r="H111" s="137"/>
      <c r="I111" s="12">
        <v>11990.0</v>
      </c>
      <c r="J111" s="12" t="s">
        <v>1726</v>
      </c>
      <c r="K111" s="136" t="s">
        <v>353</v>
      </c>
      <c r="L111" s="138" t="s">
        <v>49</v>
      </c>
      <c r="M111" s="136" t="s">
        <v>365</v>
      </c>
      <c r="N111" s="136" t="s">
        <v>28</v>
      </c>
      <c r="O111" s="139">
        <v>34273.0</v>
      </c>
      <c r="P111" s="139">
        <v>38811.0</v>
      </c>
      <c r="Q111" s="12">
        <v>26.0</v>
      </c>
      <c r="R111" s="12">
        <f t="shared" si="2"/>
        <v>8910.98</v>
      </c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</row>
    <row r="112">
      <c r="A112" s="126"/>
      <c r="E112" s="126"/>
      <c r="L112" s="126"/>
    </row>
    <row r="113">
      <c r="A113" s="126"/>
      <c r="E113" s="126"/>
      <c r="L113" s="126"/>
    </row>
    <row r="114">
      <c r="A114" s="126"/>
      <c r="E114" s="126"/>
      <c r="L114" s="126"/>
    </row>
    <row r="115">
      <c r="A115" s="100" t="s">
        <v>1793</v>
      </c>
      <c r="B115" s="133" t="s">
        <v>526</v>
      </c>
      <c r="C115" s="8" t="s">
        <v>1794</v>
      </c>
      <c r="D115" s="8" t="s">
        <v>1395</v>
      </c>
      <c r="E115" s="8" t="s">
        <v>524</v>
      </c>
      <c r="F115" s="8" t="s">
        <v>529</v>
      </c>
      <c r="G115" s="8"/>
      <c r="H115" s="8"/>
      <c r="I115" s="21">
        <v>3490.0</v>
      </c>
      <c r="J115" s="21" t="s">
        <v>1795</v>
      </c>
      <c r="K115" s="8" t="s">
        <v>116</v>
      </c>
      <c r="L115" s="89" t="s">
        <v>49</v>
      </c>
      <c r="M115" s="8" t="s">
        <v>71</v>
      </c>
      <c r="N115" s="8" t="s">
        <v>28</v>
      </c>
      <c r="O115" s="97">
        <v>20452.0</v>
      </c>
      <c r="P115" s="97">
        <v>23165.0</v>
      </c>
      <c r="Q115" s="6">
        <v>48.0</v>
      </c>
      <c r="R115" s="12">
        <f t="shared" ref="R115:R149" si="3">O115*Q115%</f>
        <v>9816.96</v>
      </c>
    </row>
    <row r="116">
      <c r="A116" s="100" t="s">
        <v>1793</v>
      </c>
      <c r="B116" s="8" t="s">
        <v>1796</v>
      </c>
      <c r="C116" s="8" t="s">
        <v>1797</v>
      </c>
      <c r="D116" s="8" t="s">
        <v>21</v>
      </c>
      <c r="E116" s="8" t="s">
        <v>1798</v>
      </c>
      <c r="F116" s="8" t="s">
        <v>1799</v>
      </c>
      <c r="G116" s="8"/>
      <c r="H116" s="8"/>
      <c r="I116" s="21">
        <v>28000.0</v>
      </c>
      <c r="J116" s="21" t="s">
        <v>1754</v>
      </c>
      <c r="K116" s="8" t="s">
        <v>353</v>
      </c>
      <c r="L116" s="89" t="s">
        <v>49</v>
      </c>
      <c r="M116" s="8" t="s">
        <v>71</v>
      </c>
      <c r="N116" s="8" t="s">
        <v>28</v>
      </c>
      <c r="O116" s="97">
        <v>45931.0</v>
      </c>
      <c r="P116" s="97">
        <v>51562.0</v>
      </c>
      <c r="Q116" s="6">
        <v>26.0</v>
      </c>
      <c r="R116" s="12">
        <f t="shared" si="3"/>
        <v>11942.06</v>
      </c>
    </row>
    <row r="117">
      <c r="A117" s="100" t="s">
        <v>1793</v>
      </c>
      <c r="B117" s="58" t="s">
        <v>1800</v>
      </c>
      <c r="C117" s="58" t="s">
        <v>1801</v>
      </c>
      <c r="D117" s="8" t="s">
        <v>21</v>
      </c>
      <c r="E117" s="58" t="s">
        <v>1510</v>
      </c>
      <c r="F117" s="58" t="s">
        <v>1802</v>
      </c>
      <c r="G117" s="8"/>
      <c r="H117" s="8"/>
      <c r="I117" s="88">
        <v>35000.0</v>
      </c>
      <c r="J117" s="88" t="s">
        <v>1736</v>
      </c>
      <c r="K117" s="8" t="s">
        <v>353</v>
      </c>
      <c r="L117" s="89" t="s">
        <v>49</v>
      </c>
      <c r="M117" s="8" t="s">
        <v>71</v>
      </c>
      <c r="N117" s="8" t="s">
        <v>28</v>
      </c>
      <c r="O117" s="90">
        <v>79854.0</v>
      </c>
      <c r="P117" s="90">
        <v>91591.0</v>
      </c>
      <c r="Q117" s="6">
        <v>26.0</v>
      </c>
      <c r="R117" s="12">
        <f t="shared" si="3"/>
        <v>20762.04</v>
      </c>
    </row>
    <row r="118">
      <c r="A118" s="100" t="s">
        <v>1793</v>
      </c>
      <c r="B118" s="83" t="s">
        <v>511</v>
      </c>
      <c r="C118" s="58" t="s">
        <v>1803</v>
      </c>
      <c r="D118" s="8" t="s">
        <v>21</v>
      </c>
      <c r="E118" s="58" t="s">
        <v>1804</v>
      </c>
      <c r="F118" s="58" t="s">
        <v>1805</v>
      </c>
      <c r="G118" s="8"/>
      <c r="H118" s="8"/>
      <c r="I118" s="88">
        <v>18500.0</v>
      </c>
      <c r="J118" s="88" t="s">
        <v>1806</v>
      </c>
      <c r="K118" s="8" t="s">
        <v>65</v>
      </c>
      <c r="L118" s="89" t="s">
        <v>26</v>
      </c>
      <c r="M118" s="8" t="s">
        <v>389</v>
      </c>
      <c r="N118" s="8" t="s">
        <v>28</v>
      </c>
      <c r="O118" s="88">
        <v>35563.0</v>
      </c>
      <c r="P118" s="88">
        <v>39847.0</v>
      </c>
      <c r="Q118" s="6">
        <v>46.0</v>
      </c>
      <c r="R118" s="12">
        <f t="shared" si="3"/>
        <v>16358.98</v>
      </c>
    </row>
    <row r="119">
      <c r="A119" s="100" t="s">
        <v>1793</v>
      </c>
      <c r="B119" s="83" t="s">
        <v>1807</v>
      </c>
      <c r="C119" s="58" t="s">
        <v>1808</v>
      </c>
      <c r="D119" s="8" t="s">
        <v>21</v>
      </c>
      <c r="E119" s="88">
        <v>2516.0</v>
      </c>
      <c r="F119" s="58" t="s">
        <v>1809</v>
      </c>
      <c r="G119" s="8"/>
      <c r="H119" s="8"/>
      <c r="I119" s="21">
        <v>28000.0</v>
      </c>
      <c r="J119" s="88" t="s">
        <v>521</v>
      </c>
      <c r="K119" s="8" t="s">
        <v>78</v>
      </c>
      <c r="L119" s="89" t="s">
        <v>49</v>
      </c>
      <c r="M119" s="8" t="s">
        <v>71</v>
      </c>
      <c r="N119" s="8" t="s">
        <v>28</v>
      </c>
      <c r="O119" s="90">
        <v>46141.74</v>
      </c>
      <c r="P119" s="90">
        <v>51810.0</v>
      </c>
      <c r="Q119" s="6">
        <v>26.0</v>
      </c>
      <c r="R119" s="12">
        <f t="shared" si="3"/>
        <v>11996.8524</v>
      </c>
    </row>
    <row r="120">
      <c r="A120" s="100" t="s">
        <v>1793</v>
      </c>
      <c r="B120" s="58" t="s">
        <v>1810</v>
      </c>
      <c r="C120" s="58" t="s">
        <v>1811</v>
      </c>
      <c r="D120" s="8" t="s">
        <v>1432</v>
      </c>
      <c r="E120" s="58" t="s">
        <v>1439</v>
      </c>
      <c r="F120" s="58" t="s">
        <v>1812</v>
      </c>
      <c r="G120" s="7" t="s">
        <v>1813</v>
      </c>
      <c r="H120" s="8"/>
      <c r="I120" s="88">
        <v>236.0</v>
      </c>
      <c r="J120" s="88" t="s">
        <v>1754</v>
      </c>
      <c r="K120" s="8" t="s">
        <v>1419</v>
      </c>
      <c r="L120" s="89" t="s">
        <v>49</v>
      </c>
      <c r="M120" s="8" t="s">
        <v>1544</v>
      </c>
      <c r="N120" s="8" t="s">
        <v>28</v>
      </c>
      <c r="O120" s="88">
        <v>6486.0</v>
      </c>
      <c r="P120" s="88">
        <v>7654.0</v>
      </c>
      <c r="Q120" s="6">
        <v>53.0</v>
      </c>
      <c r="R120" s="12">
        <f t="shared" si="3"/>
        <v>3437.58</v>
      </c>
    </row>
    <row r="121">
      <c r="A121" s="100" t="s">
        <v>1793</v>
      </c>
      <c r="B121" s="58" t="s">
        <v>1814</v>
      </c>
      <c r="C121" s="58" t="s">
        <v>1815</v>
      </c>
      <c r="D121" s="8" t="s">
        <v>1405</v>
      </c>
      <c r="E121" s="58" t="s">
        <v>1816</v>
      </c>
      <c r="F121" s="58" t="s">
        <v>1817</v>
      </c>
      <c r="G121" s="7" t="s">
        <v>1818</v>
      </c>
      <c r="H121" s="8"/>
      <c r="I121" s="88">
        <v>995.0</v>
      </c>
      <c r="J121" s="88" t="s">
        <v>1754</v>
      </c>
      <c r="K121" s="8" t="s">
        <v>78</v>
      </c>
      <c r="L121" s="89" t="s">
        <v>49</v>
      </c>
      <c r="M121" s="8" t="s">
        <v>365</v>
      </c>
      <c r="N121" s="8" t="s">
        <v>28</v>
      </c>
      <c r="O121" s="90">
        <v>5249.25</v>
      </c>
      <c r="P121" s="90">
        <v>5925.0</v>
      </c>
      <c r="Q121" s="6">
        <v>59.0</v>
      </c>
      <c r="R121" s="12">
        <f t="shared" si="3"/>
        <v>3097.0575</v>
      </c>
    </row>
    <row r="122">
      <c r="A122" s="100" t="s">
        <v>1793</v>
      </c>
      <c r="B122" s="83" t="s">
        <v>1819</v>
      </c>
      <c r="C122" s="58" t="s">
        <v>1820</v>
      </c>
      <c r="D122" s="8" t="s">
        <v>21</v>
      </c>
      <c r="E122" s="58" t="s">
        <v>1821</v>
      </c>
      <c r="F122" s="58" t="s">
        <v>1822</v>
      </c>
      <c r="G122" s="8"/>
      <c r="H122" s="8"/>
      <c r="I122" s="88">
        <v>28000.0</v>
      </c>
      <c r="J122" s="88" t="s">
        <v>1736</v>
      </c>
      <c r="K122" s="8" t="s">
        <v>78</v>
      </c>
      <c r="L122" s="89" t="s">
        <v>49</v>
      </c>
      <c r="M122" s="8" t="s">
        <v>71</v>
      </c>
      <c r="N122" s="8" t="s">
        <v>28</v>
      </c>
      <c r="O122" s="90">
        <v>46945.18</v>
      </c>
      <c r="P122" s="134">
        <v>52758.0</v>
      </c>
      <c r="Q122" s="6">
        <v>26.0</v>
      </c>
      <c r="R122" s="12">
        <f t="shared" si="3"/>
        <v>12205.7468</v>
      </c>
    </row>
    <row r="123">
      <c r="A123" s="100" t="s">
        <v>1793</v>
      </c>
      <c r="B123" s="58" t="s">
        <v>1823</v>
      </c>
      <c r="C123" s="58" t="s">
        <v>1824</v>
      </c>
      <c r="D123" s="8" t="s">
        <v>21</v>
      </c>
      <c r="E123" s="58" t="s">
        <v>1825</v>
      </c>
      <c r="F123" s="58" t="s">
        <v>1376</v>
      </c>
      <c r="G123" s="7" t="s">
        <v>1826</v>
      </c>
      <c r="H123" s="8"/>
      <c r="I123" s="88">
        <v>35000.0</v>
      </c>
      <c r="J123" s="88" t="s">
        <v>1827</v>
      </c>
      <c r="K123" s="8" t="s">
        <v>353</v>
      </c>
      <c r="L123" s="138" t="s">
        <v>49</v>
      </c>
      <c r="M123" s="8" t="s">
        <v>1456</v>
      </c>
      <c r="N123" s="8" t="s">
        <v>28</v>
      </c>
      <c r="O123" s="90">
        <v>47536.0</v>
      </c>
      <c r="P123" s="90">
        <v>53455.0</v>
      </c>
      <c r="Q123" s="6">
        <v>26.0</v>
      </c>
      <c r="R123" s="12">
        <f t="shared" si="3"/>
        <v>12359.36</v>
      </c>
    </row>
    <row r="124">
      <c r="A124" s="100" t="s">
        <v>1828</v>
      </c>
      <c r="B124" s="58" t="s">
        <v>1829</v>
      </c>
      <c r="C124" s="58" t="s">
        <v>1830</v>
      </c>
      <c r="D124" s="8" t="s">
        <v>21</v>
      </c>
      <c r="E124" s="58" t="s">
        <v>1821</v>
      </c>
      <c r="F124" s="58" t="s">
        <v>1831</v>
      </c>
      <c r="G124" s="7">
        <v>9.998998818E9</v>
      </c>
      <c r="H124" s="8"/>
      <c r="I124" s="88">
        <v>25000.0</v>
      </c>
      <c r="J124" s="88" t="s">
        <v>1754</v>
      </c>
      <c r="K124" s="8" t="s">
        <v>78</v>
      </c>
      <c r="L124" s="89" t="s">
        <v>49</v>
      </c>
      <c r="M124" s="8" t="s">
        <v>1697</v>
      </c>
      <c r="N124" s="8" t="s">
        <v>28</v>
      </c>
      <c r="O124" s="90">
        <v>46862.1</v>
      </c>
      <c r="P124" s="90">
        <v>52660.0</v>
      </c>
      <c r="Q124" s="6">
        <v>26.0</v>
      </c>
      <c r="R124" s="12">
        <f t="shared" si="3"/>
        <v>12184.146</v>
      </c>
    </row>
    <row r="125">
      <c r="A125" s="100" t="s">
        <v>1828</v>
      </c>
      <c r="B125" s="58" t="s">
        <v>499</v>
      </c>
      <c r="C125" s="58" t="s">
        <v>1832</v>
      </c>
      <c r="D125" s="8" t="s">
        <v>21</v>
      </c>
      <c r="E125" s="58" t="s">
        <v>1833</v>
      </c>
      <c r="F125" s="58" t="s">
        <v>1834</v>
      </c>
      <c r="G125" s="7" t="s">
        <v>1835</v>
      </c>
      <c r="H125" s="8"/>
      <c r="I125" s="88">
        <v>18500.0</v>
      </c>
      <c r="J125" s="88" t="s">
        <v>1836</v>
      </c>
      <c r="K125" s="8" t="s">
        <v>65</v>
      </c>
      <c r="L125" s="89" t="s">
        <v>26</v>
      </c>
      <c r="M125" s="8" t="s">
        <v>219</v>
      </c>
      <c r="N125" s="8" t="s">
        <v>28</v>
      </c>
      <c r="O125" s="88">
        <v>35563.0</v>
      </c>
      <c r="P125" s="88">
        <v>39847.0</v>
      </c>
      <c r="Q125" s="6">
        <v>46.0</v>
      </c>
      <c r="R125" s="12">
        <f t="shared" si="3"/>
        <v>16358.98</v>
      </c>
    </row>
    <row r="126">
      <c r="A126" s="100" t="s">
        <v>1783</v>
      </c>
      <c r="B126" s="58" t="s">
        <v>947</v>
      </c>
      <c r="C126" s="58" t="s">
        <v>1837</v>
      </c>
      <c r="D126" s="8" t="s">
        <v>21</v>
      </c>
      <c r="E126" s="58" t="s">
        <v>1838</v>
      </c>
      <c r="F126" s="58" t="s">
        <v>1839</v>
      </c>
      <c r="G126" s="7" t="s">
        <v>952</v>
      </c>
      <c r="H126" s="8"/>
      <c r="I126" s="88">
        <v>11990.0</v>
      </c>
      <c r="J126" s="88" t="s">
        <v>491</v>
      </c>
      <c r="K126" s="8" t="s">
        <v>1419</v>
      </c>
      <c r="L126" s="89" t="s">
        <v>26</v>
      </c>
      <c r="M126" s="8" t="s">
        <v>27</v>
      </c>
      <c r="N126" s="8" t="s">
        <v>28</v>
      </c>
      <c r="O126" s="88">
        <v>27336.0</v>
      </c>
      <c r="P126" s="88">
        <v>30626.0</v>
      </c>
      <c r="Q126" s="6">
        <v>47.0</v>
      </c>
      <c r="R126" s="12">
        <f t="shared" si="3"/>
        <v>12847.92</v>
      </c>
    </row>
    <row r="127">
      <c r="A127" s="100" t="s">
        <v>1783</v>
      </c>
      <c r="B127" s="58" t="s">
        <v>502</v>
      </c>
      <c r="C127" s="58" t="s">
        <v>1840</v>
      </c>
      <c r="D127" s="8" t="s">
        <v>1405</v>
      </c>
      <c r="E127" s="58" t="s">
        <v>1841</v>
      </c>
      <c r="F127" s="58" t="s">
        <v>1842</v>
      </c>
      <c r="G127" s="7" t="s">
        <v>1843</v>
      </c>
      <c r="H127" s="8"/>
      <c r="I127" s="88">
        <v>995.0</v>
      </c>
      <c r="J127" s="88" t="s">
        <v>557</v>
      </c>
      <c r="K127" s="8" t="s">
        <v>78</v>
      </c>
      <c r="L127" s="89" t="s">
        <v>49</v>
      </c>
      <c r="M127" s="8" t="s">
        <v>365</v>
      </c>
      <c r="N127" s="8" t="s">
        <v>28</v>
      </c>
      <c r="O127" s="90">
        <v>5172.33</v>
      </c>
      <c r="P127" s="90">
        <v>5834.0</v>
      </c>
      <c r="Q127" s="6">
        <v>59.0</v>
      </c>
      <c r="R127" s="12">
        <f t="shared" si="3"/>
        <v>3051.6747</v>
      </c>
    </row>
    <row r="128">
      <c r="A128" s="100" t="s">
        <v>1783</v>
      </c>
      <c r="B128" s="58" t="s">
        <v>924</v>
      </c>
      <c r="C128" s="58" t="s">
        <v>1844</v>
      </c>
      <c r="D128" s="8" t="s">
        <v>21</v>
      </c>
      <c r="E128" s="88">
        <v>3116.0</v>
      </c>
      <c r="F128" s="58" t="s">
        <v>1845</v>
      </c>
      <c r="G128" s="7" t="s">
        <v>1846</v>
      </c>
      <c r="H128" s="8"/>
      <c r="I128" s="88">
        <v>35000.0</v>
      </c>
      <c r="J128" s="88" t="s">
        <v>1715</v>
      </c>
      <c r="K128" s="8" t="s">
        <v>78</v>
      </c>
      <c r="L128" s="89" t="s">
        <v>49</v>
      </c>
      <c r="M128" s="8" t="s">
        <v>71</v>
      </c>
      <c r="N128" s="8" t="s">
        <v>28</v>
      </c>
      <c r="O128" s="90">
        <v>45936.39</v>
      </c>
      <c r="P128" s="90">
        <v>51568.0</v>
      </c>
      <c r="Q128" s="6">
        <v>26.0</v>
      </c>
      <c r="R128" s="12">
        <f t="shared" si="3"/>
        <v>11943.4614</v>
      </c>
    </row>
    <row r="129">
      <c r="A129" s="100" t="s">
        <v>1783</v>
      </c>
      <c r="B129" s="58" t="s">
        <v>1847</v>
      </c>
      <c r="C129" s="58" t="s">
        <v>1848</v>
      </c>
      <c r="D129" s="8" t="s">
        <v>1405</v>
      </c>
      <c r="E129" s="58" t="s">
        <v>1849</v>
      </c>
      <c r="F129" s="58" t="s">
        <v>1850</v>
      </c>
      <c r="G129" s="8"/>
      <c r="H129" s="8"/>
      <c r="I129" s="88">
        <v>990.0</v>
      </c>
      <c r="J129" s="88" t="s">
        <v>1715</v>
      </c>
      <c r="K129" s="8" t="s">
        <v>78</v>
      </c>
      <c r="L129" s="89" t="s">
        <v>49</v>
      </c>
      <c r="M129" s="8" t="s">
        <v>27</v>
      </c>
      <c r="N129" s="8" t="s">
        <v>28</v>
      </c>
      <c r="O129" s="90">
        <v>5397.8</v>
      </c>
      <c r="P129" s="90">
        <v>6100.0</v>
      </c>
      <c r="Q129" s="6">
        <v>59.0</v>
      </c>
      <c r="R129" s="12">
        <f t="shared" si="3"/>
        <v>3184.702</v>
      </c>
    </row>
    <row r="130">
      <c r="A130" s="100" t="s">
        <v>1783</v>
      </c>
      <c r="B130" s="58" t="s">
        <v>1851</v>
      </c>
      <c r="C130" s="58" t="s">
        <v>1852</v>
      </c>
      <c r="D130" s="58" t="s">
        <v>1405</v>
      </c>
      <c r="E130" s="58" t="s">
        <v>1853</v>
      </c>
      <c r="F130" s="58" t="s">
        <v>1854</v>
      </c>
      <c r="G130" s="7" t="s">
        <v>1855</v>
      </c>
      <c r="H130" s="8"/>
      <c r="I130" s="88">
        <v>990.0</v>
      </c>
      <c r="J130" s="88" t="s">
        <v>491</v>
      </c>
      <c r="K130" s="8" t="s">
        <v>78</v>
      </c>
      <c r="L130" s="89" t="s">
        <v>49</v>
      </c>
      <c r="M130" s="8" t="s">
        <v>219</v>
      </c>
      <c r="N130" s="8" t="s">
        <v>28</v>
      </c>
      <c r="O130" s="90">
        <v>5044.93</v>
      </c>
      <c r="P130" s="90">
        <v>5683.0</v>
      </c>
      <c r="Q130" s="6">
        <v>59.0</v>
      </c>
      <c r="R130" s="12">
        <f t="shared" si="3"/>
        <v>2976.5087</v>
      </c>
    </row>
    <row r="131">
      <c r="A131" s="100" t="s">
        <v>1783</v>
      </c>
      <c r="B131" s="58" t="s">
        <v>531</v>
      </c>
      <c r="C131" s="58" t="s">
        <v>1856</v>
      </c>
      <c r="D131" s="8" t="s">
        <v>533</v>
      </c>
      <c r="E131" s="58" t="s">
        <v>1857</v>
      </c>
      <c r="F131" s="58" t="s">
        <v>535</v>
      </c>
      <c r="G131" s="7" t="s">
        <v>1858</v>
      </c>
      <c r="H131" s="8"/>
      <c r="I131" s="21">
        <v>0.0</v>
      </c>
      <c r="J131" s="88" t="s">
        <v>516</v>
      </c>
      <c r="K131" s="8" t="s">
        <v>1419</v>
      </c>
      <c r="L131" s="89" t="s">
        <v>49</v>
      </c>
      <c r="M131" s="8" t="s">
        <v>340</v>
      </c>
      <c r="N131" s="8" t="s">
        <v>28</v>
      </c>
      <c r="O131" s="88">
        <v>16623.0</v>
      </c>
      <c r="P131" s="88">
        <v>19615.0</v>
      </c>
      <c r="Q131" s="6">
        <v>27.0</v>
      </c>
      <c r="R131" s="12">
        <f t="shared" si="3"/>
        <v>4488.21</v>
      </c>
    </row>
    <row r="132">
      <c r="A132" s="100" t="s">
        <v>1859</v>
      </c>
      <c r="B132" s="58" t="s">
        <v>1860</v>
      </c>
      <c r="C132" s="58" t="s">
        <v>1861</v>
      </c>
      <c r="D132" s="8" t="s">
        <v>21</v>
      </c>
      <c r="E132" s="58" t="s">
        <v>1751</v>
      </c>
      <c r="F132" s="58" t="s">
        <v>1862</v>
      </c>
      <c r="G132" s="7" t="s">
        <v>1863</v>
      </c>
      <c r="H132" s="8"/>
      <c r="I132" s="88">
        <v>16020.0</v>
      </c>
      <c r="J132" s="88" t="s">
        <v>521</v>
      </c>
      <c r="K132" s="8" t="s">
        <v>78</v>
      </c>
      <c r="L132" s="89" t="s">
        <v>49</v>
      </c>
      <c r="M132" s="8" t="s">
        <v>27</v>
      </c>
      <c r="N132" s="8" t="s">
        <v>28</v>
      </c>
      <c r="O132" s="90">
        <v>56505.57</v>
      </c>
      <c r="P132" s="90">
        <v>64558.0</v>
      </c>
      <c r="Q132" s="6">
        <v>26.0</v>
      </c>
      <c r="R132" s="12">
        <f t="shared" si="3"/>
        <v>14691.4482</v>
      </c>
    </row>
    <row r="133">
      <c r="A133" s="100" t="s">
        <v>1859</v>
      </c>
      <c r="B133" s="58" t="s">
        <v>1864</v>
      </c>
      <c r="C133" s="58" t="s">
        <v>1865</v>
      </c>
      <c r="D133" s="8" t="s">
        <v>21</v>
      </c>
      <c r="E133" s="58" t="s">
        <v>1866</v>
      </c>
      <c r="F133" s="58" t="s">
        <v>1867</v>
      </c>
      <c r="G133" s="8"/>
      <c r="H133" s="8"/>
      <c r="I133" s="88">
        <v>12990.0</v>
      </c>
      <c r="J133" s="88" t="s">
        <v>1868</v>
      </c>
      <c r="K133" s="8" t="s">
        <v>78</v>
      </c>
      <c r="L133" s="89" t="s">
        <v>49</v>
      </c>
      <c r="M133" s="8" t="s">
        <v>71</v>
      </c>
      <c r="N133" s="8" t="s">
        <v>28</v>
      </c>
      <c r="O133" s="90">
        <v>37352.43</v>
      </c>
      <c r="P133" s="90">
        <v>41957.0</v>
      </c>
      <c r="Q133" s="6">
        <v>26.0</v>
      </c>
      <c r="R133" s="12">
        <f t="shared" si="3"/>
        <v>9711.6318</v>
      </c>
    </row>
    <row r="134">
      <c r="A134" s="100" t="s">
        <v>1859</v>
      </c>
      <c r="B134" s="58" t="s">
        <v>1869</v>
      </c>
      <c r="C134" s="58" t="s">
        <v>1870</v>
      </c>
      <c r="D134" s="8" t="s">
        <v>21</v>
      </c>
      <c r="E134" s="58" t="s">
        <v>1871</v>
      </c>
      <c r="F134" s="58" t="s">
        <v>1872</v>
      </c>
      <c r="G134" s="7" t="s">
        <v>1873</v>
      </c>
      <c r="H134" s="8"/>
      <c r="I134" s="88">
        <v>28000.0</v>
      </c>
      <c r="J134" s="21" t="s">
        <v>491</v>
      </c>
      <c r="K134" s="8" t="s">
        <v>677</v>
      </c>
      <c r="L134" s="89" t="s">
        <v>49</v>
      </c>
      <c r="M134" s="8" t="s">
        <v>27</v>
      </c>
      <c r="N134" s="8" t="s">
        <v>28</v>
      </c>
      <c r="O134" s="88">
        <v>46455.46</v>
      </c>
      <c r="P134" s="88">
        <v>52180.44</v>
      </c>
      <c r="Q134" s="6">
        <v>22.0</v>
      </c>
      <c r="R134" s="12">
        <f t="shared" si="3"/>
        <v>10220.2012</v>
      </c>
    </row>
    <row r="135">
      <c r="A135" s="100" t="s">
        <v>1859</v>
      </c>
      <c r="B135" s="58" t="s">
        <v>643</v>
      </c>
      <c r="C135" s="58" t="s">
        <v>1874</v>
      </c>
      <c r="D135" s="8" t="s">
        <v>21</v>
      </c>
      <c r="E135" s="58" t="s">
        <v>1875</v>
      </c>
      <c r="F135" s="58" t="s">
        <v>1876</v>
      </c>
      <c r="G135" s="8"/>
      <c r="H135" s="8"/>
      <c r="I135" s="88">
        <v>25000.0</v>
      </c>
      <c r="J135" s="21" t="s">
        <v>516</v>
      </c>
      <c r="K135" s="8" t="s">
        <v>70</v>
      </c>
      <c r="L135" s="89" t="s">
        <v>49</v>
      </c>
      <c r="M135" s="8" t="s">
        <v>71</v>
      </c>
      <c r="N135" s="8" t="s">
        <v>28</v>
      </c>
      <c r="O135" s="90">
        <v>46447.0</v>
      </c>
      <c r="P135" s="90">
        <v>52170.0</v>
      </c>
      <c r="Q135" s="6">
        <v>22.0</v>
      </c>
      <c r="R135" s="12">
        <f t="shared" si="3"/>
        <v>10218.34</v>
      </c>
    </row>
    <row r="136">
      <c r="A136" s="100" t="s">
        <v>1859</v>
      </c>
      <c r="B136" s="58" t="s">
        <v>1877</v>
      </c>
      <c r="C136" s="58" t="s">
        <v>1878</v>
      </c>
      <c r="D136" s="8" t="s">
        <v>21</v>
      </c>
      <c r="E136" s="58" t="s">
        <v>1879</v>
      </c>
      <c r="F136" s="58" t="s">
        <v>1880</v>
      </c>
      <c r="G136" s="7" t="s">
        <v>1881</v>
      </c>
      <c r="H136" s="8"/>
      <c r="I136" s="88">
        <v>11950.0</v>
      </c>
      <c r="J136" s="88" t="s">
        <v>516</v>
      </c>
      <c r="K136" s="8" t="s">
        <v>353</v>
      </c>
      <c r="L136" s="138" t="s">
        <v>49</v>
      </c>
      <c r="M136" s="8" t="s">
        <v>1451</v>
      </c>
      <c r="N136" s="8" t="s">
        <v>28</v>
      </c>
      <c r="O136" s="90">
        <v>32499.0</v>
      </c>
      <c r="P136" s="90">
        <v>36718.0</v>
      </c>
      <c r="Q136" s="6">
        <v>26.0</v>
      </c>
      <c r="R136" s="12">
        <f t="shared" si="3"/>
        <v>8449.74</v>
      </c>
    </row>
    <row r="137">
      <c r="A137" s="100" t="s">
        <v>1859</v>
      </c>
      <c r="B137" s="58" t="s">
        <v>647</v>
      </c>
      <c r="C137" s="58" t="s">
        <v>1882</v>
      </c>
      <c r="D137" s="8" t="s">
        <v>21</v>
      </c>
      <c r="E137" s="58" t="s">
        <v>1883</v>
      </c>
      <c r="F137" s="58" t="s">
        <v>1884</v>
      </c>
      <c r="G137" s="8"/>
      <c r="H137" s="8"/>
      <c r="I137" s="88">
        <v>35000.0</v>
      </c>
      <c r="J137" s="21" t="s">
        <v>521</v>
      </c>
      <c r="K137" s="8" t="s">
        <v>70</v>
      </c>
      <c r="L137" s="89" t="s">
        <v>49</v>
      </c>
      <c r="M137" s="8" t="s">
        <v>27</v>
      </c>
      <c r="N137" s="8" t="s">
        <v>28</v>
      </c>
      <c r="O137" s="90">
        <v>46449.0</v>
      </c>
      <c r="P137" s="90">
        <v>52173.0</v>
      </c>
      <c r="Q137" s="6">
        <v>22.0</v>
      </c>
      <c r="R137" s="12">
        <f t="shared" si="3"/>
        <v>10218.78</v>
      </c>
    </row>
    <row r="138">
      <c r="A138" s="100" t="s">
        <v>1859</v>
      </c>
      <c r="B138" s="58" t="s">
        <v>1885</v>
      </c>
      <c r="C138" s="58" t="s">
        <v>1886</v>
      </c>
      <c r="D138" s="8" t="s">
        <v>1432</v>
      </c>
      <c r="E138" s="58" t="s">
        <v>1887</v>
      </c>
      <c r="F138" s="58" t="s">
        <v>1888</v>
      </c>
      <c r="G138" s="7" t="s">
        <v>1889</v>
      </c>
      <c r="H138" s="8"/>
      <c r="I138" s="88">
        <v>236.0</v>
      </c>
      <c r="J138" s="58" t="s">
        <v>521</v>
      </c>
      <c r="K138" s="8" t="s">
        <v>1419</v>
      </c>
      <c r="L138" s="89" t="s">
        <v>49</v>
      </c>
      <c r="M138" s="8" t="s">
        <v>1697</v>
      </c>
      <c r="N138" s="8" t="s">
        <v>28</v>
      </c>
      <c r="O138" s="88">
        <v>6536.0</v>
      </c>
      <c r="P138" s="88">
        <v>7712.0</v>
      </c>
      <c r="Q138" s="6">
        <v>53.0</v>
      </c>
      <c r="R138" s="12">
        <f t="shared" si="3"/>
        <v>3464.08</v>
      </c>
    </row>
    <row r="139">
      <c r="A139" s="93" t="s">
        <v>1859</v>
      </c>
      <c r="B139" s="58" t="s">
        <v>1890</v>
      </c>
      <c r="C139" s="58" t="s">
        <v>1891</v>
      </c>
      <c r="D139" s="8" t="s">
        <v>21</v>
      </c>
      <c r="E139" s="58" t="s">
        <v>1892</v>
      </c>
      <c r="F139" s="58" t="s">
        <v>1893</v>
      </c>
      <c r="G139" s="8"/>
      <c r="H139" s="8"/>
      <c r="I139" s="88">
        <v>11990.0</v>
      </c>
      <c r="J139" s="58" t="s">
        <v>521</v>
      </c>
      <c r="K139" s="8" t="s">
        <v>353</v>
      </c>
      <c r="L139" s="89" t="s">
        <v>49</v>
      </c>
      <c r="M139" s="8" t="s">
        <v>71</v>
      </c>
      <c r="N139" s="8" t="s">
        <v>28</v>
      </c>
      <c r="O139" s="90">
        <v>41471.0</v>
      </c>
      <c r="P139" s="90">
        <v>47305.0</v>
      </c>
      <c r="Q139" s="6">
        <v>26.0</v>
      </c>
      <c r="R139" s="12">
        <f t="shared" si="3"/>
        <v>10782.46</v>
      </c>
    </row>
    <row r="140">
      <c r="A140" s="100" t="s">
        <v>1894</v>
      </c>
      <c r="B140" s="58" t="s">
        <v>522</v>
      </c>
      <c r="C140" s="58" t="s">
        <v>1895</v>
      </c>
      <c r="D140" s="8" t="s">
        <v>1395</v>
      </c>
      <c r="E140" s="58" t="s">
        <v>524</v>
      </c>
      <c r="F140" s="58" t="s">
        <v>525</v>
      </c>
      <c r="G140" s="8"/>
      <c r="H140" s="8"/>
      <c r="I140" s="88">
        <v>3490.0</v>
      </c>
      <c r="J140" s="58" t="s">
        <v>491</v>
      </c>
      <c r="K140" s="8" t="s">
        <v>116</v>
      </c>
      <c r="L140" s="89" t="s">
        <v>49</v>
      </c>
      <c r="M140" s="8" t="s">
        <v>71</v>
      </c>
      <c r="N140" s="8" t="s">
        <v>28</v>
      </c>
      <c r="O140" s="90">
        <v>18526.0</v>
      </c>
      <c r="P140" s="90">
        <v>20892.0</v>
      </c>
      <c r="Q140" s="6">
        <v>48.0</v>
      </c>
      <c r="R140" s="12">
        <f t="shared" si="3"/>
        <v>8892.48</v>
      </c>
    </row>
    <row r="141">
      <c r="A141" s="100" t="s">
        <v>1894</v>
      </c>
      <c r="B141" s="58" t="s">
        <v>1896</v>
      </c>
      <c r="C141" s="58" t="s">
        <v>1897</v>
      </c>
      <c r="D141" s="8" t="s">
        <v>1395</v>
      </c>
      <c r="E141" s="58" t="s">
        <v>1898</v>
      </c>
      <c r="F141" s="58" t="s">
        <v>1899</v>
      </c>
      <c r="G141" s="7" t="s">
        <v>1900</v>
      </c>
      <c r="H141" s="8"/>
      <c r="I141" s="88">
        <v>3490.0</v>
      </c>
      <c r="J141" s="58" t="s">
        <v>521</v>
      </c>
      <c r="K141" s="8" t="s">
        <v>1419</v>
      </c>
      <c r="L141" s="89" t="s">
        <v>49</v>
      </c>
      <c r="M141" s="8" t="s">
        <v>1616</v>
      </c>
      <c r="N141" s="8" t="s">
        <v>28</v>
      </c>
      <c r="O141" s="88">
        <v>19966.0</v>
      </c>
      <c r="P141" s="88">
        <v>22596.0</v>
      </c>
      <c r="Q141" s="6">
        <v>52.0</v>
      </c>
      <c r="R141" s="12">
        <f t="shared" si="3"/>
        <v>10382.32</v>
      </c>
    </row>
    <row r="142">
      <c r="A142" s="100" t="s">
        <v>1894</v>
      </c>
      <c r="B142" s="140" t="s">
        <v>1901</v>
      </c>
      <c r="C142" s="58"/>
      <c r="D142" s="86" t="s">
        <v>1395</v>
      </c>
      <c r="E142" s="140" t="s">
        <v>524</v>
      </c>
      <c r="F142" s="140" t="s">
        <v>1902</v>
      </c>
      <c r="G142" s="7"/>
      <c r="H142" s="8"/>
      <c r="I142" s="101">
        <v>3425.0</v>
      </c>
      <c r="J142" s="140" t="s">
        <v>1795</v>
      </c>
      <c r="K142" s="86" t="s">
        <v>1419</v>
      </c>
      <c r="L142" s="141" t="s">
        <v>49</v>
      </c>
      <c r="M142" s="86" t="s">
        <v>71</v>
      </c>
      <c r="N142" s="86" t="s">
        <v>28</v>
      </c>
      <c r="O142" s="101">
        <v>17566.0</v>
      </c>
      <c r="P142" s="101">
        <v>19766.0</v>
      </c>
      <c r="Q142" s="6">
        <v>53.0</v>
      </c>
      <c r="R142" s="12">
        <f t="shared" si="3"/>
        <v>9309.98</v>
      </c>
    </row>
    <row r="143">
      <c r="A143" s="107" t="s">
        <v>1894</v>
      </c>
      <c r="B143" s="142" t="s">
        <v>1903</v>
      </c>
      <c r="C143" s="120"/>
      <c r="D143" s="143" t="s">
        <v>1395</v>
      </c>
      <c r="E143" s="142" t="s">
        <v>262</v>
      </c>
      <c r="F143" s="142" t="s">
        <v>1904</v>
      </c>
      <c r="G143" s="28"/>
      <c r="H143" s="28"/>
      <c r="I143" s="144">
        <v>1600.0</v>
      </c>
      <c r="J143" s="145">
        <v>46024.0</v>
      </c>
      <c r="K143" s="143" t="s">
        <v>1424</v>
      </c>
      <c r="L143" s="146" t="s">
        <v>49</v>
      </c>
      <c r="M143" s="143" t="s">
        <v>71</v>
      </c>
      <c r="N143" s="143" t="s">
        <v>28</v>
      </c>
      <c r="O143" s="147">
        <v>19087.0</v>
      </c>
      <c r="P143" s="147">
        <v>21559.0</v>
      </c>
      <c r="Q143" s="148">
        <v>53.0</v>
      </c>
      <c r="R143" s="30">
        <f t="shared" si="3"/>
        <v>10116.11</v>
      </c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  <c r="AE143" s="149"/>
      <c r="AF143" s="149"/>
      <c r="AG143" s="149"/>
      <c r="AH143" s="149"/>
      <c r="AI143" s="149"/>
    </row>
    <row r="144">
      <c r="A144" s="150">
        <v>45870.0</v>
      </c>
      <c r="B144" s="24" t="s">
        <v>1905</v>
      </c>
      <c r="C144" s="24" t="s">
        <v>1906</v>
      </c>
      <c r="D144" s="24" t="s">
        <v>21</v>
      </c>
      <c r="E144" s="24" t="s">
        <v>1907</v>
      </c>
      <c r="F144" s="24" t="s">
        <v>1908</v>
      </c>
      <c r="G144" s="28"/>
      <c r="H144" s="28"/>
      <c r="I144" s="30">
        <v>12990.0</v>
      </c>
      <c r="J144" s="151">
        <v>46204.0</v>
      </c>
      <c r="K144" s="24" t="s">
        <v>70</v>
      </c>
      <c r="L144" s="89" t="s">
        <v>49</v>
      </c>
      <c r="M144" s="24" t="s">
        <v>1477</v>
      </c>
      <c r="N144" s="24" t="s">
        <v>28</v>
      </c>
      <c r="O144" s="152">
        <v>38058.0</v>
      </c>
      <c r="P144" s="152">
        <v>42790.0</v>
      </c>
      <c r="Q144" s="153">
        <v>26.0</v>
      </c>
      <c r="R144" s="12">
        <f t="shared" si="3"/>
        <v>9895.08</v>
      </c>
    </row>
    <row r="145">
      <c r="A145" s="154" t="s">
        <v>1909</v>
      </c>
      <c r="B145" s="24" t="s">
        <v>156</v>
      </c>
      <c r="C145" s="28"/>
      <c r="D145" s="24" t="s">
        <v>21</v>
      </c>
      <c r="E145" s="24" t="s">
        <v>1910</v>
      </c>
      <c r="F145" s="24" t="s">
        <v>1911</v>
      </c>
      <c r="G145" s="30">
        <v>9.879412378E9</v>
      </c>
      <c r="H145" s="28"/>
      <c r="I145" s="30">
        <v>35000.0</v>
      </c>
      <c r="J145" s="151">
        <v>46023.0</v>
      </c>
      <c r="K145" s="24" t="s">
        <v>70</v>
      </c>
      <c r="L145" s="119" t="s">
        <v>49</v>
      </c>
      <c r="M145" s="24" t="s">
        <v>71</v>
      </c>
      <c r="N145" s="24" t="s">
        <v>28</v>
      </c>
      <c r="O145" s="155">
        <v>46222.0</v>
      </c>
      <c r="P145" s="155">
        <v>51905.0</v>
      </c>
      <c r="Q145" s="153">
        <v>24.0</v>
      </c>
      <c r="R145" s="12">
        <f t="shared" si="3"/>
        <v>11093.28</v>
      </c>
    </row>
    <row r="146">
      <c r="A146" s="107" t="s">
        <v>1912</v>
      </c>
      <c r="B146" s="108" t="s">
        <v>1913</v>
      </c>
      <c r="C146" s="108"/>
      <c r="D146" s="108" t="s">
        <v>21</v>
      </c>
      <c r="E146" s="108" t="s">
        <v>1883</v>
      </c>
      <c r="F146" s="108" t="s">
        <v>1914</v>
      </c>
      <c r="G146" s="108" t="s">
        <v>1915</v>
      </c>
      <c r="H146" s="108"/>
      <c r="I146" s="114">
        <v>35000.0</v>
      </c>
      <c r="J146" s="108" t="s">
        <v>1909</v>
      </c>
      <c r="K146" s="108" t="s">
        <v>70</v>
      </c>
      <c r="L146" s="107" t="s">
        <v>49</v>
      </c>
      <c r="M146" s="108" t="s">
        <v>71</v>
      </c>
      <c r="N146" s="108" t="s">
        <v>28</v>
      </c>
      <c r="O146" s="156">
        <v>46462.0</v>
      </c>
      <c r="P146" s="156">
        <v>52188.0</v>
      </c>
      <c r="Q146" s="86">
        <v>24.0</v>
      </c>
      <c r="R146" s="12">
        <f t="shared" si="3"/>
        <v>11150.88</v>
      </c>
    </row>
    <row r="147">
      <c r="A147" s="154" t="s">
        <v>1916</v>
      </c>
      <c r="B147" s="24" t="s">
        <v>1917</v>
      </c>
      <c r="C147" s="28"/>
      <c r="D147" s="24" t="s">
        <v>21</v>
      </c>
      <c r="E147" s="24" t="s">
        <v>1883</v>
      </c>
      <c r="F147" s="24" t="s">
        <v>1918</v>
      </c>
      <c r="G147" s="24" t="s">
        <v>1919</v>
      </c>
      <c r="H147" s="24" t="s">
        <v>1920</v>
      </c>
      <c r="I147" s="30">
        <v>35000.0</v>
      </c>
      <c r="J147" s="24" t="s">
        <v>1921</v>
      </c>
      <c r="K147" s="24" t="s">
        <v>70</v>
      </c>
      <c r="L147" s="119" t="s">
        <v>49</v>
      </c>
      <c r="M147" s="24" t="s">
        <v>27</v>
      </c>
      <c r="N147" s="24" t="s">
        <v>28</v>
      </c>
      <c r="O147" s="152">
        <v>48682.0</v>
      </c>
      <c r="P147" s="155">
        <v>54808.0</v>
      </c>
      <c r="Q147" s="153">
        <v>24.0</v>
      </c>
      <c r="R147" s="12">
        <f t="shared" si="3"/>
        <v>11683.68</v>
      </c>
    </row>
    <row r="148">
      <c r="A148" s="105">
        <v>45931.0</v>
      </c>
      <c r="B148" s="108" t="s">
        <v>1922</v>
      </c>
      <c r="C148" s="108" t="s">
        <v>1923</v>
      </c>
      <c r="D148" s="108" t="s">
        <v>21</v>
      </c>
      <c r="E148" s="108" t="s">
        <v>1724</v>
      </c>
      <c r="F148" s="108" t="s">
        <v>1924</v>
      </c>
      <c r="G148" s="108"/>
      <c r="H148" s="108"/>
      <c r="I148" s="114">
        <v>12990.0</v>
      </c>
      <c r="J148" s="110">
        <v>46266.0</v>
      </c>
      <c r="K148" s="108" t="s">
        <v>78</v>
      </c>
      <c r="L148" s="111" t="s">
        <v>49</v>
      </c>
      <c r="M148" s="108" t="s">
        <v>1477</v>
      </c>
      <c r="N148" s="108" t="s">
        <v>28</v>
      </c>
      <c r="O148" s="116">
        <v>37679.69</v>
      </c>
      <c r="P148" s="116">
        <v>42343.0</v>
      </c>
      <c r="Q148" s="6">
        <v>26.0</v>
      </c>
      <c r="R148" s="12">
        <f t="shared" si="3"/>
        <v>9796.7194</v>
      </c>
    </row>
    <row r="149">
      <c r="A149" s="107" t="s">
        <v>1925</v>
      </c>
      <c r="B149" s="108" t="s">
        <v>1926</v>
      </c>
      <c r="C149" s="108" t="s">
        <v>1927</v>
      </c>
      <c r="D149" s="108" t="s">
        <v>21</v>
      </c>
      <c r="E149" s="108" t="s">
        <v>1928</v>
      </c>
      <c r="F149" s="108" t="s">
        <v>1929</v>
      </c>
      <c r="G149" s="108"/>
      <c r="H149" s="108"/>
      <c r="I149" s="114">
        <v>35000.0</v>
      </c>
      <c r="J149" s="114" t="s">
        <v>1673</v>
      </c>
      <c r="K149" s="108" t="s">
        <v>70</v>
      </c>
      <c r="L149" s="111" t="s">
        <v>49</v>
      </c>
      <c r="M149" s="108" t="s">
        <v>27</v>
      </c>
      <c r="N149" s="108" t="s">
        <v>28</v>
      </c>
      <c r="O149" s="116">
        <v>46377.0</v>
      </c>
      <c r="P149" s="156">
        <v>52088.0</v>
      </c>
      <c r="Q149" s="6">
        <v>22.0</v>
      </c>
      <c r="R149" s="12">
        <f t="shared" si="3"/>
        <v>10202.94</v>
      </c>
    </row>
    <row r="150">
      <c r="A150" s="126"/>
      <c r="E150" s="126"/>
      <c r="L150" s="126"/>
    </row>
    <row r="151">
      <c r="A151" s="126"/>
      <c r="E151" s="126"/>
      <c r="L151" s="126"/>
    </row>
    <row r="152">
      <c r="A152" s="107" t="s">
        <v>1912</v>
      </c>
      <c r="B152" s="108" t="s">
        <v>1913</v>
      </c>
      <c r="C152" s="108"/>
      <c r="D152" s="108" t="s">
        <v>21</v>
      </c>
      <c r="E152" s="108" t="s">
        <v>1883</v>
      </c>
      <c r="F152" s="108" t="s">
        <v>1914</v>
      </c>
      <c r="G152" s="108" t="s">
        <v>1915</v>
      </c>
      <c r="H152" s="108"/>
      <c r="I152" s="114">
        <v>35000.0</v>
      </c>
      <c r="J152" s="108" t="s">
        <v>1909</v>
      </c>
      <c r="K152" s="108" t="s">
        <v>70</v>
      </c>
      <c r="L152" s="107" t="s">
        <v>49</v>
      </c>
      <c r="M152" s="108" t="s">
        <v>71</v>
      </c>
      <c r="N152" s="108" t="s">
        <v>28</v>
      </c>
      <c r="O152" s="156">
        <v>46462.0</v>
      </c>
      <c r="P152" s="156">
        <v>52188.0</v>
      </c>
      <c r="Q152" s="86">
        <v>26.0</v>
      </c>
      <c r="R152" s="12">
        <f t="shared" ref="R152:R161" si="4">O152*Q152%</f>
        <v>12080.12</v>
      </c>
    </row>
    <row r="153">
      <c r="A153" s="107" t="s">
        <v>1930</v>
      </c>
      <c r="B153" s="108" t="s">
        <v>1931</v>
      </c>
      <c r="C153" s="108"/>
      <c r="D153" s="108" t="s">
        <v>21</v>
      </c>
      <c r="E153" s="108" t="s">
        <v>1883</v>
      </c>
      <c r="F153" s="108" t="s">
        <v>1932</v>
      </c>
      <c r="G153" s="108" t="s">
        <v>1933</v>
      </c>
      <c r="H153" s="108"/>
      <c r="I153" s="114">
        <v>35000.0</v>
      </c>
      <c r="J153" s="108" t="s">
        <v>1934</v>
      </c>
      <c r="K153" s="108" t="s">
        <v>70</v>
      </c>
      <c r="L153" s="107" t="s">
        <v>49</v>
      </c>
      <c r="M153" s="108" t="s">
        <v>27</v>
      </c>
      <c r="N153" s="108" t="s">
        <v>28</v>
      </c>
      <c r="O153" s="116">
        <v>48529.0</v>
      </c>
      <c r="P153" s="116">
        <v>54627.0</v>
      </c>
      <c r="Q153" s="86">
        <v>26.0</v>
      </c>
      <c r="R153" s="12">
        <f t="shared" si="4"/>
        <v>12617.54</v>
      </c>
    </row>
    <row r="154">
      <c r="A154" s="107" t="s">
        <v>1930</v>
      </c>
      <c r="B154" s="108" t="s">
        <v>1935</v>
      </c>
      <c r="C154" s="108"/>
      <c r="D154" s="108" t="s">
        <v>21</v>
      </c>
      <c r="E154" s="108" t="s">
        <v>1936</v>
      </c>
      <c r="F154" s="108" t="s">
        <v>1937</v>
      </c>
      <c r="G154" s="108" t="s">
        <v>1933</v>
      </c>
      <c r="H154" s="108"/>
      <c r="I154" s="114">
        <v>35000.0</v>
      </c>
      <c r="J154" s="108" t="s">
        <v>1934</v>
      </c>
      <c r="K154" s="108" t="s">
        <v>70</v>
      </c>
      <c r="L154" s="107" t="s">
        <v>49</v>
      </c>
      <c r="M154" s="108" t="s">
        <v>27</v>
      </c>
      <c r="N154" s="108" t="s">
        <v>28</v>
      </c>
      <c r="O154" s="116">
        <v>47372.0</v>
      </c>
      <c r="P154" s="116">
        <v>53262.0</v>
      </c>
      <c r="Q154" s="86">
        <v>26.0</v>
      </c>
      <c r="R154" s="12">
        <f t="shared" si="4"/>
        <v>12316.72</v>
      </c>
    </row>
    <row r="155">
      <c r="A155" s="107" t="s">
        <v>1938</v>
      </c>
      <c r="B155" s="108" t="s">
        <v>1939</v>
      </c>
      <c r="C155" s="108"/>
      <c r="D155" s="108" t="s">
        <v>21</v>
      </c>
      <c r="E155" s="108" t="s">
        <v>1940</v>
      </c>
      <c r="F155" s="108" t="s">
        <v>1941</v>
      </c>
      <c r="G155" s="108" t="s">
        <v>1942</v>
      </c>
      <c r="H155" s="108"/>
      <c r="I155" s="114">
        <v>31000.0</v>
      </c>
      <c r="J155" s="108" t="s">
        <v>1943</v>
      </c>
      <c r="K155" s="108" t="s">
        <v>70</v>
      </c>
      <c r="L155" s="107" t="s">
        <v>49</v>
      </c>
      <c r="M155" s="108" t="s">
        <v>27</v>
      </c>
      <c r="N155" s="108" t="s">
        <v>28</v>
      </c>
      <c r="O155" s="116">
        <v>49525.0</v>
      </c>
      <c r="P155" s="116">
        <v>55803.0</v>
      </c>
      <c r="Q155" s="86">
        <v>26.0</v>
      </c>
      <c r="R155" s="12">
        <f t="shared" si="4"/>
        <v>12876.5</v>
      </c>
    </row>
    <row r="156">
      <c r="A156" s="107" t="s">
        <v>1944</v>
      </c>
      <c r="B156" s="108" t="s">
        <v>1945</v>
      </c>
      <c r="C156" s="108"/>
      <c r="D156" s="108" t="s">
        <v>21</v>
      </c>
      <c r="E156" s="108" t="s">
        <v>104</v>
      </c>
      <c r="F156" s="108" t="s">
        <v>105</v>
      </c>
      <c r="G156" s="108" t="s">
        <v>1946</v>
      </c>
      <c r="H156" s="108"/>
      <c r="I156" s="114">
        <v>47500.0</v>
      </c>
      <c r="J156" s="108" t="s">
        <v>1947</v>
      </c>
      <c r="K156" s="108" t="s">
        <v>70</v>
      </c>
      <c r="L156" s="107" t="s">
        <v>49</v>
      </c>
      <c r="M156" s="108" t="s">
        <v>27</v>
      </c>
      <c r="N156" s="108" t="s">
        <v>28</v>
      </c>
      <c r="O156" s="116">
        <v>58351.0</v>
      </c>
      <c r="P156" s="116">
        <v>66200.0</v>
      </c>
      <c r="Q156" s="86">
        <v>26.0</v>
      </c>
      <c r="R156" s="12">
        <f t="shared" si="4"/>
        <v>15171.26</v>
      </c>
    </row>
    <row r="157">
      <c r="A157" s="107" t="s">
        <v>1916</v>
      </c>
      <c r="B157" s="108" t="s">
        <v>1948</v>
      </c>
      <c r="C157" s="108"/>
      <c r="D157" s="108" t="s">
        <v>21</v>
      </c>
      <c r="E157" s="108" t="s">
        <v>1949</v>
      </c>
      <c r="F157" s="108" t="s">
        <v>1950</v>
      </c>
      <c r="G157" s="108" t="s">
        <v>1951</v>
      </c>
      <c r="H157" s="108"/>
      <c r="I157" s="114">
        <v>28000.0</v>
      </c>
      <c r="J157" s="108" t="s">
        <v>1952</v>
      </c>
      <c r="K157" s="108" t="s">
        <v>70</v>
      </c>
      <c r="L157" s="107" t="s">
        <v>49</v>
      </c>
      <c r="M157" s="108" t="s">
        <v>71</v>
      </c>
      <c r="N157" s="108" t="s">
        <v>28</v>
      </c>
      <c r="O157" s="116">
        <v>46615.0</v>
      </c>
      <c r="P157" s="116">
        <v>52369.0</v>
      </c>
      <c r="Q157" s="86">
        <v>26.0</v>
      </c>
      <c r="R157" s="12">
        <f t="shared" si="4"/>
        <v>12119.9</v>
      </c>
    </row>
    <row r="158">
      <c r="A158" s="107" t="s">
        <v>1916</v>
      </c>
      <c r="B158" s="108" t="s">
        <v>1953</v>
      </c>
      <c r="C158" s="108"/>
      <c r="D158" s="108" t="s">
        <v>21</v>
      </c>
      <c r="E158" s="108" t="s">
        <v>1883</v>
      </c>
      <c r="F158" s="108" t="s">
        <v>1954</v>
      </c>
      <c r="G158" s="108" t="s">
        <v>1955</v>
      </c>
      <c r="H158" s="108"/>
      <c r="I158" s="114">
        <v>35000.0</v>
      </c>
      <c r="J158" s="108" t="s">
        <v>1921</v>
      </c>
      <c r="K158" s="108" t="s">
        <v>70</v>
      </c>
      <c r="L158" s="107" t="s">
        <v>49</v>
      </c>
      <c r="M158" s="108" t="s">
        <v>71</v>
      </c>
      <c r="N158" s="108" t="s">
        <v>28</v>
      </c>
      <c r="O158" s="116">
        <v>48633.0</v>
      </c>
      <c r="P158" s="116">
        <v>54750.0</v>
      </c>
      <c r="Q158" s="86">
        <v>26.0</v>
      </c>
      <c r="R158" s="12">
        <f t="shared" si="4"/>
        <v>12644.58</v>
      </c>
    </row>
    <row r="159">
      <c r="A159" s="107" t="s">
        <v>1916</v>
      </c>
      <c r="B159" s="108" t="s">
        <v>1956</v>
      </c>
      <c r="C159" s="108"/>
      <c r="D159" s="108" t="s">
        <v>21</v>
      </c>
      <c r="E159" s="108" t="s">
        <v>1957</v>
      </c>
      <c r="F159" s="108" t="s">
        <v>1958</v>
      </c>
      <c r="G159" s="108" t="s">
        <v>1933</v>
      </c>
      <c r="H159" s="108"/>
      <c r="I159" s="114">
        <v>35000.0</v>
      </c>
      <c r="J159" s="108" t="s">
        <v>18</v>
      </c>
      <c r="K159" s="108" t="s">
        <v>70</v>
      </c>
      <c r="L159" s="107" t="s">
        <v>49</v>
      </c>
      <c r="M159" s="108" t="s">
        <v>27</v>
      </c>
      <c r="N159" s="108" t="s">
        <v>28</v>
      </c>
      <c r="O159" s="116">
        <v>48611.0</v>
      </c>
      <c r="P159" s="116">
        <v>54724.0</v>
      </c>
      <c r="Q159" s="86">
        <v>26.0</v>
      </c>
      <c r="R159" s="12">
        <f t="shared" si="4"/>
        <v>12638.86</v>
      </c>
    </row>
    <row r="160">
      <c r="A160" s="107" t="s">
        <v>1916</v>
      </c>
      <c r="B160" s="108" t="s">
        <v>1959</v>
      </c>
      <c r="C160" s="108"/>
      <c r="D160" s="108" t="s">
        <v>21</v>
      </c>
      <c r="E160" s="108" t="s">
        <v>1960</v>
      </c>
      <c r="F160" s="108" t="s">
        <v>1961</v>
      </c>
      <c r="G160" s="108" t="s">
        <v>1962</v>
      </c>
      <c r="H160" s="108"/>
      <c r="I160" s="114">
        <v>28000.0</v>
      </c>
      <c r="J160" s="108" t="s">
        <v>18</v>
      </c>
      <c r="K160" s="108" t="s">
        <v>70</v>
      </c>
      <c r="L160" s="107" t="s">
        <v>49</v>
      </c>
      <c r="M160" s="108" t="s">
        <v>27</v>
      </c>
      <c r="N160" s="108" t="s">
        <v>28</v>
      </c>
      <c r="O160" s="116">
        <v>45288.0</v>
      </c>
      <c r="P160" s="116">
        <v>50803.0</v>
      </c>
      <c r="Q160" s="86">
        <v>26.0</v>
      </c>
      <c r="R160" s="12">
        <f t="shared" si="4"/>
        <v>11774.88</v>
      </c>
    </row>
    <row r="161">
      <c r="A161" s="107" t="s">
        <v>1590</v>
      </c>
      <c r="B161" s="108" t="s">
        <v>1963</v>
      </c>
      <c r="C161" s="108"/>
      <c r="D161" s="108" t="s">
        <v>21</v>
      </c>
      <c r="E161" s="108" t="s">
        <v>1964</v>
      </c>
      <c r="F161" s="108" t="s">
        <v>1965</v>
      </c>
      <c r="G161" s="108" t="s">
        <v>1966</v>
      </c>
      <c r="H161" s="108"/>
      <c r="I161" s="114">
        <v>28000.0</v>
      </c>
      <c r="J161" s="108" t="s">
        <v>51</v>
      </c>
      <c r="K161" s="108" t="s">
        <v>70</v>
      </c>
      <c r="L161" s="107" t="s">
        <v>49</v>
      </c>
      <c r="M161" s="108" t="s">
        <v>71</v>
      </c>
      <c r="N161" s="108" t="s">
        <v>28</v>
      </c>
      <c r="O161" s="116">
        <v>45673.0</v>
      </c>
      <c r="P161" s="156">
        <v>51257.0</v>
      </c>
      <c r="Q161" s="86">
        <v>26.0</v>
      </c>
      <c r="R161" s="12">
        <f t="shared" si="4"/>
        <v>11874.98</v>
      </c>
    </row>
    <row r="162">
      <c r="A162" s="126"/>
      <c r="E162" s="126"/>
      <c r="L162" s="126"/>
    </row>
    <row r="163">
      <c r="A163" s="126"/>
      <c r="L163" s="126"/>
    </row>
    <row r="164">
      <c r="A164" s="126"/>
      <c r="E164" s="126"/>
      <c r="L164" s="126"/>
    </row>
    <row r="165">
      <c r="A165" s="87">
        <v>45839.0</v>
      </c>
      <c r="B165" s="8" t="s">
        <v>1967</v>
      </c>
      <c r="C165" s="8" t="s">
        <v>1968</v>
      </c>
      <c r="D165" s="8" t="s">
        <v>1395</v>
      </c>
      <c r="E165" s="8" t="s">
        <v>1969</v>
      </c>
      <c r="F165" s="8" t="s">
        <v>1970</v>
      </c>
      <c r="G165" s="8"/>
      <c r="H165" s="8"/>
      <c r="I165" s="21">
        <v>2880.0</v>
      </c>
      <c r="J165" s="22">
        <v>46235.0</v>
      </c>
      <c r="K165" s="8" t="s">
        <v>1419</v>
      </c>
      <c r="L165" s="138" t="s">
        <v>49</v>
      </c>
      <c r="M165" s="8" t="s">
        <v>1456</v>
      </c>
      <c r="N165" s="8" t="s">
        <v>28</v>
      </c>
      <c r="O165" s="8">
        <v>17636.0</v>
      </c>
      <c r="P165" s="8">
        <v>19848.0</v>
      </c>
      <c r="Q165" s="6">
        <v>52.0</v>
      </c>
      <c r="R165" s="12">
        <f t="shared" ref="R165:R211" si="5">O165*Q165%</f>
        <v>9170.72</v>
      </c>
    </row>
    <row r="166">
      <c r="A166" s="100" t="s">
        <v>1971</v>
      </c>
      <c r="B166" s="8" t="s">
        <v>1972</v>
      </c>
      <c r="C166" s="8" t="s">
        <v>1973</v>
      </c>
      <c r="D166" s="8" t="s">
        <v>1395</v>
      </c>
      <c r="E166" s="8" t="s">
        <v>1974</v>
      </c>
      <c r="F166" s="8" t="s">
        <v>1975</v>
      </c>
      <c r="G166" s="7">
        <v>9.998706993E9</v>
      </c>
      <c r="H166" s="8"/>
      <c r="I166" s="21">
        <v>3425.0</v>
      </c>
      <c r="J166" s="8" t="s">
        <v>1795</v>
      </c>
      <c r="K166" s="8" t="s">
        <v>1419</v>
      </c>
      <c r="L166" s="89" t="s">
        <v>49</v>
      </c>
      <c r="M166" s="8" t="s">
        <v>71</v>
      </c>
      <c r="N166" s="8" t="s">
        <v>28</v>
      </c>
      <c r="O166" s="8">
        <v>17866.0</v>
      </c>
      <c r="P166" s="8">
        <v>20120.0</v>
      </c>
      <c r="Q166" s="6">
        <v>52.0</v>
      </c>
      <c r="R166" s="12">
        <f t="shared" si="5"/>
        <v>9290.32</v>
      </c>
    </row>
    <row r="167">
      <c r="A167" s="100" t="s">
        <v>1976</v>
      </c>
      <c r="B167" s="8" t="s">
        <v>554</v>
      </c>
      <c r="C167" s="8" t="s">
        <v>1977</v>
      </c>
      <c r="D167" s="8" t="s">
        <v>1395</v>
      </c>
      <c r="E167" s="8" t="s">
        <v>1978</v>
      </c>
      <c r="F167" s="8" t="s">
        <v>1979</v>
      </c>
      <c r="G167" s="7">
        <v>7.016277021E9</v>
      </c>
      <c r="H167" s="8"/>
      <c r="I167" s="21">
        <v>1600.0</v>
      </c>
      <c r="J167" s="21" t="s">
        <v>1795</v>
      </c>
      <c r="K167" s="8" t="s">
        <v>70</v>
      </c>
      <c r="L167" s="89" t="s">
        <v>49</v>
      </c>
      <c r="M167" s="8" t="s">
        <v>71</v>
      </c>
      <c r="N167" s="8" t="s">
        <v>28</v>
      </c>
      <c r="O167" s="157">
        <v>17572.0</v>
      </c>
      <c r="P167" s="157">
        <v>19772.0</v>
      </c>
      <c r="Q167" s="6">
        <v>58.0</v>
      </c>
      <c r="R167" s="12">
        <f t="shared" si="5"/>
        <v>10191.76</v>
      </c>
    </row>
    <row r="168">
      <c r="A168" s="100" t="s">
        <v>1980</v>
      </c>
      <c r="B168" s="8" t="s">
        <v>1981</v>
      </c>
      <c r="C168" s="8" t="s">
        <v>1982</v>
      </c>
      <c r="D168" s="8" t="s">
        <v>1432</v>
      </c>
      <c r="E168" s="8" t="s">
        <v>1887</v>
      </c>
      <c r="F168" s="8" t="s">
        <v>1983</v>
      </c>
      <c r="G168" s="7" t="s">
        <v>1984</v>
      </c>
      <c r="H168" s="8" t="s">
        <v>1985</v>
      </c>
      <c r="I168" s="21">
        <v>236.0</v>
      </c>
      <c r="J168" s="8" t="s">
        <v>548</v>
      </c>
      <c r="K168" s="8" t="s">
        <v>1419</v>
      </c>
      <c r="L168" s="89" t="s">
        <v>49</v>
      </c>
      <c r="M168" s="8" t="s">
        <v>340</v>
      </c>
      <c r="N168" s="8" t="s">
        <v>28</v>
      </c>
      <c r="O168" s="8">
        <v>6239.0</v>
      </c>
      <c r="P168" s="8">
        <v>7363.0</v>
      </c>
      <c r="Q168" s="6">
        <v>53.0</v>
      </c>
      <c r="R168" s="12">
        <f t="shared" si="5"/>
        <v>3306.67</v>
      </c>
    </row>
    <row r="169">
      <c r="A169" s="100" t="s">
        <v>1980</v>
      </c>
      <c r="B169" s="8" t="s">
        <v>1986</v>
      </c>
      <c r="C169" s="8" t="s">
        <v>1987</v>
      </c>
      <c r="D169" s="8" t="s">
        <v>1395</v>
      </c>
      <c r="E169" s="8" t="s">
        <v>1988</v>
      </c>
      <c r="F169" s="8" t="s">
        <v>1989</v>
      </c>
      <c r="G169" s="7">
        <v>9.898133876E9</v>
      </c>
      <c r="H169" s="8"/>
      <c r="I169" s="21">
        <v>2880.0</v>
      </c>
      <c r="J169" s="8" t="s">
        <v>548</v>
      </c>
      <c r="K169" s="8" t="s">
        <v>1419</v>
      </c>
      <c r="L169" s="89" t="s">
        <v>49</v>
      </c>
      <c r="M169" s="8" t="s">
        <v>71</v>
      </c>
      <c r="N169" s="8" t="s">
        <v>28</v>
      </c>
      <c r="O169" s="8">
        <v>16743.0</v>
      </c>
      <c r="P169" s="8">
        <v>18793.0</v>
      </c>
      <c r="Q169" s="6">
        <v>52.0</v>
      </c>
      <c r="R169" s="12">
        <f t="shared" si="5"/>
        <v>8706.36</v>
      </c>
    </row>
    <row r="170">
      <c r="A170" s="100" t="s">
        <v>1980</v>
      </c>
      <c r="B170" s="8" t="s">
        <v>1990</v>
      </c>
      <c r="C170" s="8" t="s">
        <v>1991</v>
      </c>
      <c r="D170" s="8" t="s">
        <v>1395</v>
      </c>
      <c r="E170" s="8" t="s">
        <v>1992</v>
      </c>
      <c r="F170" s="8" t="s">
        <v>1993</v>
      </c>
      <c r="G170" s="7" t="s">
        <v>1994</v>
      </c>
      <c r="H170" s="8"/>
      <c r="I170" s="21">
        <v>2750.0</v>
      </c>
      <c r="J170" s="8" t="s">
        <v>1995</v>
      </c>
      <c r="K170" s="8" t="s">
        <v>65</v>
      </c>
      <c r="L170" s="89" t="s">
        <v>26</v>
      </c>
      <c r="M170" s="8" t="s">
        <v>1616</v>
      </c>
      <c r="N170" s="8" t="s">
        <v>28</v>
      </c>
      <c r="O170" s="8">
        <v>16299.0</v>
      </c>
      <c r="P170" s="8">
        <v>18271.0</v>
      </c>
      <c r="Q170" s="6">
        <v>58.0</v>
      </c>
      <c r="R170" s="12">
        <f t="shared" si="5"/>
        <v>9453.42</v>
      </c>
    </row>
    <row r="171">
      <c r="A171" s="100" t="s">
        <v>1980</v>
      </c>
      <c r="B171" s="8" t="s">
        <v>660</v>
      </c>
      <c r="C171" s="8" t="s">
        <v>1996</v>
      </c>
      <c r="D171" s="8" t="s">
        <v>21</v>
      </c>
      <c r="E171" s="8" t="s">
        <v>1997</v>
      </c>
      <c r="F171" s="8" t="s">
        <v>1998</v>
      </c>
      <c r="G171" s="7">
        <v>9.428277711E9</v>
      </c>
      <c r="H171" s="8"/>
      <c r="I171" s="21">
        <v>28000.0</v>
      </c>
      <c r="J171" s="8" t="s">
        <v>1999</v>
      </c>
      <c r="K171" s="8" t="s">
        <v>65</v>
      </c>
      <c r="L171" s="89" t="s">
        <v>49</v>
      </c>
      <c r="M171" s="8" t="s">
        <v>71</v>
      </c>
      <c r="N171" s="8" t="s">
        <v>28</v>
      </c>
      <c r="O171" s="8">
        <v>44150.0</v>
      </c>
      <c r="P171" s="8">
        <v>49460.0</v>
      </c>
      <c r="Q171" s="6">
        <v>51.0</v>
      </c>
      <c r="R171" s="12">
        <f t="shared" si="5"/>
        <v>22516.5</v>
      </c>
    </row>
    <row r="172">
      <c r="A172" s="107" t="s">
        <v>1980</v>
      </c>
      <c r="B172" s="108" t="s">
        <v>2000</v>
      </c>
      <c r="C172" s="108" t="s">
        <v>2001</v>
      </c>
      <c r="D172" s="108" t="s">
        <v>21</v>
      </c>
      <c r="E172" s="108" t="s">
        <v>2002</v>
      </c>
      <c r="F172" s="108" t="s">
        <v>2003</v>
      </c>
      <c r="G172" s="108"/>
      <c r="H172" s="108"/>
      <c r="I172" s="114">
        <v>42000.0</v>
      </c>
      <c r="J172" s="114" t="s">
        <v>1795</v>
      </c>
      <c r="K172" s="108" t="s">
        <v>70</v>
      </c>
      <c r="L172" s="111" t="s">
        <v>49</v>
      </c>
      <c r="M172" s="108" t="s">
        <v>27</v>
      </c>
      <c r="N172" s="108" t="s">
        <v>28</v>
      </c>
      <c r="O172" s="116">
        <v>49024.0</v>
      </c>
      <c r="P172" s="116">
        <v>55194.0</v>
      </c>
      <c r="Q172" s="6">
        <v>25.0</v>
      </c>
      <c r="R172" s="12">
        <f t="shared" si="5"/>
        <v>12256</v>
      </c>
    </row>
    <row r="173">
      <c r="A173" s="100" t="s">
        <v>2004</v>
      </c>
      <c r="B173" s="8" t="s">
        <v>2005</v>
      </c>
      <c r="C173" s="8" t="s">
        <v>2006</v>
      </c>
      <c r="D173" s="8" t="s">
        <v>1395</v>
      </c>
      <c r="E173" s="8" t="s">
        <v>2007</v>
      </c>
      <c r="F173" s="8" t="s">
        <v>2008</v>
      </c>
      <c r="G173" s="7" t="s">
        <v>2009</v>
      </c>
      <c r="H173" s="8" t="s">
        <v>2010</v>
      </c>
      <c r="I173" s="21">
        <v>2960.0</v>
      </c>
      <c r="J173" s="8" t="s">
        <v>557</v>
      </c>
      <c r="K173" s="8" t="s">
        <v>1419</v>
      </c>
      <c r="L173" s="89" t="s">
        <v>49</v>
      </c>
      <c r="M173" s="8" t="s">
        <v>71</v>
      </c>
      <c r="N173" s="8" t="s">
        <v>28</v>
      </c>
      <c r="O173" s="21">
        <v>18047.0</v>
      </c>
      <c r="P173" s="21">
        <v>20333.0</v>
      </c>
      <c r="Q173" s="6">
        <v>52.0</v>
      </c>
      <c r="R173" s="12">
        <f t="shared" si="5"/>
        <v>9384.44</v>
      </c>
    </row>
    <row r="174">
      <c r="A174" s="100" t="s">
        <v>2004</v>
      </c>
      <c r="B174" s="8" t="s">
        <v>2011</v>
      </c>
      <c r="C174" s="8" t="s">
        <v>2012</v>
      </c>
      <c r="D174" s="8" t="s">
        <v>21</v>
      </c>
      <c r="E174" s="8" t="s">
        <v>2013</v>
      </c>
      <c r="F174" s="8" t="s">
        <v>2014</v>
      </c>
      <c r="G174" s="7" t="s">
        <v>2015</v>
      </c>
      <c r="H174" s="8"/>
      <c r="I174" s="21">
        <v>5700.0</v>
      </c>
      <c r="J174" s="21" t="s">
        <v>557</v>
      </c>
      <c r="K174" s="8" t="s">
        <v>25</v>
      </c>
      <c r="L174" s="158" t="s">
        <v>26</v>
      </c>
      <c r="M174" s="8" t="s">
        <v>185</v>
      </c>
      <c r="N174" s="8" t="s">
        <v>28</v>
      </c>
      <c r="O174" s="21">
        <v>16149.0</v>
      </c>
      <c r="P174" s="21">
        <v>18093.0</v>
      </c>
      <c r="Q174" s="6">
        <v>57.0</v>
      </c>
      <c r="R174" s="12">
        <f t="shared" si="5"/>
        <v>9204.93</v>
      </c>
    </row>
    <row r="175">
      <c r="A175" s="100" t="s">
        <v>2004</v>
      </c>
      <c r="B175" s="8" t="s">
        <v>2016</v>
      </c>
      <c r="C175" s="8" t="s">
        <v>2017</v>
      </c>
      <c r="D175" s="8" t="s">
        <v>1395</v>
      </c>
      <c r="E175" s="8" t="s">
        <v>524</v>
      </c>
      <c r="F175" s="8" t="s">
        <v>2018</v>
      </c>
      <c r="G175" s="7">
        <v>7.046000051E9</v>
      </c>
      <c r="H175" s="8"/>
      <c r="I175" s="21">
        <v>3490.0</v>
      </c>
      <c r="J175" s="8" t="s">
        <v>1868</v>
      </c>
      <c r="K175" s="8" t="s">
        <v>116</v>
      </c>
      <c r="L175" s="89" t="s">
        <v>49</v>
      </c>
      <c r="M175" s="8" t="s">
        <v>340</v>
      </c>
      <c r="N175" s="8" t="s">
        <v>28</v>
      </c>
      <c r="O175" s="97">
        <v>22062.0</v>
      </c>
      <c r="P175" s="97">
        <v>25066.0</v>
      </c>
      <c r="Q175" s="6">
        <v>48.0</v>
      </c>
      <c r="R175" s="12">
        <f t="shared" si="5"/>
        <v>10589.76</v>
      </c>
    </row>
    <row r="176">
      <c r="A176" s="100" t="s">
        <v>2004</v>
      </c>
      <c r="B176" s="8" t="s">
        <v>2019</v>
      </c>
      <c r="C176" s="8" t="s">
        <v>2020</v>
      </c>
      <c r="D176" s="8" t="s">
        <v>1395</v>
      </c>
      <c r="E176" s="8" t="s">
        <v>2021</v>
      </c>
      <c r="F176" s="8" t="s">
        <v>2022</v>
      </c>
      <c r="G176" s="8"/>
      <c r="H176" s="8"/>
      <c r="I176" s="21">
        <v>3460.0</v>
      </c>
      <c r="J176" s="8" t="s">
        <v>557</v>
      </c>
      <c r="K176" s="8" t="s">
        <v>1419</v>
      </c>
      <c r="L176" s="89" t="s">
        <v>49</v>
      </c>
      <c r="M176" s="8" t="s">
        <v>1477</v>
      </c>
      <c r="N176" s="8" t="s">
        <v>28</v>
      </c>
      <c r="O176" s="21">
        <v>19075.0</v>
      </c>
      <c r="P176" s="21">
        <v>21547.0</v>
      </c>
      <c r="Q176" s="6">
        <v>52.0</v>
      </c>
      <c r="R176" s="12">
        <f t="shared" si="5"/>
        <v>9919</v>
      </c>
    </row>
    <row r="177">
      <c r="A177" s="100" t="s">
        <v>2004</v>
      </c>
      <c r="B177" s="8" t="s">
        <v>2023</v>
      </c>
      <c r="C177" s="8" t="s">
        <v>2024</v>
      </c>
      <c r="D177" s="8" t="s">
        <v>21</v>
      </c>
      <c r="E177" s="8" t="s">
        <v>2025</v>
      </c>
      <c r="F177" s="8" t="s">
        <v>2026</v>
      </c>
      <c r="G177" s="7" t="s">
        <v>2027</v>
      </c>
      <c r="H177" s="8"/>
      <c r="I177" s="21">
        <v>16371.0</v>
      </c>
      <c r="J177" s="8" t="s">
        <v>1868</v>
      </c>
      <c r="K177" s="8" t="s">
        <v>78</v>
      </c>
      <c r="L177" s="89" t="s">
        <v>49</v>
      </c>
      <c r="M177" s="8" t="s">
        <v>365</v>
      </c>
      <c r="N177" s="8" t="s">
        <v>28</v>
      </c>
      <c r="O177" s="97">
        <v>54022.42</v>
      </c>
      <c r="P177" s="97">
        <v>61628.0</v>
      </c>
      <c r="Q177" s="6">
        <v>26.0</v>
      </c>
      <c r="R177" s="12">
        <f t="shared" si="5"/>
        <v>14045.8292</v>
      </c>
    </row>
    <row r="178">
      <c r="A178" s="100" t="s">
        <v>2004</v>
      </c>
      <c r="B178" s="8" t="s">
        <v>2028</v>
      </c>
      <c r="C178" s="8" t="s">
        <v>2029</v>
      </c>
      <c r="D178" s="8" t="s">
        <v>1395</v>
      </c>
      <c r="E178" s="8" t="s">
        <v>524</v>
      </c>
      <c r="F178" s="8" t="s">
        <v>2030</v>
      </c>
      <c r="G178" s="8"/>
      <c r="H178" s="8"/>
      <c r="I178" s="21">
        <v>3490.0</v>
      </c>
      <c r="J178" s="8" t="s">
        <v>557</v>
      </c>
      <c r="K178" s="8" t="s">
        <v>116</v>
      </c>
      <c r="L178" s="89" t="s">
        <v>49</v>
      </c>
      <c r="M178" s="8" t="s">
        <v>27</v>
      </c>
      <c r="N178" s="8" t="s">
        <v>28</v>
      </c>
      <c r="O178" s="97">
        <v>21738.0</v>
      </c>
      <c r="P178" s="97">
        <v>24682.0</v>
      </c>
      <c r="Q178" s="6">
        <v>48.0</v>
      </c>
      <c r="R178" s="12">
        <f t="shared" si="5"/>
        <v>10434.24</v>
      </c>
    </row>
    <row r="179">
      <c r="A179" s="100" t="s">
        <v>2004</v>
      </c>
      <c r="B179" s="8" t="s">
        <v>2031</v>
      </c>
      <c r="C179" s="8" t="s">
        <v>2032</v>
      </c>
      <c r="D179" s="8" t="s">
        <v>21</v>
      </c>
      <c r="E179" s="8" t="s">
        <v>2033</v>
      </c>
      <c r="F179" s="8" t="s">
        <v>2034</v>
      </c>
      <c r="G179" s="7" t="s">
        <v>2035</v>
      </c>
      <c r="H179" s="8"/>
      <c r="I179" s="21">
        <v>28000.0</v>
      </c>
      <c r="J179" s="8" t="s">
        <v>2036</v>
      </c>
      <c r="K179" s="8" t="s">
        <v>353</v>
      </c>
      <c r="L179" s="89" t="s">
        <v>49</v>
      </c>
      <c r="M179" s="8" t="s">
        <v>389</v>
      </c>
      <c r="N179" s="8" t="s">
        <v>28</v>
      </c>
      <c r="O179" s="97">
        <v>46815.0</v>
      </c>
      <c r="P179" s="97">
        <v>52605.0</v>
      </c>
      <c r="Q179" s="6">
        <v>26.0</v>
      </c>
      <c r="R179" s="12">
        <f t="shared" si="5"/>
        <v>12171.9</v>
      </c>
    </row>
    <row r="180">
      <c r="A180" s="100" t="s">
        <v>2004</v>
      </c>
      <c r="B180" s="8" t="s">
        <v>2037</v>
      </c>
      <c r="C180" s="8" t="s">
        <v>2038</v>
      </c>
      <c r="D180" s="8" t="s">
        <v>1405</v>
      </c>
      <c r="E180" s="8"/>
      <c r="F180" s="8" t="s">
        <v>2039</v>
      </c>
      <c r="G180" s="8"/>
      <c r="H180" s="8"/>
      <c r="I180" s="21">
        <v>995.0</v>
      </c>
      <c r="J180" s="8" t="s">
        <v>2036</v>
      </c>
      <c r="K180" s="8" t="s">
        <v>78</v>
      </c>
      <c r="L180" s="89" t="s">
        <v>49</v>
      </c>
      <c r="M180" s="8" t="s">
        <v>33</v>
      </c>
      <c r="N180" s="8" t="s">
        <v>28</v>
      </c>
      <c r="O180" s="97">
        <v>5296.4</v>
      </c>
      <c r="P180" s="97">
        <v>5980.0</v>
      </c>
      <c r="Q180" s="6">
        <v>59.0</v>
      </c>
      <c r="R180" s="12">
        <f t="shared" si="5"/>
        <v>3124.876</v>
      </c>
    </row>
    <row r="181">
      <c r="A181" s="100" t="s">
        <v>2004</v>
      </c>
      <c r="B181" s="8" t="s">
        <v>2040</v>
      </c>
      <c r="C181" s="8" t="s">
        <v>2041</v>
      </c>
      <c r="D181" s="8" t="s">
        <v>1432</v>
      </c>
      <c r="E181" s="8" t="s">
        <v>1887</v>
      </c>
      <c r="F181" s="8" t="s">
        <v>2042</v>
      </c>
      <c r="G181" s="7" t="s">
        <v>2043</v>
      </c>
      <c r="H181" s="8"/>
      <c r="I181" s="21">
        <v>236.0</v>
      </c>
      <c r="J181" s="8" t="s">
        <v>2036</v>
      </c>
      <c r="K181" s="8" t="s">
        <v>1419</v>
      </c>
      <c r="L181" s="89" t="s">
        <v>49</v>
      </c>
      <c r="M181" s="8" t="s">
        <v>1544</v>
      </c>
      <c r="N181" s="8" t="s">
        <v>28</v>
      </c>
      <c r="O181" s="21">
        <v>7078.0</v>
      </c>
      <c r="P181" s="21">
        <v>8352.0</v>
      </c>
      <c r="Q181" s="6">
        <v>53.0</v>
      </c>
      <c r="R181" s="12">
        <f t="shared" si="5"/>
        <v>3751.34</v>
      </c>
    </row>
    <row r="182">
      <c r="A182" s="100" t="s">
        <v>2004</v>
      </c>
      <c r="B182" s="8" t="s">
        <v>2044</v>
      </c>
      <c r="C182" s="8" t="s">
        <v>2045</v>
      </c>
      <c r="D182" s="8" t="s">
        <v>1432</v>
      </c>
      <c r="E182" s="8" t="s">
        <v>1841</v>
      </c>
      <c r="F182" s="8" t="s">
        <v>2046</v>
      </c>
      <c r="G182" s="7" t="s">
        <v>2047</v>
      </c>
      <c r="H182" s="8"/>
      <c r="I182" s="21">
        <v>236.0</v>
      </c>
      <c r="J182" s="8" t="s">
        <v>2048</v>
      </c>
      <c r="K182" s="8" t="s">
        <v>78</v>
      </c>
      <c r="L182" s="89" t="s">
        <v>49</v>
      </c>
      <c r="M182" s="8" t="s">
        <v>1456</v>
      </c>
      <c r="N182" s="8" t="s">
        <v>28</v>
      </c>
      <c r="O182" s="97">
        <v>6385.08</v>
      </c>
      <c r="P182" s="97">
        <v>7534.0</v>
      </c>
      <c r="Q182" s="6">
        <v>57.0</v>
      </c>
      <c r="R182" s="12">
        <f t="shared" si="5"/>
        <v>3639.4956</v>
      </c>
    </row>
    <row r="183">
      <c r="A183" s="100" t="s">
        <v>2004</v>
      </c>
      <c r="B183" s="8" t="s">
        <v>2049</v>
      </c>
      <c r="C183" s="8" t="s">
        <v>2050</v>
      </c>
      <c r="D183" s="8" t="s">
        <v>21</v>
      </c>
      <c r="E183" s="8" t="s">
        <v>2051</v>
      </c>
      <c r="F183" s="8" t="s">
        <v>2052</v>
      </c>
      <c r="G183" s="7" t="s">
        <v>2043</v>
      </c>
      <c r="H183" s="8"/>
      <c r="I183" s="21">
        <v>5950.0</v>
      </c>
      <c r="J183" s="21" t="s">
        <v>2036</v>
      </c>
      <c r="K183" s="8" t="s">
        <v>25</v>
      </c>
      <c r="L183" s="89" t="s">
        <v>49</v>
      </c>
      <c r="M183" s="8" t="s">
        <v>1544</v>
      </c>
      <c r="N183" s="8" t="s">
        <v>28</v>
      </c>
      <c r="O183" s="97">
        <v>18020.0</v>
      </c>
      <c r="P183" s="97">
        <v>20301.0</v>
      </c>
      <c r="Q183" s="6">
        <v>46.0</v>
      </c>
      <c r="R183" s="12">
        <f t="shared" si="5"/>
        <v>8289.2</v>
      </c>
    </row>
    <row r="184">
      <c r="A184" s="100" t="s">
        <v>2053</v>
      </c>
      <c r="B184" s="8" t="s">
        <v>2054</v>
      </c>
      <c r="C184" s="8" t="s">
        <v>2055</v>
      </c>
      <c r="D184" s="8" t="s">
        <v>1228</v>
      </c>
      <c r="E184" s="8" t="s">
        <v>2056</v>
      </c>
      <c r="F184" s="8" t="s">
        <v>2057</v>
      </c>
      <c r="G184" s="7" t="s">
        <v>2058</v>
      </c>
      <c r="H184" s="8"/>
      <c r="I184" s="21">
        <v>1493.0</v>
      </c>
      <c r="J184" s="21" t="s">
        <v>1868</v>
      </c>
      <c r="K184" s="8" t="s">
        <v>70</v>
      </c>
      <c r="L184" s="89" t="s">
        <v>49</v>
      </c>
      <c r="M184" s="8" t="s">
        <v>1460</v>
      </c>
      <c r="N184" s="8" t="s">
        <v>28</v>
      </c>
      <c r="O184" s="97">
        <v>19461.0</v>
      </c>
      <c r="P184" s="97">
        <v>22964.0</v>
      </c>
      <c r="Q184" s="6">
        <v>26.0</v>
      </c>
      <c r="R184" s="12">
        <f t="shared" si="5"/>
        <v>5059.86</v>
      </c>
    </row>
    <row r="185">
      <c r="A185" s="100" t="s">
        <v>2059</v>
      </c>
      <c r="B185" s="8" t="s">
        <v>2060</v>
      </c>
      <c r="C185" s="8" t="s">
        <v>2061</v>
      </c>
      <c r="D185" s="8" t="s">
        <v>21</v>
      </c>
      <c r="E185" s="8" t="s">
        <v>2062</v>
      </c>
      <c r="F185" s="8" t="s">
        <v>2063</v>
      </c>
      <c r="G185" s="7">
        <v>9.925112789E9</v>
      </c>
      <c r="H185" s="8"/>
      <c r="I185" s="21">
        <v>42000.0</v>
      </c>
      <c r="J185" s="8" t="s">
        <v>1868</v>
      </c>
      <c r="K185" s="8" t="s">
        <v>353</v>
      </c>
      <c r="L185" s="89" t="s">
        <v>49</v>
      </c>
      <c r="M185" s="8" t="s">
        <v>27</v>
      </c>
      <c r="N185" s="8" t="s">
        <v>28</v>
      </c>
      <c r="O185" s="97">
        <v>49446.0</v>
      </c>
      <c r="P185" s="97">
        <v>55692.0</v>
      </c>
      <c r="Q185" s="6">
        <v>26.0</v>
      </c>
      <c r="R185" s="12">
        <f t="shared" si="5"/>
        <v>12855.96</v>
      </c>
    </row>
    <row r="186">
      <c r="A186" s="100" t="s">
        <v>2059</v>
      </c>
      <c r="B186" s="8" t="s">
        <v>2064</v>
      </c>
      <c r="C186" s="8" t="s">
        <v>2065</v>
      </c>
      <c r="D186" s="8" t="s">
        <v>21</v>
      </c>
      <c r="E186" s="8" t="s">
        <v>2066</v>
      </c>
      <c r="F186" s="8" t="s">
        <v>2067</v>
      </c>
      <c r="G186" s="7" t="s">
        <v>2068</v>
      </c>
      <c r="H186" s="8"/>
      <c r="I186" s="21">
        <v>35000.0</v>
      </c>
      <c r="J186" s="22">
        <v>46055.0</v>
      </c>
      <c r="K186" s="8" t="s">
        <v>353</v>
      </c>
      <c r="L186" s="89" t="s">
        <v>49</v>
      </c>
      <c r="M186" s="8" t="s">
        <v>389</v>
      </c>
      <c r="N186" s="8" t="s">
        <v>28</v>
      </c>
      <c r="O186" s="97">
        <v>46905.0</v>
      </c>
      <c r="P186" s="97">
        <v>52711.0</v>
      </c>
      <c r="Q186" s="6">
        <v>26.0</v>
      </c>
      <c r="R186" s="12">
        <f t="shared" si="5"/>
        <v>12195.3</v>
      </c>
    </row>
    <row r="187">
      <c r="A187" s="100" t="s">
        <v>2059</v>
      </c>
      <c r="B187" s="8" t="s">
        <v>2069</v>
      </c>
      <c r="C187" s="8" t="s">
        <v>2070</v>
      </c>
      <c r="D187" s="8" t="s">
        <v>21</v>
      </c>
      <c r="E187" s="8" t="s">
        <v>2071</v>
      </c>
      <c r="F187" s="8" t="s">
        <v>2072</v>
      </c>
      <c r="G187" s="7" t="s">
        <v>2073</v>
      </c>
      <c r="H187" s="8"/>
      <c r="I187" s="21">
        <v>16200.0</v>
      </c>
      <c r="J187" s="22">
        <v>46328.0</v>
      </c>
      <c r="K187" s="8" t="s">
        <v>78</v>
      </c>
      <c r="L187" s="89" t="s">
        <v>49</v>
      </c>
      <c r="M187" s="8" t="s">
        <v>1456</v>
      </c>
      <c r="N187" s="8" t="s">
        <v>28</v>
      </c>
      <c r="O187" s="97">
        <v>36675.85</v>
      </c>
      <c r="P187" s="97">
        <v>41159.0</v>
      </c>
      <c r="Q187" s="6">
        <v>26.0</v>
      </c>
      <c r="R187" s="12">
        <f t="shared" si="5"/>
        <v>9535.721</v>
      </c>
    </row>
    <row r="188">
      <c r="A188" s="100" t="s">
        <v>2059</v>
      </c>
      <c r="B188" s="8" t="s">
        <v>2074</v>
      </c>
      <c r="C188" s="8" t="s">
        <v>2075</v>
      </c>
      <c r="D188" s="8" t="s">
        <v>21</v>
      </c>
      <c r="E188" s="8" t="s">
        <v>2076</v>
      </c>
      <c r="F188" s="8" t="s">
        <v>2077</v>
      </c>
      <c r="G188" s="8"/>
      <c r="H188" s="8"/>
      <c r="I188" s="21">
        <v>11950.0</v>
      </c>
      <c r="J188" s="8" t="s">
        <v>1868</v>
      </c>
      <c r="K188" s="8" t="s">
        <v>1419</v>
      </c>
      <c r="L188" s="89" t="s">
        <v>26</v>
      </c>
      <c r="M188" s="8" t="s">
        <v>27</v>
      </c>
      <c r="N188" s="8" t="s">
        <v>28</v>
      </c>
      <c r="O188" s="21">
        <v>27286.0</v>
      </c>
      <c r="P188" s="21">
        <v>30566.0</v>
      </c>
      <c r="Q188" s="6">
        <v>47.0</v>
      </c>
      <c r="R188" s="12">
        <f t="shared" si="5"/>
        <v>12824.42</v>
      </c>
    </row>
    <row r="189">
      <c r="A189" s="100" t="s">
        <v>2059</v>
      </c>
      <c r="B189" s="8" t="s">
        <v>2078</v>
      </c>
      <c r="C189" s="8" t="s">
        <v>2079</v>
      </c>
      <c r="D189" s="8" t="s">
        <v>1432</v>
      </c>
      <c r="E189" s="8" t="s">
        <v>2080</v>
      </c>
      <c r="F189" s="8" t="s">
        <v>2081</v>
      </c>
      <c r="G189" s="7" t="s">
        <v>2082</v>
      </c>
      <c r="H189" s="8"/>
      <c r="I189" s="21">
        <v>145.0</v>
      </c>
      <c r="J189" s="8" t="s">
        <v>1868</v>
      </c>
      <c r="K189" s="8" t="s">
        <v>1419</v>
      </c>
      <c r="L189" s="89" t="s">
        <v>49</v>
      </c>
      <c r="M189" s="8" t="s">
        <v>1544</v>
      </c>
      <c r="N189" s="8" t="s">
        <v>28</v>
      </c>
      <c r="O189" s="21">
        <v>6165.0</v>
      </c>
      <c r="P189" s="21">
        <v>7275.0</v>
      </c>
      <c r="Q189" s="6">
        <v>53.0</v>
      </c>
      <c r="R189" s="12">
        <f t="shared" si="5"/>
        <v>3267.45</v>
      </c>
    </row>
    <row r="190">
      <c r="A190" s="100" t="s">
        <v>2059</v>
      </c>
      <c r="B190" s="8" t="s">
        <v>840</v>
      </c>
      <c r="C190" s="8" t="s">
        <v>2083</v>
      </c>
      <c r="D190" s="8" t="s">
        <v>1395</v>
      </c>
      <c r="E190" s="8" t="s">
        <v>178</v>
      </c>
      <c r="F190" s="8" t="s">
        <v>842</v>
      </c>
      <c r="G190" s="7" t="s">
        <v>2084</v>
      </c>
      <c r="H190" s="8"/>
      <c r="I190" s="21">
        <v>3460.0</v>
      </c>
      <c r="J190" s="8" t="s">
        <v>1827</v>
      </c>
      <c r="K190" s="8" t="s">
        <v>116</v>
      </c>
      <c r="L190" s="89" t="s">
        <v>49</v>
      </c>
      <c r="M190" s="8" t="s">
        <v>389</v>
      </c>
      <c r="N190" s="8" t="s">
        <v>28</v>
      </c>
      <c r="O190" s="97">
        <v>21858.0</v>
      </c>
      <c r="P190" s="97">
        <v>24824.0</v>
      </c>
      <c r="Q190" s="6">
        <v>48.0</v>
      </c>
      <c r="R190" s="12">
        <f t="shared" si="5"/>
        <v>10491.84</v>
      </c>
    </row>
    <row r="191">
      <c r="A191" s="100" t="s">
        <v>2059</v>
      </c>
      <c r="B191" s="8" t="s">
        <v>2085</v>
      </c>
      <c r="C191" s="8" t="s">
        <v>2086</v>
      </c>
      <c r="D191" s="8" t="s">
        <v>1395</v>
      </c>
      <c r="E191" s="8" t="s">
        <v>2087</v>
      </c>
      <c r="F191" s="8" t="s">
        <v>2088</v>
      </c>
      <c r="G191" s="7">
        <v>9.825444414E9</v>
      </c>
      <c r="H191" s="8"/>
      <c r="I191" s="21">
        <v>2995.0</v>
      </c>
      <c r="J191" s="22">
        <v>46024.0</v>
      </c>
      <c r="K191" s="8" t="s">
        <v>116</v>
      </c>
      <c r="L191" s="89" t="s">
        <v>49</v>
      </c>
      <c r="M191" s="8" t="s">
        <v>71</v>
      </c>
      <c r="N191" s="8" t="s">
        <v>28</v>
      </c>
      <c r="O191" s="97">
        <v>21050.0</v>
      </c>
      <c r="P191" s="97">
        <v>23870.0</v>
      </c>
      <c r="Q191" s="6">
        <v>48.0</v>
      </c>
      <c r="R191" s="12">
        <f t="shared" si="5"/>
        <v>10104</v>
      </c>
    </row>
    <row r="192">
      <c r="A192" s="100" t="s">
        <v>2059</v>
      </c>
      <c r="B192" s="8" t="s">
        <v>2089</v>
      </c>
      <c r="C192" s="8" t="s">
        <v>2090</v>
      </c>
      <c r="D192" s="8" t="s">
        <v>1395</v>
      </c>
      <c r="E192" s="8" t="s">
        <v>2091</v>
      </c>
      <c r="F192" s="8" t="s">
        <v>2092</v>
      </c>
      <c r="G192" s="7" t="s">
        <v>2093</v>
      </c>
      <c r="H192" s="8"/>
      <c r="I192" s="21">
        <v>2825.0</v>
      </c>
      <c r="J192" s="8" t="s">
        <v>1827</v>
      </c>
      <c r="K192" s="8" t="s">
        <v>116</v>
      </c>
      <c r="L192" s="89" t="s">
        <v>49</v>
      </c>
      <c r="M192" s="157" t="s">
        <v>185</v>
      </c>
      <c r="N192" s="8" t="s">
        <v>28</v>
      </c>
      <c r="O192" s="97">
        <v>21126.0</v>
      </c>
      <c r="P192" s="97">
        <v>23959.0</v>
      </c>
      <c r="Q192" s="6">
        <v>48.0</v>
      </c>
      <c r="R192" s="12">
        <f t="shared" si="5"/>
        <v>10140.48</v>
      </c>
    </row>
    <row r="193">
      <c r="A193" s="100" t="s">
        <v>2059</v>
      </c>
      <c r="B193" s="8" t="s">
        <v>2094</v>
      </c>
      <c r="C193" s="8" t="s">
        <v>2095</v>
      </c>
      <c r="D193" s="8" t="s">
        <v>1395</v>
      </c>
      <c r="E193" s="8" t="s">
        <v>2096</v>
      </c>
      <c r="F193" s="8" t="s">
        <v>2097</v>
      </c>
      <c r="G193" s="7" t="s">
        <v>2098</v>
      </c>
      <c r="H193" s="8"/>
      <c r="I193" s="21">
        <v>3490.0</v>
      </c>
      <c r="J193" s="22">
        <v>46114.0</v>
      </c>
      <c r="K193" s="8" t="s">
        <v>1419</v>
      </c>
      <c r="L193" s="89" t="s">
        <v>49</v>
      </c>
      <c r="M193" s="8" t="s">
        <v>1436</v>
      </c>
      <c r="N193" s="8" t="s">
        <v>28</v>
      </c>
      <c r="O193" s="21">
        <v>18408.0</v>
      </c>
      <c r="P193" s="21">
        <v>20760.0</v>
      </c>
      <c r="Q193" s="6">
        <v>52.0</v>
      </c>
      <c r="R193" s="12">
        <f t="shared" si="5"/>
        <v>9572.16</v>
      </c>
    </row>
    <row r="194">
      <c r="A194" s="100" t="s">
        <v>2059</v>
      </c>
      <c r="B194" s="8" t="s">
        <v>2099</v>
      </c>
      <c r="C194" s="8" t="s">
        <v>2100</v>
      </c>
      <c r="D194" s="8" t="s">
        <v>1432</v>
      </c>
      <c r="E194" s="8" t="s">
        <v>1887</v>
      </c>
      <c r="F194" s="8" t="s">
        <v>2101</v>
      </c>
      <c r="G194" s="8"/>
      <c r="H194" s="8"/>
      <c r="I194" s="21">
        <v>236.0</v>
      </c>
      <c r="J194" s="8" t="s">
        <v>1827</v>
      </c>
      <c r="K194" s="8" t="s">
        <v>1419</v>
      </c>
      <c r="L194" s="89" t="s">
        <v>49</v>
      </c>
      <c r="M194" s="8" t="s">
        <v>219</v>
      </c>
      <c r="N194" s="8" t="s">
        <v>28</v>
      </c>
      <c r="O194" s="21">
        <v>6486.0</v>
      </c>
      <c r="P194" s="21">
        <v>7654.0</v>
      </c>
      <c r="Q194" s="6">
        <v>53.0</v>
      </c>
      <c r="R194" s="12">
        <f t="shared" si="5"/>
        <v>3437.58</v>
      </c>
    </row>
    <row r="195">
      <c r="A195" s="100" t="s">
        <v>2059</v>
      </c>
      <c r="B195" s="8" t="s">
        <v>2102</v>
      </c>
      <c r="C195" s="8" t="s">
        <v>2103</v>
      </c>
      <c r="D195" s="8" t="s">
        <v>1395</v>
      </c>
      <c r="E195" s="8" t="s">
        <v>2104</v>
      </c>
      <c r="F195" s="8" t="s">
        <v>2105</v>
      </c>
      <c r="G195" s="7" t="s">
        <v>2106</v>
      </c>
      <c r="H195" s="8"/>
      <c r="I195" s="21">
        <v>3490.0</v>
      </c>
      <c r="J195" s="8" t="s">
        <v>1827</v>
      </c>
      <c r="K195" s="8" t="s">
        <v>1419</v>
      </c>
      <c r="L195" s="89" t="s">
        <v>49</v>
      </c>
      <c r="M195" s="8" t="s">
        <v>365</v>
      </c>
      <c r="N195" s="8" t="s">
        <v>28</v>
      </c>
      <c r="O195" s="21">
        <v>19747.0</v>
      </c>
      <c r="P195" s="21">
        <v>22339.0</v>
      </c>
      <c r="Q195" s="6">
        <v>52.0</v>
      </c>
      <c r="R195" s="12">
        <f t="shared" si="5"/>
        <v>10268.44</v>
      </c>
    </row>
    <row r="196">
      <c r="A196" s="100" t="s">
        <v>2059</v>
      </c>
      <c r="B196" s="8" t="s">
        <v>2107</v>
      </c>
      <c r="C196" s="8" t="s">
        <v>2108</v>
      </c>
      <c r="D196" s="8" t="s">
        <v>1432</v>
      </c>
      <c r="E196" s="8" t="s">
        <v>1887</v>
      </c>
      <c r="F196" s="8" t="s">
        <v>2109</v>
      </c>
      <c r="G196" s="8"/>
      <c r="H196" s="8"/>
      <c r="I196" s="21">
        <v>236.0</v>
      </c>
      <c r="J196" s="8" t="s">
        <v>1827</v>
      </c>
      <c r="K196" s="8" t="s">
        <v>1419</v>
      </c>
      <c r="L196" s="89" t="s">
        <v>49</v>
      </c>
      <c r="M196" s="8" t="s">
        <v>1616</v>
      </c>
      <c r="N196" s="8" t="s">
        <v>28</v>
      </c>
      <c r="O196" s="21">
        <v>6486.0</v>
      </c>
      <c r="P196" s="21">
        <v>7654.0</v>
      </c>
      <c r="Q196" s="6">
        <v>53.0</v>
      </c>
      <c r="R196" s="12">
        <f t="shared" si="5"/>
        <v>3437.58</v>
      </c>
    </row>
    <row r="197">
      <c r="A197" s="100" t="s">
        <v>2059</v>
      </c>
      <c r="B197" s="8" t="s">
        <v>2110</v>
      </c>
      <c r="C197" s="8" t="s">
        <v>2111</v>
      </c>
      <c r="D197" s="8" t="s">
        <v>1395</v>
      </c>
      <c r="E197" s="8" t="s">
        <v>2112</v>
      </c>
      <c r="F197" s="8" t="s">
        <v>2113</v>
      </c>
      <c r="G197" s="7">
        <v>9.90945824E9</v>
      </c>
      <c r="H197" s="8"/>
      <c r="I197" s="21">
        <v>1600.0</v>
      </c>
      <c r="J197" s="22">
        <v>46024.0</v>
      </c>
      <c r="K197" s="8" t="s">
        <v>1424</v>
      </c>
      <c r="L197" s="89" t="s">
        <v>49</v>
      </c>
      <c r="M197" s="8" t="s">
        <v>71</v>
      </c>
      <c r="N197" s="8" t="s">
        <v>28</v>
      </c>
      <c r="O197" s="21">
        <v>18679.0</v>
      </c>
      <c r="P197" s="21">
        <v>21079.0</v>
      </c>
      <c r="Q197" s="6">
        <v>53.0</v>
      </c>
      <c r="R197" s="12">
        <f t="shared" si="5"/>
        <v>9899.87</v>
      </c>
    </row>
    <row r="198">
      <c r="A198" s="100" t="s">
        <v>2059</v>
      </c>
      <c r="B198" s="8" t="s">
        <v>2114</v>
      </c>
      <c r="C198" s="8" t="s">
        <v>2115</v>
      </c>
      <c r="D198" s="8" t="s">
        <v>1395</v>
      </c>
      <c r="E198" s="8" t="s">
        <v>2116</v>
      </c>
      <c r="F198" s="8" t="s">
        <v>2117</v>
      </c>
      <c r="G198" s="7" t="s">
        <v>2118</v>
      </c>
      <c r="H198" s="8"/>
      <c r="I198" s="21">
        <v>1600.0</v>
      </c>
      <c r="J198" s="22">
        <v>46175.0</v>
      </c>
      <c r="K198" s="8" t="s">
        <v>1424</v>
      </c>
      <c r="L198" s="89" t="s">
        <v>49</v>
      </c>
      <c r="M198" s="8" t="s">
        <v>365</v>
      </c>
      <c r="N198" s="8" t="s">
        <v>28</v>
      </c>
      <c r="O198" s="21">
        <v>19517.0</v>
      </c>
      <c r="P198" s="21">
        <v>22067.0</v>
      </c>
      <c r="Q198" s="6">
        <v>53.0</v>
      </c>
      <c r="R198" s="12">
        <f t="shared" si="5"/>
        <v>10344.01</v>
      </c>
    </row>
    <row r="199">
      <c r="A199" s="100" t="s">
        <v>2059</v>
      </c>
      <c r="B199" s="8" t="s">
        <v>2119</v>
      </c>
      <c r="C199" s="8" t="s">
        <v>2120</v>
      </c>
      <c r="D199" s="8" t="s">
        <v>1395</v>
      </c>
      <c r="E199" s="8" t="s">
        <v>1303</v>
      </c>
      <c r="F199" s="8" t="s">
        <v>2121</v>
      </c>
      <c r="G199" s="8"/>
      <c r="H199" s="8"/>
      <c r="I199" s="21">
        <v>2825.0</v>
      </c>
      <c r="J199" s="8" t="s">
        <v>1868</v>
      </c>
      <c r="K199" s="8" t="s">
        <v>116</v>
      </c>
      <c r="L199" s="89" t="s">
        <v>49</v>
      </c>
      <c r="M199" s="8" t="s">
        <v>1451</v>
      </c>
      <c r="N199" s="8" t="s">
        <v>28</v>
      </c>
      <c r="O199" s="97">
        <v>22045.0</v>
      </c>
      <c r="P199" s="97">
        <v>25045.0</v>
      </c>
      <c r="Q199" s="6">
        <v>48.0</v>
      </c>
      <c r="R199" s="12">
        <f t="shared" si="5"/>
        <v>10581.6</v>
      </c>
    </row>
    <row r="200">
      <c r="A200" s="159" t="s">
        <v>2059</v>
      </c>
      <c r="B200" s="160" t="s">
        <v>1638</v>
      </c>
      <c r="C200" s="160" t="s">
        <v>2122</v>
      </c>
      <c r="D200" s="160" t="s">
        <v>1395</v>
      </c>
      <c r="E200" s="160" t="s">
        <v>1007</v>
      </c>
      <c r="F200" s="160" t="s">
        <v>1641</v>
      </c>
      <c r="G200" s="160"/>
      <c r="H200" s="160"/>
      <c r="I200" s="161">
        <v>2620.0</v>
      </c>
      <c r="J200" s="162">
        <v>46055.0</v>
      </c>
      <c r="K200" s="160" t="s">
        <v>116</v>
      </c>
      <c r="L200" s="158" t="s">
        <v>49</v>
      </c>
      <c r="M200" s="160" t="s">
        <v>1456</v>
      </c>
      <c r="N200" s="160" t="s">
        <v>28</v>
      </c>
      <c r="O200" s="163">
        <v>18789.0</v>
      </c>
      <c r="P200" s="163">
        <v>21203.0</v>
      </c>
      <c r="Q200" s="6">
        <v>48.0</v>
      </c>
      <c r="R200" s="12">
        <f t="shared" si="5"/>
        <v>9018.72</v>
      </c>
    </row>
    <row r="201">
      <c r="A201" s="100" t="s">
        <v>2059</v>
      </c>
      <c r="B201" s="8" t="s">
        <v>2123</v>
      </c>
      <c r="C201" s="8" t="s">
        <v>2124</v>
      </c>
      <c r="D201" s="8" t="s">
        <v>1432</v>
      </c>
      <c r="E201" s="8" t="s">
        <v>2125</v>
      </c>
      <c r="F201" s="8" t="s">
        <v>2126</v>
      </c>
      <c r="G201" s="8"/>
      <c r="H201" s="8"/>
      <c r="I201" s="21">
        <v>470.0</v>
      </c>
      <c r="J201" s="8" t="s">
        <v>1827</v>
      </c>
      <c r="K201" s="8" t="s">
        <v>1424</v>
      </c>
      <c r="L201" s="89" t="s">
        <v>49</v>
      </c>
      <c r="M201" s="8" t="s">
        <v>33</v>
      </c>
      <c r="N201" s="8" t="s">
        <v>28</v>
      </c>
      <c r="O201" s="21">
        <v>6375.0</v>
      </c>
      <c r="P201" s="21">
        <v>7523.0</v>
      </c>
      <c r="Q201" s="6">
        <v>52.0</v>
      </c>
      <c r="R201" s="12">
        <f t="shared" si="5"/>
        <v>3315</v>
      </c>
    </row>
    <row r="202">
      <c r="A202" s="100" t="s">
        <v>2059</v>
      </c>
      <c r="B202" s="8" t="s">
        <v>2127</v>
      </c>
      <c r="C202" s="8" t="s">
        <v>2128</v>
      </c>
      <c r="D202" s="8" t="s">
        <v>1395</v>
      </c>
      <c r="E202" s="8" t="s">
        <v>2129</v>
      </c>
      <c r="F202" s="8" t="s">
        <v>2130</v>
      </c>
      <c r="G202" s="8"/>
      <c r="H202" s="8"/>
      <c r="I202" s="21">
        <v>1305.0</v>
      </c>
      <c r="J202" s="22">
        <v>46267.0</v>
      </c>
      <c r="K202" s="8" t="s">
        <v>70</v>
      </c>
      <c r="L202" s="89" t="s">
        <v>49</v>
      </c>
      <c r="M202" s="8" t="s">
        <v>1451</v>
      </c>
      <c r="N202" s="8" t="s">
        <v>28</v>
      </c>
      <c r="O202" s="97">
        <v>16930.0</v>
      </c>
      <c r="P202" s="97">
        <v>19015.0</v>
      </c>
      <c r="Q202" s="6">
        <v>58.0</v>
      </c>
      <c r="R202" s="12">
        <f t="shared" si="5"/>
        <v>9819.4</v>
      </c>
    </row>
    <row r="203">
      <c r="A203" s="100" t="s">
        <v>2059</v>
      </c>
      <c r="B203" s="5" t="s">
        <v>2131</v>
      </c>
      <c r="C203" s="31"/>
      <c r="D203" s="5" t="s">
        <v>75</v>
      </c>
      <c r="E203" s="135" t="s">
        <v>2132</v>
      </c>
      <c r="F203" s="5" t="s">
        <v>2133</v>
      </c>
      <c r="G203" s="31"/>
      <c r="H203" s="31"/>
      <c r="I203" s="31"/>
      <c r="J203" s="164">
        <v>46024.0</v>
      </c>
      <c r="K203" s="5" t="s">
        <v>78</v>
      </c>
      <c r="L203" s="135" t="s">
        <v>49</v>
      </c>
      <c r="M203" s="5" t="s">
        <v>1616</v>
      </c>
      <c r="N203" s="5" t="s">
        <v>28</v>
      </c>
      <c r="O203" s="5">
        <v>4839.0</v>
      </c>
      <c r="P203" s="5">
        <v>5441.0</v>
      </c>
      <c r="Q203" s="5">
        <v>59.0</v>
      </c>
      <c r="R203" s="12">
        <f t="shared" si="5"/>
        <v>2855.01</v>
      </c>
    </row>
    <row r="204">
      <c r="A204" s="100" t="s">
        <v>2059</v>
      </c>
      <c r="B204" s="5" t="s">
        <v>2134</v>
      </c>
      <c r="C204" s="31"/>
      <c r="D204" s="5" t="s">
        <v>21</v>
      </c>
      <c r="E204" s="135" t="s">
        <v>2135</v>
      </c>
      <c r="F204" s="5" t="s">
        <v>2136</v>
      </c>
      <c r="G204" s="31"/>
      <c r="H204" s="31"/>
      <c r="I204" s="5">
        <v>6250.0</v>
      </c>
      <c r="J204" s="164">
        <v>46024.0</v>
      </c>
      <c r="K204" s="5" t="s">
        <v>1419</v>
      </c>
      <c r="L204" s="135" t="s">
        <v>26</v>
      </c>
      <c r="M204" s="5" t="s">
        <v>27</v>
      </c>
      <c r="N204" s="5" t="s">
        <v>28</v>
      </c>
      <c r="O204" s="5">
        <v>16149.0</v>
      </c>
      <c r="P204" s="5">
        <v>18093.0</v>
      </c>
      <c r="Q204" s="5">
        <v>47.0</v>
      </c>
      <c r="R204" s="12">
        <f t="shared" si="5"/>
        <v>7590.03</v>
      </c>
    </row>
    <row r="205">
      <c r="A205" s="100" t="s">
        <v>2059</v>
      </c>
      <c r="B205" s="5" t="s">
        <v>2137</v>
      </c>
      <c r="C205" s="31"/>
      <c r="D205" s="5" t="s">
        <v>21</v>
      </c>
      <c r="E205" s="135" t="s">
        <v>2138</v>
      </c>
      <c r="F205" s="5" t="s">
        <v>2139</v>
      </c>
      <c r="G205" s="31"/>
      <c r="H205" s="31"/>
      <c r="I205" s="5">
        <v>35000.0</v>
      </c>
      <c r="J205" s="22">
        <v>46055.0</v>
      </c>
      <c r="K205" s="5" t="s">
        <v>70</v>
      </c>
      <c r="L205" s="135" t="s">
        <v>49</v>
      </c>
      <c r="M205" s="5" t="s">
        <v>27</v>
      </c>
      <c r="N205" s="5" t="s">
        <v>28</v>
      </c>
      <c r="O205" s="5">
        <v>47455.0</v>
      </c>
      <c r="P205" s="5">
        <v>53360.0</v>
      </c>
      <c r="Q205" s="5">
        <v>22.0</v>
      </c>
      <c r="R205" s="12">
        <f t="shared" si="5"/>
        <v>10440.1</v>
      </c>
    </row>
    <row r="206">
      <c r="A206" s="100" t="s">
        <v>2059</v>
      </c>
      <c r="B206" s="5" t="s">
        <v>2140</v>
      </c>
      <c r="C206" s="31"/>
      <c r="D206" s="5" t="s">
        <v>1395</v>
      </c>
      <c r="E206" s="135" t="s">
        <v>528</v>
      </c>
      <c r="F206" s="5" t="s">
        <v>2141</v>
      </c>
      <c r="G206" s="31"/>
      <c r="H206" s="31"/>
      <c r="I206" s="5">
        <v>2880.0</v>
      </c>
      <c r="J206" s="22">
        <v>46055.0</v>
      </c>
      <c r="K206" s="5" t="s">
        <v>65</v>
      </c>
      <c r="L206" s="135" t="s">
        <v>26</v>
      </c>
      <c r="M206" s="5" t="s">
        <v>144</v>
      </c>
      <c r="N206" s="5" t="s">
        <v>28</v>
      </c>
      <c r="O206" s="5">
        <v>16149.0</v>
      </c>
      <c r="P206" s="5">
        <v>18093.0</v>
      </c>
      <c r="Q206" s="5">
        <v>58.0</v>
      </c>
      <c r="R206" s="12">
        <f t="shared" si="5"/>
        <v>9366.42</v>
      </c>
    </row>
    <row r="207">
      <c r="A207" s="100" t="s">
        <v>2059</v>
      </c>
      <c r="B207" s="5" t="s">
        <v>585</v>
      </c>
      <c r="C207" s="31"/>
      <c r="D207" s="5" t="s">
        <v>1395</v>
      </c>
      <c r="E207" s="135" t="s">
        <v>528</v>
      </c>
      <c r="F207" s="5" t="s">
        <v>2142</v>
      </c>
      <c r="G207" s="31"/>
      <c r="H207" s="31"/>
      <c r="I207" s="5">
        <v>3460.0</v>
      </c>
      <c r="J207" s="8" t="s">
        <v>1827</v>
      </c>
      <c r="K207" s="5" t="s">
        <v>116</v>
      </c>
      <c r="L207" s="135" t="s">
        <v>49</v>
      </c>
      <c r="M207" s="5" t="s">
        <v>27</v>
      </c>
      <c r="N207" s="5" t="s">
        <v>28</v>
      </c>
      <c r="O207" s="5">
        <v>21738.0</v>
      </c>
      <c r="P207" s="5">
        <v>24682.0</v>
      </c>
      <c r="Q207" s="5">
        <v>48.0</v>
      </c>
      <c r="R207" s="12">
        <f t="shared" si="5"/>
        <v>10434.24</v>
      </c>
    </row>
    <row r="208">
      <c r="A208" s="100" t="s">
        <v>2059</v>
      </c>
      <c r="B208" s="86" t="s">
        <v>739</v>
      </c>
      <c r="C208" s="8"/>
      <c r="D208" s="86" t="s">
        <v>1395</v>
      </c>
      <c r="E208" s="86" t="s">
        <v>2143</v>
      </c>
      <c r="F208" s="86" t="s">
        <v>2144</v>
      </c>
      <c r="G208" s="7"/>
      <c r="H208" s="8"/>
      <c r="I208" s="165">
        <v>3490.0</v>
      </c>
      <c r="J208" s="166">
        <v>46083.0</v>
      </c>
      <c r="K208" s="86" t="s">
        <v>116</v>
      </c>
      <c r="L208" s="103" t="s">
        <v>49</v>
      </c>
      <c r="M208" s="86" t="s">
        <v>71</v>
      </c>
      <c r="N208" s="86" t="s">
        <v>28</v>
      </c>
      <c r="O208" s="165">
        <v>21600.0</v>
      </c>
      <c r="P208" s="165">
        <v>24520.0</v>
      </c>
      <c r="Q208" s="6">
        <v>48.0</v>
      </c>
      <c r="R208" s="12">
        <f t="shared" si="5"/>
        <v>10368</v>
      </c>
    </row>
    <row r="209">
      <c r="A209" s="100" t="s">
        <v>2059</v>
      </c>
      <c r="B209" s="86" t="s">
        <v>2145</v>
      </c>
      <c r="C209" s="8"/>
      <c r="D209" s="86" t="s">
        <v>21</v>
      </c>
      <c r="E209" s="86" t="s">
        <v>1789</v>
      </c>
      <c r="F209" s="86" t="s">
        <v>2146</v>
      </c>
      <c r="G209" s="7"/>
      <c r="H209" s="8"/>
      <c r="I209" s="165">
        <v>9600.0</v>
      </c>
      <c r="J209" s="166">
        <v>46024.0</v>
      </c>
      <c r="K209" s="86" t="s">
        <v>1419</v>
      </c>
      <c r="L209" s="103" t="s">
        <v>49</v>
      </c>
      <c r="M209" s="86" t="s">
        <v>71</v>
      </c>
      <c r="N209" s="86" t="s">
        <v>28</v>
      </c>
      <c r="O209" s="165">
        <v>30142.0</v>
      </c>
      <c r="P209" s="165">
        <v>33936.0</v>
      </c>
      <c r="Q209" s="6">
        <v>32.0</v>
      </c>
      <c r="R209" s="12">
        <f t="shared" si="5"/>
        <v>9645.44</v>
      </c>
    </row>
    <row r="210">
      <c r="A210" s="100" t="s">
        <v>2059</v>
      </c>
      <c r="B210" s="86" t="s">
        <v>2147</v>
      </c>
      <c r="C210" s="8"/>
      <c r="D210" s="86" t="s">
        <v>21</v>
      </c>
      <c r="E210" s="86" t="s">
        <v>2148</v>
      </c>
      <c r="F210" s="86" t="s">
        <v>2149</v>
      </c>
      <c r="G210" s="7"/>
      <c r="H210" s="8"/>
      <c r="I210" s="165">
        <v>11990.0</v>
      </c>
      <c r="J210" s="166">
        <v>46055.0</v>
      </c>
      <c r="K210" s="86" t="s">
        <v>353</v>
      </c>
      <c r="L210" s="103" t="s">
        <v>49</v>
      </c>
      <c r="M210" s="86" t="s">
        <v>365</v>
      </c>
      <c r="N210" s="86" t="s">
        <v>28</v>
      </c>
      <c r="O210" s="165">
        <v>30868.0</v>
      </c>
      <c r="P210" s="165">
        <v>34793.0</v>
      </c>
      <c r="Q210" s="6">
        <v>26.0</v>
      </c>
      <c r="R210" s="12">
        <f t="shared" si="5"/>
        <v>8025.68</v>
      </c>
    </row>
    <row r="211">
      <c r="A211" s="107" t="s">
        <v>2053</v>
      </c>
      <c r="B211" s="108" t="s">
        <v>616</v>
      </c>
      <c r="C211" s="108" t="s">
        <v>2150</v>
      </c>
      <c r="D211" s="108" t="s">
        <v>1395</v>
      </c>
      <c r="E211" s="108" t="s">
        <v>2151</v>
      </c>
      <c r="F211" s="108" t="s">
        <v>604</v>
      </c>
      <c r="G211" s="63" t="s">
        <v>605</v>
      </c>
      <c r="H211" s="108"/>
      <c r="I211" s="114">
        <v>2750.0</v>
      </c>
      <c r="J211" s="108" t="s">
        <v>1868</v>
      </c>
      <c r="K211" s="108" t="s">
        <v>1419</v>
      </c>
      <c r="L211" s="111" t="s">
        <v>49</v>
      </c>
      <c r="M211" s="108" t="s">
        <v>27</v>
      </c>
      <c r="N211" s="108" t="s">
        <v>28</v>
      </c>
      <c r="O211" s="114">
        <v>17709.0</v>
      </c>
      <c r="P211" s="114">
        <v>19935.0</v>
      </c>
      <c r="Q211" s="6">
        <v>52.0</v>
      </c>
      <c r="R211" s="12">
        <f t="shared" si="5"/>
        <v>9208.68</v>
      </c>
    </row>
    <row r="212">
      <c r="A212" s="126"/>
      <c r="E212" s="126"/>
      <c r="L212" s="126"/>
    </row>
    <row r="213">
      <c r="A213" s="105">
        <v>45718.0</v>
      </c>
      <c r="B213" s="108" t="s">
        <v>2152</v>
      </c>
      <c r="C213" s="108" t="s">
        <v>2153</v>
      </c>
      <c r="D213" s="108" t="s">
        <v>1395</v>
      </c>
      <c r="E213" s="108" t="s">
        <v>2154</v>
      </c>
      <c r="F213" s="108" t="s">
        <v>2155</v>
      </c>
      <c r="G213" s="108"/>
      <c r="H213" s="108"/>
      <c r="I213" s="114">
        <v>2620.0</v>
      </c>
      <c r="J213" s="110">
        <v>46055.0</v>
      </c>
      <c r="K213" s="108" t="s">
        <v>1424</v>
      </c>
      <c r="L213" s="167" t="s">
        <v>49</v>
      </c>
      <c r="M213" s="108" t="s">
        <v>27</v>
      </c>
      <c r="N213" s="108" t="s">
        <v>28</v>
      </c>
      <c r="O213" s="114">
        <v>18085.0</v>
      </c>
      <c r="P213" s="114">
        <v>20377.0</v>
      </c>
      <c r="Q213" s="6">
        <v>53.0</v>
      </c>
      <c r="R213" s="12">
        <f t="shared" ref="R213:R255" si="6">O213*Q213%</f>
        <v>9585.05</v>
      </c>
    </row>
    <row r="214">
      <c r="A214" s="105">
        <v>45718.0</v>
      </c>
      <c r="B214" s="108" t="s">
        <v>2156</v>
      </c>
      <c r="C214" s="108" t="s">
        <v>2157</v>
      </c>
      <c r="D214" s="108" t="s">
        <v>21</v>
      </c>
      <c r="E214" s="114">
        <v>2516.0</v>
      </c>
      <c r="F214" s="108" t="s">
        <v>2158</v>
      </c>
      <c r="G214" s="108"/>
      <c r="H214" s="108"/>
      <c r="I214" s="114">
        <v>28000.0</v>
      </c>
      <c r="J214" s="114" t="s">
        <v>2159</v>
      </c>
      <c r="K214" s="108" t="s">
        <v>78</v>
      </c>
      <c r="L214" s="167" t="s">
        <v>49</v>
      </c>
      <c r="M214" s="108" t="s">
        <v>71</v>
      </c>
      <c r="N214" s="108" t="s">
        <v>28</v>
      </c>
      <c r="O214" s="116">
        <v>46772.89</v>
      </c>
      <c r="P214" s="116">
        <v>52555.0</v>
      </c>
      <c r="Q214" s="6">
        <v>27.0</v>
      </c>
      <c r="R214" s="12">
        <f t="shared" si="6"/>
        <v>12628.6803</v>
      </c>
    </row>
    <row r="215">
      <c r="A215" s="87">
        <v>45749.0</v>
      </c>
      <c r="B215" s="8" t="s">
        <v>2160</v>
      </c>
      <c r="C215" s="8" t="s">
        <v>2161</v>
      </c>
      <c r="D215" s="8" t="s">
        <v>1395</v>
      </c>
      <c r="E215" s="8" t="s">
        <v>2116</v>
      </c>
      <c r="F215" s="8" t="s">
        <v>2162</v>
      </c>
      <c r="G215" s="8"/>
      <c r="H215" s="8"/>
      <c r="I215" s="21">
        <v>1600.0</v>
      </c>
      <c r="J215" s="22">
        <v>46358.0</v>
      </c>
      <c r="K215" s="8" t="s">
        <v>1424</v>
      </c>
      <c r="L215" s="168" t="s">
        <v>49</v>
      </c>
      <c r="M215" s="8" t="s">
        <v>71</v>
      </c>
      <c r="N215" s="8" t="s">
        <v>28</v>
      </c>
      <c r="O215" s="21">
        <v>18979.0</v>
      </c>
      <c r="P215" s="21">
        <v>21433.0</v>
      </c>
      <c r="Q215" s="6">
        <v>53.0</v>
      </c>
      <c r="R215" s="12">
        <f t="shared" si="6"/>
        <v>10058.87</v>
      </c>
    </row>
    <row r="216">
      <c r="A216" s="87">
        <v>45749.0</v>
      </c>
      <c r="B216" s="8" t="s">
        <v>2163</v>
      </c>
      <c r="C216" s="8" t="s">
        <v>2164</v>
      </c>
      <c r="D216" s="8" t="s">
        <v>1395</v>
      </c>
      <c r="E216" s="8" t="s">
        <v>2116</v>
      </c>
      <c r="F216" s="8" t="s">
        <v>2165</v>
      </c>
      <c r="G216" s="8"/>
      <c r="H216" s="8"/>
      <c r="I216" s="21">
        <v>1600.0</v>
      </c>
      <c r="J216" s="22">
        <v>46144.0</v>
      </c>
      <c r="K216" s="8" t="s">
        <v>1424</v>
      </c>
      <c r="L216" s="168" t="s">
        <v>49</v>
      </c>
      <c r="M216" s="8" t="s">
        <v>71</v>
      </c>
      <c r="N216" s="8" t="s">
        <v>28</v>
      </c>
      <c r="O216" s="21">
        <v>19408.0</v>
      </c>
      <c r="P216" s="21">
        <v>21938.0</v>
      </c>
      <c r="Q216" s="6">
        <v>53.0</v>
      </c>
      <c r="R216" s="12">
        <f t="shared" si="6"/>
        <v>10286.24</v>
      </c>
    </row>
    <row r="217">
      <c r="A217" s="87">
        <v>45749.0</v>
      </c>
      <c r="B217" s="8" t="s">
        <v>2166</v>
      </c>
      <c r="C217" s="8" t="s">
        <v>2167</v>
      </c>
      <c r="D217" s="8" t="s">
        <v>1405</v>
      </c>
      <c r="E217" s="8" t="s">
        <v>1816</v>
      </c>
      <c r="F217" s="8" t="s">
        <v>2168</v>
      </c>
      <c r="G217" s="8"/>
      <c r="H217" s="8"/>
      <c r="I217" s="21">
        <v>990.0</v>
      </c>
      <c r="J217" s="22">
        <v>46083.0</v>
      </c>
      <c r="K217" s="8" t="s">
        <v>78</v>
      </c>
      <c r="L217" s="168" t="s">
        <v>49</v>
      </c>
      <c r="M217" s="8" t="s">
        <v>27</v>
      </c>
      <c r="N217" s="8" t="s">
        <v>28</v>
      </c>
      <c r="O217" s="97">
        <v>5145.52</v>
      </c>
      <c r="P217" s="97">
        <v>5802.0</v>
      </c>
      <c r="Q217" s="6">
        <v>59.0</v>
      </c>
      <c r="R217" s="12">
        <f t="shared" si="6"/>
        <v>3035.8568</v>
      </c>
    </row>
    <row r="218">
      <c r="A218" s="87">
        <v>45749.0</v>
      </c>
      <c r="B218" s="8" t="s">
        <v>735</v>
      </c>
      <c r="C218" s="8" t="s">
        <v>2169</v>
      </c>
      <c r="D218" s="8" t="s">
        <v>1405</v>
      </c>
      <c r="E218" s="8" t="s">
        <v>1849</v>
      </c>
      <c r="F218" s="8" t="s">
        <v>2170</v>
      </c>
      <c r="G218" s="8"/>
      <c r="H218" s="8"/>
      <c r="I218" s="21">
        <v>965.0</v>
      </c>
      <c r="J218" s="22">
        <v>46114.0</v>
      </c>
      <c r="K218" s="8" t="s">
        <v>78</v>
      </c>
      <c r="L218" s="168" t="s">
        <v>49</v>
      </c>
      <c r="M218" s="8" t="s">
        <v>33</v>
      </c>
      <c r="N218" s="8" t="s">
        <v>28</v>
      </c>
      <c r="O218" s="97">
        <v>5724.4</v>
      </c>
      <c r="P218" s="97">
        <v>6485.0</v>
      </c>
      <c r="Q218" s="6">
        <v>59.0</v>
      </c>
      <c r="R218" s="12">
        <f t="shared" si="6"/>
        <v>3377.396</v>
      </c>
    </row>
    <row r="219">
      <c r="A219" s="87">
        <v>45749.0</v>
      </c>
      <c r="B219" s="8" t="s">
        <v>2171</v>
      </c>
      <c r="C219" s="8" t="s">
        <v>2172</v>
      </c>
      <c r="D219" s="8" t="s">
        <v>1395</v>
      </c>
      <c r="E219" s="8" t="s">
        <v>1974</v>
      </c>
      <c r="F219" s="8" t="s">
        <v>2173</v>
      </c>
      <c r="G219" s="8"/>
      <c r="H219" s="8"/>
      <c r="I219" s="21">
        <v>3425.0</v>
      </c>
      <c r="J219" s="22">
        <v>46083.0</v>
      </c>
      <c r="K219" s="8" t="s">
        <v>1419</v>
      </c>
      <c r="L219" s="168" t="s">
        <v>49</v>
      </c>
      <c r="M219" s="8" t="s">
        <v>71</v>
      </c>
      <c r="N219" s="8" t="s">
        <v>28</v>
      </c>
      <c r="O219" s="21">
        <v>18458.0</v>
      </c>
      <c r="P219" s="21">
        <v>20818.0</v>
      </c>
      <c r="Q219" s="6">
        <v>52.0</v>
      </c>
      <c r="R219" s="12">
        <f t="shared" si="6"/>
        <v>9598.16</v>
      </c>
    </row>
    <row r="220">
      <c r="A220" s="87">
        <v>45749.0</v>
      </c>
      <c r="B220" s="8" t="s">
        <v>2174</v>
      </c>
      <c r="C220" s="8" t="s">
        <v>2175</v>
      </c>
      <c r="D220" s="8" t="s">
        <v>1432</v>
      </c>
      <c r="E220" s="8" t="s">
        <v>1887</v>
      </c>
      <c r="F220" s="8" t="s">
        <v>2176</v>
      </c>
      <c r="G220" s="21">
        <v>7.600909991E9</v>
      </c>
      <c r="H220" s="8"/>
      <c r="I220" s="21">
        <v>236.0</v>
      </c>
      <c r="J220" s="22">
        <v>46175.0</v>
      </c>
      <c r="K220" s="8" t="s">
        <v>1419</v>
      </c>
      <c r="L220" s="168" t="s">
        <v>49</v>
      </c>
      <c r="M220" s="8" t="s">
        <v>1456</v>
      </c>
      <c r="N220" s="8" t="s">
        <v>28</v>
      </c>
      <c r="O220" s="21">
        <v>6419.0</v>
      </c>
      <c r="P220" s="21">
        <v>7575.0</v>
      </c>
      <c r="Q220" s="6">
        <v>53.0</v>
      </c>
      <c r="R220" s="12">
        <f t="shared" si="6"/>
        <v>3402.07</v>
      </c>
    </row>
    <row r="221">
      <c r="A221" s="87">
        <v>45749.0</v>
      </c>
      <c r="B221" s="8" t="s">
        <v>2177</v>
      </c>
      <c r="C221" s="8" t="s">
        <v>2178</v>
      </c>
      <c r="D221" s="8" t="s">
        <v>1432</v>
      </c>
      <c r="E221" s="8" t="s">
        <v>1887</v>
      </c>
      <c r="F221" s="8" t="s">
        <v>2179</v>
      </c>
      <c r="G221" s="8"/>
      <c r="H221" s="8"/>
      <c r="I221" s="21">
        <v>236.0</v>
      </c>
      <c r="J221" s="22">
        <v>46083.0</v>
      </c>
      <c r="K221" s="8" t="s">
        <v>1419</v>
      </c>
      <c r="L221" s="168" t="s">
        <v>49</v>
      </c>
      <c r="M221" s="8" t="s">
        <v>27</v>
      </c>
      <c r="N221" s="8" t="s">
        <v>28</v>
      </c>
      <c r="O221" s="21">
        <v>6407.0</v>
      </c>
      <c r="P221" s="21">
        <v>7561.0</v>
      </c>
      <c r="Q221" s="6">
        <v>53.0</v>
      </c>
      <c r="R221" s="12">
        <f t="shared" si="6"/>
        <v>3395.71</v>
      </c>
    </row>
    <row r="222">
      <c r="A222" s="87">
        <v>45749.0</v>
      </c>
      <c r="B222" s="8" t="s">
        <v>2180</v>
      </c>
      <c r="C222" s="8" t="s">
        <v>2181</v>
      </c>
      <c r="D222" s="8" t="s">
        <v>1395</v>
      </c>
      <c r="E222" s="8" t="s">
        <v>2182</v>
      </c>
      <c r="F222" s="8" t="s">
        <v>2183</v>
      </c>
      <c r="G222" s="21">
        <v>9.898518032E9</v>
      </c>
      <c r="H222" s="8"/>
      <c r="I222" s="21">
        <v>1600.0</v>
      </c>
      <c r="J222" s="22">
        <v>46055.0</v>
      </c>
      <c r="K222" s="8" t="s">
        <v>70</v>
      </c>
      <c r="L222" s="168" t="s">
        <v>49</v>
      </c>
      <c r="M222" s="8" t="s">
        <v>71</v>
      </c>
      <c r="N222" s="8" t="s">
        <v>28</v>
      </c>
      <c r="O222" s="97">
        <v>17515.0</v>
      </c>
      <c r="P222" s="97">
        <v>19705.0</v>
      </c>
      <c r="Q222" s="6">
        <v>58.0</v>
      </c>
      <c r="R222" s="12">
        <f t="shared" si="6"/>
        <v>10158.7</v>
      </c>
    </row>
    <row r="223">
      <c r="A223" s="87">
        <v>45749.0</v>
      </c>
      <c r="B223" s="8" t="s">
        <v>2184</v>
      </c>
      <c r="C223" s="8" t="s">
        <v>2185</v>
      </c>
      <c r="D223" s="8" t="s">
        <v>1395</v>
      </c>
      <c r="E223" s="8" t="s">
        <v>2186</v>
      </c>
      <c r="F223" s="8" t="s">
        <v>2187</v>
      </c>
      <c r="G223" s="21">
        <v>9.427410561E9</v>
      </c>
      <c r="H223" s="8"/>
      <c r="I223" s="21">
        <v>2960.0</v>
      </c>
      <c r="J223" s="22">
        <v>46328.0</v>
      </c>
      <c r="K223" s="8" t="s">
        <v>116</v>
      </c>
      <c r="L223" s="168" t="s">
        <v>49</v>
      </c>
      <c r="M223" s="8" t="s">
        <v>71</v>
      </c>
      <c r="N223" s="8" t="s">
        <v>28</v>
      </c>
      <c r="O223" s="97">
        <v>16645.0</v>
      </c>
      <c r="P223" s="97">
        <v>18673.0</v>
      </c>
      <c r="Q223" s="6">
        <v>48.0</v>
      </c>
      <c r="R223" s="12">
        <f t="shared" si="6"/>
        <v>7989.6</v>
      </c>
    </row>
    <row r="224">
      <c r="A224" s="87">
        <v>45749.0</v>
      </c>
      <c r="B224" s="8" t="s">
        <v>2188</v>
      </c>
      <c r="C224" s="8" t="s">
        <v>2189</v>
      </c>
      <c r="D224" s="8" t="s">
        <v>21</v>
      </c>
      <c r="E224" s="8" t="s">
        <v>2190</v>
      </c>
      <c r="F224" s="8" t="s">
        <v>2191</v>
      </c>
      <c r="G224" s="8"/>
      <c r="H224" s="8"/>
      <c r="I224" s="21">
        <v>16200.0</v>
      </c>
      <c r="J224" s="128">
        <v>46083.0</v>
      </c>
      <c r="K224" s="8" t="s">
        <v>65</v>
      </c>
      <c r="L224" s="168" t="s">
        <v>26</v>
      </c>
      <c r="M224" s="8" t="s">
        <v>71</v>
      </c>
      <c r="N224" s="8" t="s">
        <v>28</v>
      </c>
      <c r="O224" s="21">
        <v>35463.0</v>
      </c>
      <c r="P224" s="21">
        <v>39729.0</v>
      </c>
      <c r="Q224" s="6">
        <v>45.0</v>
      </c>
      <c r="R224" s="12">
        <f t="shared" si="6"/>
        <v>15958.35</v>
      </c>
    </row>
    <row r="225">
      <c r="A225" s="87">
        <v>45749.0</v>
      </c>
      <c r="B225" s="8" t="s">
        <v>2192</v>
      </c>
      <c r="C225" s="8" t="s">
        <v>2193</v>
      </c>
      <c r="D225" s="8" t="s">
        <v>21</v>
      </c>
      <c r="E225" s="8" t="s">
        <v>2194</v>
      </c>
      <c r="F225" s="8" t="s">
        <v>2195</v>
      </c>
      <c r="G225" s="8"/>
      <c r="H225" s="8"/>
      <c r="I225" s="21">
        <v>45500.0</v>
      </c>
      <c r="J225" s="22">
        <v>46236.0</v>
      </c>
      <c r="K225" s="8" t="s">
        <v>1424</v>
      </c>
      <c r="L225" s="168" t="s">
        <v>49</v>
      </c>
      <c r="M225" s="8" t="s">
        <v>71</v>
      </c>
      <c r="N225" s="8" t="s">
        <v>28</v>
      </c>
      <c r="O225" s="21">
        <v>48797.0</v>
      </c>
      <c r="P225" s="21">
        <v>54927.0</v>
      </c>
      <c r="Q225" s="6">
        <v>23.0</v>
      </c>
      <c r="R225" s="12">
        <f t="shared" si="6"/>
        <v>11223.31</v>
      </c>
    </row>
    <row r="226">
      <c r="A226" s="87">
        <v>45749.0</v>
      </c>
      <c r="B226" s="8" t="s">
        <v>2196</v>
      </c>
      <c r="C226" s="8" t="s">
        <v>2197</v>
      </c>
      <c r="D226" s="8" t="s">
        <v>1432</v>
      </c>
      <c r="E226" s="8" t="s">
        <v>1439</v>
      </c>
      <c r="F226" s="8" t="s">
        <v>2198</v>
      </c>
      <c r="G226" s="8"/>
      <c r="H226" s="8"/>
      <c r="I226" s="21">
        <v>236.0</v>
      </c>
      <c r="J226" s="22">
        <v>46114.0</v>
      </c>
      <c r="K226" s="8" t="s">
        <v>1419</v>
      </c>
      <c r="L226" s="168" t="s">
        <v>49</v>
      </c>
      <c r="M226" s="8" t="s">
        <v>1616</v>
      </c>
      <c r="N226" s="8" t="s">
        <v>28</v>
      </c>
      <c r="O226" s="21">
        <v>6499.0</v>
      </c>
      <c r="P226" s="21">
        <v>7669.0</v>
      </c>
      <c r="Q226" s="6">
        <v>53.0</v>
      </c>
      <c r="R226" s="12">
        <f t="shared" si="6"/>
        <v>3444.47</v>
      </c>
    </row>
    <row r="227">
      <c r="A227" s="87">
        <v>45749.0</v>
      </c>
      <c r="B227" s="8" t="s">
        <v>1922</v>
      </c>
      <c r="C227" s="8" t="s">
        <v>2199</v>
      </c>
      <c r="D227" s="8" t="s">
        <v>21</v>
      </c>
      <c r="E227" s="8" t="s">
        <v>2200</v>
      </c>
      <c r="F227" s="8" t="s">
        <v>2201</v>
      </c>
      <c r="G227" s="21" t="s">
        <v>2202</v>
      </c>
      <c r="H227" s="8"/>
      <c r="I227" s="21">
        <v>12990.0</v>
      </c>
      <c r="J227" s="22">
        <v>46083.0</v>
      </c>
      <c r="K227" s="8" t="s">
        <v>1424</v>
      </c>
      <c r="L227" s="168" t="s">
        <v>49</v>
      </c>
      <c r="M227" s="8" t="s">
        <v>1477</v>
      </c>
      <c r="N227" s="8" t="s">
        <v>28</v>
      </c>
      <c r="O227" s="21">
        <v>37753.0</v>
      </c>
      <c r="P227" s="21">
        <v>42431.0</v>
      </c>
      <c r="Q227" s="6">
        <v>23.0</v>
      </c>
      <c r="R227" s="12">
        <f t="shared" si="6"/>
        <v>8683.19</v>
      </c>
    </row>
    <row r="228">
      <c r="A228" s="87">
        <v>45749.0</v>
      </c>
      <c r="B228" s="8" t="s">
        <v>2203</v>
      </c>
      <c r="C228" s="8" t="s">
        <v>2204</v>
      </c>
      <c r="D228" s="8" t="s">
        <v>1432</v>
      </c>
      <c r="E228" s="8" t="s">
        <v>1433</v>
      </c>
      <c r="F228" s="8" t="s">
        <v>2205</v>
      </c>
      <c r="G228" s="21">
        <v>8.347024013E9</v>
      </c>
      <c r="H228" s="8"/>
      <c r="I228" s="21">
        <v>236.0</v>
      </c>
      <c r="J228" s="22">
        <v>46114.0</v>
      </c>
      <c r="K228" s="8" t="s">
        <v>1419</v>
      </c>
      <c r="L228" s="168" t="s">
        <v>49</v>
      </c>
      <c r="M228" s="8" t="s">
        <v>2206</v>
      </c>
      <c r="N228" s="8" t="s">
        <v>28</v>
      </c>
      <c r="O228" s="21">
        <v>6175.0</v>
      </c>
      <c r="P228" s="21">
        <v>7287.0</v>
      </c>
      <c r="Q228" s="6">
        <v>53.0</v>
      </c>
      <c r="R228" s="12">
        <f t="shared" si="6"/>
        <v>3272.75</v>
      </c>
    </row>
    <row r="229">
      <c r="A229" s="87">
        <v>45749.0</v>
      </c>
      <c r="B229" s="8" t="s">
        <v>1877</v>
      </c>
      <c r="C229" s="8" t="s">
        <v>2207</v>
      </c>
      <c r="D229" s="8" t="s">
        <v>21</v>
      </c>
      <c r="E229" s="8" t="s">
        <v>2208</v>
      </c>
      <c r="F229" s="8" t="s">
        <v>2209</v>
      </c>
      <c r="G229" s="8"/>
      <c r="H229" s="8"/>
      <c r="I229" s="21">
        <v>11950.0</v>
      </c>
      <c r="J229" s="22">
        <v>46083.0</v>
      </c>
      <c r="K229" s="8" t="s">
        <v>1424</v>
      </c>
      <c r="L229" s="168" t="s">
        <v>49</v>
      </c>
      <c r="M229" s="8" t="s">
        <v>1451</v>
      </c>
      <c r="N229" s="8" t="s">
        <v>28</v>
      </c>
      <c r="O229" s="21">
        <v>30348.0</v>
      </c>
      <c r="P229" s="21">
        <v>34180.0</v>
      </c>
      <c r="Q229" s="6">
        <v>23.0</v>
      </c>
      <c r="R229" s="12">
        <f t="shared" si="6"/>
        <v>6980.04</v>
      </c>
    </row>
    <row r="230">
      <c r="A230" s="87">
        <v>45779.0</v>
      </c>
      <c r="B230" s="8" t="s">
        <v>2210</v>
      </c>
      <c r="C230" s="8" t="s">
        <v>2211</v>
      </c>
      <c r="D230" s="86" t="s">
        <v>1395</v>
      </c>
      <c r="E230" s="8" t="s">
        <v>2212</v>
      </c>
      <c r="F230" s="8" t="s">
        <v>2213</v>
      </c>
      <c r="G230" s="8"/>
      <c r="H230" s="8"/>
      <c r="I230" s="21">
        <v>2100.0</v>
      </c>
      <c r="J230" s="22">
        <v>46083.0</v>
      </c>
      <c r="K230" s="8" t="s">
        <v>116</v>
      </c>
      <c r="L230" s="168" t="s">
        <v>26</v>
      </c>
      <c r="M230" s="8" t="s">
        <v>27</v>
      </c>
      <c r="N230" s="8" t="s">
        <v>28</v>
      </c>
      <c r="O230" s="97">
        <v>16099.0</v>
      </c>
      <c r="P230" s="97">
        <v>18031.0</v>
      </c>
      <c r="Q230" s="6">
        <v>48.0</v>
      </c>
      <c r="R230" s="12">
        <f t="shared" si="6"/>
        <v>7727.52</v>
      </c>
    </row>
    <row r="231">
      <c r="A231" s="87">
        <v>45779.0</v>
      </c>
      <c r="B231" s="8" t="s">
        <v>1081</v>
      </c>
      <c r="C231" s="8" t="s">
        <v>2214</v>
      </c>
      <c r="D231" s="8" t="s">
        <v>1395</v>
      </c>
      <c r="E231" s="8" t="s">
        <v>178</v>
      </c>
      <c r="F231" s="8" t="s">
        <v>1083</v>
      </c>
      <c r="G231" s="21" t="s">
        <v>2215</v>
      </c>
      <c r="H231" s="8"/>
      <c r="I231" s="21">
        <v>3460.0</v>
      </c>
      <c r="J231" s="22">
        <v>46114.0</v>
      </c>
      <c r="K231" s="8" t="s">
        <v>116</v>
      </c>
      <c r="L231" s="168" t="s">
        <v>49</v>
      </c>
      <c r="M231" s="8" t="s">
        <v>27</v>
      </c>
      <c r="N231" s="8" t="s">
        <v>28</v>
      </c>
      <c r="O231" s="97">
        <v>21562.0</v>
      </c>
      <c r="P231" s="97">
        <v>24476.0</v>
      </c>
      <c r="Q231" s="6">
        <v>48.0</v>
      </c>
      <c r="R231" s="12">
        <f t="shared" si="6"/>
        <v>10349.76</v>
      </c>
    </row>
    <row r="232">
      <c r="A232" s="105">
        <v>45779.0</v>
      </c>
      <c r="B232" s="108" t="s">
        <v>2216</v>
      </c>
      <c r="C232" s="108" t="s">
        <v>2217</v>
      </c>
      <c r="D232" s="108" t="s">
        <v>21</v>
      </c>
      <c r="E232" s="108" t="s">
        <v>2218</v>
      </c>
      <c r="F232" s="108" t="s">
        <v>2219</v>
      </c>
      <c r="G232" s="114">
        <v>7.069930894E9</v>
      </c>
      <c r="H232" s="108"/>
      <c r="I232" s="114">
        <v>35000.0</v>
      </c>
      <c r="J232" s="110">
        <v>46144.0</v>
      </c>
      <c r="K232" s="108" t="s">
        <v>78</v>
      </c>
      <c r="L232" s="168" t="s">
        <v>49</v>
      </c>
      <c r="M232" s="108" t="s">
        <v>1460</v>
      </c>
      <c r="N232" s="108" t="s">
        <v>28</v>
      </c>
      <c r="O232" s="116">
        <v>47363.53</v>
      </c>
      <c r="P232" s="116">
        <v>53252.0</v>
      </c>
      <c r="Q232" s="6">
        <v>27.0</v>
      </c>
      <c r="R232" s="12">
        <f t="shared" si="6"/>
        <v>12788.1531</v>
      </c>
    </row>
    <row r="233">
      <c r="A233" s="87">
        <v>45810.0</v>
      </c>
      <c r="B233" s="8" t="s">
        <v>2220</v>
      </c>
      <c r="C233" s="8" t="s">
        <v>2221</v>
      </c>
      <c r="D233" s="8" t="s">
        <v>1395</v>
      </c>
      <c r="E233" s="8" t="s">
        <v>2222</v>
      </c>
      <c r="F233" s="8" t="s">
        <v>2223</v>
      </c>
      <c r="G233" s="21" t="s">
        <v>2224</v>
      </c>
      <c r="H233" s="8"/>
      <c r="I233" s="21">
        <v>2565.0</v>
      </c>
      <c r="J233" s="22">
        <v>46114.0</v>
      </c>
      <c r="K233" s="8" t="s">
        <v>1424</v>
      </c>
      <c r="L233" s="168" t="s">
        <v>49</v>
      </c>
      <c r="M233" s="8" t="s">
        <v>1456</v>
      </c>
      <c r="N233" s="8" t="s">
        <v>28</v>
      </c>
      <c r="O233" s="21">
        <v>20406.0</v>
      </c>
      <c r="P233" s="21">
        <v>23116.0</v>
      </c>
      <c r="Q233" s="6">
        <v>53.0</v>
      </c>
      <c r="R233" s="12">
        <f t="shared" si="6"/>
        <v>10815.18</v>
      </c>
    </row>
    <row r="234">
      <c r="A234" s="87">
        <v>45810.0</v>
      </c>
      <c r="B234" s="8" t="s">
        <v>2225</v>
      </c>
      <c r="C234" s="8" t="s">
        <v>2226</v>
      </c>
      <c r="D234" s="8" t="s">
        <v>1395</v>
      </c>
      <c r="E234" s="8" t="s">
        <v>2227</v>
      </c>
      <c r="F234" s="8" t="s">
        <v>2228</v>
      </c>
      <c r="G234" s="8"/>
      <c r="H234" s="8"/>
      <c r="I234" s="21">
        <v>2750.0</v>
      </c>
      <c r="J234" s="22">
        <v>46114.0</v>
      </c>
      <c r="K234" s="8" t="s">
        <v>1424</v>
      </c>
      <c r="L234" s="168" t="s">
        <v>49</v>
      </c>
      <c r="M234" s="8" t="s">
        <v>71</v>
      </c>
      <c r="N234" s="8" t="s">
        <v>28</v>
      </c>
      <c r="O234" s="21">
        <v>18500.0</v>
      </c>
      <c r="P234" s="21">
        <v>20868.0</v>
      </c>
      <c r="Q234" s="6">
        <v>53.0</v>
      </c>
      <c r="R234" s="12">
        <f t="shared" si="6"/>
        <v>9805</v>
      </c>
    </row>
    <row r="235">
      <c r="A235" s="87">
        <v>45810.0</v>
      </c>
      <c r="B235" s="8" t="s">
        <v>2229</v>
      </c>
      <c r="C235" s="8" t="s">
        <v>2230</v>
      </c>
      <c r="D235" s="8" t="s">
        <v>21</v>
      </c>
      <c r="E235" s="8" t="s">
        <v>2231</v>
      </c>
      <c r="F235" s="8" t="s">
        <v>2232</v>
      </c>
      <c r="G235" s="8"/>
      <c r="H235" s="8"/>
      <c r="I235" s="21">
        <v>28000.0</v>
      </c>
      <c r="J235" s="128">
        <v>46175.0</v>
      </c>
      <c r="K235" s="8" t="s">
        <v>65</v>
      </c>
      <c r="L235" s="168" t="s">
        <v>26</v>
      </c>
      <c r="M235" s="8" t="s">
        <v>27</v>
      </c>
      <c r="N235" s="8" t="s">
        <v>28</v>
      </c>
      <c r="O235" s="21">
        <v>44381.0</v>
      </c>
      <c r="P235" s="21">
        <v>49733.0</v>
      </c>
      <c r="Q235" s="6">
        <v>51.0</v>
      </c>
      <c r="R235" s="12">
        <f t="shared" si="6"/>
        <v>22634.31</v>
      </c>
    </row>
    <row r="236">
      <c r="A236" s="87">
        <v>45810.0</v>
      </c>
      <c r="B236" s="8" t="s">
        <v>2233</v>
      </c>
      <c r="C236" s="8" t="s">
        <v>2234</v>
      </c>
      <c r="D236" s="8" t="s">
        <v>1395</v>
      </c>
      <c r="E236" s="8" t="s">
        <v>2235</v>
      </c>
      <c r="F236" s="8" t="s">
        <v>2236</v>
      </c>
      <c r="G236" s="8"/>
      <c r="H236" s="8"/>
      <c r="I236" s="165">
        <v>1600.0</v>
      </c>
      <c r="J236" s="22">
        <v>46328.0</v>
      </c>
      <c r="K236" s="8" t="s">
        <v>78</v>
      </c>
      <c r="L236" s="168" t="s">
        <v>49</v>
      </c>
      <c r="M236" s="8" t="s">
        <v>71</v>
      </c>
      <c r="N236" s="8" t="s">
        <v>28</v>
      </c>
      <c r="O236" s="97">
        <v>22219.81</v>
      </c>
      <c r="P236" s="97">
        <v>25256.0</v>
      </c>
      <c r="Q236" s="6">
        <v>62.0</v>
      </c>
      <c r="R236" s="12">
        <f t="shared" si="6"/>
        <v>13776.2822</v>
      </c>
    </row>
    <row r="237">
      <c r="A237" s="87">
        <v>45810.0</v>
      </c>
      <c r="B237" s="8" t="s">
        <v>2237</v>
      </c>
      <c r="C237" s="8" t="s">
        <v>2238</v>
      </c>
      <c r="D237" s="8" t="s">
        <v>533</v>
      </c>
      <c r="E237" s="8" t="s">
        <v>2239</v>
      </c>
      <c r="F237" s="8" t="s">
        <v>2240</v>
      </c>
      <c r="G237" s="21">
        <v>9.979604255E9</v>
      </c>
      <c r="H237" s="8"/>
      <c r="I237" s="21">
        <v>1.0</v>
      </c>
      <c r="J237" s="22">
        <v>46205.0</v>
      </c>
      <c r="K237" s="8" t="s">
        <v>25</v>
      </c>
      <c r="L237" s="168" t="s">
        <v>49</v>
      </c>
      <c r="M237" s="8" t="s">
        <v>1477</v>
      </c>
      <c r="N237" s="8" t="s">
        <v>28</v>
      </c>
      <c r="O237" s="97">
        <v>10328.0</v>
      </c>
      <c r="P237" s="97">
        <v>12187.0</v>
      </c>
      <c r="Q237" s="6">
        <v>31.0</v>
      </c>
      <c r="R237" s="12">
        <f t="shared" si="6"/>
        <v>3201.68</v>
      </c>
    </row>
    <row r="238">
      <c r="A238" s="87">
        <v>45810.0</v>
      </c>
      <c r="B238" s="8" t="s">
        <v>2241</v>
      </c>
      <c r="C238" s="8" t="s">
        <v>2242</v>
      </c>
      <c r="D238" s="8" t="s">
        <v>1395</v>
      </c>
      <c r="E238" s="8" t="s">
        <v>2243</v>
      </c>
      <c r="F238" s="8" t="s">
        <v>2244</v>
      </c>
      <c r="G238" s="8"/>
      <c r="H238" s="8"/>
      <c r="I238" s="21">
        <v>2670.0</v>
      </c>
      <c r="J238" s="22">
        <v>46175.0</v>
      </c>
      <c r="K238" s="8" t="s">
        <v>1424</v>
      </c>
      <c r="L238" s="168" t="s">
        <v>49</v>
      </c>
      <c r="M238" s="8" t="s">
        <v>27</v>
      </c>
      <c r="N238" s="8" t="s">
        <v>28</v>
      </c>
      <c r="O238" s="21">
        <v>17701.0</v>
      </c>
      <c r="P238" s="21">
        <v>19925.0</v>
      </c>
      <c r="Q238" s="6">
        <v>53.0</v>
      </c>
      <c r="R238" s="12">
        <f t="shared" si="6"/>
        <v>9381.53</v>
      </c>
    </row>
    <row r="239">
      <c r="A239" s="87">
        <v>45810.0</v>
      </c>
      <c r="B239" s="8" t="s">
        <v>750</v>
      </c>
      <c r="C239" s="8" t="s">
        <v>2245</v>
      </c>
      <c r="D239" s="8" t="s">
        <v>21</v>
      </c>
      <c r="E239" s="8" t="s">
        <v>2246</v>
      </c>
      <c r="F239" s="8" t="s">
        <v>752</v>
      </c>
      <c r="G239" s="21">
        <v>9.712962709E9</v>
      </c>
      <c r="H239" s="8"/>
      <c r="I239" s="21">
        <v>7490.0</v>
      </c>
      <c r="J239" s="22">
        <v>46175.0</v>
      </c>
      <c r="K239" s="8" t="s">
        <v>116</v>
      </c>
      <c r="L239" s="168" t="s">
        <v>49</v>
      </c>
      <c r="M239" s="8" t="s">
        <v>1436</v>
      </c>
      <c r="N239" s="8" t="s">
        <v>28</v>
      </c>
      <c r="O239" s="97">
        <v>23792.0</v>
      </c>
      <c r="P239" s="97">
        <v>27101.0</v>
      </c>
      <c r="Q239" s="6">
        <v>30.0</v>
      </c>
      <c r="R239" s="12">
        <f t="shared" si="6"/>
        <v>7137.6</v>
      </c>
    </row>
    <row r="240">
      <c r="A240" s="87">
        <v>45810.0</v>
      </c>
      <c r="B240" s="8" t="s">
        <v>2247</v>
      </c>
      <c r="C240" s="8" t="s">
        <v>2248</v>
      </c>
      <c r="D240" s="8" t="s">
        <v>1395</v>
      </c>
      <c r="E240" s="8" t="s">
        <v>2249</v>
      </c>
      <c r="F240" s="8" t="s">
        <v>2250</v>
      </c>
      <c r="G240" s="8"/>
      <c r="H240" s="8"/>
      <c r="I240" s="21">
        <v>2180.0</v>
      </c>
      <c r="J240" s="22">
        <v>46144.0</v>
      </c>
      <c r="K240" s="8" t="s">
        <v>70</v>
      </c>
      <c r="L240" s="168" t="s">
        <v>49</v>
      </c>
      <c r="M240" s="8" t="s">
        <v>33</v>
      </c>
      <c r="N240" s="8" t="s">
        <v>28</v>
      </c>
      <c r="O240" s="97">
        <v>17191.0</v>
      </c>
      <c r="P240" s="97">
        <v>19322.0</v>
      </c>
      <c r="Q240" s="6">
        <v>58.0</v>
      </c>
      <c r="R240" s="12">
        <f t="shared" si="6"/>
        <v>9970.78</v>
      </c>
    </row>
    <row r="241">
      <c r="A241" s="87">
        <v>45840.0</v>
      </c>
      <c r="B241" s="8" t="s">
        <v>2251</v>
      </c>
      <c r="C241" s="8" t="s">
        <v>2252</v>
      </c>
      <c r="D241" s="8" t="s">
        <v>1395</v>
      </c>
      <c r="E241" s="8" t="s">
        <v>2253</v>
      </c>
      <c r="F241" s="8" t="s">
        <v>2254</v>
      </c>
      <c r="G241" s="8"/>
      <c r="H241" s="8"/>
      <c r="I241" s="21">
        <v>3490.0</v>
      </c>
      <c r="J241" s="22">
        <v>46175.0</v>
      </c>
      <c r="K241" s="8" t="s">
        <v>1419</v>
      </c>
      <c r="L241" s="168" t="s">
        <v>49</v>
      </c>
      <c r="M241" s="8" t="s">
        <v>71</v>
      </c>
      <c r="N241" s="8" t="s">
        <v>28</v>
      </c>
      <c r="O241" s="21">
        <v>19166.0</v>
      </c>
      <c r="P241" s="21">
        <v>21654.0</v>
      </c>
      <c r="Q241" s="6">
        <v>52.0</v>
      </c>
      <c r="R241" s="12">
        <f t="shared" si="6"/>
        <v>9966.32</v>
      </c>
    </row>
    <row r="242">
      <c r="A242" s="87">
        <v>45840.0</v>
      </c>
      <c r="B242" s="8" t="s">
        <v>2255</v>
      </c>
      <c r="C242" s="8" t="s">
        <v>2256</v>
      </c>
      <c r="D242" s="8" t="s">
        <v>1395</v>
      </c>
      <c r="E242" s="8" t="s">
        <v>1131</v>
      </c>
      <c r="F242" s="8" t="s">
        <v>2257</v>
      </c>
      <c r="G242" s="8"/>
      <c r="H242" s="8"/>
      <c r="I242" s="21">
        <v>2735.0</v>
      </c>
      <c r="J242" s="22">
        <v>46144.0</v>
      </c>
      <c r="K242" s="8" t="s">
        <v>116</v>
      </c>
      <c r="L242" s="168" t="s">
        <v>49</v>
      </c>
      <c r="M242" s="8" t="s">
        <v>71</v>
      </c>
      <c r="N242" s="8" t="s">
        <v>28</v>
      </c>
      <c r="O242" s="96">
        <v>21708.0</v>
      </c>
      <c r="P242" s="96">
        <v>24648.0</v>
      </c>
      <c r="Q242" s="6">
        <v>48.0</v>
      </c>
      <c r="R242" s="12">
        <f t="shared" si="6"/>
        <v>10419.84</v>
      </c>
    </row>
    <row r="243">
      <c r="A243" s="87">
        <v>45840.0</v>
      </c>
      <c r="B243" s="8" t="s">
        <v>2258</v>
      </c>
      <c r="C243" s="8" t="s">
        <v>2259</v>
      </c>
      <c r="D243" s="8" t="s">
        <v>1395</v>
      </c>
      <c r="E243" s="8" t="s">
        <v>2260</v>
      </c>
      <c r="F243" s="8" t="s">
        <v>2261</v>
      </c>
      <c r="G243" s="21">
        <v>7.016162447E9</v>
      </c>
      <c r="H243" s="8"/>
      <c r="I243" s="21">
        <v>2930.0</v>
      </c>
      <c r="J243" s="22">
        <v>46236.0</v>
      </c>
      <c r="K243" s="8" t="s">
        <v>116</v>
      </c>
      <c r="L243" s="168" t="s">
        <v>49</v>
      </c>
      <c r="M243" s="8" t="s">
        <v>365</v>
      </c>
      <c r="N243" s="8" t="s">
        <v>28</v>
      </c>
      <c r="O243" s="97">
        <v>20855.0</v>
      </c>
      <c r="P243" s="97">
        <v>23638.0</v>
      </c>
      <c r="Q243" s="6">
        <v>48.0</v>
      </c>
      <c r="R243" s="12">
        <f t="shared" si="6"/>
        <v>10010.4</v>
      </c>
    </row>
    <row r="244">
      <c r="A244" s="87">
        <v>45840.0</v>
      </c>
      <c r="B244" s="8" t="s">
        <v>2262</v>
      </c>
      <c r="C244" s="8" t="s">
        <v>2263</v>
      </c>
      <c r="D244" s="8" t="s">
        <v>1395</v>
      </c>
      <c r="E244" s="8" t="s">
        <v>2264</v>
      </c>
      <c r="F244" s="8" t="s">
        <v>2265</v>
      </c>
      <c r="G244" s="21">
        <v>9.099147037E9</v>
      </c>
      <c r="H244" s="8"/>
      <c r="I244" s="21">
        <v>2500.0</v>
      </c>
      <c r="J244" s="22">
        <v>46267.0</v>
      </c>
      <c r="K244" s="8" t="s">
        <v>70</v>
      </c>
      <c r="L244" s="168" t="s">
        <v>49</v>
      </c>
      <c r="M244" s="8" t="s">
        <v>1456</v>
      </c>
      <c r="N244" s="8" t="s">
        <v>28</v>
      </c>
      <c r="O244" s="97">
        <v>17358.0</v>
      </c>
      <c r="P244" s="97">
        <v>19519.0</v>
      </c>
      <c r="Q244" s="6">
        <v>58.0</v>
      </c>
      <c r="R244" s="12">
        <f t="shared" si="6"/>
        <v>10067.64</v>
      </c>
    </row>
    <row r="245">
      <c r="A245" s="87">
        <v>45871.0</v>
      </c>
      <c r="B245" s="8" t="s">
        <v>2266</v>
      </c>
      <c r="C245" s="8" t="s">
        <v>2267</v>
      </c>
      <c r="D245" s="8" t="s">
        <v>21</v>
      </c>
      <c r="E245" s="8" t="s">
        <v>2268</v>
      </c>
      <c r="F245" s="8" t="s">
        <v>2269</v>
      </c>
      <c r="G245" s="8"/>
      <c r="H245" s="8"/>
      <c r="I245" s="21">
        <v>28000.0</v>
      </c>
      <c r="J245" s="22">
        <v>46236.0</v>
      </c>
      <c r="K245" s="8" t="s">
        <v>353</v>
      </c>
      <c r="L245" s="168" t="s">
        <v>49</v>
      </c>
      <c r="M245" s="8" t="s">
        <v>1477</v>
      </c>
      <c r="N245" s="8" t="s">
        <v>28</v>
      </c>
      <c r="O245" s="97">
        <v>46399.0</v>
      </c>
      <c r="P245" s="97">
        <v>52114.0</v>
      </c>
      <c r="Q245" s="6">
        <v>27.0</v>
      </c>
      <c r="R245" s="12">
        <f t="shared" si="6"/>
        <v>12527.73</v>
      </c>
    </row>
    <row r="246">
      <c r="A246" s="87">
        <v>45871.0</v>
      </c>
      <c r="B246" s="8" t="s">
        <v>2270</v>
      </c>
      <c r="C246" s="8" t="s">
        <v>2271</v>
      </c>
      <c r="D246" s="8" t="s">
        <v>1395</v>
      </c>
      <c r="E246" s="8" t="s">
        <v>2272</v>
      </c>
      <c r="F246" s="8" t="s">
        <v>2273</v>
      </c>
      <c r="G246" s="21">
        <v>9.87923332E9</v>
      </c>
      <c r="H246" s="8"/>
      <c r="I246" s="21">
        <v>2670.0</v>
      </c>
      <c r="J246" s="8" t="s">
        <v>891</v>
      </c>
      <c r="K246" s="8" t="s">
        <v>1419</v>
      </c>
      <c r="L246" s="168" t="s">
        <v>49</v>
      </c>
      <c r="M246" s="8" t="s">
        <v>1456</v>
      </c>
      <c r="N246" s="8" t="s">
        <v>28</v>
      </c>
      <c r="O246" s="21">
        <v>17794.0</v>
      </c>
      <c r="P246" s="21">
        <v>20034.0</v>
      </c>
      <c r="Q246" s="6">
        <v>52.0</v>
      </c>
      <c r="R246" s="12">
        <f t="shared" si="6"/>
        <v>9252.88</v>
      </c>
    </row>
    <row r="247">
      <c r="A247" s="87">
        <v>45871.0</v>
      </c>
      <c r="B247" s="8" t="s">
        <v>780</v>
      </c>
      <c r="C247" s="8" t="s">
        <v>2274</v>
      </c>
      <c r="D247" s="8" t="s">
        <v>533</v>
      </c>
      <c r="E247" s="8" t="s">
        <v>2275</v>
      </c>
      <c r="F247" s="8" t="s">
        <v>783</v>
      </c>
      <c r="G247" s="8"/>
      <c r="H247" s="8"/>
      <c r="I247" s="21">
        <v>16700.0</v>
      </c>
      <c r="J247" s="22">
        <v>46205.0</v>
      </c>
      <c r="K247" s="8" t="s">
        <v>116</v>
      </c>
      <c r="L247" s="168" t="s">
        <v>26</v>
      </c>
      <c r="M247" s="8" t="s">
        <v>71</v>
      </c>
      <c r="N247" s="8" t="s">
        <v>28</v>
      </c>
      <c r="O247" s="97">
        <v>7317.0</v>
      </c>
      <c r="P247" s="97">
        <v>8634.0</v>
      </c>
      <c r="Q247" s="6">
        <v>27.0</v>
      </c>
      <c r="R247" s="12">
        <f t="shared" si="6"/>
        <v>1975.59</v>
      </c>
    </row>
    <row r="248">
      <c r="A248" s="87">
        <v>45871.0</v>
      </c>
      <c r="B248" s="8" t="s">
        <v>2276</v>
      </c>
      <c r="C248" s="8" t="s">
        <v>2277</v>
      </c>
      <c r="D248" s="8" t="s">
        <v>1395</v>
      </c>
      <c r="E248" s="8" t="s">
        <v>2278</v>
      </c>
      <c r="F248" s="8" t="s">
        <v>2279</v>
      </c>
      <c r="G248" s="8"/>
      <c r="H248" s="8"/>
      <c r="I248" s="21">
        <v>2995.0</v>
      </c>
      <c r="J248" s="22">
        <v>46205.0</v>
      </c>
      <c r="K248" s="8" t="s">
        <v>116</v>
      </c>
      <c r="L248" s="168" t="s">
        <v>49</v>
      </c>
      <c r="M248" s="8" t="s">
        <v>71</v>
      </c>
      <c r="N248" s="8" t="s">
        <v>28</v>
      </c>
      <c r="O248" s="97">
        <v>18527.0</v>
      </c>
      <c r="P248" s="97">
        <v>20891.0</v>
      </c>
      <c r="Q248" s="6">
        <v>48.0</v>
      </c>
      <c r="R248" s="12">
        <f t="shared" si="6"/>
        <v>8892.96</v>
      </c>
    </row>
    <row r="249">
      <c r="A249" s="105">
        <v>45871.0</v>
      </c>
      <c r="B249" s="64" t="s">
        <v>2280</v>
      </c>
      <c r="C249" s="64" t="s">
        <v>2281</v>
      </c>
      <c r="D249" s="108" t="s">
        <v>21</v>
      </c>
      <c r="E249" s="64" t="s">
        <v>133</v>
      </c>
      <c r="F249" s="64" t="s">
        <v>2282</v>
      </c>
      <c r="G249" s="108"/>
      <c r="H249" s="108"/>
      <c r="I249" s="109">
        <v>42000.0</v>
      </c>
      <c r="J249" s="110">
        <v>46267.0</v>
      </c>
      <c r="K249" s="108" t="s">
        <v>70</v>
      </c>
      <c r="L249" s="167" t="s">
        <v>49</v>
      </c>
      <c r="M249" s="108" t="s">
        <v>27</v>
      </c>
      <c r="N249" s="108" t="s">
        <v>28</v>
      </c>
      <c r="O249" s="112">
        <v>49208.0</v>
      </c>
      <c r="P249" s="112">
        <v>55411.0</v>
      </c>
      <c r="Q249" s="6">
        <v>25.0</v>
      </c>
      <c r="R249" s="12">
        <f t="shared" si="6"/>
        <v>12302</v>
      </c>
    </row>
    <row r="250">
      <c r="A250" s="87">
        <v>45902.0</v>
      </c>
      <c r="B250" s="58" t="s">
        <v>2283</v>
      </c>
      <c r="C250" s="58" t="s">
        <v>2284</v>
      </c>
      <c r="D250" s="8" t="s">
        <v>21</v>
      </c>
      <c r="E250" s="58" t="s">
        <v>2285</v>
      </c>
      <c r="F250" s="58" t="s">
        <v>2286</v>
      </c>
      <c r="G250" s="8"/>
      <c r="H250" s="8"/>
      <c r="I250" s="88">
        <v>28000.0</v>
      </c>
      <c r="J250" s="22">
        <v>46236.0</v>
      </c>
      <c r="K250" s="8" t="s">
        <v>677</v>
      </c>
      <c r="L250" s="168" t="s">
        <v>49</v>
      </c>
      <c r="M250" s="8" t="s">
        <v>1477</v>
      </c>
      <c r="N250" s="8" t="s">
        <v>28</v>
      </c>
      <c r="O250" s="88">
        <v>46463.61</v>
      </c>
      <c r="P250" s="88">
        <v>52190.05</v>
      </c>
      <c r="Q250" s="6">
        <v>22.0</v>
      </c>
      <c r="R250" s="12">
        <f t="shared" si="6"/>
        <v>10221.9942</v>
      </c>
    </row>
    <row r="251">
      <c r="A251" s="87">
        <v>45902.0</v>
      </c>
      <c r="B251" s="58" t="s">
        <v>2287</v>
      </c>
      <c r="C251" s="58" t="s">
        <v>2288</v>
      </c>
      <c r="D251" s="8" t="s">
        <v>21</v>
      </c>
      <c r="E251" s="58" t="s">
        <v>2289</v>
      </c>
      <c r="F251" s="58" t="s">
        <v>2290</v>
      </c>
      <c r="G251" s="7" t="s">
        <v>2291</v>
      </c>
      <c r="H251" s="8"/>
      <c r="I251" s="88">
        <v>18500.0</v>
      </c>
      <c r="J251" s="91">
        <v>46236.0</v>
      </c>
      <c r="K251" s="8" t="s">
        <v>78</v>
      </c>
      <c r="L251" s="168" t="s">
        <v>49</v>
      </c>
      <c r="M251" s="8" t="s">
        <v>219</v>
      </c>
      <c r="N251" s="8" t="s">
        <v>28</v>
      </c>
      <c r="O251" s="90">
        <v>62708.82</v>
      </c>
      <c r="P251" s="90">
        <v>71878.0</v>
      </c>
      <c r="Q251" s="6">
        <v>26.0</v>
      </c>
      <c r="R251" s="12">
        <f t="shared" si="6"/>
        <v>16304.2932</v>
      </c>
    </row>
    <row r="252">
      <c r="A252" s="169">
        <v>45932.0</v>
      </c>
      <c r="B252" s="6" t="s">
        <v>2292</v>
      </c>
      <c r="D252" s="6" t="s">
        <v>1395</v>
      </c>
      <c r="E252" s="170" t="s">
        <v>262</v>
      </c>
      <c r="F252" s="6" t="s">
        <v>2293</v>
      </c>
      <c r="I252" s="6">
        <v>1600.0</v>
      </c>
      <c r="J252" s="171">
        <v>46297.0</v>
      </c>
      <c r="K252" s="6" t="s">
        <v>1424</v>
      </c>
      <c r="L252" s="170" t="s">
        <v>49</v>
      </c>
      <c r="M252" s="6" t="s">
        <v>71</v>
      </c>
      <c r="N252" s="6" t="s">
        <v>28</v>
      </c>
      <c r="O252" s="6">
        <v>18913.0</v>
      </c>
      <c r="P252" s="6">
        <v>21355.0</v>
      </c>
      <c r="Q252" s="6">
        <v>53.0</v>
      </c>
      <c r="R252" s="12">
        <f t="shared" si="6"/>
        <v>10023.89</v>
      </c>
    </row>
    <row r="253">
      <c r="A253" s="169">
        <v>45932.0</v>
      </c>
      <c r="B253" s="6" t="s">
        <v>2294</v>
      </c>
      <c r="D253" s="6" t="s">
        <v>1395</v>
      </c>
      <c r="E253" s="170" t="s">
        <v>2295</v>
      </c>
      <c r="F253" s="6" t="s">
        <v>2296</v>
      </c>
      <c r="I253" s="6">
        <v>2565.0</v>
      </c>
      <c r="J253" s="171">
        <v>46297.0</v>
      </c>
      <c r="K253" s="6" t="s">
        <v>1424</v>
      </c>
      <c r="L253" s="170" t="s">
        <v>49</v>
      </c>
      <c r="M253" s="6" t="s">
        <v>71</v>
      </c>
      <c r="N253" s="6" t="s">
        <v>28</v>
      </c>
      <c r="O253" s="6">
        <v>21542.0</v>
      </c>
      <c r="P253" s="6">
        <v>24456.0</v>
      </c>
      <c r="Q253" s="6">
        <v>53.0</v>
      </c>
      <c r="R253" s="12">
        <f t="shared" si="6"/>
        <v>11417.26</v>
      </c>
    </row>
    <row r="254">
      <c r="A254" s="169">
        <v>45932.0</v>
      </c>
      <c r="B254" s="6" t="s">
        <v>2297</v>
      </c>
      <c r="D254" s="6" t="s">
        <v>21</v>
      </c>
      <c r="E254" s="170" t="s">
        <v>2138</v>
      </c>
      <c r="F254" s="6" t="s">
        <v>2298</v>
      </c>
      <c r="I254" s="6">
        <v>35000.0</v>
      </c>
      <c r="J254" s="171">
        <v>46297.0</v>
      </c>
      <c r="K254" s="6" t="s">
        <v>78</v>
      </c>
      <c r="L254" s="170" t="s">
        <v>49</v>
      </c>
      <c r="M254" s="6" t="s">
        <v>71</v>
      </c>
      <c r="N254" s="6" t="s">
        <v>28</v>
      </c>
      <c r="O254" s="6">
        <v>48035.0</v>
      </c>
      <c r="P254" s="6">
        <v>54045.0</v>
      </c>
      <c r="Q254" s="6">
        <v>27.0</v>
      </c>
      <c r="R254" s="12">
        <f t="shared" si="6"/>
        <v>12969.45</v>
      </c>
    </row>
    <row r="255">
      <c r="A255" s="105">
        <v>45870.0</v>
      </c>
      <c r="B255" s="108" t="s">
        <v>635</v>
      </c>
      <c r="C255" s="108" t="s">
        <v>2299</v>
      </c>
      <c r="D255" s="108" t="s">
        <v>21</v>
      </c>
      <c r="E255" s="108" t="s">
        <v>2300</v>
      </c>
      <c r="F255" s="108" t="s">
        <v>2301</v>
      </c>
      <c r="G255" s="63">
        <v>9.664548929E9</v>
      </c>
      <c r="H255" s="108"/>
      <c r="I255" s="114">
        <v>13850.0</v>
      </c>
      <c r="J255" s="110">
        <v>46174.0</v>
      </c>
      <c r="K255" s="108" t="s">
        <v>70</v>
      </c>
      <c r="L255" s="89" t="s">
        <v>49</v>
      </c>
      <c r="M255" s="108" t="s">
        <v>33</v>
      </c>
      <c r="N255" s="108" t="s">
        <v>28</v>
      </c>
      <c r="O255" s="172">
        <v>38117.0</v>
      </c>
      <c r="P255" s="172">
        <v>42859.0</v>
      </c>
      <c r="Q255" s="125">
        <v>24.0</v>
      </c>
      <c r="R255" s="12">
        <f t="shared" si="6"/>
        <v>9148.08</v>
      </c>
    </row>
    <row r="256">
      <c r="A256" s="126"/>
      <c r="E256" s="126"/>
      <c r="L256" s="126"/>
      <c r="R256" s="12"/>
    </row>
    <row r="257">
      <c r="A257" s="126"/>
      <c r="E257" s="126"/>
      <c r="L257" s="126"/>
    </row>
    <row r="258">
      <c r="A258" s="107" t="s">
        <v>1916</v>
      </c>
      <c r="B258" s="108" t="s">
        <v>2302</v>
      </c>
      <c r="C258" s="108"/>
      <c r="D258" s="108" t="s">
        <v>1395</v>
      </c>
      <c r="E258" s="108" t="s">
        <v>2303</v>
      </c>
      <c r="F258" s="108" t="s">
        <v>2304</v>
      </c>
      <c r="G258" s="108" t="s">
        <v>2305</v>
      </c>
      <c r="H258" s="108"/>
      <c r="I258" s="114">
        <v>2500.0</v>
      </c>
      <c r="J258" s="108" t="s">
        <v>1952</v>
      </c>
      <c r="K258" s="108" t="s">
        <v>70</v>
      </c>
      <c r="L258" s="107" t="s">
        <v>49</v>
      </c>
      <c r="M258" s="108" t="s">
        <v>27</v>
      </c>
      <c r="N258" s="108" t="s">
        <v>28</v>
      </c>
      <c r="O258" s="116">
        <v>17399.0</v>
      </c>
      <c r="P258" s="116">
        <v>19568.0</v>
      </c>
      <c r="Q258" s="125">
        <v>58.0</v>
      </c>
      <c r="R258" s="12">
        <f t="shared" ref="R258:R277" si="7">O258*Q258%</f>
        <v>10091.42</v>
      </c>
    </row>
    <row r="259">
      <c r="A259" s="107" t="s">
        <v>1916</v>
      </c>
      <c r="B259" s="108" t="s">
        <v>2306</v>
      </c>
      <c r="C259" s="108"/>
      <c r="D259" s="108" t="s">
        <v>21</v>
      </c>
      <c r="E259" s="108" t="s">
        <v>1549</v>
      </c>
      <c r="F259" s="108" t="s">
        <v>2307</v>
      </c>
      <c r="G259" s="108" t="s">
        <v>2308</v>
      </c>
      <c r="H259" s="108"/>
      <c r="I259" s="114">
        <v>12990.0</v>
      </c>
      <c r="J259" s="108" t="s">
        <v>1921</v>
      </c>
      <c r="K259" s="108" t="s">
        <v>70</v>
      </c>
      <c r="L259" s="107" t="s">
        <v>49</v>
      </c>
      <c r="M259" s="108" t="s">
        <v>71</v>
      </c>
      <c r="N259" s="108" t="s">
        <v>28</v>
      </c>
      <c r="O259" s="116">
        <v>37071.0</v>
      </c>
      <c r="P259" s="116">
        <v>41625.0</v>
      </c>
      <c r="Q259" s="125">
        <v>24.0</v>
      </c>
      <c r="R259" s="12">
        <f t="shared" si="7"/>
        <v>8897.04</v>
      </c>
    </row>
    <row r="260">
      <c r="A260" s="107" t="s">
        <v>2309</v>
      </c>
      <c r="B260" s="108" t="s">
        <v>2310</v>
      </c>
      <c r="C260" s="108"/>
      <c r="D260" s="108" t="s">
        <v>21</v>
      </c>
      <c r="E260" s="108" t="s">
        <v>2311</v>
      </c>
      <c r="F260" s="108" t="s">
        <v>2312</v>
      </c>
      <c r="G260" s="108" t="s">
        <v>2313</v>
      </c>
      <c r="H260" s="108"/>
      <c r="I260" s="114">
        <v>28000.0</v>
      </c>
      <c r="J260" s="108" t="s">
        <v>1590</v>
      </c>
      <c r="K260" s="108" t="s">
        <v>70</v>
      </c>
      <c r="L260" s="107" t="s">
        <v>49</v>
      </c>
      <c r="M260" s="108" t="s">
        <v>71</v>
      </c>
      <c r="N260" s="108" t="s">
        <v>28</v>
      </c>
      <c r="O260" s="116">
        <v>46345.0</v>
      </c>
      <c r="P260" s="116">
        <v>52050.0</v>
      </c>
      <c r="Q260" s="86">
        <v>20.0</v>
      </c>
      <c r="R260" s="12">
        <f t="shared" si="7"/>
        <v>9269</v>
      </c>
    </row>
    <row r="261">
      <c r="A261" s="107" t="s">
        <v>1590</v>
      </c>
      <c r="B261" s="108" t="s">
        <v>2314</v>
      </c>
      <c r="C261" s="108"/>
      <c r="D261" s="108" t="s">
        <v>21</v>
      </c>
      <c r="E261" s="108" t="s">
        <v>2315</v>
      </c>
      <c r="F261" s="108" t="s">
        <v>1581</v>
      </c>
      <c r="G261" s="108" t="s">
        <v>2316</v>
      </c>
      <c r="H261" s="108"/>
      <c r="I261" s="114">
        <v>28000.0</v>
      </c>
      <c r="J261" s="108" t="s">
        <v>2317</v>
      </c>
      <c r="K261" s="108" t="s">
        <v>70</v>
      </c>
      <c r="L261" s="107" t="s">
        <v>49</v>
      </c>
      <c r="M261" s="108" t="s">
        <v>27</v>
      </c>
      <c r="N261" s="108" t="s">
        <v>28</v>
      </c>
      <c r="O261" s="116">
        <v>46130.0</v>
      </c>
      <c r="P261" s="116">
        <v>51796.0</v>
      </c>
      <c r="Q261" s="86">
        <v>20.0</v>
      </c>
      <c r="R261" s="12">
        <f t="shared" si="7"/>
        <v>9226</v>
      </c>
    </row>
    <row r="262">
      <c r="A262" s="107" t="s">
        <v>1590</v>
      </c>
      <c r="B262" s="108" t="s">
        <v>2318</v>
      </c>
      <c r="C262" s="108"/>
      <c r="D262" s="108" t="s">
        <v>21</v>
      </c>
      <c r="E262" s="108" t="s">
        <v>2315</v>
      </c>
      <c r="F262" s="108" t="s">
        <v>1581</v>
      </c>
      <c r="G262" s="108" t="s">
        <v>2316</v>
      </c>
      <c r="H262" s="108"/>
      <c r="I262" s="114">
        <v>28000.0</v>
      </c>
      <c r="J262" s="108" t="s">
        <v>2319</v>
      </c>
      <c r="K262" s="108" t="s">
        <v>70</v>
      </c>
      <c r="L262" s="107" t="s">
        <v>49</v>
      </c>
      <c r="M262" s="108" t="s">
        <v>27</v>
      </c>
      <c r="N262" s="108" t="s">
        <v>28</v>
      </c>
      <c r="O262" s="116">
        <v>46130.0</v>
      </c>
      <c r="P262" s="116">
        <v>51796.0</v>
      </c>
      <c r="Q262" s="86">
        <v>20.0</v>
      </c>
      <c r="R262" s="12">
        <f t="shared" si="7"/>
        <v>9226</v>
      </c>
    </row>
    <row r="263">
      <c r="A263" s="107" t="s">
        <v>1590</v>
      </c>
      <c r="B263" s="108" t="s">
        <v>2320</v>
      </c>
      <c r="C263" s="108"/>
      <c r="D263" s="108" t="s">
        <v>21</v>
      </c>
      <c r="E263" s="108" t="s">
        <v>2315</v>
      </c>
      <c r="F263" s="108" t="s">
        <v>1581</v>
      </c>
      <c r="G263" s="108" t="s">
        <v>2316</v>
      </c>
      <c r="H263" s="108"/>
      <c r="I263" s="114">
        <v>28000.0</v>
      </c>
      <c r="J263" s="108" t="s">
        <v>2319</v>
      </c>
      <c r="K263" s="108" t="s">
        <v>70</v>
      </c>
      <c r="L263" s="107" t="s">
        <v>49</v>
      </c>
      <c r="M263" s="108" t="s">
        <v>27</v>
      </c>
      <c r="N263" s="108" t="s">
        <v>28</v>
      </c>
      <c r="O263" s="116">
        <v>46130.0</v>
      </c>
      <c r="P263" s="116">
        <v>51796.0</v>
      </c>
      <c r="Q263" s="86">
        <v>20.0</v>
      </c>
      <c r="R263" s="12">
        <f t="shared" si="7"/>
        <v>9226</v>
      </c>
    </row>
    <row r="264">
      <c r="A264" s="107" t="s">
        <v>72</v>
      </c>
      <c r="B264" s="108" t="s">
        <v>2321</v>
      </c>
      <c r="C264" s="108"/>
      <c r="D264" s="108" t="s">
        <v>21</v>
      </c>
      <c r="E264" s="108" t="s">
        <v>2322</v>
      </c>
      <c r="F264" s="108" t="s">
        <v>2323</v>
      </c>
      <c r="G264" s="108" t="s">
        <v>2324</v>
      </c>
      <c r="H264" s="108"/>
      <c r="I264" s="114">
        <v>28000.0</v>
      </c>
      <c r="J264" s="108" t="s">
        <v>72</v>
      </c>
      <c r="K264" s="108" t="s">
        <v>70</v>
      </c>
      <c r="L264" s="107" t="s">
        <v>49</v>
      </c>
      <c r="M264" s="108" t="s">
        <v>365</v>
      </c>
      <c r="N264" s="108" t="s">
        <v>28</v>
      </c>
      <c r="O264" s="156">
        <v>46276.0</v>
      </c>
      <c r="P264" s="156">
        <v>51969.0</v>
      </c>
      <c r="Q264" s="86">
        <v>20.0</v>
      </c>
      <c r="R264" s="12">
        <f t="shared" si="7"/>
        <v>9255.2</v>
      </c>
    </row>
    <row r="265">
      <c r="A265" s="107" t="s">
        <v>121</v>
      </c>
      <c r="B265" s="108" t="s">
        <v>2325</v>
      </c>
      <c r="C265" s="108"/>
      <c r="D265" s="108" t="s">
        <v>21</v>
      </c>
      <c r="E265" s="108" t="s">
        <v>2326</v>
      </c>
      <c r="F265" s="108" t="s">
        <v>2327</v>
      </c>
      <c r="G265" s="108" t="s">
        <v>1536</v>
      </c>
      <c r="H265" s="108"/>
      <c r="I265" s="114">
        <v>28000.0</v>
      </c>
      <c r="J265" s="108" t="s">
        <v>90</v>
      </c>
      <c r="K265" s="108" t="s">
        <v>70</v>
      </c>
      <c r="L265" s="107" t="s">
        <v>49</v>
      </c>
      <c r="M265" s="108" t="s">
        <v>27</v>
      </c>
      <c r="N265" s="108" t="s">
        <v>28</v>
      </c>
      <c r="O265" s="116">
        <v>46130.0</v>
      </c>
      <c r="P265" s="116">
        <v>51796.0</v>
      </c>
      <c r="Q265" s="86">
        <v>20.0</v>
      </c>
      <c r="R265" s="12">
        <f t="shared" si="7"/>
        <v>9226</v>
      </c>
    </row>
    <row r="266">
      <c r="A266" s="107" t="s">
        <v>121</v>
      </c>
      <c r="B266" s="108" t="s">
        <v>2328</v>
      </c>
      <c r="C266" s="108"/>
      <c r="D266" s="108" t="s">
        <v>21</v>
      </c>
      <c r="E266" s="108" t="s">
        <v>2326</v>
      </c>
      <c r="F266" s="108" t="s">
        <v>1581</v>
      </c>
      <c r="G266" s="108" t="s">
        <v>1536</v>
      </c>
      <c r="H266" s="108"/>
      <c r="I266" s="114">
        <v>28000.0</v>
      </c>
      <c r="J266" s="108" t="s">
        <v>90</v>
      </c>
      <c r="K266" s="108" t="s">
        <v>70</v>
      </c>
      <c r="L266" s="107" t="s">
        <v>49</v>
      </c>
      <c r="M266" s="108" t="s">
        <v>27</v>
      </c>
      <c r="N266" s="108" t="s">
        <v>28</v>
      </c>
      <c r="O266" s="116">
        <v>46130.0</v>
      </c>
      <c r="P266" s="116">
        <v>51796.0</v>
      </c>
      <c r="Q266" s="86">
        <v>20.0</v>
      </c>
      <c r="R266" s="12">
        <f t="shared" si="7"/>
        <v>9226</v>
      </c>
    </row>
    <row r="267">
      <c r="A267" s="105">
        <v>45962.0</v>
      </c>
      <c r="B267" s="64" t="s">
        <v>2329</v>
      </c>
      <c r="C267" s="64" t="s">
        <v>2330</v>
      </c>
      <c r="D267" s="108" t="s">
        <v>21</v>
      </c>
      <c r="E267" s="64" t="s">
        <v>2331</v>
      </c>
      <c r="F267" s="64" t="s">
        <v>2332</v>
      </c>
      <c r="G267" s="63">
        <v>7.575011611E9</v>
      </c>
      <c r="H267" s="108"/>
      <c r="I267" s="109">
        <v>28000.0</v>
      </c>
      <c r="J267" s="110">
        <v>46266.0</v>
      </c>
      <c r="K267" s="108" t="s">
        <v>70</v>
      </c>
      <c r="L267" s="111" t="s">
        <v>49</v>
      </c>
      <c r="M267" s="108" t="s">
        <v>33</v>
      </c>
      <c r="N267" s="108" t="s">
        <v>28</v>
      </c>
      <c r="O267" s="173">
        <v>45735.0</v>
      </c>
      <c r="P267" s="173">
        <v>51330.0</v>
      </c>
      <c r="Q267" s="86">
        <v>20.0</v>
      </c>
      <c r="R267" s="12">
        <f t="shared" si="7"/>
        <v>9147</v>
      </c>
    </row>
    <row r="268">
      <c r="A268" s="105">
        <v>45717.0</v>
      </c>
      <c r="B268" s="64" t="s">
        <v>2333</v>
      </c>
      <c r="C268" s="64" t="s">
        <v>2334</v>
      </c>
      <c r="D268" s="108" t="s">
        <v>21</v>
      </c>
      <c r="E268" s="64" t="s">
        <v>2335</v>
      </c>
      <c r="F268" s="64" t="s">
        <v>2336</v>
      </c>
      <c r="G268" s="63" t="s">
        <v>2337</v>
      </c>
      <c r="H268" s="108"/>
      <c r="I268" s="109">
        <v>28000.0</v>
      </c>
      <c r="J268" s="110">
        <v>46054.0</v>
      </c>
      <c r="K268" s="108" t="s">
        <v>70</v>
      </c>
      <c r="L268" s="111" t="s">
        <v>49</v>
      </c>
      <c r="M268" s="108" t="s">
        <v>1697</v>
      </c>
      <c r="N268" s="108" t="s">
        <v>28</v>
      </c>
      <c r="O268" s="174">
        <v>47698.0</v>
      </c>
      <c r="P268" s="174">
        <v>53647.0</v>
      </c>
      <c r="Q268" s="86">
        <v>20.0</v>
      </c>
      <c r="R268" s="12">
        <f t="shared" si="7"/>
        <v>9539.6</v>
      </c>
    </row>
    <row r="269">
      <c r="A269" s="105">
        <v>45839.0</v>
      </c>
      <c r="B269" s="108" t="s">
        <v>2338</v>
      </c>
      <c r="C269" s="108"/>
      <c r="D269" s="108" t="s">
        <v>21</v>
      </c>
      <c r="E269" s="108" t="s">
        <v>2339</v>
      </c>
      <c r="F269" s="108" t="s">
        <v>2340</v>
      </c>
      <c r="G269" s="63" t="s">
        <v>2341</v>
      </c>
      <c r="H269" s="108"/>
      <c r="I269" s="114">
        <v>28000.0</v>
      </c>
      <c r="J269" s="114" t="s">
        <v>2036</v>
      </c>
      <c r="K269" s="108" t="s">
        <v>70</v>
      </c>
      <c r="L269" s="111" t="s">
        <v>49</v>
      </c>
      <c r="M269" s="108" t="s">
        <v>71</v>
      </c>
      <c r="N269" s="108" t="s">
        <v>28</v>
      </c>
      <c r="O269" s="172">
        <v>45985.0</v>
      </c>
      <c r="P269" s="172">
        <v>51625.0</v>
      </c>
      <c r="Q269" s="86">
        <v>20.0</v>
      </c>
      <c r="R269" s="12">
        <f t="shared" si="7"/>
        <v>9197</v>
      </c>
    </row>
    <row r="270">
      <c r="A270" s="107" t="s">
        <v>72</v>
      </c>
      <c r="B270" s="108" t="s">
        <v>2342</v>
      </c>
      <c r="C270" s="108"/>
      <c r="D270" s="108" t="s">
        <v>21</v>
      </c>
      <c r="E270" s="108" t="s">
        <v>1910</v>
      </c>
      <c r="F270" s="108" t="s">
        <v>2343</v>
      </c>
      <c r="G270" s="108" t="s">
        <v>2344</v>
      </c>
      <c r="H270" s="108"/>
      <c r="I270" s="114">
        <v>35000.0</v>
      </c>
      <c r="J270" s="108" t="s">
        <v>57</v>
      </c>
      <c r="K270" s="108" t="s">
        <v>70</v>
      </c>
      <c r="L270" s="107" t="s">
        <v>49</v>
      </c>
      <c r="M270" s="108" t="s">
        <v>219</v>
      </c>
      <c r="N270" s="108" t="s">
        <v>28</v>
      </c>
      <c r="O270" s="156">
        <v>48080.0</v>
      </c>
      <c r="P270" s="156">
        <v>54097.0</v>
      </c>
      <c r="Q270" s="86">
        <v>20.0</v>
      </c>
      <c r="R270" s="12">
        <f t="shared" si="7"/>
        <v>9616</v>
      </c>
    </row>
    <row r="271">
      <c r="A271" s="105">
        <v>45658.0</v>
      </c>
      <c r="B271" s="108" t="s">
        <v>2345</v>
      </c>
      <c r="C271" s="108" t="s">
        <v>2346</v>
      </c>
      <c r="D271" s="108" t="s">
        <v>21</v>
      </c>
      <c r="E271" s="108" t="s">
        <v>2347</v>
      </c>
      <c r="F271" s="108" t="s">
        <v>2348</v>
      </c>
      <c r="G271" s="63" t="s">
        <v>2349</v>
      </c>
      <c r="H271" s="108"/>
      <c r="I271" s="114">
        <v>35000.0</v>
      </c>
      <c r="J271" s="110">
        <v>46023.0</v>
      </c>
      <c r="K271" s="108" t="s">
        <v>70</v>
      </c>
      <c r="L271" s="89" t="s">
        <v>49</v>
      </c>
      <c r="M271" s="108" t="s">
        <v>71</v>
      </c>
      <c r="N271" s="108" t="s">
        <v>28</v>
      </c>
      <c r="O271" s="172">
        <v>48327.0</v>
      </c>
      <c r="P271" s="172">
        <v>54389.0</v>
      </c>
      <c r="Q271" s="86">
        <v>20.0</v>
      </c>
      <c r="R271" s="12">
        <f t="shared" si="7"/>
        <v>9665.4</v>
      </c>
    </row>
    <row r="272">
      <c r="A272" s="105">
        <v>45658.0</v>
      </c>
      <c r="B272" s="108" t="s">
        <v>2350</v>
      </c>
      <c r="C272" s="108" t="s">
        <v>2351</v>
      </c>
      <c r="D272" s="108" t="s">
        <v>21</v>
      </c>
      <c r="E272" s="108" t="s">
        <v>2347</v>
      </c>
      <c r="F272" s="108" t="s">
        <v>2352</v>
      </c>
      <c r="G272" s="63" t="s">
        <v>2353</v>
      </c>
      <c r="H272" s="108"/>
      <c r="I272" s="114">
        <v>35000.0</v>
      </c>
      <c r="J272" s="110">
        <v>46023.0</v>
      </c>
      <c r="K272" s="108" t="s">
        <v>70</v>
      </c>
      <c r="L272" s="89" t="s">
        <v>49</v>
      </c>
      <c r="M272" s="108" t="s">
        <v>27</v>
      </c>
      <c r="N272" s="108" t="s">
        <v>28</v>
      </c>
      <c r="O272" s="172">
        <v>47681.0</v>
      </c>
      <c r="P272" s="172">
        <v>53627.0</v>
      </c>
      <c r="Q272" s="86">
        <v>20.0</v>
      </c>
      <c r="R272" s="12">
        <f t="shared" si="7"/>
        <v>9536.2</v>
      </c>
    </row>
    <row r="273">
      <c r="A273" s="105">
        <v>45748.0</v>
      </c>
      <c r="B273" s="108" t="s">
        <v>2354</v>
      </c>
      <c r="C273" s="108" t="s">
        <v>2355</v>
      </c>
      <c r="D273" s="108" t="s">
        <v>21</v>
      </c>
      <c r="E273" s="108" t="s">
        <v>2356</v>
      </c>
      <c r="F273" s="108" t="s">
        <v>2357</v>
      </c>
      <c r="G273" s="63" t="s">
        <v>2358</v>
      </c>
      <c r="H273" s="108"/>
      <c r="I273" s="114">
        <v>35000.0</v>
      </c>
      <c r="J273" s="110">
        <v>46054.0</v>
      </c>
      <c r="K273" s="108" t="s">
        <v>70</v>
      </c>
      <c r="L273" s="111" t="s">
        <v>49</v>
      </c>
      <c r="M273" s="108" t="s">
        <v>27</v>
      </c>
      <c r="N273" s="108" t="s">
        <v>28</v>
      </c>
      <c r="O273" s="172">
        <v>48307.0</v>
      </c>
      <c r="P273" s="172">
        <v>54365.0</v>
      </c>
      <c r="Q273" s="86">
        <v>20.0</v>
      </c>
      <c r="R273" s="12">
        <f t="shared" si="7"/>
        <v>9661.4</v>
      </c>
    </row>
    <row r="274">
      <c r="A274" s="107" t="s">
        <v>90</v>
      </c>
      <c r="B274" s="108" t="s">
        <v>2359</v>
      </c>
      <c r="C274" s="108"/>
      <c r="D274" s="108" t="s">
        <v>21</v>
      </c>
      <c r="E274" s="108" t="s">
        <v>133</v>
      </c>
      <c r="F274" s="108" t="s">
        <v>2360</v>
      </c>
      <c r="G274" s="108" t="s">
        <v>2361</v>
      </c>
      <c r="H274" s="108" t="s">
        <v>2362</v>
      </c>
      <c r="I274" s="114">
        <v>42000.0</v>
      </c>
      <c r="J274" s="108" t="s">
        <v>72</v>
      </c>
      <c r="K274" s="108" t="s">
        <v>70</v>
      </c>
      <c r="L274" s="107" t="s">
        <v>49</v>
      </c>
      <c r="M274" s="108" t="s">
        <v>27</v>
      </c>
      <c r="N274" s="108" t="s">
        <v>28</v>
      </c>
      <c r="O274" s="116">
        <v>49955.0</v>
      </c>
      <c r="P274" s="116">
        <v>56292.0</v>
      </c>
      <c r="Q274" s="86">
        <v>25.0</v>
      </c>
      <c r="R274" s="12">
        <f t="shared" si="7"/>
        <v>12488.75</v>
      </c>
    </row>
    <row r="275">
      <c r="A275" s="105">
        <v>45748.0</v>
      </c>
      <c r="B275" s="108" t="s">
        <v>2363</v>
      </c>
      <c r="C275" s="108" t="s">
        <v>2364</v>
      </c>
      <c r="D275" s="108" t="s">
        <v>21</v>
      </c>
      <c r="E275" s="108" t="s">
        <v>762</v>
      </c>
      <c r="F275" s="108" t="s">
        <v>2365</v>
      </c>
      <c r="G275" s="63" t="s">
        <v>2366</v>
      </c>
      <c r="H275" s="108"/>
      <c r="I275" s="114">
        <v>42000.0</v>
      </c>
      <c r="J275" s="110">
        <v>46082.0</v>
      </c>
      <c r="K275" s="108" t="s">
        <v>70</v>
      </c>
      <c r="L275" s="111" t="s">
        <v>49</v>
      </c>
      <c r="M275" s="108" t="s">
        <v>71</v>
      </c>
      <c r="N275" s="108" t="s">
        <v>28</v>
      </c>
      <c r="O275" s="172">
        <v>47162.0</v>
      </c>
      <c r="P275" s="172">
        <v>52997.0</v>
      </c>
      <c r="Q275" s="86">
        <v>25.0</v>
      </c>
      <c r="R275" s="12">
        <f t="shared" si="7"/>
        <v>11790.5</v>
      </c>
    </row>
    <row r="276">
      <c r="A276" s="107" t="s">
        <v>1590</v>
      </c>
      <c r="B276" s="108" t="s">
        <v>66</v>
      </c>
      <c r="C276" s="108"/>
      <c r="D276" s="108" t="s">
        <v>21</v>
      </c>
      <c r="E276" s="108" t="s">
        <v>2367</v>
      </c>
      <c r="F276" s="108" t="s">
        <v>2368</v>
      </c>
      <c r="G276" s="108" t="s">
        <v>2369</v>
      </c>
      <c r="H276" s="108"/>
      <c r="I276" s="114">
        <v>47500.0</v>
      </c>
      <c r="J276" s="108" t="s">
        <v>34</v>
      </c>
      <c r="K276" s="108" t="s">
        <v>70</v>
      </c>
      <c r="L276" s="107" t="s">
        <v>49</v>
      </c>
      <c r="M276" s="108" t="s">
        <v>27</v>
      </c>
      <c r="N276" s="108" t="s">
        <v>28</v>
      </c>
      <c r="O276" s="116">
        <v>53359.0</v>
      </c>
      <c r="P276" s="116">
        <v>60309.0</v>
      </c>
      <c r="Q276" s="86">
        <v>25.0</v>
      </c>
      <c r="R276" s="12">
        <f t="shared" si="7"/>
        <v>13339.75</v>
      </c>
    </row>
    <row r="277">
      <c r="A277" s="107" t="s">
        <v>90</v>
      </c>
      <c r="B277" s="108" t="s">
        <v>102</v>
      </c>
      <c r="C277" s="108"/>
      <c r="D277" s="108" t="s">
        <v>21</v>
      </c>
      <c r="E277" s="108" t="s">
        <v>104</v>
      </c>
      <c r="F277" s="108" t="s">
        <v>763</v>
      </c>
      <c r="G277" s="108">
        <v>9.427678604E9</v>
      </c>
      <c r="H277" s="108"/>
      <c r="I277" s="114">
        <v>47500.0</v>
      </c>
      <c r="J277" s="108" t="s">
        <v>72</v>
      </c>
      <c r="K277" s="108" t="s">
        <v>70</v>
      </c>
      <c r="L277" s="107" t="s">
        <v>49</v>
      </c>
      <c r="M277" s="108" t="s">
        <v>27</v>
      </c>
      <c r="N277" s="108" t="s">
        <v>28</v>
      </c>
      <c r="O277" s="116">
        <v>53738.0</v>
      </c>
      <c r="P277" s="116">
        <v>60756.0</v>
      </c>
      <c r="Q277" s="86">
        <v>25.0</v>
      </c>
      <c r="R277" s="12">
        <f t="shared" si="7"/>
        <v>13434.5</v>
      </c>
    </row>
    <row r="278">
      <c r="A278" s="126"/>
      <c r="E278" s="126"/>
      <c r="L278" s="126"/>
    </row>
    <row r="279">
      <c r="A279" s="126"/>
      <c r="E279" s="126"/>
      <c r="L279" s="126"/>
    </row>
    <row r="280">
      <c r="A280" s="87">
        <v>45963.0</v>
      </c>
      <c r="B280" s="58" t="s">
        <v>2370</v>
      </c>
      <c r="C280" s="58" t="s">
        <v>2371</v>
      </c>
      <c r="D280" s="8" t="s">
        <v>1395</v>
      </c>
      <c r="E280" s="58" t="s">
        <v>2372</v>
      </c>
      <c r="F280" s="58" t="s">
        <v>2373</v>
      </c>
      <c r="G280" s="7" t="s">
        <v>2374</v>
      </c>
      <c r="H280" s="8"/>
      <c r="I280" s="88">
        <v>1600.0</v>
      </c>
      <c r="J280" s="91">
        <v>46297.0</v>
      </c>
      <c r="K280" s="8" t="s">
        <v>1419</v>
      </c>
      <c r="L280" s="168" t="s">
        <v>49</v>
      </c>
      <c r="M280" s="8" t="s">
        <v>185</v>
      </c>
      <c r="N280" s="8" t="s">
        <v>28</v>
      </c>
      <c r="O280" s="88">
        <v>22230.0</v>
      </c>
      <c r="P280" s="88">
        <v>25268.0</v>
      </c>
      <c r="Q280" s="6">
        <v>56.0</v>
      </c>
      <c r="R280" s="12">
        <f t="shared" ref="R280:R327" si="8">O280*Q280%</f>
        <v>12448.8</v>
      </c>
    </row>
    <row r="281">
      <c r="A281" s="87">
        <v>45963.0</v>
      </c>
      <c r="B281" s="58" t="s">
        <v>764</v>
      </c>
      <c r="C281" s="58" t="s">
        <v>2375</v>
      </c>
      <c r="D281" s="8" t="s">
        <v>1405</v>
      </c>
      <c r="E281" s="58" t="s">
        <v>2376</v>
      </c>
      <c r="F281" s="58" t="s">
        <v>2377</v>
      </c>
      <c r="G281" s="7" t="s">
        <v>2378</v>
      </c>
      <c r="H281" s="8"/>
      <c r="I281" s="88">
        <v>990.0</v>
      </c>
      <c r="J281" s="91">
        <v>46267.0</v>
      </c>
      <c r="K281" s="8" t="s">
        <v>1419</v>
      </c>
      <c r="L281" s="168" t="s">
        <v>49</v>
      </c>
      <c r="M281" s="8" t="s">
        <v>1477</v>
      </c>
      <c r="N281" s="8" t="s">
        <v>28</v>
      </c>
      <c r="O281" s="88">
        <v>5299.0</v>
      </c>
      <c r="P281" s="88">
        <v>5985.0</v>
      </c>
      <c r="Q281" s="6">
        <v>53.0</v>
      </c>
      <c r="R281" s="12">
        <f t="shared" si="8"/>
        <v>2808.47</v>
      </c>
    </row>
    <row r="282">
      <c r="A282" s="87">
        <v>45963.0</v>
      </c>
      <c r="B282" s="58" t="s">
        <v>2379</v>
      </c>
      <c r="C282" s="58" t="s">
        <v>2380</v>
      </c>
      <c r="D282" s="8" t="s">
        <v>1432</v>
      </c>
      <c r="E282" s="58" t="s">
        <v>1887</v>
      </c>
      <c r="F282" s="58" t="s">
        <v>2381</v>
      </c>
      <c r="G282" s="8"/>
      <c r="H282" s="8"/>
      <c r="I282" s="88">
        <v>236.0</v>
      </c>
      <c r="J282" s="91">
        <v>46297.0</v>
      </c>
      <c r="K282" s="8" t="s">
        <v>1419</v>
      </c>
      <c r="L282" s="168" t="s">
        <v>49</v>
      </c>
      <c r="M282" s="8" t="s">
        <v>1451</v>
      </c>
      <c r="N282" s="8" t="s">
        <v>28</v>
      </c>
      <c r="O282" s="88">
        <v>6568.0</v>
      </c>
      <c r="P282" s="88">
        <v>7750.0</v>
      </c>
      <c r="Q282" s="6">
        <v>53.0</v>
      </c>
      <c r="R282" s="12">
        <f t="shared" si="8"/>
        <v>3481.04</v>
      </c>
    </row>
    <row r="283">
      <c r="A283" s="87">
        <v>45963.0</v>
      </c>
      <c r="B283" s="58" t="s">
        <v>934</v>
      </c>
      <c r="C283" s="58" t="s">
        <v>2382</v>
      </c>
      <c r="D283" s="8" t="s">
        <v>21</v>
      </c>
      <c r="E283" s="58" t="s">
        <v>2383</v>
      </c>
      <c r="F283" s="58" t="s">
        <v>936</v>
      </c>
      <c r="G283" s="7" t="s">
        <v>2384</v>
      </c>
      <c r="H283" s="8"/>
      <c r="I283" s="88">
        <v>4995.0</v>
      </c>
      <c r="J283" s="21" t="s">
        <v>2385</v>
      </c>
      <c r="K283" s="8" t="s">
        <v>25</v>
      </c>
      <c r="L283" s="168" t="s">
        <v>49</v>
      </c>
      <c r="M283" s="8" t="s">
        <v>1456</v>
      </c>
      <c r="N283" s="8" t="s">
        <v>28</v>
      </c>
      <c r="O283" s="97">
        <v>19502.0</v>
      </c>
      <c r="P283" s="90">
        <v>22049.0</v>
      </c>
      <c r="Q283" s="6">
        <v>46.0</v>
      </c>
      <c r="R283" s="12">
        <f t="shared" si="8"/>
        <v>8970.92</v>
      </c>
    </row>
    <row r="284">
      <c r="A284" s="87">
        <v>45963.0</v>
      </c>
      <c r="B284" s="58" t="s">
        <v>2386</v>
      </c>
      <c r="C284" s="58" t="s">
        <v>2387</v>
      </c>
      <c r="D284" s="8" t="s">
        <v>1395</v>
      </c>
      <c r="E284" s="58" t="s">
        <v>2388</v>
      </c>
      <c r="F284" s="58" t="s">
        <v>2389</v>
      </c>
      <c r="G284" s="7">
        <v>8.511039354E9</v>
      </c>
      <c r="H284" s="8"/>
      <c r="I284" s="88">
        <v>2750.0</v>
      </c>
      <c r="J284" s="91">
        <v>46297.0</v>
      </c>
      <c r="K284" s="8" t="s">
        <v>1424</v>
      </c>
      <c r="L284" s="168" t="s">
        <v>49</v>
      </c>
      <c r="M284" s="8" t="s">
        <v>71</v>
      </c>
      <c r="N284" s="8" t="s">
        <v>28</v>
      </c>
      <c r="O284" s="88">
        <v>18785.0</v>
      </c>
      <c r="P284" s="88">
        <v>21203.0</v>
      </c>
      <c r="Q284" s="6">
        <v>53.0</v>
      </c>
      <c r="R284" s="12">
        <f t="shared" si="8"/>
        <v>9956.05</v>
      </c>
    </row>
    <row r="285">
      <c r="A285" s="87">
        <v>45963.0</v>
      </c>
      <c r="B285" s="58" t="s">
        <v>828</v>
      </c>
      <c r="C285" s="58" t="s">
        <v>2390</v>
      </c>
      <c r="D285" s="8" t="s">
        <v>1405</v>
      </c>
      <c r="E285" s="58" t="s">
        <v>1816</v>
      </c>
      <c r="F285" s="58" t="s">
        <v>2391</v>
      </c>
      <c r="G285" s="8"/>
      <c r="H285" s="8"/>
      <c r="I285" s="88">
        <v>995.0</v>
      </c>
      <c r="J285" s="58" t="s">
        <v>2392</v>
      </c>
      <c r="K285" s="8" t="s">
        <v>78</v>
      </c>
      <c r="L285" s="168" t="s">
        <v>49</v>
      </c>
      <c r="M285" s="8" t="s">
        <v>365</v>
      </c>
      <c r="N285" s="8" t="s">
        <v>28</v>
      </c>
      <c r="O285" s="90">
        <v>5051.22</v>
      </c>
      <c r="P285" s="90">
        <v>5691.0</v>
      </c>
      <c r="Q285" s="6">
        <v>59.0</v>
      </c>
      <c r="R285" s="12">
        <f t="shared" si="8"/>
        <v>2980.2198</v>
      </c>
    </row>
    <row r="286">
      <c r="A286" s="87">
        <v>45963.0</v>
      </c>
      <c r="B286" s="58" t="s">
        <v>939</v>
      </c>
      <c r="C286" s="58" t="s">
        <v>2393</v>
      </c>
      <c r="D286" s="8" t="s">
        <v>1395</v>
      </c>
      <c r="E286" s="58" t="s">
        <v>741</v>
      </c>
      <c r="F286" s="58" t="s">
        <v>941</v>
      </c>
      <c r="G286" s="7" t="s">
        <v>2394</v>
      </c>
      <c r="H286" s="8"/>
      <c r="I286" s="88">
        <v>3490.0</v>
      </c>
      <c r="J286" s="58" t="s">
        <v>2385</v>
      </c>
      <c r="K286" s="8" t="s">
        <v>116</v>
      </c>
      <c r="L286" s="168" t="s">
        <v>49</v>
      </c>
      <c r="M286" s="8" t="s">
        <v>1456</v>
      </c>
      <c r="N286" s="8" t="s">
        <v>28</v>
      </c>
      <c r="O286" s="90">
        <v>22045.0</v>
      </c>
      <c r="P286" s="90">
        <v>25045.0</v>
      </c>
      <c r="Q286" s="6">
        <v>48.0</v>
      </c>
      <c r="R286" s="12">
        <f t="shared" si="8"/>
        <v>10581.6</v>
      </c>
    </row>
    <row r="287">
      <c r="A287" s="87">
        <v>45993.0</v>
      </c>
      <c r="B287" s="58" t="s">
        <v>2395</v>
      </c>
      <c r="C287" s="58" t="s">
        <v>2396</v>
      </c>
      <c r="D287" s="8" t="s">
        <v>1432</v>
      </c>
      <c r="E287" s="58" t="s">
        <v>1887</v>
      </c>
      <c r="F287" s="58" t="s">
        <v>2397</v>
      </c>
      <c r="G287" s="7" t="s">
        <v>2398</v>
      </c>
      <c r="H287" s="8"/>
      <c r="I287" s="88">
        <v>236.0</v>
      </c>
      <c r="J287" s="91">
        <v>46297.0</v>
      </c>
      <c r="K287" s="8" t="s">
        <v>1419</v>
      </c>
      <c r="L287" s="168" t="s">
        <v>49</v>
      </c>
      <c r="M287" s="8" t="s">
        <v>1436</v>
      </c>
      <c r="N287" s="8" t="s">
        <v>28</v>
      </c>
      <c r="O287" s="88">
        <v>6899.0</v>
      </c>
      <c r="P287" s="88">
        <v>8141.0</v>
      </c>
      <c r="Q287" s="6">
        <v>53.0</v>
      </c>
      <c r="R287" s="12">
        <f t="shared" si="8"/>
        <v>3656.47</v>
      </c>
    </row>
    <row r="288">
      <c r="A288" s="87">
        <v>45993.0</v>
      </c>
      <c r="B288" s="58" t="s">
        <v>2399</v>
      </c>
      <c r="C288" s="58" t="s">
        <v>2400</v>
      </c>
      <c r="D288" s="8" t="s">
        <v>21</v>
      </c>
      <c r="E288" s="58" t="s">
        <v>2401</v>
      </c>
      <c r="F288" s="58" t="s">
        <v>2402</v>
      </c>
      <c r="G288" s="8"/>
      <c r="H288" s="8"/>
      <c r="I288" s="88">
        <v>12976.0</v>
      </c>
      <c r="J288" s="94">
        <v>46358.0</v>
      </c>
      <c r="K288" s="8" t="s">
        <v>65</v>
      </c>
      <c r="L288" s="168" t="s">
        <v>26</v>
      </c>
      <c r="M288" s="8" t="s">
        <v>27</v>
      </c>
      <c r="N288" s="8" t="s">
        <v>28</v>
      </c>
      <c r="O288" s="88">
        <v>35413.0</v>
      </c>
      <c r="P288" s="88">
        <v>39669.0</v>
      </c>
      <c r="Q288" s="6">
        <v>45.0</v>
      </c>
      <c r="R288" s="12">
        <f t="shared" si="8"/>
        <v>15935.85</v>
      </c>
    </row>
    <row r="289">
      <c r="A289" s="87">
        <v>45993.0</v>
      </c>
      <c r="B289" s="58" t="s">
        <v>2403</v>
      </c>
      <c r="C289" s="58" t="s">
        <v>2404</v>
      </c>
      <c r="D289" s="8" t="s">
        <v>21</v>
      </c>
      <c r="E289" s="58" t="s">
        <v>2405</v>
      </c>
      <c r="F289" s="58" t="s">
        <v>2406</v>
      </c>
      <c r="G289" s="7">
        <v>8.84994948E9</v>
      </c>
      <c r="H289" s="8"/>
      <c r="I289" s="88">
        <v>28000.0</v>
      </c>
      <c r="J289" s="91">
        <v>46297.0</v>
      </c>
      <c r="K289" s="8" t="s">
        <v>353</v>
      </c>
      <c r="L289" s="168" t="s">
        <v>49</v>
      </c>
      <c r="M289" s="8" t="s">
        <v>1477</v>
      </c>
      <c r="N289" s="8" t="s">
        <v>28</v>
      </c>
      <c r="O289" s="90">
        <v>46027.0</v>
      </c>
      <c r="P289" s="90">
        <v>51675.0</v>
      </c>
      <c r="Q289" s="6">
        <v>27.0</v>
      </c>
      <c r="R289" s="12">
        <f t="shared" si="8"/>
        <v>12427.29</v>
      </c>
    </row>
    <row r="290">
      <c r="A290" s="87">
        <v>45993.0</v>
      </c>
      <c r="B290" s="58" t="s">
        <v>790</v>
      </c>
      <c r="C290" s="58" t="s">
        <v>2407</v>
      </c>
      <c r="D290" s="8" t="s">
        <v>21</v>
      </c>
      <c r="E290" s="58" t="s">
        <v>2408</v>
      </c>
      <c r="F290" s="58" t="s">
        <v>792</v>
      </c>
      <c r="G290" s="7" t="s">
        <v>2409</v>
      </c>
      <c r="H290" s="8"/>
      <c r="I290" s="88">
        <v>6250.0</v>
      </c>
      <c r="J290" s="22">
        <v>46328.0</v>
      </c>
      <c r="K290" s="8" t="s">
        <v>25</v>
      </c>
      <c r="L290" s="168" t="s">
        <v>49</v>
      </c>
      <c r="M290" s="8" t="s">
        <v>1456</v>
      </c>
      <c r="N290" s="8" t="s">
        <v>28</v>
      </c>
      <c r="O290" s="90">
        <v>17990.0</v>
      </c>
      <c r="P290" s="90">
        <v>20265.0</v>
      </c>
      <c r="Q290" s="6">
        <v>46.0</v>
      </c>
      <c r="R290" s="12">
        <f t="shared" si="8"/>
        <v>8275.4</v>
      </c>
    </row>
    <row r="291">
      <c r="A291" s="87">
        <v>45993.0</v>
      </c>
      <c r="B291" s="58" t="s">
        <v>801</v>
      </c>
      <c r="C291" s="58" t="s">
        <v>2410</v>
      </c>
      <c r="D291" s="8" t="s">
        <v>1395</v>
      </c>
      <c r="E291" s="58" t="s">
        <v>741</v>
      </c>
      <c r="F291" s="58" t="s">
        <v>803</v>
      </c>
      <c r="G291" s="7">
        <v>9.998835534E9</v>
      </c>
      <c r="H291" s="8"/>
      <c r="I291" s="88">
        <v>3490.0</v>
      </c>
      <c r="J291" s="58" t="s">
        <v>2048</v>
      </c>
      <c r="K291" s="8" t="s">
        <v>116</v>
      </c>
      <c r="L291" s="168" t="s">
        <v>49</v>
      </c>
      <c r="M291" s="8" t="s">
        <v>71</v>
      </c>
      <c r="N291" s="8" t="s">
        <v>28</v>
      </c>
      <c r="O291" s="90">
        <v>21600.0</v>
      </c>
      <c r="P291" s="90">
        <v>24520.0</v>
      </c>
      <c r="Q291" s="6">
        <v>48.0</v>
      </c>
      <c r="R291" s="12">
        <f t="shared" si="8"/>
        <v>10368</v>
      </c>
    </row>
    <row r="292">
      <c r="A292" s="87">
        <v>45993.0</v>
      </c>
      <c r="B292" s="58" t="s">
        <v>2411</v>
      </c>
      <c r="C292" s="58" t="s">
        <v>2412</v>
      </c>
      <c r="D292" s="8" t="s">
        <v>1395</v>
      </c>
      <c r="E292" s="58" t="s">
        <v>902</v>
      </c>
      <c r="F292" s="58" t="s">
        <v>2413</v>
      </c>
      <c r="G292" s="7">
        <v>8.46900402E9</v>
      </c>
      <c r="H292" s="21">
        <v>8.160154135E9</v>
      </c>
      <c r="I292" s="88">
        <v>2960.0</v>
      </c>
      <c r="J292" s="91">
        <v>46328.0</v>
      </c>
      <c r="K292" s="8" t="s">
        <v>116</v>
      </c>
      <c r="L292" s="168" t="s">
        <v>49</v>
      </c>
      <c r="M292" s="8" t="s">
        <v>1460</v>
      </c>
      <c r="N292" s="8" t="s">
        <v>28</v>
      </c>
      <c r="O292" s="90">
        <v>19011.0</v>
      </c>
      <c r="P292" s="90">
        <v>21465.0</v>
      </c>
      <c r="Q292" s="6">
        <v>48.0</v>
      </c>
      <c r="R292" s="12">
        <f t="shared" si="8"/>
        <v>9125.28</v>
      </c>
    </row>
    <row r="293">
      <c r="A293" s="100" t="s">
        <v>2414</v>
      </c>
      <c r="B293" s="58" t="s">
        <v>784</v>
      </c>
      <c r="C293" s="58" t="s">
        <v>2415</v>
      </c>
      <c r="D293" s="8" t="s">
        <v>1405</v>
      </c>
      <c r="E293" s="58" t="s">
        <v>1849</v>
      </c>
      <c r="F293" s="58" t="s">
        <v>2416</v>
      </c>
      <c r="G293" s="7">
        <v>9.099380482E9</v>
      </c>
      <c r="H293" s="8"/>
      <c r="I293" s="88">
        <v>990.0</v>
      </c>
      <c r="J293" s="91">
        <v>46328.0</v>
      </c>
      <c r="K293" s="8" t="s">
        <v>78</v>
      </c>
      <c r="L293" s="168" t="s">
        <v>49</v>
      </c>
      <c r="M293" s="8" t="s">
        <v>185</v>
      </c>
      <c r="N293" s="8" t="s">
        <v>28</v>
      </c>
      <c r="O293" s="90">
        <v>5124.8</v>
      </c>
      <c r="P293" s="90">
        <v>5778.0</v>
      </c>
      <c r="Q293" s="6">
        <v>59.0</v>
      </c>
      <c r="R293" s="12">
        <f t="shared" si="8"/>
        <v>3023.632</v>
      </c>
    </row>
    <row r="294">
      <c r="A294" s="100" t="s">
        <v>2414</v>
      </c>
      <c r="B294" s="58" t="s">
        <v>2417</v>
      </c>
      <c r="C294" s="58" t="s">
        <v>2418</v>
      </c>
      <c r="D294" s="8" t="s">
        <v>21</v>
      </c>
      <c r="E294" s="58" t="s">
        <v>1866</v>
      </c>
      <c r="F294" s="58" t="s">
        <v>2419</v>
      </c>
      <c r="G294" s="7" t="s">
        <v>2420</v>
      </c>
      <c r="H294" s="8"/>
      <c r="I294" s="88">
        <v>12990.0</v>
      </c>
      <c r="J294" s="91">
        <v>46328.0</v>
      </c>
      <c r="K294" s="8" t="s">
        <v>78</v>
      </c>
      <c r="L294" s="168" t="s">
        <v>49</v>
      </c>
      <c r="M294" s="8" t="s">
        <v>27</v>
      </c>
      <c r="N294" s="8" t="s">
        <v>28</v>
      </c>
      <c r="O294" s="90">
        <v>37644.16</v>
      </c>
      <c r="P294" s="90">
        <v>42301.0</v>
      </c>
      <c r="Q294" s="6">
        <v>26.0</v>
      </c>
      <c r="R294" s="12">
        <f t="shared" si="8"/>
        <v>9787.4816</v>
      </c>
    </row>
    <row r="295">
      <c r="A295" s="100" t="s">
        <v>2421</v>
      </c>
      <c r="B295" s="58" t="s">
        <v>833</v>
      </c>
      <c r="C295" s="58" t="s">
        <v>2422</v>
      </c>
      <c r="D295" s="8" t="s">
        <v>1405</v>
      </c>
      <c r="E295" s="58" t="s">
        <v>1841</v>
      </c>
      <c r="F295" s="58" t="s">
        <v>2423</v>
      </c>
      <c r="G295" s="7">
        <v>8.320707451E9</v>
      </c>
      <c r="H295" s="8"/>
      <c r="I295" s="88">
        <v>995.0</v>
      </c>
      <c r="J295" s="58" t="s">
        <v>2048</v>
      </c>
      <c r="K295" s="8" t="s">
        <v>78</v>
      </c>
      <c r="L295" s="168" t="s">
        <v>49</v>
      </c>
      <c r="M295" s="8" t="s">
        <v>2206</v>
      </c>
      <c r="N295" s="8" t="s">
        <v>28</v>
      </c>
      <c r="O295" s="90">
        <v>5172.33</v>
      </c>
      <c r="P295" s="97">
        <v>5834.0</v>
      </c>
      <c r="Q295" s="6">
        <v>59.0</v>
      </c>
      <c r="R295" s="12">
        <f t="shared" si="8"/>
        <v>3051.6747</v>
      </c>
    </row>
    <row r="296">
      <c r="A296" s="100" t="s">
        <v>2421</v>
      </c>
      <c r="B296" s="58" t="s">
        <v>2424</v>
      </c>
      <c r="C296" s="58" t="s">
        <v>2425</v>
      </c>
      <c r="D296" s="8" t="s">
        <v>1405</v>
      </c>
      <c r="E296" s="58" t="s">
        <v>1849</v>
      </c>
      <c r="F296" s="58" t="s">
        <v>2426</v>
      </c>
      <c r="G296" s="7" t="s">
        <v>2427</v>
      </c>
      <c r="H296" s="8"/>
      <c r="I296" s="88">
        <v>990.0</v>
      </c>
      <c r="J296" s="58" t="s">
        <v>2048</v>
      </c>
      <c r="K296" s="8" t="s">
        <v>78</v>
      </c>
      <c r="L296" s="168" t="s">
        <v>49</v>
      </c>
      <c r="M296" s="8" t="s">
        <v>1456</v>
      </c>
      <c r="N296" s="8" t="s">
        <v>28</v>
      </c>
      <c r="O296" s="90">
        <v>5362.44</v>
      </c>
      <c r="P296" s="90">
        <v>6058.0</v>
      </c>
      <c r="Q296" s="6">
        <v>59.0</v>
      </c>
      <c r="R296" s="12">
        <f t="shared" si="8"/>
        <v>3163.8396</v>
      </c>
    </row>
    <row r="297">
      <c r="A297" s="100" t="s">
        <v>2421</v>
      </c>
      <c r="B297" s="58" t="s">
        <v>2428</v>
      </c>
      <c r="C297" s="58" t="s">
        <v>2429</v>
      </c>
      <c r="D297" s="8" t="s">
        <v>1395</v>
      </c>
      <c r="E297" s="58" t="s">
        <v>2430</v>
      </c>
      <c r="F297" s="58" t="s">
        <v>2431</v>
      </c>
      <c r="G297" s="7">
        <v>9.879186963E9</v>
      </c>
      <c r="H297" s="8"/>
      <c r="I297" s="88">
        <v>1291.0</v>
      </c>
      <c r="J297" s="21" t="s">
        <v>2432</v>
      </c>
      <c r="K297" s="8" t="s">
        <v>70</v>
      </c>
      <c r="L297" s="168" t="s">
        <v>49</v>
      </c>
      <c r="M297" s="8" t="s">
        <v>71</v>
      </c>
      <c r="N297" s="8" t="s">
        <v>28</v>
      </c>
      <c r="O297" s="90">
        <v>16399.0</v>
      </c>
      <c r="P297" s="90">
        <v>18388.0</v>
      </c>
      <c r="Q297" s="6">
        <v>58.0</v>
      </c>
      <c r="R297" s="12">
        <f t="shared" si="8"/>
        <v>9511.42</v>
      </c>
    </row>
    <row r="298">
      <c r="A298" s="100" t="s">
        <v>2421</v>
      </c>
      <c r="B298" s="58" t="s">
        <v>2433</v>
      </c>
      <c r="C298" s="58" t="s">
        <v>2434</v>
      </c>
      <c r="D298" s="8" t="s">
        <v>21</v>
      </c>
      <c r="E298" s="58" t="s">
        <v>1756</v>
      </c>
      <c r="F298" s="58" t="s">
        <v>2435</v>
      </c>
      <c r="G298" s="7" t="s">
        <v>577</v>
      </c>
      <c r="H298" s="8"/>
      <c r="I298" s="88">
        <v>35000.0</v>
      </c>
      <c r="J298" s="58" t="s">
        <v>2432</v>
      </c>
      <c r="K298" s="8" t="s">
        <v>78</v>
      </c>
      <c r="L298" s="168" t="s">
        <v>49</v>
      </c>
      <c r="M298" s="8" t="s">
        <v>185</v>
      </c>
      <c r="N298" s="8" t="s">
        <v>28</v>
      </c>
      <c r="O298" s="90">
        <v>48739.6</v>
      </c>
      <c r="P298" s="90">
        <v>54876.0</v>
      </c>
      <c r="Q298" s="6">
        <v>27.0</v>
      </c>
      <c r="R298" s="12">
        <f t="shared" si="8"/>
        <v>13159.692</v>
      </c>
    </row>
    <row r="299">
      <c r="A299" s="100" t="s">
        <v>2421</v>
      </c>
      <c r="B299" s="58" t="s">
        <v>2436</v>
      </c>
      <c r="C299" s="58" t="s">
        <v>2437</v>
      </c>
      <c r="D299" s="8" t="s">
        <v>21</v>
      </c>
      <c r="E299" s="88">
        <v>3118.0</v>
      </c>
      <c r="F299" s="58" t="s">
        <v>2438</v>
      </c>
      <c r="G299" s="7">
        <v>7.98467355E9</v>
      </c>
      <c r="H299" s="8"/>
      <c r="I299" s="88">
        <v>35000.0</v>
      </c>
      <c r="J299" s="58" t="s">
        <v>2439</v>
      </c>
      <c r="K299" s="8" t="s">
        <v>78</v>
      </c>
      <c r="L299" s="168" t="s">
        <v>49</v>
      </c>
      <c r="M299" s="8" t="s">
        <v>71</v>
      </c>
      <c r="N299" s="8" t="s">
        <v>28</v>
      </c>
      <c r="O299" s="90">
        <v>48214.85</v>
      </c>
      <c r="P299" s="90">
        <v>54257.0</v>
      </c>
      <c r="Q299" s="6">
        <v>27.0</v>
      </c>
      <c r="R299" s="12">
        <f t="shared" si="8"/>
        <v>13018.0095</v>
      </c>
    </row>
    <row r="300">
      <c r="A300" s="100" t="s">
        <v>2440</v>
      </c>
      <c r="B300" s="58" t="s">
        <v>1022</v>
      </c>
      <c r="C300" s="58" t="s">
        <v>2441</v>
      </c>
      <c r="D300" s="8" t="s">
        <v>21</v>
      </c>
      <c r="E300" s="88">
        <v>3116.0</v>
      </c>
      <c r="F300" s="58" t="s">
        <v>1024</v>
      </c>
      <c r="G300" s="7" t="s">
        <v>2442</v>
      </c>
      <c r="H300" s="8"/>
      <c r="I300" s="88">
        <v>35000.0</v>
      </c>
      <c r="J300" s="58" t="s">
        <v>2159</v>
      </c>
      <c r="K300" s="8" t="s">
        <v>78</v>
      </c>
      <c r="L300" s="168" t="s">
        <v>49</v>
      </c>
      <c r="M300" s="8" t="s">
        <v>144</v>
      </c>
      <c r="N300" s="8" t="s">
        <v>28</v>
      </c>
      <c r="O300" s="90">
        <v>46530.01</v>
      </c>
      <c r="P300" s="90">
        <v>52268.0</v>
      </c>
      <c r="Q300" s="6">
        <v>27.0</v>
      </c>
      <c r="R300" s="12">
        <f t="shared" si="8"/>
        <v>12563.1027</v>
      </c>
    </row>
    <row r="301">
      <c r="A301" s="100" t="s">
        <v>2440</v>
      </c>
      <c r="B301" s="58" t="s">
        <v>2443</v>
      </c>
      <c r="C301" s="58" t="s">
        <v>2444</v>
      </c>
      <c r="D301" s="8" t="s">
        <v>1395</v>
      </c>
      <c r="E301" s="58" t="s">
        <v>2445</v>
      </c>
      <c r="F301" s="58" t="s">
        <v>2446</v>
      </c>
      <c r="G301" s="7" t="s">
        <v>2447</v>
      </c>
      <c r="H301" s="8"/>
      <c r="I301" s="88">
        <v>2880.0</v>
      </c>
      <c r="J301" s="58" t="s">
        <v>2432</v>
      </c>
      <c r="K301" s="8" t="s">
        <v>1424</v>
      </c>
      <c r="L301" s="168" t="s">
        <v>49</v>
      </c>
      <c r="M301" s="8" t="s">
        <v>1436</v>
      </c>
      <c r="N301" s="8" t="s">
        <v>28</v>
      </c>
      <c r="O301" s="88">
        <v>18391.0</v>
      </c>
      <c r="P301" s="88">
        <v>20739.0</v>
      </c>
      <c r="Q301" s="6">
        <v>53.0</v>
      </c>
      <c r="R301" s="12">
        <f t="shared" si="8"/>
        <v>9747.23</v>
      </c>
    </row>
    <row r="302">
      <c r="A302" s="100" t="s">
        <v>2440</v>
      </c>
      <c r="B302" s="58" t="s">
        <v>2448</v>
      </c>
      <c r="C302" s="58" t="s">
        <v>2449</v>
      </c>
      <c r="D302" s="8" t="s">
        <v>1395</v>
      </c>
      <c r="E302" s="58" t="s">
        <v>2116</v>
      </c>
      <c r="F302" s="58" t="s">
        <v>2450</v>
      </c>
      <c r="G302" s="7">
        <v>8.849373578E9</v>
      </c>
      <c r="H302" s="8"/>
      <c r="I302" s="88">
        <v>1600.0</v>
      </c>
      <c r="J302" s="58" t="s">
        <v>2439</v>
      </c>
      <c r="K302" s="8" t="s">
        <v>1424</v>
      </c>
      <c r="L302" s="168" t="s">
        <v>49</v>
      </c>
      <c r="M302" s="8" t="s">
        <v>71</v>
      </c>
      <c r="N302" s="8" t="s">
        <v>28</v>
      </c>
      <c r="O302" s="88">
        <v>19181.0</v>
      </c>
      <c r="P302" s="88">
        <v>21671.0</v>
      </c>
      <c r="Q302" s="6">
        <v>53.0</v>
      </c>
      <c r="R302" s="12">
        <f t="shared" si="8"/>
        <v>10165.93</v>
      </c>
    </row>
    <row r="303">
      <c r="A303" s="100" t="s">
        <v>2440</v>
      </c>
      <c r="B303" s="58" t="s">
        <v>2451</v>
      </c>
      <c r="C303" s="58" t="s">
        <v>2452</v>
      </c>
      <c r="D303" s="8" t="s">
        <v>21</v>
      </c>
      <c r="E303" s="58" t="s">
        <v>1580</v>
      </c>
      <c r="F303" s="58" t="s">
        <v>2453</v>
      </c>
      <c r="G303" s="7" t="s">
        <v>2454</v>
      </c>
      <c r="H303" s="8"/>
      <c r="I303" s="88">
        <v>35000.0</v>
      </c>
      <c r="J303" s="58" t="s">
        <v>2432</v>
      </c>
      <c r="K303" s="8" t="s">
        <v>353</v>
      </c>
      <c r="L303" s="168" t="s">
        <v>49</v>
      </c>
      <c r="M303" s="8" t="s">
        <v>185</v>
      </c>
      <c r="N303" s="8" t="s">
        <v>28</v>
      </c>
      <c r="O303" s="90">
        <v>81355.0</v>
      </c>
      <c r="P303" s="90">
        <v>93362.0</v>
      </c>
      <c r="Q303" s="6">
        <v>27.0</v>
      </c>
      <c r="R303" s="12">
        <f t="shared" si="8"/>
        <v>21965.85</v>
      </c>
    </row>
    <row r="304">
      <c r="A304" s="100" t="s">
        <v>2440</v>
      </c>
      <c r="B304" s="58" t="s">
        <v>1967</v>
      </c>
      <c r="C304" s="58" t="s">
        <v>2455</v>
      </c>
      <c r="D304" s="8" t="s">
        <v>1395</v>
      </c>
      <c r="E304" s="58" t="s">
        <v>2186</v>
      </c>
      <c r="F304" s="58" t="s">
        <v>2456</v>
      </c>
      <c r="G304" s="7" t="s">
        <v>2457</v>
      </c>
      <c r="H304" s="8"/>
      <c r="I304" s="88">
        <v>2960.0</v>
      </c>
      <c r="J304" s="58" t="s">
        <v>2439</v>
      </c>
      <c r="K304" s="8" t="s">
        <v>116</v>
      </c>
      <c r="L304" s="168" t="s">
        <v>49</v>
      </c>
      <c r="M304" s="8" t="s">
        <v>1456</v>
      </c>
      <c r="N304" s="8" t="s">
        <v>28</v>
      </c>
      <c r="O304" s="90">
        <v>18344.0</v>
      </c>
      <c r="P304" s="90">
        <v>20678.0</v>
      </c>
      <c r="Q304" s="6">
        <v>48.0</v>
      </c>
      <c r="R304" s="12">
        <f t="shared" si="8"/>
        <v>8805.12</v>
      </c>
    </row>
    <row r="305">
      <c r="A305" s="93" t="s">
        <v>2440</v>
      </c>
      <c r="B305" s="58" t="s">
        <v>2458</v>
      </c>
      <c r="C305" s="58" t="s">
        <v>2459</v>
      </c>
      <c r="D305" s="8" t="s">
        <v>21</v>
      </c>
      <c r="E305" s="58" t="s">
        <v>1907</v>
      </c>
      <c r="F305" s="58" t="s">
        <v>1504</v>
      </c>
      <c r="G305" s="8"/>
      <c r="H305" s="8"/>
      <c r="I305" s="88">
        <v>12990.0</v>
      </c>
      <c r="J305" s="21" t="s">
        <v>2432</v>
      </c>
      <c r="K305" s="8" t="s">
        <v>70</v>
      </c>
      <c r="L305" s="168" t="s">
        <v>49</v>
      </c>
      <c r="M305" s="8" t="s">
        <v>71</v>
      </c>
      <c r="N305" s="8" t="s">
        <v>28</v>
      </c>
      <c r="O305" s="90">
        <v>36599.0</v>
      </c>
      <c r="P305" s="90">
        <v>41068.0</v>
      </c>
      <c r="Q305" s="6">
        <v>24.0</v>
      </c>
      <c r="R305" s="12">
        <f t="shared" si="8"/>
        <v>8783.76</v>
      </c>
    </row>
    <row r="306">
      <c r="A306" s="100" t="s">
        <v>2440</v>
      </c>
      <c r="B306" s="58" t="s">
        <v>2460</v>
      </c>
      <c r="C306" s="58" t="s">
        <v>2461</v>
      </c>
      <c r="D306" s="8" t="s">
        <v>21</v>
      </c>
      <c r="E306" s="58" t="s">
        <v>2462</v>
      </c>
      <c r="F306" s="58" t="s">
        <v>2463</v>
      </c>
      <c r="G306" s="7">
        <v>9.823725364E9</v>
      </c>
      <c r="H306" s="8"/>
      <c r="I306" s="88">
        <v>35000.0</v>
      </c>
      <c r="J306" s="58" t="s">
        <v>2159</v>
      </c>
      <c r="K306" s="8" t="s">
        <v>353</v>
      </c>
      <c r="L306" s="168" t="s">
        <v>49</v>
      </c>
      <c r="M306" s="8" t="s">
        <v>71</v>
      </c>
      <c r="N306" s="8" t="s">
        <v>28</v>
      </c>
      <c r="O306" s="90">
        <v>45070.0</v>
      </c>
      <c r="P306" s="90">
        <v>50546.0</v>
      </c>
      <c r="Q306" s="6">
        <v>27.0</v>
      </c>
      <c r="R306" s="12">
        <f t="shared" si="8"/>
        <v>12168.9</v>
      </c>
    </row>
    <row r="307">
      <c r="A307" s="100" t="s">
        <v>2440</v>
      </c>
      <c r="B307" s="58" t="s">
        <v>819</v>
      </c>
      <c r="C307" s="58" t="s">
        <v>2464</v>
      </c>
      <c r="D307" s="8" t="s">
        <v>1405</v>
      </c>
      <c r="E307" s="58" t="s">
        <v>1841</v>
      </c>
      <c r="F307" s="58" t="s">
        <v>2465</v>
      </c>
      <c r="G307" s="8"/>
      <c r="H307" s="8"/>
      <c r="I307" s="88">
        <v>995.0</v>
      </c>
      <c r="J307" s="58" t="s">
        <v>868</v>
      </c>
      <c r="K307" s="8" t="s">
        <v>78</v>
      </c>
      <c r="L307" s="168" t="s">
        <v>49</v>
      </c>
      <c r="M307" s="8" t="s">
        <v>1477</v>
      </c>
      <c r="N307" s="8" t="s">
        <v>28</v>
      </c>
      <c r="O307" s="90">
        <v>5362.44</v>
      </c>
      <c r="P307" s="90">
        <v>6058.0</v>
      </c>
      <c r="Q307" s="6">
        <v>59.0</v>
      </c>
      <c r="R307" s="12">
        <f t="shared" si="8"/>
        <v>3163.8396</v>
      </c>
    </row>
    <row r="308">
      <c r="A308" s="93" t="s">
        <v>2440</v>
      </c>
      <c r="B308" s="58" t="s">
        <v>2466</v>
      </c>
      <c r="C308" s="58" t="s">
        <v>2467</v>
      </c>
      <c r="D308" s="86" t="s">
        <v>1395</v>
      </c>
      <c r="E308" s="140" t="s">
        <v>2468</v>
      </c>
      <c r="F308" s="58" t="s">
        <v>2469</v>
      </c>
      <c r="G308" s="7">
        <v>9.099367272E9</v>
      </c>
      <c r="H308" s="8"/>
      <c r="I308" s="88">
        <v>1550.0</v>
      </c>
      <c r="J308" s="58" t="s">
        <v>2159</v>
      </c>
      <c r="K308" s="8" t="s">
        <v>78</v>
      </c>
      <c r="L308" s="168" t="s">
        <v>49</v>
      </c>
      <c r="M308" s="8" t="s">
        <v>33</v>
      </c>
      <c r="N308" s="8" t="s">
        <v>28</v>
      </c>
      <c r="O308" s="90">
        <v>17248.11</v>
      </c>
      <c r="P308" s="90">
        <v>19390.0</v>
      </c>
      <c r="Q308" s="6">
        <v>62.0</v>
      </c>
      <c r="R308" s="12">
        <f t="shared" si="8"/>
        <v>10693.8282</v>
      </c>
    </row>
    <row r="309">
      <c r="A309" s="93" t="s">
        <v>2440</v>
      </c>
      <c r="B309" s="58" t="s">
        <v>824</v>
      </c>
      <c r="C309" s="58" t="s">
        <v>2470</v>
      </c>
      <c r="D309" s="8" t="s">
        <v>1405</v>
      </c>
      <c r="E309" s="58" t="s">
        <v>1849</v>
      </c>
      <c r="F309" s="58" t="s">
        <v>2471</v>
      </c>
      <c r="G309" s="8"/>
      <c r="H309" s="8"/>
      <c r="I309" s="88">
        <v>990.0</v>
      </c>
      <c r="J309" s="58" t="s">
        <v>2159</v>
      </c>
      <c r="K309" s="8" t="s">
        <v>78</v>
      </c>
      <c r="L309" s="168" t="s">
        <v>49</v>
      </c>
      <c r="M309" s="8" t="s">
        <v>1477</v>
      </c>
      <c r="N309" s="8" t="s">
        <v>28</v>
      </c>
      <c r="O309" s="90">
        <v>5473.33</v>
      </c>
      <c r="P309" s="90">
        <v>6189.0</v>
      </c>
      <c r="Q309" s="6">
        <v>59.0</v>
      </c>
      <c r="R309" s="12">
        <f t="shared" si="8"/>
        <v>3229.2647</v>
      </c>
    </row>
    <row r="310">
      <c r="A310" s="100" t="s">
        <v>2440</v>
      </c>
      <c r="B310" s="58" t="s">
        <v>2472</v>
      </c>
      <c r="C310" s="58" t="s">
        <v>2473</v>
      </c>
      <c r="D310" s="8" t="s">
        <v>1405</v>
      </c>
      <c r="E310" s="58" t="s">
        <v>1841</v>
      </c>
      <c r="F310" s="58" t="s">
        <v>2474</v>
      </c>
      <c r="G310" s="7" t="s">
        <v>2475</v>
      </c>
      <c r="H310" s="8"/>
      <c r="I310" s="88">
        <v>995.0</v>
      </c>
      <c r="J310" s="58" t="s">
        <v>2159</v>
      </c>
      <c r="K310" s="8" t="s">
        <v>78</v>
      </c>
      <c r="L310" s="168" t="s">
        <v>49</v>
      </c>
      <c r="M310" s="8" t="s">
        <v>389</v>
      </c>
      <c r="N310" s="8" t="s">
        <v>28</v>
      </c>
      <c r="O310" s="90">
        <v>5362.44</v>
      </c>
      <c r="P310" s="90">
        <v>6058.0</v>
      </c>
      <c r="Q310" s="6">
        <v>59.0</v>
      </c>
      <c r="R310" s="12">
        <f t="shared" si="8"/>
        <v>3163.8396</v>
      </c>
    </row>
    <row r="311">
      <c r="A311" s="100" t="s">
        <v>2476</v>
      </c>
      <c r="B311" s="58" t="s">
        <v>2477</v>
      </c>
      <c r="C311" s="58" t="s">
        <v>2478</v>
      </c>
      <c r="D311" s="8" t="s">
        <v>1405</v>
      </c>
      <c r="E311" s="58" t="s">
        <v>1849</v>
      </c>
      <c r="F311" s="58" t="s">
        <v>2479</v>
      </c>
      <c r="G311" s="7" t="s">
        <v>2480</v>
      </c>
      <c r="H311" s="8"/>
      <c r="I311" s="88">
        <v>990.0</v>
      </c>
      <c r="J311" s="58" t="s">
        <v>868</v>
      </c>
      <c r="K311" s="8" t="s">
        <v>78</v>
      </c>
      <c r="L311" s="168" t="s">
        <v>49</v>
      </c>
      <c r="M311" s="8" t="s">
        <v>1456</v>
      </c>
      <c r="N311" s="8" t="s">
        <v>28</v>
      </c>
      <c r="O311" s="90">
        <v>5085.17</v>
      </c>
      <c r="P311" s="90">
        <v>5731.0</v>
      </c>
      <c r="Q311" s="6">
        <v>59.0</v>
      </c>
      <c r="R311" s="12">
        <f t="shared" si="8"/>
        <v>3000.2503</v>
      </c>
    </row>
    <row r="312">
      <c r="A312" s="100" t="s">
        <v>2476</v>
      </c>
      <c r="B312" s="58" t="s">
        <v>2481</v>
      </c>
      <c r="C312" s="58" t="s">
        <v>2482</v>
      </c>
      <c r="D312" s="8" t="s">
        <v>1405</v>
      </c>
      <c r="E312" s="58" t="s">
        <v>1849</v>
      </c>
      <c r="F312" s="58" t="s">
        <v>2483</v>
      </c>
      <c r="G312" s="8"/>
      <c r="H312" s="8"/>
      <c r="I312" s="88">
        <v>990.0</v>
      </c>
      <c r="J312" s="58" t="s">
        <v>848</v>
      </c>
      <c r="K312" s="8" t="s">
        <v>78</v>
      </c>
      <c r="L312" s="168" t="s">
        <v>49</v>
      </c>
      <c r="M312" s="8" t="s">
        <v>219</v>
      </c>
      <c r="N312" s="8" t="s">
        <v>28</v>
      </c>
      <c r="O312" s="90">
        <v>5394.12</v>
      </c>
      <c r="P312" s="90">
        <v>6096.0</v>
      </c>
      <c r="Q312" s="6">
        <v>59.0</v>
      </c>
      <c r="R312" s="12">
        <f t="shared" si="8"/>
        <v>3182.5308</v>
      </c>
    </row>
    <row r="313">
      <c r="A313" s="93" t="s">
        <v>2476</v>
      </c>
      <c r="B313" s="58" t="s">
        <v>2484</v>
      </c>
      <c r="C313" s="58" t="s">
        <v>2485</v>
      </c>
      <c r="D313" s="8" t="s">
        <v>1405</v>
      </c>
      <c r="E313" s="58" t="s">
        <v>1816</v>
      </c>
      <c r="F313" s="58" t="s">
        <v>2486</v>
      </c>
      <c r="G313" s="7" t="s">
        <v>2487</v>
      </c>
      <c r="H313" s="8"/>
      <c r="I313" s="88">
        <v>990.0</v>
      </c>
      <c r="J313" s="58" t="s">
        <v>2385</v>
      </c>
      <c r="K313" s="8" t="s">
        <v>78</v>
      </c>
      <c r="L313" s="168" t="s">
        <v>26</v>
      </c>
      <c r="M313" s="8" t="s">
        <v>340</v>
      </c>
      <c r="N313" s="8" t="s">
        <v>28</v>
      </c>
      <c r="O313" s="90">
        <v>4867.0</v>
      </c>
      <c r="P313" s="90">
        <v>5474.0</v>
      </c>
      <c r="Q313" s="6">
        <v>59.0</v>
      </c>
      <c r="R313" s="12">
        <f t="shared" si="8"/>
        <v>2871.53</v>
      </c>
    </row>
    <row r="314">
      <c r="A314" s="93" t="s">
        <v>2488</v>
      </c>
      <c r="B314" s="58" t="s">
        <v>900</v>
      </c>
      <c r="C314" s="58" t="s">
        <v>2489</v>
      </c>
      <c r="D314" s="8" t="s">
        <v>1395</v>
      </c>
      <c r="E314" s="58" t="s">
        <v>902</v>
      </c>
      <c r="F314" s="58" t="s">
        <v>903</v>
      </c>
      <c r="G314" s="8"/>
      <c r="H314" s="8"/>
      <c r="I314" s="88">
        <v>2960.0</v>
      </c>
      <c r="J314" s="58" t="s">
        <v>2439</v>
      </c>
      <c r="K314" s="8" t="s">
        <v>116</v>
      </c>
      <c r="L314" s="168" t="s">
        <v>49</v>
      </c>
      <c r="M314" s="8" t="s">
        <v>27</v>
      </c>
      <c r="N314" s="8" t="s">
        <v>28</v>
      </c>
      <c r="O314" s="90">
        <v>17850.0</v>
      </c>
      <c r="P314" s="90">
        <v>20096.0</v>
      </c>
      <c r="Q314" s="6">
        <v>48.0</v>
      </c>
      <c r="R314" s="12">
        <f t="shared" si="8"/>
        <v>8568</v>
      </c>
    </row>
    <row r="315">
      <c r="A315" s="100" t="s">
        <v>2488</v>
      </c>
      <c r="B315" s="58" t="s">
        <v>2490</v>
      </c>
      <c r="C315" s="58" t="s">
        <v>2491</v>
      </c>
      <c r="D315" s="8" t="s">
        <v>21</v>
      </c>
      <c r="E315" s="58" t="s">
        <v>2492</v>
      </c>
      <c r="F315" s="58" t="s">
        <v>2493</v>
      </c>
      <c r="G315" s="7" t="s">
        <v>2494</v>
      </c>
      <c r="H315" s="8"/>
      <c r="I315" s="88">
        <v>35000.0</v>
      </c>
      <c r="J315" s="58" t="s">
        <v>2495</v>
      </c>
      <c r="K315" s="8" t="s">
        <v>65</v>
      </c>
      <c r="L315" s="168" t="s">
        <v>26</v>
      </c>
      <c r="M315" s="8" t="s">
        <v>365</v>
      </c>
      <c r="N315" s="8" t="s">
        <v>28</v>
      </c>
      <c r="O315" s="88">
        <v>44050.0</v>
      </c>
      <c r="P315" s="88">
        <v>49342.0</v>
      </c>
      <c r="Q315" s="6">
        <v>49.0</v>
      </c>
      <c r="R315" s="12">
        <f t="shared" si="8"/>
        <v>21584.5</v>
      </c>
    </row>
    <row r="316">
      <c r="A316" s="100" t="s">
        <v>2488</v>
      </c>
      <c r="B316" s="58" t="s">
        <v>910</v>
      </c>
      <c r="C316" s="58" t="s">
        <v>2496</v>
      </c>
      <c r="D316" s="8" t="s">
        <v>21</v>
      </c>
      <c r="E316" s="58" t="s">
        <v>2051</v>
      </c>
      <c r="F316" s="58" t="s">
        <v>912</v>
      </c>
      <c r="G316" s="7" t="s">
        <v>2043</v>
      </c>
      <c r="H316" s="8"/>
      <c r="I316" s="88">
        <v>5950.0</v>
      </c>
      <c r="J316" s="21" t="s">
        <v>855</v>
      </c>
      <c r="K316" s="8" t="s">
        <v>25</v>
      </c>
      <c r="L316" s="168" t="s">
        <v>49</v>
      </c>
      <c r="M316" s="8" t="s">
        <v>1544</v>
      </c>
      <c r="N316" s="8" t="s">
        <v>28</v>
      </c>
      <c r="O316" s="90">
        <v>18330.0</v>
      </c>
      <c r="P316" s="90">
        <v>20666.0</v>
      </c>
      <c r="Q316" s="6">
        <v>46.0</v>
      </c>
      <c r="R316" s="12">
        <f t="shared" si="8"/>
        <v>8431.8</v>
      </c>
    </row>
    <row r="317">
      <c r="A317" s="100" t="s">
        <v>2488</v>
      </c>
      <c r="B317" s="58" t="s">
        <v>2497</v>
      </c>
      <c r="C317" s="58" t="s">
        <v>2498</v>
      </c>
      <c r="D317" s="8" t="s">
        <v>1395</v>
      </c>
      <c r="E317" s="58" t="s">
        <v>2182</v>
      </c>
      <c r="F317" s="58" t="s">
        <v>2499</v>
      </c>
      <c r="G317" s="8"/>
      <c r="H317" s="8"/>
      <c r="I317" s="88">
        <v>1600.0</v>
      </c>
      <c r="J317" s="21" t="s">
        <v>868</v>
      </c>
      <c r="K317" s="8" t="s">
        <v>70</v>
      </c>
      <c r="L317" s="168" t="s">
        <v>49</v>
      </c>
      <c r="M317" s="8" t="s">
        <v>71</v>
      </c>
      <c r="N317" s="8" t="s">
        <v>28</v>
      </c>
      <c r="O317" s="90">
        <v>17710.0</v>
      </c>
      <c r="P317" s="90">
        <v>19935.0</v>
      </c>
      <c r="Q317" s="6">
        <v>58.0</v>
      </c>
      <c r="R317" s="12">
        <f t="shared" si="8"/>
        <v>10271.8</v>
      </c>
    </row>
    <row r="318">
      <c r="A318" s="100" t="s">
        <v>2488</v>
      </c>
      <c r="B318" s="58" t="s">
        <v>2500</v>
      </c>
      <c r="C318" s="58" t="s">
        <v>2501</v>
      </c>
      <c r="D318" s="8" t="s">
        <v>1395</v>
      </c>
      <c r="E318" s="58" t="s">
        <v>528</v>
      </c>
      <c r="F318" s="58" t="s">
        <v>2502</v>
      </c>
      <c r="G318" s="8"/>
      <c r="H318" s="8"/>
      <c r="I318" s="88">
        <v>2990.0</v>
      </c>
      <c r="J318" s="58" t="s">
        <v>2503</v>
      </c>
      <c r="K318" s="8" t="s">
        <v>65</v>
      </c>
      <c r="L318" s="168" t="s">
        <v>26</v>
      </c>
      <c r="M318" s="8" t="s">
        <v>71</v>
      </c>
      <c r="N318" s="8" t="s">
        <v>28</v>
      </c>
      <c r="O318" s="88">
        <v>16149.0</v>
      </c>
      <c r="P318" s="88">
        <v>18093.0</v>
      </c>
      <c r="Q318" s="6">
        <v>58.0</v>
      </c>
      <c r="R318" s="12">
        <f t="shared" si="8"/>
        <v>9366.42</v>
      </c>
    </row>
    <row r="319">
      <c r="A319" s="100" t="s">
        <v>2504</v>
      </c>
      <c r="B319" s="58" t="s">
        <v>2505</v>
      </c>
      <c r="C319" s="58" t="s">
        <v>2506</v>
      </c>
      <c r="D319" s="8" t="s">
        <v>21</v>
      </c>
      <c r="E319" s="58" t="s">
        <v>2405</v>
      </c>
      <c r="F319" s="58" t="s">
        <v>2507</v>
      </c>
      <c r="G319" s="8"/>
      <c r="H319" s="8"/>
      <c r="I319" s="88">
        <v>28000.0</v>
      </c>
      <c r="J319" s="58" t="s">
        <v>855</v>
      </c>
      <c r="K319" s="8" t="s">
        <v>353</v>
      </c>
      <c r="L319" s="168" t="s">
        <v>49</v>
      </c>
      <c r="M319" s="8" t="s">
        <v>71</v>
      </c>
      <c r="N319" s="8" t="s">
        <v>28</v>
      </c>
      <c r="O319" s="90">
        <v>46132.0</v>
      </c>
      <c r="P319" s="90">
        <v>51799.0</v>
      </c>
      <c r="Q319" s="6">
        <v>27.0</v>
      </c>
      <c r="R319" s="12">
        <f t="shared" si="8"/>
        <v>12455.64</v>
      </c>
    </row>
    <row r="320">
      <c r="A320" s="100" t="s">
        <v>2504</v>
      </c>
      <c r="B320" s="58" t="s">
        <v>2508</v>
      </c>
      <c r="C320" s="58" t="s">
        <v>2509</v>
      </c>
      <c r="D320" s="8" t="s">
        <v>1395</v>
      </c>
      <c r="E320" s="58" t="s">
        <v>2510</v>
      </c>
      <c r="F320" s="58" t="s">
        <v>2511</v>
      </c>
      <c r="G320" s="8"/>
      <c r="H320" s="8"/>
      <c r="I320" s="88">
        <v>1600.0</v>
      </c>
      <c r="J320" s="21" t="s">
        <v>855</v>
      </c>
      <c r="K320" s="8" t="s">
        <v>70</v>
      </c>
      <c r="L320" s="168" t="s">
        <v>49</v>
      </c>
      <c r="M320" s="8" t="s">
        <v>27</v>
      </c>
      <c r="N320" s="8" t="s">
        <v>28</v>
      </c>
      <c r="O320" s="90">
        <v>17745.0</v>
      </c>
      <c r="P320" s="90">
        <v>19976.0</v>
      </c>
      <c r="Q320" s="6">
        <v>58.0</v>
      </c>
      <c r="R320" s="12">
        <f t="shared" si="8"/>
        <v>10292.1</v>
      </c>
    </row>
    <row r="321">
      <c r="A321" s="100" t="s">
        <v>2504</v>
      </c>
      <c r="B321" s="58" t="s">
        <v>2512</v>
      </c>
      <c r="C321" s="58" t="s">
        <v>2513</v>
      </c>
      <c r="D321" s="8" t="s">
        <v>1395</v>
      </c>
      <c r="E321" s="58" t="s">
        <v>2514</v>
      </c>
      <c r="F321" s="58" t="s">
        <v>2515</v>
      </c>
      <c r="G321" s="8"/>
      <c r="H321" s="8"/>
      <c r="I321" s="88">
        <v>1291.0</v>
      </c>
      <c r="J321" s="21" t="s">
        <v>855</v>
      </c>
      <c r="K321" s="8" t="s">
        <v>70</v>
      </c>
      <c r="L321" s="168" t="s">
        <v>49</v>
      </c>
      <c r="M321" s="8" t="s">
        <v>27</v>
      </c>
      <c r="N321" s="8" t="s">
        <v>28</v>
      </c>
      <c r="O321" s="90">
        <v>17149.0</v>
      </c>
      <c r="P321" s="90">
        <v>19273.0</v>
      </c>
      <c r="Q321" s="6">
        <v>58.0</v>
      </c>
      <c r="R321" s="12">
        <f t="shared" si="8"/>
        <v>9946.42</v>
      </c>
    </row>
    <row r="322">
      <c r="A322" s="93" t="s">
        <v>2504</v>
      </c>
      <c r="B322" s="58" t="s">
        <v>2516</v>
      </c>
      <c r="C322" s="58" t="s">
        <v>2517</v>
      </c>
      <c r="D322" s="8" t="s">
        <v>1395</v>
      </c>
      <c r="E322" s="58" t="s">
        <v>2518</v>
      </c>
      <c r="F322" s="58" t="s">
        <v>2519</v>
      </c>
      <c r="G322" s="8"/>
      <c r="H322" s="8"/>
      <c r="I322" s="88">
        <v>2930.0</v>
      </c>
      <c r="J322" s="58" t="s">
        <v>891</v>
      </c>
      <c r="K322" s="8" t="s">
        <v>1419</v>
      </c>
      <c r="L322" s="168" t="s">
        <v>49</v>
      </c>
      <c r="M322" s="8" t="s">
        <v>340</v>
      </c>
      <c r="N322" s="8" t="s">
        <v>28</v>
      </c>
      <c r="O322" s="88">
        <v>17441.0</v>
      </c>
      <c r="P322" s="88">
        <v>19619.0</v>
      </c>
      <c r="Q322" s="6">
        <v>52.0</v>
      </c>
      <c r="R322" s="12">
        <f t="shared" si="8"/>
        <v>9069.32</v>
      </c>
    </row>
    <row r="323">
      <c r="A323" s="100" t="s">
        <v>2504</v>
      </c>
      <c r="B323" s="58" t="s">
        <v>2520</v>
      </c>
      <c r="C323" s="58" t="s">
        <v>2521</v>
      </c>
      <c r="D323" s="8" t="s">
        <v>1405</v>
      </c>
      <c r="E323" s="58" t="s">
        <v>1841</v>
      </c>
      <c r="F323" s="58" t="s">
        <v>2522</v>
      </c>
      <c r="G323" s="8"/>
      <c r="H323" s="8"/>
      <c r="I323" s="88">
        <v>990.0</v>
      </c>
      <c r="J323" s="58" t="s">
        <v>933</v>
      </c>
      <c r="K323" s="8" t="s">
        <v>78</v>
      </c>
      <c r="L323" s="168" t="s">
        <v>49</v>
      </c>
      <c r="M323" s="8" t="s">
        <v>27</v>
      </c>
      <c r="N323" s="8" t="s">
        <v>28</v>
      </c>
      <c r="O323" s="90">
        <v>5266.22</v>
      </c>
      <c r="P323" s="90">
        <v>5945.0</v>
      </c>
      <c r="Q323" s="6">
        <v>59.0</v>
      </c>
      <c r="R323" s="12">
        <f t="shared" si="8"/>
        <v>3107.0698</v>
      </c>
    </row>
    <row r="324">
      <c r="A324" s="119" t="s">
        <v>2421</v>
      </c>
      <c r="B324" s="120" t="s">
        <v>2523</v>
      </c>
      <c r="C324" s="120" t="s">
        <v>2524</v>
      </c>
      <c r="D324" s="24" t="s">
        <v>21</v>
      </c>
      <c r="E324" s="120" t="s">
        <v>1510</v>
      </c>
      <c r="F324" s="120" t="s">
        <v>2525</v>
      </c>
      <c r="G324" s="25">
        <v>9.898624186E9</v>
      </c>
      <c r="H324" s="28"/>
      <c r="I324" s="121">
        <v>35000.0</v>
      </c>
      <c r="J324" s="120" t="s">
        <v>2432</v>
      </c>
      <c r="K324" s="24" t="s">
        <v>2526</v>
      </c>
      <c r="L324" s="175" t="s">
        <v>49</v>
      </c>
      <c r="M324" s="24" t="s">
        <v>1477</v>
      </c>
      <c r="N324" s="24" t="s">
        <v>28</v>
      </c>
      <c r="O324" s="123">
        <v>73340.0</v>
      </c>
      <c r="P324" s="123">
        <v>83904.0</v>
      </c>
      <c r="Q324" s="6">
        <v>27.0</v>
      </c>
      <c r="R324" s="12">
        <f t="shared" si="8"/>
        <v>19801.8</v>
      </c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</row>
    <row r="325">
      <c r="A325" s="119" t="s">
        <v>2421</v>
      </c>
      <c r="B325" s="120" t="s">
        <v>2527</v>
      </c>
      <c r="C325" s="120" t="s">
        <v>2528</v>
      </c>
      <c r="D325" s="24" t="s">
        <v>21</v>
      </c>
      <c r="E325" s="120" t="s">
        <v>1580</v>
      </c>
      <c r="F325" s="120" t="s">
        <v>2525</v>
      </c>
      <c r="G325" s="25">
        <v>9.898624186E9</v>
      </c>
      <c r="H325" s="28"/>
      <c r="I325" s="121">
        <v>35000.0</v>
      </c>
      <c r="J325" s="120" t="s">
        <v>2432</v>
      </c>
      <c r="K325" s="24" t="s">
        <v>353</v>
      </c>
      <c r="L325" s="175" t="s">
        <v>49</v>
      </c>
      <c r="M325" s="24" t="s">
        <v>1477</v>
      </c>
      <c r="N325" s="24" t="s">
        <v>28</v>
      </c>
      <c r="O325" s="123">
        <v>72475.0</v>
      </c>
      <c r="P325" s="123">
        <v>82884.0</v>
      </c>
      <c r="Q325" s="6">
        <v>27.0</v>
      </c>
      <c r="R325" s="12">
        <f t="shared" si="8"/>
        <v>19568.25</v>
      </c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</row>
    <row r="326">
      <c r="A326" s="119" t="s">
        <v>2440</v>
      </c>
      <c r="B326" s="120" t="s">
        <v>2529</v>
      </c>
      <c r="C326" s="120" t="s">
        <v>2530</v>
      </c>
      <c r="D326" s="24" t="s">
        <v>21</v>
      </c>
      <c r="E326" s="120" t="s">
        <v>2531</v>
      </c>
      <c r="F326" s="120" t="s">
        <v>2532</v>
      </c>
      <c r="G326" s="25">
        <v>9.825735651E9</v>
      </c>
      <c r="H326" s="28"/>
      <c r="I326" s="121">
        <v>28000.0</v>
      </c>
      <c r="J326" s="120" t="s">
        <v>2439</v>
      </c>
      <c r="K326" s="24" t="s">
        <v>353</v>
      </c>
      <c r="L326" s="175" t="s">
        <v>49</v>
      </c>
      <c r="M326" s="24" t="s">
        <v>71</v>
      </c>
      <c r="N326" s="24" t="s">
        <v>28</v>
      </c>
      <c r="O326" s="123">
        <v>46148.0</v>
      </c>
      <c r="P326" s="123">
        <v>51818.0</v>
      </c>
      <c r="Q326" s="6">
        <v>27.0</v>
      </c>
      <c r="R326" s="12">
        <f t="shared" si="8"/>
        <v>12459.96</v>
      </c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</row>
    <row r="327">
      <c r="A327" s="107" t="s">
        <v>2440</v>
      </c>
      <c r="B327" s="64" t="s">
        <v>964</v>
      </c>
      <c r="C327" s="64" t="s">
        <v>2533</v>
      </c>
      <c r="D327" s="108" t="s">
        <v>966</v>
      </c>
      <c r="E327" s="64" t="s">
        <v>2534</v>
      </c>
      <c r="F327" s="64" t="s">
        <v>968</v>
      </c>
      <c r="G327" s="63" t="s">
        <v>605</v>
      </c>
      <c r="H327" s="108"/>
      <c r="I327" s="109">
        <v>2993.0</v>
      </c>
      <c r="J327" s="114" t="s">
        <v>974</v>
      </c>
      <c r="K327" s="108" t="s">
        <v>25</v>
      </c>
      <c r="L327" s="167" t="s">
        <v>49</v>
      </c>
      <c r="M327" s="108" t="s">
        <v>27</v>
      </c>
      <c r="N327" s="108" t="s">
        <v>28</v>
      </c>
      <c r="O327" s="176">
        <v>121880.0</v>
      </c>
      <c r="P327" s="109">
        <v>153992.0</v>
      </c>
      <c r="Q327" s="125">
        <v>22.0</v>
      </c>
      <c r="R327" s="12">
        <f t="shared" si="8"/>
        <v>26813.6</v>
      </c>
    </row>
    <row r="328">
      <c r="A328" s="126"/>
      <c r="E328" s="126"/>
      <c r="L328" s="126"/>
    </row>
    <row r="329">
      <c r="A329" s="126"/>
      <c r="E329" s="126"/>
      <c r="L329" s="126"/>
    </row>
    <row r="330">
      <c r="A330" s="100" t="s">
        <v>2535</v>
      </c>
      <c r="B330" s="58" t="s">
        <v>2536</v>
      </c>
      <c r="C330" s="58" t="s">
        <v>2537</v>
      </c>
      <c r="D330" s="8" t="s">
        <v>1395</v>
      </c>
      <c r="E330" s="58" t="s">
        <v>1974</v>
      </c>
      <c r="F330" s="58" t="s">
        <v>2538</v>
      </c>
      <c r="G330" s="7">
        <v>8.347850618E9</v>
      </c>
      <c r="H330" s="8"/>
      <c r="I330" s="88">
        <v>3490.0</v>
      </c>
      <c r="J330" s="58" t="s">
        <v>2385</v>
      </c>
      <c r="K330" s="8" t="s">
        <v>1419</v>
      </c>
      <c r="L330" s="168" t="s">
        <v>49</v>
      </c>
      <c r="M330" s="8" t="s">
        <v>71</v>
      </c>
      <c r="N330" s="8" t="s">
        <v>28</v>
      </c>
      <c r="O330" s="88">
        <v>18485.0</v>
      </c>
      <c r="P330" s="88">
        <v>20849.0</v>
      </c>
      <c r="Q330" s="6">
        <v>52.0</v>
      </c>
      <c r="R330" s="12">
        <f t="shared" ref="R330:R361" si="9">O330*Q330%</f>
        <v>9612.2</v>
      </c>
    </row>
    <row r="331">
      <c r="A331" s="100" t="s">
        <v>2535</v>
      </c>
      <c r="B331" s="58" t="s">
        <v>2539</v>
      </c>
      <c r="C331" s="58" t="s">
        <v>2540</v>
      </c>
      <c r="D331" s="8" t="s">
        <v>21</v>
      </c>
      <c r="E331" s="58" t="s">
        <v>1751</v>
      </c>
      <c r="F331" s="58" t="s">
        <v>2541</v>
      </c>
      <c r="G331" s="8"/>
      <c r="H331" s="8"/>
      <c r="I331" s="88">
        <v>16020.0</v>
      </c>
      <c r="J331" s="58" t="s">
        <v>868</v>
      </c>
      <c r="K331" s="8" t="s">
        <v>78</v>
      </c>
      <c r="L331" s="168" t="s">
        <v>49</v>
      </c>
      <c r="M331" s="8" t="s">
        <v>27</v>
      </c>
      <c r="N331" s="8" t="s">
        <v>28</v>
      </c>
      <c r="O331" s="90">
        <v>57194.47</v>
      </c>
      <c r="P331" s="90">
        <v>65371.0</v>
      </c>
      <c r="Q331" s="6">
        <v>26.0</v>
      </c>
      <c r="R331" s="12">
        <f t="shared" si="9"/>
        <v>14870.5622</v>
      </c>
    </row>
    <row r="332">
      <c r="A332" s="100" t="s">
        <v>2535</v>
      </c>
      <c r="B332" s="58" t="s">
        <v>2542</v>
      </c>
      <c r="C332" s="58" t="s">
        <v>2543</v>
      </c>
      <c r="D332" s="8" t="s">
        <v>1395</v>
      </c>
      <c r="E332" s="58" t="s">
        <v>2544</v>
      </c>
      <c r="F332" s="58" t="s">
        <v>2545</v>
      </c>
      <c r="G332" s="7">
        <v>9.099427511E9</v>
      </c>
      <c r="H332" s="8"/>
      <c r="I332" s="101">
        <v>2450.0</v>
      </c>
      <c r="J332" s="58" t="s">
        <v>2385</v>
      </c>
      <c r="K332" s="8" t="s">
        <v>78</v>
      </c>
      <c r="L332" s="168" t="s">
        <v>49</v>
      </c>
      <c r="M332" s="8" t="s">
        <v>1697</v>
      </c>
      <c r="N332" s="8" t="s">
        <v>28</v>
      </c>
      <c r="O332" s="90">
        <v>17411.71</v>
      </c>
      <c r="P332" s="90">
        <v>19583.0</v>
      </c>
      <c r="Q332" s="6">
        <v>52.0</v>
      </c>
      <c r="R332" s="12">
        <f t="shared" si="9"/>
        <v>9054.0892</v>
      </c>
    </row>
    <row r="333">
      <c r="A333" s="100" t="s">
        <v>2535</v>
      </c>
      <c r="B333" s="58" t="s">
        <v>2546</v>
      </c>
      <c r="C333" s="58" t="s">
        <v>2547</v>
      </c>
      <c r="D333" s="8" t="s">
        <v>1395</v>
      </c>
      <c r="E333" s="58" t="s">
        <v>178</v>
      </c>
      <c r="F333" s="58" t="s">
        <v>2548</v>
      </c>
      <c r="G333" s="7" t="s">
        <v>2549</v>
      </c>
      <c r="H333" s="8"/>
      <c r="I333" s="88">
        <v>3460.0</v>
      </c>
      <c r="J333" s="58" t="s">
        <v>2385</v>
      </c>
      <c r="K333" s="8" t="s">
        <v>116</v>
      </c>
      <c r="L333" s="168" t="s">
        <v>49</v>
      </c>
      <c r="M333" s="8" t="s">
        <v>1456</v>
      </c>
      <c r="N333" s="8" t="s">
        <v>28</v>
      </c>
      <c r="O333" s="90">
        <v>21858.0</v>
      </c>
      <c r="P333" s="90">
        <v>24824.0</v>
      </c>
      <c r="Q333" s="6">
        <v>48.0</v>
      </c>
      <c r="R333" s="12">
        <f t="shared" si="9"/>
        <v>10491.84</v>
      </c>
    </row>
    <row r="334">
      <c r="A334" s="100" t="s">
        <v>2550</v>
      </c>
      <c r="B334" s="58" t="s">
        <v>2551</v>
      </c>
      <c r="C334" s="58" t="s">
        <v>2552</v>
      </c>
      <c r="D334" s="8" t="s">
        <v>21</v>
      </c>
      <c r="E334" s="88">
        <v>3118.0</v>
      </c>
      <c r="F334" s="58" t="s">
        <v>2553</v>
      </c>
      <c r="G334" s="8"/>
      <c r="H334" s="8"/>
      <c r="I334" s="88">
        <v>35000.0</v>
      </c>
      <c r="J334" s="58" t="s">
        <v>891</v>
      </c>
      <c r="K334" s="8" t="s">
        <v>78</v>
      </c>
      <c r="L334" s="168" t="s">
        <v>49</v>
      </c>
      <c r="M334" s="8" t="s">
        <v>71</v>
      </c>
      <c r="N334" s="8" t="s">
        <v>28</v>
      </c>
      <c r="O334" s="90">
        <v>48931.75</v>
      </c>
      <c r="P334" s="90">
        <v>55102.0</v>
      </c>
      <c r="Q334" s="6">
        <v>27.0</v>
      </c>
      <c r="R334" s="12">
        <f t="shared" si="9"/>
        <v>13211.5725</v>
      </c>
    </row>
    <row r="335">
      <c r="A335" s="100" t="s">
        <v>2550</v>
      </c>
      <c r="B335" s="58" t="s">
        <v>892</v>
      </c>
      <c r="C335" s="58" t="s">
        <v>2554</v>
      </c>
      <c r="D335" s="8" t="s">
        <v>21</v>
      </c>
      <c r="E335" s="58" t="s">
        <v>2555</v>
      </c>
      <c r="F335" s="58" t="s">
        <v>2556</v>
      </c>
      <c r="G335" s="8"/>
      <c r="H335" s="8"/>
      <c r="I335" s="88">
        <v>11990.0</v>
      </c>
      <c r="J335" s="58" t="s">
        <v>2503</v>
      </c>
      <c r="K335" s="8" t="s">
        <v>65</v>
      </c>
      <c r="L335" s="168" t="s">
        <v>26</v>
      </c>
      <c r="M335" s="8" t="s">
        <v>27</v>
      </c>
      <c r="N335" s="8" t="s">
        <v>28</v>
      </c>
      <c r="O335" s="88">
        <v>27286.0</v>
      </c>
      <c r="P335" s="88">
        <v>30566.0</v>
      </c>
      <c r="Q335" s="6">
        <v>45.0</v>
      </c>
      <c r="R335" s="12">
        <f t="shared" si="9"/>
        <v>12278.7</v>
      </c>
    </row>
    <row r="336">
      <c r="A336" s="100" t="s">
        <v>2550</v>
      </c>
      <c r="B336" s="58" t="s">
        <v>2557</v>
      </c>
      <c r="C336" s="58" t="s">
        <v>2558</v>
      </c>
      <c r="D336" s="8" t="s">
        <v>533</v>
      </c>
      <c r="E336" s="58" t="s">
        <v>2559</v>
      </c>
      <c r="F336" s="58" t="s">
        <v>2560</v>
      </c>
      <c r="G336" s="8"/>
      <c r="H336" s="8"/>
      <c r="I336" s="8"/>
      <c r="J336" s="58" t="s">
        <v>2561</v>
      </c>
      <c r="K336" s="58" t="s">
        <v>2562</v>
      </c>
      <c r="L336" s="168" t="s">
        <v>49</v>
      </c>
      <c r="M336" s="8" t="s">
        <v>27</v>
      </c>
      <c r="N336" s="8" t="s">
        <v>28</v>
      </c>
      <c r="O336" s="90">
        <v>7454.0</v>
      </c>
      <c r="P336" s="90">
        <v>8795.72</v>
      </c>
      <c r="Q336" s="6">
        <v>50.0</v>
      </c>
      <c r="R336" s="12">
        <f t="shared" si="9"/>
        <v>3727</v>
      </c>
    </row>
    <row r="337">
      <c r="A337" s="100" t="s">
        <v>2550</v>
      </c>
      <c r="B337" s="58" t="s">
        <v>959</v>
      </c>
      <c r="C337" s="58" t="s">
        <v>2563</v>
      </c>
      <c r="D337" s="8" t="s">
        <v>1395</v>
      </c>
      <c r="E337" s="58" t="s">
        <v>961</v>
      </c>
      <c r="F337" s="58" t="s">
        <v>962</v>
      </c>
      <c r="G337" s="7" t="s">
        <v>963</v>
      </c>
      <c r="H337" s="8"/>
      <c r="I337" s="88">
        <v>2880.0</v>
      </c>
      <c r="J337" s="58" t="s">
        <v>2561</v>
      </c>
      <c r="K337" s="8" t="s">
        <v>116</v>
      </c>
      <c r="L337" s="168" t="s">
        <v>49</v>
      </c>
      <c r="M337" s="8" t="s">
        <v>1456</v>
      </c>
      <c r="N337" s="8" t="s">
        <v>28</v>
      </c>
      <c r="O337" s="90">
        <v>22351.0</v>
      </c>
      <c r="P337" s="90">
        <v>25406.0</v>
      </c>
      <c r="Q337" s="6">
        <v>48.0</v>
      </c>
      <c r="R337" s="12">
        <f t="shared" si="9"/>
        <v>10728.48</v>
      </c>
    </row>
    <row r="338">
      <c r="A338" s="100" t="s">
        <v>2550</v>
      </c>
      <c r="B338" s="58" t="s">
        <v>2564</v>
      </c>
      <c r="C338" s="58" t="s">
        <v>2565</v>
      </c>
      <c r="D338" s="8" t="s">
        <v>21</v>
      </c>
      <c r="E338" s="58" t="s">
        <v>1756</v>
      </c>
      <c r="F338" s="58" t="s">
        <v>2566</v>
      </c>
      <c r="G338" s="8"/>
      <c r="H338" s="8"/>
      <c r="I338" s="88">
        <v>35000.0</v>
      </c>
      <c r="J338" s="58" t="s">
        <v>933</v>
      </c>
      <c r="K338" s="8" t="s">
        <v>78</v>
      </c>
      <c r="L338" s="168" t="s">
        <v>49</v>
      </c>
      <c r="M338" s="8" t="s">
        <v>340</v>
      </c>
      <c r="N338" s="8" t="s">
        <v>28</v>
      </c>
      <c r="O338" s="90">
        <v>48944.18</v>
      </c>
      <c r="P338" s="90">
        <v>55117.0</v>
      </c>
      <c r="Q338" s="6">
        <v>27.0</v>
      </c>
      <c r="R338" s="12">
        <f t="shared" si="9"/>
        <v>13214.9286</v>
      </c>
    </row>
    <row r="339">
      <c r="A339" s="100" t="s">
        <v>2550</v>
      </c>
      <c r="B339" s="58" t="s">
        <v>886</v>
      </c>
      <c r="C339" s="58" t="s">
        <v>2567</v>
      </c>
      <c r="D339" s="8" t="s">
        <v>1395</v>
      </c>
      <c r="E339" s="58" t="s">
        <v>524</v>
      </c>
      <c r="F339" s="58" t="s">
        <v>889</v>
      </c>
      <c r="G339" s="7" t="s">
        <v>2568</v>
      </c>
      <c r="H339" s="8"/>
      <c r="I339" s="88">
        <v>3490.0</v>
      </c>
      <c r="J339" s="58" t="s">
        <v>2385</v>
      </c>
      <c r="K339" s="8" t="s">
        <v>116</v>
      </c>
      <c r="L339" s="168" t="s">
        <v>49</v>
      </c>
      <c r="M339" s="8" t="s">
        <v>144</v>
      </c>
      <c r="N339" s="8" t="s">
        <v>28</v>
      </c>
      <c r="O339" s="90">
        <v>22407.0</v>
      </c>
      <c r="P339" s="90">
        <v>25473.0</v>
      </c>
      <c r="Q339" s="6">
        <v>48.0</v>
      </c>
      <c r="R339" s="12">
        <f t="shared" si="9"/>
        <v>10755.36</v>
      </c>
    </row>
    <row r="340">
      <c r="A340" s="100" t="s">
        <v>2569</v>
      </c>
      <c r="B340" s="58" t="s">
        <v>2570</v>
      </c>
      <c r="C340" s="58" t="s">
        <v>2571</v>
      </c>
      <c r="D340" s="8" t="s">
        <v>21</v>
      </c>
      <c r="E340" s="58" t="s">
        <v>2572</v>
      </c>
      <c r="F340" s="58" t="s">
        <v>2573</v>
      </c>
      <c r="G340" s="7" t="s">
        <v>2574</v>
      </c>
      <c r="H340" s="8"/>
      <c r="I340" s="88">
        <v>12990.0</v>
      </c>
      <c r="J340" s="58" t="s">
        <v>933</v>
      </c>
      <c r="K340" s="8" t="s">
        <v>78</v>
      </c>
      <c r="L340" s="168" t="s">
        <v>49</v>
      </c>
      <c r="M340" s="8" t="s">
        <v>1436</v>
      </c>
      <c r="N340" s="8" t="s">
        <v>28</v>
      </c>
      <c r="O340" s="90">
        <v>36596.11</v>
      </c>
      <c r="P340" s="90">
        <v>41065.0</v>
      </c>
      <c r="Q340" s="6">
        <v>26.0</v>
      </c>
      <c r="R340" s="12">
        <f t="shared" si="9"/>
        <v>9514.9886</v>
      </c>
    </row>
    <row r="341">
      <c r="A341" s="100" t="s">
        <v>2569</v>
      </c>
      <c r="B341" s="58" t="s">
        <v>2575</v>
      </c>
      <c r="C341" s="58" t="s">
        <v>2576</v>
      </c>
      <c r="D341" s="8" t="s">
        <v>1395</v>
      </c>
      <c r="E341" s="58" t="s">
        <v>528</v>
      </c>
      <c r="F341" s="58" t="s">
        <v>2577</v>
      </c>
      <c r="G341" s="7" t="s">
        <v>2578</v>
      </c>
      <c r="H341" s="8" t="s">
        <v>2579</v>
      </c>
      <c r="I341" s="88">
        <v>2820.0</v>
      </c>
      <c r="J341" s="58" t="s">
        <v>2580</v>
      </c>
      <c r="K341" s="8" t="s">
        <v>65</v>
      </c>
      <c r="L341" s="177" t="s">
        <v>26</v>
      </c>
      <c r="M341" s="8" t="s">
        <v>365</v>
      </c>
      <c r="N341" s="8" t="s">
        <v>28</v>
      </c>
      <c r="O341" s="88">
        <v>16149.0</v>
      </c>
      <c r="P341" s="88">
        <v>18093.0</v>
      </c>
      <c r="Q341" s="6">
        <v>58.0</v>
      </c>
      <c r="R341" s="12">
        <f t="shared" si="9"/>
        <v>9366.42</v>
      </c>
    </row>
    <row r="342">
      <c r="A342" s="100" t="s">
        <v>2569</v>
      </c>
      <c r="B342" s="58" t="s">
        <v>2581</v>
      </c>
      <c r="C342" s="58" t="s">
        <v>2582</v>
      </c>
      <c r="D342" s="8" t="s">
        <v>1395</v>
      </c>
      <c r="E342" s="58" t="s">
        <v>2096</v>
      </c>
      <c r="F342" s="58" t="s">
        <v>2583</v>
      </c>
      <c r="G342" s="7">
        <v>9.773097905E9</v>
      </c>
      <c r="H342" s="8"/>
      <c r="I342" s="88">
        <v>3490.0</v>
      </c>
      <c r="J342" s="58" t="s">
        <v>958</v>
      </c>
      <c r="K342" s="8" t="s">
        <v>1419</v>
      </c>
      <c r="L342" s="168" t="s">
        <v>49</v>
      </c>
      <c r="M342" s="8" t="s">
        <v>1477</v>
      </c>
      <c r="N342" s="8" t="s">
        <v>28</v>
      </c>
      <c r="O342" s="88">
        <v>19580.0</v>
      </c>
      <c r="P342" s="88">
        <v>22142.0</v>
      </c>
      <c r="Q342" s="6">
        <v>52.0</v>
      </c>
      <c r="R342" s="12">
        <f t="shared" si="9"/>
        <v>10181.6</v>
      </c>
    </row>
    <row r="343">
      <c r="A343" s="100" t="s">
        <v>2584</v>
      </c>
      <c r="B343" s="58" t="s">
        <v>2585</v>
      </c>
      <c r="C343" s="58" t="s">
        <v>2586</v>
      </c>
      <c r="D343" s="8" t="s">
        <v>21</v>
      </c>
      <c r="E343" s="58" t="s">
        <v>1866</v>
      </c>
      <c r="F343" s="58" t="s">
        <v>2587</v>
      </c>
      <c r="G343" s="8"/>
      <c r="H343" s="8"/>
      <c r="I343" s="88">
        <v>12990.0</v>
      </c>
      <c r="J343" s="58" t="s">
        <v>970</v>
      </c>
      <c r="K343" s="58" t="s">
        <v>78</v>
      </c>
      <c r="L343" s="168" t="s">
        <v>49</v>
      </c>
      <c r="M343" s="8" t="s">
        <v>1477</v>
      </c>
      <c r="N343" s="8" t="s">
        <v>28</v>
      </c>
      <c r="O343" s="90">
        <v>37214.97</v>
      </c>
      <c r="P343" s="90">
        <v>41795.0</v>
      </c>
      <c r="Q343" s="6">
        <v>26.0</v>
      </c>
      <c r="R343" s="12">
        <f t="shared" si="9"/>
        <v>9675.8922</v>
      </c>
    </row>
    <row r="344">
      <c r="A344" s="100" t="s">
        <v>2588</v>
      </c>
      <c r="B344" s="58" t="s">
        <v>2589</v>
      </c>
      <c r="C344" s="58" t="s">
        <v>2590</v>
      </c>
      <c r="D344" s="8" t="s">
        <v>21</v>
      </c>
      <c r="E344" s="58" t="s">
        <v>2591</v>
      </c>
      <c r="F344" s="58" t="s">
        <v>2592</v>
      </c>
      <c r="G344" s="8"/>
      <c r="H344" s="8"/>
      <c r="I344" s="88">
        <v>42000.0</v>
      </c>
      <c r="J344" s="58" t="s">
        <v>567</v>
      </c>
      <c r="K344" s="8" t="s">
        <v>353</v>
      </c>
      <c r="L344" s="168" t="s">
        <v>49</v>
      </c>
      <c r="M344" s="8" t="s">
        <v>1616</v>
      </c>
      <c r="N344" s="8" t="s">
        <v>28</v>
      </c>
      <c r="O344" s="90">
        <v>49345.0</v>
      </c>
      <c r="P344" s="90">
        <v>55573.0</v>
      </c>
      <c r="Q344" s="6">
        <v>27.0</v>
      </c>
      <c r="R344" s="12">
        <f t="shared" si="9"/>
        <v>13323.15</v>
      </c>
    </row>
    <row r="345">
      <c r="A345" s="100" t="s">
        <v>2588</v>
      </c>
      <c r="B345" s="58" t="s">
        <v>2593</v>
      </c>
      <c r="C345" s="58" t="s">
        <v>2594</v>
      </c>
      <c r="D345" s="8" t="s">
        <v>21</v>
      </c>
      <c r="E345" s="58" t="s">
        <v>1751</v>
      </c>
      <c r="F345" s="58" t="s">
        <v>2595</v>
      </c>
      <c r="G345" s="8"/>
      <c r="H345" s="8"/>
      <c r="I345" s="88">
        <v>16020.0</v>
      </c>
      <c r="J345" s="58" t="s">
        <v>2561</v>
      </c>
      <c r="K345" s="8" t="s">
        <v>78</v>
      </c>
      <c r="L345" s="168" t="s">
        <v>49</v>
      </c>
      <c r="M345" s="8" t="s">
        <v>71</v>
      </c>
      <c r="N345" s="8" t="s">
        <v>28</v>
      </c>
      <c r="O345" s="104">
        <v>39313.0</v>
      </c>
      <c r="P345" s="104">
        <v>44271.0</v>
      </c>
      <c r="Q345" s="6">
        <v>26.0</v>
      </c>
      <c r="R345" s="12">
        <f t="shared" si="9"/>
        <v>10221.38</v>
      </c>
    </row>
    <row r="346">
      <c r="A346" s="100" t="s">
        <v>2588</v>
      </c>
      <c r="B346" s="58" t="s">
        <v>2596</v>
      </c>
      <c r="C346" s="58" t="s">
        <v>2597</v>
      </c>
      <c r="D346" s="8" t="s">
        <v>21</v>
      </c>
      <c r="E346" s="58" t="s">
        <v>2598</v>
      </c>
      <c r="F346" s="58" t="s">
        <v>2599</v>
      </c>
      <c r="G346" s="8"/>
      <c r="H346" s="8"/>
      <c r="I346" s="88">
        <v>9600.0</v>
      </c>
      <c r="J346" s="58" t="s">
        <v>2600</v>
      </c>
      <c r="K346" s="8" t="s">
        <v>65</v>
      </c>
      <c r="L346" s="168" t="s">
        <v>26</v>
      </c>
      <c r="M346" s="8" t="s">
        <v>27</v>
      </c>
      <c r="N346" s="8" t="s">
        <v>28</v>
      </c>
      <c r="O346" s="88">
        <v>27286.0</v>
      </c>
      <c r="P346" s="88">
        <v>30566.0</v>
      </c>
      <c r="Q346" s="6">
        <v>45.0</v>
      </c>
      <c r="R346" s="12">
        <f t="shared" si="9"/>
        <v>12278.7</v>
      </c>
    </row>
    <row r="347">
      <c r="A347" s="100" t="s">
        <v>2588</v>
      </c>
      <c r="B347" s="58" t="s">
        <v>2601</v>
      </c>
      <c r="C347" s="58" t="s">
        <v>2602</v>
      </c>
      <c r="D347" s="8" t="s">
        <v>21</v>
      </c>
      <c r="E347" s="58" t="s">
        <v>2603</v>
      </c>
      <c r="F347" s="58" t="s">
        <v>2604</v>
      </c>
      <c r="G347" s="8"/>
      <c r="H347" s="8"/>
      <c r="I347" s="88">
        <v>18500.0</v>
      </c>
      <c r="J347" s="58" t="s">
        <v>2600</v>
      </c>
      <c r="K347" s="8" t="s">
        <v>65</v>
      </c>
      <c r="L347" s="168" t="s">
        <v>26</v>
      </c>
      <c r="M347" s="8" t="s">
        <v>71</v>
      </c>
      <c r="N347" s="8" t="s">
        <v>28</v>
      </c>
      <c r="O347" s="88">
        <v>35413.0</v>
      </c>
      <c r="P347" s="88">
        <v>39669.0</v>
      </c>
      <c r="Q347" s="6">
        <v>45.0</v>
      </c>
      <c r="R347" s="12">
        <f t="shared" si="9"/>
        <v>15935.85</v>
      </c>
    </row>
    <row r="348">
      <c r="A348" s="100" t="s">
        <v>2588</v>
      </c>
      <c r="B348" s="58" t="s">
        <v>2605</v>
      </c>
      <c r="C348" s="58" t="s">
        <v>2606</v>
      </c>
      <c r="D348" s="8" t="s">
        <v>1405</v>
      </c>
      <c r="E348" s="58" t="s">
        <v>1816</v>
      </c>
      <c r="F348" s="58" t="s">
        <v>2607</v>
      </c>
      <c r="G348" s="8"/>
      <c r="H348" s="8"/>
      <c r="I348" s="88">
        <v>990.0</v>
      </c>
      <c r="J348" s="58" t="s">
        <v>970</v>
      </c>
      <c r="K348" s="8" t="s">
        <v>78</v>
      </c>
      <c r="L348" s="168" t="s">
        <v>26</v>
      </c>
      <c r="M348" s="8" t="s">
        <v>27</v>
      </c>
      <c r="N348" s="8" t="s">
        <v>28</v>
      </c>
      <c r="O348" s="90">
        <v>4542.0</v>
      </c>
      <c r="P348" s="90">
        <v>5090.0</v>
      </c>
      <c r="Q348" s="6">
        <v>59.0</v>
      </c>
      <c r="R348" s="12">
        <f t="shared" si="9"/>
        <v>2679.78</v>
      </c>
    </row>
    <row r="349">
      <c r="A349" s="100" t="s">
        <v>2588</v>
      </c>
      <c r="B349" s="58" t="s">
        <v>996</v>
      </c>
      <c r="C349" s="58" t="s">
        <v>2608</v>
      </c>
      <c r="D349" s="8" t="s">
        <v>21</v>
      </c>
      <c r="E349" s="58" t="s">
        <v>1621</v>
      </c>
      <c r="F349" s="58" t="s">
        <v>2609</v>
      </c>
      <c r="G349" s="8"/>
      <c r="H349" s="8"/>
      <c r="I349" s="88">
        <v>28000.0</v>
      </c>
      <c r="J349" s="58" t="s">
        <v>2600</v>
      </c>
      <c r="K349" s="8" t="s">
        <v>65</v>
      </c>
      <c r="L349" s="168" t="s">
        <v>26</v>
      </c>
      <c r="M349" s="8" t="s">
        <v>71</v>
      </c>
      <c r="N349" s="8" t="s">
        <v>28</v>
      </c>
      <c r="O349" s="88">
        <v>44050.0</v>
      </c>
      <c r="P349" s="88">
        <v>49342.0</v>
      </c>
      <c r="Q349" s="6">
        <v>51.0</v>
      </c>
      <c r="R349" s="12">
        <f t="shared" si="9"/>
        <v>22465.5</v>
      </c>
    </row>
    <row r="350">
      <c r="A350" s="100" t="s">
        <v>2588</v>
      </c>
      <c r="B350" s="6" t="s">
        <v>2610</v>
      </c>
      <c r="D350" s="6" t="s">
        <v>1395</v>
      </c>
      <c r="E350" s="170" t="s">
        <v>1749</v>
      </c>
      <c r="F350" s="6" t="s">
        <v>2611</v>
      </c>
      <c r="I350" s="6">
        <v>3425.0</v>
      </c>
      <c r="J350" s="6" t="s">
        <v>970</v>
      </c>
      <c r="K350" s="6" t="s">
        <v>1419</v>
      </c>
      <c r="L350" s="170" t="s">
        <v>49</v>
      </c>
      <c r="M350" s="6" t="s">
        <v>2612</v>
      </c>
      <c r="O350" s="6">
        <v>18983.0</v>
      </c>
      <c r="P350" s="6">
        <v>21437.0</v>
      </c>
      <c r="Q350" s="6">
        <v>52.0</v>
      </c>
      <c r="R350" s="12">
        <f t="shared" si="9"/>
        <v>9871.16</v>
      </c>
    </row>
    <row r="351">
      <c r="A351" s="100" t="s">
        <v>2588</v>
      </c>
      <c r="B351" s="6" t="s">
        <v>2613</v>
      </c>
      <c r="D351" s="6" t="s">
        <v>1395</v>
      </c>
      <c r="E351" s="170" t="s">
        <v>1749</v>
      </c>
      <c r="F351" s="6" t="s">
        <v>2614</v>
      </c>
      <c r="I351" s="6">
        <v>3490.0</v>
      </c>
      <c r="J351" s="6" t="s">
        <v>970</v>
      </c>
      <c r="K351" s="6" t="s">
        <v>116</v>
      </c>
      <c r="L351" s="170" t="s">
        <v>49</v>
      </c>
      <c r="O351" s="6">
        <v>20981.0</v>
      </c>
      <c r="P351" s="6">
        <v>23789.0</v>
      </c>
      <c r="Q351" s="6">
        <v>48.0</v>
      </c>
      <c r="R351" s="12">
        <f t="shared" si="9"/>
        <v>10070.88</v>
      </c>
    </row>
    <row r="352">
      <c r="A352" s="100" t="s">
        <v>2588</v>
      </c>
      <c r="B352" s="6" t="s">
        <v>1037</v>
      </c>
      <c r="D352" s="6" t="s">
        <v>1395</v>
      </c>
      <c r="E352" s="170" t="s">
        <v>1749</v>
      </c>
      <c r="F352" s="6" t="s">
        <v>1039</v>
      </c>
      <c r="I352" s="6">
        <v>3490.0</v>
      </c>
      <c r="J352" s="171">
        <v>46237.0</v>
      </c>
      <c r="K352" s="6" t="s">
        <v>116</v>
      </c>
      <c r="L352" s="170" t="s">
        <v>49</v>
      </c>
      <c r="O352" s="6">
        <v>21650.0</v>
      </c>
      <c r="P352" s="6">
        <v>24578.0</v>
      </c>
      <c r="Q352" s="6">
        <v>48.0</v>
      </c>
      <c r="R352" s="12">
        <f t="shared" si="9"/>
        <v>10392</v>
      </c>
    </row>
    <row r="353">
      <c r="A353" s="100" t="s">
        <v>2588</v>
      </c>
      <c r="B353" s="6" t="s">
        <v>2615</v>
      </c>
      <c r="D353" s="6" t="s">
        <v>75</v>
      </c>
      <c r="E353" s="170" t="s">
        <v>2616</v>
      </c>
      <c r="F353" s="6" t="s">
        <v>2617</v>
      </c>
      <c r="J353" s="171">
        <v>46056.0</v>
      </c>
      <c r="K353" s="6" t="s">
        <v>78</v>
      </c>
      <c r="L353" s="170" t="s">
        <v>49</v>
      </c>
      <c r="O353" s="6">
        <v>4886.0</v>
      </c>
      <c r="P353" s="6">
        <v>5497.0</v>
      </c>
      <c r="Q353" s="6">
        <v>59.0</v>
      </c>
      <c r="R353" s="12">
        <f t="shared" si="9"/>
        <v>2882.74</v>
      </c>
    </row>
    <row r="354">
      <c r="A354" s="100" t="s">
        <v>2588</v>
      </c>
      <c r="B354" s="6" t="s">
        <v>983</v>
      </c>
      <c r="D354" s="6" t="s">
        <v>75</v>
      </c>
      <c r="E354" s="170" t="s">
        <v>2618</v>
      </c>
      <c r="F354" s="6" t="s">
        <v>2619</v>
      </c>
      <c r="J354" s="6" t="s">
        <v>567</v>
      </c>
      <c r="K354" s="6" t="s">
        <v>78</v>
      </c>
      <c r="L354" s="170" t="s">
        <v>49</v>
      </c>
      <c r="O354" s="6">
        <v>5394.0</v>
      </c>
      <c r="P354" s="6">
        <v>6096.0</v>
      </c>
      <c r="Q354" s="6">
        <v>59.0</v>
      </c>
      <c r="R354" s="12">
        <f t="shared" si="9"/>
        <v>3182.46</v>
      </c>
    </row>
    <row r="355">
      <c r="A355" s="100" t="s">
        <v>2588</v>
      </c>
      <c r="B355" s="6" t="s">
        <v>2620</v>
      </c>
      <c r="D355" s="6" t="s">
        <v>21</v>
      </c>
      <c r="E355" s="170" t="s">
        <v>2621</v>
      </c>
      <c r="F355" s="6" t="s">
        <v>2622</v>
      </c>
      <c r="I355" s="6">
        <v>11990.0</v>
      </c>
      <c r="J355" s="6" t="s">
        <v>958</v>
      </c>
      <c r="K355" s="6" t="s">
        <v>78</v>
      </c>
      <c r="L355" s="170" t="s">
        <v>49</v>
      </c>
      <c r="O355" s="6">
        <v>32523.0</v>
      </c>
      <c r="P355" s="6">
        <v>36747.0</v>
      </c>
      <c r="Q355" s="6">
        <v>32.0</v>
      </c>
      <c r="R355" s="12">
        <f t="shared" si="9"/>
        <v>10407.36</v>
      </c>
    </row>
    <row r="356">
      <c r="A356" s="178">
        <v>45717.0</v>
      </c>
      <c r="B356" s="179" t="s">
        <v>2333</v>
      </c>
      <c r="C356" s="180">
        <v>1.61523E17</v>
      </c>
      <c r="D356" s="179" t="s">
        <v>21</v>
      </c>
      <c r="E356" s="179" t="s">
        <v>2335</v>
      </c>
      <c r="F356" s="179" t="s">
        <v>2336</v>
      </c>
      <c r="G356" s="181"/>
      <c r="H356" s="181"/>
      <c r="I356" s="181">
        <v>28000.0</v>
      </c>
      <c r="J356" s="182">
        <v>46054.0</v>
      </c>
      <c r="K356" s="179" t="s">
        <v>70</v>
      </c>
      <c r="L356" s="183" t="s">
        <v>49</v>
      </c>
      <c r="M356" s="184"/>
      <c r="N356" s="184"/>
      <c r="O356" s="184">
        <v>47698.0</v>
      </c>
      <c r="P356" s="184">
        <v>53647.0</v>
      </c>
      <c r="Q356" s="181">
        <v>20.0</v>
      </c>
      <c r="R356" s="30">
        <f t="shared" si="9"/>
        <v>9539.6</v>
      </c>
    </row>
    <row r="357">
      <c r="A357" s="185">
        <v>45839.0</v>
      </c>
      <c r="B357" s="186" t="s">
        <v>2338</v>
      </c>
      <c r="C357" s="187"/>
      <c r="D357" s="186" t="s">
        <v>21</v>
      </c>
      <c r="E357" s="186" t="s">
        <v>2339</v>
      </c>
      <c r="F357" s="186" t="s">
        <v>2340</v>
      </c>
      <c r="G357" s="188"/>
      <c r="H357" s="188"/>
      <c r="I357" s="188">
        <v>28000.0</v>
      </c>
      <c r="J357" s="188" t="s">
        <v>2623</v>
      </c>
      <c r="K357" s="186" t="s">
        <v>70</v>
      </c>
      <c r="L357" s="189" t="s">
        <v>49</v>
      </c>
      <c r="M357" s="190"/>
      <c r="N357" s="190"/>
      <c r="O357" s="190">
        <v>45985.0</v>
      </c>
      <c r="P357" s="190">
        <v>51625.0</v>
      </c>
      <c r="Q357" s="188">
        <v>20.0</v>
      </c>
      <c r="R357" s="30">
        <f t="shared" si="9"/>
        <v>9197</v>
      </c>
    </row>
    <row r="358">
      <c r="A358" s="185">
        <v>45658.0</v>
      </c>
      <c r="B358" s="186" t="s">
        <v>2345</v>
      </c>
      <c r="C358" s="191">
        <v>1.61523E17</v>
      </c>
      <c r="D358" s="186" t="s">
        <v>21</v>
      </c>
      <c r="E358" s="186" t="s">
        <v>2347</v>
      </c>
      <c r="F358" s="186" t="s">
        <v>2348</v>
      </c>
      <c r="G358" s="188"/>
      <c r="H358" s="188"/>
      <c r="I358" s="188">
        <v>35000.0</v>
      </c>
      <c r="J358" s="192">
        <v>46023.0</v>
      </c>
      <c r="K358" s="186" t="s">
        <v>70</v>
      </c>
      <c r="L358" s="189" t="s">
        <v>49</v>
      </c>
      <c r="M358" s="190"/>
      <c r="N358" s="190"/>
      <c r="O358" s="190">
        <v>48327.0</v>
      </c>
      <c r="P358" s="190">
        <v>54389.0</v>
      </c>
      <c r="Q358" s="188">
        <v>20.0</v>
      </c>
      <c r="R358" s="30">
        <f t="shared" si="9"/>
        <v>9665.4</v>
      </c>
    </row>
    <row r="359">
      <c r="A359" s="185">
        <v>45748.0</v>
      </c>
      <c r="B359" s="186" t="s">
        <v>2354</v>
      </c>
      <c r="C359" s="191">
        <v>1.61523E17</v>
      </c>
      <c r="D359" s="186" t="s">
        <v>21</v>
      </c>
      <c r="E359" s="186" t="s">
        <v>2356</v>
      </c>
      <c r="F359" s="186" t="s">
        <v>2357</v>
      </c>
      <c r="G359" s="188"/>
      <c r="H359" s="188"/>
      <c r="I359" s="188">
        <v>35000.0</v>
      </c>
      <c r="J359" s="192">
        <v>46054.0</v>
      </c>
      <c r="K359" s="186" t="s">
        <v>70</v>
      </c>
      <c r="L359" s="189" t="s">
        <v>49</v>
      </c>
      <c r="M359" s="190"/>
      <c r="N359" s="190"/>
      <c r="O359" s="190">
        <v>48307.0</v>
      </c>
      <c r="P359" s="190">
        <v>54365.0</v>
      </c>
      <c r="Q359" s="188">
        <v>20.0</v>
      </c>
      <c r="R359" s="30">
        <f t="shared" si="9"/>
        <v>9661.4</v>
      </c>
    </row>
    <row r="360">
      <c r="A360" s="185">
        <v>45748.0</v>
      </c>
      <c r="B360" s="186" t="s">
        <v>2363</v>
      </c>
      <c r="C360" s="191">
        <v>1.61523E17</v>
      </c>
      <c r="D360" s="186" t="s">
        <v>21</v>
      </c>
      <c r="E360" s="186" t="s">
        <v>762</v>
      </c>
      <c r="F360" s="186" t="s">
        <v>2365</v>
      </c>
      <c r="G360" s="188"/>
      <c r="H360" s="188"/>
      <c r="I360" s="188">
        <v>42000.0</v>
      </c>
      <c r="J360" s="192">
        <v>46082.0</v>
      </c>
      <c r="K360" s="186" t="s">
        <v>70</v>
      </c>
      <c r="L360" s="189" t="s">
        <v>49</v>
      </c>
      <c r="M360" s="190"/>
      <c r="N360" s="190"/>
      <c r="O360" s="190">
        <v>47162.0</v>
      </c>
      <c r="P360" s="190">
        <v>52997.0</v>
      </c>
      <c r="Q360" s="188">
        <v>25.0</v>
      </c>
      <c r="R360" s="30">
        <f t="shared" si="9"/>
        <v>11790.5</v>
      </c>
    </row>
    <row r="361">
      <c r="A361" s="107" t="s">
        <v>1980</v>
      </c>
      <c r="B361" s="108" t="s">
        <v>2000</v>
      </c>
      <c r="C361" s="108" t="s">
        <v>2001</v>
      </c>
      <c r="D361" s="108" t="s">
        <v>21</v>
      </c>
      <c r="E361" s="108" t="s">
        <v>2002</v>
      </c>
      <c r="F361" s="108" t="s">
        <v>2003</v>
      </c>
      <c r="G361" s="63" t="s">
        <v>2624</v>
      </c>
      <c r="H361" s="108"/>
      <c r="I361" s="114">
        <v>42000.0</v>
      </c>
      <c r="J361" s="114" t="s">
        <v>1795</v>
      </c>
      <c r="K361" s="108" t="s">
        <v>70</v>
      </c>
      <c r="L361" s="111" t="s">
        <v>49</v>
      </c>
      <c r="M361" s="108" t="s">
        <v>27</v>
      </c>
      <c r="N361" s="108" t="s">
        <v>28</v>
      </c>
      <c r="O361" s="116">
        <v>49024.0</v>
      </c>
      <c r="P361" s="116">
        <v>55194.0</v>
      </c>
      <c r="Q361" s="125">
        <v>25.0</v>
      </c>
      <c r="R361" s="30">
        <f t="shared" si="9"/>
        <v>12256</v>
      </c>
    </row>
    <row r="362">
      <c r="A362" s="126"/>
      <c r="E362" s="126"/>
      <c r="L362" s="126"/>
    </row>
    <row r="363">
      <c r="A363" s="126"/>
      <c r="E363" s="126"/>
      <c r="L363" s="126"/>
    </row>
    <row r="364">
      <c r="A364" s="87">
        <v>45660.0</v>
      </c>
      <c r="B364" s="58" t="s">
        <v>971</v>
      </c>
      <c r="C364" s="58" t="s">
        <v>2625</v>
      </c>
      <c r="D364" s="8" t="s">
        <v>1395</v>
      </c>
      <c r="E364" s="58" t="s">
        <v>178</v>
      </c>
      <c r="F364" s="58" t="s">
        <v>2626</v>
      </c>
      <c r="G364" s="21">
        <v>9.825417664E9</v>
      </c>
      <c r="H364" s="8"/>
      <c r="I364" s="88">
        <v>3460.0</v>
      </c>
      <c r="J364" s="58" t="s">
        <v>974</v>
      </c>
      <c r="K364" s="8" t="s">
        <v>116</v>
      </c>
      <c r="L364" s="168" t="s">
        <v>49</v>
      </c>
      <c r="M364" s="8" t="s">
        <v>389</v>
      </c>
      <c r="N364" s="8" t="s">
        <v>28</v>
      </c>
      <c r="O364" s="90">
        <v>21858.0</v>
      </c>
      <c r="P364" s="90">
        <v>24824.0</v>
      </c>
      <c r="Q364" s="6">
        <v>48.0</v>
      </c>
      <c r="R364" s="12">
        <f t="shared" ref="R364:R407" si="10">O364*Q364%</f>
        <v>10491.84</v>
      </c>
    </row>
    <row r="365">
      <c r="A365" s="87">
        <v>45660.0</v>
      </c>
      <c r="B365" s="58" t="s">
        <v>975</v>
      </c>
      <c r="C365" s="58" t="s">
        <v>2627</v>
      </c>
      <c r="D365" s="8" t="s">
        <v>1395</v>
      </c>
      <c r="E365" s="58" t="s">
        <v>741</v>
      </c>
      <c r="F365" s="58" t="s">
        <v>977</v>
      </c>
      <c r="G365" s="21">
        <v>9.712233674E9</v>
      </c>
      <c r="H365" s="8"/>
      <c r="I365" s="88">
        <v>3490.0</v>
      </c>
      <c r="J365" s="58" t="s">
        <v>974</v>
      </c>
      <c r="K365" s="8" t="s">
        <v>116</v>
      </c>
      <c r="L365" s="168" t="s">
        <v>49</v>
      </c>
      <c r="M365" s="8" t="s">
        <v>71</v>
      </c>
      <c r="N365" s="8" t="s">
        <v>28</v>
      </c>
      <c r="O365" s="90">
        <v>22193.0</v>
      </c>
      <c r="P365" s="90">
        <v>25219.0</v>
      </c>
      <c r="Q365" s="6">
        <v>48.0</v>
      </c>
      <c r="R365" s="12">
        <f t="shared" si="10"/>
        <v>10652.64</v>
      </c>
    </row>
    <row r="366">
      <c r="A366" s="87">
        <v>45660.0</v>
      </c>
      <c r="B366" s="58" t="s">
        <v>2628</v>
      </c>
      <c r="C366" s="58" t="s">
        <v>2629</v>
      </c>
      <c r="D366" s="8" t="s">
        <v>21</v>
      </c>
      <c r="E366" s="58" t="s">
        <v>2630</v>
      </c>
      <c r="F366" s="58" t="s">
        <v>2631</v>
      </c>
      <c r="G366" s="21">
        <v>8.32033693E9</v>
      </c>
      <c r="H366" s="8"/>
      <c r="I366" s="88">
        <v>12990.0</v>
      </c>
      <c r="J366" s="58" t="s">
        <v>567</v>
      </c>
      <c r="K366" s="8" t="s">
        <v>78</v>
      </c>
      <c r="L366" s="168" t="s">
        <v>49</v>
      </c>
      <c r="M366" s="8" t="s">
        <v>71</v>
      </c>
      <c r="N366" s="8" t="s">
        <v>28</v>
      </c>
      <c r="O366" s="90">
        <v>37391.67</v>
      </c>
      <c r="P366" s="90">
        <v>42003.0</v>
      </c>
      <c r="Q366" s="6">
        <v>26.0</v>
      </c>
      <c r="R366" s="12">
        <f t="shared" si="10"/>
        <v>9721.8342</v>
      </c>
    </row>
    <row r="367">
      <c r="A367" s="87">
        <v>45660.0</v>
      </c>
      <c r="B367" s="58" t="s">
        <v>2632</v>
      </c>
      <c r="C367" s="58" t="s">
        <v>2633</v>
      </c>
      <c r="D367" s="8" t="s">
        <v>21</v>
      </c>
      <c r="E367" s="58" t="s">
        <v>2634</v>
      </c>
      <c r="F367" s="58" t="s">
        <v>2635</v>
      </c>
      <c r="G367" s="21" t="s">
        <v>2636</v>
      </c>
      <c r="H367" s="8"/>
      <c r="I367" s="88" t="s">
        <v>2637</v>
      </c>
      <c r="J367" s="58" t="s">
        <v>970</v>
      </c>
      <c r="K367" s="8" t="s">
        <v>2638</v>
      </c>
      <c r="L367" s="168" t="s">
        <v>49</v>
      </c>
      <c r="M367" s="8" t="s">
        <v>219</v>
      </c>
      <c r="N367" s="8" t="s">
        <v>28</v>
      </c>
      <c r="O367" s="90">
        <v>60777.0</v>
      </c>
      <c r="P367" s="90">
        <v>69598.08</v>
      </c>
      <c r="Q367" s="6">
        <v>22.0</v>
      </c>
      <c r="R367" s="12">
        <f t="shared" si="10"/>
        <v>13370.94</v>
      </c>
    </row>
    <row r="368">
      <c r="A368" s="87">
        <v>45660.0</v>
      </c>
      <c r="B368" s="58" t="s">
        <v>2639</v>
      </c>
      <c r="C368" s="58" t="s">
        <v>2640</v>
      </c>
      <c r="D368" s="8" t="s">
        <v>21</v>
      </c>
      <c r="E368" s="58" t="s">
        <v>2634</v>
      </c>
      <c r="F368" s="8" t="s">
        <v>2635</v>
      </c>
      <c r="G368" s="21" t="s">
        <v>2636</v>
      </c>
      <c r="H368" s="8"/>
      <c r="I368" s="21" t="s">
        <v>2637</v>
      </c>
      <c r="J368" s="21" t="s">
        <v>970</v>
      </c>
      <c r="K368" s="8" t="s">
        <v>2638</v>
      </c>
      <c r="L368" s="168" t="s">
        <v>49</v>
      </c>
      <c r="M368" s="8" t="s">
        <v>340</v>
      </c>
      <c r="N368" s="8" t="s">
        <v>28</v>
      </c>
      <c r="O368" s="90">
        <v>60777.0</v>
      </c>
      <c r="P368" s="90">
        <v>69598.08</v>
      </c>
      <c r="Q368" s="6">
        <v>22.0</v>
      </c>
      <c r="R368" s="12">
        <f t="shared" si="10"/>
        <v>13370.94</v>
      </c>
    </row>
    <row r="369">
      <c r="A369" s="87">
        <v>45660.0</v>
      </c>
      <c r="B369" s="58" t="s">
        <v>2641</v>
      </c>
      <c r="C369" s="58" t="s">
        <v>2642</v>
      </c>
      <c r="D369" s="8" t="s">
        <v>21</v>
      </c>
      <c r="E369" s="58" t="s">
        <v>2643</v>
      </c>
      <c r="F369" s="58" t="s">
        <v>2644</v>
      </c>
      <c r="G369" s="21">
        <v>8.460466198E9</v>
      </c>
      <c r="H369" s="21">
        <v>9.016019599E9</v>
      </c>
      <c r="I369" s="88">
        <v>16140.0</v>
      </c>
      <c r="J369" s="58" t="s">
        <v>970</v>
      </c>
      <c r="K369" s="8" t="s">
        <v>1424</v>
      </c>
      <c r="L369" s="168" t="s">
        <v>49</v>
      </c>
      <c r="M369" s="58" t="s">
        <v>71</v>
      </c>
      <c r="N369" s="8" t="s">
        <v>28</v>
      </c>
      <c r="O369" s="88">
        <v>55241.0</v>
      </c>
      <c r="P369" s="88">
        <v>63067.0</v>
      </c>
      <c r="Q369" s="6">
        <v>23.0</v>
      </c>
      <c r="R369" s="12">
        <f t="shared" si="10"/>
        <v>12705.43</v>
      </c>
    </row>
    <row r="370">
      <c r="A370" s="87">
        <v>45660.0</v>
      </c>
      <c r="B370" s="58" t="s">
        <v>2645</v>
      </c>
      <c r="C370" s="58" t="s">
        <v>2646</v>
      </c>
      <c r="D370" s="8" t="s">
        <v>21</v>
      </c>
      <c r="E370" s="58" t="s">
        <v>1756</v>
      </c>
      <c r="F370" s="58" t="s">
        <v>2647</v>
      </c>
      <c r="G370" s="21">
        <v>8.238699831E9</v>
      </c>
      <c r="H370" s="8"/>
      <c r="I370" s="88">
        <v>35000.0</v>
      </c>
      <c r="J370" s="58" t="s">
        <v>567</v>
      </c>
      <c r="K370" s="8" t="s">
        <v>78</v>
      </c>
      <c r="L370" s="168" t="s">
        <v>49</v>
      </c>
      <c r="M370" s="8" t="s">
        <v>71</v>
      </c>
      <c r="N370" s="8" t="s">
        <v>28</v>
      </c>
      <c r="O370" s="90">
        <v>48773.06</v>
      </c>
      <c r="P370" s="90">
        <v>54915.0</v>
      </c>
      <c r="Q370" s="6">
        <v>28.0</v>
      </c>
      <c r="R370" s="12">
        <f t="shared" si="10"/>
        <v>13656.4568</v>
      </c>
    </row>
    <row r="371">
      <c r="A371" s="87">
        <v>45660.0</v>
      </c>
      <c r="B371" s="58" t="s">
        <v>2648</v>
      </c>
      <c r="C371" s="58" t="s">
        <v>2649</v>
      </c>
      <c r="D371" s="8" t="s">
        <v>1395</v>
      </c>
      <c r="E371" s="58" t="s">
        <v>1690</v>
      </c>
      <c r="F371" s="58" t="s">
        <v>2650</v>
      </c>
      <c r="G371" s="21">
        <v>9.0167490996E10</v>
      </c>
      <c r="H371" s="8"/>
      <c r="I371" s="88">
        <v>1600.0</v>
      </c>
      <c r="J371" s="22">
        <v>46025.0</v>
      </c>
      <c r="K371" s="8" t="s">
        <v>70</v>
      </c>
      <c r="L371" s="168" t="s">
        <v>49</v>
      </c>
      <c r="M371" s="8" t="s">
        <v>71</v>
      </c>
      <c r="N371" s="8" t="s">
        <v>28</v>
      </c>
      <c r="O371" s="90">
        <v>16691.0</v>
      </c>
      <c r="P371" s="90">
        <v>18732.0</v>
      </c>
      <c r="Q371" s="6">
        <v>60.0</v>
      </c>
      <c r="R371" s="12">
        <f t="shared" si="10"/>
        <v>10014.6</v>
      </c>
    </row>
    <row r="372">
      <c r="A372" s="87">
        <v>45660.0</v>
      </c>
      <c r="B372" s="193" t="s">
        <v>2651</v>
      </c>
      <c r="C372" s="193" t="s">
        <v>2652</v>
      </c>
      <c r="D372" s="44" t="s">
        <v>21</v>
      </c>
      <c r="E372" s="194">
        <v>3118.0</v>
      </c>
      <c r="F372" s="193" t="s">
        <v>2653</v>
      </c>
      <c r="G372" s="44"/>
      <c r="H372" s="44"/>
      <c r="I372" s="194">
        <v>35000.0</v>
      </c>
      <c r="J372" s="193" t="s">
        <v>974</v>
      </c>
      <c r="K372" s="44" t="s">
        <v>78</v>
      </c>
      <c r="L372" s="195" t="s">
        <v>49</v>
      </c>
      <c r="M372" s="44" t="s">
        <v>27</v>
      </c>
      <c r="N372" s="44" t="s">
        <v>28</v>
      </c>
      <c r="O372" s="196">
        <v>48214.85</v>
      </c>
      <c r="P372" s="196">
        <v>54257.0</v>
      </c>
      <c r="Q372" s="6">
        <v>28.0</v>
      </c>
      <c r="R372" s="12">
        <f t="shared" si="10"/>
        <v>13500.158</v>
      </c>
    </row>
    <row r="373">
      <c r="A373" s="87">
        <v>45660.0</v>
      </c>
      <c r="B373" s="58" t="s">
        <v>2654</v>
      </c>
      <c r="C373" s="58" t="s">
        <v>2655</v>
      </c>
      <c r="D373" s="8" t="s">
        <v>21</v>
      </c>
      <c r="E373" s="88">
        <v>2518.0</v>
      </c>
      <c r="F373" s="58" t="s">
        <v>2656</v>
      </c>
      <c r="G373" s="21">
        <v>9.727450222E9</v>
      </c>
      <c r="H373" s="8"/>
      <c r="I373" s="88">
        <v>28000.0</v>
      </c>
      <c r="J373" s="58" t="s">
        <v>567</v>
      </c>
      <c r="K373" s="8" t="s">
        <v>78</v>
      </c>
      <c r="L373" s="168" t="s">
        <v>49</v>
      </c>
      <c r="M373" s="8" t="s">
        <v>71</v>
      </c>
      <c r="N373" s="8" t="s">
        <v>28</v>
      </c>
      <c r="O373" s="90">
        <v>47448.11</v>
      </c>
      <c r="P373" s="90">
        <v>53352.0</v>
      </c>
      <c r="Q373" s="6">
        <v>28.0</v>
      </c>
      <c r="R373" s="12">
        <f t="shared" si="10"/>
        <v>13285.4708</v>
      </c>
    </row>
    <row r="374">
      <c r="A374" s="98">
        <v>45691.0</v>
      </c>
      <c r="B374" s="58" t="s">
        <v>2657</v>
      </c>
      <c r="C374" s="58" t="s">
        <v>2658</v>
      </c>
      <c r="D374" s="8" t="s">
        <v>1395</v>
      </c>
      <c r="E374" s="58" t="s">
        <v>1974</v>
      </c>
      <c r="F374" s="58" t="s">
        <v>2659</v>
      </c>
      <c r="G374" s="21" t="s">
        <v>2660</v>
      </c>
      <c r="H374" s="8"/>
      <c r="I374" s="88">
        <v>3490.0</v>
      </c>
      <c r="J374" s="91">
        <v>46025.0</v>
      </c>
      <c r="K374" s="8" t="s">
        <v>1419</v>
      </c>
      <c r="L374" s="168" t="s">
        <v>49</v>
      </c>
      <c r="M374" s="8" t="s">
        <v>1456</v>
      </c>
      <c r="N374" s="8" t="s">
        <v>28</v>
      </c>
      <c r="O374" s="88">
        <v>18134.0</v>
      </c>
      <c r="P374" s="88">
        <v>20436.0</v>
      </c>
      <c r="Q374" s="6">
        <v>53.0</v>
      </c>
      <c r="R374" s="12">
        <f t="shared" si="10"/>
        <v>9611.02</v>
      </c>
    </row>
    <row r="375">
      <c r="A375" s="87">
        <v>46084.0</v>
      </c>
      <c r="B375" s="58" t="s">
        <v>2661</v>
      </c>
      <c r="C375" s="58" t="s">
        <v>2662</v>
      </c>
      <c r="D375" s="8" t="s">
        <v>21</v>
      </c>
      <c r="E375" s="58" t="s">
        <v>2663</v>
      </c>
      <c r="F375" s="58" t="s">
        <v>2664</v>
      </c>
      <c r="G375" s="8"/>
      <c r="H375" s="8"/>
      <c r="I375" s="88">
        <v>35000.0</v>
      </c>
      <c r="J375" s="91">
        <v>46056.0</v>
      </c>
      <c r="K375" s="8" t="s">
        <v>353</v>
      </c>
      <c r="L375" s="168" t="s">
        <v>49</v>
      </c>
      <c r="M375" s="8" t="s">
        <v>71</v>
      </c>
      <c r="N375" s="8" t="s">
        <v>28</v>
      </c>
      <c r="O375" s="88">
        <v>69821.0</v>
      </c>
      <c r="P375" s="88">
        <v>79752.0</v>
      </c>
      <c r="Q375" s="6">
        <v>28.0</v>
      </c>
      <c r="R375" s="12">
        <f t="shared" si="10"/>
        <v>19549.88</v>
      </c>
    </row>
    <row r="376">
      <c r="A376" s="98">
        <v>45691.0</v>
      </c>
      <c r="B376" s="58" t="s">
        <v>2665</v>
      </c>
      <c r="C376" s="58" t="s">
        <v>2666</v>
      </c>
      <c r="D376" s="8" t="s">
        <v>1395</v>
      </c>
      <c r="E376" s="58" t="s">
        <v>2667</v>
      </c>
      <c r="F376" s="58" t="s">
        <v>2668</v>
      </c>
      <c r="G376" s="21" t="s">
        <v>2669</v>
      </c>
      <c r="H376" s="8"/>
      <c r="I376" s="88">
        <v>2120.0</v>
      </c>
      <c r="J376" s="91">
        <v>46084.0</v>
      </c>
      <c r="K376" s="8" t="s">
        <v>1419</v>
      </c>
      <c r="L376" s="168" t="s">
        <v>49</v>
      </c>
      <c r="M376" s="8" t="s">
        <v>1477</v>
      </c>
      <c r="N376" s="8" t="s">
        <v>28</v>
      </c>
      <c r="O376" s="90">
        <v>18117.0</v>
      </c>
      <c r="P376" s="90">
        <v>20415.0</v>
      </c>
      <c r="Q376" s="6">
        <v>56.0</v>
      </c>
      <c r="R376" s="12">
        <f t="shared" si="10"/>
        <v>10145.52</v>
      </c>
    </row>
    <row r="377">
      <c r="A377" s="98">
        <v>45691.0</v>
      </c>
      <c r="B377" s="58" t="s">
        <v>2670</v>
      </c>
      <c r="C377" s="58" t="s">
        <v>2671</v>
      </c>
      <c r="D377" s="8" t="s">
        <v>1395</v>
      </c>
      <c r="E377" s="58" t="s">
        <v>2151</v>
      </c>
      <c r="F377" s="58" t="s">
        <v>2672</v>
      </c>
      <c r="G377" s="21" t="s">
        <v>2673</v>
      </c>
      <c r="H377" s="8"/>
      <c r="I377" s="88">
        <v>2750.0</v>
      </c>
      <c r="J377" s="91">
        <v>46025.0</v>
      </c>
      <c r="K377" s="8" t="s">
        <v>1419</v>
      </c>
      <c r="L377" s="168" t="s">
        <v>49</v>
      </c>
      <c r="M377" s="8" t="s">
        <v>1477</v>
      </c>
      <c r="N377" s="8" t="s">
        <v>28</v>
      </c>
      <c r="O377" s="90">
        <v>18504.0</v>
      </c>
      <c r="P377" s="90">
        <v>20872.0</v>
      </c>
      <c r="Q377" s="6">
        <v>53.0</v>
      </c>
      <c r="R377" s="12">
        <f t="shared" si="10"/>
        <v>9807.12</v>
      </c>
    </row>
    <row r="378">
      <c r="A378" s="98">
        <v>45719.0</v>
      </c>
      <c r="B378" s="8" t="s">
        <v>2674</v>
      </c>
      <c r="C378" s="8" t="s">
        <v>2675</v>
      </c>
      <c r="D378" s="8" t="s">
        <v>21</v>
      </c>
      <c r="E378" s="8" t="s">
        <v>1751</v>
      </c>
      <c r="F378" s="8" t="s">
        <v>2676</v>
      </c>
      <c r="G378" s="8"/>
      <c r="H378" s="8"/>
      <c r="I378" s="21">
        <v>15800.0</v>
      </c>
      <c r="J378" s="22">
        <v>46056.0</v>
      </c>
      <c r="K378" s="8" t="s">
        <v>78</v>
      </c>
      <c r="L378" s="197" t="s">
        <v>49</v>
      </c>
      <c r="M378" s="8" t="s">
        <v>71</v>
      </c>
      <c r="N378" s="8" t="s">
        <v>28</v>
      </c>
      <c r="O378" s="97">
        <v>38309.85</v>
      </c>
      <c r="P378" s="97">
        <v>43087.0</v>
      </c>
      <c r="Q378" s="6">
        <v>26.0</v>
      </c>
      <c r="R378" s="12">
        <f t="shared" si="10"/>
        <v>9960.561</v>
      </c>
    </row>
    <row r="379">
      <c r="A379" s="98">
        <v>45750.0</v>
      </c>
      <c r="B379" s="8" t="s">
        <v>2677</v>
      </c>
      <c r="C379" s="8" t="s">
        <v>2678</v>
      </c>
      <c r="D379" s="8" t="s">
        <v>533</v>
      </c>
      <c r="E379" s="8" t="s">
        <v>2679</v>
      </c>
      <c r="F379" s="8" t="s">
        <v>2680</v>
      </c>
      <c r="G379" s="8"/>
      <c r="H379" s="8"/>
      <c r="I379" s="21">
        <v>0.0</v>
      </c>
      <c r="J379" s="22">
        <v>46145.0</v>
      </c>
      <c r="K379" s="8" t="s">
        <v>2681</v>
      </c>
      <c r="L379" s="197" t="s">
        <v>49</v>
      </c>
      <c r="M379" s="8" t="s">
        <v>71</v>
      </c>
      <c r="N379" s="8" t="s">
        <v>28</v>
      </c>
      <c r="O379" s="21">
        <v>12091.0</v>
      </c>
      <c r="P379" s="21">
        <v>14267.0</v>
      </c>
      <c r="Q379" s="6">
        <v>27.0</v>
      </c>
      <c r="R379" s="12">
        <f t="shared" si="10"/>
        <v>3264.57</v>
      </c>
    </row>
    <row r="380">
      <c r="A380" s="98">
        <v>45750.0</v>
      </c>
      <c r="B380" s="8" t="s">
        <v>2354</v>
      </c>
      <c r="C380" s="8" t="s">
        <v>2682</v>
      </c>
      <c r="D380" s="8" t="s">
        <v>21</v>
      </c>
      <c r="E380" s="8" t="s">
        <v>2683</v>
      </c>
      <c r="F380" s="8" t="s">
        <v>2684</v>
      </c>
      <c r="G380" s="8"/>
      <c r="H380" s="8"/>
      <c r="I380" s="21">
        <v>35000.0</v>
      </c>
      <c r="J380" s="22">
        <v>46084.0</v>
      </c>
      <c r="K380" s="8" t="s">
        <v>353</v>
      </c>
      <c r="L380" s="197" t="s">
        <v>49</v>
      </c>
      <c r="M380" s="8" t="s">
        <v>27</v>
      </c>
      <c r="N380" s="8" t="s">
        <v>28</v>
      </c>
      <c r="O380" s="97">
        <v>48307.0</v>
      </c>
      <c r="P380" s="97">
        <v>54365.0</v>
      </c>
      <c r="Q380" s="6">
        <v>28.0</v>
      </c>
      <c r="R380" s="12">
        <f t="shared" si="10"/>
        <v>13525.96</v>
      </c>
    </row>
    <row r="381">
      <c r="A381" s="98">
        <v>45780.0</v>
      </c>
      <c r="B381" s="58" t="s">
        <v>2685</v>
      </c>
      <c r="C381" s="58" t="s">
        <v>2686</v>
      </c>
      <c r="D381" s="8" t="s">
        <v>1395</v>
      </c>
      <c r="E381" s="58" t="s">
        <v>178</v>
      </c>
      <c r="F381" s="58" t="s">
        <v>2687</v>
      </c>
      <c r="G381" s="21">
        <v>9.725106774E9</v>
      </c>
      <c r="H381" s="8"/>
      <c r="I381" s="88">
        <v>3460.0</v>
      </c>
      <c r="J381" s="91">
        <v>46115.0</v>
      </c>
      <c r="K381" s="8" t="s">
        <v>116</v>
      </c>
      <c r="L381" s="197" t="s">
        <v>49</v>
      </c>
      <c r="M381" s="8" t="s">
        <v>389</v>
      </c>
      <c r="N381" s="8" t="s">
        <v>28</v>
      </c>
      <c r="O381" s="90">
        <v>22153.0</v>
      </c>
      <c r="P381" s="90">
        <v>25172.0</v>
      </c>
      <c r="Q381" s="6">
        <v>48.0</v>
      </c>
      <c r="R381" s="12">
        <f t="shared" si="10"/>
        <v>10633.44</v>
      </c>
    </row>
    <row r="382">
      <c r="A382" s="98">
        <v>45780.0</v>
      </c>
      <c r="B382" s="58" t="s">
        <v>2688</v>
      </c>
      <c r="C382" s="58" t="s">
        <v>2689</v>
      </c>
      <c r="D382" s="8" t="s">
        <v>21</v>
      </c>
      <c r="E382" s="58" t="s">
        <v>2690</v>
      </c>
      <c r="F382" s="58" t="s">
        <v>2691</v>
      </c>
      <c r="G382" s="8"/>
      <c r="H382" s="8"/>
      <c r="I382" s="88">
        <v>35000.0</v>
      </c>
      <c r="J382" s="91">
        <v>46115.0</v>
      </c>
      <c r="K382" s="8" t="s">
        <v>353</v>
      </c>
      <c r="L382" s="197" t="s">
        <v>49</v>
      </c>
      <c r="M382" s="8" t="s">
        <v>71</v>
      </c>
      <c r="N382" s="8" t="s">
        <v>28</v>
      </c>
      <c r="O382" s="90">
        <v>46368.0</v>
      </c>
      <c r="P382" s="90">
        <v>52077.0</v>
      </c>
      <c r="Q382" s="6">
        <v>28.0</v>
      </c>
      <c r="R382" s="12">
        <f t="shared" si="10"/>
        <v>12983.04</v>
      </c>
    </row>
    <row r="383">
      <c r="A383" s="98">
        <v>45780.0</v>
      </c>
      <c r="B383" s="58" t="s">
        <v>2692</v>
      </c>
      <c r="C383" s="58" t="s">
        <v>2693</v>
      </c>
      <c r="D383" s="8" t="s">
        <v>1432</v>
      </c>
      <c r="E383" s="58" t="s">
        <v>1887</v>
      </c>
      <c r="F383" s="58" t="s">
        <v>2694</v>
      </c>
      <c r="G383" s="8" t="s">
        <v>2695</v>
      </c>
      <c r="H383" s="8"/>
      <c r="I383" s="88">
        <v>236.0</v>
      </c>
      <c r="J383" s="91">
        <v>46115.0</v>
      </c>
      <c r="K383" s="8" t="s">
        <v>668</v>
      </c>
      <c r="L383" s="197" t="s">
        <v>49</v>
      </c>
      <c r="M383" s="8" t="s">
        <v>219</v>
      </c>
      <c r="N383" s="8" t="s">
        <v>28</v>
      </c>
      <c r="O383" s="88">
        <v>6513.0</v>
      </c>
      <c r="P383" s="88">
        <v>7685.0</v>
      </c>
      <c r="Q383" s="6">
        <v>53.0</v>
      </c>
      <c r="R383" s="12">
        <f t="shared" si="10"/>
        <v>3451.89</v>
      </c>
    </row>
    <row r="384">
      <c r="A384" s="98">
        <v>45780.0</v>
      </c>
      <c r="B384" s="58" t="s">
        <v>2696</v>
      </c>
      <c r="C384" s="58" t="s">
        <v>2697</v>
      </c>
      <c r="D384" s="8" t="s">
        <v>21</v>
      </c>
      <c r="E384" s="58" t="s">
        <v>1866</v>
      </c>
      <c r="F384" s="58" t="s">
        <v>2698</v>
      </c>
      <c r="G384" s="8"/>
      <c r="H384" s="8"/>
      <c r="I384" s="88">
        <v>12990.0</v>
      </c>
      <c r="J384" s="91">
        <v>46115.0</v>
      </c>
      <c r="K384" s="8" t="s">
        <v>78</v>
      </c>
      <c r="L384" s="197" t="s">
        <v>49</v>
      </c>
      <c r="M384" s="8" t="s">
        <v>1477</v>
      </c>
      <c r="N384" s="8" t="s">
        <v>28</v>
      </c>
      <c r="O384" s="90">
        <v>37141.05</v>
      </c>
      <c r="P384" s="90">
        <v>41708.0</v>
      </c>
      <c r="Q384" s="6">
        <v>26.0</v>
      </c>
      <c r="R384" s="12">
        <f t="shared" si="10"/>
        <v>9656.673</v>
      </c>
    </row>
    <row r="385">
      <c r="A385" s="98">
        <v>45780.0</v>
      </c>
      <c r="B385" s="58" t="s">
        <v>2699</v>
      </c>
      <c r="C385" s="58" t="s">
        <v>2700</v>
      </c>
      <c r="D385" s="8" t="s">
        <v>533</v>
      </c>
      <c r="E385" s="58" t="s">
        <v>2701</v>
      </c>
      <c r="F385" s="58" t="s">
        <v>2702</v>
      </c>
      <c r="G385" s="8"/>
      <c r="H385" s="8"/>
      <c r="I385" s="21">
        <v>0.0</v>
      </c>
      <c r="J385" s="91">
        <v>46084.0</v>
      </c>
      <c r="K385" s="8" t="s">
        <v>116</v>
      </c>
      <c r="L385" s="197" t="s">
        <v>26</v>
      </c>
      <c r="M385" s="8" t="s">
        <v>27</v>
      </c>
      <c r="N385" s="8" t="s">
        <v>28</v>
      </c>
      <c r="O385" s="90">
        <v>7267.0</v>
      </c>
      <c r="P385" s="90">
        <v>8575.0</v>
      </c>
      <c r="Q385" s="6">
        <v>27.0</v>
      </c>
      <c r="R385" s="12">
        <f t="shared" si="10"/>
        <v>1962.09</v>
      </c>
    </row>
    <row r="386">
      <c r="A386" s="98">
        <v>45780.0</v>
      </c>
      <c r="B386" s="58" t="s">
        <v>2703</v>
      </c>
      <c r="C386" s="58" t="s">
        <v>2704</v>
      </c>
      <c r="D386" s="8" t="s">
        <v>533</v>
      </c>
      <c r="E386" s="58" t="s">
        <v>2705</v>
      </c>
      <c r="F386" s="58" t="s">
        <v>1597</v>
      </c>
      <c r="G386" s="21">
        <v>9.909340415E9</v>
      </c>
      <c r="H386" s="8"/>
      <c r="I386" s="21">
        <v>0.0</v>
      </c>
      <c r="J386" s="22">
        <v>46084.0</v>
      </c>
      <c r="K386" s="8" t="s">
        <v>25</v>
      </c>
      <c r="L386" s="197" t="s">
        <v>26</v>
      </c>
      <c r="M386" s="8" t="s">
        <v>1460</v>
      </c>
      <c r="N386" s="8" t="s">
        <v>28</v>
      </c>
      <c r="O386" s="90">
        <v>7317.0</v>
      </c>
      <c r="P386" s="90">
        <v>8634.0</v>
      </c>
      <c r="Q386" s="6">
        <v>31.0</v>
      </c>
      <c r="R386" s="12">
        <f t="shared" si="10"/>
        <v>2268.27</v>
      </c>
    </row>
    <row r="387">
      <c r="A387" s="98">
        <v>45780.0</v>
      </c>
      <c r="B387" s="58" t="s">
        <v>2706</v>
      </c>
      <c r="C387" s="58" t="s">
        <v>2707</v>
      </c>
      <c r="D387" s="8" t="s">
        <v>1432</v>
      </c>
      <c r="E387" s="58" t="s">
        <v>1887</v>
      </c>
      <c r="F387" s="58" t="s">
        <v>2708</v>
      </c>
      <c r="G387" s="8"/>
      <c r="H387" s="8"/>
      <c r="I387" s="88">
        <v>236.0</v>
      </c>
      <c r="J387" s="91">
        <v>46145.0</v>
      </c>
      <c r="K387" s="8" t="s">
        <v>668</v>
      </c>
      <c r="L387" s="197" t="s">
        <v>49</v>
      </c>
      <c r="M387" s="8" t="s">
        <v>1477</v>
      </c>
      <c r="N387" s="8" t="s">
        <v>28</v>
      </c>
      <c r="O387" s="88">
        <v>6178.0</v>
      </c>
      <c r="P387" s="88">
        <v>7290.0</v>
      </c>
      <c r="Q387" s="6">
        <v>53.0</v>
      </c>
      <c r="R387" s="12">
        <f t="shared" si="10"/>
        <v>3274.34</v>
      </c>
    </row>
    <row r="388">
      <c r="A388" s="98">
        <v>45780.0</v>
      </c>
      <c r="B388" s="58" t="s">
        <v>2709</v>
      </c>
      <c r="C388" s="58" t="s">
        <v>2710</v>
      </c>
      <c r="D388" s="8" t="s">
        <v>1395</v>
      </c>
      <c r="E388" s="58" t="s">
        <v>2711</v>
      </c>
      <c r="F388" s="58" t="s">
        <v>2712</v>
      </c>
      <c r="G388" s="8"/>
      <c r="H388" s="8"/>
      <c r="I388" s="88">
        <v>2990.0</v>
      </c>
      <c r="J388" s="91">
        <v>46115.0</v>
      </c>
      <c r="K388" s="8" t="s">
        <v>668</v>
      </c>
      <c r="L388" s="197" t="s">
        <v>49</v>
      </c>
      <c r="M388" s="8" t="s">
        <v>1477</v>
      </c>
      <c r="N388" s="8" t="s">
        <v>28</v>
      </c>
      <c r="O388" s="88">
        <v>18132.0</v>
      </c>
      <c r="P388" s="88">
        <v>20434.0</v>
      </c>
      <c r="Q388" s="6">
        <v>53.0</v>
      </c>
      <c r="R388" s="12">
        <f t="shared" si="10"/>
        <v>9609.96</v>
      </c>
    </row>
    <row r="389">
      <c r="A389" s="98">
        <v>45780.0</v>
      </c>
      <c r="B389" s="58" t="s">
        <v>2713</v>
      </c>
      <c r="C389" s="58" t="s">
        <v>2714</v>
      </c>
      <c r="D389" s="8" t="s">
        <v>21</v>
      </c>
      <c r="E389" s="58" t="s">
        <v>1756</v>
      </c>
      <c r="F389" s="58" t="s">
        <v>2715</v>
      </c>
      <c r="G389" s="8"/>
      <c r="H389" s="8"/>
      <c r="I389" s="88">
        <v>35000.0</v>
      </c>
      <c r="J389" s="91">
        <v>46176.0</v>
      </c>
      <c r="K389" s="8" t="s">
        <v>78</v>
      </c>
      <c r="L389" s="197" t="s">
        <v>49</v>
      </c>
      <c r="M389" s="8" t="s">
        <v>71</v>
      </c>
      <c r="N389" s="8" t="s">
        <v>28</v>
      </c>
      <c r="O389" s="90">
        <v>47759.05</v>
      </c>
      <c r="P389" s="90">
        <v>53719.0</v>
      </c>
      <c r="Q389" s="6">
        <v>28.0</v>
      </c>
      <c r="R389" s="12">
        <f t="shared" si="10"/>
        <v>13372.534</v>
      </c>
    </row>
    <row r="390">
      <c r="A390" s="98">
        <v>45811.0</v>
      </c>
      <c r="B390" s="58" t="s">
        <v>2716</v>
      </c>
      <c r="C390" s="58" t="s">
        <v>2717</v>
      </c>
      <c r="D390" s="8" t="s">
        <v>1395</v>
      </c>
      <c r="E390" s="58" t="s">
        <v>2718</v>
      </c>
      <c r="F390" s="58" t="s">
        <v>2719</v>
      </c>
      <c r="G390" s="8"/>
      <c r="H390" s="8"/>
      <c r="I390" s="88">
        <v>2670.0</v>
      </c>
      <c r="J390" s="22">
        <v>46176.0</v>
      </c>
      <c r="K390" s="8" t="s">
        <v>668</v>
      </c>
      <c r="L390" s="197" t="s">
        <v>49</v>
      </c>
      <c r="M390" s="8" t="s">
        <v>1477</v>
      </c>
      <c r="N390" s="8" t="s">
        <v>28</v>
      </c>
      <c r="O390" s="88">
        <v>17542.0</v>
      </c>
      <c r="P390" s="88">
        <v>19738.0</v>
      </c>
      <c r="Q390" s="6">
        <v>53.0</v>
      </c>
      <c r="R390" s="12">
        <f t="shared" si="10"/>
        <v>9297.26</v>
      </c>
    </row>
    <row r="391">
      <c r="A391" s="98">
        <v>45811.0</v>
      </c>
      <c r="B391" s="58" t="s">
        <v>2720</v>
      </c>
      <c r="C391" s="58" t="s">
        <v>2721</v>
      </c>
      <c r="D391" s="8" t="s">
        <v>21</v>
      </c>
      <c r="E391" s="58" t="s">
        <v>2722</v>
      </c>
      <c r="F391" s="58" t="s">
        <v>2723</v>
      </c>
      <c r="G391" s="8"/>
      <c r="H391" s="8"/>
      <c r="I391" s="88">
        <v>5200.0</v>
      </c>
      <c r="J391" s="22">
        <v>46145.0</v>
      </c>
      <c r="K391" s="8" t="s">
        <v>25</v>
      </c>
      <c r="L391" s="197" t="s">
        <v>49</v>
      </c>
      <c r="M391" s="8" t="s">
        <v>71</v>
      </c>
      <c r="N391" s="8" t="s">
        <v>28</v>
      </c>
      <c r="O391" s="90">
        <v>18123.0</v>
      </c>
      <c r="P391" s="90">
        <v>20422.0</v>
      </c>
      <c r="Q391" s="6">
        <v>46.0</v>
      </c>
      <c r="R391" s="12">
        <f t="shared" si="10"/>
        <v>8336.58</v>
      </c>
    </row>
    <row r="392">
      <c r="A392" s="98">
        <v>45811.0</v>
      </c>
      <c r="B392" s="58" t="s">
        <v>2724</v>
      </c>
      <c r="C392" s="58" t="s">
        <v>2725</v>
      </c>
      <c r="D392" s="8" t="s">
        <v>21</v>
      </c>
      <c r="E392" s="58" t="s">
        <v>2630</v>
      </c>
      <c r="F392" s="58" t="s">
        <v>1171</v>
      </c>
      <c r="G392" s="8"/>
      <c r="H392" s="8"/>
      <c r="I392" s="88">
        <v>12990.0</v>
      </c>
      <c r="J392" s="22">
        <v>46176.0</v>
      </c>
      <c r="K392" s="8" t="s">
        <v>78</v>
      </c>
      <c r="L392" s="197" t="s">
        <v>49</v>
      </c>
      <c r="M392" s="8" t="s">
        <v>71</v>
      </c>
      <c r="N392" s="8" t="s">
        <v>28</v>
      </c>
      <c r="O392" s="90">
        <v>37635.93</v>
      </c>
      <c r="P392" s="90">
        <v>42292.0</v>
      </c>
      <c r="Q392" s="6">
        <v>26.0</v>
      </c>
      <c r="R392" s="12">
        <f t="shared" si="10"/>
        <v>9785.3418</v>
      </c>
    </row>
    <row r="393">
      <c r="A393" s="98">
        <v>45811.0</v>
      </c>
      <c r="B393" s="58" t="s">
        <v>2726</v>
      </c>
      <c r="C393" s="58" t="s">
        <v>2727</v>
      </c>
      <c r="D393" s="8" t="s">
        <v>21</v>
      </c>
      <c r="E393" s="58" t="s">
        <v>2728</v>
      </c>
      <c r="F393" s="58" t="s">
        <v>2729</v>
      </c>
      <c r="G393" s="8"/>
      <c r="H393" s="8"/>
      <c r="I393" s="88">
        <v>17750.0</v>
      </c>
      <c r="J393" s="91">
        <v>46145.0</v>
      </c>
      <c r="K393" s="8" t="s">
        <v>78</v>
      </c>
      <c r="L393" s="197" t="s">
        <v>49</v>
      </c>
      <c r="M393" s="8" t="s">
        <v>389</v>
      </c>
      <c r="N393" s="8" t="s">
        <v>28</v>
      </c>
      <c r="O393" s="90">
        <v>39370.29</v>
      </c>
      <c r="P393" s="90">
        <v>44338.0</v>
      </c>
      <c r="Q393" s="6">
        <v>26.0</v>
      </c>
      <c r="R393" s="12">
        <f t="shared" si="10"/>
        <v>10236.2754</v>
      </c>
    </row>
    <row r="394">
      <c r="A394" s="98">
        <v>45811.0</v>
      </c>
      <c r="B394" s="58" t="s">
        <v>2730</v>
      </c>
      <c r="C394" s="58" t="s">
        <v>2731</v>
      </c>
      <c r="D394" s="8" t="s">
        <v>1395</v>
      </c>
      <c r="E394" s="58" t="s">
        <v>2096</v>
      </c>
      <c r="F394" s="58" t="s">
        <v>2732</v>
      </c>
      <c r="G394" s="8"/>
      <c r="H394" s="8"/>
      <c r="I394" s="88">
        <v>3490.0</v>
      </c>
      <c r="J394" s="91">
        <v>46329.0</v>
      </c>
      <c r="K394" s="8" t="s">
        <v>668</v>
      </c>
      <c r="L394" s="197" t="s">
        <v>49</v>
      </c>
      <c r="M394" s="8" t="s">
        <v>71</v>
      </c>
      <c r="N394" s="8" t="s">
        <v>28</v>
      </c>
      <c r="O394" s="88">
        <v>18493.0</v>
      </c>
      <c r="P394" s="88">
        <v>20859.0</v>
      </c>
      <c r="Q394" s="6">
        <v>53.0</v>
      </c>
      <c r="R394" s="12">
        <f t="shared" si="10"/>
        <v>9801.29</v>
      </c>
    </row>
    <row r="395">
      <c r="A395" s="98">
        <v>45811.0</v>
      </c>
      <c r="B395" s="58" t="s">
        <v>2733</v>
      </c>
      <c r="C395" s="58" t="s">
        <v>2734</v>
      </c>
      <c r="D395" s="8" t="s">
        <v>21</v>
      </c>
      <c r="E395" s="58" t="s">
        <v>2735</v>
      </c>
      <c r="F395" s="58" t="s">
        <v>2736</v>
      </c>
      <c r="G395" s="8"/>
      <c r="H395" s="8"/>
      <c r="I395" s="88">
        <v>35000.0</v>
      </c>
      <c r="J395" s="91">
        <v>46176.0</v>
      </c>
      <c r="K395" s="8" t="s">
        <v>668</v>
      </c>
      <c r="L395" s="197" t="s">
        <v>26</v>
      </c>
      <c r="M395" s="8" t="s">
        <v>33</v>
      </c>
      <c r="N395" s="8" t="s">
        <v>28</v>
      </c>
      <c r="O395" s="88">
        <v>44050.0</v>
      </c>
      <c r="P395" s="88">
        <v>49342.0</v>
      </c>
      <c r="Q395" s="6">
        <v>44.0</v>
      </c>
      <c r="R395" s="12">
        <f t="shared" si="10"/>
        <v>19382</v>
      </c>
    </row>
    <row r="396">
      <c r="A396" s="98">
        <v>45811.0</v>
      </c>
      <c r="B396" s="58" t="s">
        <v>1012</v>
      </c>
      <c r="C396" s="58" t="s">
        <v>2737</v>
      </c>
      <c r="D396" s="8" t="s">
        <v>1395</v>
      </c>
      <c r="E396" s="58" t="s">
        <v>2738</v>
      </c>
      <c r="F396" s="58" t="s">
        <v>1014</v>
      </c>
      <c r="G396" s="8"/>
      <c r="H396" s="8"/>
      <c r="I396" s="88">
        <v>5950.0</v>
      </c>
      <c r="J396" s="91">
        <v>46145.0</v>
      </c>
      <c r="K396" s="8" t="s">
        <v>41</v>
      </c>
      <c r="L396" s="197" t="s">
        <v>26</v>
      </c>
      <c r="M396" s="8" t="s">
        <v>27</v>
      </c>
      <c r="N396" s="8" t="s">
        <v>28</v>
      </c>
      <c r="O396" s="90">
        <v>16149.0</v>
      </c>
      <c r="P396" s="90">
        <v>18093.0</v>
      </c>
      <c r="Q396" s="6">
        <v>52.0</v>
      </c>
      <c r="R396" s="12">
        <f t="shared" si="10"/>
        <v>8397.48</v>
      </c>
    </row>
    <row r="397">
      <c r="A397" s="98">
        <v>45811.0</v>
      </c>
      <c r="B397" s="58" t="s">
        <v>2739</v>
      </c>
      <c r="C397" s="58" t="s">
        <v>2740</v>
      </c>
      <c r="D397" s="8" t="s">
        <v>21</v>
      </c>
      <c r="E397" s="58" t="s">
        <v>2741</v>
      </c>
      <c r="F397" s="58" t="s">
        <v>2742</v>
      </c>
      <c r="G397" s="8"/>
      <c r="H397" s="8"/>
      <c r="I397" s="88">
        <v>16020.0</v>
      </c>
      <c r="J397" s="22">
        <v>46145.0</v>
      </c>
      <c r="K397" s="8" t="s">
        <v>70</v>
      </c>
      <c r="L397" s="197" t="s">
        <v>49</v>
      </c>
      <c r="M397" s="8" t="s">
        <v>1477</v>
      </c>
      <c r="N397" s="8" t="s">
        <v>28</v>
      </c>
      <c r="O397" s="90">
        <v>41630.0</v>
      </c>
      <c r="P397" s="90">
        <v>47005.0</v>
      </c>
      <c r="Q397" s="6">
        <v>26.0</v>
      </c>
      <c r="R397" s="12">
        <f t="shared" si="10"/>
        <v>10823.8</v>
      </c>
    </row>
    <row r="398">
      <c r="A398" s="98">
        <v>45811.0</v>
      </c>
      <c r="B398" s="58" t="s">
        <v>2743</v>
      </c>
      <c r="C398" s="58" t="s">
        <v>2744</v>
      </c>
      <c r="D398" s="8" t="s">
        <v>1395</v>
      </c>
      <c r="E398" s="58" t="s">
        <v>2745</v>
      </c>
      <c r="F398" s="58" t="s">
        <v>2746</v>
      </c>
      <c r="G398" s="8" t="s">
        <v>2747</v>
      </c>
      <c r="H398" s="8"/>
      <c r="I398" s="88">
        <v>2880.0</v>
      </c>
      <c r="J398" s="91">
        <v>46145.0</v>
      </c>
      <c r="K398" s="8" t="s">
        <v>116</v>
      </c>
      <c r="L398" s="197" t="s">
        <v>49</v>
      </c>
      <c r="M398" s="8" t="s">
        <v>219</v>
      </c>
      <c r="N398" s="8" t="s">
        <v>28</v>
      </c>
      <c r="O398" s="90">
        <v>19624.0</v>
      </c>
      <c r="P398" s="90">
        <v>22186.0</v>
      </c>
      <c r="Q398" s="6">
        <v>48.0</v>
      </c>
      <c r="R398" s="12">
        <f t="shared" si="10"/>
        <v>9419.52</v>
      </c>
    </row>
    <row r="399">
      <c r="A399" s="198">
        <v>45841.0</v>
      </c>
      <c r="B399" s="140" t="s">
        <v>2748</v>
      </c>
      <c r="C399" s="58"/>
      <c r="D399" s="86" t="s">
        <v>2749</v>
      </c>
      <c r="E399" s="140" t="s">
        <v>2750</v>
      </c>
      <c r="F399" s="140" t="s">
        <v>2751</v>
      </c>
      <c r="G399" s="21"/>
      <c r="H399" s="8"/>
      <c r="I399" s="88"/>
      <c r="J399" s="199">
        <v>45780.0</v>
      </c>
      <c r="K399" s="86" t="s">
        <v>2752</v>
      </c>
      <c r="L399" s="200" t="s">
        <v>26</v>
      </c>
      <c r="M399" s="86" t="s">
        <v>71</v>
      </c>
      <c r="N399" s="86" t="s">
        <v>28</v>
      </c>
      <c r="O399" s="104">
        <v>24040.0</v>
      </c>
      <c r="P399" s="104">
        <v>28367.0</v>
      </c>
      <c r="Q399" s="6">
        <v>17.0</v>
      </c>
      <c r="R399" s="12">
        <f t="shared" si="10"/>
        <v>4086.8</v>
      </c>
    </row>
    <row r="400">
      <c r="A400" s="198">
        <v>45841.0</v>
      </c>
      <c r="B400" s="140" t="s">
        <v>2753</v>
      </c>
      <c r="C400" s="58"/>
      <c r="D400" s="86" t="s">
        <v>21</v>
      </c>
      <c r="E400" s="140" t="s">
        <v>2754</v>
      </c>
      <c r="F400" s="140" t="s">
        <v>2755</v>
      </c>
      <c r="G400" s="21"/>
      <c r="H400" s="8"/>
      <c r="I400" s="88"/>
      <c r="J400" s="199">
        <v>45811.0</v>
      </c>
      <c r="K400" s="86" t="s">
        <v>41</v>
      </c>
      <c r="L400" s="200" t="s">
        <v>26</v>
      </c>
      <c r="M400" s="86" t="s">
        <v>27</v>
      </c>
      <c r="N400" s="86" t="s">
        <v>28</v>
      </c>
      <c r="O400" s="90">
        <v>16149.0</v>
      </c>
      <c r="P400" s="90">
        <v>18093.0</v>
      </c>
      <c r="Q400" s="6">
        <v>52.0</v>
      </c>
      <c r="R400" s="12">
        <f t="shared" si="10"/>
        <v>8397.48</v>
      </c>
    </row>
    <row r="401">
      <c r="A401" s="198">
        <v>45841.0</v>
      </c>
      <c r="B401" s="140" t="s">
        <v>2756</v>
      </c>
      <c r="C401" s="58"/>
      <c r="D401" s="86" t="s">
        <v>21</v>
      </c>
      <c r="E401" s="140" t="s">
        <v>2754</v>
      </c>
      <c r="F401" s="140" t="s">
        <v>2757</v>
      </c>
      <c r="G401" s="21"/>
      <c r="H401" s="8"/>
      <c r="I401" s="101">
        <v>7490.0</v>
      </c>
      <c r="J401" s="199">
        <v>45811.0</v>
      </c>
      <c r="K401" s="86" t="s">
        <v>25</v>
      </c>
      <c r="L401" s="200" t="s">
        <v>49</v>
      </c>
      <c r="M401" s="86" t="s">
        <v>1697</v>
      </c>
      <c r="N401" s="86" t="s">
        <v>28</v>
      </c>
      <c r="O401" s="104">
        <v>18245.0</v>
      </c>
      <c r="P401" s="104">
        <v>20566.0</v>
      </c>
      <c r="Q401" s="6">
        <v>46.0</v>
      </c>
      <c r="R401" s="12">
        <f t="shared" si="10"/>
        <v>8392.7</v>
      </c>
    </row>
    <row r="402">
      <c r="A402" s="198">
        <v>45841.0</v>
      </c>
      <c r="B402" s="140" t="s">
        <v>2758</v>
      </c>
      <c r="C402" s="58"/>
      <c r="D402" s="86" t="s">
        <v>75</v>
      </c>
      <c r="E402" s="58"/>
      <c r="F402" s="58"/>
      <c r="G402" s="21"/>
      <c r="H402" s="8"/>
      <c r="I402" s="88"/>
      <c r="J402" s="88"/>
      <c r="K402" s="86" t="s">
        <v>78</v>
      </c>
      <c r="L402" s="200" t="s">
        <v>49</v>
      </c>
      <c r="M402" s="86" t="s">
        <v>144</v>
      </c>
      <c r="N402" s="86" t="s">
        <v>28</v>
      </c>
      <c r="O402" s="104">
        <v>7066.0</v>
      </c>
      <c r="P402" s="104">
        <v>8069.0</v>
      </c>
      <c r="Q402" s="6">
        <v>59.0</v>
      </c>
      <c r="R402" s="12">
        <f t="shared" si="10"/>
        <v>4168.94</v>
      </c>
    </row>
    <row r="403">
      <c r="A403" s="198">
        <v>45841.0</v>
      </c>
      <c r="B403" s="140" t="s">
        <v>2759</v>
      </c>
      <c r="C403" s="58"/>
      <c r="D403" s="86" t="s">
        <v>21</v>
      </c>
      <c r="E403" s="140" t="s">
        <v>1751</v>
      </c>
      <c r="F403" s="140" t="s">
        <v>2760</v>
      </c>
      <c r="G403" s="21"/>
      <c r="H403" s="8"/>
      <c r="I403" s="101">
        <v>16020.0</v>
      </c>
      <c r="J403" s="199">
        <v>46145.0</v>
      </c>
      <c r="K403" s="86" t="s">
        <v>78</v>
      </c>
      <c r="L403" s="200" t="s">
        <v>49</v>
      </c>
      <c r="M403" s="86" t="s">
        <v>71</v>
      </c>
      <c r="N403" s="86" t="s">
        <v>28</v>
      </c>
      <c r="O403" s="104">
        <v>39931.0</v>
      </c>
      <c r="P403" s="104">
        <v>45001.0</v>
      </c>
      <c r="Q403" s="6">
        <v>26.0</v>
      </c>
      <c r="R403" s="12">
        <f t="shared" si="10"/>
        <v>10382.06</v>
      </c>
    </row>
    <row r="404">
      <c r="A404" s="107" t="s">
        <v>2584</v>
      </c>
      <c r="B404" s="64" t="s">
        <v>2761</v>
      </c>
      <c r="C404" s="64" t="s">
        <v>2762</v>
      </c>
      <c r="D404" s="108" t="s">
        <v>21</v>
      </c>
      <c r="E404" s="64" t="s">
        <v>1751</v>
      </c>
      <c r="F404" s="64" t="s">
        <v>2763</v>
      </c>
      <c r="G404" s="114">
        <v>9.664622027E9</v>
      </c>
      <c r="H404" s="108"/>
      <c r="I404" s="109">
        <v>16020.0</v>
      </c>
      <c r="J404" s="109" t="s">
        <v>974</v>
      </c>
      <c r="K404" s="108" t="s">
        <v>78</v>
      </c>
      <c r="L404" s="167" t="s">
        <v>49</v>
      </c>
      <c r="M404" s="108" t="s">
        <v>71</v>
      </c>
      <c r="N404" s="108" t="s">
        <v>28</v>
      </c>
      <c r="O404" s="112">
        <v>59113.12</v>
      </c>
      <c r="P404" s="112">
        <v>67635.0</v>
      </c>
      <c r="Q404" s="6">
        <v>26.0</v>
      </c>
      <c r="R404" s="12">
        <f t="shared" si="10"/>
        <v>15369.4112</v>
      </c>
    </row>
    <row r="405">
      <c r="A405" s="107" t="s">
        <v>2569</v>
      </c>
      <c r="B405" s="64" t="s">
        <v>2764</v>
      </c>
      <c r="C405" s="64" t="s">
        <v>2765</v>
      </c>
      <c r="D405" s="108" t="s">
        <v>21</v>
      </c>
      <c r="E405" s="64" t="s">
        <v>2766</v>
      </c>
      <c r="F405" s="64" t="s">
        <v>2767</v>
      </c>
      <c r="G405" s="114">
        <v>9.82540974E8</v>
      </c>
      <c r="H405" s="108"/>
      <c r="I405" s="109">
        <v>28000.0</v>
      </c>
      <c r="J405" s="114" t="s">
        <v>2768</v>
      </c>
      <c r="K405" s="108" t="s">
        <v>353</v>
      </c>
      <c r="L405" s="167" t="s">
        <v>49</v>
      </c>
      <c r="M405" s="108" t="s">
        <v>71</v>
      </c>
      <c r="N405" s="108" t="s">
        <v>28</v>
      </c>
      <c r="O405" s="112">
        <v>44976.0</v>
      </c>
      <c r="P405" s="112">
        <v>50435.0</v>
      </c>
      <c r="Q405" s="6">
        <v>28.0</v>
      </c>
      <c r="R405" s="12">
        <f t="shared" si="10"/>
        <v>12593.28</v>
      </c>
    </row>
    <row r="406">
      <c r="A406" s="107" t="s">
        <v>2535</v>
      </c>
      <c r="B406" s="64" t="s">
        <v>2769</v>
      </c>
      <c r="C406" s="64" t="s">
        <v>2770</v>
      </c>
      <c r="D406" s="108" t="s">
        <v>21</v>
      </c>
      <c r="E406" s="64" t="s">
        <v>1751</v>
      </c>
      <c r="F406" s="64" t="s">
        <v>2771</v>
      </c>
      <c r="G406" s="114">
        <v>9.925968917E9</v>
      </c>
      <c r="H406" s="108"/>
      <c r="I406" s="109">
        <v>15000.0</v>
      </c>
      <c r="J406" s="109" t="s">
        <v>891</v>
      </c>
      <c r="K406" s="108" t="s">
        <v>78</v>
      </c>
      <c r="L406" s="167" t="s">
        <v>49</v>
      </c>
      <c r="M406" s="108" t="s">
        <v>71</v>
      </c>
      <c r="N406" s="108" t="s">
        <v>28</v>
      </c>
      <c r="O406" s="112">
        <v>36919.62</v>
      </c>
      <c r="P406" s="112">
        <v>41446.0</v>
      </c>
      <c r="Q406" s="6">
        <v>26.0</v>
      </c>
      <c r="R406" s="12">
        <f t="shared" si="10"/>
        <v>9599.1012</v>
      </c>
    </row>
    <row r="407">
      <c r="A407" s="107" t="s">
        <v>2550</v>
      </c>
      <c r="B407" s="64" t="s">
        <v>2772</v>
      </c>
      <c r="C407" s="64" t="s">
        <v>2773</v>
      </c>
      <c r="D407" s="108" t="s">
        <v>21</v>
      </c>
      <c r="E407" s="64" t="s">
        <v>2774</v>
      </c>
      <c r="F407" s="64" t="s">
        <v>2775</v>
      </c>
      <c r="G407" s="114">
        <v>9.825735651E9</v>
      </c>
      <c r="H407" s="108"/>
      <c r="I407" s="109">
        <v>28000.0</v>
      </c>
      <c r="J407" s="109" t="s">
        <v>2561</v>
      </c>
      <c r="K407" s="108" t="s">
        <v>353</v>
      </c>
      <c r="L407" s="167" t="s">
        <v>49</v>
      </c>
      <c r="M407" s="108" t="s">
        <v>71</v>
      </c>
      <c r="N407" s="108" t="s">
        <v>28</v>
      </c>
      <c r="O407" s="112">
        <v>46110.0</v>
      </c>
      <c r="P407" s="112">
        <v>51773.0</v>
      </c>
      <c r="Q407" s="6">
        <v>28.0</v>
      </c>
      <c r="R407" s="12">
        <f t="shared" si="10"/>
        <v>12910.8</v>
      </c>
    </row>
    <row r="408">
      <c r="A408" s="126"/>
      <c r="E408" s="126"/>
      <c r="L408" s="126"/>
    </row>
    <row r="409">
      <c r="A409" s="126"/>
      <c r="E409" s="126"/>
      <c r="L409" s="126"/>
    </row>
    <row r="410">
      <c r="A410" s="126"/>
      <c r="E410" s="126"/>
      <c r="L410" s="126"/>
    </row>
    <row r="411">
      <c r="A411" s="87">
        <v>46268.0</v>
      </c>
      <c r="B411" s="8" t="s">
        <v>2776</v>
      </c>
      <c r="C411" s="8" t="s">
        <v>2777</v>
      </c>
      <c r="D411" s="8" t="s">
        <v>1395</v>
      </c>
      <c r="E411" s="8" t="s">
        <v>1091</v>
      </c>
      <c r="F411" s="8" t="s">
        <v>2778</v>
      </c>
      <c r="G411" s="8" t="s">
        <v>2779</v>
      </c>
      <c r="H411" s="8"/>
      <c r="I411" s="21">
        <v>3480.0</v>
      </c>
      <c r="J411" s="22">
        <v>46206.0</v>
      </c>
      <c r="K411" s="8" t="s">
        <v>116</v>
      </c>
      <c r="L411" s="197" t="s">
        <v>49</v>
      </c>
      <c r="M411" s="8" t="s">
        <v>219</v>
      </c>
      <c r="N411" s="8" t="s">
        <v>28</v>
      </c>
      <c r="O411" s="97">
        <v>22754.0</v>
      </c>
      <c r="P411" s="97">
        <v>25882.0</v>
      </c>
      <c r="Q411" s="5">
        <v>48.0</v>
      </c>
      <c r="R411" s="12">
        <f t="shared" ref="R411:R458" si="11">O411*Q411%</f>
        <v>10921.92</v>
      </c>
    </row>
    <row r="412">
      <c r="A412" s="87">
        <v>46268.0</v>
      </c>
      <c r="B412" s="8" t="s">
        <v>2780</v>
      </c>
      <c r="C412" s="8" t="s">
        <v>2781</v>
      </c>
      <c r="D412" s="8" t="s">
        <v>21</v>
      </c>
      <c r="E412" s="8" t="s">
        <v>2782</v>
      </c>
      <c r="F412" s="8" t="s">
        <v>2783</v>
      </c>
      <c r="G412" s="21">
        <v>9.825244944E9</v>
      </c>
      <c r="H412" s="8"/>
      <c r="I412" s="21">
        <v>35000.0</v>
      </c>
      <c r="J412" s="22">
        <v>46237.0</v>
      </c>
      <c r="K412" s="8" t="s">
        <v>353</v>
      </c>
      <c r="L412" s="197" t="s">
        <v>49</v>
      </c>
      <c r="M412" s="8" t="s">
        <v>71</v>
      </c>
      <c r="N412" s="8" t="s">
        <v>28</v>
      </c>
      <c r="O412" s="97">
        <v>46055.0</v>
      </c>
      <c r="P412" s="97">
        <v>51708.0</v>
      </c>
      <c r="Q412" s="5">
        <v>28.0</v>
      </c>
      <c r="R412" s="12">
        <f t="shared" si="11"/>
        <v>12895.4</v>
      </c>
    </row>
    <row r="413">
      <c r="A413" s="87">
        <v>46268.0</v>
      </c>
      <c r="B413" s="8" t="s">
        <v>2784</v>
      </c>
      <c r="C413" s="8" t="s">
        <v>2785</v>
      </c>
      <c r="D413" s="8" t="s">
        <v>21</v>
      </c>
      <c r="E413" s="8" t="s">
        <v>2683</v>
      </c>
      <c r="F413" s="8" t="s">
        <v>2786</v>
      </c>
      <c r="G413" s="21">
        <v>8.735047E9</v>
      </c>
      <c r="H413" s="8"/>
      <c r="I413" s="21">
        <v>35000.0</v>
      </c>
      <c r="J413" s="22">
        <v>46268.0</v>
      </c>
      <c r="K413" s="8" t="s">
        <v>353</v>
      </c>
      <c r="L413" s="197" t="s">
        <v>49</v>
      </c>
      <c r="M413" s="8" t="s">
        <v>71</v>
      </c>
      <c r="N413" s="8" t="s">
        <v>28</v>
      </c>
      <c r="O413" s="97">
        <v>47470.0</v>
      </c>
      <c r="P413" s="97">
        <v>53378.0</v>
      </c>
      <c r="Q413" s="5">
        <v>28.0</v>
      </c>
      <c r="R413" s="12">
        <f t="shared" si="11"/>
        <v>13291.6</v>
      </c>
    </row>
    <row r="414">
      <c r="A414" s="87">
        <v>46298.0</v>
      </c>
      <c r="B414" s="8" t="s">
        <v>2787</v>
      </c>
      <c r="C414" s="8" t="s">
        <v>2788</v>
      </c>
      <c r="D414" s="8" t="s">
        <v>1395</v>
      </c>
      <c r="E414" s="8" t="s">
        <v>2789</v>
      </c>
      <c r="F414" s="8" t="s">
        <v>2790</v>
      </c>
      <c r="G414" s="21">
        <v>9.825467567E9</v>
      </c>
      <c r="H414" s="8"/>
      <c r="I414" s="21">
        <v>2700.0</v>
      </c>
      <c r="J414" s="22">
        <v>46268.0</v>
      </c>
      <c r="K414" s="8" t="s">
        <v>1424</v>
      </c>
      <c r="L414" s="197" t="s">
        <v>49</v>
      </c>
      <c r="M414" s="8" t="s">
        <v>71</v>
      </c>
      <c r="N414" s="8" t="s">
        <v>28</v>
      </c>
      <c r="O414" s="21">
        <v>19886.0</v>
      </c>
      <c r="P414" s="21">
        <v>22503.0</v>
      </c>
      <c r="Q414" s="5">
        <v>52.0</v>
      </c>
      <c r="R414" s="12">
        <f t="shared" si="11"/>
        <v>10340.72</v>
      </c>
    </row>
    <row r="415">
      <c r="A415" s="87">
        <v>46298.0</v>
      </c>
      <c r="B415" s="8" t="s">
        <v>2791</v>
      </c>
      <c r="C415" s="8" t="s">
        <v>2792</v>
      </c>
      <c r="D415" s="8" t="s">
        <v>21</v>
      </c>
      <c r="E415" s="8" t="s">
        <v>1883</v>
      </c>
      <c r="F415" s="8" t="s">
        <v>2793</v>
      </c>
      <c r="G415" s="8" t="s">
        <v>2794</v>
      </c>
      <c r="H415" s="8"/>
      <c r="I415" s="21">
        <v>35000.0</v>
      </c>
      <c r="J415" s="22">
        <v>46237.0</v>
      </c>
      <c r="K415" s="8" t="s">
        <v>70</v>
      </c>
      <c r="L415" s="197" t="s">
        <v>49</v>
      </c>
      <c r="M415" s="8" t="s">
        <v>1616</v>
      </c>
      <c r="N415" s="8" t="s">
        <v>28</v>
      </c>
      <c r="O415" s="97">
        <v>47260.0</v>
      </c>
      <c r="P415" s="97">
        <v>53130.0</v>
      </c>
      <c r="Q415" s="5">
        <v>20.0</v>
      </c>
      <c r="R415" s="12">
        <f t="shared" si="11"/>
        <v>9452</v>
      </c>
    </row>
    <row r="416">
      <c r="A416" s="87">
        <v>46298.0</v>
      </c>
      <c r="B416" s="8" t="s">
        <v>2795</v>
      </c>
      <c r="C416" s="8" t="s">
        <v>2796</v>
      </c>
      <c r="D416" s="8" t="s">
        <v>21</v>
      </c>
      <c r="E416" s="8" t="s">
        <v>2797</v>
      </c>
      <c r="F416" s="8" t="s">
        <v>2798</v>
      </c>
      <c r="G416" s="8" t="s">
        <v>2799</v>
      </c>
      <c r="H416" s="8"/>
      <c r="I416" s="21">
        <v>35000.0</v>
      </c>
      <c r="J416" s="22">
        <v>46268.0</v>
      </c>
      <c r="K416" s="8" t="s">
        <v>353</v>
      </c>
      <c r="L416" s="197" t="s">
        <v>49</v>
      </c>
      <c r="M416" s="8" t="s">
        <v>219</v>
      </c>
      <c r="N416" s="8" t="s">
        <v>28</v>
      </c>
      <c r="O416" s="97">
        <v>78160.0</v>
      </c>
      <c r="P416" s="97">
        <v>89592.0</v>
      </c>
      <c r="Q416" s="5">
        <v>28.0</v>
      </c>
      <c r="R416" s="12">
        <f t="shared" si="11"/>
        <v>21884.8</v>
      </c>
    </row>
    <row r="417">
      <c r="A417" s="87">
        <v>46298.0</v>
      </c>
      <c r="B417" s="58" t="s">
        <v>2800</v>
      </c>
      <c r="C417" s="58" t="s">
        <v>2801</v>
      </c>
      <c r="D417" s="8" t="s">
        <v>21</v>
      </c>
      <c r="E417" s="58" t="s">
        <v>1751</v>
      </c>
      <c r="F417" s="58" t="s">
        <v>2802</v>
      </c>
      <c r="G417" s="21">
        <v>9.979600037E9</v>
      </c>
      <c r="H417" s="8"/>
      <c r="I417" s="88">
        <v>16020.0</v>
      </c>
      <c r="J417" s="91">
        <v>46268.0</v>
      </c>
      <c r="K417" s="8" t="s">
        <v>78</v>
      </c>
      <c r="L417" s="197" t="s">
        <v>49</v>
      </c>
      <c r="M417" s="8" t="s">
        <v>71</v>
      </c>
      <c r="N417" s="8" t="s">
        <v>28</v>
      </c>
      <c r="O417" s="90">
        <v>57194.47</v>
      </c>
      <c r="P417" s="90">
        <v>63102.0</v>
      </c>
      <c r="Q417" s="5">
        <v>26.0</v>
      </c>
      <c r="R417" s="12">
        <f t="shared" si="11"/>
        <v>14870.5622</v>
      </c>
    </row>
    <row r="418">
      <c r="A418" s="98">
        <v>46298.0</v>
      </c>
      <c r="B418" s="58" t="s">
        <v>2803</v>
      </c>
      <c r="C418" s="58" t="s">
        <v>2804</v>
      </c>
      <c r="D418" s="8" t="s">
        <v>21</v>
      </c>
      <c r="E418" s="58" t="s">
        <v>2805</v>
      </c>
      <c r="F418" s="58" t="s">
        <v>2806</v>
      </c>
      <c r="G418" s="21">
        <v>9.726920399E9</v>
      </c>
      <c r="H418" s="8"/>
      <c r="I418" s="88">
        <v>17750.0</v>
      </c>
      <c r="J418" s="91">
        <v>46206.0</v>
      </c>
      <c r="K418" s="8" t="s">
        <v>78</v>
      </c>
      <c r="L418" s="197" t="s">
        <v>49</v>
      </c>
      <c r="M418" s="8" t="s">
        <v>71</v>
      </c>
      <c r="N418" s="8" t="s">
        <v>28</v>
      </c>
      <c r="O418" s="90">
        <v>57194.47</v>
      </c>
      <c r="P418" s="90">
        <v>65371.0</v>
      </c>
      <c r="Q418" s="5">
        <v>26.0</v>
      </c>
      <c r="R418" s="12">
        <f t="shared" si="11"/>
        <v>14870.5622</v>
      </c>
    </row>
    <row r="419">
      <c r="A419" s="87">
        <v>46329.0</v>
      </c>
      <c r="B419" s="58" t="s">
        <v>2807</v>
      </c>
      <c r="C419" s="58" t="s">
        <v>2808</v>
      </c>
      <c r="D419" s="8" t="s">
        <v>21</v>
      </c>
      <c r="E419" s="58" t="s">
        <v>1866</v>
      </c>
      <c r="F419" s="58" t="s">
        <v>2656</v>
      </c>
      <c r="G419" s="21">
        <v>9.727450222E9</v>
      </c>
      <c r="H419" s="8"/>
      <c r="I419" s="88">
        <v>11990.0</v>
      </c>
      <c r="J419" s="91">
        <v>46298.0</v>
      </c>
      <c r="K419" s="8" t="s">
        <v>78</v>
      </c>
      <c r="L419" s="197" t="s">
        <v>49</v>
      </c>
      <c r="M419" s="8" t="s">
        <v>71</v>
      </c>
      <c r="N419" s="8" t="s">
        <v>28</v>
      </c>
      <c r="O419" s="90">
        <v>29155.1</v>
      </c>
      <c r="P419" s="90">
        <v>32772.0</v>
      </c>
      <c r="Q419" s="5">
        <v>32.0</v>
      </c>
      <c r="R419" s="12">
        <f t="shared" si="11"/>
        <v>9329.632</v>
      </c>
    </row>
    <row r="420">
      <c r="A420" s="87">
        <v>46329.0</v>
      </c>
      <c r="B420" s="58" t="s">
        <v>2809</v>
      </c>
      <c r="C420" s="58" t="s">
        <v>2810</v>
      </c>
      <c r="D420" s="8" t="s">
        <v>1395</v>
      </c>
      <c r="E420" s="58" t="s">
        <v>2811</v>
      </c>
      <c r="F420" s="58" t="s">
        <v>2812</v>
      </c>
      <c r="G420" s="8" t="s">
        <v>2813</v>
      </c>
      <c r="H420" s="8"/>
      <c r="I420" s="88">
        <v>3225.0</v>
      </c>
      <c r="J420" s="91">
        <v>46329.0</v>
      </c>
      <c r="K420" s="8" t="s">
        <v>668</v>
      </c>
      <c r="L420" s="197" t="s">
        <v>49</v>
      </c>
      <c r="M420" s="8" t="s">
        <v>185</v>
      </c>
      <c r="N420" s="8" t="s">
        <v>28</v>
      </c>
      <c r="O420" s="88">
        <v>18347.0</v>
      </c>
      <c r="P420" s="88">
        <v>20687.0</v>
      </c>
      <c r="Q420" s="5">
        <v>53.0</v>
      </c>
      <c r="R420" s="12">
        <f t="shared" si="11"/>
        <v>9723.91</v>
      </c>
    </row>
    <row r="421">
      <c r="A421" s="87">
        <v>46359.0</v>
      </c>
      <c r="B421" s="58" t="s">
        <v>2814</v>
      </c>
      <c r="C421" s="58" t="s">
        <v>2815</v>
      </c>
      <c r="D421" s="8" t="s">
        <v>21</v>
      </c>
      <c r="E421" s="58" t="s">
        <v>2816</v>
      </c>
      <c r="F421" s="58" t="s">
        <v>2817</v>
      </c>
      <c r="G421" s="8" t="s">
        <v>2818</v>
      </c>
      <c r="H421" s="8"/>
      <c r="I421" s="88">
        <v>35000.0</v>
      </c>
      <c r="J421" s="91">
        <v>46329.0</v>
      </c>
      <c r="K421" s="8" t="s">
        <v>353</v>
      </c>
      <c r="L421" s="197" t="s">
        <v>49</v>
      </c>
      <c r="M421" s="8" t="s">
        <v>144</v>
      </c>
      <c r="N421" s="8" t="s">
        <v>28</v>
      </c>
      <c r="O421" s="90">
        <v>80430.0</v>
      </c>
      <c r="P421" s="90">
        <v>92270.0</v>
      </c>
      <c r="Q421" s="5">
        <v>28.0</v>
      </c>
      <c r="R421" s="12">
        <f t="shared" si="11"/>
        <v>22520.4</v>
      </c>
    </row>
    <row r="422">
      <c r="A422" s="87">
        <v>46359.0</v>
      </c>
      <c r="B422" s="58" t="s">
        <v>2819</v>
      </c>
      <c r="C422" s="58" t="s">
        <v>2820</v>
      </c>
      <c r="D422" s="8" t="s">
        <v>1395</v>
      </c>
      <c r="E422" s="58" t="s">
        <v>2182</v>
      </c>
      <c r="F422" s="58" t="s">
        <v>2821</v>
      </c>
      <c r="G422" s="21">
        <v>9.879412527E9</v>
      </c>
      <c r="H422" s="8"/>
      <c r="I422" s="88">
        <v>1600.0</v>
      </c>
      <c r="J422" s="8" t="s">
        <v>1103</v>
      </c>
      <c r="K422" s="8" t="s">
        <v>70</v>
      </c>
      <c r="L422" s="197" t="s">
        <v>49</v>
      </c>
      <c r="M422" s="8" t="s">
        <v>71</v>
      </c>
      <c r="N422" s="8" t="s">
        <v>28</v>
      </c>
      <c r="O422" s="90">
        <v>18022.0</v>
      </c>
      <c r="P422" s="90">
        <v>20303.0</v>
      </c>
      <c r="Q422" s="5">
        <v>60.0</v>
      </c>
      <c r="R422" s="12">
        <f t="shared" si="11"/>
        <v>10813.2</v>
      </c>
    </row>
    <row r="423">
      <c r="A423" s="87">
        <v>46359.0</v>
      </c>
      <c r="B423" s="58" t="s">
        <v>2822</v>
      </c>
      <c r="C423" s="58" t="s">
        <v>2823</v>
      </c>
      <c r="D423" s="8" t="s">
        <v>1395</v>
      </c>
      <c r="E423" s="58" t="s">
        <v>2824</v>
      </c>
      <c r="F423" s="58" t="s">
        <v>2825</v>
      </c>
      <c r="G423" s="21">
        <v>8.671944458E9</v>
      </c>
      <c r="H423" s="8"/>
      <c r="I423" s="88">
        <v>1418.0</v>
      </c>
      <c r="J423" s="22">
        <v>46359.0</v>
      </c>
      <c r="K423" s="8" t="s">
        <v>70</v>
      </c>
      <c r="L423" s="197" t="s">
        <v>49</v>
      </c>
      <c r="M423" s="8" t="s">
        <v>71</v>
      </c>
      <c r="N423" s="8" t="s">
        <v>28</v>
      </c>
      <c r="O423" s="90">
        <v>16587.0</v>
      </c>
      <c r="P423" s="90">
        <v>18610.0</v>
      </c>
      <c r="Q423" s="5">
        <v>60.0</v>
      </c>
      <c r="R423" s="12">
        <f t="shared" si="11"/>
        <v>9952.2</v>
      </c>
    </row>
    <row r="424">
      <c r="A424" s="201">
        <v>46359.0</v>
      </c>
      <c r="B424" s="58" t="s">
        <v>1057</v>
      </c>
      <c r="C424" s="58" t="s">
        <v>2826</v>
      </c>
      <c r="D424" s="8" t="s">
        <v>533</v>
      </c>
      <c r="E424" s="58" t="s">
        <v>2827</v>
      </c>
      <c r="F424" s="58" t="s">
        <v>1060</v>
      </c>
      <c r="G424" s="8" t="s">
        <v>2828</v>
      </c>
      <c r="H424" s="8"/>
      <c r="I424" s="88">
        <v>4399.0</v>
      </c>
      <c r="J424" s="22">
        <v>46359.0</v>
      </c>
      <c r="K424" s="8" t="s">
        <v>25</v>
      </c>
      <c r="L424" s="197" t="s">
        <v>49</v>
      </c>
      <c r="M424" s="8" t="s">
        <v>1436</v>
      </c>
      <c r="N424" s="8" t="s">
        <v>28</v>
      </c>
      <c r="O424" s="90">
        <v>17581.0</v>
      </c>
      <c r="P424" s="90">
        <v>20746.0</v>
      </c>
      <c r="Q424" s="5">
        <v>31.0</v>
      </c>
      <c r="R424" s="12">
        <f t="shared" si="11"/>
        <v>5450.11</v>
      </c>
    </row>
    <row r="425">
      <c r="A425" s="87">
        <v>46359.0</v>
      </c>
      <c r="B425" s="58" t="s">
        <v>2829</v>
      </c>
      <c r="C425" s="58" t="s">
        <v>2830</v>
      </c>
      <c r="D425" s="8" t="s">
        <v>1395</v>
      </c>
      <c r="E425" s="58" t="s">
        <v>524</v>
      </c>
      <c r="F425" s="58" t="s">
        <v>2831</v>
      </c>
      <c r="G425" s="8" t="s">
        <v>2832</v>
      </c>
      <c r="H425" s="8"/>
      <c r="I425" s="88">
        <v>3490.0</v>
      </c>
      <c r="J425" s="91">
        <v>46359.0</v>
      </c>
      <c r="K425" s="8" t="s">
        <v>116</v>
      </c>
      <c r="L425" s="197" t="s">
        <v>49</v>
      </c>
      <c r="M425" s="8" t="s">
        <v>1456</v>
      </c>
      <c r="N425" s="8" t="s">
        <v>28</v>
      </c>
      <c r="O425" s="90">
        <v>20682.0</v>
      </c>
      <c r="P425" s="90">
        <v>23436.0</v>
      </c>
      <c r="Q425" s="5">
        <v>48.0</v>
      </c>
      <c r="R425" s="12">
        <f t="shared" si="11"/>
        <v>9927.36</v>
      </c>
    </row>
    <row r="426">
      <c r="A426" s="100" t="s">
        <v>1084</v>
      </c>
      <c r="B426" s="58" t="s">
        <v>2833</v>
      </c>
      <c r="C426" s="58" t="s">
        <v>2834</v>
      </c>
      <c r="D426" s="8" t="s">
        <v>1395</v>
      </c>
      <c r="E426" s="58" t="s">
        <v>741</v>
      </c>
      <c r="F426" s="58" t="s">
        <v>2835</v>
      </c>
      <c r="G426" s="21">
        <v>9.913124488E9</v>
      </c>
      <c r="H426" s="21">
        <v>9.727446742E9</v>
      </c>
      <c r="I426" s="88">
        <v>3490.0</v>
      </c>
      <c r="J426" s="91">
        <v>46329.0</v>
      </c>
      <c r="K426" s="8" t="s">
        <v>116</v>
      </c>
      <c r="L426" s="197" t="s">
        <v>49</v>
      </c>
      <c r="M426" s="8" t="s">
        <v>27</v>
      </c>
      <c r="N426" s="8" t="s">
        <v>28</v>
      </c>
      <c r="O426" s="90">
        <v>21370.0</v>
      </c>
      <c r="P426" s="90">
        <v>24248.0</v>
      </c>
      <c r="Q426" s="5">
        <v>48.0</v>
      </c>
      <c r="R426" s="12">
        <f t="shared" si="11"/>
        <v>10257.6</v>
      </c>
    </row>
    <row r="427">
      <c r="A427" s="100" t="s">
        <v>1084</v>
      </c>
      <c r="B427" s="58" t="s">
        <v>2836</v>
      </c>
      <c r="C427" s="58" t="s">
        <v>2837</v>
      </c>
      <c r="D427" s="8" t="s">
        <v>1432</v>
      </c>
      <c r="E427" s="58" t="s">
        <v>2838</v>
      </c>
      <c r="F427" s="58" t="s">
        <v>2839</v>
      </c>
      <c r="G427" s="8"/>
      <c r="H427" s="8"/>
      <c r="I427" s="88">
        <v>198.0</v>
      </c>
      <c r="J427" s="91">
        <v>46359.0</v>
      </c>
      <c r="K427" s="8" t="s">
        <v>668</v>
      </c>
      <c r="L427" s="197" t="s">
        <v>49</v>
      </c>
      <c r="M427" s="8" t="s">
        <v>27</v>
      </c>
      <c r="N427" s="8" t="s">
        <v>28</v>
      </c>
      <c r="O427" s="88">
        <v>6514.0</v>
      </c>
      <c r="P427" s="88">
        <v>7686.0</v>
      </c>
      <c r="Q427" s="5">
        <v>53.0</v>
      </c>
      <c r="R427" s="12">
        <f t="shared" si="11"/>
        <v>3452.42</v>
      </c>
    </row>
    <row r="428">
      <c r="A428" s="100" t="s">
        <v>1084</v>
      </c>
      <c r="B428" s="58" t="s">
        <v>2840</v>
      </c>
      <c r="C428" s="58" t="s">
        <v>2841</v>
      </c>
      <c r="D428" s="8" t="s">
        <v>1432</v>
      </c>
      <c r="E428" s="58" t="s">
        <v>1887</v>
      </c>
      <c r="F428" s="58" t="s">
        <v>2842</v>
      </c>
      <c r="G428" s="8" t="s">
        <v>2843</v>
      </c>
      <c r="H428" s="8"/>
      <c r="I428" s="88">
        <v>470.0</v>
      </c>
      <c r="J428" s="8" t="s">
        <v>1084</v>
      </c>
      <c r="K428" s="8" t="s">
        <v>668</v>
      </c>
      <c r="L428" s="197" t="s">
        <v>49</v>
      </c>
      <c r="M428" s="8" t="s">
        <v>340</v>
      </c>
      <c r="N428" s="8" t="s">
        <v>28</v>
      </c>
      <c r="O428" s="88">
        <v>6930.0</v>
      </c>
      <c r="P428" s="88">
        <v>8178.0</v>
      </c>
      <c r="Q428" s="5">
        <v>53.0</v>
      </c>
      <c r="R428" s="12">
        <f t="shared" si="11"/>
        <v>3672.9</v>
      </c>
    </row>
    <row r="429">
      <c r="A429" s="100" t="s">
        <v>1084</v>
      </c>
      <c r="B429" s="58" t="s">
        <v>2844</v>
      </c>
      <c r="C429" s="58" t="s">
        <v>2845</v>
      </c>
      <c r="D429" s="8" t="s">
        <v>1395</v>
      </c>
      <c r="E429" s="58" t="s">
        <v>2846</v>
      </c>
      <c r="F429" s="58" t="s">
        <v>2847</v>
      </c>
      <c r="G429" s="8"/>
      <c r="H429" s="8"/>
      <c r="I429" s="88">
        <v>2880.0</v>
      </c>
      <c r="J429" s="58" t="s">
        <v>1084</v>
      </c>
      <c r="K429" s="8" t="s">
        <v>668</v>
      </c>
      <c r="L429" s="197" t="s">
        <v>49</v>
      </c>
      <c r="M429" s="8" t="s">
        <v>1477</v>
      </c>
      <c r="N429" s="8" t="s">
        <v>28</v>
      </c>
      <c r="O429" s="88">
        <v>18868.0</v>
      </c>
      <c r="P429" s="88">
        <v>21302.0</v>
      </c>
      <c r="Q429" s="5">
        <v>53.0</v>
      </c>
      <c r="R429" s="12">
        <f t="shared" si="11"/>
        <v>10000.04</v>
      </c>
    </row>
    <row r="430">
      <c r="A430" s="100" t="s">
        <v>1084</v>
      </c>
      <c r="B430" s="58" t="s">
        <v>2848</v>
      </c>
      <c r="C430" s="58" t="s">
        <v>2849</v>
      </c>
      <c r="D430" s="8" t="s">
        <v>1395</v>
      </c>
      <c r="E430" s="58" t="s">
        <v>2718</v>
      </c>
      <c r="F430" s="58" t="s">
        <v>2850</v>
      </c>
      <c r="G430" s="8" t="s">
        <v>2851</v>
      </c>
      <c r="H430" s="8"/>
      <c r="I430" s="88">
        <v>2670.0</v>
      </c>
      <c r="J430" s="58" t="s">
        <v>1103</v>
      </c>
      <c r="K430" s="8" t="s">
        <v>668</v>
      </c>
      <c r="L430" s="197" t="s">
        <v>49</v>
      </c>
      <c r="M430" s="8" t="s">
        <v>365</v>
      </c>
      <c r="N430" s="8" t="s">
        <v>28</v>
      </c>
      <c r="O430" s="90">
        <v>16861.0</v>
      </c>
      <c r="P430" s="90">
        <v>18933.0</v>
      </c>
      <c r="Q430" s="5">
        <v>53.0</v>
      </c>
      <c r="R430" s="12">
        <f t="shared" si="11"/>
        <v>8936.33</v>
      </c>
    </row>
    <row r="431">
      <c r="A431" s="100" t="s">
        <v>1084</v>
      </c>
      <c r="B431" s="58" t="s">
        <v>2852</v>
      </c>
      <c r="C431" s="58" t="s">
        <v>2853</v>
      </c>
      <c r="D431" s="8" t="s">
        <v>21</v>
      </c>
      <c r="E431" s="58" t="s">
        <v>2854</v>
      </c>
      <c r="F431" s="58" t="s">
        <v>2656</v>
      </c>
      <c r="G431" s="21">
        <v>9.727450222E9</v>
      </c>
      <c r="H431" s="8"/>
      <c r="I431" s="88">
        <v>11990.0</v>
      </c>
      <c r="J431" s="91">
        <v>46359.0</v>
      </c>
      <c r="K431" s="8" t="s">
        <v>78</v>
      </c>
      <c r="L431" s="197" t="s">
        <v>49</v>
      </c>
      <c r="M431" s="8" t="s">
        <v>71</v>
      </c>
      <c r="N431" s="8" t="s">
        <v>28</v>
      </c>
      <c r="O431" s="90">
        <v>30827.77</v>
      </c>
      <c r="P431" s="90">
        <v>34746.0</v>
      </c>
      <c r="Q431" s="5">
        <v>32.0</v>
      </c>
      <c r="R431" s="12">
        <f t="shared" si="11"/>
        <v>9864.8864</v>
      </c>
    </row>
    <row r="432">
      <c r="A432" s="100" t="s">
        <v>1084</v>
      </c>
      <c r="B432" s="58" t="s">
        <v>2855</v>
      </c>
      <c r="C432" s="58" t="s">
        <v>2856</v>
      </c>
      <c r="D432" s="8" t="s">
        <v>21</v>
      </c>
      <c r="E432" s="58" t="s">
        <v>2854</v>
      </c>
      <c r="F432" s="58" t="s">
        <v>2857</v>
      </c>
      <c r="G432" s="21">
        <v>9.727450222E9</v>
      </c>
      <c r="H432" s="8"/>
      <c r="I432" s="88">
        <v>11990.0</v>
      </c>
      <c r="J432" s="91">
        <v>46359.0</v>
      </c>
      <c r="K432" s="8" t="s">
        <v>78</v>
      </c>
      <c r="L432" s="197" t="s">
        <v>49</v>
      </c>
      <c r="M432" s="8" t="s">
        <v>71</v>
      </c>
      <c r="N432" s="8" t="s">
        <v>28</v>
      </c>
      <c r="O432" s="90">
        <v>29403.36</v>
      </c>
      <c r="P432" s="90">
        <v>33065.0</v>
      </c>
      <c r="Q432" s="5">
        <v>32.0</v>
      </c>
      <c r="R432" s="12">
        <f t="shared" si="11"/>
        <v>9409.0752</v>
      </c>
    </row>
    <row r="433">
      <c r="A433" s="100" t="s">
        <v>1084</v>
      </c>
      <c r="B433" s="58" t="s">
        <v>2338</v>
      </c>
      <c r="C433" s="58" t="s">
        <v>2858</v>
      </c>
      <c r="D433" s="8" t="s">
        <v>21</v>
      </c>
      <c r="E433" s="58" t="s">
        <v>1949</v>
      </c>
      <c r="F433" s="58" t="s">
        <v>2859</v>
      </c>
      <c r="G433" s="8"/>
      <c r="H433" s="8"/>
      <c r="I433" s="88">
        <v>28000.0</v>
      </c>
      <c r="J433" s="22">
        <v>46359.0</v>
      </c>
      <c r="K433" s="8" t="s">
        <v>70</v>
      </c>
      <c r="L433" s="197" t="s">
        <v>49</v>
      </c>
      <c r="M433" s="8" t="s">
        <v>71</v>
      </c>
      <c r="N433" s="8" t="s">
        <v>28</v>
      </c>
      <c r="O433" s="90">
        <v>45985.0</v>
      </c>
      <c r="P433" s="90">
        <v>51625.0</v>
      </c>
      <c r="Q433" s="5">
        <v>20.0</v>
      </c>
      <c r="R433" s="12">
        <f t="shared" si="11"/>
        <v>9197</v>
      </c>
    </row>
    <row r="434">
      <c r="A434" s="100" t="s">
        <v>1084</v>
      </c>
      <c r="B434" s="58" t="s">
        <v>1104</v>
      </c>
      <c r="C434" s="58" t="s">
        <v>2860</v>
      </c>
      <c r="D434" s="8" t="s">
        <v>1395</v>
      </c>
      <c r="E434" s="58" t="s">
        <v>528</v>
      </c>
      <c r="F434" s="58" t="s">
        <v>2861</v>
      </c>
      <c r="G434" s="8" t="s">
        <v>2862</v>
      </c>
      <c r="H434" s="8"/>
      <c r="I434" s="88">
        <v>2820.0</v>
      </c>
      <c r="J434" s="58" t="s">
        <v>2863</v>
      </c>
      <c r="K434" s="8" t="s">
        <v>65</v>
      </c>
      <c r="L434" s="197" t="s">
        <v>26</v>
      </c>
      <c r="M434" s="8" t="s">
        <v>185</v>
      </c>
      <c r="N434" s="8" t="s">
        <v>28</v>
      </c>
      <c r="O434" s="88">
        <v>16149.0</v>
      </c>
      <c r="P434" s="88">
        <v>18093.0</v>
      </c>
      <c r="Q434" s="5">
        <v>57.0</v>
      </c>
      <c r="R434" s="12">
        <f t="shared" si="11"/>
        <v>9204.93</v>
      </c>
    </row>
    <row r="435">
      <c r="A435" s="100" t="s">
        <v>1084</v>
      </c>
      <c r="B435" s="58" t="s">
        <v>1089</v>
      </c>
      <c r="C435" s="58" t="s">
        <v>2864</v>
      </c>
      <c r="D435" s="8" t="s">
        <v>1395</v>
      </c>
      <c r="E435" s="58" t="s">
        <v>1091</v>
      </c>
      <c r="F435" s="58" t="s">
        <v>1092</v>
      </c>
      <c r="G435" s="8"/>
      <c r="H435" s="8"/>
      <c r="I435" s="88">
        <v>3480.0</v>
      </c>
      <c r="J435" s="91">
        <v>46359.0</v>
      </c>
      <c r="K435" s="8" t="s">
        <v>116</v>
      </c>
      <c r="L435" s="197" t="s">
        <v>49</v>
      </c>
      <c r="M435" s="8" t="s">
        <v>33</v>
      </c>
      <c r="N435" s="8" t="s">
        <v>28</v>
      </c>
      <c r="O435" s="90">
        <v>22153.0</v>
      </c>
      <c r="P435" s="90">
        <v>25172.0</v>
      </c>
      <c r="Q435" s="5">
        <v>48.0</v>
      </c>
      <c r="R435" s="12">
        <f t="shared" si="11"/>
        <v>10633.44</v>
      </c>
    </row>
    <row r="436">
      <c r="A436" s="100" t="s">
        <v>1084</v>
      </c>
      <c r="B436" s="58" t="s">
        <v>2865</v>
      </c>
      <c r="C436" s="58" t="s">
        <v>2866</v>
      </c>
      <c r="D436" s="8" t="s">
        <v>1395</v>
      </c>
      <c r="E436" s="58" t="s">
        <v>2867</v>
      </c>
      <c r="F436" s="58" t="s">
        <v>2868</v>
      </c>
      <c r="G436" s="8" t="s">
        <v>2869</v>
      </c>
      <c r="H436" s="8"/>
      <c r="I436" s="88">
        <v>2820.0</v>
      </c>
      <c r="J436" s="58" t="s">
        <v>1103</v>
      </c>
      <c r="K436" s="8" t="s">
        <v>116</v>
      </c>
      <c r="L436" s="197" t="s">
        <v>49</v>
      </c>
      <c r="M436" s="8" t="s">
        <v>389</v>
      </c>
      <c r="N436" s="8" t="s">
        <v>28</v>
      </c>
      <c r="O436" s="90">
        <v>18777.0</v>
      </c>
      <c r="P436" s="90">
        <v>21190.0</v>
      </c>
      <c r="Q436" s="5">
        <v>48.0</v>
      </c>
      <c r="R436" s="12">
        <f t="shared" si="11"/>
        <v>9012.96</v>
      </c>
    </row>
    <row r="437">
      <c r="A437" s="100" t="s">
        <v>1084</v>
      </c>
      <c r="B437" s="58" t="s">
        <v>2870</v>
      </c>
      <c r="C437" s="58" t="s">
        <v>2871</v>
      </c>
      <c r="D437" s="8" t="s">
        <v>21</v>
      </c>
      <c r="E437" s="58" t="s">
        <v>2872</v>
      </c>
      <c r="F437" s="58" t="s">
        <v>2873</v>
      </c>
      <c r="G437" s="8" t="s">
        <v>2874</v>
      </c>
      <c r="H437" s="8"/>
      <c r="I437" s="88">
        <v>11990.0</v>
      </c>
      <c r="J437" s="58" t="s">
        <v>1084</v>
      </c>
      <c r="K437" s="8" t="s">
        <v>668</v>
      </c>
      <c r="L437" s="197" t="s">
        <v>26</v>
      </c>
      <c r="M437" s="8" t="s">
        <v>340</v>
      </c>
      <c r="N437" s="8" t="s">
        <v>28</v>
      </c>
      <c r="O437" s="88">
        <v>27286.0</v>
      </c>
      <c r="P437" s="88">
        <v>30566.0</v>
      </c>
      <c r="Q437" s="5">
        <v>47.0</v>
      </c>
      <c r="R437" s="12">
        <f t="shared" si="11"/>
        <v>12824.42</v>
      </c>
    </row>
    <row r="438">
      <c r="A438" s="100" t="s">
        <v>1084</v>
      </c>
      <c r="B438" s="58" t="s">
        <v>2875</v>
      </c>
      <c r="C438" s="58" t="s">
        <v>2876</v>
      </c>
      <c r="D438" s="8" t="s">
        <v>21</v>
      </c>
      <c r="E438" s="58" t="s">
        <v>2854</v>
      </c>
      <c r="F438" s="58" t="s">
        <v>2877</v>
      </c>
      <c r="G438" s="21">
        <v>9.909874479E9</v>
      </c>
      <c r="H438" s="8"/>
      <c r="I438" s="88">
        <v>11990.0</v>
      </c>
      <c r="J438" s="58" t="s">
        <v>1120</v>
      </c>
      <c r="K438" s="8" t="s">
        <v>78</v>
      </c>
      <c r="L438" s="197" t="s">
        <v>49</v>
      </c>
      <c r="M438" s="8" t="s">
        <v>71</v>
      </c>
      <c r="N438" s="8" t="s">
        <v>28</v>
      </c>
      <c r="O438" s="90">
        <v>29519.28</v>
      </c>
      <c r="P438" s="90">
        <v>33202.0</v>
      </c>
      <c r="Q438" s="5">
        <v>32.0</v>
      </c>
      <c r="R438" s="12">
        <f t="shared" si="11"/>
        <v>9446.1696</v>
      </c>
    </row>
    <row r="439">
      <c r="A439" s="100" t="s">
        <v>1084</v>
      </c>
      <c r="B439" s="58" t="s">
        <v>2878</v>
      </c>
      <c r="C439" s="58" t="s">
        <v>2879</v>
      </c>
      <c r="D439" s="8" t="s">
        <v>21</v>
      </c>
      <c r="E439" s="58" t="s">
        <v>2880</v>
      </c>
      <c r="F439" s="58" t="s">
        <v>2881</v>
      </c>
      <c r="G439" s="8"/>
      <c r="H439" s="8"/>
      <c r="I439" s="88">
        <v>28000.0</v>
      </c>
      <c r="J439" s="91">
        <v>46359.0</v>
      </c>
      <c r="K439" s="8" t="s">
        <v>353</v>
      </c>
      <c r="L439" s="197" t="s">
        <v>49</v>
      </c>
      <c r="M439" s="8" t="s">
        <v>389</v>
      </c>
      <c r="N439" s="8" t="s">
        <v>28</v>
      </c>
      <c r="O439" s="90">
        <v>45898.0</v>
      </c>
      <c r="P439" s="90">
        <v>51523.0</v>
      </c>
      <c r="Q439" s="5">
        <v>28.0</v>
      </c>
      <c r="R439" s="12">
        <f t="shared" si="11"/>
        <v>12851.44</v>
      </c>
    </row>
    <row r="440">
      <c r="A440" s="100" t="s">
        <v>1098</v>
      </c>
      <c r="B440" s="58" t="s">
        <v>2882</v>
      </c>
      <c r="C440" s="58" t="s">
        <v>2883</v>
      </c>
      <c r="D440" s="8" t="s">
        <v>21</v>
      </c>
      <c r="E440" s="58" t="s">
        <v>1866</v>
      </c>
      <c r="F440" s="58" t="s">
        <v>2656</v>
      </c>
      <c r="G440" s="21">
        <v>9.727450222E9</v>
      </c>
      <c r="H440" s="8"/>
      <c r="I440" s="88">
        <v>11990.0</v>
      </c>
      <c r="J440" s="91">
        <v>46359.0</v>
      </c>
      <c r="K440" s="8" t="s">
        <v>78</v>
      </c>
      <c r="L440" s="197" t="s">
        <v>49</v>
      </c>
      <c r="M440" s="8" t="s">
        <v>71</v>
      </c>
      <c r="N440" s="8" t="s">
        <v>28</v>
      </c>
      <c r="O440" s="90">
        <v>29661.53</v>
      </c>
      <c r="P440" s="90">
        <v>33369.0</v>
      </c>
      <c r="Q440" s="5">
        <v>32.0</v>
      </c>
      <c r="R440" s="12">
        <f t="shared" si="11"/>
        <v>9491.6896</v>
      </c>
    </row>
    <row r="441">
      <c r="A441" s="100" t="s">
        <v>1098</v>
      </c>
      <c r="B441" s="58" t="s">
        <v>2884</v>
      </c>
      <c r="C441" s="58" t="s">
        <v>2885</v>
      </c>
      <c r="D441" s="8" t="s">
        <v>21</v>
      </c>
      <c r="E441" s="58" t="s">
        <v>1866</v>
      </c>
      <c r="F441" s="58" t="s">
        <v>2886</v>
      </c>
      <c r="G441" s="21">
        <v>9.727450222E9</v>
      </c>
      <c r="H441" s="8"/>
      <c r="I441" s="88">
        <v>11990.0</v>
      </c>
      <c r="J441" s="91">
        <v>46359.0</v>
      </c>
      <c r="K441" s="8" t="s">
        <v>78</v>
      </c>
      <c r="L441" s="197" t="s">
        <v>49</v>
      </c>
      <c r="M441" s="8" t="s">
        <v>71</v>
      </c>
      <c r="N441" s="8" t="s">
        <v>28</v>
      </c>
      <c r="O441" s="90">
        <v>29661.53</v>
      </c>
      <c r="P441" s="90">
        <v>33369.0</v>
      </c>
      <c r="Q441" s="5">
        <v>32.0</v>
      </c>
      <c r="R441" s="12">
        <f t="shared" si="11"/>
        <v>9491.6896</v>
      </c>
    </row>
    <row r="442">
      <c r="A442" s="100" t="s">
        <v>1098</v>
      </c>
      <c r="B442" s="58" t="s">
        <v>2887</v>
      </c>
      <c r="C442" s="58" t="s">
        <v>2888</v>
      </c>
      <c r="D442" s="8" t="s">
        <v>1395</v>
      </c>
      <c r="E442" s="58" t="s">
        <v>528</v>
      </c>
      <c r="F442" s="58" t="s">
        <v>2889</v>
      </c>
      <c r="G442" s="8" t="s">
        <v>2890</v>
      </c>
      <c r="H442" s="8"/>
      <c r="I442" s="88">
        <v>3490.0</v>
      </c>
      <c r="J442" s="58" t="s">
        <v>2863</v>
      </c>
      <c r="K442" s="8" t="s">
        <v>65</v>
      </c>
      <c r="L442" s="197" t="s">
        <v>26</v>
      </c>
      <c r="M442" s="8" t="s">
        <v>1436</v>
      </c>
      <c r="N442" s="8" t="s">
        <v>28</v>
      </c>
      <c r="O442" s="88">
        <v>16149.0</v>
      </c>
      <c r="P442" s="88">
        <v>18093.0</v>
      </c>
      <c r="Q442" s="5">
        <v>57.0</v>
      </c>
      <c r="R442" s="12">
        <f t="shared" si="11"/>
        <v>9204.93</v>
      </c>
    </row>
    <row r="443">
      <c r="A443" s="100" t="s">
        <v>1098</v>
      </c>
      <c r="B443" s="58" t="s">
        <v>2891</v>
      </c>
      <c r="C443" s="58" t="s">
        <v>2892</v>
      </c>
      <c r="D443" s="8" t="s">
        <v>1395</v>
      </c>
      <c r="E443" s="58" t="s">
        <v>2087</v>
      </c>
      <c r="F443" s="58" t="s">
        <v>2893</v>
      </c>
      <c r="G443" s="8"/>
      <c r="H443" s="8"/>
      <c r="I443" s="88">
        <v>2995.0</v>
      </c>
      <c r="J443" s="8" t="s">
        <v>1098</v>
      </c>
      <c r="K443" s="8" t="s">
        <v>116</v>
      </c>
      <c r="L443" s="197" t="s">
        <v>49</v>
      </c>
      <c r="M443" s="8" t="s">
        <v>1477</v>
      </c>
      <c r="N443" s="8" t="s">
        <v>28</v>
      </c>
      <c r="O443" s="90">
        <v>18104.0</v>
      </c>
      <c r="P443" s="90">
        <v>20394.0</v>
      </c>
      <c r="Q443" s="5">
        <v>48.0</v>
      </c>
      <c r="R443" s="12">
        <f t="shared" si="11"/>
        <v>8689.92</v>
      </c>
    </row>
    <row r="444">
      <c r="A444" s="100" t="s">
        <v>1098</v>
      </c>
      <c r="B444" s="58" t="s">
        <v>2894</v>
      </c>
      <c r="C444" s="58" t="s">
        <v>2895</v>
      </c>
      <c r="D444" s="8" t="s">
        <v>1395</v>
      </c>
      <c r="E444" s="58" t="s">
        <v>2896</v>
      </c>
      <c r="F444" s="58" t="s">
        <v>2897</v>
      </c>
      <c r="G444" s="8" t="s">
        <v>2898</v>
      </c>
      <c r="H444" s="8"/>
      <c r="I444" s="88">
        <v>2565.0</v>
      </c>
      <c r="J444" s="58" t="s">
        <v>1108</v>
      </c>
      <c r="K444" s="8" t="s">
        <v>116</v>
      </c>
      <c r="L444" s="197" t="s">
        <v>49</v>
      </c>
      <c r="M444" s="8" t="s">
        <v>1456</v>
      </c>
      <c r="N444" s="8" t="s">
        <v>28</v>
      </c>
      <c r="O444" s="90">
        <v>20089.0</v>
      </c>
      <c r="P444" s="90">
        <v>22737.0</v>
      </c>
      <c r="Q444" s="5">
        <v>48.0</v>
      </c>
      <c r="R444" s="12">
        <f t="shared" si="11"/>
        <v>9642.72</v>
      </c>
    </row>
    <row r="445">
      <c r="A445" s="100" t="s">
        <v>1103</v>
      </c>
      <c r="B445" s="58" t="s">
        <v>2899</v>
      </c>
      <c r="C445" s="58" t="s">
        <v>2900</v>
      </c>
      <c r="D445" s="8" t="s">
        <v>21</v>
      </c>
      <c r="E445" s="58" t="s">
        <v>1510</v>
      </c>
      <c r="F445" s="58" t="s">
        <v>2901</v>
      </c>
      <c r="G445" s="8"/>
      <c r="H445" s="8"/>
      <c r="I445" s="88">
        <v>35000.0</v>
      </c>
      <c r="J445" s="91">
        <v>46145.0</v>
      </c>
      <c r="K445" s="8" t="s">
        <v>353</v>
      </c>
      <c r="L445" s="197" t="s">
        <v>49</v>
      </c>
      <c r="M445" s="8" t="s">
        <v>365</v>
      </c>
      <c r="N445" s="8" t="s">
        <v>28</v>
      </c>
      <c r="O445" s="90">
        <v>82874.0</v>
      </c>
      <c r="P445" s="90">
        <v>95154.0</v>
      </c>
      <c r="Q445" s="5">
        <v>28.0</v>
      </c>
      <c r="R445" s="12">
        <f t="shared" si="11"/>
        <v>23204.72</v>
      </c>
    </row>
    <row r="446">
      <c r="A446" s="100" t="s">
        <v>1103</v>
      </c>
      <c r="B446" s="58" t="s">
        <v>2902</v>
      </c>
      <c r="C446" s="58" t="s">
        <v>2903</v>
      </c>
      <c r="D446" s="8" t="s">
        <v>21</v>
      </c>
      <c r="E446" s="58" t="s">
        <v>1621</v>
      </c>
      <c r="F446" s="58" t="s">
        <v>2904</v>
      </c>
      <c r="G446" s="8" t="s">
        <v>2905</v>
      </c>
      <c r="H446" s="8"/>
      <c r="I446" s="88">
        <v>28000.0</v>
      </c>
      <c r="J446" s="58" t="s">
        <v>2906</v>
      </c>
      <c r="K446" s="8" t="s">
        <v>65</v>
      </c>
      <c r="L446" s="197" t="s">
        <v>26</v>
      </c>
      <c r="M446" s="8" t="s">
        <v>389</v>
      </c>
      <c r="N446" s="8" t="s">
        <v>28</v>
      </c>
      <c r="O446" s="88">
        <v>44050.0</v>
      </c>
      <c r="P446" s="88">
        <v>49342.0</v>
      </c>
      <c r="Q446" s="5">
        <v>51.0</v>
      </c>
      <c r="R446" s="12">
        <f t="shared" si="11"/>
        <v>22465.5</v>
      </c>
    </row>
    <row r="447">
      <c r="A447" s="100" t="s">
        <v>1103</v>
      </c>
      <c r="B447" s="58" t="s">
        <v>2907</v>
      </c>
      <c r="C447" s="58" t="s">
        <v>2908</v>
      </c>
      <c r="D447" s="8" t="s">
        <v>1432</v>
      </c>
      <c r="E447" s="58" t="s">
        <v>1887</v>
      </c>
      <c r="F447" s="58" t="s">
        <v>2909</v>
      </c>
      <c r="G447" s="8"/>
      <c r="H447" s="8"/>
      <c r="I447" s="88">
        <v>236.0</v>
      </c>
      <c r="J447" s="58" t="s">
        <v>1084</v>
      </c>
      <c r="K447" s="8" t="s">
        <v>668</v>
      </c>
      <c r="L447" s="197" t="s">
        <v>49</v>
      </c>
      <c r="M447" s="8" t="s">
        <v>1477</v>
      </c>
      <c r="N447" s="8" t="s">
        <v>28</v>
      </c>
      <c r="O447" s="88">
        <v>6467.0</v>
      </c>
      <c r="P447" s="88">
        <v>7631.0</v>
      </c>
      <c r="Q447" s="5">
        <v>53.0</v>
      </c>
      <c r="R447" s="12">
        <f t="shared" si="11"/>
        <v>3427.51</v>
      </c>
    </row>
    <row r="448">
      <c r="A448" s="100" t="s">
        <v>1103</v>
      </c>
      <c r="B448" s="58" t="s">
        <v>2910</v>
      </c>
      <c r="C448" s="58" t="s">
        <v>2911</v>
      </c>
      <c r="D448" s="8" t="s">
        <v>1395</v>
      </c>
      <c r="E448" s="58" t="s">
        <v>2912</v>
      </c>
      <c r="F448" s="58" t="s">
        <v>2913</v>
      </c>
      <c r="G448" s="21">
        <v>7.567514262E9</v>
      </c>
      <c r="H448" s="8"/>
      <c r="I448" s="88">
        <v>1600.0</v>
      </c>
      <c r="J448" s="58" t="s">
        <v>1084</v>
      </c>
      <c r="K448" s="8" t="s">
        <v>1424</v>
      </c>
      <c r="L448" s="197" t="s">
        <v>49</v>
      </c>
      <c r="M448" s="8" t="s">
        <v>71</v>
      </c>
      <c r="N448" s="8" t="s">
        <v>28</v>
      </c>
      <c r="O448" s="88">
        <v>19376.0</v>
      </c>
      <c r="P448" s="88">
        <v>21901.0</v>
      </c>
      <c r="Q448" s="5">
        <v>52.0</v>
      </c>
      <c r="R448" s="12">
        <f t="shared" si="11"/>
        <v>10075.52</v>
      </c>
    </row>
    <row r="449">
      <c r="A449" s="100" t="s">
        <v>1103</v>
      </c>
      <c r="B449" s="58" t="s">
        <v>2914</v>
      </c>
      <c r="C449" s="58" t="s">
        <v>2915</v>
      </c>
      <c r="D449" s="8" t="s">
        <v>21</v>
      </c>
      <c r="E449" s="58" t="s">
        <v>2916</v>
      </c>
      <c r="F449" s="58" t="s">
        <v>2917</v>
      </c>
      <c r="G449" s="8"/>
      <c r="H449" s="8"/>
      <c r="I449" s="88">
        <v>16200.0</v>
      </c>
      <c r="J449" s="58" t="s">
        <v>2906</v>
      </c>
      <c r="K449" s="8" t="s">
        <v>65</v>
      </c>
      <c r="L449" s="197" t="s">
        <v>26</v>
      </c>
      <c r="M449" s="8" t="s">
        <v>1616</v>
      </c>
      <c r="N449" s="8" t="s">
        <v>28</v>
      </c>
      <c r="O449" s="88">
        <v>35363.0</v>
      </c>
      <c r="P449" s="88">
        <v>39610.0</v>
      </c>
      <c r="Q449" s="5">
        <v>46.0</v>
      </c>
      <c r="R449" s="12">
        <f t="shared" si="11"/>
        <v>16266.98</v>
      </c>
    </row>
    <row r="450">
      <c r="A450" s="100" t="s">
        <v>1103</v>
      </c>
      <c r="B450" s="58" t="s">
        <v>2918</v>
      </c>
      <c r="C450" s="58" t="s">
        <v>2919</v>
      </c>
      <c r="D450" s="8" t="s">
        <v>21</v>
      </c>
      <c r="E450" s="58" t="s">
        <v>2920</v>
      </c>
      <c r="F450" s="58" t="s">
        <v>2921</v>
      </c>
      <c r="G450" s="21">
        <v>9.909874479E9</v>
      </c>
      <c r="H450" s="8"/>
      <c r="I450" s="88">
        <v>17750.0</v>
      </c>
      <c r="J450" s="91">
        <v>46268.0</v>
      </c>
      <c r="K450" s="8" t="s">
        <v>78</v>
      </c>
      <c r="L450" s="197" t="s">
        <v>49</v>
      </c>
      <c r="M450" s="8" t="s">
        <v>71</v>
      </c>
      <c r="N450" s="8" t="s">
        <v>28</v>
      </c>
      <c r="O450" s="104">
        <v>40553.0</v>
      </c>
      <c r="P450" s="104">
        <v>45735.0</v>
      </c>
      <c r="Q450" s="5">
        <v>26.0</v>
      </c>
      <c r="R450" s="12">
        <f t="shared" si="11"/>
        <v>10543.78</v>
      </c>
    </row>
    <row r="451">
      <c r="A451" s="100" t="s">
        <v>1103</v>
      </c>
      <c r="B451" s="86" t="s">
        <v>2922</v>
      </c>
      <c r="C451" s="8"/>
      <c r="D451" s="86" t="s">
        <v>21</v>
      </c>
      <c r="E451" s="86" t="s">
        <v>2854</v>
      </c>
      <c r="F451" s="86" t="s">
        <v>2923</v>
      </c>
      <c r="G451" s="8"/>
      <c r="H451" s="8"/>
      <c r="I451" s="165">
        <v>11990.0</v>
      </c>
      <c r="J451" s="165" t="s">
        <v>1098</v>
      </c>
      <c r="K451" s="86" t="s">
        <v>78</v>
      </c>
      <c r="L451" s="202" t="s">
        <v>49</v>
      </c>
      <c r="M451" s="86" t="s">
        <v>27</v>
      </c>
      <c r="N451" s="86" t="s">
        <v>28</v>
      </c>
      <c r="O451" s="203">
        <v>31427.0</v>
      </c>
      <c r="P451" s="203">
        <v>35453.0</v>
      </c>
      <c r="Q451" s="5">
        <v>32.0</v>
      </c>
      <c r="R451" s="12">
        <f t="shared" si="11"/>
        <v>10056.64</v>
      </c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</row>
    <row r="452">
      <c r="A452" s="100" t="s">
        <v>1103</v>
      </c>
      <c r="B452" s="86" t="s">
        <v>2924</v>
      </c>
      <c r="C452" s="8"/>
      <c r="D452" s="86" t="s">
        <v>75</v>
      </c>
      <c r="E452" s="86" t="s">
        <v>2132</v>
      </c>
      <c r="F452" s="86" t="s">
        <v>2925</v>
      </c>
      <c r="G452" s="8"/>
      <c r="H452" s="8"/>
      <c r="I452" s="21"/>
      <c r="J452" s="58" t="s">
        <v>2906</v>
      </c>
      <c r="K452" s="86" t="s">
        <v>78</v>
      </c>
      <c r="L452" s="202" t="s">
        <v>49</v>
      </c>
      <c r="M452" s="86" t="s">
        <v>33</v>
      </c>
      <c r="N452" s="86" t="s">
        <v>28</v>
      </c>
      <c r="O452" s="203">
        <v>5164.0</v>
      </c>
      <c r="P452" s="203">
        <v>5824.0</v>
      </c>
      <c r="Q452" s="5">
        <v>59.0</v>
      </c>
      <c r="R452" s="12">
        <f t="shared" si="11"/>
        <v>3046.76</v>
      </c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</row>
    <row r="453">
      <c r="A453" s="100" t="s">
        <v>1103</v>
      </c>
      <c r="B453" s="86" t="s">
        <v>2926</v>
      </c>
      <c r="C453" s="8"/>
      <c r="D453" s="86" t="s">
        <v>1759</v>
      </c>
      <c r="E453" s="86" t="s">
        <v>2927</v>
      </c>
      <c r="F453" s="86" t="s">
        <v>2928</v>
      </c>
      <c r="G453" s="8"/>
      <c r="H453" s="8"/>
      <c r="I453" s="21"/>
      <c r="J453" s="165" t="s">
        <v>2929</v>
      </c>
      <c r="K453" s="86" t="s">
        <v>668</v>
      </c>
      <c r="L453" s="202" t="s">
        <v>49</v>
      </c>
      <c r="M453" s="86" t="s">
        <v>340</v>
      </c>
      <c r="N453" s="86" t="s">
        <v>28</v>
      </c>
      <c r="O453" s="203">
        <v>7066.0</v>
      </c>
      <c r="P453" s="203">
        <v>8338.0</v>
      </c>
      <c r="Q453" s="5">
        <v>53.0</v>
      </c>
      <c r="R453" s="12">
        <f t="shared" si="11"/>
        <v>3744.98</v>
      </c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</row>
    <row r="454">
      <c r="A454" s="100" t="s">
        <v>1103</v>
      </c>
      <c r="B454" s="86" t="s">
        <v>1116</v>
      </c>
      <c r="C454" s="8"/>
      <c r="D454" s="86" t="s">
        <v>1395</v>
      </c>
      <c r="E454" s="86" t="s">
        <v>1091</v>
      </c>
      <c r="F454" s="86" t="s">
        <v>2930</v>
      </c>
      <c r="G454" s="8"/>
      <c r="H454" s="8"/>
      <c r="I454" s="165">
        <v>3895.0</v>
      </c>
      <c r="J454" s="58" t="s">
        <v>2906</v>
      </c>
      <c r="K454" s="86" t="s">
        <v>116</v>
      </c>
      <c r="L454" s="202" t="s">
        <v>49</v>
      </c>
      <c r="M454" s="86" t="s">
        <v>27</v>
      </c>
      <c r="N454" s="86" t="s">
        <v>28</v>
      </c>
      <c r="O454" s="203">
        <v>22648.0</v>
      </c>
      <c r="P454" s="203">
        <v>25756.0</v>
      </c>
      <c r="Q454" s="5">
        <v>30.0</v>
      </c>
      <c r="R454" s="12">
        <f t="shared" si="11"/>
        <v>6794.4</v>
      </c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</row>
    <row r="455">
      <c r="A455" s="100" t="s">
        <v>1103</v>
      </c>
      <c r="B455" s="86" t="s">
        <v>2931</v>
      </c>
      <c r="C455" s="8"/>
      <c r="D455" s="86" t="s">
        <v>21</v>
      </c>
      <c r="E455" s="86" t="s">
        <v>1751</v>
      </c>
      <c r="F455" s="86" t="s">
        <v>2932</v>
      </c>
      <c r="G455" s="8"/>
      <c r="H455" s="8"/>
      <c r="I455" s="165">
        <v>15800.0</v>
      </c>
      <c r="J455" s="58" t="s">
        <v>2906</v>
      </c>
      <c r="K455" s="86" t="s">
        <v>78</v>
      </c>
      <c r="L455" s="202" t="s">
        <v>49</v>
      </c>
      <c r="M455" s="86" t="s">
        <v>71</v>
      </c>
      <c r="N455" s="86" t="s">
        <v>28</v>
      </c>
      <c r="O455" s="203">
        <v>37986.0</v>
      </c>
      <c r="P455" s="203">
        <v>42705.0</v>
      </c>
      <c r="Q455" s="5">
        <v>26.0</v>
      </c>
      <c r="R455" s="12">
        <f t="shared" si="11"/>
        <v>9876.36</v>
      </c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</row>
    <row r="456">
      <c r="A456" s="100" t="s">
        <v>1103</v>
      </c>
      <c r="B456" s="86" t="s">
        <v>2933</v>
      </c>
      <c r="C456" s="8"/>
      <c r="D456" s="86" t="s">
        <v>75</v>
      </c>
      <c r="E456" s="86" t="s">
        <v>2132</v>
      </c>
      <c r="F456" s="86" t="s">
        <v>2934</v>
      </c>
      <c r="G456" s="8"/>
      <c r="H456" s="8"/>
      <c r="I456" s="21"/>
      <c r="J456" s="165" t="s">
        <v>2906</v>
      </c>
      <c r="K456" s="86" t="s">
        <v>78</v>
      </c>
      <c r="L456" s="202" t="s">
        <v>49</v>
      </c>
      <c r="M456" s="86" t="s">
        <v>71</v>
      </c>
      <c r="N456" s="86" t="s">
        <v>28</v>
      </c>
      <c r="O456" s="203">
        <v>5172.0</v>
      </c>
      <c r="P456" s="203">
        <v>5834.0</v>
      </c>
      <c r="Q456" s="5">
        <v>59.0</v>
      </c>
      <c r="R456" s="12">
        <f t="shared" si="11"/>
        <v>3051.48</v>
      </c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</row>
    <row r="457">
      <c r="A457" s="105">
        <v>46359.0</v>
      </c>
      <c r="B457" s="64" t="s">
        <v>2935</v>
      </c>
      <c r="C457" s="64" t="s">
        <v>2936</v>
      </c>
      <c r="D457" s="108" t="s">
        <v>21</v>
      </c>
      <c r="E457" s="64" t="s">
        <v>2937</v>
      </c>
      <c r="F457" s="64" t="s">
        <v>2938</v>
      </c>
      <c r="G457" s="108" t="s">
        <v>2939</v>
      </c>
      <c r="H457" s="108"/>
      <c r="I457" s="109">
        <v>35000.0</v>
      </c>
      <c r="J457" s="204">
        <v>46298.0</v>
      </c>
      <c r="K457" s="108" t="s">
        <v>353</v>
      </c>
      <c r="L457" s="175" t="s">
        <v>49</v>
      </c>
      <c r="M457" s="108" t="s">
        <v>1697</v>
      </c>
      <c r="N457" s="108" t="s">
        <v>28</v>
      </c>
      <c r="O457" s="112">
        <v>80755.0</v>
      </c>
      <c r="P457" s="112">
        <v>92654.0</v>
      </c>
      <c r="Q457" s="5">
        <v>28.0</v>
      </c>
      <c r="R457" s="12">
        <f t="shared" si="11"/>
        <v>22611.4</v>
      </c>
    </row>
    <row r="458">
      <c r="A458" s="107" t="s">
        <v>2569</v>
      </c>
      <c r="B458" s="64" t="s">
        <v>2940</v>
      </c>
      <c r="C458" s="64" t="s">
        <v>2941</v>
      </c>
      <c r="D458" s="108" t="s">
        <v>21</v>
      </c>
      <c r="E458" s="64" t="s">
        <v>2942</v>
      </c>
      <c r="F458" s="64" t="s">
        <v>2943</v>
      </c>
      <c r="G458" s="114">
        <v>9.727450222E9</v>
      </c>
      <c r="H458" s="108"/>
      <c r="I458" s="109">
        <v>28000.0</v>
      </c>
      <c r="J458" s="109" t="s">
        <v>2561</v>
      </c>
      <c r="K458" s="108" t="s">
        <v>353</v>
      </c>
      <c r="L458" s="167" t="s">
        <v>49</v>
      </c>
      <c r="M458" s="108" t="s">
        <v>71</v>
      </c>
      <c r="N458" s="108" t="s">
        <v>28</v>
      </c>
      <c r="O458" s="112">
        <v>46842.0</v>
      </c>
      <c r="P458" s="112">
        <v>52637.0</v>
      </c>
      <c r="Q458" s="5">
        <v>28.0</v>
      </c>
      <c r="R458" s="12">
        <f t="shared" si="11"/>
        <v>13115.76</v>
      </c>
    </row>
    <row r="459">
      <c r="A459" s="126"/>
      <c r="E459" s="126"/>
      <c r="L459" s="126"/>
    </row>
    <row r="460">
      <c r="A460" s="126"/>
      <c r="E460" s="126"/>
      <c r="L460" s="126"/>
    </row>
    <row r="461">
      <c r="A461" s="21" t="s">
        <v>1108</v>
      </c>
      <c r="B461" s="58" t="s">
        <v>2944</v>
      </c>
      <c r="C461" s="58" t="s">
        <v>2945</v>
      </c>
      <c r="D461" s="8" t="s">
        <v>1395</v>
      </c>
      <c r="E461" s="58" t="s">
        <v>2946</v>
      </c>
      <c r="F461" s="58" t="s">
        <v>2947</v>
      </c>
      <c r="G461" s="21" t="s">
        <v>2948</v>
      </c>
      <c r="H461" s="8"/>
      <c r="I461" s="88">
        <v>2450.0</v>
      </c>
      <c r="J461" s="58" t="s">
        <v>2949</v>
      </c>
      <c r="K461" s="8" t="s">
        <v>65</v>
      </c>
      <c r="L461" s="197" t="s">
        <v>26</v>
      </c>
      <c r="M461" s="8" t="s">
        <v>340</v>
      </c>
      <c r="N461" s="8" t="s">
        <v>28</v>
      </c>
      <c r="O461" s="88">
        <v>16049.0</v>
      </c>
      <c r="P461" s="88">
        <v>17975.0</v>
      </c>
      <c r="Q461" s="6">
        <v>57.0</v>
      </c>
      <c r="R461" s="12">
        <f t="shared" ref="R461:R500" si="12">O461*Q461%</f>
        <v>9147.93</v>
      </c>
    </row>
    <row r="462">
      <c r="A462" s="21" t="s">
        <v>1108</v>
      </c>
      <c r="B462" s="58" t="s">
        <v>2950</v>
      </c>
      <c r="C462" s="58" t="s">
        <v>2951</v>
      </c>
      <c r="D462" s="8" t="s">
        <v>1395</v>
      </c>
      <c r="E462" s="58" t="s">
        <v>2952</v>
      </c>
      <c r="F462" s="58" t="s">
        <v>2953</v>
      </c>
      <c r="G462" s="8"/>
      <c r="H462" s="8"/>
      <c r="I462" s="88">
        <v>2120.0</v>
      </c>
      <c r="J462" s="8" t="s">
        <v>2954</v>
      </c>
      <c r="K462" s="8" t="s">
        <v>70</v>
      </c>
      <c r="L462" s="197" t="s">
        <v>49</v>
      </c>
      <c r="M462" s="8" t="s">
        <v>27</v>
      </c>
      <c r="N462" s="8" t="s">
        <v>28</v>
      </c>
      <c r="O462" s="90">
        <v>18509.0</v>
      </c>
      <c r="P462" s="90">
        <v>20878.0</v>
      </c>
      <c r="Q462" s="6">
        <v>60.0</v>
      </c>
      <c r="R462" s="12">
        <f t="shared" si="12"/>
        <v>11105.4</v>
      </c>
    </row>
    <row r="463">
      <c r="A463" s="21" t="s">
        <v>1120</v>
      </c>
      <c r="B463" s="58" t="s">
        <v>2955</v>
      </c>
      <c r="C463" s="58" t="s">
        <v>2956</v>
      </c>
      <c r="D463" s="8" t="s">
        <v>1395</v>
      </c>
      <c r="E463" s="58" t="s">
        <v>2957</v>
      </c>
      <c r="F463" s="8" t="s">
        <v>2958</v>
      </c>
      <c r="G463" s="8"/>
      <c r="H463" s="8"/>
      <c r="I463" s="88">
        <v>2620.0</v>
      </c>
      <c r="J463" s="58" t="s">
        <v>2954</v>
      </c>
      <c r="K463" s="8" t="s">
        <v>668</v>
      </c>
      <c r="L463" s="197" t="s">
        <v>49</v>
      </c>
      <c r="M463" s="58" t="s">
        <v>1477</v>
      </c>
      <c r="N463" s="8" t="s">
        <v>28</v>
      </c>
      <c r="O463" s="88">
        <v>18489.0</v>
      </c>
      <c r="P463" s="88">
        <v>20855.0</v>
      </c>
      <c r="Q463" s="6">
        <v>53.0</v>
      </c>
      <c r="R463" s="12">
        <f t="shared" si="12"/>
        <v>9799.17</v>
      </c>
    </row>
    <row r="464">
      <c r="A464" s="21" t="s">
        <v>1120</v>
      </c>
      <c r="B464" s="58" t="s">
        <v>2959</v>
      </c>
      <c r="C464" s="58" t="s">
        <v>2960</v>
      </c>
      <c r="D464" s="8" t="s">
        <v>21</v>
      </c>
      <c r="E464" s="88">
        <v>2516.0</v>
      </c>
      <c r="F464" s="58" t="s">
        <v>2961</v>
      </c>
      <c r="G464" s="8"/>
      <c r="H464" s="8"/>
      <c r="I464" s="88">
        <v>28000.0</v>
      </c>
      <c r="J464" s="58" t="s">
        <v>1211</v>
      </c>
      <c r="K464" s="8" t="s">
        <v>78</v>
      </c>
      <c r="L464" s="197" t="s">
        <v>49</v>
      </c>
      <c r="M464" s="205" t="s">
        <v>71</v>
      </c>
      <c r="N464" s="8" t="s">
        <v>28</v>
      </c>
      <c r="O464" s="90">
        <v>46082.06</v>
      </c>
      <c r="P464" s="90">
        <v>51740.0</v>
      </c>
      <c r="Q464" s="6">
        <v>28.0</v>
      </c>
      <c r="R464" s="12">
        <f t="shared" si="12"/>
        <v>12902.9768</v>
      </c>
    </row>
    <row r="465">
      <c r="A465" s="21" t="s">
        <v>1120</v>
      </c>
      <c r="B465" s="58" t="s">
        <v>2962</v>
      </c>
      <c r="C465" s="58" t="s">
        <v>2963</v>
      </c>
      <c r="D465" s="8" t="s">
        <v>1395</v>
      </c>
      <c r="E465" s="58" t="s">
        <v>2116</v>
      </c>
      <c r="F465" s="58" t="s">
        <v>2964</v>
      </c>
      <c r="G465" s="8"/>
      <c r="H465" s="8"/>
      <c r="I465" s="88">
        <v>1600.0</v>
      </c>
      <c r="J465" s="58" t="s">
        <v>1108</v>
      </c>
      <c r="K465" s="8" t="s">
        <v>1424</v>
      </c>
      <c r="L465" s="197" t="s">
        <v>49</v>
      </c>
      <c r="M465" s="8" t="s">
        <v>71</v>
      </c>
      <c r="N465" s="8" t="s">
        <v>28</v>
      </c>
      <c r="O465" s="88">
        <v>20242.0</v>
      </c>
      <c r="P465" s="88">
        <v>22923.0</v>
      </c>
      <c r="Q465" s="6">
        <v>52.0</v>
      </c>
      <c r="R465" s="12">
        <f t="shared" si="12"/>
        <v>10525.84</v>
      </c>
    </row>
    <row r="466">
      <c r="A466" s="21" t="s">
        <v>1120</v>
      </c>
      <c r="B466" s="58" t="s">
        <v>1129</v>
      </c>
      <c r="C466" s="58" t="s">
        <v>2965</v>
      </c>
      <c r="D466" s="8" t="s">
        <v>1395</v>
      </c>
      <c r="E466" s="58" t="s">
        <v>1131</v>
      </c>
      <c r="F466" s="58" t="s">
        <v>1132</v>
      </c>
      <c r="G466" s="8"/>
      <c r="H466" s="8"/>
      <c r="I466" s="88">
        <v>2735.0</v>
      </c>
      <c r="J466" s="8" t="s">
        <v>1120</v>
      </c>
      <c r="K466" s="8" t="s">
        <v>116</v>
      </c>
      <c r="L466" s="197" t="s">
        <v>49</v>
      </c>
      <c r="M466" s="8" t="s">
        <v>27</v>
      </c>
      <c r="N466" s="8" t="s">
        <v>28</v>
      </c>
      <c r="O466" s="90">
        <v>20018.0</v>
      </c>
      <c r="P466" s="90">
        <v>22652.0</v>
      </c>
      <c r="Q466" s="6">
        <v>48.0</v>
      </c>
      <c r="R466" s="12">
        <f t="shared" si="12"/>
        <v>9608.64</v>
      </c>
    </row>
    <row r="467">
      <c r="A467" s="21" t="s">
        <v>909</v>
      </c>
      <c r="B467" s="58" t="s">
        <v>2966</v>
      </c>
      <c r="C467" s="58" t="s">
        <v>2967</v>
      </c>
      <c r="D467" s="8" t="s">
        <v>1395</v>
      </c>
      <c r="E467" s="58" t="s">
        <v>528</v>
      </c>
      <c r="F467" s="58" t="s">
        <v>2968</v>
      </c>
      <c r="G467" s="8"/>
      <c r="H467" s="8"/>
      <c r="I467" s="88">
        <v>2750.0</v>
      </c>
      <c r="J467" s="58" t="s">
        <v>2969</v>
      </c>
      <c r="K467" s="8" t="s">
        <v>65</v>
      </c>
      <c r="L467" s="197" t="s">
        <v>26</v>
      </c>
      <c r="M467" s="8" t="s">
        <v>1477</v>
      </c>
      <c r="N467" s="8" t="s">
        <v>28</v>
      </c>
      <c r="O467" s="88">
        <v>16099.0</v>
      </c>
      <c r="P467" s="88">
        <v>18034.0</v>
      </c>
      <c r="Q467" s="6">
        <v>57.0</v>
      </c>
      <c r="R467" s="12">
        <f t="shared" si="12"/>
        <v>9176.43</v>
      </c>
    </row>
    <row r="468">
      <c r="A468" s="21" t="s">
        <v>909</v>
      </c>
      <c r="B468" s="58" t="s">
        <v>2970</v>
      </c>
      <c r="C468" s="58" t="s">
        <v>2971</v>
      </c>
      <c r="D468" s="8" t="s">
        <v>21</v>
      </c>
      <c r="E468" s="58" t="s">
        <v>2972</v>
      </c>
      <c r="F468" s="58" t="s">
        <v>2973</v>
      </c>
      <c r="G468" s="8"/>
      <c r="H468" s="8"/>
      <c r="I468" s="88">
        <v>28000.0</v>
      </c>
      <c r="J468" s="8" t="s">
        <v>909</v>
      </c>
      <c r="K468" s="8" t="s">
        <v>353</v>
      </c>
      <c r="L468" s="197" t="s">
        <v>49</v>
      </c>
      <c r="M468" s="8" t="s">
        <v>1477</v>
      </c>
      <c r="N468" s="8" t="s">
        <v>28</v>
      </c>
      <c r="O468" s="90">
        <v>47464.0</v>
      </c>
      <c r="P468" s="90">
        <v>53371.0</v>
      </c>
      <c r="Q468" s="6">
        <v>28.0</v>
      </c>
      <c r="R468" s="12">
        <f t="shared" si="12"/>
        <v>13289.92</v>
      </c>
    </row>
    <row r="469">
      <c r="A469" s="21" t="s">
        <v>909</v>
      </c>
      <c r="B469" s="58" t="s">
        <v>2974</v>
      </c>
      <c r="C469" s="58" t="s">
        <v>2975</v>
      </c>
      <c r="D469" s="8" t="s">
        <v>1405</v>
      </c>
      <c r="E469" s="58" t="s">
        <v>1841</v>
      </c>
      <c r="F469" s="58" t="s">
        <v>2976</v>
      </c>
      <c r="G469" s="21" t="s">
        <v>2977</v>
      </c>
      <c r="H469" s="8"/>
      <c r="I469" s="88">
        <v>995.0</v>
      </c>
      <c r="J469" s="8" t="s">
        <v>909</v>
      </c>
      <c r="K469" s="8" t="s">
        <v>78</v>
      </c>
      <c r="L469" s="197" t="s">
        <v>49</v>
      </c>
      <c r="M469" s="8" t="s">
        <v>365</v>
      </c>
      <c r="N469" s="8" t="s">
        <v>28</v>
      </c>
      <c r="O469" s="90">
        <v>5362.44</v>
      </c>
      <c r="P469" s="90">
        <v>6058.0</v>
      </c>
      <c r="Q469" s="6">
        <v>59.0</v>
      </c>
      <c r="R469" s="12">
        <f t="shared" si="12"/>
        <v>3163.8396</v>
      </c>
    </row>
    <row r="470">
      <c r="A470" s="21" t="s">
        <v>909</v>
      </c>
      <c r="B470" s="58" t="s">
        <v>2978</v>
      </c>
      <c r="C470" s="58" t="s">
        <v>2979</v>
      </c>
      <c r="D470" s="206" t="s">
        <v>1405</v>
      </c>
      <c r="E470" s="58" t="s">
        <v>1816</v>
      </c>
      <c r="F470" s="58" t="s">
        <v>2980</v>
      </c>
      <c r="G470" s="21" t="s">
        <v>2981</v>
      </c>
      <c r="H470" s="8"/>
      <c r="I470" s="88">
        <v>995.0</v>
      </c>
      <c r="J470" s="58" t="s">
        <v>1120</v>
      </c>
      <c r="K470" s="8" t="s">
        <v>78</v>
      </c>
      <c r="L470" s="197" t="s">
        <v>49</v>
      </c>
      <c r="M470" s="8" t="s">
        <v>1460</v>
      </c>
      <c r="N470" s="8" t="s">
        <v>28</v>
      </c>
      <c r="O470" s="90">
        <v>5421.84</v>
      </c>
      <c r="P470" s="90">
        <v>6128.0</v>
      </c>
      <c r="Q470" s="6">
        <v>59.0</v>
      </c>
      <c r="R470" s="12">
        <f t="shared" si="12"/>
        <v>3198.8856</v>
      </c>
    </row>
    <row r="471">
      <c r="A471" s="21" t="s">
        <v>909</v>
      </c>
      <c r="B471" s="58" t="s">
        <v>2982</v>
      </c>
      <c r="C471" s="58" t="s">
        <v>2983</v>
      </c>
      <c r="D471" s="8" t="s">
        <v>21</v>
      </c>
      <c r="E471" s="58" t="s">
        <v>2984</v>
      </c>
      <c r="F471" s="58" t="s">
        <v>2985</v>
      </c>
      <c r="G471" s="8"/>
      <c r="H471" s="8"/>
      <c r="I471" s="88">
        <v>35000.0</v>
      </c>
      <c r="J471" s="58" t="s">
        <v>1120</v>
      </c>
      <c r="K471" s="8" t="s">
        <v>353</v>
      </c>
      <c r="L471" s="197" t="s">
        <v>49</v>
      </c>
      <c r="M471" s="8" t="s">
        <v>71</v>
      </c>
      <c r="N471" s="8" t="s">
        <v>28</v>
      </c>
      <c r="O471" s="90">
        <v>78412.0</v>
      </c>
      <c r="P471" s="90">
        <v>89889.0</v>
      </c>
      <c r="Q471" s="6">
        <v>28.0</v>
      </c>
      <c r="R471" s="12">
        <f t="shared" si="12"/>
        <v>21955.36</v>
      </c>
    </row>
    <row r="472">
      <c r="A472" s="21" t="s">
        <v>909</v>
      </c>
      <c r="B472" s="58" t="s">
        <v>2986</v>
      </c>
      <c r="C472" s="58" t="s">
        <v>2987</v>
      </c>
      <c r="D472" s="8" t="s">
        <v>21</v>
      </c>
      <c r="E472" s="58" t="s">
        <v>2988</v>
      </c>
      <c r="F472" s="58" t="s">
        <v>2989</v>
      </c>
      <c r="G472" s="21" t="s">
        <v>2990</v>
      </c>
      <c r="H472" s="8"/>
      <c r="I472" s="88">
        <v>7490.0</v>
      </c>
      <c r="J472" s="58" t="s">
        <v>1120</v>
      </c>
      <c r="K472" s="58" t="s">
        <v>41</v>
      </c>
      <c r="L472" s="197" t="s">
        <v>26</v>
      </c>
      <c r="M472" s="8" t="s">
        <v>185</v>
      </c>
      <c r="N472" s="8" t="s">
        <v>28</v>
      </c>
      <c r="O472" s="90">
        <v>16199.0</v>
      </c>
      <c r="P472" s="90">
        <v>18152.0</v>
      </c>
      <c r="Q472" s="6">
        <v>52.0</v>
      </c>
      <c r="R472" s="12">
        <f t="shared" si="12"/>
        <v>8423.48</v>
      </c>
    </row>
    <row r="473">
      <c r="A473" s="21" t="s">
        <v>909</v>
      </c>
      <c r="B473" s="58" t="s">
        <v>2991</v>
      </c>
      <c r="C473" s="58" t="s">
        <v>2992</v>
      </c>
      <c r="D473" s="8" t="s">
        <v>1395</v>
      </c>
      <c r="E473" s="58" t="s">
        <v>2151</v>
      </c>
      <c r="F473" s="58" t="s">
        <v>2993</v>
      </c>
      <c r="G473" s="8"/>
      <c r="H473" s="8"/>
      <c r="I473" s="88">
        <v>2750.0</v>
      </c>
      <c r="J473" s="58" t="s">
        <v>909</v>
      </c>
      <c r="K473" s="8" t="s">
        <v>668</v>
      </c>
      <c r="L473" s="197" t="s">
        <v>49</v>
      </c>
      <c r="M473" s="8" t="s">
        <v>71</v>
      </c>
      <c r="N473" s="8" t="s">
        <v>28</v>
      </c>
      <c r="O473" s="88">
        <v>16968.0</v>
      </c>
      <c r="P473" s="88">
        <v>19060.0</v>
      </c>
      <c r="Q473" s="6">
        <v>53.0</v>
      </c>
      <c r="R473" s="12">
        <f t="shared" si="12"/>
        <v>8993.04</v>
      </c>
    </row>
    <row r="474">
      <c r="A474" s="21" t="s">
        <v>909</v>
      </c>
      <c r="B474" s="58" t="s">
        <v>2994</v>
      </c>
      <c r="C474" s="58" t="s">
        <v>2995</v>
      </c>
      <c r="D474" s="8" t="s">
        <v>1395</v>
      </c>
      <c r="E474" s="58" t="s">
        <v>524</v>
      </c>
      <c r="F474" s="58" t="s">
        <v>2996</v>
      </c>
      <c r="G474" s="8"/>
      <c r="H474" s="8"/>
      <c r="I474" s="88">
        <v>3490.0</v>
      </c>
      <c r="J474" s="58" t="s">
        <v>1108</v>
      </c>
      <c r="K474" s="8" t="s">
        <v>116</v>
      </c>
      <c r="L474" s="197" t="s">
        <v>49</v>
      </c>
      <c r="M474" s="8" t="s">
        <v>71</v>
      </c>
      <c r="N474" s="8" t="s">
        <v>28</v>
      </c>
      <c r="O474" s="207">
        <v>18460.0</v>
      </c>
      <c r="P474" s="90">
        <v>20814.0</v>
      </c>
      <c r="Q474" s="6">
        <v>48.0</v>
      </c>
      <c r="R474" s="12">
        <f t="shared" si="12"/>
        <v>8860.8</v>
      </c>
    </row>
    <row r="475">
      <c r="A475" s="21" t="s">
        <v>909</v>
      </c>
      <c r="B475" s="58" t="s">
        <v>2931</v>
      </c>
      <c r="C475" s="58" t="s">
        <v>2997</v>
      </c>
      <c r="D475" s="8" t="s">
        <v>21</v>
      </c>
      <c r="E475" s="58" t="s">
        <v>1751</v>
      </c>
      <c r="F475" s="58" t="s">
        <v>2998</v>
      </c>
      <c r="G475" s="8"/>
      <c r="H475" s="8"/>
      <c r="I475" s="88">
        <v>15800.0</v>
      </c>
      <c r="J475" s="58" t="s">
        <v>1103</v>
      </c>
      <c r="K475" s="206" t="s">
        <v>78</v>
      </c>
      <c r="L475" s="197" t="s">
        <v>49</v>
      </c>
      <c r="M475" s="8" t="s">
        <v>71</v>
      </c>
      <c r="N475" s="8" t="s">
        <v>28</v>
      </c>
      <c r="O475" s="90">
        <v>57194.47</v>
      </c>
      <c r="P475" s="90">
        <v>60558.0</v>
      </c>
      <c r="Q475" s="6">
        <v>26.0</v>
      </c>
      <c r="R475" s="12">
        <f t="shared" si="12"/>
        <v>14870.5622</v>
      </c>
    </row>
    <row r="476">
      <c r="A476" s="21" t="s">
        <v>909</v>
      </c>
      <c r="B476" s="58" t="s">
        <v>2999</v>
      </c>
      <c r="C476" s="58" t="s">
        <v>3000</v>
      </c>
      <c r="D476" s="8" t="s">
        <v>21</v>
      </c>
      <c r="E476" s="58" t="s">
        <v>351</v>
      </c>
      <c r="F476" s="58" t="s">
        <v>1136</v>
      </c>
      <c r="G476" s="21" t="s">
        <v>3001</v>
      </c>
      <c r="H476" s="8"/>
      <c r="I476" s="88">
        <v>11990.0</v>
      </c>
      <c r="J476" s="58" t="s">
        <v>1120</v>
      </c>
      <c r="K476" s="8" t="s">
        <v>353</v>
      </c>
      <c r="L476" s="197" t="s">
        <v>49</v>
      </c>
      <c r="M476" s="8" t="s">
        <v>365</v>
      </c>
      <c r="N476" s="8" t="s">
        <v>28</v>
      </c>
      <c r="O476" s="90">
        <v>33985.0</v>
      </c>
      <c r="P476" s="90">
        <v>38471.0</v>
      </c>
      <c r="Q476" s="6">
        <v>26.0</v>
      </c>
      <c r="R476" s="12">
        <f t="shared" si="12"/>
        <v>8836.1</v>
      </c>
    </row>
    <row r="477">
      <c r="A477" s="21" t="s">
        <v>3002</v>
      </c>
      <c r="B477" s="58" t="s">
        <v>3003</v>
      </c>
      <c r="C477" s="58" t="s">
        <v>3004</v>
      </c>
      <c r="D477" s="8" t="s">
        <v>1405</v>
      </c>
      <c r="E477" s="58" t="s">
        <v>1849</v>
      </c>
      <c r="F477" s="58" t="s">
        <v>3005</v>
      </c>
      <c r="G477" s="21" t="s">
        <v>3006</v>
      </c>
      <c r="H477" s="8" t="s">
        <v>3007</v>
      </c>
      <c r="I477" s="88">
        <v>990.0</v>
      </c>
      <c r="J477" s="8" t="s">
        <v>909</v>
      </c>
      <c r="K477" s="8" t="s">
        <v>78</v>
      </c>
      <c r="L477" s="197" t="s">
        <v>49</v>
      </c>
      <c r="M477" s="8" t="s">
        <v>1460</v>
      </c>
      <c r="N477" s="8" t="s">
        <v>28</v>
      </c>
      <c r="O477" s="90">
        <v>5552.54</v>
      </c>
      <c r="P477" s="90">
        <v>6282.0</v>
      </c>
      <c r="Q477" s="6">
        <v>59.0</v>
      </c>
      <c r="R477" s="12">
        <f t="shared" si="12"/>
        <v>3275.9986</v>
      </c>
    </row>
    <row r="478">
      <c r="A478" s="21" t="s">
        <v>3002</v>
      </c>
      <c r="B478" s="58" t="s">
        <v>3008</v>
      </c>
      <c r="C478" s="58" t="s">
        <v>3009</v>
      </c>
      <c r="D478" s="8" t="s">
        <v>21</v>
      </c>
      <c r="E478" s="58" t="s">
        <v>3010</v>
      </c>
      <c r="F478" s="58" t="s">
        <v>3011</v>
      </c>
      <c r="G478" s="8"/>
      <c r="H478" s="8"/>
      <c r="I478" s="88">
        <v>35000.0</v>
      </c>
      <c r="J478" s="58" t="s">
        <v>1120</v>
      </c>
      <c r="K478" s="8" t="s">
        <v>116</v>
      </c>
      <c r="L478" s="197" t="s">
        <v>49</v>
      </c>
      <c r="M478" s="8" t="s">
        <v>27</v>
      </c>
      <c r="N478" s="8" t="s">
        <v>28</v>
      </c>
      <c r="O478" s="90">
        <v>59329.0</v>
      </c>
      <c r="P478" s="90">
        <v>67367.0</v>
      </c>
      <c r="Q478" s="6">
        <v>22.0</v>
      </c>
      <c r="R478" s="12">
        <f t="shared" si="12"/>
        <v>13052.38</v>
      </c>
    </row>
    <row r="479">
      <c r="A479" s="21" t="s">
        <v>3002</v>
      </c>
      <c r="B479" s="58" t="s">
        <v>3012</v>
      </c>
      <c r="C479" s="58" t="s">
        <v>3013</v>
      </c>
      <c r="D479" s="8" t="s">
        <v>533</v>
      </c>
      <c r="E479" s="58" t="s">
        <v>2701</v>
      </c>
      <c r="F479" s="58" t="s">
        <v>110</v>
      </c>
      <c r="G479" s="21" t="s">
        <v>3014</v>
      </c>
      <c r="H479" s="8"/>
      <c r="I479" s="21">
        <v>0.0</v>
      </c>
      <c r="J479" s="58" t="s">
        <v>1120</v>
      </c>
      <c r="K479" s="8" t="s">
        <v>116</v>
      </c>
      <c r="L479" s="197" t="s">
        <v>26</v>
      </c>
      <c r="M479" s="8" t="s">
        <v>389</v>
      </c>
      <c r="N479" s="8" t="s">
        <v>28</v>
      </c>
      <c r="O479" s="90">
        <v>7317.0</v>
      </c>
      <c r="P479" s="90">
        <v>8634.0</v>
      </c>
      <c r="Q479" s="6">
        <v>27.0</v>
      </c>
      <c r="R479" s="12">
        <f t="shared" si="12"/>
        <v>1975.59</v>
      </c>
    </row>
    <row r="480">
      <c r="A480" s="21" t="s">
        <v>3002</v>
      </c>
      <c r="B480" s="8" t="s">
        <v>3015</v>
      </c>
      <c r="C480" s="8" t="s">
        <v>3016</v>
      </c>
      <c r="D480" s="8" t="s">
        <v>21</v>
      </c>
      <c r="E480" s="8" t="s">
        <v>3017</v>
      </c>
      <c r="F480" s="8" t="s">
        <v>3018</v>
      </c>
      <c r="G480" s="8"/>
      <c r="H480" s="8"/>
      <c r="I480" s="21">
        <v>35000.0</v>
      </c>
      <c r="J480" s="8" t="s">
        <v>1120</v>
      </c>
      <c r="K480" s="8" t="s">
        <v>353</v>
      </c>
      <c r="L480" s="197" t="s">
        <v>49</v>
      </c>
      <c r="M480" s="8" t="s">
        <v>71</v>
      </c>
      <c r="N480" s="8" t="s">
        <v>28</v>
      </c>
      <c r="O480" s="21">
        <v>48537.0</v>
      </c>
      <c r="P480" s="21">
        <v>54637.0</v>
      </c>
      <c r="Q480" s="6">
        <v>28.0</v>
      </c>
      <c r="R480" s="12">
        <f t="shared" si="12"/>
        <v>13590.36</v>
      </c>
    </row>
    <row r="481">
      <c r="A481" s="21" t="s">
        <v>3002</v>
      </c>
      <c r="B481" s="58" t="s">
        <v>3019</v>
      </c>
      <c r="C481" s="58" t="s">
        <v>3020</v>
      </c>
      <c r="D481" s="8" t="s">
        <v>1395</v>
      </c>
      <c r="E481" s="58" t="s">
        <v>3021</v>
      </c>
      <c r="F481" s="58" t="s">
        <v>3022</v>
      </c>
      <c r="G481" s="21" t="s">
        <v>3023</v>
      </c>
      <c r="H481" s="8"/>
      <c r="I481" s="88">
        <v>2500.0</v>
      </c>
      <c r="J481" s="8" t="s">
        <v>909</v>
      </c>
      <c r="K481" s="8" t="s">
        <v>70</v>
      </c>
      <c r="L481" s="197" t="s">
        <v>49</v>
      </c>
      <c r="M481" s="8" t="s">
        <v>185</v>
      </c>
      <c r="N481" s="8" t="s">
        <v>28</v>
      </c>
      <c r="O481" s="90">
        <v>17424.0</v>
      </c>
      <c r="P481" s="90">
        <v>19597.0</v>
      </c>
      <c r="Q481" s="6">
        <v>60.0</v>
      </c>
      <c r="R481" s="12">
        <f t="shared" si="12"/>
        <v>10454.4</v>
      </c>
    </row>
    <row r="482">
      <c r="A482" s="21" t="s">
        <v>3002</v>
      </c>
      <c r="B482" s="58" t="s">
        <v>3024</v>
      </c>
      <c r="C482" s="58" t="s">
        <v>3025</v>
      </c>
      <c r="D482" s="8" t="s">
        <v>21</v>
      </c>
      <c r="E482" s="58" t="s">
        <v>762</v>
      </c>
      <c r="F482" s="58" t="s">
        <v>3026</v>
      </c>
      <c r="G482" s="8"/>
      <c r="H482" s="8"/>
      <c r="I482" s="88">
        <v>42000.0</v>
      </c>
      <c r="J482" s="8" t="s">
        <v>3027</v>
      </c>
      <c r="K482" s="8" t="s">
        <v>70</v>
      </c>
      <c r="L482" s="197" t="s">
        <v>49</v>
      </c>
      <c r="M482" s="8" t="s">
        <v>3028</v>
      </c>
      <c r="N482" s="8" t="s">
        <v>28</v>
      </c>
      <c r="O482" s="90">
        <v>49816.0</v>
      </c>
      <c r="P482" s="90">
        <v>56128.0</v>
      </c>
      <c r="Q482" s="6">
        <v>26.0</v>
      </c>
      <c r="R482" s="12">
        <f t="shared" si="12"/>
        <v>12952.16</v>
      </c>
    </row>
    <row r="483">
      <c r="A483" s="21" t="s">
        <v>3002</v>
      </c>
      <c r="B483" s="58" t="s">
        <v>3029</v>
      </c>
      <c r="C483" s="58" t="s">
        <v>3030</v>
      </c>
      <c r="D483" s="8" t="s">
        <v>21</v>
      </c>
      <c r="E483" s="58" t="s">
        <v>133</v>
      </c>
      <c r="F483" s="58" t="s">
        <v>3031</v>
      </c>
      <c r="G483" s="8"/>
      <c r="H483" s="8"/>
      <c r="I483" s="88">
        <v>42000.0</v>
      </c>
      <c r="J483" s="8" t="s">
        <v>3002</v>
      </c>
      <c r="K483" s="8" t="s">
        <v>70</v>
      </c>
      <c r="L483" s="197" t="s">
        <v>49</v>
      </c>
      <c r="M483" s="8" t="s">
        <v>71</v>
      </c>
      <c r="N483" s="8" t="s">
        <v>28</v>
      </c>
      <c r="O483" s="90">
        <v>52168.0</v>
      </c>
      <c r="P483" s="90">
        <v>58904.0</v>
      </c>
      <c r="Q483" s="6">
        <v>26.0</v>
      </c>
      <c r="R483" s="12">
        <f t="shared" si="12"/>
        <v>13563.68</v>
      </c>
    </row>
    <row r="484">
      <c r="A484" s="21" t="s">
        <v>3032</v>
      </c>
      <c r="B484" s="58" t="s">
        <v>3033</v>
      </c>
      <c r="C484" s="58" t="s">
        <v>3034</v>
      </c>
      <c r="D484" s="86" t="s">
        <v>3035</v>
      </c>
      <c r="E484" s="58" t="s">
        <v>3036</v>
      </c>
      <c r="F484" s="58" t="s">
        <v>3037</v>
      </c>
      <c r="G484" s="8"/>
      <c r="H484" s="8"/>
      <c r="I484" s="88">
        <v>3308.0</v>
      </c>
      <c r="J484" s="58" t="s">
        <v>3002</v>
      </c>
      <c r="K484" s="8" t="s">
        <v>78</v>
      </c>
      <c r="L484" s="197" t="s">
        <v>26</v>
      </c>
      <c r="M484" s="8" t="s">
        <v>27</v>
      </c>
      <c r="N484" s="8" t="s">
        <v>28</v>
      </c>
      <c r="O484" s="90">
        <v>7317.0</v>
      </c>
      <c r="P484" s="90">
        <v>8634.0</v>
      </c>
      <c r="Q484" s="6">
        <v>58.0</v>
      </c>
      <c r="R484" s="12">
        <f t="shared" si="12"/>
        <v>4243.86</v>
      </c>
    </row>
    <row r="485">
      <c r="A485" s="21" t="s">
        <v>3032</v>
      </c>
      <c r="B485" s="58" t="s">
        <v>3038</v>
      </c>
      <c r="C485" s="58" t="s">
        <v>3039</v>
      </c>
      <c r="D485" s="8" t="s">
        <v>21</v>
      </c>
      <c r="E485" s="58" t="s">
        <v>2268</v>
      </c>
      <c r="F485" s="58" t="s">
        <v>3040</v>
      </c>
      <c r="G485" s="21" t="s">
        <v>3041</v>
      </c>
      <c r="H485" s="8"/>
      <c r="I485" s="88">
        <v>28000.0</v>
      </c>
      <c r="J485" s="58" t="s">
        <v>3002</v>
      </c>
      <c r="K485" s="8" t="s">
        <v>353</v>
      </c>
      <c r="L485" s="197" t="s">
        <v>49</v>
      </c>
      <c r="M485" s="8" t="s">
        <v>3028</v>
      </c>
      <c r="N485" s="8" t="s">
        <v>28</v>
      </c>
      <c r="O485" s="90">
        <v>45464.0</v>
      </c>
      <c r="P485" s="90">
        <v>51011.0</v>
      </c>
      <c r="Q485" s="6">
        <v>28.0</v>
      </c>
      <c r="R485" s="12">
        <f t="shared" si="12"/>
        <v>12729.92</v>
      </c>
    </row>
    <row r="486">
      <c r="A486" s="21" t="s">
        <v>3032</v>
      </c>
      <c r="B486" s="58" t="s">
        <v>3042</v>
      </c>
      <c r="C486" s="58" t="s">
        <v>3043</v>
      </c>
      <c r="D486" s="8" t="s">
        <v>1405</v>
      </c>
      <c r="E486" s="58" t="s">
        <v>1849</v>
      </c>
      <c r="F486" s="58" t="s">
        <v>3044</v>
      </c>
      <c r="G486" s="21" t="s">
        <v>3045</v>
      </c>
      <c r="H486" s="8"/>
      <c r="I486" s="88">
        <v>990.0</v>
      </c>
      <c r="J486" s="58" t="s">
        <v>3002</v>
      </c>
      <c r="K486" s="8" t="s">
        <v>78</v>
      </c>
      <c r="L486" s="197" t="s">
        <v>49</v>
      </c>
      <c r="M486" s="8" t="s">
        <v>365</v>
      </c>
      <c r="N486" s="8" t="s">
        <v>28</v>
      </c>
      <c r="O486" s="90">
        <v>5602.54</v>
      </c>
      <c r="P486" s="90">
        <v>6341.0</v>
      </c>
      <c r="Q486" s="6">
        <v>59.0</v>
      </c>
      <c r="R486" s="12">
        <f t="shared" si="12"/>
        <v>3305.4986</v>
      </c>
    </row>
    <row r="487">
      <c r="A487" s="21" t="s">
        <v>3032</v>
      </c>
      <c r="B487" s="58" t="s">
        <v>3046</v>
      </c>
      <c r="C487" s="58" t="s">
        <v>3047</v>
      </c>
      <c r="D487" s="8" t="s">
        <v>21</v>
      </c>
      <c r="E487" s="58" t="s">
        <v>1821</v>
      </c>
      <c r="F487" s="58" t="s">
        <v>3048</v>
      </c>
      <c r="G487" s="21" t="s">
        <v>3049</v>
      </c>
      <c r="H487" s="8"/>
      <c r="I487" s="88">
        <v>28000.0</v>
      </c>
      <c r="J487" s="58" t="s">
        <v>3050</v>
      </c>
      <c r="K487" s="8" t="s">
        <v>65</v>
      </c>
      <c r="L487" s="197" t="s">
        <v>26</v>
      </c>
      <c r="M487" s="8" t="s">
        <v>1456</v>
      </c>
      <c r="N487" s="8" t="s">
        <v>28</v>
      </c>
      <c r="O487" s="88">
        <v>44050.0</v>
      </c>
      <c r="P487" s="88">
        <v>49342.0</v>
      </c>
      <c r="Q487" s="6">
        <v>51.0</v>
      </c>
      <c r="R487" s="12">
        <f t="shared" si="12"/>
        <v>22465.5</v>
      </c>
    </row>
    <row r="488">
      <c r="A488" s="21" t="s">
        <v>3032</v>
      </c>
      <c r="B488" s="58" t="s">
        <v>3051</v>
      </c>
      <c r="C488" s="58" t="s">
        <v>3052</v>
      </c>
      <c r="D488" s="8" t="s">
        <v>1395</v>
      </c>
      <c r="E488" s="58" t="s">
        <v>2143</v>
      </c>
      <c r="F488" s="58" t="s">
        <v>3053</v>
      </c>
      <c r="G488" s="8"/>
      <c r="H488" s="8"/>
      <c r="I488" s="88">
        <v>3490.0</v>
      </c>
      <c r="J488" s="58" t="s">
        <v>3054</v>
      </c>
      <c r="K488" s="8" t="s">
        <v>65</v>
      </c>
      <c r="L488" s="197" t="s">
        <v>26</v>
      </c>
      <c r="M488" s="8" t="s">
        <v>27</v>
      </c>
      <c r="N488" s="8" t="s">
        <v>28</v>
      </c>
      <c r="O488" s="88">
        <v>16149.0</v>
      </c>
      <c r="P488" s="88">
        <v>18093.0</v>
      </c>
      <c r="Q488" s="6">
        <v>57.0</v>
      </c>
      <c r="R488" s="12">
        <f t="shared" si="12"/>
        <v>9204.93</v>
      </c>
    </row>
    <row r="489">
      <c r="A489" s="21" t="s">
        <v>3032</v>
      </c>
      <c r="B489" s="58" t="s">
        <v>1199</v>
      </c>
      <c r="C489" s="58" t="s">
        <v>3055</v>
      </c>
      <c r="D489" s="8" t="s">
        <v>21</v>
      </c>
      <c r="E489" s="58" t="s">
        <v>3056</v>
      </c>
      <c r="F489" s="58" t="s">
        <v>3057</v>
      </c>
      <c r="G489" s="8"/>
      <c r="H489" s="8"/>
      <c r="I489" s="88">
        <v>28000.0</v>
      </c>
      <c r="J489" s="8" t="s">
        <v>3058</v>
      </c>
      <c r="K489" s="8" t="s">
        <v>677</v>
      </c>
      <c r="L489" s="197" t="s">
        <v>49</v>
      </c>
      <c r="M489" s="8" t="s">
        <v>71</v>
      </c>
      <c r="N489" s="8" t="s">
        <v>28</v>
      </c>
      <c r="O489" s="88">
        <v>45654.13</v>
      </c>
      <c r="P489" s="88">
        <v>51234.87</v>
      </c>
      <c r="Q489" s="6">
        <v>22.0</v>
      </c>
      <c r="R489" s="12">
        <f t="shared" si="12"/>
        <v>10043.9086</v>
      </c>
    </row>
    <row r="490">
      <c r="A490" s="21" t="s">
        <v>1156</v>
      </c>
      <c r="B490" s="58" t="s">
        <v>3059</v>
      </c>
      <c r="C490" s="58" t="s">
        <v>3060</v>
      </c>
      <c r="D490" s="8" t="s">
        <v>1395</v>
      </c>
      <c r="E490" s="58" t="s">
        <v>2544</v>
      </c>
      <c r="F490" s="58" t="s">
        <v>3061</v>
      </c>
      <c r="G490" s="8"/>
      <c r="H490" s="8"/>
      <c r="I490" s="88">
        <v>2450.0</v>
      </c>
      <c r="J490" s="58" t="s">
        <v>3032</v>
      </c>
      <c r="K490" s="8" t="s">
        <v>78</v>
      </c>
      <c r="L490" s="197" t="s">
        <v>49</v>
      </c>
      <c r="M490" s="8" t="s">
        <v>1616</v>
      </c>
      <c r="N490" s="8" t="s">
        <v>28</v>
      </c>
      <c r="O490" s="90">
        <v>17086.71</v>
      </c>
      <c r="P490" s="90">
        <v>19199.0</v>
      </c>
      <c r="Q490" s="6">
        <v>52.0</v>
      </c>
      <c r="R490" s="12">
        <f t="shared" si="12"/>
        <v>8885.0892</v>
      </c>
    </row>
    <row r="491">
      <c r="A491" s="21" t="s">
        <v>1156</v>
      </c>
      <c r="B491" s="58" t="s">
        <v>3062</v>
      </c>
      <c r="C491" s="58" t="s">
        <v>3063</v>
      </c>
      <c r="D491" s="8" t="s">
        <v>21</v>
      </c>
      <c r="E491" s="88">
        <v>2518.0</v>
      </c>
      <c r="F491" s="58" t="s">
        <v>3064</v>
      </c>
      <c r="G491" s="8"/>
      <c r="H491" s="8"/>
      <c r="I491" s="88">
        <v>28000.0</v>
      </c>
      <c r="J491" s="91">
        <v>46026.0</v>
      </c>
      <c r="K491" s="8" t="s">
        <v>78</v>
      </c>
      <c r="L491" s="197" t="s">
        <v>49</v>
      </c>
      <c r="M491" s="8" t="s">
        <v>71</v>
      </c>
      <c r="N491" s="8" t="s">
        <v>28</v>
      </c>
      <c r="O491" s="90">
        <v>46814.84</v>
      </c>
      <c r="P491" s="90">
        <v>52605.0</v>
      </c>
      <c r="Q491" s="6">
        <v>28.0</v>
      </c>
      <c r="R491" s="12">
        <f t="shared" si="12"/>
        <v>13108.1552</v>
      </c>
    </row>
    <row r="492">
      <c r="A492" s="21" t="s">
        <v>1156</v>
      </c>
      <c r="B492" s="58" t="s">
        <v>1163</v>
      </c>
      <c r="C492" s="58" t="s">
        <v>3065</v>
      </c>
      <c r="D492" s="8" t="s">
        <v>21</v>
      </c>
      <c r="E492" s="58" t="s">
        <v>3066</v>
      </c>
      <c r="F492" s="58" t="s">
        <v>3067</v>
      </c>
      <c r="G492" s="8"/>
      <c r="H492" s="8"/>
      <c r="I492" s="88">
        <v>11990.0</v>
      </c>
      <c r="J492" s="58" t="s">
        <v>3054</v>
      </c>
      <c r="K492" s="8" t="s">
        <v>65</v>
      </c>
      <c r="L492" s="197" t="s">
        <v>26</v>
      </c>
      <c r="M492" s="8" t="s">
        <v>1616</v>
      </c>
      <c r="N492" s="8" t="s">
        <v>28</v>
      </c>
      <c r="O492" s="88">
        <v>27286.0</v>
      </c>
      <c r="P492" s="88">
        <v>30566.0</v>
      </c>
      <c r="Q492" s="6">
        <v>46.0</v>
      </c>
      <c r="R492" s="12">
        <f t="shared" si="12"/>
        <v>12551.56</v>
      </c>
    </row>
    <row r="493">
      <c r="A493" s="21" t="s">
        <v>1156</v>
      </c>
      <c r="B493" s="58" t="s">
        <v>1146</v>
      </c>
      <c r="C493" s="58" t="s">
        <v>3068</v>
      </c>
      <c r="D493" s="8" t="s">
        <v>21</v>
      </c>
      <c r="E493" s="58" t="s">
        <v>2603</v>
      </c>
      <c r="F493" s="58" t="s">
        <v>3069</v>
      </c>
      <c r="G493" s="8"/>
      <c r="H493" s="8"/>
      <c r="I493" s="88">
        <v>18500.0</v>
      </c>
      <c r="J493" s="58" t="s">
        <v>3054</v>
      </c>
      <c r="K493" s="8" t="s">
        <v>65</v>
      </c>
      <c r="L493" s="197" t="s">
        <v>26</v>
      </c>
      <c r="M493" s="8" t="s">
        <v>71</v>
      </c>
      <c r="N493" s="8" t="s">
        <v>28</v>
      </c>
      <c r="O493" s="88">
        <v>35413.0</v>
      </c>
      <c r="P493" s="88">
        <v>39669.0</v>
      </c>
      <c r="Q493" s="6">
        <v>46.0</v>
      </c>
      <c r="R493" s="12">
        <f t="shared" si="12"/>
        <v>16289.98</v>
      </c>
    </row>
    <row r="494">
      <c r="A494" s="21" t="s">
        <v>1156</v>
      </c>
      <c r="B494" s="58" t="s">
        <v>3070</v>
      </c>
      <c r="C494" s="58" t="s">
        <v>3071</v>
      </c>
      <c r="D494" s="8" t="s">
        <v>21</v>
      </c>
      <c r="E494" s="58" t="s">
        <v>1621</v>
      </c>
      <c r="F494" s="58" t="s">
        <v>3072</v>
      </c>
      <c r="G494" s="21" t="s">
        <v>3073</v>
      </c>
      <c r="H494" s="8"/>
      <c r="I494" s="88">
        <v>28000.0</v>
      </c>
      <c r="J494" s="58" t="s">
        <v>3074</v>
      </c>
      <c r="K494" s="8" t="s">
        <v>65</v>
      </c>
      <c r="L494" s="197" t="s">
        <v>26</v>
      </c>
      <c r="M494" s="8" t="s">
        <v>27</v>
      </c>
      <c r="N494" s="8" t="s">
        <v>28</v>
      </c>
      <c r="O494" s="88">
        <v>44050.0</v>
      </c>
      <c r="P494" s="88">
        <v>49342.0</v>
      </c>
      <c r="Q494" s="6">
        <v>51.0</v>
      </c>
      <c r="R494" s="12">
        <f t="shared" si="12"/>
        <v>22465.5</v>
      </c>
    </row>
    <row r="495">
      <c r="A495" s="21" t="s">
        <v>1156</v>
      </c>
      <c r="B495" s="58" t="s">
        <v>3075</v>
      </c>
      <c r="C495" s="58" t="s">
        <v>3076</v>
      </c>
      <c r="D495" s="8" t="s">
        <v>21</v>
      </c>
      <c r="E495" s="58" t="s">
        <v>1866</v>
      </c>
      <c r="F495" s="58" t="s">
        <v>3077</v>
      </c>
      <c r="G495" s="8"/>
      <c r="H495" s="8"/>
      <c r="I495" s="88">
        <v>12990.0</v>
      </c>
      <c r="J495" s="58" t="s">
        <v>1193</v>
      </c>
      <c r="K495" s="8" t="s">
        <v>78</v>
      </c>
      <c r="L495" s="197" t="s">
        <v>49</v>
      </c>
      <c r="M495" s="205" t="s">
        <v>27</v>
      </c>
      <c r="N495" s="8" t="s">
        <v>28</v>
      </c>
      <c r="O495" s="90">
        <v>37256.65</v>
      </c>
      <c r="P495" s="90">
        <v>41844.0</v>
      </c>
      <c r="Q495" s="6">
        <v>26.0</v>
      </c>
      <c r="R495" s="12">
        <f t="shared" si="12"/>
        <v>9686.729</v>
      </c>
    </row>
    <row r="496">
      <c r="A496" s="21" t="s">
        <v>1156</v>
      </c>
      <c r="B496" s="58" t="s">
        <v>1301</v>
      </c>
      <c r="C496" s="58" t="s">
        <v>3078</v>
      </c>
      <c r="D496" s="8" t="s">
        <v>1395</v>
      </c>
      <c r="E496" s="58" t="s">
        <v>1303</v>
      </c>
      <c r="F496" s="58" t="s">
        <v>1304</v>
      </c>
      <c r="G496" s="21" t="s">
        <v>3079</v>
      </c>
      <c r="H496" s="8"/>
      <c r="I496" s="88">
        <v>2825.0</v>
      </c>
      <c r="J496" s="58" t="s">
        <v>3080</v>
      </c>
      <c r="K496" s="8" t="s">
        <v>116</v>
      </c>
      <c r="L496" s="197" t="s">
        <v>49</v>
      </c>
      <c r="M496" s="8" t="s">
        <v>3028</v>
      </c>
      <c r="N496" s="8" t="s">
        <v>28</v>
      </c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>
    <row r="497">
      <c r="A497" s="21" t="s">
        <v>1156</v>
      </c>
      <c r="B497" s="58" t="s">
        <v>1157</v>
      </c>
      <c r="C497" s="58" t="s">
        <v>3081</v>
      </c>
      <c r="D497" s="8" t="s">
        <v>21</v>
      </c>
      <c r="E497" s="58" t="s">
        <v>3082</v>
      </c>
      <c r="F497" s="58" t="s">
        <v>3083</v>
      </c>
      <c r="G497" s="8"/>
      <c r="H497" s="8"/>
      <c r="I497" s="88">
        <v>11950.0</v>
      </c>
      <c r="J497" s="58" t="s">
        <v>3032</v>
      </c>
      <c r="K497" s="8" t="s">
        <v>353</v>
      </c>
      <c r="L497" s="197" t="s">
        <v>49</v>
      </c>
      <c r="M497" s="8" t="s">
        <v>1436</v>
      </c>
      <c r="N497" s="8" t="s">
        <v>28</v>
      </c>
      <c r="O497" s="90">
        <v>30567.0</v>
      </c>
      <c r="P497" s="90">
        <v>34438.0</v>
      </c>
      <c r="Q497" s="6">
        <v>26.0</v>
      </c>
      <c r="R497" s="12">
        <f t="shared" si="12"/>
        <v>7947.42</v>
      </c>
    </row>
    <row r="498">
      <c r="A498" s="21" t="s">
        <v>1162</v>
      </c>
      <c r="B498" s="58" t="s">
        <v>1173</v>
      </c>
      <c r="C498" s="58" t="s">
        <v>3084</v>
      </c>
      <c r="D498" s="8" t="s">
        <v>21</v>
      </c>
      <c r="E498" s="58" t="s">
        <v>2854</v>
      </c>
      <c r="F498" s="58" t="s">
        <v>2729</v>
      </c>
      <c r="G498" s="21" t="s">
        <v>3085</v>
      </c>
      <c r="H498" s="8"/>
      <c r="I498" s="88">
        <v>11990.0</v>
      </c>
      <c r="J498" s="58" t="s">
        <v>1156</v>
      </c>
      <c r="K498" s="8" t="s">
        <v>78</v>
      </c>
      <c r="L498" s="197" t="s">
        <v>49</v>
      </c>
      <c r="M498" s="8" t="s">
        <v>389</v>
      </c>
      <c r="N498" s="8" t="s">
        <v>28</v>
      </c>
      <c r="O498" s="90">
        <v>30664.25</v>
      </c>
      <c r="P498" s="90">
        <v>34553.0</v>
      </c>
      <c r="Q498" s="6">
        <v>32.0</v>
      </c>
      <c r="R498" s="12">
        <f t="shared" si="12"/>
        <v>9812.56</v>
      </c>
    </row>
    <row r="499">
      <c r="A499" s="21" t="s">
        <v>1168</v>
      </c>
      <c r="B499" s="58" t="s">
        <v>3086</v>
      </c>
      <c r="C499" s="58" t="s">
        <v>3087</v>
      </c>
      <c r="D499" s="8" t="s">
        <v>21</v>
      </c>
      <c r="E499" s="58" t="s">
        <v>1510</v>
      </c>
      <c r="F499" s="58" t="s">
        <v>3088</v>
      </c>
      <c r="G499" s="8"/>
      <c r="H499" s="8"/>
      <c r="I499" s="88">
        <v>35000.0</v>
      </c>
      <c r="J499" s="8" t="s">
        <v>1168</v>
      </c>
      <c r="K499" s="8" t="s">
        <v>353</v>
      </c>
      <c r="L499" s="197" t="s">
        <v>49</v>
      </c>
      <c r="M499" s="8" t="s">
        <v>340</v>
      </c>
      <c r="N499" s="8" t="s">
        <v>28</v>
      </c>
      <c r="O499" s="90">
        <v>74002.0</v>
      </c>
      <c r="P499" s="90">
        <v>84685.0</v>
      </c>
      <c r="Q499" s="6">
        <v>28.0</v>
      </c>
      <c r="R499" s="12">
        <f t="shared" si="12"/>
        <v>20720.56</v>
      </c>
    </row>
    <row r="500">
      <c r="A500" s="114" t="s">
        <v>909</v>
      </c>
      <c r="B500" s="64" t="s">
        <v>3089</v>
      </c>
      <c r="C500" s="64" t="s">
        <v>3090</v>
      </c>
      <c r="D500" s="108" t="s">
        <v>21</v>
      </c>
      <c r="E500" s="109">
        <v>1618.0</v>
      </c>
      <c r="F500" s="64" t="s">
        <v>3091</v>
      </c>
      <c r="G500" s="108"/>
      <c r="H500" s="108"/>
      <c r="I500" s="109">
        <v>18500.0</v>
      </c>
      <c r="J500" s="64" t="s">
        <v>1108</v>
      </c>
      <c r="K500" s="108" t="s">
        <v>78</v>
      </c>
      <c r="L500" s="175" t="s">
        <v>49</v>
      </c>
      <c r="M500" s="108" t="s">
        <v>27</v>
      </c>
      <c r="N500" s="108" t="s">
        <v>28</v>
      </c>
      <c r="O500" s="112">
        <v>37894.59</v>
      </c>
      <c r="P500" s="112">
        <v>42597.0</v>
      </c>
      <c r="Q500" s="6">
        <v>26.0</v>
      </c>
      <c r="R500" s="12">
        <f t="shared" si="12"/>
        <v>9852.5934</v>
      </c>
    </row>
    <row r="501">
      <c r="A501" s="126"/>
      <c r="E501" s="126"/>
      <c r="L501" s="126"/>
    </row>
    <row r="502">
      <c r="A502" s="126"/>
      <c r="E502" s="126"/>
      <c r="L502" s="126"/>
    </row>
    <row r="503">
      <c r="A503" s="21" t="s">
        <v>3092</v>
      </c>
      <c r="B503" s="8" t="s">
        <v>3093</v>
      </c>
      <c r="C503" s="8" t="s">
        <v>3094</v>
      </c>
      <c r="D503" s="8" t="s">
        <v>1395</v>
      </c>
      <c r="E503" s="8" t="s">
        <v>3095</v>
      </c>
      <c r="F503" s="8" t="s">
        <v>3096</v>
      </c>
      <c r="G503" s="21" t="s">
        <v>3097</v>
      </c>
      <c r="H503" s="8"/>
      <c r="I503" s="21">
        <v>2960.0</v>
      </c>
      <c r="J503" s="8" t="s">
        <v>1162</v>
      </c>
      <c r="K503" s="8" t="s">
        <v>668</v>
      </c>
      <c r="L503" s="197" t="s">
        <v>49</v>
      </c>
      <c r="M503" s="8" t="s">
        <v>1456</v>
      </c>
      <c r="N503" s="8" t="s">
        <v>28</v>
      </c>
      <c r="O503" s="21">
        <v>18560.0</v>
      </c>
      <c r="P503" s="21">
        <v>20938.0</v>
      </c>
      <c r="Q503" s="6">
        <v>53.0</v>
      </c>
      <c r="R503" s="12">
        <f t="shared" ref="R503:R577" si="13">O503*Q503%</f>
        <v>9836.8</v>
      </c>
    </row>
    <row r="504">
      <c r="A504" s="21" t="s">
        <v>3092</v>
      </c>
      <c r="B504" s="8" t="s">
        <v>3098</v>
      </c>
      <c r="C504" s="8" t="s">
        <v>3099</v>
      </c>
      <c r="D504" s="8" t="s">
        <v>1432</v>
      </c>
      <c r="E504" s="8" t="s">
        <v>1887</v>
      </c>
      <c r="F504" s="8" t="s">
        <v>3100</v>
      </c>
      <c r="G504" s="21" t="s">
        <v>3101</v>
      </c>
      <c r="H504" s="8"/>
      <c r="I504" s="21">
        <v>236.0</v>
      </c>
      <c r="J504" s="8" t="s">
        <v>1207</v>
      </c>
      <c r="K504" s="8" t="s">
        <v>668</v>
      </c>
      <c r="L504" s="197" t="s">
        <v>49</v>
      </c>
      <c r="M504" s="8" t="s">
        <v>389</v>
      </c>
      <c r="N504" s="8" t="s">
        <v>28</v>
      </c>
      <c r="O504" s="21">
        <v>6971.0</v>
      </c>
      <c r="P504" s="21">
        <v>8225.0</v>
      </c>
      <c r="Q504" s="6">
        <v>53.0</v>
      </c>
      <c r="R504" s="12">
        <f t="shared" si="13"/>
        <v>3694.63</v>
      </c>
    </row>
    <row r="505">
      <c r="A505" s="21" t="s">
        <v>3092</v>
      </c>
      <c r="B505" s="8" t="s">
        <v>3102</v>
      </c>
      <c r="C505" s="8" t="s">
        <v>3103</v>
      </c>
      <c r="D505" s="8" t="s">
        <v>21</v>
      </c>
      <c r="E505" s="8" t="s">
        <v>1866</v>
      </c>
      <c r="F505" s="8" t="s">
        <v>3104</v>
      </c>
      <c r="G505" s="21">
        <v>9.909173677E9</v>
      </c>
      <c r="H505" s="8"/>
      <c r="I505" s="21">
        <v>12990.0</v>
      </c>
      <c r="J505" s="8" t="s">
        <v>1168</v>
      </c>
      <c r="K505" s="8" t="s">
        <v>3105</v>
      </c>
      <c r="L505" s="197" t="s">
        <v>49</v>
      </c>
      <c r="M505" s="8" t="s">
        <v>71</v>
      </c>
      <c r="N505" s="8" t="s">
        <v>28</v>
      </c>
      <c r="O505" s="97">
        <v>36882.26</v>
      </c>
      <c r="P505" s="97">
        <v>41402.0</v>
      </c>
      <c r="Q505" s="6">
        <v>26.0</v>
      </c>
      <c r="R505" s="12">
        <f t="shared" si="13"/>
        <v>9589.3876</v>
      </c>
    </row>
    <row r="506">
      <c r="A506" s="21" t="s">
        <v>3106</v>
      </c>
      <c r="B506" s="8" t="s">
        <v>3107</v>
      </c>
      <c r="C506" s="8" t="s">
        <v>3108</v>
      </c>
      <c r="D506" s="8" t="s">
        <v>1395</v>
      </c>
      <c r="E506" s="8" t="s">
        <v>178</v>
      </c>
      <c r="F506" s="8" t="s">
        <v>3109</v>
      </c>
      <c r="G506" s="21" t="s">
        <v>3110</v>
      </c>
      <c r="H506" s="8"/>
      <c r="I506" s="21">
        <v>3460.0</v>
      </c>
      <c r="J506" s="8" t="s">
        <v>1187</v>
      </c>
      <c r="K506" s="8" t="s">
        <v>116</v>
      </c>
      <c r="L506" s="197" t="s">
        <v>49</v>
      </c>
      <c r="M506" s="8" t="s">
        <v>1456</v>
      </c>
      <c r="N506" s="8" t="s">
        <v>28</v>
      </c>
      <c r="O506" s="97">
        <v>21432.0</v>
      </c>
      <c r="P506" s="97">
        <v>24322.0</v>
      </c>
      <c r="Q506" s="6">
        <v>48.0</v>
      </c>
      <c r="R506" s="12">
        <f t="shared" si="13"/>
        <v>10287.36</v>
      </c>
    </row>
    <row r="507">
      <c r="A507" s="21" t="s">
        <v>3111</v>
      </c>
      <c r="B507" s="8" t="s">
        <v>3112</v>
      </c>
      <c r="C507" s="8" t="s">
        <v>3113</v>
      </c>
      <c r="D507" s="8" t="s">
        <v>21</v>
      </c>
      <c r="E507" s="8" t="s">
        <v>3114</v>
      </c>
      <c r="F507" s="8" t="s">
        <v>3115</v>
      </c>
      <c r="G507" s="21" t="s">
        <v>3116</v>
      </c>
      <c r="H507" s="8"/>
      <c r="I507" s="21">
        <v>25000.0</v>
      </c>
      <c r="J507" s="8" t="s">
        <v>1177</v>
      </c>
      <c r="K507" s="8" t="s">
        <v>78</v>
      </c>
      <c r="L507" s="197" t="s">
        <v>49</v>
      </c>
      <c r="M507" s="8" t="s">
        <v>33</v>
      </c>
      <c r="N507" s="8" t="s">
        <v>28</v>
      </c>
      <c r="O507" s="97">
        <v>46364.96</v>
      </c>
      <c r="P507" s="97">
        <v>52074.0</v>
      </c>
      <c r="Q507" s="6">
        <v>28.0</v>
      </c>
      <c r="R507" s="12">
        <f t="shared" si="13"/>
        <v>12982.1888</v>
      </c>
    </row>
    <row r="508">
      <c r="A508" s="21" t="s">
        <v>3111</v>
      </c>
      <c r="B508" s="8" t="s">
        <v>3117</v>
      </c>
      <c r="C508" s="8" t="s">
        <v>3118</v>
      </c>
      <c r="D508" s="8" t="s">
        <v>1432</v>
      </c>
      <c r="E508" s="8" t="s">
        <v>1887</v>
      </c>
      <c r="F508" s="8" t="s">
        <v>3119</v>
      </c>
      <c r="G508" s="21" t="s">
        <v>3120</v>
      </c>
      <c r="H508" s="8"/>
      <c r="I508" s="21">
        <v>236.0</v>
      </c>
      <c r="J508" s="8" t="s">
        <v>1193</v>
      </c>
      <c r="K508" s="8" t="s">
        <v>668</v>
      </c>
      <c r="L508" s="197" t="s">
        <v>49</v>
      </c>
      <c r="M508" s="8" t="s">
        <v>365</v>
      </c>
      <c r="N508" s="8" t="s">
        <v>28</v>
      </c>
      <c r="O508" s="21">
        <v>6926.0</v>
      </c>
      <c r="P508" s="21">
        <v>8172.0</v>
      </c>
      <c r="Q508" s="6">
        <v>53.0</v>
      </c>
      <c r="R508" s="12">
        <f t="shared" si="13"/>
        <v>3670.78</v>
      </c>
    </row>
    <row r="509">
      <c r="A509" s="21" t="s">
        <v>3111</v>
      </c>
      <c r="B509" s="8" t="s">
        <v>3121</v>
      </c>
      <c r="C509" s="8" t="s">
        <v>3122</v>
      </c>
      <c r="D509" s="8" t="s">
        <v>21</v>
      </c>
      <c r="E509" s="8" t="s">
        <v>3123</v>
      </c>
      <c r="F509" s="8" t="s">
        <v>3124</v>
      </c>
      <c r="G509" s="21" t="s">
        <v>3125</v>
      </c>
      <c r="H509" s="8"/>
      <c r="I509" s="21">
        <v>35000.0</v>
      </c>
      <c r="J509" s="8" t="s">
        <v>1177</v>
      </c>
      <c r="K509" s="8" t="s">
        <v>353</v>
      </c>
      <c r="L509" s="197" t="s">
        <v>49</v>
      </c>
      <c r="M509" s="8" t="s">
        <v>365</v>
      </c>
      <c r="N509" s="8" t="s">
        <v>28</v>
      </c>
      <c r="O509" s="97">
        <v>46094.0</v>
      </c>
      <c r="P509" s="97">
        <v>51754.0</v>
      </c>
      <c r="Q509" s="6">
        <v>28.0</v>
      </c>
      <c r="R509" s="12">
        <f t="shared" si="13"/>
        <v>12906.32</v>
      </c>
    </row>
    <row r="510">
      <c r="A510" s="21" t="s">
        <v>3111</v>
      </c>
      <c r="B510" s="8" t="s">
        <v>3126</v>
      </c>
      <c r="C510" s="8" t="s">
        <v>3127</v>
      </c>
      <c r="D510" s="8" t="s">
        <v>21</v>
      </c>
      <c r="E510" s="8" t="s">
        <v>2854</v>
      </c>
      <c r="F510" s="8" t="s">
        <v>3128</v>
      </c>
      <c r="G510" s="21">
        <v>6.362100183E9</v>
      </c>
      <c r="H510" s="8"/>
      <c r="I510" s="21">
        <v>11900.0</v>
      </c>
      <c r="J510" s="8" t="s">
        <v>1177</v>
      </c>
      <c r="K510" s="8" t="s">
        <v>78</v>
      </c>
      <c r="L510" s="197" t="s">
        <v>49</v>
      </c>
      <c r="M510" s="8" t="s">
        <v>71</v>
      </c>
      <c r="N510" s="8" t="s">
        <v>28</v>
      </c>
      <c r="O510" s="97">
        <v>29824.61</v>
      </c>
      <c r="P510" s="97">
        <v>33562.0</v>
      </c>
      <c r="Q510" s="6">
        <v>32.0</v>
      </c>
      <c r="R510" s="12">
        <f t="shared" si="13"/>
        <v>9543.8752</v>
      </c>
    </row>
    <row r="511">
      <c r="A511" s="21" t="s">
        <v>3111</v>
      </c>
      <c r="B511" s="8" t="s">
        <v>1169</v>
      </c>
      <c r="C511" s="8" t="s">
        <v>3129</v>
      </c>
      <c r="D511" s="8" t="s">
        <v>21</v>
      </c>
      <c r="E511" s="8" t="s">
        <v>3130</v>
      </c>
      <c r="F511" s="8" t="s">
        <v>3131</v>
      </c>
      <c r="G511" s="8"/>
      <c r="H511" s="8"/>
      <c r="I511" s="21">
        <v>11990.0</v>
      </c>
      <c r="J511" s="8" t="s">
        <v>3132</v>
      </c>
      <c r="K511" s="8" t="s">
        <v>353</v>
      </c>
      <c r="L511" s="197" t="s">
        <v>49</v>
      </c>
      <c r="M511" s="8" t="s">
        <v>3028</v>
      </c>
      <c r="N511" s="8" t="s">
        <v>28</v>
      </c>
      <c r="O511" s="97">
        <v>29925.0</v>
      </c>
      <c r="P511" s="97">
        <v>33680.0</v>
      </c>
      <c r="Q511" s="6">
        <v>26.0</v>
      </c>
      <c r="R511" s="12">
        <f t="shared" si="13"/>
        <v>7780.5</v>
      </c>
    </row>
    <row r="512">
      <c r="A512" s="21" t="s">
        <v>3111</v>
      </c>
      <c r="B512" s="8" t="s">
        <v>3133</v>
      </c>
      <c r="C512" s="8" t="s">
        <v>3134</v>
      </c>
      <c r="D512" s="8" t="s">
        <v>1395</v>
      </c>
      <c r="E512" s="8" t="s">
        <v>3135</v>
      </c>
      <c r="F512" s="8" t="s">
        <v>3136</v>
      </c>
      <c r="G512" s="21" t="s">
        <v>3137</v>
      </c>
      <c r="H512" s="8"/>
      <c r="I512" s="21">
        <v>1418.0</v>
      </c>
      <c r="J512" s="8" t="s">
        <v>1177</v>
      </c>
      <c r="K512" s="8" t="s">
        <v>78</v>
      </c>
      <c r="L512" s="197" t="s">
        <v>26</v>
      </c>
      <c r="M512" s="8" t="s">
        <v>1456</v>
      </c>
      <c r="N512" s="8" t="s">
        <v>28</v>
      </c>
      <c r="O512" s="97">
        <v>16149.0</v>
      </c>
      <c r="P512" s="97">
        <v>18093.0</v>
      </c>
      <c r="Q512" s="6">
        <v>64.0</v>
      </c>
      <c r="R512" s="12">
        <f t="shared" si="13"/>
        <v>10335.36</v>
      </c>
    </row>
    <row r="513">
      <c r="A513" s="21" t="s">
        <v>3111</v>
      </c>
      <c r="B513" s="206" t="s">
        <v>1242</v>
      </c>
      <c r="C513" s="8" t="s">
        <v>3138</v>
      </c>
      <c r="D513" s="8" t="s">
        <v>21</v>
      </c>
      <c r="E513" s="8" t="s">
        <v>2854</v>
      </c>
      <c r="F513" s="8" t="s">
        <v>3139</v>
      </c>
      <c r="G513" s="21">
        <v>9.726920399E9</v>
      </c>
      <c r="H513" s="8"/>
      <c r="I513" s="21">
        <v>11990.0</v>
      </c>
      <c r="J513" s="8" t="s">
        <v>1177</v>
      </c>
      <c r="K513" s="8" t="s">
        <v>78</v>
      </c>
      <c r="L513" s="197" t="s">
        <v>49</v>
      </c>
      <c r="M513" s="8" t="s">
        <v>71</v>
      </c>
      <c r="N513" s="8" t="s">
        <v>28</v>
      </c>
      <c r="O513" s="97">
        <v>31080.64</v>
      </c>
      <c r="P513" s="97">
        <v>35044.0</v>
      </c>
      <c r="Q513" s="6">
        <v>32.0</v>
      </c>
      <c r="R513" s="12">
        <f t="shared" si="13"/>
        <v>9945.8048</v>
      </c>
    </row>
    <row r="514">
      <c r="A514" s="21" t="s">
        <v>3111</v>
      </c>
      <c r="B514" s="8" t="s">
        <v>3140</v>
      </c>
      <c r="C514" s="8" t="s">
        <v>3141</v>
      </c>
      <c r="D514" s="8" t="s">
        <v>1395</v>
      </c>
      <c r="E514" s="8" t="s">
        <v>1247</v>
      </c>
      <c r="F514" s="8" t="s">
        <v>3142</v>
      </c>
      <c r="G514" s="21" t="s">
        <v>3143</v>
      </c>
      <c r="H514" s="8"/>
      <c r="I514" s="21">
        <v>2825.0</v>
      </c>
      <c r="J514" s="8" t="s">
        <v>1168</v>
      </c>
      <c r="K514" s="8" t="s">
        <v>116</v>
      </c>
      <c r="L514" s="197" t="s">
        <v>49</v>
      </c>
      <c r="M514" s="8" t="s">
        <v>389</v>
      </c>
      <c r="N514" s="8" t="s">
        <v>28</v>
      </c>
      <c r="O514" s="97">
        <v>22249.0</v>
      </c>
      <c r="P514" s="97">
        <v>25287.0</v>
      </c>
      <c r="Q514" s="6">
        <v>48.0</v>
      </c>
      <c r="R514" s="12">
        <f t="shared" si="13"/>
        <v>10679.52</v>
      </c>
    </row>
    <row r="515">
      <c r="A515" s="21" t="s">
        <v>3144</v>
      </c>
      <c r="B515" s="8" t="s">
        <v>3145</v>
      </c>
      <c r="C515" s="8" t="s">
        <v>3146</v>
      </c>
      <c r="D515" s="8" t="s">
        <v>21</v>
      </c>
      <c r="E515" s="8" t="s">
        <v>3147</v>
      </c>
      <c r="F515" s="8" t="s">
        <v>3148</v>
      </c>
      <c r="G515" s="21">
        <v>8.238569372E9</v>
      </c>
      <c r="H515" s="8"/>
      <c r="I515" s="21">
        <v>11990.0</v>
      </c>
      <c r="J515" s="8" t="s">
        <v>3149</v>
      </c>
      <c r="K515" s="8" t="s">
        <v>353</v>
      </c>
      <c r="L515" s="197" t="s">
        <v>49</v>
      </c>
      <c r="M515" s="8" t="s">
        <v>71</v>
      </c>
      <c r="N515" s="8" t="s">
        <v>28</v>
      </c>
      <c r="O515" s="97">
        <v>29831.0</v>
      </c>
      <c r="P515" s="97">
        <v>33569.0</v>
      </c>
      <c r="Q515" s="6">
        <v>26.0</v>
      </c>
      <c r="R515" s="12">
        <f t="shared" si="13"/>
        <v>7756.06</v>
      </c>
    </row>
    <row r="516">
      <c r="A516" s="21" t="s">
        <v>3144</v>
      </c>
      <c r="B516" s="8" t="s">
        <v>3150</v>
      </c>
      <c r="C516" s="8" t="s">
        <v>3151</v>
      </c>
      <c r="D516" s="8" t="s">
        <v>21</v>
      </c>
      <c r="E516" s="8" t="s">
        <v>1789</v>
      </c>
      <c r="F516" s="8" t="s">
        <v>3152</v>
      </c>
      <c r="G516" s="21">
        <v>9.87947019E9</v>
      </c>
      <c r="H516" s="8"/>
      <c r="I516" s="21">
        <v>9600.0</v>
      </c>
      <c r="J516" s="8" t="s">
        <v>3149</v>
      </c>
      <c r="K516" s="8" t="s">
        <v>78</v>
      </c>
      <c r="L516" s="197" t="s">
        <v>49</v>
      </c>
      <c r="M516" s="8" t="s">
        <v>71</v>
      </c>
      <c r="N516" s="8" t="s">
        <v>28</v>
      </c>
      <c r="O516" s="97">
        <v>28431.5</v>
      </c>
      <c r="P516" s="97">
        <v>31918.0</v>
      </c>
      <c r="Q516" s="6">
        <v>32.0</v>
      </c>
      <c r="R516" s="12">
        <f t="shared" si="13"/>
        <v>9098.08</v>
      </c>
    </row>
    <row r="517">
      <c r="A517" s="21" t="s">
        <v>3144</v>
      </c>
      <c r="B517" s="8" t="s">
        <v>3153</v>
      </c>
      <c r="C517" s="8" t="s">
        <v>3154</v>
      </c>
      <c r="D517" s="8" t="s">
        <v>1432</v>
      </c>
      <c r="E517" s="8" t="s">
        <v>1887</v>
      </c>
      <c r="F517" s="8" t="s">
        <v>3155</v>
      </c>
      <c r="G517" s="21">
        <v>7.859863113E9</v>
      </c>
      <c r="H517" s="8"/>
      <c r="I517" s="21">
        <v>236.0</v>
      </c>
      <c r="J517" s="22">
        <v>46026.0</v>
      </c>
      <c r="K517" s="8" t="s">
        <v>668</v>
      </c>
      <c r="L517" s="197" t="s">
        <v>49</v>
      </c>
      <c r="M517" s="8" t="s">
        <v>1477</v>
      </c>
      <c r="N517" s="8" t="s">
        <v>28</v>
      </c>
      <c r="O517" s="21">
        <v>6412.0</v>
      </c>
      <c r="P517" s="21">
        <v>7566.0</v>
      </c>
      <c r="Q517" s="6">
        <v>53.0</v>
      </c>
      <c r="R517" s="12">
        <f t="shared" si="13"/>
        <v>3398.36</v>
      </c>
    </row>
    <row r="518">
      <c r="A518" s="21" t="s">
        <v>3144</v>
      </c>
      <c r="B518" s="8" t="s">
        <v>3156</v>
      </c>
      <c r="C518" s="8" t="s">
        <v>3157</v>
      </c>
      <c r="D518" s="8" t="s">
        <v>21</v>
      </c>
      <c r="E518" s="8" t="s">
        <v>3158</v>
      </c>
      <c r="F518" s="8" t="s">
        <v>3159</v>
      </c>
      <c r="G518" s="21" t="s">
        <v>3160</v>
      </c>
      <c r="H518" s="8"/>
      <c r="I518" s="21">
        <v>9500.0</v>
      </c>
      <c r="J518" s="8" t="s">
        <v>1177</v>
      </c>
      <c r="K518" s="8" t="s">
        <v>41</v>
      </c>
      <c r="L518" s="197" t="s">
        <v>26</v>
      </c>
      <c r="M518" s="8" t="s">
        <v>1616</v>
      </c>
      <c r="N518" s="8" t="s">
        <v>28</v>
      </c>
      <c r="O518" s="97">
        <v>27286.0</v>
      </c>
      <c r="P518" s="97">
        <v>30566.0</v>
      </c>
      <c r="Q518" s="6">
        <v>52.0</v>
      </c>
      <c r="R518" s="12">
        <f t="shared" si="13"/>
        <v>14188.72</v>
      </c>
    </row>
    <row r="519">
      <c r="A519" s="21" t="s">
        <v>3144</v>
      </c>
      <c r="B519" s="8" t="s">
        <v>3161</v>
      </c>
      <c r="C519" s="8" t="s">
        <v>3162</v>
      </c>
      <c r="D519" s="8" t="s">
        <v>1395</v>
      </c>
      <c r="E519" s="8" t="s">
        <v>3135</v>
      </c>
      <c r="F519" s="86" t="s">
        <v>3163</v>
      </c>
      <c r="G519" s="21" t="s">
        <v>3164</v>
      </c>
      <c r="H519" s="8"/>
      <c r="I519" s="21">
        <v>1424.0</v>
      </c>
      <c r="J519" s="8" t="s">
        <v>3149</v>
      </c>
      <c r="K519" s="8" t="s">
        <v>78</v>
      </c>
      <c r="L519" s="197" t="s">
        <v>26</v>
      </c>
      <c r="M519" s="8" t="s">
        <v>1460</v>
      </c>
      <c r="N519" s="8" t="s">
        <v>28</v>
      </c>
      <c r="O519" s="97">
        <v>16149.0</v>
      </c>
      <c r="P519" s="97">
        <v>18093.0</v>
      </c>
      <c r="Q519" s="6">
        <v>64.0</v>
      </c>
      <c r="R519" s="12">
        <f t="shared" si="13"/>
        <v>10335.36</v>
      </c>
    </row>
    <row r="520">
      <c r="A520" s="21" t="s">
        <v>3144</v>
      </c>
      <c r="B520" s="8" t="s">
        <v>3165</v>
      </c>
      <c r="C520" s="8" t="s">
        <v>3166</v>
      </c>
      <c r="D520" s="8" t="s">
        <v>1395</v>
      </c>
      <c r="E520" s="8" t="s">
        <v>3167</v>
      </c>
      <c r="F520" s="8" t="s">
        <v>3168</v>
      </c>
      <c r="G520" s="21" t="s">
        <v>3169</v>
      </c>
      <c r="H520" s="8"/>
      <c r="I520" s="21">
        <v>2700.0</v>
      </c>
      <c r="J520" s="8" t="s">
        <v>1187</v>
      </c>
      <c r="K520" s="8" t="s">
        <v>116</v>
      </c>
      <c r="L520" s="197" t="s">
        <v>49</v>
      </c>
      <c r="M520" s="8" t="s">
        <v>340</v>
      </c>
      <c r="N520" s="8" t="s">
        <v>28</v>
      </c>
      <c r="O520" s="97">
        <v>19990.0</v>
      </c>
      <c r="P520" s="97">
        <v>22620.0</v>
      </c>
      <c r="Q520" s="6">
        <v>48.0</v>
      </c>
      <c r="R520" s="12">
        <f t="shared" si="13"/>
        <v>9595.2</v>
      </c>
    </row>
    <row r="521">
      <c r="A521" s="21" t="s">
        <v>3144</v>
      </c>
      <c r="B521" s="8" t="s">
        <v>3170</v>
      </c>
      <c r="C521" s="8" t="s">
        <v>3171</v>
      </c>
      <c r="D521" s="8" t="s">
        <v>21</v>
      </c>
      <c r="E521" s="8" t="s">
        <v>2630</v>
      </c>
      <c r="F521" s="8" t="s">
        <v>3172</v>
      </c>
      <c r="G521" s="21">
        <v>9.909874479E9</v>
      </c>
      <c r="H521" s="8"/>
      <c r="I521" s="21">
        <v>12990.0</v>
      </c>
      <c r="J521" s="8" t="s">
        <v>1211</v>
      </c>
      <c r="K521" s="8" t="s">
        <v>78</v>
      </c>
      <c r="L521" s="197" t="s">
        <v>49</v>
      </c>
      <c r="M521" s="8" t="s">
        <v>71</v>
      </c>
      <c r="N521" s="8" t="s">
        <v>28</v>
      </c>
      <c r="O521" s="97">
        <v>37874.9</v>
      </c>
      <c r="P521" s="97">
        <v>42574.0</v>
      </c>
      <c r="Q521" s="6">
        <v>26.0</v>
      </c>
      <c r="R521" s="12">
        <f t="shared" si="13"/>
        <v>9847.474</v>
      </c>
    </row>
    <row r="522">
      <c r="A522" s="21" t="s">
        <v>3173</v>
      </c>
      <c r="B522" s="206" t="s">
        <v>3174</v>
      </c>
      <c r="C522" s="8" t="s">
        <v>3175</v>
      </c>
      <c r="D522" s="8" t="s">
        <v>21</v>
      </c>
      <c r="E522" s="8" t="s">
        <v>3123</v>
      </c>
      <c r="F522" s="8" t="s">
        <v>2507</v>
      </c>
      <c r="G522" s="21" t="s">
        <v>3125</v>
      </c>
      <c r="H522" s="8"/>
      <c r="I522" s="21">
        <v>35000.0</v>
      </c>
      <c r="J522" s="8" t="s">
        <v>1187</v>
      </c>
      <c r="K522" s="8" t="s">
        <v>353</v>
      </c>
      <c r="L522" s="197" t="s">
        <v>49</v>
      </c>
      <c r="M522" s="8" t="s">
        <v>365</v>
      </c>
      <c r="N522" s="8" t="s">
        <v>28</v>
      </c>
      <c r="O522" s="97">
        <v>46365.0</v>
      </c>
      <c r="P522" s="97">
        <v>52074.0</v>
      </c>
      <c r="Q522" s="6">
        <v>28.0</v>
      </c>
      <c r="R522" s="12">
        <f t="shared" si="13"/>
        <v>12982.2</v>
      </c>
    </row>
    <row r="523">
      <c r="A523" s="21" t="s">
        <v>3173</v>
      </c>
      <c r="B523" s="8" t="s">
        <v>3176</v>
      </c>
      <c r="C523" s="8" t="s">
        <v>3177</v>
      </c>
      <c r="D523" s="8" t="s">
        <v>21</v>
      </c>
      <c r="E523" s="8" t="s">
        <v>2854</v>
      </c>
      <c r="F523" s="8" t="s">
        <v>3178</v>
      </c>
      <c r="G523" s="21">
        <v>9.327002965E9</v>
      </c>
      <c r="H523" s="21">
        <v>9.925968917E9</v>
      </c>
      <c r="I523" s="21">
        <v>11990.0</v>
      </c>
      <c r="J523" s="8" t="s">
        <v>1193</v>
      </c>
      <c r="K523" s="8" t="s">
        <v>78</v>
      </c>
      <c r="L523" s="197" t="s">
        <v>49</v>
      </c>
      <c r="M523" s="8" t="s">
        <v>71</v>
      </c>
      <c r="N523" s="8" t="s">
        <v>28</v>
      </c>
      <c r="O523" s="97">
        <v>30394.82</v>
      </c>
      <c r="P523" s="97">
        <v>34235.0</v>
      </c>
      <c r="Q523" s="6">
        <v>32.0</v>
      </c>
      <c r="R523" s="12">
        <f t="shared" si="13"/>
        <v>9726.3424</v>
      </c>
    </row>
    <row r="524" ht="15.75" customHeight="1">
      <c r="A524" s="21" t="s">
        <v>3173</v>
      </c>
      <c r="B524" s="8" t="s">
        <v>3179</v>
      </c>
      <c r="C524" s="8" t="s">
        <v>3180</v>
      </c>
      <c r="D524" s="8" t="s">
        <v>1395</v>
      </c>
      <c r="E524" s="8" t="s">
        <v>3181</v>
      </c>
      <c r="F524" s="8" t="s">
        <v>3182</v>
      </c>
      <c r="G524" s="21">
        <v>9.825764903E9</v>
      </c>
      <c r="H524" s="8"/>
      <c r="I524" s="21">
        <v>2825.0</v>
      </c>
      <c r="J524" s="22">
        <v>46238.0</v>
      </c>
      <c r="K524" s="8" t="s">
        <v>668</v>
      </c>
      <c r="L524" s="197" t="s">
        <v>49</v>
      </c>
      <c r="M524" s="8" t="s">
        <v>1477</v>
      </c>
      <c r="N524" s="8" t="s">
        <v>28</v>
      </c>
      <c r="O524" s="21">
        <v>18572.0</v>
      </c>
      <c r="P524" s="21">
        <v>20952.0</v>
      </c>
      <c r="Q524" s="6">
        <v>53.0</v>
      </c>
      <c r="R524" s="12">
        <f t="shared" si="13"/>
        <v>9843.16</v>
      </c>
    </row>
    <row r="525">
      <c r="A525" s="21" t="s">
        <v>3183</v>
      </c>
      <c r="B525" s="8" t="s">
        <v>3184</v>
      </c>
      <c r="C525" s="8" t="s">
        <v>3185</v>
      </c>
      <c r="D525" s="8" t="s">
        <v>1395</v>
      </c>
      <c r="E525" s="8" t="s">
        <v>1303</v>
      </c>
      <c r="F525" s="8" t="s">
        <v>3186</v>
      </c>
      <c r="G525" s="21" t="s">
        <v>3187</v>
      </c>
      <c r="H525" s="8"/>
      <c r="I525" s="21">
        <v>2825.0</v>
      </c>
      <c r="J525" s="8" t="s">
        <v>1187</v>
      </c>
      <c r="K525" s="8" t="s">
        <v>116</v>
      </c>
      <c r="L525" s="197" t="s">
        <v>49</v>
      </c>
      <c r="M525" s="8" t="s">
        <v>185</v>
      </c>
      <c r="N525" s="8" t="s">
        <v>28</v>
      </c>
      <c r="O525" s="97">
        <v>19124.0</v>
      </c>
      <c r="P525" s="97">
        <v>21598.0</v>
      </c>
      <c r="Q525" s="6">
        <v>48.0</v>
      </c>
      <c r="R525" s="12">
        <f t="shared" si="13"/>
        <v>9179.52</v>
      </c>
    </row>
    <row r="526">
      <c r="A526" s="21" t="s">
        <v>3183</v>
      </c>
      <c r="B526" s="8" t="s">
        <v>3188</v>
      </c>
      <c r="C526" s="8" t="s">
        <v>3189</v>
      </c>
      <c r="D526" s="8" t="s">
        <v>1395</v>
      </c>
      <c r="E526" s="8" t="s">
        <v>3095</v>
      </c>
      <c r="F526" s="8" t="s">
        <v>3190</v>
      </c>
      <c r="G526" s="21">
        <v>9.727226103E9</v>
      </c>
      <c r="H526" s="8"/>
      <c r="I526" s="21">
        <v>2960.0</v>
      </c>
      <c r="J526" s="8" t="s">
        <v>1207</v>
      </c>
      <c r="K526" s="8" t="s">
        <v>668</v>
      </c>
      <c r="L526" s="197" t="s">
        <v>49</v>
      </c>
      <c r="M526" s="8" t="s">
        <v>71</v>
      </c>
      <c r="N526" s="8" t="s">
        <v>28</v>
      </c>
      <c r="O526" s="21">
        <v>17236.0</v>
      </c>
      <c r="P526" s="21">
        <v>19376.0</v>
      </c>
      <c r="Q526" s="6">
        <v>53.0</v>
      </c>
      <c r="R526" s="12">
        <f t="shared" si="13"/>
        <v>9135.08</v>
      </c>
    </row>
    <row r="527">
      <c r="A527" s="21" t="s">
        <v>3183</v>
      </c>
      <c r="B527" s="8" t="s">
        <v>3191</v>
      </c>
      <c r="C527" s="8" t="s">
        <v>3192</v>
      </c>
      <c r="D527" s="8" t="s">
        <v>21</v>
      </c>
      <c r="E527" s="21">
        <v>3118.0</v>
      </c>
      <c r="F527" s="8" t="s">
        <v>3193</v>
      </c>
      <c r="G527" s="21">
        <v>9.979078037E9</v>
      </c>
      <c r="H527" s="8"/>
      <c r="I527" s="21">
        <v>35000.0</v>
      </c>
      <c r="J527" s="8" t="s">
        <v>1193</v>
      </c>
      <c r="K527" s="8" t="s">
        <v>78</v>
      </c>
      <c r="L527" s="197" t="s">
        <v>49</v>
      </c>
      <c r="M527" s="8" t="s">
        <v>71</v>
      </c>
      <c r="N527" s="8" t="s">
        <v>28</v>
      </c>
      <c r="O527" s="97">
        <v>47174.68</v>
      </c>
      <c r="P527" s="97">
        <v>53029.0</v>
      </c>
      <c r="Q527" s="6">
        <v>28.0</v>
      </c>
      <c r="R527" s="12">
        <f t="shared" si="13"/>
        <v>13208.9104</v>
      </c>
    </row>
    <row r="528">
      <c r="A528" s="21" t="s">
        <v>3183</v>
      </c>
      <c r="B528" s="8" t="s">
        <v>3194</v>
      </c>
      <c r="C528" s="8" t="s">
        <v>3195</v>
      </c>
      <c r="D528" s="8" t="s">
        <v>1405</v>
      </c>
      <c r="E528" s="8" t="s">
        <v>1816</v>
      </c>
      <c r="F528" s="8" t="s">
        <v>3196</v>
      </c>
      <c r="G528" s="21">
        <v>9.913913609E9</v>
      </c>
      <c r="H528" s="8"/>
      <c r="I528" s="21">
        <v>990.0</v>
      </c>
      <c r="J528" s="22">
        <v>46085.0</v>
      </c>
      <c r="K528" s="8" t="s">
        <v>78</v>
      </c>
      <c r="L528" s="197" t="s">
        <v>49</v>
      </c>
      <c r="M528" s="8" t="s">
        <v>340</v>
      </c>
      <c r="N528" s="8" t="s">
        <v>28</v>
      </c>
      <c r="O528" s="97">
        <v>5386.93</v>
      </c>
      <c r="P528" s="97">
        <v>6087.0</v>
      </c>
      <c r="Q528" s="6">
        <v>59.0</v>
      </c>
      <c r="R528" s="12">
        <f t="shared" si="13"/>
        <v>3178.2887</v>
      </c>
    </row>
    <row r="529">
      <c r="A529" s="21" t="s">
        <v>3183</v>
      </c>
      <c r="B529" s="8" t="s">
        <v>3197</v>
      </c>
      <c r="C529" s="8" t="s">
        <v>3198</v>
      </c>
      <c r="D529" s="8" t="s">
        <v>533</v>
      </c>
      <c r="E529" s="8" t="s">
        <v>2701</v>
      </c>
      <c r="F529" s="8" t="s">
        <v>3199</v>
      </c>
      <c r="G529" s="21">
        <v>9.87901593E9</v>
      </c>
      <c r="H529" s="8"/>
      <c r="I529" s="21">
        <v>0.0</v>
      </c>
      <c r="J529" s="8" t="s">
        <v>1193</v>
      </c>
      <c r="K529" s="8" t="s">
        <v>116</v>
      </c>
      <c r="L529" s="197" t="s">
        <v>26</v>
      </c>
      <c r="M529" s="8" t="s">
        <v>33</v>
      </c>
      <c r="N529" s="8" t="s">
        <v>28</v>
      </c>
      <c r="O529" s="97">
        <v>7317.0</v>
      </c>
      <c r="P529" s="97">
        <v>8634.0</v>
      </c>
      <c r="Q529" s="6">
        <v>27.0</v>
      </c>
      <c r="R529" s="12">
        <f t="shared" si="13"/>
        <v>1975.59</v>
      </c>
    </row>
    <row r="530">
      <c r="A530" s="21" t="s">
        <v>3183</v>
      </c>
      <c r="B530" s="8" t="s">
        <v>3200</v>
      </c>
      <c r="C530" s="8" t="s">
        <v>3201</v>
      </c>
      <c r="D530" s="8" t="s">
        <v>21</v>
      </c>
      <c r="E530" s="8" t="s">
        <v>3202</v>
      </c>
      <c r="F530" s="8" t="s">
        <v>3203</v>
      </c>
      <c r="G530" s="8"/>
      <c r="H530" s="8"/>
      <c r="I530" s="21">
        <v>17750.0</v>
      </c>
      <c r="J530" s="8" t="s">
        <v>3204</v>
      </c>
      <c r="K530" s="8" t="s">
        <v>78</v>
      </c>
      <c r="L530" s="197" t="s">
        <v>49</v>
      </c>
      <c r="M530" s="8" t="s">
        <v>3028</v>
      </c>
      <c r="N530" s="8" t="s">
        <v>28</v>
      </c>
      <c r="O530" s="97">
        <v>39564.8</v>
      </c>
      <c r="P530" s="97">
        <v>44568.0</v>
      </c>
      <c r="Q530" s="6">
        <v>26.0</v>
      </c>
      <c r="R530" s="12">
        <f t="shared" si="13"/>
        <v>10286.848</v>
      </c>
    </row>
    <row r="531">
      <c r="A531" s="21" t="s">
        <v>3183</v>
      </c>
      <c r="B531" s="8" t="s">
        <v>3205</v>
      </c>
      <c r="C531" s="8" t="s">
        <v>3206</v>
      </c>
      <c r="D531" s="8" t="s">
        <v>533</v>
      </c>
      <c r="E531" s="8" t="s">
        <v>3207</v>
      </c>
      <c r="F531" s="8" t="s">
        <v>3208</v>
      </c>
      <c r="G531" s="8"/>
      <c r="H531" s="8"/>
      <c r="I531" s="21">
        <v>50.0</v>
      </c>
      <c r="J531" s="8" t="s">
        <v>3058</v>
      </c>
      <c r="K531" s="8" t="s">
        <v>25</v>
      </c>
      <c r="L531" s="197" t="s">
        <v>26</v>
      </c>
      <c r="M531" s="8" t="s">
        <v>340</v>
      </c>
      <c r="N531" s="8" t="s">
        <v>28</v>
      </c>
      <c r="O531" s="97">
        <v>7317.0</v>
      </c>
      <c r="P531" s="97">
        <v>8634.0</v>
      </c>
      <c r="Q531" s="6">
        <v>31.0</v>
      </c>
      <c r="R531" s="12">
        <f t="shared" si="13"/>
        <v>2268.27</v>
      </c>
    </row>
    <row r="532">
      <c r="A532" s="21" t="s">
        <v>3209</v>
      </c>
      <c r="B532" s="8" t="s">
        <v>3210</v>
      </c>
      <c r="C532" s="8" t="s">
        <v>3211</v>
      </c>
      <c r="D532" s="8" t="s">
        <v>21</v>
      </c>
      <c r="E532" s="8" t="s">
        <v>3212</v>
      </c>
      <c r="F532" s="8" t="s">
        <v>3213</v>
      </c>
      <c r="G532" s="8"/>
      <c r="H532" s="8"/>
      <c r="I532" s="21">
        <v>10400.0</v>
      </c>
      <c r="J532" s="8" t="s">
        <v>1193</v>
      </c>
      <c r="K532" s="8" t="s">
        <v>353</v>
      </c>
      <c r="L532" s="197" t="s">
        <v>49</v>
      </c>
      <c r="M532" s="8" t="s">
        <v>3028</v>
      </c>
      <c r="N532" s="8" t="s">
        <v>28</v>
      </c>
      <c r="O532" s="97">
        <v>30003.0</v>
      </c>
      <c r="P532" s="97">
        <v>33772.0</v>
      </c>
      <c r="Q532" s="6">
        <v>26.0</v>
      </c>
      <c r="R532" s="12">
        <f t="shared" si="13"/>
        <v>7800.78</v>
      </c>
    </row>
    <row r="533">
      <c r="A533" s="21" t="s">
        <v>3209</v>
      </c>
      <c r="B533" s="8" t="s">
        <v>3214</v>
      </c>
      <c r="C533" s="8" t="s">
        <v>3215</v>
      </c>
      <c r="D533" s="8" t="s">
        <v>1395</v>
      </c>
      <c r="E533" s="8" t="s">
        <v>3216</v>
      </c>
      <c r="F533" s="8" t="s">
        <v>3217</v>
      </c>
      <c r="G533" s="21">
        <v>9.638805348E9</v>
      </c>
      <c r="H533" s="8"/>
      <c r="I533" s="21">
        <v>1600.0</v>
      </c>
      <c r="J533" s="8" t="s">
        <v>1207</v>
      </c>
      <c r="K533" s="8" t="s">
        <v>78</v>
      </c>
      <c r="L533" s="197" t="s">
        <v>49</v>
      </c>
      <c r="M533" s="8" t="s">
        <v>1477</v>
      </c>
      <c r="N533" s="8" t="s">
        <v>28</v>
      </c>
      <c r="O533" s="97">
        <v>23413.99</v>
      </c>
      <c r="P533" s="97">
        <v>26666.0</v>
      </c>
      <c r="Q533" s="6">
        <v>63.0</v>
      </c>
      <c r="R533" s="12">
        <f t="shared" si="13"/>
        <v>14750.8137</v>
      </c>
    </row>
    <row r="534">
      <c r="A534" s="21" t="s">
        <v>3209</v>
      </c>
      <c r="B534" s="8" t="s">
        <v>1208</v>
      </c>
      <c r="C534" s="8" t="s">
        <v>3218</v>
      </c>
      <c r="D534" s="8" t="s">
        <v>21</v>
      </c>
      <c r="E534" s="8" t="s">
        <v>2854</v>
      </c>
      <c r="F534" s="8" t="s">
        <v>3219</v>
      </c>
      <c r="G534" s="21" t="s">
        <v>3220</v>
      </c>
      <c r="H534" s="8"/>
      <c r="I534" s="21">
        <v>11990.0</v>
      </c>
      <c r="J534" s="8" t="s">
        <v>1193</v>
      </c>
      <c r="K534" s="8" t="s">
        <v>78</v>
      </c>
      <c r="L534" s="197" t="s">
        <v>49</v>
      </c>
      <c r="M534" s="8" t="s">
        <v>389</v>
      </c>
      <c r="N534" s="8" t="s">
        <v>28</v>
      </c>
      <c r="O534" s="97">
        <v>32725.19</v>
      </c>
      <c r="P534" s="97">
        <v>36985.0</v>
      </c>
      <c r="Q534" s="6">
        <v>32.0</v>
      </c>
      <c r="R534" s="12">
        <f t="shared" si="13"/>
        <v>10472.0608</v>
      </c>
    </row>
    <row r="535">
      <c r="A535" s="21" t="s">
        <v>3209</v>
      </c>
      <c r="B535" s="8" t="s">
        <v>3221</v>
      </c>
      <c r="C535" s="8" t="s">
        <v>3222</v>
      </c>
      <c r="D535" s="8" t="s">
        <v>21</v>
      </c>
      <c r="E535" s="8" t="s">
        <v>2854</v>
      </c>
      <c r="F535" s="8" t="s">
        <v>3223</v>
      </c>
      <c r="G535" s="8"/>
      <c r="H535" s="8"/>
      <c r="I535" s="21">
        <v>11990.0</v>
      </c>
      <c r="J535" s="8" t="s">
        <v>1193</v>
      </c>
      <c r="K535" s="8" t="s">
        <v>78</v>
      </c>
      <c r="L535" s="197" t="s">
        <v>49</v>
      </c>
      <c r="M535" s="8" t="s">
        <v>71</v>
      </c>
      <c r="N535" s="8" t="s">
        <v>28</v>
      </c>
      <c r="O535" s="97">
        <v>31560.55</v>
      </c>
      <c r="P535" s="97">
        <v>35610.0</v>
      </c>
      <c r="Q535" s="6">
        <v>32.0</v>
      </c>
      <c r="R535" s="12">
        <f t="shared" si="13"/>
        <v>10099.376</v>
      </c>
    </row>
    <row r="536">
      <c r="A536" s="21" t="s">
        <v>3209</v>
      </c>
      <c r="B536" s="8" t="s">
        <v>1203</v>
      </c>
      <c r="C536" s="8" t="s">
        <v>3224</v>
      </c>
      <c r="D536" s="8" t="s">
        <v>21</v>
      </c>
      <c r="E536" s="8" t="s">
        <v>3225</v>
      </c>
      <c r="F536" s="8" t="s">
        <v>3226</v>
      </c>
      <c r="G536" s="21" t="s">
        <v>3227</v>
      </c>
      <c r="H536" s="8"/>
      <c r="I536" s="21">
        <v>4450.0</v>
      </c>
      <c r="J536" s="8" t="s">
        <v>1193</v>
      </c>
      <c r="K536" s="8" t="s">
        <v>41</v>
      </c>
      <c r="L536" s="197" t="s">
        <v>26</v>
      </c>
      <c r="M536" s="8" t="s">
        <v>219</v>
      </c>
      <c r="N536" s="8" t="s">
        <v>28</v>
      </c>
      <c r="O536" s="96">
        <v>16149.0</v>
      </c>
      <c r="P536" s="97">
        <v>18093.0</v>
      </c>
      <c r="Q536" s="6">
        <v>52.0</v>
      </c>
      <c r="R536" s="12">
        <f t="shared" si="13"/>
        <v>8397.48</v>
      </c>
    </row>
    <row r="537">
      <c r="A537" s="21" t="s">
        <v>3209</v>
      </c>
      <c r="B537" s="8" t="s">
        <v>3228</v>
      </c>
      <c r="C537" s="8" t="s">
        <v>3229</v>
      </c>
      <c r="D537" s="8" t="s">
        <v>21</v>
      </c>
      <c r="E537" s="8" t="s">
        <v>3230</v>
      </c>
      <c r="F537" s="8" t="s">
        <v>3226</v>
      </c>
      <c r="G537" s="21" t="s">
        <v>3227</v>
      </c>
      <c r="H537" s="8"/>
      <c r="I537" s="21">
        <v>7300.0</v>
      </c>
      <c r="J537" s="8" t="s">
        <v>1193</v>
      </c>
      <c r="K537" s="8" t="s">
        <v>41</v>
      </c>
      <c r="L537" s="197" t="s">
        <v>26</v>
      </c>
      <c r="M537" s="8" t="s">
        <v>219</v>
      </c>
      <c r="N537" s="8" t="s">
        <v>28</v>
      </c>
      <c r="O537" s="97">
        <v>16149.0</v>
      </c>
      <c r="P537" s="97">
        <v>18093.0</v>
      </c>
      <c r="Q537" s="6">
        <v>52.0</v>
      </c>
      <c r="R537" s="12">
        <f t="shared" si="13"/>
        <v>8397.48</v>
      </c>
    </row>
    <row r="538">
      <c r="A538" s="21" t="s">
        <v>3209</v>
      </c>
      <c r="B538" s="8" t="s">
        <v>3231</v>
      </c>
      <c r="C538" s="8" t="s">
        <v>3232</v>
      </c>
      <c r="D538" s="8" t="s">
        <v>21</v>
      </c>
      <c r="E538" s="8" t="s">
        <v>1866</v>
      </c>
      <c r="F538" s="8" t="s">
        <v>3233</v>
      </c>
      <c r="G538" s="21" t="s">
        <v>3234</v>
      </c>
      <c r="H538" s="8"/>
      <c r="I538" s="21">
        <v>12990.0</v>
      </c>
      <c r="J538" s="8" t="s">
        <v>1207</v>
      </c>
      <c r="K538" s="8" t="s">
        <v>78</v>
      </c>
      <c r="L538" s="197" t="s">
        <v>49</v>
      </c>
      <c r="M538" s="8" t="s">
        <v>340</v>
      </c>
      <c r="N538" s="8" t="s">
        <v>28</v>
      </c>
      <c r="O538" s="97">
        <v>37429.63</v>
      </c>
      <c r="P538" s="97">
        <v>42048.0</v>
      </c>
      <c r="Q538" s="6">
        <v>26.0</v>
      </c>
      <c r="R538" s="12">
        <f t="shared" si="13"/>
        <v>9731.7038</v>
      </c>
    </row>
    <row r="539">
      <c r="A539" s="21" t="s">
        <v>3209</v>
      </c>
      <c r="B539" s="8" t="s">
        <v>3235</v>
      </c>
      <c r="C539" s="8" t="s">
        <v>3236</v>
      </c>
      <c r="D539" s="8" t="s">
        <v>1395</v>
      </c>
      <c r="E539" s="8" t="s">
        <v>1303</v>
      </c>
      <c r="F539" s="8" t="s">
        <v>3237</v>
      </c>
      <c r="G539" s="8"/>
      <c r="H539" s="8"/>
      <c r="I539" s="21">
        <v>2825.0</v>
      </c>
      <c r="J539" s="8" t="s">
        <v>1207</v>
      </c>
      <c r="K539" s="8" t="s">
        <v>116</v>
      </c>
      <c r="L539" s="197" t="s">
        <v>49</v>
      </c>
      <c r="M539" s="8" t="s">
        <v>365</v>
      </c>
      <c r="N539" s="8" t="s">
        <v>28</v>
      </c>
      <c r="O539" s="97">
        <v>20972.0</v>
      </c>
      <c r="P539" s="97">
        <v>23777.0</v>
      </c>
      <c r="Q539" s="6">
        <v>48.0</v>
      </c>
      <c r="R539" s="12">
        <f t="shared" si="13"/>
        <v>10066.56</v>
      </c>
    </row>
    <row r="540">
      <c r="A540" s="21" t="s">
        <v>3238</v>
      </c>
      <c r="B540" s="8" t="s">
        <v>3239</v>
      </c>
      <c r="C540" s="8" t="s">
        <v>3240</v>
      </c>
      <c r="D540" s="8" t="s">
        <v>21</v>
      </c>
      <c r="E540" s="8" t="s">
        <v>3241</v>
      </c>
      <c r="F540" s="8" t="s">
        <v>3242</v>
      </c>
      <c r="G540" s="21" t="s">
        <v>3227</v>
      </c>
      <c r="H540" s="8"/>
      <c r="I540" s="21">
        <v>16200.0</v>
      </c>
      <c r="J540" s="8" t="s">
        <v>1207</v>
      </c>
      <c r="K540" s="8" t="s">
        <v>25</v>
      </c>
      <c r="L540" s="197" t="s">
        <v>26</v>
      </c>
      <c r="M540" s="8" t="s">
        <v>144</v>
      </c>
      <c r="N540" s="8" t="s">
        <v>28</v>
      </c>
      <c r="O540" s="21">
        <v>35413.0</v>
      </c>
      <c r="P540" s="21">
        <v>39669.0</v>
      </c>
      <c r="Q540" s="6">
        <v>50.0</v>
      </c>
      <c r="R540" s="12">
        <f t="shared" si="13"/>
        <v>17706.5</v>
      </c>
    </row>
    <row r="541">
      <c r="A541" s="21" t="s">
        <v>3238</v>
      </c>
      <c r="B541" s="8" t="s">
        <v>1215</v>
      </c>
      <c r="C541" s="8" t="s">
        <v>3243</v>
      </c>
      <c r="D541" s="8" t="s">
        <v>21</v>
      </c>
      <c r="E541" s="8" t="s">
        <v>3244</v>
      </c>
      <c r="F541" s="8" t="s">
        <v>3245</v>
      </c>
      <c r="G541" s="21" t="s">
        <v>3246</v>
      </c>
      <c r="H541" s="8"/>
      <c r="I541" s="21">
        <v>16200.0</v>
      </c>
      <c r="J541" s="8" t="s">
        <v>1207</v>
      </c>
      <c r="K541" s="8" t="s">
        <v>25</v>
      </c>
      <c r="L541" s="197" t="s">
        <v>26</v>
      </c>
      <c r="M541" s="8" t="s">
        <v>1616</v>
      </c>
      <c r="N541" s="8" t="s">
        <v>28</v>
      </c>
      <c r="O541" s="21">
        <v>35413.0</v>
      </c>
      <c r="P541" s="21">
        <v>39669.0</v>
      </c>
      <c r="Q541" s="6">
        <v>50.0</v>
      </c>
      <c r="R541" s="12">
        <f t="shared" si="13"/>
        <v>17706.5</v>
      </c>
    </row>
    <row r="542">
      <c r="A542" s="21" t="s">
        <v>3238</v>
      </c>
      <c r="B542" s="8" t="s">
        <v>3247</v>
      </c>
      <c r="C542" s="8" t="s">
        <v>3248</v>
      </c>
      <c r="D542" s="8" t="s">
        <v>21</v>
      </c>
      <c r="E542" s="8" t="s">
        <v>3249</v>
      </c>
      <c r="F542" s="8" t="s">
        <v>3250</v>
      </c>
      <c r="G542" s="21">
        <v>9.727266011E9</v>
      </c>
      <c r="H542" s="8"/>
      <c r="I542" s="21">
        <v>31000.0</v>
      </c>
      <c r="J542" s="8" t="s">
        <v>1207</v>
      </c>
      <c r="K542" s="8" t="s">
        <v>25</v>
      </c>
      <c r="L542" s="197" t="s">
        <v>26</v>
      </c>
      <c r="M542" s="8" t="s">
        <v>1477</v>
      </c>
      <c r="N542" s="8" t="s">
        <v>28</v>
      </c>
      <c r="O542" s="21">
        <v>44050.0</v>
      </c>
      <c r="P542" s="21">
        <v>49342.0</v>
      </c>
      <c r="Q542" s="6">
        <v>50.0</v>
      </c>
      <c r="R542" s="12">
        <f t="shared" si="13"/>
        <v>22025</v>
      </c>
    </row>
    <row r="543">
      <c r="A543" s="21" t="s">
        <v>3238</v>
      </c>
      <c r="B543" s="8" t="s">
        <v>3251</v>
      </c>
      <c r="C543" s="8" t="s">
        <v>3252</v>
      </c>
      <c r="D543" s="8" t="s">
        <v>21</v>
      </c>
      <c r="E543" s="8" t="s">
        <v>3253</v>
      </c>
      <c r="F543" s="8" t="s">
        <v>3254</v>
      </c>
      <c r="G543" s="8"/>
      <c r="H543" s="8"/>
      <c r="I543" s="21">
        <v>25000.0</v>
      </c>
      <c r="J543" s="8" t="s">
        <v>1207</v>
      </c>
      <c r="K543" s="8" t="s">
        <v>25</v>
      </c>
      <c r="L543" s="197" t="s">
        <v>26</v>
      </c>
      <c r="M543" s="8" t="s">
        <v>365</v>
      </c>
      <c r="N543" s="8" t="s">
        <v>28</v>
      </c>
      <c r="O543" s="21">
        <v>44050.0</v>
      </c>
      <c r="P543" s="21">
        <v>49342.0</v>
      </c>
      <c r="Q543" s="6">
        <v>50.0</v>
      </c>
      <c r="R543" s="12">
        <f t="shared" si="13"/>
        <v>22025</v>
      </c>
    </row>
    <row r="544">
      <c r="A544" s="21" t="s">
        <v>3238</v>
      </c>
      <c r="B544" s="8" t="s">
        <v>3255</v>
      </c>
      <c r="C544" s="8" t="s">
        <v>3256</v>
      </c>
      <c r="D544" s="8" t="s">
        <v>1405</v>
      </c>
      <c r="E544" s="8" t="s">
        <v>3257</v>
      </c>
      <c r="F544" s="8" t="s">
        <v>3258</v>
      </c>
      <c r="G544" s="21">
        <v>9.879355685E9</v>
      </c>
      <c r="H544" s="8"/>
      <c r="I544" s="21">
        <v>1150.0</v>
      </c>
      <c r="J544" s="8" t="s">
        <v>3204</v>
      </c>
      <c r="K544" s="8" t="s">
        <v>78</v>
      </c>
      <c r="L544" s="197" t="s">
        <v>49</v>
      </c>
      <c r="M544" s="8" t="s">
        <v>71</v>
      </c>
      <c r="N544" s="8" t="s">
        <v>28</v>
      </c>
      <c r="O544" s="97">
        <v>5115.39</v>
      </c>
      <c r="P544" s="97">
        <v>5767.0</v>
      </c>
      <c r="Q544" s="6">
        <v>59.0</v>
      </c>
      <c r="R544" s="12">
        <f t="shared" si="13"/>
        <v>3018.0801</v>
      </c>
    </row>
    <row r="545">
      <c r="A545" s="21" t="s">
        <v>3238</v>
      </c>
      <c r="B545" s="8" t="s">
        <v>3259</v>
      </c>
      <c r="C545" s="8" t="s">
        <v>3260</v>
      </c>
      <c r="D545" s="8" t="s">
        <v>1405</v>
      </c>
      <c r="E545" s="8" t="s">
        <v>1816</v>
      </c>
      <c r="F545" s="8" t="s">
        <v>3261</v>
      </c>
      <c r="G545" s="21" t="s">
        <v>3262</v>
      </c>
      <c r="H545" s="8"/>
      <c r="I545" s="21">
        <v>900.0</v>
      </c>
      <c r="J545" s="8" t="s">
        <v>1211</v>
      </c>
      <c r="K545" s="8" t="s">
        <v>78</v>
      </c>
      <c r="L545" s="197" t="s">
        <v>49</v>
      </c>
      <c r="M545" s="8" t="s">
        <v>365</v>
      </c>
      <c r="N545" s="8" t="s">
        <v>28</v>
      </c>
      <c r="O545" s="97">
        <v>5255.87</v>
      </c>
      <c r="P545" s="97">
        <v>5932.0</v>
      </c>
      <c r="Q545" s="6">
        <v>59.0</v>
      </c>
      <c r="R545" s="12">
        <f t="shared" si="13"/>
        <v>3100.9633</v>
      </c>
    </row>
    <row r="546">
      <c r="A546" s="21" t="s">
        <v>3238</v>
      </c>
      <c r="B546" s="131" t="s">
        <v>3263</v>
      </c>
      <c r="C546" s="8" t="s">
        <v>3264</v>
      </c>
      <c r="D546" s="8" t="s">
        <v>21</v>
      </c>
      <c r="E546" s="8" t="s">
        <v>2854</v>
      </c>
      <c r="F546" s="8" t="s">
        <v>3265</v>
      </c>
      <c r="G546" s="21">
        <v>9.925968917E9</v>
      </c>
      <c r="H546" s="8"/>
      <c r="I546" s="21">
        <v>11990.0</v>
      </c>
      <c r="J546" s="8" t="s">
        <v>1211</v>
      </c>
      <c r="K546" s="8" t="s">
        <v>78</v>
      </c>
      <c r="L546" s="197" t="s">
        <v>49</v>
      </c>
      <c r="M546" s="8" t="s">
        <v>71</v>
      </c>
      <c r="N546" s="8" t="s">
        <v>28</v>
      </c>
      <c r="O546" s="97">
        <v>32672.5</v>
      </c>
      <c r="P546" s="97">
        <v>36922.0</v>
      </c>
      <c r="Q546" s="6">
        <v>32.0</v>
      </c>
      <c r="R546" s="12">
        <f t="shared" si="13"/>
        <v>10455.2</v>
      </c>
    </row>
    <row r="547">
      <c r="A547" s="21" t="s">
        <v>3238</v>
      </c>
      <c r="B547" s="8" t="s">
        <v>3266</v>
      </c>
      <c r="C547" s="8" t="s">
        <v>3267</v>
      </c>
      <c r="D547" s="8" t="s">
        <v>1395</v>
      </c>
      <c r="E547" s="8" t="s">
        <v>3268</v>
      </c>
      <c r="F547" s="8" t="s">
        <v>3269</v>
      </c>
      <c r="G547" s="21">
        <v>9.904728982E9</v>
      </c>
      <c r="H547" s="8"/>
      <c r="I547" s="21">
        <v>1630.0</v>
      </c>
      <c r="J547" s="8" t="s">
        <v>1211</v>
      </c>
      <c r="K547" s="8" t="s">
        <v>78</v>
      </c>
      <c r="L547" s="197" t="s">
        <v>49</v>
      </c>
      <c r="M547" s="8" t="s">
        <v>71</v>
      </c>
      <c r="N547" s="8" t="s">
        <v>28</v>
      </c>
      <c r="O547" s="97">
        <v>22028.35</v>
      </c>
      <c r="P547" s="97">
        <v>25031.0</v>
      </c>
      <c r="Q547" s="6">
        <v>63.0</v>
      </c>
      <c r="R547" s="12">
        <f t="shared" si="13"/>
        <v>13877.8605</v>
      </c>
    </row>
    <row r="548">
      <c r="A548" s="21" t="s">
        <v>3238</v>
      </c>
      <c r="B548" s="8" t="s">
        <v>3270</v>
      </c>
      <c r="C548" s="8" t="s">
        <v>3271</v>
      </c>
      <c r="D548" s="8" t="s">
        <v>1395</v>
      </c>
      <c r="E548" s="8" t="s">
        <v>2253</v>
      </c>
      <c r="F548" s="8" t="s">
        <v>3272</v>
      </c>
      <c r="G548" s="21" t="s">
        <v>3273</v>
      </c>
      <c r="H548" s="8"/>
      <c r="I548" s="21">
        <v>3490.0</v>
      </c>
      <c r="J548" s="8" t="s">
        <v>1211</v>
      </c>
      <c r="K548" s="8" t="s">
        <v>668</v>
      </c>
      <c r="L548" s="197" t="s">
        <v>49</v>
      </c>
      <c r="M548" s="8" t="s">
        <v>1456</v>
      </c>
      <c r="N548" s="8" t="s">
        <v>28</v>
      </c>
      <c r="O548" s="21">
        <v>18878.0</v>
      </c>
      <c r="P548" s="21">
        <v>21314.0</v>
      </c>
      <c r="Q548" s="6">
        <v>53.0</v>
      </c>
      <c r="R548" s="12">
        <f t="shared" si="13"/>
        <v>10005.34</v>
      </c>
    </row>
    <row r="549">
      <c r="A549" s="21" t="s">
        <v>3238</v>
      </c>
      <c r="B549" s="8" t="s">
        <v>3274</v>
      </c>
      <c r="C549" s="8" t="s">
        <v>3275</v>
      </c>
      <c r="D549" s="8" t="s">
        <v>1395</v>
      </c>
      <c r="E549" s="8" t="s">
        <v>524</v>
      </c>
      <c r="F549" s="8" t="s">
        <v>3276</v>
      </c>
      <c r="G549" s="21" t="s">
        <v>3277</v>
      </c>
      <c r="H549" s="8"/>
      <c r="I549" s="21">
        <v>3490.0</v>
      </c>
      <c r="J549" s="8" t="s">
        <v>1211</v>
      </c>
      <c r="K549" s="8" t="s">
        <v>116</v>
      </c>
      <c r="L549" s="197" t="s">
        <v>49</v>
      </c>
      <c r="M549" s="8" t="s">
        <v>3028</v>
      </c>
      <c r="N549" s="8" t="s">
        <v>28</v>
      </c>
      <c r="O549" s="97">
        <v>21274.0</v>
      </c>
      <c r="P549" s="97">
        <v>24137.0</v>
      </c>
      <c r="Q549" s="6">
        <v>48.0</v>
      </c>
      <c r="R549" s="12">
        <f t="shared" si="13"/>
        <v>10211.52</v>
      </c>
    </row>
    <row r="550">
      <c r="A550" s="21" t="s">
        <v>3238</v>
      </c>
      <c r="B550" s="8" t="s">
        <v>3278</v>
      </c>
      <c r="C550" s="8" t="s">
        <v>3279</v>
      </c>
      <c r="D550" s="8" t="s">
        <v>1395</v>
      </c>
      <c r="E550" s="8" t="s">
        <v>2087</v>
      </c>
      <c r="F550" s="8" t="s">
        <v>3280</v>
      </c>
      <c r="G550" s="21" t="s">
        <v>3281</v>
      </c>
      <c r="H550" s="8"/>
      <c r="I550" s="21">
        <v>2995.0</v>
      </c>
      <c r="J550" s="8" t="s">
        <v>1211</v>
      </c>
      <c r="K550" s="8" t="s">
        <v>116</v>
      </c>
      <c r="L550" s="197" t="s">
        <v>49</v>
      </c>
      <c r="M550" s="8" t="s">
        <v>71</v>
      </c>
      <c r="N550" s="8" t="s">
        <v>28</v>
      </c>
      <c r="O550" s="97">
        <v>20568.0</v>
      </c>
      <c r="P550" s="97">
        <v>23302.0</v>
      </c>
      <c r="Q550" s="6">
        <v>48.0</v>
      </c>
      <c r="R550" s="12">
        <f t="shared" si="13"/>
        <v>9872.64</v>
      </c>
    </row>
    <row r="551">
      <c r="A551" s="208" t="s">
        <v>3238</v>
      </c>
      <c r="B551" s="131" t="s">
        <v>3282</v>
      </c>
      <c r="C551" s="131" t="s">
        <v>3283</v>
      </c>
      <c r="D551" s="206" t="s">
        <v>1395</v>
      </c>
      <c r="E551" s="131" t="s">
        <v>3284</v>
      </c>
      <c r="F551" s="131" t="s">
        <v>3285</v>
      </c>
      <c r="G551" s="208" t="s">
        <v>3286</v>
      </c>
      <c r="H551" s="131"/>
      <c r="I551" s="208">
        <v>1850.0</v>
      </c>
      <c r="J551" s="131" t="s">
        <v>3050</v>
      </c>
      <c r="K551" s="131" t="s">
        <v>70</v>
      </c>
      <c r="L551" s="197" t="s">
        <v>49</v>
      </c>
      <c r="M551" s="131" t="s">
        <v>3028</v>
      </c>
      <c r="N551" s="131" t="s">
        <v>28</v>
      </c>
      <c r="O551" s="209">
        <v>18460.0</v>
      </c>
      <c r="P551" s="209">
        <v>20820.0</v>
      </c>
      <c r="Q551" s="6">
        <v>60.0</v>
      </c>
      <c r="R551" s="12">
        <f t="shared" si="13"/>
        <v>11076</v>
      </c>
    </row>
    <row r="552">
      <c r="A552" s="21" t="s">
        <v>3238</v>
      </c>
      <c r="B552" s="8" t="s">
        <v>3287</v>
      </c>
      <c r="C552" s="8" t="s">
        <v>3288</v>
      </c>
      <c r="D552" s="8" t="s">
        <v>21</v>
      </c>
      <c r="E552" s="8" t="s">
        <v>3289</v>
      </c>
      <c r="F552" s="8" t="s">
        <v>3290</v>
      </c>
      <c r="G552" s="21" t="s">
        <v>2799</v>
      </c>
      <c r="H552" s="8"/>
      <c r="I552" s="21">
        <v>35000.0</v>
      </c>
      <c r="J552" s="8" t="s">
        <v>3204</v>
      </c>
      <c r="K552" s="8" t="s">
        <v>353</v>
      </c>
      <c r="L552" s="197" t="s">
        <v>49</v>
      </c>
      <c r="M552" s="8" t="s">
        <v>219</v>
      </c>
      <c r="N552" s="8" t="s">
        <v>28</v>
      </c>
      <c r="O552" s="97">
        <v>81851.0</v>
      </c>
      <c r="P552" s="97">
        <v>93947.0</v>
      </c>
      <c r="Q552" s="6">
        <v>28.0</v>
      </c>
      <c r="R552" s="12">
        <f t="shared" si="13"/>
        <v>22918.28</v>
      </c>
    </row>
    <row r="553">
      <c r="A553" s="21" t="s">
        <v>3238</v>
      </c>
      <c r="B553" s="8" t="s">
        <v>3291</v>
      </c>
      <c r="C553" s="8" t="s">
        <v>3292</v>
      </c>
      <c r="D553" s="8" t="s">
        <v>1395</v>
      </c>
      <c r="E553" s="8" t="s">
        <v>3293</v>
      </c>
      <c r="F553" s="8" t="s">
        <v>3294</v>
      </c>
      <c r="G553" s="21">
        <v>9.998235566E9</v>
      </c>
      <c r="H553" s="8"/>
      <c r="I553" s="21">
        <v>2930.0</v>
      </c>
      <c r="J553" s="22">
        <v>46026.0</v>
      </c>
      <c r="K553" s="8" t="s">
        <v>116</v>
      </c>
      <c r="L553" s="197" t="s">
        <v>49</v>
      </c>
      <c r="M553" s="8" t="s">
        <v>1460</v>
      </c>
      <c r="N553" s="8" t="s">
        <v>28</v>
      </c>
      <c r="O553" s="97">
        <v>21432.0</v>
      </c>
      <c r="P553" s="97">
        <v>24322.0</v>
      </c>
      <c r="Q553" s="6">
        <v>48.0</v>
      </c>
      <c r="R553" s="12">
        <f t="shared" si="13"/>
        <v>10287.36</v>
      </c>
    </row>
    <row r="554">
      <c r="A554" s="21" t="s">
        <v>3238</v>
      </c>
      <c r="B554" s="8" t="s">
        <v>1253</v>
      </c>
      <c r="C554" s="8" t="s">
        <v>3295</v>
      </c>
      <c r="D554" s="8" t="s">
        <v>1395</v>
      </c>
      <c r="E554" s="8" t="s">
        <v>178</v>
      </c>
      <c r="F554" s="8" t="s">
        <v>1255</v>
      </c>
      <c r="G554" s="21">
        <v>9.687521735E9</v>
      </c>
      <c r="H554" s="8"/>
      <c r="I554" s="21">
        <v>3460.0</v>
      </c>
      <c r="J554" s="22">
        <v>46085.0</v>
      </c>
      <c r="K554" s="8" t="s">
        <v>116</v>
      </c>
      <c r="L554" s="197" t="s">
        <v>49</v>
      </c>
      <c r="M554" s="8" t="s">
        <v>389</v>
      </c>
      <c r="N554" s="8" t="s">
        <v>28</v>
      </c>
      <c r="O554" s="97">
        <v>22045.0</v>
      </c>
      <c r="P554" s="97">
        <v>25045.0</v>
      </c>
      <c r="Q554" s="6">
        <v>48.0</v>
      </c>
      <c r="R554" s="12">
        <f t="shared" si="13"/>
        <v>10581.6</v>
      </c>
    </row>
    <row r="555">
      <c r="A555" s="21" t="s">
        <v>3238</v>
      </c>
      <c r="B555" s="8" t="s">
        <v>3296</v>
      </c>
      <c r="C555" s="8" t="s">
        <v>3297</v>
      </c>
      <c r="D555" s="8" t="s">
        <v>1395</v>
      </c>
      <c r="E555" s="8" t="s">
        <v>3298</v>
      </c>
      <c r="F555" s="8" t="s">
        <v>3299</v>
      </c>
      <c r="G555" s="21">
        <v>9.714949465E9</v>
      </c>
      <c r="H555" s="8"/>
      <c r="I555" s="21">
        <v>2825.0</v>
      </c>
      <c r="J555" s="22">
        <v>46026.0</v>
      </c>
      <c r="K555" s="8" t="s">
        <v>668</v>
      </c>
      <c r="L555" s="197" t="s">
        <v>49</v>
      </c>
      <c r="M555" s="8" t="s">
        <v>1477</v>
      </c>
      <c r="N555" s="8" t="s">
        <v>28</v>
      </c>
      <c r="O555" s="21">
        <v>19700.0</v>
      </c>
      <c r="P555" s="21">
        <v>22284.0</v>
      </c>
      <c r="Q555" s="6">
        <v>53.0</v>
      </c>
      <c r="R555" s="12">
        <f t="shared" si="13"/>
        <v>10441</v>
      </c>
    </row>
    <row r="556">
      <c r="A556" s="21" t="s">
        <v>3238</v>
      </c>
      <c r="B556" s="8" t="s">
        <v>3300</v>
      </c>
      <c r="C556" s="8" t="s">
        <v>3301</v>
      </c>
      <c r="D556" s="8" t="s">
        <v>21</v>
      </c>
      <c r="E556" s="8" t="s">
        <v>3302</v>
      </c>
      <c r="F556" s="8" t="s">
        <v>3303</v>
      </c>
      <c r="G556" s="21">
        <v>7.567075426E9</v>
      </c>
      <c r="H556" s="8"/>
      <c r="I556" s="21">
        <v>11900.0</v>
      </c>
      <c r="J556" s="8" t="s">
        <v>3204</v>
      </c>
      <c r="K556" s="8" t="s">
        <v>668</v>
      </c>
      <c r="L556" s="197" t="s">
        <v>26</v>
      </c>
      <c r="M556" s="8" t="s">
        <v>27</v>
      </c>
      <c r="N556" s="8" t="s">
        <v>28</v>
      </c>
      <c r="O556" s="21">
        <v>27336.0</v>
      </c>
      <c r="P556" s="21">
        <v>30626.0</v>
      </c>
      <c r="Q556" s="6">
        <v>47.0</v>
      </c>
      <c r="R556" s="12">
        <f t="shared" si="13"/>
        <v>12847.92</v>
      </c>
    </row>
    <row r="557">
      <c r="A557" s="21" t="s">
        <v>3238</v>
      </c>
      <c r="B557" s="8" t="s">
        <v>3304</v>
      </c>
      <c r="C557" s="8" t="s">
        <v>3305</v>
      </c>
      <c r="D557" s="8" t="s">
        <v>21</v>
      </c>
      <c r="E557" s="8" t="s">
        <v>3306</v>
      </c>
      <c r="F557" s="8" t="s">
        <v>3307</v>
      </c>
      <c r="G557" s="21" t="s">
        <v>3308</v>
      </c>
      <c r="H557" s="8"/>
      <c r="I557" s="21">
        <v>35000.0</v>
      </c>
      <c r="J557" s="8" t="s">
        <v>3309</v>
      </c>
      <c r="K557" s="8" t="s">
        <v>353</v>
      </c>
      <c r="L557" s="197" t="s">
        <v>49</v>
      </c>
      <c r="M557" s="8" t="s">
        <v>1456</v>
      </c>
      <c r="N557" s="8" t="s">
        <v>28</v>
      </c>
      <c r="O557" s="97">
        <v>52217.0</v>
      </c>
      <c r="P557" s="97">
        <v>58979.0</v>
      </c>
      <c r="Q557" s="6">
        <v>28.0</v>
      </c>
      <c r="R557" s="12">
        <f t="shared" si="13"/>
        <v>14620.76</v>
      </c>
    </row>
    <row r="558">
      <c r="A558" s="22">
        <v>45720.0</v>
      </c>
      <c r="B558" s="8" t="s">
        <v>3310</v>
      </c>
      <c r="C558" s="8" t="s">
        <v>3311</v>
      </c>
      <c r="D558" s="8" t="s">
        <v>21</v>
      </c>
      <c r="E558" s="8" t="s">
        <v>3312</v>
      </c>
      <c r="F558" s="8" t="s">
        <v>3313</v>
      </c>
      <c r="G558" s="21">
        <v>9.978294551E9</v>
      </c>
      <c r="H558" s="8"/>
      <c r="I558" s="21">
        <v>11990.0</v>
      </c>
      <c r="J558" s="22" t="s">
        <v>3314</v>
      </c>
      <c r="K558" s="8" t="s">
        <v>668</v>
      </c>
      <c r="L558" s="197" t="s">
        <v>26</v>
      </c>
      <c r="M558" s="8" t="s">
        <v>1477</v>
      </c>
      <c r="N558" s="8" t="s">
        <v>28</v>
      </c>
      <c r="O558" s="97">
        <v>27286.0</v>
      </c>
      <c r="P558" s="97">
        <v>30566.0</v>
      </c>
      <c r="Q558" s="6">
        <v>47.0</v>
      </c>
      <c r="R558" s="12">
        <f t="shared" si="13"/>
        <v>12824.42</v>
      </c>
    </row>
    <row r="559">
      <c r="A559" s="22">
        <v>45720.0</v>
      </c>
      <c r="B559" s="8" t="s">
        <v>3315</v>
      </c>
      <c r="C559" s="8" t="s">
        <v>3316</v>
      </c>
      <c r="D559" s="8" t="s">
        <v>1395</v>
      </c>
      <c r="E559" s="8" t="s">
        <v>3317</v>
      </c>
      <c r="F559" s="8" t="s">
        <v>3318</v>
      </c>
      <c r="G559" s="21">
        <v>9.998115042E9</v>
      </c>
      <c r="H559" s="8"/>
      <c r="I559" s="21">
        <v>2700.0</v>
      </c>
      <c r="J559" s="22" t="s">
        <v>3319</v>
      </c>
      <c r="K559" s="8" t="s">
        <v>116</v>
      </c>
      <c r="L559" s="197" t="s">
        <v>49</v>
      </c>
      <c r="M559" s="8" t="s">
        <v>1477</v>
      </c>
      <c r="N559" s="8" t="s">
        <v>28</v>
      </c>
      <c r="O559" s="97">
        <v>20790.0</v>
      </c>
      <c r="P559" s="97">
        <v>23564.0</v>
      </c>
      <c r="Q559" s="6">
        <v>48.0</v>
      </c>
      <c r="R559" s="12">
        <f t="shared" si="13"/>
        <v>9979.2</v>
      </c>
    </row>
    <row r="560">
      <c r="A560" s="30" t="s">
        <v>3106</v>
      </c>
      <c r="B560" s="24" t="s">
        <v>3320</v>
      </c>
      <c r="C560" s="24" t="s">
        <v>3321</v>
      </c>
      <c r="D560" s="24" t="s">
        <v>21</v>
      </c>
      <c r="E560" s="24" t="s">
        <v>3322</v>
      </c>
      <c r="F560" s="24" t="s">
        <v>3323</v>
      </c>
      <c r="G560" s="30">
        <v>9.328341934E9</v>
      </c>
      <c r="H560" s="28"/>
      <c r="I560" s="30">
        <v>35000.0</v>
      </c>
      <c r="J560" s="24" t="s">
        <v>1168</v>
      </c>
      <c r="K560" s="24" t="s">
        <v>353</v>
      </c>
      <c r="L560" s="175" t="s">
        <v>49</v>
      </c>
      <c r="M560" s="24" t="s">
        <v>71</v>
      </c>
      <c r="N560" s="24" t="s">
        <v>28</v>
      </c>
      <c r="O560" s="152">
        <v>73943.0</v>
      </c>
      <c r="P560" s="152">
        <v>84616.0</v>
      </c>
      <c r="Q560" s="6">
        <v>28.0</v>
      </c>
      <c r="R560" s="12">
        <f t="shared" si="13"/>
        <v>20704.04</v>
      </c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</row>
    <row r="561">
      <c r="A561" s="30" t="s">
        <v>3111</v>
      </c>
      <c r="B561" s="24" t="s">
        <v>3324</v>
      </c>
      <c r="C561" s="24" t="s">
        <v>3325</v>
      </c>
      <c r="D561" s="24" t="s">
        <v>21</v>
      </c>
      <c r="E561" s="24" t="s">
        <v>3326</v>
      </c>
      <c r="F561" s="24" t="s">
        <v>604</v>
      </c>
      <c r="G561" s="30" t="s">
        <v>605</v>
      </c>
      <c r="H561" s="28"/>
      <c r="I561" s="30">
        <v>35000.0</v>
      </c>
      <c r="J561" s="24" t="s">
        <v>1177</v>
      </c>
      <c r="K561" s="24" t="s">
        <v>353</v>
      </c>
      <c r="L561" s="175" t="s">
        <v>49</v>
      </c>
      <c r="M561" s="24" t="s">
        <v>27</v>
      </c>
      <c r="N561" s="24" t="s">
        <v>28</v>
      </c>
      <c r="O561" s="152">
        <v>49675.0</v>
      </c>
      <c r="P561" s="152">
        <v>55980.0</v>
      </c>
      <c r="Q561" s="6">
        <v>28.0</v>
      </c>
      <c r="R561" s="12">
        <f t="shared" si="13"/>
        <v>13909</v>
      </c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</row>
    <row r="562">
      <c r="A562" s="30" t="s">
        <v>3111</v>
      </c>
      <c r="B562" s="24" t="s">
        <v>3327</v>
      </c>
      <c r="C562" s="24" t="s">
        <v>3328</v>
      </c>
      <c r="D562" s="24" t="s">
        <v>21</v>
      </c>
      <c r="E562" s="24" t="s">
        <v>3329</v>
      </c>
      <c r="F562" s="24" t="s">
        <v>604</v>
      </c>
      <c r="G562" s="30" t="s">
        <v>605</v>
      </c>
      <c r="H562" s="28"/>
      <c r="I562" s="30">
        <v>35000.0</v>
      </c>
      <c r="J562" s="24" t="s">
        <v>1177</v>
      </c>
      <c r="K562" s="24" t="s">
        <v>353</v>
      </c>
      <c r="L562" s="175" t="s">
        <v>49</v>
      </c>
      <c r="M562" s="24" t="s">
        <v>27</v>
      </c>
      <c r="N562" s="24" t="s">
        <v>28</v>
      </c>
      <c r="O562" s="152">
        <v>49675.0</v>
      </c>
      <c r="P562" s="152">
        <v>55980.0</v>
      </c>
      <c r="Q562" s="6">
        <v>28.0</v>
      </c>
      <c r="R562" s="12">
        <f t="shared" si="13"/>
        <v>13909</v>
      </c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</row>
    <row r="563">
      <c r="A563" s="30" t="s">
        <v>3111</v>
      </c>
      <c r="B563" s="24" t="s">
        <v>3330</v>
      </c>
      <c r="C563" s="24" t="s">
        <v>3331</v>
      </c>
      <c r="D563" s="24" t="s">
        <v>21</v>
      </c>
      <c r="E563" s="24" t="s">
        <v>3326</v>
      </c>
      <c r="F563" s="24" t="s">
        <v>604</v>
      </c>
      <c r="G563" s="30" t="s">
        <v>605</v>
      </c>
      <c r="H563" s="28"/>
      <c r="I563" s="30">
        <v>35000.0</v>
      </c>
      <c r="J563" s="24" t="s">
        <v>1211</v>
      </c>
      <c r="K563" s="24" t="s">
        <v>353</v>
      </c>
      <c r="L563" s="175" t="s">
        <v>49</v>
      </c>
      <c r="M563" s="24" t="s">
        <v>27</v>
      </c>
      <c r="N563" s="24" t="s">
        <v>28</v>
      </c>
      <c r="O563" s="152">
        <v>49675.0</v>
      </c>
      <c r="P563" s="152">
        <v>55980.0</v>
      </c>
      <c r="Q563" s="6">
        <v>28.0</v>
      </c>
      <c r="R563" s="12">
        <f t="shared" si="13"/>
        <v>13909</v>
      </c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</row>
    <row r="564">
      <c r="A564" s="30" t="s">
        <v>3111</v>
      </c>
      <c r="B564" s="24" t="s">
        <v>3332</v>
      </c>
      <c r="C564" s="24" t="s">
        <v>3333</v>
      </c>
      <c r="D564" s="24" t="s">
        <v>21</v>
      </c>
      <c r="E564" s="24" t="s">
        <v>3326</v>
      </c>
      <c r="F564" s="24" t="s">
        <v>604</v>
      </c>
      <c r="G564" s="30" t="s">
        <v>605</v>
      </c>
      <c r="H564" s="28"/>
      <c r="I564" s="30">
        <v>35000.0</v>
      </c>
      <c r="J564" s="151">
        <v>46085.0</v>
      </c>
      <c r="K564" s="24" t="s">
        <v>353</v>
      </c>
      <c r="L564" s="175" t="s">
        <v>49</v>
      </c>
      <c r="M564" s="24" t="s">
        <v>27</v>
      </c>
      <c r="N564" s="24" t="s">
        <v>28</v>
      </c>
      <c r="O564" s="152">
        <v>49675.0</v>
      </c>
      <c r="P564" s="152">
        <v>55980.0</v>
      </c>
      <c r="Q564" s="6">
        <v>28.0</v>
      </c>
      <c r="R564" s="12">
        <f t="shared" si="13"/>
        <v>13909</v>
      </c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</row>
    <row r="565">
      <c r="A565" s="30" t="s">
        <v>3111</v>
      </c>
      <c r="B565" s="24" t="s">
        <v>3334</v>
      </c>
      <c r="C565" s="24" t="s">
        <v>3335</v>
      </c>
      <c r="D565" s="24" t="s">
        <v>21</v>
      </c>
      <c r="E565" s="24" t="s">
        <v>3326</v>
      </c>
      <c r="F565" s="24" t="s">
        <v>604</v>
      </c>
      <c r="G565" s="30" t="s">
        <v>605</v>
      </c>
      <c r="H565" s="28"/>
      <c r="I565" s="30">
        <v>35000.0</v>
      </c>
      <c r="J565" s="24" t="s">
        <v>1211</v>
      </c>
      <c r="K565" s="24" t="s">
        <v>353</v>
      </c>
      <c r="L565" s="175" t="s">
        <v>49</v>
      </c>
      <c r="M565" s="24" t="s">
        <v>27</v>
      </c>
      <c r="N565" s="24" t="s">
        <v>28</v>
      </c>
      <c r="O565" s="152">
        <v>49675.0</v>
      </c>
      <c r="P565" s="152">
        <v>55980.0</v>
      </c>
      <c r="Q565" s="6">
        <v>28.0</v>
      </c>
      <c r="R565" s="12">
        <f t="shared" si="13"/>
        <v>13909</v>
      </c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</row>
    <row r="566">
      <c r="A566" s="30" t="s">
        <v>3111</v>
      </c>
      <c r="B566" s="24" t="s">
        <v>3336</v>
      </c>
      <c r="C566" s="24" t="s">
        <v>3337</v>
      </c>
      <c r="D566" s="24" t="s">
        <v>21</v>
      </c>
      <c r="E566" s="24" t="s">
        <v>3326</v>
      </c>
      <c r="F566" s="24" t="s">
        <v>604</v>
      </c>
      <c r="G566" s="30" t="s">
        <v>605</v>
      </c>
      <c r="H566" s="28"/>
      <c r="I566" s="30">
        <v>35000.0</v>
      </c>
      <c r="J566" s="24" t="s">
        <v>1177</v>
      </c>
      <c r="K566" s="24" t="s">
        <v>353</v>
      </c>
      <c r="L566" s="175" t="s">
        <v>49</v>
      </c>
      <c r="M566" s="24" t="s">
        <v>27</v>
      </c>
      <c r="N566" s="24" t="s">
        <v>28</v>
      </c>
      <c r="O566" s="152">
        <v>49675.0</v>
      </c>
      <c r="P566" s="152">
        <v>55980.0</v>
      </c>
      <c r="Q566" s="6">
        <v>28.0</v>
      </c>
      <c r="R566" s="12">
        <f t="shared" si="13"/>
        <v>13909</v>
      </c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</row>
    <row r="567">
      <c r="A567" s="30" t="s">
        <v>3111</v>
      </c>
      <c r="B567" s="24" t="s">
        <v>3338</v>
      </c>
      <c r="C567" s="24" t="s">
        <v>3339</v>
      </c>
      <c r="D567" s="24" t="s">
        <v>21</v>
      </c>
      <c r="E567" s="24" t="s">
        <v>3326</v>
      </c>
      <c r="F567" s="24" t="s">
        <v>604</v>
      </c>
      <c r="G567" s="30" t="s">
        <v>605</v>
      </c>
      <c r="H567" s="28"/>
      <c r="I567" s="30">
        <v>35000.0</v>
      </c>
      <c r="J567" s="24" t="s">
        <v>1177</v>
      </c>
      <c r="K567" s="24" t="s">
        <v>353</v>
      </c>
      <c r="L567" s="175" t="s">
        <v>49</v>
      </c>
      <c r="M567" s="24" t="s">
        <v>27</v>
      </c>
      <c r="N567" s="24" t="s">
        <v>28</v>
      </c>
      <c r="O567" s="152">
        <v>49675.0</v>
      </c>
      <c r="P567" s="152">
        <v>55980.0</v>
      </c>
      <c r="Q567" s="6">
        <v>28.0</v>
      </c>
      <c r="R567" s="12">
        <f t="shared" si="13"/>
        <v>13909</v>
      </c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</row>
    <row r="568">
      <c r="A568" s="30" t="s">
        <v>3111</v>
      </c>
      <c r="B568" s="24" t="s">
        <v>3340</v>
      </c>
      <c r="C568" s="24" t="s">
        <v>3341</v>
      </c>
      <c r="D568" s="24" t="s">
        <v>21</v>
      </c>
      <c r="E568" s="24" t="s">
        <v>3326</v>
      </c>
      <c r="F568" s="24" t="s">
        <v>604</v>
      </c>
      <c r="G568" s="30" t="s">
        <v>605</v>
      </c>
      <c r="H568" s="28"/>
      <c r="I568" s="30">
        <v>35000.0</v>
      </c>
      <c r="J568" s="24" t="s">
        <v>1211</v>
      </c>
      <c r="K568" s="24" t="s">
        <v>353</v>
      </c>
      <c r="L568" s="175" t="s">
        <v>49</v>
      </c>
      <c r="M568" s="24" t="s">
        <v>27</v>
      </c>
      <c r="N568" s="24" t="s">
        <v>28</v>
      </c>
      <c r="O568" s="152">
        <v>49675.0</v>
      </c>
      <c r="P568" s="152">
        <v>55980.0</v>
      </c>
      <c r="Q568" s="6">
        <v>28.0</v>
      </c>
      <c r="R568" s="12">
        <f t="shared" si="13"/>
        <v>13909</v>
      </c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</row>
    <row r="569">
      <c r="A569" s="30" t="s">
        <v>3111</v>
      </c>
      <c r="B569" s="24" t="s">
        <v>3342</v>
      </c>
      <c r="C569" s="24" t="s">
        <v>3343</v>
      </c>
      <c r="D569" s="24" t="s">
        <v>21</v>
      </c>
      <c r="E569" s="24" t="s">
        <v>3326</v>
      </c>
      <c r="F569" s="24" t="s">
        <v>604</v>
      </c>
      <c r="G569" s="30" t="s">
        <v>605</v>
      </c>
      <c r="H569" s="28"/>
      <c r="I569" s="30">
        <v>35000.0</v>
      </c>
      <c r="J569" s="24" t="s">
        <v>1211</v>
      </c>
      <c r="K569" s="24" t="s">
        <v>353</v>
      </c>
      <c r="L569" s="175" t="s">
        <v>49</v>
      </c>
      <c r="M569" s="24" t="s">
        <v>27</v>
      </c>
      <c r="N569" s="24" t="s">
        <v>28</v>
      </c>
      <c r="O569" s="152">
        <v>49675.0</v>
      </c>
      <c r="P569" s="152">
        <v>55980.0</v>
      </c>
      <c r="Q569" s="6">
        <v>28.0</v>
      </c>
      <c r="R569" s="12">
        <f t="shared" si="13"/>
        <v>13909</v>
      </c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</row>
    <row r="570">
      <c r="A570" s="30" t="s">
        <v>3111</v>
      </c>
      <c r="B570" s="24" t="s">
        <v>3344</v>
      </c>
      <c r="C570" s="24" t="s">
        <v>3345</v>
      </c>
      <c r="D570" s="24" t="s">
        <v>21</v>
      </c>
      <c r="E570" s="24" t="s">
        <v>3326</v>
      </c>
      <c r="F570" s="24" t="s">
        <v>604</v>
      </c>
      <c r="G570" s="30" t="s">
        <v>605</v>
      </c>
      <c r="H570" s="28"/>
      <c r="I570" s="30">
        <v>35000.0</v>
      </c>
      <c r="J570" s="24" t="s">
        <v>1211</v>
      </c>
      <c r="K570" s="24" t="s">
        <v>353</v>
      </c>
      <c r="L570" s="175" t="s">
        <v>49</v>
      </c>
      <c r="M570" s="24" t="s">
        <v>27</v>
      </c>
      <c r="N570" s="24" t="s">
        <v>28</v>
      </c>
      <c r="O570" s="152">
        <v>49675.0</v>
      </c>
      <c r="P570" s="152">
        <v>55980.0</v>
      </c>
      <c r="Q570" s="6">
        <v>28.0</v>
      </c>
      <c r="R570" s="12">
        <f t="shared" si="13"/>
        <v>13909</v>
      </c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</row>
    <row r="571">
      <c r="A571" s="30" t="s">
        <v>3111</v>
      </c>
      <c r="B571" s="24" t="s">
        <v>3346</v>
      </c>
      <c r="C571" s="24" t="s">
        <v>3347</v>
      </c>
      <c r="D571" s="24" t="s">
        <v>21</v>
      </c>
      <c r="E571" s="24" t="s">
        <v>3326</v>
      </c>
      <c r="F571" s="24" t="s">
        <v>604</v>
      </c>
      <c r="G571" s="30" t="s">
        <v>605</v>
      </c>
      <c r="H571" s="28"/>
      <c r="I571" s="30">
        <v>35000.0</v>
      </c>
      <c r="J571" s="24" t="s">
        <v>1177</v>
      </c>
      <c r="K571" s="24" t="s">
        <v>353</v>
      </c>
      <c r="L571" s="175" t="s">
        <v>49</v>
      </c>
      <c r="M571" s="24" t="s">
        <v>27</v>
      </c>
      <c r="N571" s="24" t="s">
        <v>28</v>
      </c>
      <c r="O571" s="152">
        <v>52704.0</v>
      </c>
      <c r="P571" s="152">
        <v>59554.0</v>
      </c>
      <c r="Q571" s="6">
        <v>28.0</v>
      </c>
      <c r="R571" s="12">
        <f t="shared" si="13"/>
        <v>14757.12</v>
      </c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</row>
    <row r="572">
      <c r="A572" s="30" t="s">
        <v>3111</v>
      </c>
      <c r="B572" s="24" t="s">
        <v>3348</v>
      </c>
      <c r="C572" s="24" t="s">
        <v>3349</v>
      </c>
      <c r="D572" s="24" t="s">
        <v>21</v>
      </c>
      <c r="E572" s="24" t="s">
        <v>3326</v>
      </c>
      <c r="F572" s="24" t="s">
        <v>604</v>
      </c>
      <c r="G572" s="30" t="s">
        <v>605</v>
      </c>
      <c r="H572" s="28"/>
      <c r="I572" s="30">
        <v>35000.0</v>
      </c>
      <c r="J572" s="151">
        <v>46085.0</v>
      </c>
      <c r="K572" s="24" t="s">
        <v>353</v>
      </c>
      <c r="L572" s="175" t="s">
        <v>49</v>
      </c>
      <c r="M572" s="24" t="s">
        <v>27</v>
      </c>
      <c r="N572" s="24" t="s">
        <v>28</v>
      </c>
      <c r="O572" s="152">
        <v>49675.0</v>
      </c>
      <c r="P572" s="152">
        <v>55980.0</v>
      </c>
      <c r="Q572" s="6">
        <v>28.0</v>
      </c>
      <c r="R572" s="12">
        <f t="shared" si="13"/>
        <v>13909</v>
      </c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</row>
    <row r="573">
      <c r="A573" s="30" t="s">
        <v>3111</v>
      </c>
      <c r="B573" s="24" t="s">
        <v>3350</v>
      </c>
      <c r="C573" s="24" t="s">
        <v>3351</v>
      </c>
      <c r="D573" s="24" t="s">
        <v>21</v>
      </c>
      <c r="E573" s="24" t="s">
        <v>3326</v>
      </c>
      <c r="F573" s="24" t="s">
        <v>604</v>
      </c>
      <c r="G573" s="30" t="s">
        <v>605</v>
      </c>
      <c r="H573" s="28"/>
      <c r="I573" s="30">
        <v>35000.0</v>
      </c>
      <c r="J573" s="24" t="s">
        <v>1211</v>
      </c>
      <c r="K573" s="24" t="s">
        <v>353</v>
      </c>
      <c r="L573" s="175" t="s">
        <v>49</v>
      </c>
      <c r="M573" s="24" t="s">
        <v>27</v>
      </c>
      <c r="N573" s="24" t="s">
        <v>28</v>
      </c>
      <c r="O573" s="152">
        <v>49675.0</v>
      </c>
      <c r="P573" s="152">
        <v>55980.0</v>
      </c>
      <c r="Q573" s="6">
        <v>28.0</v>
      </c>
      <c r="R573" s="12">
        <f t="shared" si="13"/>
        <v>13909</v>
      </c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</row>
    <row r="574">
      <c r="A574" s="30" t="s">
        <v>3111</v>
      </c>
      <c r="B574" s="24" t="s">
        <v>3352</v>
      </c>
      <c r="C574" s="24" t="s">
        <v>3353</v>
      </c>
      <c r="D574" s="24" t="s">
        <v>21</v>
      </c>
      <c r="E574" s="24" t="s">
        <v>3326</v>
      </c>
      <c r="F574" s="24" t="s">
        <v>604</v>
      </c>
      <c r="G574" s="30" t="s">
        <v>605</v>
      </c>
      <c r="H574" s="28"/>
      <c r="I574" s="30">
        <v>35000.0</v>
      </c>
      <c r="J574" s="24" t="s">
        <v>1177</v>
      </c>
      <c r="K574" s="24" t="s">
        <v>353</v>
      </c>
      <c r="L574" s="175" t="s">
        <v>49</v>
      </c>
      <c r="M574" s="24" t="s">
        <v>27</v>
      </c>
      <c r="N574" s="24" t="s">
        <v>28</v>
      </c>
      <c r="O574" s="152">
        <v>49675.0</v>
      </c>
      <c r="P574" s="152">
        <v>55980.0</v>
      </c>
      <c r="Q574" s="6">
        <v>28.0</v>
      </c>
      <c r="R574" s="12">
        <f t="shared" si="13"/>
        <v>13909</v>
      </c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</row>
    <row r="575">
      <c r="A575" s="30" t="s">
        <v>3111</v>
      </c>
      <c r="B575" s="24" t="s">
        <v>3354</v>
      </c>
      <c r="C575" s="24" t="s">
        <v>3355</v>
      </c>
      <c r="D575" s="24" t="s">
        <v>21</v>
      </c>
      <c r="E575" s="24" t="s">
        <v>3326</v>
      </c>
      <c r="F575" s="24" t="s">
        <v>604</v>
      </c>
      <c r="G575" s="30" t="s">
        <v>605</v>
      </c>
      <c r="H575" s="28"/>
      <c r="I575" s="30">
        <v>35000.0</v>
      </c>
      <c r="J575" s="24" t="s">
        <v>1177</v>
      </c>
      <c r="K575" s="24" t="s">
        <v>353</v>
      </c>
      <c r="L575" s="175" t="s">
        <v>49</v>
      </c>
      <c r="M575" s="24" t="s">
        <v>27</v>
      </c>
      <c r="N575" s="24" t="s">
        <v>28</v>
      </c>
      <c r="O575" s="152">
        <v>49675.0</v>
      </c>
      <c r="P575" s="152">
        <v>55980.0</v>
      </c>
      <c r="Q575" s="6">
        <v>28.0</v>
      </c>
      <c r="R575" s="12">
        <f t="shared" si="13"/>
        <v>13909</v>
      </c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</row>
    <row r="576">
      <c r="A576" s="108" t="s">
        <v>2476</v>
      </c>
      <c r="B576" s="64" t="s">
        <v>3356</v>
      </c>
      <c r="C576" s="64" t="s">
        <v>3357</v>
      </c>
      <c r="D576" s="108" t="s">
        <v>21</v>
      </c>
      <c r="E576" s="64" t="s">
        <v>2854</v>
      </c>
      <c r="F576" s="64" t="s">
        <v>3358</v>
      </c>
      <c r="G576" s="114">
        <v>9.727450222E9</v>
      </c>
      <c r="H576" s="108"/>
      <c r="I576" s="109">
        <v>11990.0</v>
      </c>
      <c r="J576" s="114" t="s">
        <v>848</v>
      </c>
      <c r="K576" s="108" t="s">
        <v>25</v>
      </c>
      <c r="L576" s="167" t="s">
        <v>49</v>
      </c>
      <c r="M576" s="108" t="s">
        <v>71</v>
      </c>
      <c r="N576" s="108" t="s">
        <v>28</v>
      </c>
      <c r="O576" s="112">
        <v>31901.0</v>
      </c>
      <c r="P576" s="112">
        <v>36012.0</v>
      </c>
      <c r="Q576" s="6">
        <v>27.0</v>
      </c>
      <c r="R576" s="12">
        <f t="shared" si="13"/>
        <v>8613.27</v>
      </c>
    </row>
    <row r="577">
      <c r="A577" s="108" t="s">
        <v>2476</v>
      </c>
      <c r="B577" s="64" t="s">
        <v>3359</v>
      </c>
      <c r="C577" s="64" t="s">
        <v>3360</v>
      </c>
      <c r="D577" s="108" t="s">
        <v>21</v>
      </c>
      <c r="E577" s="64" t="s">
        <v>2854</v>
      </c>
      <c r="F577" s="64" t="s">
        <v>2656</v>
      </c>
      <c r="G577" s="114">
        <v>9.727450222E9</v>
      </c>
      <c r="H577" s="108"/>
      <c r="I577" s="109">
        <v>11990.0</v>
      </c>
      <c r="J577" s="114" t="s">
        <v>848</v>
      </c>
      <c r="K577" s="108" t="s">
        <v>25</v>
      </c>
      <c r="L577" s="167" t="s">
        <v>49</v>
      </c>
      <c r="M577" s="108" t="s">
        <v>71</v>
      </c>
      <c r="N577" s="108" t="s">
        <v>28</v>
      </c>
      <c r="O577" s="112">
        <v>30962.0</v>
      </c>
      <c r="P577" s="112">
        <v>34904.0</v>
      </c>
      <c r="Q577" s="6">
        <v>27.0</v>
      </c>
      <c r="R577" s="12">
        <f t="shared" si="13"/>
        <v>8359.74</v>
      </c>
    </row>
    <row r="578">
      <c r="A578" s="126"/>
      <c r="E578" s="126"/>
      <c r="L578" s="126"/>
    </row>
    <row r="579">
      <c r="A579" s="126"/>
      <c r="E579" s="126"/>
      <c r="L579" s="126"/>
    </row>
    <row r="580">
      <c r="A580" s="126"/>
      <c r="E580" s="126"/>
      <c r="L580" s="126"/>
    </row>
    <row r="581">
      <c r="A581" s="22">
        <v>45661.0</v>
      </c>
      <c r="B581" s="58" t="s">
        <v>3361</v>
      </c>
      <c r="C581" s="58" t="s">
        <v>3362</v>
      </c>
      <c r="D581" s="8" t="s">
        <v>533</v>
      </c>
      <c r="E581" s="58" t="s">
        <v>2239</v>
      </c>
      <c r="F581" s="58" t="s">
        <v>3363</v>
      </c>
      <c r="G581" s="7" t="s">
        <v>3364</v>
      </c>
      <c r="H581" s="8"/>
      <c r="I581" s="21">
        <v>0.0</v>
      </c>
      <c r="J581" s="22">
        <v>46026.0</v>
      </c>
      <c r="K581" s="8" t="s">
        <v>25</v>
      </c>
      <c r="L581" s="197" t="s">
        <v>26</v>
      </c>
      <c r="M581" s="8" t="s">
        <v>144</v>
      </c>
      <c r="N581" s="8" t="s">
        <v>28</v>
      </c>
      <c r="O581" s="90">
        <v>7317.0</v>
      </c>
      <c r="P581" s="90">
        <v>8634.0</v>
      </c>
      <c r="Q581" s="6">
        <v>31.0</v>
      </c>
      <c r="R581" s="12">
        <f t="shared" ref="R581:R619" si="14">O581*Q581%</f>
        <v>2268.27</v>
      </c>
    </row>
    <row r="582">
      <c r="A582" s="22">
        <v>45720.0</v>
      </c>
      <c r="B582" s="8" t="s">
        <v>3365</v>
      </c>
      <c r="C582" s="8" t="s">
        <v>3366</v>
      </c>
      <c r="D582" s="86" t="s">
        <v>851</v>
      </c>
      <c r="E582" s="8" t="s">
        <v>3367</v>
      </c>
      <c r="F582" s="8" t="s">
        <v>3368</v>
      </c>
      <c r="G582" s="8"/>
      <c r="H582" s="8"/>
      <c r="I582" s="21">
        <v>2525.0</v>
      </c>
      <c r="J582" s="22">
        <v>46057.0</v>
      </c>
      <c r="K582" s="8" t="s">
        <v>2752</v>
      </c>
      <c r="L582" s="197" t="s">
        <v>49</v>
      </c>
      <c r="M582" s="8" t="s">
        <v>71</v>
      </c>
      <c r="N582" s="8" t="s">
        <v>28</v>
      </c>
      <c r="O582" s="21">
        <v>28234.0</v>
      </c>
      <c r="P582" s="21">
        <v>33316.12</v>
      </c>
      <c r="Q582" s="6">
        <v>15.0</v>
      </c>
      <c r="R582" s="12">
        <f t="shared" si="14"/>
        <v>4235.1</v>
      </c>
    </row>
    <row r="583">
      <c r="A583" s="22">
        <v>45751.0</v>
      </c>
      <c r="B583" s="8" t="s">
        <v>3369</v>
      </c>
      <c r="C583" s="8" t="s">
        <v>3370</v>
      </c>
      <c r="D583" s="8" t="s">
        <v>21</v>
      </c>
      <c r="E583" s="8" t="s">
        <v>3371</v>
      </c>
      <c r="F583" s="8" t="s">
        <v>3372</v>
      </c>
      <c r="G583" s="7" t="s">
        <v>3373</v>
      </c>
      <c r="H583" s="8"/>
      <c r="I583" s="21">
        <v>7300.0</v>
      </c>
      <c r="J583" s="22">
        <v>46085.0</v>
      </c>
      <c r="K583" s="8" t="s">
        <v>25</v>
      </c>
      <c r="L583" s="197" t="s">
        <v>26</v>
      </c>
      <c r="M583" s="8" t="s">
        <v>185</v>
      </c>
      <c r="N583" s="8" t="s">
        <v>28</v>
      </c>
      <c r="O583" s="21">
        <v>16149.0</v>
      </c>
      <c r="P583" s="21">
        <v>18093.0</v>
      </c>
      <c r="Q583" s="6">
        <v>45.0</v>
      </c>
      <c r="R583" s="12">
        <f t="shared" si="14"/>
        <v>7267.05</v>
      </c>
    </row>
    <row r="584">
      <c r="A584" s="22">
        <v>45751.0</v>
      </c>
      <c r="B584" s="8" t="s">
        <v>3374</v>
      </c>
      <c r="C584" s="8" t="s">
        <v>3375</v>
      </c>
      <c r="D584" s="8" t="s">
        <v>21</v>
      </c>
      <c r="E584" s="8" t="s">
        <v>3376</v>
      </c>
      <c r="F584" s="8" t="s">
        <v>3377</v>
      </c>
      <c r="G584" s="8"/>
      <c r="H584" s="8"/>
      <c r="I584" s="21">
        <v>13850.0</v>
      </c>
      <c r="J584" s="22">
        <v>46085.0</v>
      </c>
      <c r="K584" s="8" t="s">
        <v>1424</v>
      </c>
      <c r="L584" s="197" t="s">
        <v>49</v>
      </c>
      <c r="M584" s="8" t="s">
        <v>71</v>
      </c>
      <c r="N584" s="8" t="s">
        <v>28</v>
      </c>
      <c r="O584" s="21">
        <v>38178.0</v>
      </c>
      <c r="P584" s="21">
        <v>42932.0</v>
      </c>
      <c r="Q584" s="6">
        <v>22.0</v>
      </c>
      <c r="R584" s="12">
        <f t="shared" si="14"/>
        <v>8399.16</v>
      </c>
    </row>
    <row r="585">
      <c r="A585" s="22">
        <v>45751.0</v>
      </c>
      <c r="B585" s="8" t="s">
        <v>3378</v>
      </c>
      <c r="C585" s="8" t="s">
        <v>3379</v>
      </c>
      <c r="D585" s="8" t="s">
        <v>533</v>
      </c>
      <c r="E585" s="8" t="s">
        <v>3380</v>
      </c>
      <c r="F585" s="8" t="s">
        <v>3381</v>
      </c>
      <c r="G585" s="7" t="s">
        <v>3382</v>
      </c>
      <c r="H585" s="8"/>
      <c r="I585" s="21">
        <v>0.0</v>
      </c>
      <c r="J585" s="22">
        <v>46085.0</v>
      </c>
      <c r="K585" s="8" t="s">
        <v>1424</v>
      </c>
      <c r="L585" s="197" t="s">
        <v>26</v>
      </c>
      <c r="M585" s="8" t="s">
        <v>185</v>
      </c>
      <c r="N585" s="8" t="s">
        <v>28</v>
      </c>
      <c r="O585" s="21">
        <v>7317.0</v>
      </c>
      <c r="P585" s="21">
        <v>8635.0</v>
      </c>
      <c r="Q585" s="6">
        <v>30.0</v>
      </c>
      <c r="R585" s="12">
        <f t="shared" si="14"/>
        <v>2195.1</v>
      </c>
    </row>
    <row r="586">
      <c r="A586" s="22">
        <v>45751.0</v>
      </c>
      <c r="B586" s="8" t="s">
        <v>3383</v>
      </c>
      <c r="C586" s="8" t="s">
        <v>3384</v>
      </c>
      <c r="D586" s="8" t="s">
        <v>1395</v>
      </c>
      <c r="E586" s="8" t="s">
        <v>3385</v>
      </c>
      <c r="F586" s="8" t="s">
        <v>3386</v>
      </c>
      <c r="G586" s="8"/>
      <c r="H586" s="8"/>
      <c r="I586" s="21">
        <v>2735.0</v>
      </c>
      <c r="J586" s="22">
        <v>46116.0</v>
      </c>
      <c r="K586" s="8" t="s">
        <v>1424</v>
      </c>
      <c r="L586" s="197" t="s">
        <v>49</v>
      </c>
      <c r="M586" s="8" t="s">
        <v>71</v>
      </c>
      <c r="N586" s="8" t="s">
        <v>28</v>
      </c>
      <c r="O586" s="21">
        <v>20759.0</v>
      </c>
      <c r="P586" s="21">
        <v>23533.0</v>
      </c>
      <c r="Q586" s="6">
        <v>52.0</v>
      </c>
      <c r="R586" s="12">
        <f t="shared" si="14"/>
        <v>10794.68</v>
      </c>
    </row>
    <row r="587">
      <c r="A587" s="22">
        <v>45751.0</v>
      </c>
      <c r="B587" s="8" t="s">
        <v>3387</v>
      </c>
      <c r="C587" s="8" t="s">
        <v>3388</v>
      </c>
      <c r="D587" s="8" t="s">
        <v>533</v>
      </c>
      <c r="E587" s="8" t="s">
        <v>3389</v>
      </c>
      <c r="F587" s="8" t="s">
        <v>3381</v>
      </c>
      <c r="G587" s="7" t="s">
        <v>3390</v>
      </c>
      <c r="H587" s="8"/>
      <c r="I587" s="21">
        <v>0.0</v>
      </c>
      <c r="J587" s="22">
        <v>46085.0</v>
      </c>
      <c r="K587" s="8" t="s">
        <v>1424</v>
      </c>
      <c r="L587" s="210" t="s">
        <v>26</v>
      </c>
      <c r="M587" s="8" t="s">
        <v>185</v>
      </c>
      <c r="N587" s="8" t="s">
        <v>28</v>
      </c>
      <c r="O587" s="21">
        <v>7317.0</v>
      </c>
      <c r="P587" s="21">
        <v>8635.0</v>
      </c>
      <c r="Q587" s="6">
        <v>30.0</v>
      </c>
      <c r="R587" s="12">
        <f t="shared" si="14"/>
        <v>2195.1</v>
      </c>
    </row>
    <row r="588">
      <c r="A588" s="22">
        <v>45751.0</v>
      </c>
      <c r="B588" s="58" t="s">
        <v>3391</v>
      </c>
      <c r="C588" s="58" t="s">
        <v>3392</v>
      </c>
      <c r="D588" s="8" t="s">
        <v>1395</v>
      </c>
      <c r="E588" s="58" t="s">
        <v>3393</v>
      </c>
      <c r="F588" s="58" t="s">
        <v>3394</v>
      </c>
      <c r="G588" s="7" t="s">
        <v>3395</v>
      </c>
      <c r="H588" s="8"/>
      <c r="I588" s="88">
        <v>2825.0</v>
      </c>
      <c r="J588" s="91">
        <v>46085.0</v>
      </c>
      <c r="K588" s="58" t="s">
        <v>41</v>
      </c>
      <c r="L588" s="197" t="s">
        <v>49</v>
      </c>
      <c r="M588" s="8" t="s">
        <v>1451</v>
      </c>
      <c r="N588" s="8" t="s">
        <v>28</v>
      </c>
      <c r="O588" s="90">
        <v>21548.0</v>
      </c>
      <c r="P588" s="90">
        <v>24464.0</v>
      </c>
      <c r="Q588" s="6">
        <v>52.0</v>
      </c>
      <c r="R588" s="12">
        <f t="shared" si="14"/>
        <v>11204.96</v>
      </c>
    </row>
    <row r="589">
      <c r="A589" s="22">
        <v>45751.0</v>
      </c>
      <c r="B589" s="58" t="s">
        <v>3396</v>
      </c>
      <c r="C589" s="58" t="s">
        <v>3397</v>
      </c>
      <c r="D589" s="8" t="s">
        <v>21</v>
      </c>
      <c r="E589" s="58" t="s">
        <v>3398</v>
      </c>
      <c r="F589" s="58" t="s">
        <v>3399</v>
      </c>
      <c r="G589" s="7" t="s">
        <v>3400</v>
      </c>
      <c r="H589" s="8"/>
      <c r="I589" s="88">
        <v>4995.0</v>
      </c>
      <c r="J589" s="22">
        <v>46116.0</v>
      </c>
      <c r="K589" s="8" t="s">
        <v>25</v>
      </c>
      <c r="L589" s="197" t="s">
        <v>49</v>
      </c>
      <c r="M589" s="8" t="s">
        <v>27</v>
      </c>
      <c r="N589" s="8" t="s">
        <v>28</v>
      </c>
      <c r="O589" s="90">
        <v>20657.0</v>
      </c>
      <c r="P589" s="90">
        <v>23412.0</v>
      </c>
      <c r="Q589" s="6">
        <v>45.0</v>
      </c>
      <c r="R589" s="12">
        <f t="shared" si="14"/>
        <v>9295.65</v>
      </c>
    </row>
    <row r="590">
      <c r="A590" s="22">
        <v>45751.0</v>
      </c>
      <c r="B590" s="58" t="s">
        <v>3401</v>
      </c>
      <c r="C590" s="58" t="s">
        <v>3402</v>
      </c>
      <c r="D590" s="8" t="s">
        <v>21</v>
      </c>
      <c r="E590" s="58" t="s">
        <v>1866</v>
      </c>
      <c r="F590" s="58" t="s">
        <v>3403</v>
      </c>
      <c r="G590" s="7">
        <v>8.780422771E9</v>
      </c>
      <c r="H590" s="21">
        <v>9.913681555E9</v>
      </c>
      <c r="I590" s="88">
        <v>12990.0</v>
      </c>
      <c r="J590" s="91">
        <v>46085.0</v>
      </c>
      <c r="K590" s="8" t="s">
        <v>78</v>
      </c>
      <c r="L590" s="197" t="s">
        <v>49</v>
      </c>
      <c r="M590" s="8" t="s">
        <v>1460</v>
      </c>
      <c r="N590" s="8" t="s">
        <v>28</v>
      </c>
      <c r="O590" s="90">
        <v>37227.4</v>
      </c>
      <c r="P590" s="90">
        <v>41810.0</v>
      </c>
      <c r="Q590" s="6">
        <v>22.0</v>
      </c>
      <c r="R590" s="12">
        <f t="shared" si="14"/>
        <v>8190.028</v>
      </c>
    </row>
    <row r="591">
      <c r="A591" s="22">
        <v>45781.0</v>
      </c>
      <c r="B591" s="58" t="s">
        <v>1245</v>
      </c>
      <c r="C591" s="58" t="s">
        <v>3404</v>
      </c>
      <c r="D591" s="8" t="s">
        <v>1395</v>
      </c>
      <c r="E591" s="58" t="s">
        <v>1247</v>
      </c>
      <c r="F591" s="58" t="s">
        <v>1248</v>
      </c>
      <c r="G591" s="8"/>
      <c r="H591" s="8"/>
      <c r="I591" s="88">
        <v>2825.0</v>
      </c>
      <c r="J591" s="91">
        <v>46085.0</v>
      </c>
      <c r="K591" s="8" t="s">
        <v>116</v>
      </c>
      <c r="L591" s="197" t="s">
        <v>49</v>
      </c>
      <c r="M591" s="8" t="s">
        <v>71</v>
      </c>
      <c r="N591" s="8" t="s">
        <v>28</v>
      </c>
      <c r="O591" s="90">
        <v>21370.0</v>
      </c>
      <c r="P591" s="90">
        <v>24248.0</v>
      </c>
      <c r="Q591" s="6">
        <v>48.0</v>
      </c>
      <c r="R591" s="12">
        <f t="shared" si="14"/>
        <v>10257.6</v>
      </c>
    </row>
    <row r="592">
      <c r="A592" s="22">
        <v>45781.0</v>
      </c>
      <c r="B592" s="58" t="s">
        <v>3405</v>
      </c>
      <c r="C592" s="58" t="s">
        <v>3406</v>
      </c>
      <c r="D592" s="8" t="s">
        <v>21</v>
      </c>
      <c r="E592" s="58" t="s">
        <v>3407</v>
      </c>
      <c r="F592" s="58" t="s">
        <v>3408</v>
      </c>
      <c r="G592" s="7" t="s">
        <v>951</v>
      </c>
      <c r="H592" s="8"/>
      <c r="I592" s="88">
        <v>12500.0</v>
      </c>
      <c r="J592" s="94">
        <v>46116.0</v>
      </c>
      <c r="K592" s="8" t="s">
        <v>65</v>
      </c>
      <c r="L592" s="197" t="s">
        <v>26</v>
      </c>
      <c r="M592" s="8" t="s">
        <v>340</v>
      </c>
      <c r="N592" s="8" t="s">
        <v>28</v>
      </c>
      <c r="O592" s="88">
        <v>35413.0</v>
      </c>
      <c r="P592" s="88">
        <v>39669.0</v>
      </c>
      <c r="Q592" s="6">
        <v>45.0</v>
      </c>
      <c r="R592" s="12">
        <f t="shared" si="14"/>
        <v>15935.85</v>
      </c>
    </row>
    <row r="593">
      <c r="A593" s="22">
        <v>45781.0</v>
      </c>
      <c r="B593" s="58" t="s">
        <v>3409</v>
      </c>
      <c r="C593" s="58" t="s">
        <v>3410</v>
      </c>
      <c r="D593" s="8" t="s">
        <v>21</v>
      </c>
      <c r="E593" s="58" t="s">
        <v>1613</v>
      </c>
      <c r="F593" s="58" t="s">
        <v>3411</v>
      </c>
      <c r="G593" s="8"/>
      <c r="H593" s="8"/>
      <c r="I593" s="88">
        <v>28000.0</v>
      </c>
      <c r="J593" s="94">
        <v>46116.0</v>
      </c>
      <c r="K593" s="8" t="s">
        <v>65</v>
      </c>
      <c r="L593" s="197" t="s">
        <v>26</v>
      </c>
      <c r="M593" s="8" t="s">
        <v>27</v>
      </c>
      <c r="N593" s="8" t="s">
        <v>28</v>
      </c>
      <c r="O593" s="88">
        <v>44050.0</v>
      </c>
      <c r="P593" s="88">
        <v>49342.0</v>
      </c>
      <c r="Q593" s="6">
        <v>49.0</v>
      </c>
      <c r="R593" s="12">
        <f t="shared" si="14"/>
        <v>21584.5</v>
      </c>
    </row>
    <row r="594">
      <c r="A594" s="22">
        <v>45781.0</v>
      </c>
      <c r="B594" s="58" t="s">
        <v>1256</v>
      </c>
      <c r="C594" s="58" t="s">
        <v>3412</v>
      </c>
      <c r="D594" s="8" t="s">
        <v>21</v>
      </c>
      <c r="E594" s="58" t="s">
        <v>2854</v>
      </c>
      <c r="F594" s="58" t="s">
        <v>2729</v>
      </c>
      <c r="G594" s="7" t="s">
        <v>3085</v>
      </c>
      <c r="H594" s="8"/>
      <c r="I594" s="88">
        <v>11900.0</v>
      </c>
      <c r="J594" s="91">
        <v>46146.0</v>
      </c>
      <c r="K594" s="8" t="s">
        <v>78</v>
      </c>
      <c r="L594" s="197" t="s">
        <v>49</v>
      </c>
      <c r="M594" s="8" t="s">
        <v>389</v>
      </c>
      <c r="N594" s="8" t="s">
        <v>28</v>
      </c>
      <c r="O594" s="90">
        <v>29137.63</v>
      </c>
      <c r="P594" s="90">
        <v>32751.0</v>
      </c>
      <c r="Q594" s="6">
        <v>32.0</v>
      </c>
      <c r="R594" s="12">
        <f t="shared" si="14"/>
        <v>9324.0416</v>
      </c>
    </row>
    <row r="595">
      <c r="A595" s="22">
        <v>45812.0</v>
      </c>
      <c r="B595" s="58" t="s">
        <v>3413</v>
      </c>
      <c r="C595" s="58" t="s">
        <v>3414</v>
      </c>
      <c r="D595" s="8" t="s">
        <v>1395</v>
      </c>
      <c r="E595" s="58" t="s">
        <v>3216</v>
      </c>
      <c r="F595" s="58" t="s">
        <v>3415</v>
      </c>
      <c r="G595" s="8"/>
      <c r="H595" s="8"/>
      <c r="I595" s="88">
        <v>1600.0</v>
      </c>
      <c r="J595" s="91">
        <v>46177.0</v>
      </c>
      <c r="K595" s="8" t="s">
        <v>78</v>
      </c>
      <c r="L595" s="197" t="s">
        <v>49</v>
      </c>
      <c r="M595" s="8" t="s">
        <v>71</v>
      </c>
      <c r="N595" s="8" t="s">
        <v>28</v>
      </c>
      <c r="O595" s="90">
        <v>17239.3</v>
      </c>
      <c r="P595" s="90">
        <v>19379.0</v>
      </c>
      <c r="Q595" s="6">
        <v>59.0</v>
      </c>
      <c r="R595" s="12">
        <f t="shared" si="14"/>
        <v>10171.187</v>
      </c>
    </row>
    <row r="596">
      <c r="A596" s="91">
        <v>45842.0</v>
      </c>
      <c r="B596" s="58" t="s">
        <v>3416</v>
      </c>
      <c r="C596" s="58" t="s">
        <v>3417</v>
      </c>
      <c r="D596" s="8" t="s">
        <v>1432</v>
      </c>
      <c r="E596" s="58" t="s">
        <v>1887</v>
      </c>
      <c r="F596" s="58" t="s">
        <v>3418</v>
      </c>
      <c r="G596" s="7" t="s">
        <v>3419</v>
      </c>
      <c r="H596" s="8"/>
      <c r="I596" s="88">
        <v>236.0</v>
      </c>
      <c r="J596" s="91">
        <v>46207.0</v>
      </c>
      <c r="K596" s="8" t="s">
        <v>668</v>
      </c>
      <c r="L596" s="197" t="s">
        <v>49</v>
      </c>
      <c r="M596" s="8" t="s">
        <v>219</v>
      </c>
      <c r="N596" s="8" t="s">
        <v>28</v>
      </c>
      <c r="O596" s="88">
        <v>6431.0</v>
      </c>
      <c r="P596" s="88">
        <v>7589.0</v>
      </c>
      <c r="Q596" s="6">
        <v>50.0</v>
      </c>
      <c r="R596" s="12">
        <f t="shared" si="14"/>
        <v>3215.5</v>
      </c>
    </row>
    <row r="597">
      <c r="A597" s="22">
        <v>45873.0</v>
      </c>
      <c r="B597" s="58" t="s">
        <v>3420</v>
      </c>
      <c r="C597" s="58" t="s">
        <v>3421</v>
      </c>
      <c r="D597" s="8" t="s">
        <v>21</v>
      </c>
      <c r="E597" s="58" t="s">
        <v>3422</v>
      </c>
      <c r="F597" s="58" t="s">
        <v>3423</v>
      </c>
      <c r="G597" s="7" t="s">
        <v>3424</v>
      </c>
      <c r="H597" s="8"/>
      <c r="I597" s="88">
        <v>35000.0</v>
      </c>
      <c r="J597" s="91">
        <v>46238.0</v>
      </c>
      <c r="K597" s="8" t="s">
        <v>353</v>
      </c>
      <c r="L597" s="197" t="s">
        <v>49</v>
      </c>
      <c r="M597" s="8" t="s">
        <v>185</v>
      </c>
      <c r="N597" s="8" t="s">
        <v>28</v>
      </c>
      <c r="O597" s="90">
        <v>47062.0</v>
      </c>
      <c r="P597" s="90">
        <v>52896.0</v>
      </c>
      <c r="Q597" s="6">
        <v>24.0</v>
      </c>
      <c r="R597" s="12">
        <f t="shared" si="14"/>
        <v>11294.88</v>
      </c>
    </row>
    <row r="598">
      <c r="A598" s="22">
        <v>45873.0</v>
      </c>
      <c r="B598" s="58" t="s">
        <v>3425</v>
      </c>
      <c r="C598" s="58" t="s">
        <v>3426</v>
      </c>
      <c r="D598" s="8" t="s">
        <v>21</v>
      </c>
      <c r="E598" s="58" t="s">
        <v>3427</v>
      </c>
      <c r="F598" s="58" t="s">
        <v>3428</v>
      </c>
      <c r="G598" s="8"/>
      <c r="H598" s="8"/>
      <c r="I598" s="88">
        <v>47500.0</v>
      </c>
      <c r="J598" s="91">
        <v>46207.0</v>
      </c>
      <c r="K598" s="58" t="s">
        <v>3429</v>
      </c>
      <c r="L598" s="197" t="s">
        <v>49</v>
      </c>
      <c r="M598" s="8" t="s">
        <v>71</v>
      </c>
      <c r="N598" s="8" t="s">
        <v>28</v>
      </c>
      <c r="O598" s="88">
        <v>55050.0</v>
      </c>
      <c r="P598" s="88">
        <v>62304.0</v>
      </c>
      <c r="Q598" s="6">
        <v>20.0</v>
      </c>
      <c r="R598" s="12">
        <f t="shared" si="14"/>
        <v>11010</v>
      </c>
    </row>
    <row r="599">
      <c r="A599" s="22">
        <v>45873.0</v>
      </c>
      <c r="B599" s="8" t="s">
        <v>3430</v>
      </c>
      <c r="C599" s="58" t="s">
        <v>3431</v>
      </c>
      <c r="D599" s="8" t="s">
        <v>21</v>
      </c>
      <c r="E599" s="58" t="s">
        <v>133</v>
      </c>
      <c r="F599" s="58" t="s">
        <v>3432</v>
      </c>
      <c r="G599" s="8"/>
      <c r="H599" s="8"/>
      <c r="I599" s="88">
        <v>42000.0</v>
      </c>
      <c r="J599" s="22">
        <v>46238.0</v>
      </c>
      <c r="K599" s="8" t="s">
        <v>70</v>
      </c>
      <c r="L599" s="197" t="s">
        <v>49</v>
      </c>
      <c r="M599" s="8" t="s">
        <v>71</v>
      </c>
      <c r="N599" s="8" t="s">
        <v>28</v>
      </c>
      <c r="O599" s="90">
        <v>49441.0</v>
      </c>
      <c r="P599" s="90">
        <v>55686.0</v>
      </c>
      <c r="Q599" s="6">
        <v>24.0</v>
      </c>
      <c r="R599" s="12">
        <f t="shared" si="14"/>
        <v>11865.84</v>
      </c>
    </row>
    <row r="600">
      <c r="A600" s="22">
        <v>45873.0</v>
      </c>
      <c r="B600" s="58" t="s">
        <v>3433</v>
      </c>
      <c r="C600" s="58" t="s">
        <v>3434</v>
      </c>
      <c r="D600" s="8" t="s">
        <v>21</v>
      </c>
      <c r="E600" s="58" t="s">
        <v>3435</v>
      </c>
      <c r="F600" s="58" t="s">
        <v>3436</v>
      </c>
      <c r="G600" s="8"/>
      <c r="H600" s="8"/>
      <c r="I600" s="88">
        <v>12990.0</v>
      </c>
      <c r="J600" s="22">
        <v>46238.0</v>
      </c>
      <c r="K600" s="8" t="s">
        <v>70</v>
      </c>
      <c r="L600" s="197" t="s">
        <v>49</v>
      </c>
      <c r="M600" s="8" t="s">
        <v>71</v>
      </c>
      <c r="N600" s="8" t="s">
        <v>28</v>
      </c>
      <c r="O600" s="90">
        <v>37111.0</v>
      </c>
      <c r="P600" s="90">
        <v>41672.0</v>
      </c>
      <c r="Q600" s="6">
        <v>24.0</v>
      </c>
      <c r="R600" s="12">
        <f t="shared" si="14"/>
        <v>8906.64</v>
      </c>
    </row>
    <row r="601">
      <c r="A601" s="22">
        <v>45904.0</v>
      </c>
      <c r="B601" s="58" t="s">
        <v>3437</v>
      </c>
      <c r="C601" s="8" t="s">
        <v>3438</v>
      </c>
      <c r="D601" s="8" t="s">
        <v>21</v>
      </c>
      <c r="E601" s="58" t="s">
        <v>3439</v>
      </c>
      <c r="F601" s="58" t="s">
        <v>3440</v>
      </c>
      <c r="G601" s="8"/>
      <c r="H601" s="8"/>
      <c r="I601" s="88">
        <v>18500.0</v>
      </c>
      <c r="J601" s="91">
        <v>46238.0</v>
      </c>
      <c r="K601" s="8" t="s">
        <v>668</v>
      </c>
      <c r="L601" s="197" t="s">
        <v>26</v>
      </c>
      <c r="M601" s="8" t="s">
        <v>365</v>
      </c>
      <c r="N601" s="8" t="s">
        <v>28</v>
      </c>
      <c r="O601" s="88">
        <v>35413.0</v>
      </c>
      <c r="P601" s="88">
        <v>39669.0</v>
      </c>
      <c r="Q601" s="6">
        <v>46.0</v>
      </c>
      <c r="R601" s="12">
        <f t="shared" si="14"/>
        <v>16289.98</v>
      </c>
    </row>
    <row r="602">
      <c r="A602" s="22">
        <v>45904.0</v>
      </c>
      <c r="B602" s="58" t="s">
        <v>3441</v>
      </c>
      <c r="C602" s="58" t="s">
        <v>3442</v>
      </c>
      <c r="D602" s="8" t="s">
        <v>21</v>
      </c>
      <c r="E602" s="58" t="s">
        <v>3443</v>
      </c>
      <c r="F602" s="58" t="s">
        <v>3444</v>
      </c>
      <c r="G602" s="8"/>
      <c r="H602" s="8"/>
      <c r="I602" s="88">
        <v>35000.0</v>
      </c>
      <c r="J602" s="91">
        <v>46269.0</v>
      </c>
      <c r="K602" s="8" t="s">
        <v>78</v>
      </c>
      <c r="L602" s="197" t="s">
        <v>49</v>
      </c>
      <c r="M602" s="8" t="s">
        <v>33</v>
      </c>
      <c r="N602" s="8" t="s">
        <v>28</v>
      </c>
      <c r="O602" s="90">
        <v>50417.23</v>
      </c>
      <c r="P602" s="90">
        <v>56855.0</v>
      </c>
      <c r="Q602" s="6">
        <v>23.0</v>
      </c>
      <c r="R602" s="12">
        <f t="shared" si="14"/>
        <v>11595.9629</v>
      </c>
    </row>
    <row r="603">
      <c r="A603" s="22">
        <v>45904.0</v>
      </c>
      <c r="B603" s="58" t="s">
        <v>3445</v>
      </c>
      <c r="C603" s="58" t="s">
        <v>3446</v>
      </c>
      <c r="D603" s="8" t="s">
        <v>21</v>
      </c>
      <c r="E603" s="58" t="s">
        <v>133</v>
      </c>
      <c r="F603" s="58" t="s">
        <v>3447</v>
      </c>
      <c r="G603" s="7" t="s">
        <v>2624</v>
      </c>
      <c r="H603" s="8"/>
      <c r="I603" s="88">
        <v>42000.0</v>
      </c>
      <c r="J603" s="22">
        <v>46238.0</v>
      </c>
      <c r="K603" s="8" t="s">
        <v>70</v>
      </c>
      <c r="L603" s="197" t="s">
        <v>49</v>
      </c>
      <c r="M603" s="8" t="s">
        <v>3028</v>
      </c>
      <c r="N603" s="8" t="s">
        <v>28</v>
      </c>
      <c r="O603" s="90">
        <v>50330.0</v>
      </c>
      <c r="P603" s="90">
        <v>56735.0</v>
      </c>
      <c r="Q603" s="6">
        <v>24.0</v>
      </c>
      <c r="R603" s="12">
        <f t="shared" si="14"/>
        <v>12079.2</v>
      </c>
    </row>
    <row r="604">
      <c r="A604" s="22">
        <v>45904.0</v>
      </c>
      <c r="B604" s="58" t="s">
        <v>1336</v>
      </c>
      <c r="C604" s="58" t="s">
        <v>3448</v>
      </c>
      <c r="D604" s="8" t="s">
        <v>533</v>
      </c>
      <c r="E604" s="58" t="s">
        <v>3449</v>
      </c>
      <c r="F604" s="58" t="s">
        <v>3450</v>
      </c>
      <c r="G604" s="7" t="s">
        <v>3451</v>
      </c>
      <c r="H604" s="8"/>
      <c r="I604" s="21">
        <v>0.0</v>
      </c>
      <c r="J604" s="88" t="s">
        <v>3452</v>
      </c>
      <c r="K604" s="8" t="s">
        <v>116</v>
      </c>
      <c r="L604" s="197" t="s">
        <v>49</v>
      </c>
      <c r="M604" s="8" t="s">
        <v>1456</v>
      </c>
      <c r="N604" s="8" t="s">
        <v>28</v>
      </c>
      <c r="O604" s="90">
        <v>11464.0</v>
      </c>
      <c r="P604" s="90">
        <v>13528.0</v>
      </c>
      <c r="Q604" s="6">
        <v>27.0</v>
      </c>
      <c r="R604" s="12">
        <f t="shared" si="14"/>
        <v>3095.28</v>
      </c>
    </row>
    <row r="605">
      <c r="A605" s="22">
        <v>45904.0</v>
      </c>
      <c r="B605" s="58" t="s">
        <v>3453</v>
      </c>
      <c r="C605" s="58" t="s">
        <v>3454</v>
      </c>
      <c r="D605" s="8" t="s">
        <v>1395</v>
      </c>
      <c r="E605" s="58" t="s">
        <v>2824</v>
      </c>
      <c r="F605" s="58" t="s">
        <v>3455</v>
      </c>
      <c r="G605" s="8"/>
      <c r="H605" s="8"/>
      <c r="I605" s="88">
        <v>1424.0</v>
      </c>
      <c r="J605" s="22">
        <v>46269.0</v>
      </c>
      <c r="K605" s="8" t="s">
        <v>70</v>
      </c>
      <c r="L605" s="197" t="s">
        <v>49</v>
      </c>
      <c r="M605" s="8" t="s">
        <v>27</v>
      </c>
      <c r="N605" s="8" t="s">
        <v>28</v>
      </c>
      <c r="O605" s="90">
        <v>17243.0</v>
      </c>
      <c r="P605" s="90">
        <v>19384.0</v>
      </c>
      <c r="Q605" s="6">
        <v>60.0</v>
      </c>
      <c r="R605" s="12">
        <f t="shared" si="14"/>
        <v>10345.8</v>
      </c>
    </row>
    <row r="606">
      <c r="A606" s="22">
        <v>45934.0</v>
      </c>
      <c r="B606" s="58" t="s">
        <v>3456</v>
      </c>
      <c r="C606" s="58" t="s">
        <v>3457</v>
      </c>
      <c r="D606" s="8" t="s">
        <v>21</v>
      </c>
      <c r="E606" s="58" t="s">
        <v>3458</v>
      </c>
      <c r="F606" s="58" t="s">
        <v>3459</v>
      </c>
      <c r="G606" s="8"/>
      <c r="H606" s="8"/>
      <c r="I606" s="88">
        <v>7200.0</v>
      </c>
      <c r="J606" s="22">
        <v>46269.0</v>
      </c>
      <c r="K606" s="8" t="s">
        <v>25</v>
      </c>
      <c r="L606" s="197" t="s">
        <v>49</v>
      </c>
      <c r="M606" s="8" t="s">
        <v>71</v>
      </c>
      <c r="N606" s="8" t="s">
        <v>28</v>
      </c>
      <c r="O606" s="90">
        <v>16826.0</v>
      </c>
      <c r="P606" s="90">
        <v>18892.0</v>
      </c>
      <c r="Q606" s="6">
        <v>40.0</v>
      </c>
      <c r="R606" s="12">
        <f t="shared" si="14"/>
        <v>6730.4</v>
      </c>
    </row>
    <row r="607">
      <c r="A607" s="22">
        <v>45934.0</v>
      </c>
      <c r="B607" s="58" t="s">
        <v>3460</v>
      </c>
      <c r="C607" s="58" t="s">
        <v>3461</v>
      </c>
      <c r="D607" s="8" t="s">
        <v>1405</v>
      </c>
      <c r="E607" s="58" t="s">
        <v>3462</v>
      </c>
      <c r="F607" s="58" t="s">
        <v>3463</v>
      </c>
      <c r="G607" s="7" t="s">
        <v>3464</v>
      </c>
      <c r="H607" s="8"/>
      <c r="I607" s="88">
        <v>990.0</v>
      </c>
      <c r="J607" s="88" t="s">
        <v>3465</v>
      </c>
      <c r="K607" s="8" t="s">
        <v>668</v>
      </c>
      <c r="L607" s="197" t="s">
        <v>49</v>
      </c>
      <c r="M607" s="8" t="s">
        <v>1456</v>
      </c>
      <c r="N607" s="8" t="s">
        <v>28</v>
      </c>
      <c r="O607" s="88">
        <v>5457.0</v>
      </c>
      <c r="P607" s="88">
        <v>6171.0</v>
      </c>
      <c r="Q607" s="6">
        <v>54.0</v>
      </c>
      <c r="R607" s="12">
        <f t="shared" si="14"/>
        <v>2946.78</v>
      </c>
    </row>
    <row r="608">
      <c r="A608" s="22">
        <v>45934.0</v>
      </c>
      <c r="B608" s="58" t="s">
        <v>3466</v>
      </c>
      <c r="C608" s="58" t="s">
        <v>3467</v>
      </c>
      <c r="D608" s="8" t="s">
        <v>1395</v>
      </c>
      <c r="E608" s="58" t="s">
        <v>3468</v>
      </c>
      <c r="F608" s="58" t="s">
        <v>3469</v>
      </c>
      <c r="G608" s="7" t="s">
        <v>2106</v>
      </c>
      <c r="H608" s="8"/>
      <c r="I608" s="88">
        <v>2750.0</v>
      </c>
      <c r="J608" s="91">
        <v>46238.0</v>
      </c>
      <c r="K608" s="8" t="s">
        <v>1424</v>
      </c>
      <c r="L608" s="197" t="s">
        <v>49</v>
      </c>
      <c r="M608" s="8" t="s">
        <v>71</v>
      </c>
      <c r="N608" s="8" t="s">
        <v>28</v>
      </c>
      <c r="O608" s="88">
        <v>20389.0</v>
      </c>
      <c r="P608" s="88">
        <v>23097.0</v>
      </c>
      <c r="Q608" s="6">
        <v>52.0</v>
      </c>
      <c r="R608" s="12">
        <f t="shared" si="14"/>
        <v>10602.28</v>
      </c>
    </row>
    <row r="609">
      <c r="A609" s="22">
        <v>45934.0</v>
      </c>
      <c r="B609" s="58" t="s">
        <v>1269</v>
      </c>
      <c r="C609" s="58" t="s">
        <v>3470</v>
      </c>
      <c r="D609" s="8" t="s">
        <v>1395</v>
      </c>
      <c r="E609" s="58" t="s">
        <v>528</v>
      </c>
      <c r="F609" s="58" t="s">
        <v>3471</v>
      </c>
      <c r="G609" s="8"/>
      <c r="H609" s="8"/>
      <c r="I609" s="88">
        <v>2450.0</v>
      </c>
      <c r="J609" s="94">
        <v>46238.0</v>
      </c>
      <c r="K609" s="8" t="s">
        <v>65</v>
      </c>
      <c r="L609" s="197" t="s">
        <v>26</v>
      </c>
      <c r="M609" s="8" t="s">
        <v>71</v>
      </c>
      <c r="N609" s="8" t="s">
        <v>28</v>
      </c>
      <c r="O609" s="88">
        <v>16149.0</v>
      </c>
      <c r="P609" s="88">
        <v>18093.0</v>
      </c>
      <c r="Q609" s="6">
        <v>56.0</v>
      </c>
      <c r="R609" s="12">
        <f t="shared" si="14"/>
        <v>9043.44</v>
      </c>
    </row>
    <row r="610">
      <c r="A610" s="91">
        <v>45934.0</v>
      </c>
      <c r="B610" s="58" t="s">
        <v>3472</v>
      </c>
      <c r="C610" s="58" t="s">
        <v>3473</v>
      </c>
      <c r="D610" s="8" t="s">
        <v>1405</v>
      </c>
      <c r="E610" s="58" t="s">
        <v>2376</v>
      </c>
      <c r="F610" s="58" t="s">
        <v>3474</v>
      </c>
      <c r="G610" s="8"/>
      <c r="H610" s="8"/>
      <c r="I610" s="88">
        <v>990.0</v>
      </c>
      <c r="J610" s="58" t="s">
        <v>1377</v>
      </c>
      <c r="K610" s="8" t="s">
        <v>668</v>
      </c>
      <c r="L610" s="197" t="s">
        <v>49</v>
      </c>
      <c r="M610" s="8" t="s">
        <v>71</v>
      </c>
      <c r="N610" s="8" t="s">
        <v>28</v>
      </c>
      <c r="O610" s="88">
        <v>5299.0</v>
      </c>
      <c r="P610" s="21">
        <v>5985.0</v>
      </c>
      <c r="Q610" s="6">
        <v>54.0</v>
      </c>
      <c r="R610" s="12">
        <f t="shared" si="14"/>
        <v>2861.46</v>
      </c>
    </row>
    <row r="611">
      <c r="A611" s="22">
        <v>45934.0</v>
      </c>
      <c r="B611" s="58" t="s">
        <v>3475</v>
      </c>
      <c r="C611" s="58" t="s">
        <v>3476</v>
      </c>
      <c r="D611" s="8" t="s">
        <v>1395</v>
      </c>
      <c r="E611" s="58" t="s">
        <v>741</v>
      </c>
      <c r="F611" s="58" t="s">
        <v>3477</v>
      </c>
      <c r="G611" s="8"/>
      <c r="H611" s="8"/>
      <c r="I611" s="88">
        <v>3490.0</v>
      </c>
      <c r="J611" s="91">
        <v>46269.0</v>
      </c>
      <c r="K611" s="8" t="s">
        <v>116</v>
      </c>
      <c r="L611" s="197" t="s">
        <v>49</v>
      </c>
      <c r="M611" s="8" t="s">
        <v>71</v>
      </c>
      <c r="N611" s="8" t="s">
        <v>28</v>
      </c>
      <c r="O611" s="90">
        <v>20682.0</v>
      </c>
      <c r="P611" s="90">
        <v>23436.0</v>
      </c>
      <c r="Q611" s="6">
        <v>48.0</v>
      </c>
      <c r="R611" s="12">
        <f t="shared" si="14"/>
        <v>9927.36</v>
      </c>
    </row>
    <row r="612">
      <c r="A612" s="22">
        <v>45965.0</v>
      </c>
      <c r="B612" s="58" t="s">
        <v>3478</v>
      </c>
      <c r="C612" s="58" t="s">
        <v>3479</v>
      </c>
      <c r="D612" s="8" t="s">
        <v>1395</v>
      </c>
      <c r="E612" s="58" t="s">
        <v>1974</v>
      </c>
      <c r="F612" s="58" t="s">
        <v>3480</v>
      </c>
      <c r="G612" s="8"/>
      <c r="H612" s="8"/>
      <c r="I612" s="88">
        <v>3490.0</v>
      </c>
      <c r="J612" s="91">
        <v>46299.0</v>
      </c>
      <c r="K612" s="8" t="s">
        <v>668</v>
      </c>
      <c r="L612" s="197" t="s">
        <v>49</v>
      </c>
      <c r="M612" s="8" t="s">
        <v>71</v>
      </c>
      <c r="N612" s="8" t="s">
        <v>28</v>
      </c>
      <c r="O612" s="88">
        <v>18407.0</v>
      </c>
      <c r="P612" s="88">
        <v>20757.0</v>
      </c>
      <c r="Q612" s="6">
        <v>50.0</v>
      </c>
      <c r="R612" s="12">
        <f t="shared" si="14"/>
        <v>9203.5</v>
      </c>
    </row>
    <row r="613">
      <c r="A613" s="22">
        <v>45965.0</v>
      </c>
      <c r="B613" s="58" t="s">
        <v>3481</v>
      </c>
      <c r="C613" s="58" t="s">
        <v>3482</v>
      </c>
      <c r="D613" s="8" t="s">
        <v>21</v>
      </c>
      <c r="E613" s="88">
        <v>3116.0</v>
      </c>
      <c r="F613" s="58" t="s">
        <v>3483</v>
      </c>
      <c r="G613" s="8"/>
      <c r="H613" s="8"/>
      <c r="I613" s="88">
        <v>35000.0</v>
      </c>
      <c r="J613" s="91">
        <v>46238.0</v>
      </c>
      <c r="K613" s="8" t="s">
        <v>78</v>
      </c>
      <c r="L613" s="197" t="s">
        <v>49</v>
      </c>
      <c r="M613" s="8" t="s">
        <v>71</v>
      </c>
      <c r="N613" s="8" t="s">
        <v>28</v>
      </c>
      <c r="O613" s="90">
        <v>46535.38</v>
      </c>
      <c r="P613" s="90">
        <v>52275.0</v>
      </c>
      <c r="Q613" s="6">
        <v>23.0</v>
      </c>
      <c r="R613" s="12">
        <f t="shared" si="14"/>
        <v>10703.1374</v>
      </c>
    </row>
    <row r="614">
      <c r="A614" s="22">
        <v>45965.0</v>
      </c>
      <c r="B614" s="58" t="s">
        <v>3484</v>
      </c>
      <c r="C614" s="58" t="s">
        <v>3485</v>
      </c>
      <c r="D614" s="8" t="s">
        <v>21</v>
      </c>
      <c r="E614" s="58" t="s">
        <v>1866</v>
      </c>
      <c r="F614" s="58" t="s">
        <v>3486</v>
      </c>
      <c r="G614" s="7" t="s">
        <v>3487</v>
      </c>
      <c r="H614" s="8"/>
      <c r="I614" s="88">
        <v>12990.0</v>
      </c>
      <c r="J614" s="91">
        <v>46238.0</v>
      </c>
      <c r="K614" s="8" t="s">
        <v>78</v>
      </c>
      <c r="L614" s="197" t="s">
        <v>49</v>
      </c>
      <c r="M614" s="8" t="s">
        <v>3028</v>
      </c>
      <c r="N614" s="8" t="s">
        <v>28</v>
      </c>
      <c r="O614" s="90">
        <v>37539.97</v>
      </c>
      <c r="P614" s="90">
        <v>42178.0</v>
      </c>
      <c r="Q614" s="6">
        <v>22.0</v>
      </c>
      <c r="R614" s="12">
        <f t="shared" si="14"/>
        <v>8258.7934</v>
      </c>
    </row>
    <row r="615">
      <c r="A615" s="22">
        <v>45965.0</v>
      </c>
      <c r="B615" s="8" t="s">
        <v>3488</v>
      </c>
      <c r="C615" s="58" t="s">
        <v>3489</v>
      </c>
      <c r="D615" s="8" t="s">
        <v>21</v>
      </c>
      <c r="E615" s="58" t="s">
        <v>3490</v>
      </c>
      <c r="F615" s="58" t="s">
        <v>2635</v>
      </c>
      <c r="G615" s="7" t="s">
        <v>2636</v>
      </c>
      <c r="H615" s="8"/>
      <c r="I615" s="58" t="s">
        <v>3491</v>
      </c>
      <c r="J615" s="91">
        <v>46299.0</v>
      </c>
      <c r="K615" s="8" t="s">
        <v>2638</v>
      </c>
      <c r="L615" s="197" t="s">
        <v>49</v>
      </c>
      <c r="M615" s="8" t="s">
        <v>219</v>
      </c>
      <c r="N615" s="8" t="s">
        <v>28</v>
      </c>
      <c r="O615" s="90">
        <v>61186.0</v>
      </c>
      <c r="P615" s="90">
        <v>70080.7</v>
      </c>
      <c r="Q615" s="6">
        <v>23.0</v>
      </c>
      <c r="R615" s="12">
        <f t="shared" si="14"/>
        <v>14072.78</v>
      </c>
    </row>
    <row r="616">
      <c r="A616" s="22">
        <v>45965.0</v>
      </c>
      <c r="B616" s="8" t="s">
        <v>3488</v>
      </c>
      <c r="C616" s="58" t="s">
        <v>3492</v>
      </c>
      <c r="D616" s="8" t="s">
        <v>21</v>
      </c>
      <c r="E616" s="58" t="s">
        <v>3490</v>
      </c>
      <c r="F616" s="58" t="s">
        <v>3493</v>
      </c>
      <c r="G616" s="7" t="s">
        <v>2636</v>
      </c>
      <c r="H616" s="8"/>
      <c r="I616" s="8" t="s">
        <v>3491</v>
      </c>
      <c r="J616" s="91">
        <v>46299.0</v>
      </c>
      <c r="K616" s="8" t="s">
        <v>2638</v>
      </c>
      <c r="L616" s="197" t="s">
        <v>49</v>
      </c>
      <c r="M616" s="8" t="s">
        <v>219</v>
      </c>
      <c r="N616" s="8" t="s">
        <v>28</v>
      </c>
      <c r="O616" s="90">
        <v>61186.0</v>
      </c>
      <c r="P616" s="90">
        <v>70080.7</v>
      </c>
      <c r="Q616" s="6">
        <v>23.0</v>
      </c>
      <c r="R616" s="12">
        <f t="shared" si="14"/>
        <v>14072.78</v>
      </c>
    </row>
    <row r="617">
      <c r="A617" s="22">
        <v>45965.0</v>
      </c>
      <c r="B617" s="58" t="s">
        <v>3494</v>
      </c>
      <c r="C617" s="58" t="s">
        <v>3495</v>
      </c>
      <c r="D617" s="8" t="s">
        <v>21</v>
      </c>
      <c r="E617" s="58" t="s">
        <v>1751</v>
      </c>
      <c r="F617" s="58" t="s">
        <v>3496</v>
      </c>
      <c r="G617" s="8"/>
      <c r="H617" s="8"/>
      <c r="I617" s="88">
        <v>16020.0</v>
      </c>
      <c r="J617" s="91">
        <v>46330.0</v>
      </c>
      <c r="K617" s="8" t="s">
        <v>78</v>
      </c>
      <c r="L617" s="197" t="s">
        <v>49</v>
      </c>
      <c r="M617" s="8" t="s">
        <v>3028</v>
      </c>
      <c r="N617" s="8" t="s">
        <v>28</v>
      </c>
      <c r="O617" s="90">
        <v>38268.03</v>
      </c>
      <c r="P617" s="90">
        <v>43037.0</v>
      </c>
      <c r="Q617" s="6">
        <v>22.0</v>
      </c>
      <c r="R617" s="12">
        <f t="shared" si="14"/>
        <v>8418.9666</v>
      </c>
    </row>
    <row r="618">
      <c r="A618" s="22">
        <v>45995.0</v>
      </c>
      <c r="B618" s="58" t="s">
        <v>3497</v>
      </c>
      <c r="C618" s="58" t="s">
        <v>3498</v>
      </c>
      <c r="D618" s="8" t="s">
        <v>21</v>
      </c>
      <c r="E618" s="88">
        <v>3116.0</v>
      </c>
      <c r="F618" s="58" t="s">
        <v>3499</v>
      </c>
      <c r="G618" s="8"/>
      <c r="H618" s="8"/>
      <c r="I618" s="88">
        <v>35000.0</v>
      </c>
      <c r="J618" s="58" t="s">
        <v>3500</v>
      </c>
      <c r="K618" s="8" t="s">
        <v>78</v>
      </c>
      <c r="L618" s="197" t="s">
        <v>49</v>
      </c>
      <c r="M618" s="8" t="s">
        <v>71</v>
      </c>
      <c r="N618" s="8" t="s">
        <v>28</v>
      </c>
      <c r="O618" s="90">
        <v>47693.9</v>
      </c>
      <c r="P618" s="90">
        <v>53642.0</v>
      </c>
      <c r="Q618" s="6">
        <v>23.0</v>
      </c>
      <c r="R618" s="12">
        <f t="shared" si="14"/>
        <v>10969.597</v>
      </c>
    </row>
    <row r="619">
      <c r="A619" s="22">
        <v>45995.0</v>
      </c>
      <c r="B619" s="58" t="s">
        <v>3501</v>
      </c>
      <c r="C619" s="58" t="s">
        <v>3502</v>
      </c>
      <c r="D619" s="8" t="s">
        <v>1395</v>
      </c>
      <c r="E619" s="58" t="s">
        <v>1303</v>
      </c>
      <c r="F619" s="58" t="s">
        <v>3026</v>
      </c>
      <c r="G619" s="8"/>
      <c r="H619" s="8"/>
      <c r="I619" s="88">
        <v>2825.0</v>
      </c>
      <c r="J619" s="58" t="s">
        <v>1300</v>
      </c>
      <c r="K619" s="8" t="s">
        <v>116</v>
      </c>
      <c r="L619" s="197" t="s">
        <v>49</v>
      </c>
      <c r="M619" s="8" t="s">
        <v>185</v>
      </c>
      <c r="N619" s="8" t="s">
        <v>28</v>
      </c>
      <c r="O619" s="90">
        <v>21126.0</v>
      </c>
      <c r="P619" s="90">
        <v>23959.0</v>
      </c>
      <c r="Q619" s="6">
        <v>48.0</v>
      </c>
      <c r="R619" s="12">
        <f t="shared" si="14"/>
        <v>10140.48</v>
      </c>
    </row>
    <row r="620">
      <c r="A620" s="126"/>
      <c r="E620" s="126"/>
      <c r="L620" s="126"/>
    </row>
    <row r="621">
      <c r="A621" s="126"/>
      <c r="E621" s="126"/>
      <c r="L621" s="126"/>
    </row>
    <row r="622">
      <c r="A622" s="126"/>
      <c r="E622" s="126"/>
      <c r="L622" s="126"/>
    </row>
    <row r="623">
      <c r="A623" s="22">
        <v>45995.0</v>
      </c>
      <c r="B623" s="58" t="s">
        <v>3503</v>
      </c>
      <c r="C623" s="58" t="s">
        <v>3504</v>
      </c>
      <c r="D623" s="8" t="s">
        <v>1395</v>
      </c>
      <c r="E623" s="58" t="s">
        <v>741</v>
      </c>
      <c r="F623" s="58" t="s">
        <v>3505</v>
      </c>
      <c r="G623" s="8"/>
      <c r="H623" s="8"/>
      <c r="I623" s="88">
        <v>3490.0</v>
      </c>
      <c r="J623" s="91">
        <v>46330.0</v>
      </c>
      <c r="K623" s="8" t="s">
        <v>116</v>
      </c>
      <c r="L623" s="197" t="s">
        <v>49</v>
      </c>
      <c r="M623" s="8" t="s">
        <v>27</v>
      </c>
      <c r="N623" s="8" t="s">
        <v>28</v>
      </c>
      <c r="O623" s="90">
        <v>22351.0</v>
      </c>
      <c r="P623" s="90">
        <v>25406.0</v>
      </c>
      <c r="Q623" s="6">
        <v>48.0</v>
      </c>
      <c r="R623" s="12">
        <f t="shared" ref="R623:R653" si="15">O623*Q623%</f>
        <v>10728.48</v>
      </c>
    </row>
    <row r="624">
      <c r="A624" s="21" t="s">
        <v>3506</v>
      </c>
      <c r="B624" s="58" t="s">
        <v>1307</v>
      </c>
      <c r="C624" s="58" t="s">
        <v>3507</v>
      </c>
      <c r="D624" s="206" t="s">
        <v>1395</v>
      </c>
      <c r="E624" s="58" t="s">
        <v>519</v>
      </c>
      <c r="F624" s="58" t="s">
        <v>1310</v>
      </c>
      <c r="G624" s="7">
        <v>7.434994208E9</v>
      </c>
      <c r="H624" s="8"/>
      <c r="I624" s="88">
        <v>3895.0</v>
      </c>
      <c r="J624" s="7" t="s">
        <v>1300</v>
      </c>
      <c r="K624" s="8" t="s">
        <v>25</v>
      </c>
      <c r="L624" s="197" t="s">
        <v>49</v>
      </c>
      <c r="M624" s="8" t="s">
        <v>27</v>
      </c>
      <c r="N624" s="8" t="s">
        <v>28</v>
      </c>
      <c r="O624" s="90">
        <v>25630.0</v>
      </c>
      <c r="P624" s="90">
        <v>29280.0</v>
      </c>
      <c r="Q624" s="6">
        <v>45.0</v>
      </c>
      <c r="R624" s="12">
        <f t="shared" si="15"/>
        <v>11533.5</v>
      </c>
    </row>
    <row r="625">
      <c r="A625" s="21" t="s">
        <v>3506</v>
      </c>
      <c r="B625" s="58" t="s">
        <v>1316</v>
      </c>
      <c r="C625" s="58" t="s">
        <v>3508</v>
      </c>
      <c r="D625" s="8" t="s">
        <v>1395</v>
      </c>
      <c r="E625" s="58" t="s">
        <v>2116</v>
      </c>
      <c r="F625" s="58" t="s">
        <v>3509</v>
      </c>
      <c r="G625" s="7">
        <v>9.510683208E9</v>
      </c>
      <c r="H625" s="8"/>
      <c r="I625" s="88">
        <v>1600.0</v>
      </c>
      <c r="J625" s="91">
        <v>46330.0</v>
      </c>
      <c r="K625" s="8" t="s">
        <v>1424</v>
      </c>
      <c r="L625" s="197" t="s">
        <v>49</v>
      </c>
      <c r="M625" s="8" t="s">
        <v>71</v>
      </c>
      <c r="N625" s="8" t="s">
        <v>28</v>
      </c>
      <c r="O625" s="88">
        <v>19729.0</v>
      </c>
      <c r="P625" s="88">
        <v>22317.0</v>
      </c>
      <c r="Q625" s="6">
        <v>52.0</v>
      </c>
      <c r="R625" s="12">
        <f t="shared" si="15"/>
        <v>10259.08</v>
      </c>
    </row>
    <row r="626">
      <c r="A626" s="21" t="s">
        <v>3510</v>
      </c>
      <c r="B626" s="58" t="s">
        <v>3511</v>
      </c>
      <c r="C626" s="58" t="s">
        <v>3512</v>
      </c>
      <c r="D626" s="58" t="s">
        <v>21</v>
      </c>
      <c r="E626" s="58" t="s">
        <v>3513</v>
      </c>
      <c r="F626" s="58" t="s">
        <v>3514</v>
      </c>
      <c r="G626" s="7" t="s">
        <v>3515</v>
      </c>
      <c r="H626" s="8"/>
      <c r="I626" s="88">
        <v>35000.0</v>
      </c>
      <c r="J626" s="58" t="s">
        <v>1300</v>
      </c>
      <c r="K626" s="8" t="s">
        <v>353</v>
      </c>
      <c r="L626" s="197" t="s">
        <v>49</v>
      </c>
      <c r="M626" s="8" t="s">
        <v>389</v>
      </c>
      <c r="N626" s="8" t="s">
        <v>28</v>
      </c>
      <c r="O626" s="90">
        <v>46312.0</v>
      </c>
      <c r="P626" s="90">
        <v>52011.0</v>
      </c>
      <c r="Q626" s="6">
        <v>26.0</v>
      </c>
      <c r="R626" s="12">
        <f t="shared" si="15"/>
        <v>12041.12</v>
      </c>
    </row>
    <row r="627">
      <c r="A627" s="21" t="s">
        <v>3516</v>
      </c>
      <c r="B627" s="58" t="s">
        <v>3517</v>
      </c>
      <c r="C627" s="58" t="s">
        <v>3518</v>
      </c>
      <c r="D627" s="8" t="s">
        <v>1405</v>
      </c>
      <c r="E627" s="58" t="s">
        <v>3462</v>
      </c>
      <c r="F627" s="58" t="s">
        <v>3519</v>
      </c>
      <c r="G627" s="7" t="s">
        <v>3520</v>
      </c>
      <c r="H627" s="8"/>
      <c r="I627" s="88">
        <v>990.0</v>
      </c>
      <c r="J627" s="58" t="s">
        <v>3500</v>
      </c>
      <c r="K627" s="8" t="s">
        <v>668</v>
      </c>
      <c r="L627" s="197" t="s">
        <v>49</v>
      </c>
      <c r="M627" s="8" t="s">
        <v>365</v>
      </c>
      <c r="N627" s="8" t="s">
        <v>28</v>
      </c>
      <c r="O627" s="88">
        <v>6706.0</v>
      </c>
      <c r="P627" s="88">
        <v>7644.0</v>
      </c>
      <c r="Q627" s="6">
        <v>51.0</v>
      </c>
      <c r="R627" s="12">
        <f t="shared" si="15"/>
        <v>3420.06</v>
      </c>
    </row>
    <row r="628">
      <c r="A628" s="21" t="s">
        <v>3516</v>
      </c>
      <c r="B628" s="58" t="s">
        <v>3521</v>
      </c>
      <c r="C628" s="58" t="s">
        <v>3522</v>
      </c>
      <c r="D628" s="8" t="s">
        <v>1405</v>
      </c>
      <c r="E628" s="58" t="s">
        <v>3523</v>
      </c>
      <c r="F628" s="58" t="s">
        <v>3524</v>
      </c>
      <c r="G628" s="7">
        <v>8.141118044E9</v>
      </c>
      <c r="H628" s="8"/>
      <c r="I628" s="88">
        <v>995.0</v>
      </c>
      <c r="J628" s="58" t="s">
        <v>1300</v>
      </c>
      <c r="K628" s="8" t="s">
        <v>668</v>
      </c>
      <c r="L628" s="197" t="s">
        <v>49</v>
      </c>
      <c r="M628" s="8" t="s">
        <v>1460</v>
      </c>
      <c r="N628" s="8" t="s">
        <v>28</v>
      </c>
      <c r="O628" s="88">
        <v>5296.0</v>
      </c>
      <c r="P628" s="88">
        <v>5982.0</v>
      </c>
      <c r="Q628" s="6">
        <v>51.0</v>
      </c>
      <c r="R628" s="12">
        <f t="shared" si="15"/>
        <v>2700.96</v>
      </c>
    </row>
    <row r="629">
      <c r="A629" s="21" t="s">
        <v>3516</v>
      </c>
      <c r="B629" s="58" t="s">
        <v>3525</v>
      </c>
      <c r="C629" s="58" t="s">
        <v>3526</v>
      </c>
      <c r="D629" s="8" t="s">
        <v>21</v>
      </c>
      <c r="E629" s="58" t="s">
        <v>3527</v>
      </c>
      <c r="F629" s="58" t="s">
        <v>3528</v>
      </c>
      <c r="G629" s="7" t="s">
        <v>3529</v>
      </c>
      <c r="H629" s="8"/>
      <c r="I629" s="88">
        <v>35000.0</v>
      </c>
      <c r="J629" s="58" t="s">
        <v>3530</v>
      </c>
      <c r="K629" s="8" t="s">
        <v>353</v>
      </c>
      <c r="L629" s="197" t="s">
        <v>49</v>
      </c>
      <c r="M629" s="8" t="s">
        <v>71</v>
      </c>
      <c r="N629" s="8" t="s">
        <v>28</v>
      </c>
      <c r="O629" s="90">
        <v>46352.0</v>
      </c>
      <c r="P629" s="90">
        <v>52058.0</v>
      </c>
      <c r="Q629" s="6">
        <v>26.0</v>
      </c>
      <c r="R629" s="12">
        <f t="shared" si="15"/>
        <v>12051.52</v>
      </c>
    </row>
    <row r="630">
      <c r="A630" s="21" t="s">
        <v>3516</v>
      </c>
      <c r="B630" s="58" t="s">
        <v>3531</v>
      </c>
      <c r="C630" s="58" t="s">
        <v>3532</v>
      </c>
      <c r="D630" s="8" t="s">
        <v>21</v>
      </c>
      <c r="E630" s="58" t="s">
        <v>1866</v>
      </c>
      <c r="F630" s="58" t="s">
        <v>3533</v>
      </c>
      <c r="G630" s="7" t="s">
        <v>3534</v>
      </c>
      <c r="H630" s="8"/>
      <c r="I630" s="88">
        <v>11990.0</v>
      </c>
      <c r="J630" s="58" t="s">
        <v>3080</v>
      </c>
      <c r="K630" s="8" t="s">
        <v>78</v>
      </c>
      <c r="L630" s="197" t="s">
        <v>49</v>
      </c>
      <c r="M630" s="8" t="s">
        <v>3028</v>
      </c>
      <c r="N630" s="8" t="s">
        <v>28</v>
      </c>
      <c r="O630" s="90">
        <v>31658.85</v>
      </c>
      <c r="P630" s="90">
        <v>35726.0</v>
      </c>
      <c r="Q630" s="6">
        <v>32.0</v>
      </c>
      <c r="R630" s="12">
        <f t="shared" si="15"/>
        <v>10130.832</v>
      </c>
    </row>
    <row r="631">
      <c r="A631" s="21" t="s">
        <v>3516</v>
      </c>
      <c r="B631" s="58" t="s">
        <v>3535</v>
      </c>
      <c r="C631" s="58" t="s">
        <v>3536</v>
      </c>
      <c r="D631" s="8" t="s">
        <v>1405</v>
      </c>
      <c r="E631" s="58" t="s">
        <v>2376</v>
      </c>
      <c r="F631" s="58" t="s">
        <v>3537</v>
      </c>
      <c r="G631" s="7" t="s">
        <v>3538</v>
      </c>
      <c r="H631" s="8"/>
      <c r="I631" s="88">
        <v>990.0</v>
      </c>
      <c r="J631" s="58" t="s">
        <v>1300</v>
      </c>
      <c r="K631" s="8" t="s">
        <v>668</v>
      </c>
      <c r="L631" s="197" t="s">
        <v>49</v>
      </c>
      <c r="M631" s="8" t="s">
        <v>1616</v>
      </c>
      <c r="N631" s="8" t="s">
        <v>28</v>
      </c>
      <c r="O631" s="88">
        <v>5196.0</v>
      </c>
      <c r="P631" s="88">
        <v>5862.0</v>
      </c>
      <c r="Q631" s="6">
        <v>51.0</v>
      </c>
      <c r="R631" s="12">
        <f t="shared" si="15"/>
        <v>2649.96</v>
      </c>
    </row>
    <row r="632">
      <c r="A632" s="21" t="s">
        <v>3516</v>
      </c>
      <c r="B632" s="58" t="s">
        <v>3539</v>
      </c>
      <c r="C632" s="58" t="s">
        <v>3540</v>
      </c>
      <c r="D632" s="8" t="s">
        <v>2749</v>
      </c>
      <c r="E632" s="58" t="s">
        <v>3541</v>
      </c>
      <c r="F632" s="58" t="s">
        <v>3542</v>
      </c>
      <c r="G632" s="8"/>
      <c r="H632" s="8"/>
      <c r="I632" s="7">
        <v>1196.0</v>
      </c>
      <c r="J632" s="58" t="s">
        <v>3543</v>
      </c>
      <c r="K632" s="8" t="s">
        <v>65</v>
      </c>
      <c r="L632" s="197" t="s">
        <v>26</v>
      </c>
      <c r="M632" s="8" t="s">
        <v>27</v>
      </c>
      <c r="N632" s="8" t="s">
        <v>28</v>
      </c>
      <c r="O632" s="88">
        <v>11902.0</v>
      </c>
      <c r="P632" s="88">
        <v>14044.0</v>
      </c>
      <c r="Q632" s="6">
        <v>32.0</v>
      </c>
      <c r="R632" s="12">
        <f t="shared" si="15"/>
        <v>3808.64</v>
      </c>
    </row>
    <row r="633">
      <c r="A633" s="21" t="s">
        <v>3516</v>
      </c>
      <c r="B633" s="58" t="s">
        <v>3544</v>
      </c>
      <c r="C633" s="58" t="s">
        <v>3545</v>
      </c>
      <c r="D633" s="8" t="s">
        <v>21</v>
      </c>
      <c r="E633" s="58" t="s">
        <v>3546</v>
      </c>
      <c r="F633" s="58" t="s">
        <v>3547</v>
      </c>
      <c r="G633" s="8"/>
      <c r="H633" s="8"/>
      <c r="I633" s="88">
        <v>11900.0</v>
      </c>
      <c r="J633" s="58" t="s">
        <v>1300</v>
      </c>
      <c r="K633" s="8" t="s">
        <v>668</v>
      </c>
      <c r="L633" s="197" t="s">
        <v>26</v>
      </c>
      <c r="M633" s="8" t="s">
        <v>27</v>
      </c>
      <c r="N633" s="8" t="s">
        <v>28</v>
      </c>
      <c r="O633" s="88">
        <v>27286.0</v>
      </c>
      <c r="P633" s="88">
        <v>30566.0</v>
      </c>
      <c r="Q633" s="6">
        <v>46.0</v>
      </c>
      <c r="R633" s="12">
        <f t="shared" si="15"/>
        <v>12551.56</v>
      </c>
    </row>
    <row r="634">
      <c r="A634" s="21" t="s">
        <v>3548</v>
      </c>
      <c r="B634" s="58" t="s">
        <v>3549</v>
      </c>
      <c r="C634" s="58" t="s">
        <v>3550</v>
      </c>
      <c r="D634" s="8" t="s">
        <v>1405</v>
      </c>
      <c r="E634" s="58" t="s">
        <v>3551</v>
      </c>
      <c r="F634" s="58" t="s">
        <v>3552</v>
      </c>
      <c r="G634" s="8"/>
      <c r="H634" s="8"/>
      <c r="I634" s="7">
        <v>990.0</v>
      </c>
      <c r="J634" s="58" t="s">
        <v>3553</v>
      </c>
      <c r="K634" s="8" t="s">
        <v>668</v>
      </c>
      <c r="L634" s="197" t="s">
        <v>49</v>
      </c>
      <c r="M634" s="8" t="s">
        <v>365</v>
      </c>
      <c r="N634" s="8" t="s">
        <v>28</v>
      </c>
      <c r="O634" s="88">
        <v>5238.0</v>
      </c>
      <c r="P634" s="88">
        <v>5914.0</v>
      </c>
      <c r="Q634" s="6">
        <v>51.0</v>
      </c>
      <c r="R634" s="12">
        <f t="shared" si="15"/>
        <v>2671.38</v>
      </c>
    </row>
    <row r="635">
      <c r="A635" s="21" t="s">
        <v>3548</v>
      </c>
      <c r="B635" s="58" t="s">
        <v>3554</v>
      </c>
      <c r="C635" s="58" t="s">
        <v>3555</v>
      </c>
      <c r="D635" s="8" t="s">
        <v>1405</v>
      </c>
      <c r="E635" s="58" t="s">
        <v>3462</v>
      </c>
      <c r="F635" s="58" t="s">
        <v>3556</v>
      </c>
      <c r="G635" s="7" t="s">
        <v>3557</v>
      </c>
      <c r="H635" s="8"/>
      <c r="I635" s="88">
        <v>990.0</v>
      </c>
      <c r="J635" s="58" t="s">
        <v>3530</v>
      </c>
      <c r="K635" s="8" t="s">
        <v>668</v>
      </c>
      <c r="L635" s="197" t="s">
        <v>49</v>
      </c>
      <c r="M635" s="8" t="s">
        <v>365</v>
      </c>
      <c r="N635" s="8" t="s">
        <v>28</v>
      </c>
      <c r="O635" s="88">
        <v>6872.0</v>
      </c>
      <c r="P635" s="88">
        <v>7840.0</v>
      </c>
      <c r="Q635" s="6">
        <v>51.0</v>
      </c>
      <c r="R635" s="12">
        <f t="shared" si="15"/>
        <v>3504.72</v>
      </c>
    </row>
    <row r="636">
      <c r="A636" s="88" t="s">
        <v>3548</v>
      </c>
      <c r="B636" s="58" t="s">
        <v>3558</v>
      </c>
      <c r="C636" s="58" t="s">
        <v>3559</v>
      </c>
      <c r="D636" s="8" t="s">
        <v>1395</v>
      </c>
      <c r="E636" s="58" t="s">
        <v>528</v>
      </c>
      <c r="F636" s="58" t="s">
        <v>3560</v>
      </c>
      <c r="G636" s="7">
        <v>7.043038914E9</v>
      </c>
      <c r="H636" s="8"/>
      <c r="I636" s="88">
        <v>2750.0</v>
      </c>
      <c r="J636" s="58" t="s">
        <v>3561</v>
      </c>
      <c r="K636" s="8" t="s">
        <v>65</v>
      </c>
      <c r="L636" s="197" t="s">
        <v>26</v>
      </c>
      <c r="M636" s="8" t="s">
        <v>389</v>
      </c>
      <c r="N636" s="8" t="s">
        <v>28</v>
      </c>
      <c r="O636" s="88">
        <v>16149.0</v>
      </c>
      <c r="P636" s="88">
        <v>18093.0</v>
      </c>
      <c r="Q636" s="6">
        <v>56.0</v>
      </c>
      <c r="R636" s="12">
        <f t="shared" si="15"/>
        <v>9043.44</v>
      </c>
    </row>
    <row r="637">
      <c r="A637" s="21" t="s">
        <v>3548</v>
      </c>
      <c r="B637" s="58" t="s">
        <v>1325</v>
      </c>
      <c r="C637" s="58" t="s">
        <v>3562</v>
      </c>
      <c r="D637" s="8" t="s">
        <v>1395</v>
      </c>
      <c r="E637" s="58" t="s">
        <v>3563</v>
      </c>
      <c r="F637" s="58" t="s">
        <v>1328</v>
      </c>
      <c r="G637" s="7" t="s">
        <v>3564</v>
      </c>
      <c r="H637" s="8"/>
      <c r="I637" s="88">
        <v>3460.0</v>
      </c>
      <c r="J637" s="58" t="s">
        <v>3500</v>
      </c>
      <c r="K637" s="8" t="s">
        <v>116</v>
      </c>
      <c r="L637" s="197" t="s">
        <v>49</v>
      </c>
      <c r="M637" s="8" t="s">
        <v>144</v>
      </c>
      <c r="N637" s="8" t="s">
        <v>28</v>
      </c>
      <c r="O637" s="90">
        <v>22754.0</v>
      </c>
      <c r="P637" s="90">
        <v>25882.0</v>
      </c>
      <c r="Q637" s="6">
        <v>48.0</v>
      </c>
      <c r="R637" s="12">
        <f t="shared" si="15"/>
        <v>10921.92</v>
      </c>
    </row>
    <row r="638">
      <c r="A638" s="21" t="s">
        <v>3548</v>
      </c>
      <c r="B638" s="58" t="s">
        <v>3565</v>
      </c>
      <c r="C638" s="58" t="s">
        <v>3566</v>
      </c>
      <c r="D638" s="8" t="s">
        <v>1395</v>
      </c>
      <c r="E638" s="58" t="s">
        <v>3268</v>
      </c>
      <c r="F638" s="58" t="s">
        <v>3567</v>
      </c>
      <c r="G638" s="8"/>
      <c r="H638" s="8"/>
      <c r="I638" s="88">
        <v>1550.0</v>
      </c>
      <c r="J638" s="58" t="s">
        <v>1236</v>
      </c>
      <c r="K638" s="8" t="s">
        <v>78</v>
      </c>
      <c r="L638" s="197" t="s">
        <v>49</v>
      </c>
      <c r="M638" s="8" t="s">
        <v>71</v>
      </c>
      <c r="N638" s="8" t="s">
        <v>28</v>
      </c>
      <c r="O638" s="90">
        <v>16807.41</v>
      </c>
      <c r="P638" s="90">
        <v>18870.0</v>
      </c>
      <c r="Q638" s="6">
        <v>57.0</v>
      </c>
      <c r="R638" s="12">
        <f t="shared" si="15"/>
        <v>9580.2237</v>
      </c>
    </row>
    <row r="639">
      <c r="A639" s="21" t="s">
        <v>3568</v>
      </c>
      <c r="B639" s="58" t="s">
        <v>3569</v>
      </c>
      <c r="C639" s="58" t="s">
        <v>3570</v>
      </c>
      <c r="D639" s="8" t="s">
        <v>1405</v>
      </c>
      <c r="E639" s="58" t="s">
        <v>3462</v>
      </c>
      <c r="F639" s="58" t="s">
        <v>3571</v>
      </c>
      <c r="G639" s="7" t="s">
        <v>3572</v>
      </c>
      <c r="H639" s="8"/>
      <c r="I639" s="88">
        <v>990.0</v>
      </c>
      <c r="J639" s="58" t="s">
        <v>3465</v>
      </c>
      <c r="K639" s="8" t="s">
        <v>668</v>
      </c>
      <c r="L639" s="197" t="s">
        <v>49</v>
      </c>
      <c r="M639" s="8" t="s">
        <v>365</v>
      </c>
      <c r="N639" s="8" t="s">
        <v>28</v>
      </c>
      <c r="O639" s="88">
        <v>6706.0</v>
      </c>
      <c r="P639" s="88">
        <v>7644.0</v>
      </c>
      <c r="Q639" s="6">
        <v>51.0</v>
      </c>
      <c r="R639" s="12">
        <f t="shared" si="15"/>
        <v>3420.06</v>
      </c>
    </row>
    <row r="640">
      <c r="A640" s="21" t="s">
        <v>3568</v>
      </c>
      <c r="B640" s="58" t="s">
        <v>3573</v>
      </c>
      <c r="C640" s="58" t="s">
        <v>3574</v>
      </c>
      <c r="D640" s="8" t="s">
        <v>1395</v>
      </c>
      <c r="E640" s="58" t="s">
        <v>178</v>
      </c>
      <c r="F640" s="58" t="s">
        <v>3575</v>
      </c>
      <c r="G640" s="7" t="s">
        <v>3576</v>
      </c>
      <c r="H640" s="8"/>
      <c r="I640" s="88">
        <v>3460.0</v>
      </c>
      <c r="J640" s="58" t="s">
        <v>3553</v>
      </c>
      <c r="K640" s="8" t="s">
        <v>116</v>
      </c>
      <c r="L640" s="197" t="s">
        <v>49</v>
      </c>
      <c r="M640" s="8" t="s">
        <v>185</v>
      </c>
      <c r="N640" s="8" t="s">
        <v>28</v>
      </c>
      <c r="O640" s="90">
        <v>22351.0</v>
      </c>
      <c r="P640" s="90">
        <v>25406.0</v>
      </c>
      <c r="Q640" s="6">
        <v>48.0</v>
      </c>
      <c r="R640" s="12">
        <f t="shared" si="15"/>
        <v>10728.48</v>
      </c>
    </row>
    <row r="641">
      <c r="A641" s="21" t="s">
        <v>3568</v>
      </c>
      <c r="B641" s="58" t="s">
        <v>1370</v>
      </c>
      <c r="C641" s="58" t="s">
        <v>3577</v>
      </c>
      <c r="D641" s="8" t="s">
        <v>1395</v>
      </c>
      <c r="E641" s="58" t="s">
        <v>524</v>
      </c>
      <c r="F641" s="58" t="s">
        <v>3578</v>
      </c>
      <c r="G641" s="8"/>
      <c r="H641" s="8"/>
      <c r="I641" s="88">
        <v>3490.0</v>
      </c>
      <c r="J641" s="58" t="s">
        <v>3530</v>
      </c>
      <c r="K641" s="8" t="s">
        <v>116</v>
      </c>
      <c r="L641" s="197" t="s">
        <v>49</v>
      </c>
      <c r="M641" s="8" t="s">
        <v>71</v>
      </c>
      <c r="N641" s="8" t="s">
        <v>28</v>
      </c>
      <c r="O641" s="90">
        <v>21867.0</v>
      </c>
      <c r="P641" s="90">
        <v>24835.0</v>
      </c>
      <c r="Q641" s="6">
        <v>48.0</v>
      </c>
      <c r="R641" s="12">
        <f t="shared" si="15"/>
        <v>10496.16</v>
      </c>
    </row>
    <row r="642">
      <c r="A642" s="21" t="s">
        <v>3579</v>
      </c>
      <c r="B642" s="58" t="s">
        <v>3580</v>
      </c>
      <c r="C642" s="58" t="s">
        <v>3581</v>
      </c>
      <c r="D642" s="8" t="s">
        <v>21</v>
      </c>
      <c r="E642" s="58" t="s">
        <v>3582</v>
      </c>
      <c r="F642" s="58" t="s">
        <v>3583</v>
      </c>
      <c r="G642" s="7">
        <v>9.979078037E9</v>
      </c>
      <c r="H642" s="8"/>
      <c r="I642" s="88">
        <v>35000.0</v>
      </c>
      <c r="J642" s="58" t="s">
        <v>1236</v>
      </c>
      <c r="K642" s="8" t="s">
        <v>353</v>
      </c>
      <c r="L642" s="197" t="s">
        <v>49</v>
      </c>
      <c r="M642" s="8" t="s">
        <v>71</v>
      </c>
      <c r="N642" s="8" t="s">
        <v>28</v>
      </c>
      <c r="O642" s="90">
        <v>47650.0</v>
      </c>
      <c r="P642" s="90">
        <v>53590.0</v>
      </c>
      <c r="Q642" s="6">
        <v>26.0</v>
      </c>
      <c r="R642" s="12">
        <f t="shared" si="15"/>
        <v>12389</v>
      </c>
    </row>
    <row r="643">
      <c r="A643" s="21" t="s">
        <v>3579</v>
      </c>
      <c r="B643" s="58" t="s">
        <v>3584</v>
      </c>
      <c r="C643" s="58" t="s">
        <v>3585</v>
      </c>
      <c r="D643" s="8" t="s">
        <v>1405</v>
      </c>
      <c r="E643" s="58" t="s">
        <v>2376</v>
      </c>
      <c r="F643" s="58" t="s">
        <v>3586</v>
      </c>
      <c r="G643" s="7">
        <v>9.879260172E9</v>
      </c>
      <c r="H643" s="8"/>
      <c r="I643" s="88">
        <v>986.0</v>
      </c>
      <c r="J643" s="58" t="s">
        <v>1236</v>
      </c>
      <c r="K643" s="8" t="s">
        <v>668</v>
      </c>
      <c r="L643" s="197" t="s">
        <v>49</v>
      </c>
      <c r="M643" s="8" t="s">
        <v>1460</v>
      </c>
      <c r="N643" s="8" t="s">
        <v>28</v>
      </c>
      <c r="O643" s="88">
        <v>5390.0</v>
      </c>
      <c r="P643" s="88">
        <v>6092.0</v>
      </c>
      <c r="Q643" s="6">
        <v>51.0</v>
      </c>
      <c r="R643" s="12">
        <f t="shared" si="15"/>
        <v>2748.9</v>
      </c>
    </row>
    <row r="644">
      <c r="A644" s="21" t="s">
        <v>3579</v>
      </c>
      <c r="B644" s="58" t="s">
        <v>3587</v>
      </c>
      <c r="C644" s="58" t="s">
        <v>3588</v>
      </c>
      <c r="D644" s="8" t="s">
        <v>1432</v>
      </c>
      <c r="E644" s="58" t="s">
        <v>1887</v>
      </c>
      <c r="F644" s="58" t="s">
        <v>3589</v>
      </c>
      <c r="G644" s="7" t="s">
        <v>3590</v>
      </c>
      <c r="H644" s="8"/>
      <c r="I644" s="88">
        <v>236.0</v>
      </c>
      <c r="J644" s="58" t="s">
        <v>1377</v>
      </c>
      <c r="K644" s="8" t="s">
        <v>668</v>
      </c>
      <c r="L644" s="197" t="s">
        <v>49</v>
      </c>
      <c r="M644" s="8" t="s">
        <v>389</v>
      </c>
      <c r="N644" s="8" t="s">
        <v>28</v>
      </c>
      <c r="O644" s="88">
        <v>6419.0</v>
      </c>
      <c r="P644" s="88">
        <v>7575.0</v>
      </c>
      <c r="Q644" s="6">
        <v>51.0</v>
      </c>
      <c r="R644" s="12">
        <f t="shared" si="15"/>
        <v>3273.69</v>
      </c>
    </row>
    <row r="645">
      <c r="A645" s="21" t="s">
        <v>3591</v>
      </c>
      <c r="B645" s="8" t="s">
        <v>1378</v>
      </c>
      <c r="C645" s="8"/>
      <c r="D645" s="8" t="s">
        <v>21</v>
      </c>
      <c r="E645" s="8" t="s">
        <v>2135</v>
      </c>
      <c r="F645" s="8" t="s">
        <v>3592</v>
      </c>
      <c r="G645" s="8"/>
      <c r="H645" s="8"/>
      <c r="I645" s="8">
        <v>5700.0</v>
      </c>
      <c r="J645" s="8" t="s">
        <v>1236</v>
      </c>
      <c r="K645" s="8" t="s">
        <v>41</v>
      </c>
      <c r="L645" s="100" t="s">
        <v>26</v>
      </c>
      <c r="M645" s="8"/>
      <c r="N645" s="8"/>
      <c r="O645" s="8">
        <v>16424.0</v>
      </c>
      <c r="P645" s="8">
        <v>18418.0</v>
      </c>
      <c r="Q645" s="6">
        <v>52.0</v>
      </c>
      <c r="R645" s="12">
        <f t="shared" si="15"/>
        <v>8540.48</v>
      </c>
    </row>
    <row r="646">
      <c r="A646" s="21" t="s">
        <v>3591</v>
      </c>
      <c r="B646" s="8" t="s">
        <v>3593</v>
      </c>
      <c r="C646" s="8"/>
      <c r="D646" s="8" t="s">
        <v>1759</v>
      </c>
      <c r="E646" s="8" t="s">
        <v>1760</v>
      </c>
      <c r="F646" s="8" t="s">
        <v>3594</v>
      </c>
      <c r="G646" s="8"/>
      <c r="H646" s="8"/>
      <c r="I646" s="8"/>
      <c r="J646" s="8" t="s">
        <v>1377</v>
      </c>
      <c r="K646" s="8" t="s">
        <v>668</v>
      </c>
      <c r="L646" s="100" t="s">
        <v>49</v>
      </c>
      <c r="M646" s="8"/>
      <c r="N646" s="8"/>
      <c r="O646" s="8">
        <v>7098.0</v>
      </c>
      <c r="P646" s="8">
        <v>8376.0</v>
      </c>
      <c r="Q646" s="6">
        <v>51.0</v>
      </c>
      <c r="R646" s="12">
        <f t="shared" si="15"/>
        <v>3619.98</v>
      </c>
    </row>
    <row r="647">
      <c r="A647" s="21" t="s">
        <v>3591</v>
      </c>
      <c r="B647" s="8" t="s">
        <v>3595</v>
      </c>
      <c r="C647" s="8"/>
      <c r="D647" s="8" t="s">
        <v>1395</v>
      </c>
      <c r="E647" s="8" t="s">
        <v>528</v>
      </c>
      <c r="F647" s="8" t="s">
        <v>3596</v>
      </c>
      <c r="G647" s="8"/>
      <c r="H647" s="8"/>
      <c r="I647" s="86">
        <v>3460.0</v>
      </c>
      <c r="J647" s="8" t="s">
        <v>3597</v>
      </c>
      <c r="K647" s="8" t="s">
        <v>668</v>
      </c>
      <c r="L647" s="100" t="s">
        <v>49</v>
      </c>
      <c r="M647" s="8"/>
      <c r="N647" s="8"/>
      <c r="O647" s="8">
        <v>19007.0</v>
      </c>
      <c r="P647" s="8">
        <v>21465.0</v>
      </c>
      <c r="Q647" s="6">
        <v>51.0</v>
      </c>
      <c r="R647" s="12">
        <f t="shared" si="15"/>
        <v>9693.57</v>
      </c>
    </row>
    <row r="648">
      <c r="A648" s="21" t="s">
        <v>3591</v>
      </c>
      <c r="B648" s="8" t="s">
        <v>3598</v>
      </c>
      <c r="C648" s="8"/>
      <c r="D648" s="8" t="s">
        <v>75</v>
      </c>
      <c r="E648" s="8" t="s">
        <v>1760</v>
      </c>
      <c r="F648" s="8" t="s">
        <v>3599</v>
      </c>
      <c r="G648" s="8"/>
      <c r="H648" s="8"/>
      <c r="I648" s="8"/>
      <c r="J648" s="8" t="s">
        <v>1236</v>
      </c>
      <c r="K648" s="8" t="s">
        <v>668</v>
      </c>
      <c r="L648" s="100" t="s">
        <v>49</v>
      </c>
      <c r="M648" s="8"/>
      <c r="N648" s="8"/>
      <c r="O648" s="8">
        <v>5299.0</v>
      </c>
      <c r="P648" s="8">
        <v>5985.0</v>
      </c>
      <c r="Q648" s="6">
        <v>51.0</v>
      </c>
      <c r="R648" s="12">
        <f t="shared" si="15"/>
        <v>2702.49</v>
      </c>
    </row>
    <row r="649">
      <c r="A649" s="21" t="s">
        <v>3591</v>
      </c>
      <c r="B649" s="8" t="s">
        <v>3600</v>
      </c>
      <c r="C649" s="8"/>
      <c r="D649" s="8" t="s">
        <v>21</v>
      </c>
      <c r="E649" s="8" t="s">
        <v>3601</v>
      </c>
      <c r="F649" s="8" t="s">
        <v>3602</v>
      </c>
      <c r="G649" s="8"/>
      <c r="H649" s="8"/>
      <c r="I649" s="8">
        <v>12500.0</v>
      </c>
      <c r="J649" s="8" t="s">
        <v>3568</v>
      </c>
      <c r="K649" s="8" t="s">
        <v>353</v>
      </c>
      <c r="L649" s="100" t="s">
        <v>49</v>
      </c>
      <c r="M649" s="8"/>
      <c r="N649" s="8"/>
      <c r="O649" s="8">
        <v>36428.0</v>
      </c>
      <c r="P649" s="8">
        <v>40866.0</v>
      </c>
      <c r="Q649" s="6">
        <v>25.0</v>
      </c>
      <c r="R649" s="12">
        <f t="shared" si="15"/>
        <v>9107</v>
      </c>
    </row>
    <row r="650">
      <c r="A650" s="21" t="s">
        <v>3591</v>
      </c>
      <c r="B650" s="8" t="s">
        <v>3603</v>
      </c>
      <c r="C650" s="8"/>
      <c r="D650" s="8" t="s">
        <v>1395</v>
      </c>
      <c r="E650" s="8" t="s">
        <v>2295</v>
      </c>
      <c r="F650" s="8" t="s">
        <v>3604</v>
      </c>
      <c r="G650" s="8"/>
      <c r="H650" s="8"/>
      <c r="I650" s="8">
        <v>2565.0</v>
      </c>
      <c r="J650" s="8" t="s">
        <v>1377</v>
      </c>
      <c r="K650" s="8" t="s">
        <v>1424</v>
      </c>
      <c r="L650" s="100" t="s">
        <v>49</v>
      </c>
      <c r="M650" s="8"/>
      <c r="N650" s="8"/>
      <c r="O650" s="8">
        <v>20459.0</v>
      </c>
      <c r="P650" s="8">
        <v>23179.0</v>
      </c>
      <c r="Q650" s="6">
        <v>52.0</v>
      </c>
      <c r="R650" s="12">
        <f t="shared" si="15"/>
        <v>10638.68</v>
      </c>
    </row>
    <row r="651">
      <c r="A651" s="21" t="s">
        <v>3591</v>
      </c>
      <c r="B651" s="8" t="s">
        <v>3605</v>
      </c>
      <c r="C651" s="8"/>
      <c r="D651" s="8" t="s">
        <v>1395</v>
      </c>
      <c r="E651" s="8" t="s">
        <v>262</v>
      </c>
      <c r="F651" s="8" t="s">
        <v>3606</v>
      </c>
      <c r="G651" s="8"/>
      <c r="H651" s="8"/>
      <c r="I651" s="8">
        <v>1600.0</v>
      </c>
      <c r="J651" s="8" t="s">
        <v>3452</v>
      </c>
      <c r="K651" s="8" t="s">
        <v>78</v>
      </c>
      <c r="L651" s="100" t="s">
        <v>49</v>
      </c>
      <c r="M651" s="8"/>
      <c r="N651" s="8"/>
      <c r="O651" s="8">
        <v>16934.0</v>
      </c>
      <c r="P651" s="8">
        <v>19019.0</v>
      </c>
      <c r="Q651" s="6">
        <v>57.0</v>
      </c>
      <c r="R651" s="12">
        <f t="shared" si="15"/>
        <v>9652.38</v>
      </c>
    </row>
    <row r="652">
      <c r="A652" s="21" t="s">
        <v>3591</v>
      </c>
      <c r="B652" s="8" t="s">
        <v>3607</v>
      </c>
      <c r="C652" s="8"/>
      <c r="D652" s="8" t="s">
        <v>21</v>
      </c>
      <c r="E652" s="8" t="s">
        <v>1773</v>
      </c>
      <c r="F652" s="8" t="s">
        <v>3608</v>
      </c>
      <c r="G652" s="8"/>
      <c r="H652" s="8"/>
      <c r="I652" s="8">
        <v>42000.0</v>
      </c>
      <c r="J652" s="8" t="s">
        <v>1377</v>
      </c>
      <c r="K652" s="8" t="s">
        <v>65</v>
      </c>
      <c r="L652" s="100" t="s">
        <v>26</v>
      </c>
      <c r="M652" s="8"/>
      <c r="N652" s="8"/>
      <c r="O652" s="8">
        <v>44342.0</v>
      </c>
      <c r="P652" s="8">
        <v>49670.0</v>
      </c>
      <c r="Q652" s="6">
        <v>48.0</v>
      </c>
      <c r="R652" s="12">
        <f t="shared" si="15"/>
        <v>21284.16</v>
      </c>
    </row>
    <row r="653">
      <c r="A653" s="114" t="s">
        <v>3548</v>
      </c>
      <c r="B653" s="64" t="s">
        <v>3609</v>
      </c>
      <c r="C653" s="64" t="s">
        <v>3610</v>
      </c>
      <c r="D653" s="108" t="s">
        <v>21</v>
      </c>
      <c r="E653" s="64" t="s">
        <v>3611</v>
      </c>
      <c r="F653" s="64" t="s">
        <v>3612</v>
      </c>
      <c r="G653" s="63" t="s">
        <v>3613</v>
      </c>
      <c r="H653" s="108"/>
      <c r="I653" s="109">
        <v>25000.0</v>
      </c>
      <c r="J653" s="64" t="s">
        <v>3530</v>
      </c>
      <c r="K653" s="108" t="s">
        <v>353</v>
      </c>
      <c r="L653" s="175" t="s">
        <v>49</v>
      </c>
      <c r="M653" s="108" t="s">
        <v>389</v>
      </c>
      <c r="N653" s="108" t="s">
        <v>28</v>
      </c>
      <c r="O653" s="112">
        <v>48274.0</v>
      </c>
      <c r="P653" s="112">
        <v>54326.0</v>
      </c>
      <c r="Q653" s="67">
        <v>26.0</v>
      </c>
      <c r="R653" s="30">
        <f t="shared" si="15"/>
        <v>12551.24</v>
      </c>
      <c r="S653" s="67"/>
    </row>
    <row r="654">
      <c r="A654" s="211"/>
      <c r="B654" s="69" t="s">
        <v>3614</v>
      </c>
      <c r="C654" s="212" t="s">
        <v>3615</v>
      </c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42"/>
      <c r="R654" s="69">
        <v>21373.0</v>
      </c>
      <c r="S654" s="67" t="s">
        <v>3616</v>
      </c>
      <c r="T654" s="149"/>
      <c r="U654" s="149"/>
      <c r="V654" s="149"/>
      <c r="W654" s="149"/>
      <c r="X654" s="149"/>
      <c r="Y654" s="149"/>
      <c r="Z654" s="149"/>
      <c r="AA654" s="149"/>
      <c r="AB654" s="149"/>
      <c r="AC654" s="149"/>
      <c r="AD654" s="149"/>
      <c r="AE654" s="149"/>
      <c r="AF654" s="149"/>
      <c r="AG654" s="149"/>
      <c r="AH654" s="149"/>
      <c r="AI654" s="149"/>
    </row>
    <row r="655">
      <c r="A655" s="211"/>
      <c r="B655" s="69" t="s">
        <v>3617</v>
      </c>
      <c r="C655" s="212" t="s">
        <v>3615</v>
      </c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42"/>
      <c r="R655" s="69">
        <v>34546.0</v>
      </c>
      <c r="S655" s="67" t="s">
        <v>3618</v>
      </c>
      <c r="T655" s="149"/>
      <c r="U655" s="149"/>
      <c r="V655" s="149"/>
      <c r="W655" s="149"/>
      <c r="X655" s="149"/>
      <c r="Y655" s="149"/>
      <c r="Z655" s="149"/>
      <c r="AA655" s="149"/>
      <c r="AB655" s="149"/>
      <c r="AC655" s="149"/>
      <c r="AD655" s="149"/>
      <c r="AE655" s="149"/>
      <c r="AF655" s="149"/>
      <c r="AG655" s="149"/>
      <c r="AH655" s="149"/>
      <c r="AI655" s="149"/>
    </row>
    <row r="656">
      <c r="A656" s="126"/>
      <c r="E656" s="126"/>
      <c r="L656" s="126"/>
    </row>
    <row r="657">
      <c r="A657" s="126"/>
      <c r="E657" s="126"/>
      <c r="L657" s="126"/>
    </row>
    <row r="658">
      <c r="A658" s="21" t="s">
        <v>3619</v>
      </c>
      <c r="B658" s="58" t="s">
        <v>3620</v>
      </c>
      <c r="C658" s="58" t="s">
        <v>3621</v>
      </c>
      <c r="D658" s="8" t="s">
        <v>21</v>
      </c>
      <c r="E658" s="58" t="s">
        <v>3622</v>
      </c>
      <c r="F658" s="58" t="s">
        <v>3623</v>
      </c>
      <c r="G658" s="7" t="s">
        <v>3624</v>
      </c>
      <c r="H658" s="8"/>
      <c r="I658" s="88">
        <v>28000.0</v>
      </c>
      <c r="J658" s="58" t="s">
        <v>3625</v>
      </c>
      <c r="K658" s="8" t="s">
        <v>65</v>
      </c>
      <c r="L658" s="197" t="s">
        <v>26</v>
      </c>
      <c r="M658" s="8" t="s">
        <v>1697</v>
      </c>
      <c r="N658" s="8" t="s">
        <v>28</v>
      </c>
      <c r="O658" s="88">
        <v>44050.0</v>
      </c>
      <c r="P658" s="88">
        <v>49342.0</v>
      </c>
      <c r="Q658" s="6">
        <v>51.0</v>
      </c>
      <c r="R658" s="12">
        <f t="shared" ref="R658:R718" si="16">O658*Q658%</f>
        <v>22465.5</v>
      </c>
    </row>
    <row r="659">
      <c r="A659" s="21" t="s">
        <v>3619</v>
      </c>
      <c r="B659" s="58" t="s">
        <v>3626</v>
      </c>
      <c r="C659" s="58" t="s">
        <v>3627</v>
      </c>
      <c r="D659" s="8" t="s">
        <v>1395</v>
      </c>
      <c r="E659" s="58" t="s">
        <v>3628</v>
      </c>
      <c r="F659" s="58" t="s">
        <v>3629</v>
      </c>
      <c r="G659" s="7" t="s">
        <v>3630</v>
      </c>
      <c r="H659" s="21">
        <v>7.878611123E9</v>
      </c>
      <c r="I659" s="21">
        <v>3480.0</v>
      </c>
      <c r="J659" s="58" t="s">
        <v>3631</v>
      </c>
      <c r="K659" s="8" t="s">
        <v>668</v>
      </c>
      <c r="L659" s="197" t="s">
        <v>49</v>
      </c>
      <c r="M659" s="8" t="s">
        <v>27</v>
      </c>
      <c r="N659" s="8" t="s">
        <v>28</v>
      </c>
      <c r="O659" s="88">
        <v>19007.0</v>
      </c>
      <c r="P659" s="88">
        <v>21465.0</v>
      </c>
      <c r="Q659" s="6">
        <v>51.0</v>
      </c>
      <c r="R659" s="12">
        <f t="shared" si="16"/>
        <v>9693.57</v>
      </c>
    </row>
    <row r="660">
      <c r="A660" s="21" t="s">
        <v>3632</v>
      </c>
      <c r="B660" s="58" t="s">
        <v>3633</v>
      </c>
      <c r="C660" s="58" t="s">
        <v>3634</v>
      </c>
      <c r="D660" s="8" t="s">
        <v>21</v>
      </c>
      <c r="E660" s="58" t="s">
        <v>3635</v>
      </c>
      <c r="F660" s="58" t="s">
        <v>3636</v>
      </c>
      <c r="G660" s="7" t="s">
        <v>3637</v>
      </c>
      <c r="H660" s="8"/>
      <c r="I660" s="88">
        <v>31000.0</v>
      </c>
      <c r="J660" s="58" t="s">
        <v>3625</v>
      </c>
      <c r="K660" s="8" t="s">
        <v>65</v>
      </c>
      <c r="L660" s="197" t="s">
        <v>26</v>
      </c>
      <c r="M660" s="8" t="s">
        <v>3028</v>
      </c>
      <c r="N660" s="8" t="s">
        <v>28</v>
      </c>
      <c r="O660" s="88">
        <v>44050.0</v>
      </c>
      <c r="P660" s="88">
        <v>49342.0</v>
      </c>
      <c r="Q660" s="6">
        <v>48.0</v>
      </c>
      <c r="R660" s="12">
        <f t="shared" si="16"/>
        <v>21144</v>
      </c>
    </row>
    <row r="661">
      <c r="A661" s="21" t="s">
        <v>3632</v>
      </c>
      <c r="B661" s="58" t="s">
        <v>3638</v>
      </c>
      <c r="C661" s="58" t="s">
        <v>3639</v>
      </c>
      <c r="D661" s="8" t="s">
        <v>1228</v>
      </c>
      <c r="E661" s="58" t="s">
        <v>3640</v>
      </c>
      <c r="F661" s="58" t="s">
        <v>3641</v>
      </c>
      <c r="G661" s="7">
        <v>6.353141831E9</v>
      </c>
      <c r="H661" s="8" t="s">
        <v>854</v>
      </c>
      <c r="I661" s="88">
        <v>2145.0</v>
      </c>
      <c r="J661" s="58" t="s">
        <v>3597</v>
      </c>
      <c r="K661" s="8" t="s">
        <v>2752</v>
      </c>
      <c r="L661" s="197" t="s">
        <v>26</v>
      </c>
      <c r="M661" s="8" t="s">
        <v>27</v>
      </c>
      <c r="N661" s="8" t="s">
        <v>28</v>
      </c>
      <c r="O661" s="88">
        <v>24917.0</v>
      </c>
      <c r="P661" s="88">
        <v>29402.06</v>
      </c>
      <c r="Q661" s="6">
        <v>15.0</v>
      </c>
      <c r="R661" s="12">
        <f t="shared" si="16"/>
        <v>3737.55</v>
      </c>
    </row>
    <row r="662">
      <c r="A662" s="21" t="s">
        <v>3632</v>
      </c>
      <c r="B662" s="58" t="s">
        <v>3642</v>
      </c>
      <c r="C662" s="58" t="s">
        <v>3643</v>
      </c>
      <c r="D662" s="58" t="s">
        <v>1228</v>
      </c>
      <c r="E662" s="8" t="s">
        <v>3644</v>
      </c>
      <c r="F662" s="58" t="s">
        <v>3645</v>
      </c>
      <c r="G662" s="7" t="s">
        <v>3646</v>
      </c>
      <c r="H662" s="8" t="s">
        <v>854</v>
      </c>
      <c r="I662" s="88">
        <v>3050.0</v>
      </c>
      <c r="J662" s="58" t="s">
        <v>3597</v>
      </c>
      <c r="K662" s="8" t="s">
        <v>2752</v>
      </c>
      <c r="L662" s="197" t="s">
        <v>26</v>
      </c>
      <c r="M662" s="8" t="s">
        <v>27</v>
      </c>
      <c r="N662" s="8" t="s">
        <v>28</v>
      </c>
      <c r="O662" s="88">
        <v>24040.0</v>
      </c>
      <c r="P662" s="88">
        <v>28367.2</v>
      </c>
      <c r="Q662" s="6">
        <v>15.0</v>
      </c>
      <c r="R662" s="12">
        <f t="shared" si="16"/>
        <v>3606</v>
      </c>
    </row>
    <row r="663">
      <c r="A663" s="21" t="s">
        <v>3647</v>
      </c>
      <c r="B663" s="58" t="s">
        <v>3648</v>
      </c>
      <c r="C663" s="58" t="s">
        <v>3649</v>
      </c>
      <c r="D663" s="8" t="s">
        <v>1405</v>
      </c>
      <c r="E663" s="58" t="s">
        <v>2376</v>
      </c>
      <c r="F663" s="58" t="s">
        <v>3650</v>
      </c>
      <c r="G663" s="7">
        <v>8.140901614E9</v>
      </c>
      <c r="H663" s="21">
        <v>7.096717229E9</v>
      </c>
      <c r="I663" s="88">
        <v>995.0</v>
      </c>
      <c r="J663" s="58" t="s">
        <v>3597</v>
      </c>
      <c r="K663" s="8" t="s">
        <v>668</v>
      </c>
      <c r="L663" s="197" t="s">
        <v>49</v>
      </c>
      <c r="M663" s="8" t="s">
        <v>340</v>
      </c>
      <c r="N663" s="8" t="s">
        <v>28</v>
      </c>
      <c r="O663" s="88">
        <v>5553.0</v>
      </c>
      <c r="P663" s="88">
        <v>6285.0</v>
      </c>
      <c r="Q663" s="6">
        <v>51.0</v>
      </c>
      <c r="R663" s="12">
        <f t="shared" si="16"/>
        <v>2832.03</v>
      </c>
    </row>
    <row r="664">
      <c r="A664" s="21" t="s">
        <v>3647</v>
      </c>
      <c r="B664" s="58" t="s">
        <v>3651</v>
      </c>
      <c r="C664" s="58" t="s">
        <v>3652</v>
      </c>
      <c r="D664" s="8" t="s">
        <v>1432</v>
      </c>
      <c r="E664" s="58" t="s">
        <v>1887</v>
      </c>
      <c r="F664" s="58" t="s">
        <v>3653</v>
      </c>
      <c r="G664" s="7">
        <v>9.737790486E9</v>
      </c>
      <c r="H664" s="8"/>
      <c r="I664" s="88">
        <v>470.0</v>
      </c>
      <c r="J664" s="58" t="s">
        <v>3631</v>
      </c>
      <c r="K664" s="8" t="s">
        <v>668</v>
      </c>
      <c r="L664" s="197" t="s">
        <v>49</v>
      </c>
      <c r="M664" s="8" t="s">
        <v>33</v>
      </c>
      <c r="N664" s="8" t="s">
        <v>28</v>
      </c>
      <c r="O664" s="88">
        <v>7476.0</v>
      </c>
      <c r="P664" s="88">
        <v>8822.0</v>
      </c>
      <c r="Q664" s="6">
        <v>51.0</v>
      </c>
      <c r="R664" s="12">
        <f t="shared" si="16"/>
        <v>3812.76</v>
      </c>
    </row>
    <row r="665">
      <c r="A665" s="21" t="s">
        <v>3647</v>
      </c>
      <c r="B665" s="58" t="s">
        <v>3654</v>
      </c>
      <c r="C665" s="58" t="s">
        <v>3655</v>
      </c>
      <c r="D665" s="8" t="s">
        <v>1395</v>
      </c>
      <c r="E665" s="58" t="s">
        <v>528</v>
      </c>
      <c r="F665" s="58" t="s">
        <v>3656</v>
      </c>
      <c r="G665" s="7">
        <v>9.925360293E9</v>
      </c>
      <c r="H665" s="21">
        <v>9.099449014E9</v>
      </c>
      <c r="I665" s="88">
        <v>2450.0</v>
      </c>
      <c r="J665" s="58" t="s">
        <v>3657</v>
      </c>
      <c r="K665" s="8" t="s">
        <v>65</v>
      </c>
      <c r="L665" s="197" t="s">
        <v>26</v>
      </c>
      <c r="M665" s="8" t="s">
        <v>389</v>
      </c>
      <c r="N665" s="8" t="s">
        <v>28</v>
      </c>
      <c r="O665" s="88">
        <v>16455.0</v>
      </c>
      <c r="P665" s="88">
        <v>18455.0</v>
      </c>
      <c r="Q665" s="6">
        <v>61.0</v>
      </c>
      <c r="R665" s="12">
        <f t="shared" si="16"/>
        <v>10037.55</v>
      </c>
    </row>
    <row r="666">
      <c r="A666" s="21" t="s">
        <v>3658</v>
      </c>
      <c r="B666" s="58" t="s">
        <v>3659</v>
      </c>
      <c r="C666" s="58" t="s">
        <v>3660</v>
      </c>
      <c r="D666" s="8" t="s">
        <v>1395</v>
      </c>
      <c r="E666" s="58" t="s">
        <v>741</v>
      </c>
      <c r="F666" s="58" t="s">
        <v>3661</v>
      </c>
      <c r="G666" s="7">
        <v>9.773037975E9</v>
      </c>
      <c r="H666" s="21">
        <v>9.106192391E9</v>
      </c>
      <c r="I666" s="88">
        <v>3490.0</v>
      </c>
      <c r="J666" s="58" t="s">
        <v>1382</v>
      </c>
      <c r="K666" s="8" t="s">
        <v>116</v>
      </c>
      <c r="L666" s="197" t="s">
        <v>49</v>
      </c>
      <c r="M666" s="8" t="s">
        <v>71</v>
      </c>
      <c r="N666" s="8" t="s">
        <v>28</v>
      </c>
      <c r="O666" s="90">
        <v>22249.0</v>
      </c>
      <c r="P666" s="90">
        <v>25287.0</v>
      </c>
      <c r="Q666" s="6">
        <v>48.0</v>
      </c>
      <c r="R666" s="12">
        <f t="shared" si="16"/>
        <v>10679.52</v>
      </c>
    </row>
    <row r="667">
      <c r="A667" s="21" t="s">
        <v>3658</v>
      </c>
      <c r="B667" s="58" t="s">
        <v>3662</v>
      </c>
      <c r="C667" s="58" t="s">
        <v>3663</v>
      </c>
      <c r="D667" s="8" t="s">
        <v>1395</v>
      </c>
      <c r="E667" s="58" t="s">
        <v>178</v>
      </c>
      <c r="F667" s="58" t="s">
        <v>3664</v>
      </c>
      <c r="G667" s="7">
        <v>8.347301802E9</v>
      </c>
      <c r="H667" s="21">
        <v>9.773097905E9</v>
      </c>
      <c r="I667" s="88">
        <v>3460.0</v>
      </c>
      <c r="J667" s="58" t="s">
        <v>3309</v>
      </c>
      <c r="K667" s="8" t="s">
        <v>116</v>
      </c>
      <c r="L667" s="197" t="s">
        <v>49</v>
      </c>
      <c r="M667" s="8" t="s">
        <v>3028</v>
      </c>
      <c r="N667" s="8" t="s">
        <v>28</v>
      </c>
      <c r="O667" s="90">
        <v>21562.0</v>
      </c>
      <c r="P667" s="90">
        <v>24476.0</v>
      </c>
      <c r="Q667" s="6">
        <v>48.0</v>
      </c>
      <c r="R667" s="12">
        <f t="shared" si="16"/>
        <v>10349.76</v>
      </c>
    </row>
    <row r="668">
      <c r="A668" s="21" t="s">
        <v>3658</v>
      </c>
      <c r="B668" s="58" t="s">
        <v>3665</v>
      </c>
      <c r="C668" s="58" t="s">
        <v>3666</v>
      </c>
      <c r="D668" s="8" t="s">
        <v>1395</v>
      </c>
      <c r="E668" s="58" t="s">
        <v>2091</v>
      </c>
      <c r="F668" s="58" t="s">
        <v>3667</v>
      </c>
      <c r="G668" s="7">
        <v>9.586028823E9</v>
      </c>
      <c r="H668" s="21">
        <v>9.879246696E9</v>
      </c>
      <c r="I668" s="88">
        <v>2825.0</v>
      </c>
      <c r="J668" s="58" t="s">
        <v>3309</v>
      </c>
      <c r="K668" s="8" t="s">
        <v>116</v>
      </c>
      <c r="L668" s="197" t="s">
        <v>49</v>
      </c>
      <c r="M668" s="8" t="s">
        <v>33</v>
      </c>
      <c r="N668" s="8" t="s">
        <v>28</v>
      </c>
      <c r="O668" s="90">
        <v>20882.0</v>
      </c>
      <c r="P668" s="90">
        <v>23672.0</v>
      </c>
      <c r="Q668" s="6">
        <v>48.0</v>
      </c>
      <c r="R668" s="12">
        <f t="shared" si="16"/>
        <v>10023.36</v>
      </c>
    </row>
    <row r="669">
      <c r="A669" s="21" t="s">
        <v>3658</v>
      </c>
      <c r="B669" s="58" t="s">
        <v>3668</v>
      </c>
      <c r="C669" s="58" t="s">
        <v>3669</v>
      </c>
      <c r="D669" s="8" t="s">
        <v>1395</v>
      </c>
      <c r="E669" s="58" t="s">
        <v>524</v>
      </c>
      <c r="F669" s="58" t="s">
        <v>3670</v>
      </c>
      <c r="G669" s="7" t="s">
        <v>2447</v>
      </c>
      <c r="H669" s="8"/>
      <c r="I669" s="88">
        <v>3490.0</v>
      </c>
      <c r="J669" s="58" t="s">
        <v>1382</v>
      </c>
      <c r="K669" s="8" t="s">
        <v>116</v>
      </c>
      <c r="L669" s="197" t="s">
        <v>49</v>
      </c>
      <c r="M669" s="8" t="s">
        <v>3028</v>
      </c>
      <c r="N669" s="8" t="s">
        <v>28</v>
      </c>
      <c r="O669" s="90">
        <v>22062.0</v>
      </c>
      <c r="P669" s="90">
        <v>25066.0</v>
      </c>
      <c r="Q669" s="6">
        <v>48.0</v>
      </c>
      <c r="R669" s="12">
        <f t="shared" si="16"/>
        <v>10589.76</v>
      </c>
    </row>
    <row r="670">
      <c r="A670" s="21" t="s">
        <v>3658</v>
      </c>
      <c r="B670" s="58" t="s">
        <v>3671</v>
      </c>
      <c r="C670" s="58" t="s">
        <v>3672</v>
      </c>
      <c r="D670" s="8" t="s">
        <v>21</v>
      </c>
      <c r="E670" s="58" t="s">
        <v>3673</v>
      </c>
      <c r="F670" s="58" t="s">
        <v>3674</v>
      </c>
      <c r="G670" s="7" t="s">
        <v>3675</v>
      </c>
      <c r="H670" s="8"/>
      <c r="I670" s="88">
        <v>15910.0</v>
      </c>
      <c r="J670" s="58" t="s">
        <v>3676</v>
      </c>
      <c r="K670" s="8" t="s">
        <v>65</v>
      </c>
      <c r="L670" s="197" t="s">
        <v>26</v>
      </c>
      <c r="M670" s="8" t="s">
        <v>71</v>
      </c>
      <c r="N670" s="8" t="s">
        <v>28</v>
      </c>
      <c r="O670" s="88">
        <v>35413.0</v>
      </c>
      <c r="P670" s="88">
        <v>39669.0</v>
      </c>
      <c r="Q670" s="6">
        <v>47.0</v>
      </c>
      <c r="R670" s="12">
        <f t="shared" si="16"/>
        <v>16644.11</v>
      </c>
    </row>
    <row r="671">
      <c r="A671" s="21" t="s">
        <v>3658</v>
      </c>
      <c r="B671" s="58" t="s">
        <v>3677</v>
      </c>
      <c r="C671" s="58" t="s">
        <v>3678</v>
      </c>
      <c r="D671" s="8" t="s">
        <v>1395</v>
      </c>
      <c r="E671" s="58" t="s">
        <v>2116</v>
      </c>
      <c r="F671" s="58" t="s">
        <v>3679</v>
      </c>
      <c r="G671" s="7">
        <v>9.97928066E9</v>
      </c>
      <c r="H671" s="21">
        <v>8.84919075E9</v>
      </c>
      <c r="I671" s="88">
        <v>1600.0</v>
      </c>
      <c r="J671" s="58" t="s">
        <v>3465</v>
      </c>
      <c r="K671" s="8" t="s">
        <v>1424</v>
      </c>
      <c r="L671" s="197" t="s">
        <v>49</v>
      </c>
      <c r="M671" s="8" t="s">
        <v>71</v>
      </c>
      <c r="N671" s="8" t="s">
        <v>28</v>
      </c>
      <c r="O671" s="88">
        <v>19726.0</v>
      </c>
      <c r="P671" s="88">
        <v>22314.0</v>
      </c>
      <c r="Q671" s="6">
        <v>52.0</v>
      </c>
      <c r="R671" s="12">
        <f t="shared" si="16"/>
        <v>10257.52</v>
      </c>
    </row>
    <row r="672">
      <c r="A672" s="21" t="s">
        <v>3658</v>
      </c>
      <c r="B672" s="58" t="s">
        <v>3680</v>
      </c>
      <c r="C672" s="58" t="s">
        <v>3681</v>
      </c>
      <c r="D672" s="8" t="s">
        <v>1395</v>
      </c>
      <c r="E672" s="58" t="s">
        <v>3682</v>
      </c>
      <c r="F672" s="58" t="s">
        <v>3683</v>
      </c>
      <c r="G672" s="7" t="s">
        <v>3684</v>
      </c>
      <c r="H672" s="21">
        <v>9.313377507E9</v>
      </c>
      <c r="I672" s="88">
        <v>2806.0</v>
      </c>
      <c r="J672" s="58" t="s">
        <v>3465</v>
      </c>
      <c r="K672" s="8" t="s">
        <v>668</v>
      </c>
      <c r="L672" s="197" t="s">
        <v>49</v>
      </c>
      <c r="M672" s="8" t="s">
        <v>27</v>
      </c>
      <c r="N672" s="8" t="s">
        <v>28</v>
      </c>
      <c r="O672" s="88">
        <v>18878.0</v>
      </c>
      <c r="P672" s="88">
        <v>21314.0</v>
      </c>
      <c r="Q672" s="6">
        <v>51.0</v>
      </c>
      <c r="R672" s="12">
        <f t="shared" si="16"/>
        <v>9627.78</v>
      </c>
    </row>
    <row r="673">
      <c r="A673" s="21" t="s">
        <v>3685</v>
      </c>
      <c r="B673" s="58" t="s">
        <v>3686</v>
      </c>
      <c r="C673" s="58" t="s">
        <v>3687</v>
      </c>
      <c r="D673" s="58" t="s">
        <v>1395</v>
      </c>
      <c r="E673" s="58" t="s">
        <v>3688</v>
      </c>
      <c r="F673" s="58" t="s">
        <v>3689</v>
      </c>
      <c r="G673" s="88">
        <v>9.537357527E9</v>
      </c>
      <c r="H673" s="21">
        <v>9.714769507E9</v>
      </c>
      <c r="I673" s="88">
        <v>2090.0</v>
      </c>
      <c r="J673" s="91">
        <v>46027.0</v>
      </c>
      <c r="K673" s="58" t="s">
        <v>143</v>
      </c>
      <c r="L673" s="197" t="s">
        <v>49</v>
      </c>
      <c r="M673" s="8" t="s">
        <v>185</v>
      </c>
      <c r="N673" s="8" t="s">
        <v>28</v>
      </c>
      <c r="O673" s="90">
        <v>17357.0</v>
      </c>
      <c r="P673" s="90">
        <v>19518.0</v>
      </c>
      <c r="Q673" s="6">
        <v>61.0</v>
      </c>
      <c r="R673" s="12">
        <f t="shared" si="16"/>
        <v>10587.77</v>
      </c>
    </row>
    <row r="674">
      <c r="A674" s="21" t="s">
        <v>3685</v>
      </c>
      <c r="B674" s="58" t="s">
        <v>3690</v>
      </c>
      <c r="C674" s="58" t="s">
        <v>3691</v>
      </c>
      <c r="D674" s="8" t="s">
        <v>1395</v>
      </c>
      <c r="E674" s="58" t="s">
        <v>178</v>
      </c>
      <c r="F674" s="58" t="s">
        <v>3692</v>
      </c>
      <c r="G674" s="7">
        <v>9.328430702E9</v>
      </c>
      <c r="H674" s="21">
        <v>9.10620487E9</v>
      </c>
      <c r="I674" s="88">
        <v>3460.0</v>
      </c>
      <c r="J674" s="58" t="s">
        <v>3309</v>
      </c>
      <c r="K674" s="8" t="s">
        <v>116</v>
      </c>
      <c r="L674" s="197" t="s">
        <v>49</v>
      </c>
      <c r="M674" s="8" t="s">
        <v>340</v>
      </c>
      <c r="N674" s="8" t="s">
        <v>28</v>
      </c>
      <c r="O674" s="90">
        <v>21858.0</v>
      </c>
      <c r="P674" s="90">
        <v>24824.0</v>
      </c>
      <c r="Q674" s="6">
        <v>48.0</v>
      </c>
      <c r="R674" s="12">
        <f t="shared" si="16"/>
        <v>10491.84</v>
      </c>
    </row>
    <row r="675">
      <c r="A675" s="21" t="s">
        <v>3693</v>
      </c>
      <c r="B675" s="58" t="s">
        <v>3694</v>
      </c>
      <c r="C675" s="8" t="s">
        <v>3695</v>
      </c>
      <c r="D675" s="8" t="s">
        <v>93</v>
      </c>
      <c r="E675" s="8" t="s">
        <v>3696</v>
      </c>
      <c r="F675" s="8" t="s">
        <v>3697</v>
      </c>
      <c r="G675" s="7" t="s">
        <v>3698</v>
      </c>
      <c r="H675" s="21">
        <v>9.879490744E9</v>
      </c>
      <c r="I675" s="21">
        <v>9600.0</v>
      </c>
      <c r="J675" s="7" t="s">
        <v>3309</v>
      </c>
      <c r="K675" s="8" t="s">
        <v>41</v>
      </c>
      <c r="L675" s="197" t="s">
        <v>26</v>
      </c>
      <c r="M675" s="8" t="s">
        <v>27</v>
      </c>
      <c r="N675" s="8" t="s">
        <v>28</v>
      </c>
      <c r="O675" s="21">
        <v>27286.0</v>
      </c>
      <c r="P675" s="21">
        <v>30566.0</v>
      </c>
      <c r="Q675" s="6">
        <v>52.0</v>
      </c>
      <c r="R675" s="12">
        <f t="shared" si="16"/>
        <v>14188.72</v>
      </c>
    </row>
    <row r="676">
      <c r="A676" s="21" t="s">
        <v>3693</v>
      </c>
      <c r="B676" s="58" t="s">
        <v>3699</v>
      </c>
      <c r="C676" s="58" t="s">
        <v>3700</v>
      </c>
      <c r="D676" s="8" t="s">
        <v>21</v>
      </c>
      <c r="E676" s="58" t="s">
        <v>3701</v>
      </c>
      <c r="F676" s="58" t="s">
        <v>3702</v>
      </c>
      <c r="G676" s="7">
        <v>9.638960261E9</v>
      </c>
      <c r="H676" s="21">
        <v>7.874916674E9</v>
      </c>
      <c r="I676" s="88">
        <v>12990.0</v>
      </c>
      <c r="J676" s="58" t="s">
        <v>3703</v>
      </c>
      <c r="K676" s="8" t="s">
        <v>3429</v>
      </c>
      <c r="L676" s="214" t="s">
        <v>49</v>
      </c>
      <c r="M676" s="8" t="s">
        <v>340</v>
      </c>
      <c r="N676" s="8" t="s">
        <v>28</v>
      </c>
      <c r="O676" s="88">
        <v>36691.0</v>
      </c>
      <c r="P676" s="88">
        <v>41177.0</v>
      </c>
      <c r="Q676" s="6">
        <v>24.0</v>
      </c>
      <c r="R676" s="12">
        <f t="shared" si="16"/>
        <v>8805.84</v>
      </c>
    </row>
    <row r="677">
      <c r="A677" s="21" t="s">
        <v>3693</v>
      </c>
      <c r="B677" s="58" t="s">
        <v>3704</v>
      </c>
      <c r="C677" s="58" t="s">
        <v>3705</v>
      </c>
      <c r="D677" s="8" t="s">
        <v>533</v>
      </c>
      <c r="E677" s="58" t="s">
        <v>3706</v>
      </c>
      <c r="F677" s="58" t="s">
        <v>3707</v>
      </c>
      <c r="G677" s="7" t="s">
        <v>3708</v>
      </c>
      <c r="H677" s="21">
        <v>9.265333689E9</v>
      </c>
      <c r="I677" s="88">
        <v>0.0</v>
      </c>
      <c r="J677" s="58" t="s">
        <v>3309</v>
      </c>
      <c r="K677" s="8" t="s">
        <v>78</v>
      </c>
      <c r="L677" s="197" t="s">
        <v>26</v>
      </c>
      <c r="M677" s="8" t="s">
        <v>365</v>
      </c>
      <c r="N677" s="8" t="s">
        <v>28</v>
      </c>
      <c r="O677" s="90">
        <v>7317.0</v>
      </c>
      <c r="P677" s="90">
        <v>8634.0</v>
      </c>
      <c r="Q677" s="6">
        <v>50.0</v>
      </c>
      <c r="R677" s="12">
        <f t="shared" si="16"/>
        <v>3658.5</v>
      </c>
    </row>
    <row r="678">
      <c r="A678" s="21" t="s">
        <v>3709</v>
      </c>
      <c r="B678" s="58" t="s">
        <v>3710</v>
      </c>
      <c r="C678" s="58" t="s">
        <v>3711</v>
      </c>
      <c r="D678" s="8" t="s">
        <v>1432</v>
      </c>
      <c r="E678" s="58" t="s">
        <v>1887</v>
      </c>
      <c r="F678" s="58" t="s">
        <v>3712</v>
      </c>
      <c r="G678" s="7">
        <v>6.353829835E9</v>
      </c>
      <c r="H678" s="21">
        <v>7.016115789E9</v>
      </c>
      <c r="I678" s="88">
        <v>236.0</v>
      </c>
      <c r="J678" s="91">
        <v>46239.0</v>
      </c>
      <c r="K678" s="8" t="s">
        <v>668</v>
      </c>
      <c r="L678" s="197" t="s">
        <v>49</v>
      </c>
      <c r="M678" s="8" t="s">
        <v>185</v>
      </c>
      <c r="N678" s="8" t="s">
        <v>28</v>
      </c>
      <c r="O678" s="88">
        <v>6467.0</v>
      </c>
      <c r="P678" s="88">
        <v>7631.0</v>
      </c>
      <c r="Q678" s="6">
        <v>51.0</v>
      </c>
      <c r="R678" s="12">
        <f t="shared" si="16"/>
        <v>3298.17</v>
      </c>
    </row>
    <row r="679">
      <c r="A679" s="21" t="s">
        <v>3709</v>
      </c>
      <c r="B679" s="58" t="s">
        <v>3713</v>
      </c>
      <c r="C679" s="58" t="s">
        <v>3714</v>
      </c>
      <c r="D679" s="8" t="s">
        <v>1395</v>
      </c>
      <c r="E679" s="58" t="s">
        <v>178</v>
      </c>
      <c r="F679" s="58" t="s">
        <v>3715</v>
      </c>
      <c r="G679" s="7">
        <v>8.160369438E9</v>
      </c>
      <c r="H679" s="21">
        <v>7.801896549E9</v>
      </c>
      <c r="I679" s="88">
        <v>3460.0</v>
      </c>
      <c r="J679" s="91">
        <v>46027.0</v>
      </c>
      <c r="K679" s="8" t="s">
        <v>116</v>
      </c>
      <c r="L679" s="197" t="s">
        <v>49</v>
      </c>
      <c r="M679" s="8" t="s">
        <v>389</v>
      </c>
      <c r="N679" s="8" t="s">
        <v>28</v>
      </c>
      <c r="O679" s="90">
        <v>22351.0</v>
      </c>
      <c r="P679" s="90">
        <v>25406.0</v>
      </c>
      <c r="Q679" s="6">
        <v>48.0</v>
      </c>
      <c r="R679" s="12">
        <f t="shared" si="16"/>
        <v>10728.48</v>
      </c>
    </row>
    <row r="680">
      <c r="A680" s="21" t="s">
        <v>3716</v>
      </c>
      <c r="B680" s="8" t="s">
        <v>3717</v>
      </c>
      <c r="C680" s="8" t="s">
        <v>3718</v>
      </c>
      <c r="D680" s="8" t="s">
        <v>21</v>
      </c>
      <c r="E680" s="8" t="s">
        <v>3719</v>
      </c>
      <c r="F680" s="8" t="s">
        <v>3720</v>
      </c>
      <c r="G680" s="7" t="s">
        <v>3721</v>
      </c>
      <c r="H680" s="21">
        <v>7.016023309E9</v>
      </c>
      <c r="I680" s="21">
        <v>9600.0</v>
      </c>
      <c r="J680" s="7" t="s">
        <v>3314</v>
      </c>
      <c r="K680" s="8" t="s">
        <v>41</v>
      </c>
      <c r="L680" s="197" t="s">
        <v>26</v>
      </c>
      <c r="M680" s="8" t="s">
        <v>71</v>
      </c>
      <c r="N680" s="8" t="s">
        <v>28</v>
      </c>
      <c r="O680" s="21">
        <v>27561.0</v>
      </c>
      <c r="P680" s="21">
        <v>30891.0</v>
      </c>
      <c r="Q680" s="6">
        <v>52.0</v>
      </c>
      <c r="R680" s="12">
        <f t="shared" si="16"/>
        <v>14331.72</v>
      </c>
    </row>
    <row r="681">
      <c r="A681" s="21" t="s">
        <v>3722</v>
      </c>
      <c r="B681" s="58" t="s">
        <v>3723</v>
      </c>
      <c r="C681" s="58" t="s">
        <v>3724</v>
      </c>
      <c r="D681" s="8" t="s">
        <v>1395</v>
      </c>
      <c r="E681" s="58" t="s">
        <v>3725</v>
      </c>
      <c r="F681" s="58" t="s">
        <v>3726</v>
      </c>
      <c r="G681" s="7">
        <v>9.913297786E9</v>
      </c>
      <c r="H681" s="21">
        <v>9.5120987E9</v>
      </c>
      <c r="I681" s="88">
        <v>2500.0</v>
      </c>
      <c r="J681" s="58" t="s">
        <v>3727</v>
      </c>
      <c r="K681" s="58" t="s">
        <v>143</v>
      </c>
      <c r="L681" s="197" t="s">
        <v>49</v>
      </c>
      <c r="M681" s="8" t="s">
        <v>27</v>
      </c>
      <c r="N681" s="8" t="s">
        <v>28</v>
      </c>
      <c r="O681" s="90">
        <v>17399.0</v>
      </c>
      <c r="P681" s="90">
        <v>19568.0</v>
      </c>
      <c r="Q681" s="6">
        <v>61.0</v>
      </c>
      <c r="R681" s="12">
        <f t="shared" si="16"/>
        <v>10613.39</v>
      </c>
    </row>
    <row r="682">
      <c r="A682" s="21" t="s">
        <v>3722</v>
      </c>
      <c r="B682" s="58" t="s">
        <v>3728</v>
      </c>
      <c r="C682" s="58" t="s">
        <v>3729</v>
      </c>
      <c r="D682" s="8" t="s">
        <v>1395</v>
      </c>
      <c r="E682" s="58" t="s">
        <v>2912</v>
      </c>
      <c r="F682" s="58" t="s">
        <v>3730</v>
      </c>
      <c r="G682" s="7">
        <v>9.016553395E9</v>
      </c>
      <c r="H682" s="21">
        <v>7.434805566E9</v>
      </c>
      <c r="I682" s="88">
        <v>1600.0</v>
      </c>
      <c r="J682" s="58" t="s">
        <v>3731</v>
      </c>
      <c r="K682" s="8" t="s">
        <v>1424</v>
      </c>
      <c r="L682" s="197" t="s">
        <v>49</v>
      </c>
      <c r="M682" s="8" t="s">
        <v>71</v>
      </c>
      <c r="N682" s="8" t="s">
        <v>28</v>
      </c>
      <c r="O682" s="88">
        <v>18921.0</v>
      </c>
      <c r="P682" s="88">
        <v>21364.0</v>
      </c>
      <c r="Q682" s="6">
        <v>52.0</v>
      </c>
      <c r="R682" s="12">
        <f t="shared" si="16"/>
        <v>9838.92</v>
      </c>
    </row>
    <row r="683">
      <c r="A683" s="21" t="s">
        <v>3722</v>
      </c>
      <c r="B683" s="58" t="s">
        <v>3732</v>
      </c>
      <c r="C683" s="58" t="s">
        <v>3733</v>
      </c>
      <c r="D683" s="8" t="s">
        <v>21</v>
      </c>
      <c r="E683" s="58" t="s">
        <v>2076</v>
      </c>
      <c r="F683" s="58" t="s">
        <v>3734</v>
      </c>
      <c r="G683" s="7">
        <v>6.351034109E9</v>
      </c>
      <c r="H683" s="21">
        <v>8.849279324E9</v>
      </c>
      <c r="I683" s="88">
        <v>11950.0</v>
      </c>
      <c r="J683" s="58" t="s">
        <v>3731</v>
      </c>
      <c r="K683" s="8" t="s">
        <v>668</v>
      </c>
      <c r="L683" s="197" t="s">
        <v>49</v>
      </c>
      <c r="M683" s="8" t="s">
        <v>1456</v>
      </c>
      <c r="N683" s="8" t="s">
        <v>28</v>
      </c>
      <c r="O683" s="88">
        <v>29874.0</v>
      </c>
      <c r="P683" s="88">
        <v>33620.0</v>
      </c>
      <c r="Q683" s="6">
        <v>31.0</v>
      </c>
      <c r="R683" s="12">
        <f t="shared" si="16"/>
        <v>9260.94</v>
      </c>
    </row>
    <row r="684">
      <c r="A684" s="21" t="s">
        <v>3722</v>
      </c>
      <c r="B684" s="58" t="s">
        <v>3735</v>
      </c>
      <c r="C684" s="58" t="s">
        <v>3736</v>
      </c>
      <c r="D684" s="8" t="s">
        <v>21</v>
      </c>
      <c r="E684" s="58" t="s">
        <v>3737</v>
      </c>
      <c r="F684" s="58" t="s">
        <v>3738</v>
      </c>
      <c r="G684" s="7">
        <v>7.98467355E9</v>
      </c>
      <c r="H684" s="21">
        <v>7.567163875E9</v>
      </c>
      <c r="I684" s="88">
        <v>11990.0</v>
      </c>
      <c r="J684" s="58" t="s">
        <v>3731</v>
      </c>
      <c r="K684" s="8" t="s">
        <v>668</v>
      </c>
      <c r="L684" s="197" t="s">
        <v>49</v>
      </c>
      <c r="M684" s="8" t="s">
        <v>71</v>
      </c>
      <c r="N684" s="8" t="s">
        <v>28</v>
      </c>
      <c r="O684" s="88">
        <v>28341.0</v>
      </c>
      <c r="P684" s="88">
        <v>31811.0</v>
      </c>
      <c r="Q684" s="6">
        <v>31.0</v>
      </c>
      <c r="R684" s="12">
        <f t="shared" si="16"/>
        <v>8785.71</v>
      </c>
    </row>
    <row r="685">
      <c r="A685" s="21" t="s">
        <v>3722</v>
      </c>
      <c r="B685" s="58" t="s">
        <v>3739</v>
      </c>
      <c r="C685" s="58" t="s">
        <v>3740</v>
      </c>
      <c r="D685" s="8" t="s">
        <v>21</v>
      </c>
      <c r="E685" s="58" t="s">
        <v>3066</v>
      </c>
      <c r="F685" s="58" t="s">
        <v>3741</v>
      </c>
      <c r="G685" s="7">
        <v>8.200679469E9</v>
      </c>
      <c r="H685" s="21">
        <v>9.924279078E9</v>
      </c>
      <c r="I685" s="88">
        <v>11900.0</v>
      </c>
      <c r="J685" s="58" t="s">
        <v>3742</v>
      </c>
      <c r="K685" s="8" t="s">
        <v>65</v>
      </c>
      <c r="L685" s="197" t="s">
        <v>26</v>
      </c>
      <c r="M685" s="8" t="s">
        <v>27</v>
      </c>
      <c r="N685" s="8" t="s">
        <v>28</v>
      </c>
      <c r="O685" s="88">
        <v>27286.0</v>
      </c>
      <c r="P685" s="88">
        <v>30566.0</v>
      </c>
      <c r="Q685" s="6">
        <v>47.0</v>
      </c>
      <c r="R685" s="12">
        <f t="shared" si="16"/>
        <v>12824.42</v>
      </c>
    </row>
    <row r="686">
      <c r="A686" s="21" t="s">
        <v>3722</v>
      </c>
      <c r="B686" s="58" t="s">
        <v>3743</v>
      </c>
      <c r="C686" s="58" t="s">
        <v>3744</v>
      </c>
      <c r="D686" s="8" t="s">
        <v>1405</v>
      </c>
      <c r="E686" s="58" t="s">
        <v>2376</v>
      </c>
      <c r="F686" s="58" t="s">
        <v>3745</v>
      </c>
      <c r="G686" s="7">
        <v>9.265178277E9</v>
      </c>
      <c r="H686" s="21">
        <v>9.574095947E9</v>
      </c>
      <c r="I686" s="88">
        <v>995.0</v>
      </c>
      <c r="J686" s="58" t="s">
        <v>3727</v>
      </c>
      <c r="K686" s="8" t="s">
        <v>668</v>
      </c>
      <c r="L686" s="197" t="s">
        <v>49</v>
      </c>
      <c r="M686" s="8" t="s">
        <v>340</v>
      </c>
      <c r="N686" s="8" t="s">
        <v>28</v>
      </c>
      <c r="O686" s="88">
        <v>5553.0</v>
      </c>
      <c r="P686" s="88">
        <v>6285.0</v>
      </c>
      <c r="Q686" s="6">
        <v>51.0</v>
      </c>
      <c r="R686" s="12">
        <f t="shared" si="16"/>
        <v>2832.03</v>
      </c>
    </row>
    <row r="687">
      <c r="A687" s="21" t="s">
        <v>3722</v>
      </c>
      <c r="B687" s="58" t="s">
        <v>3746</v>
      </c>
      <c r="C687" s="58" t="s">
        <v>3747</v>
      </c>
      <c r="D687" s="8" t="s">
        <v>1395</v>
      </c>
      <c r="E687" s="58" t="s">
        <v>1988</v>
      </c>
      <c r="F687" s="58" t="s">
        <v>3748</v>
      </c>
      <c r="G687" s="7">
        <v>9.712259998E9</v>
      </c>
      <c r="H687" s="21">
        <v>6.355970459E9</v>
      </c>
      <c r="I687" s="88">
        <v>2880.0</v>
      </c>
      <c r="J687" s="91">
        <v>46027.0</v>
      </c>
      <c r="K687" s="8" t="s">
        <v>668</v>
      </c>
      <c r="L687" s="197" t="s">
        <v>49</v>
      </c>
      <c r="M687" s="8" t="s">
        <v>71</v>
      </c>
      <c r="N687" s="8" t="s">
        <v>28</v>
      </c>
      <c r="O687" s="88">
        <v>18441.0</v>
      </c>
      <c r="P687" s="88">
        <v>20797.0</v>
      </c>
      <c r="Q687" s="6">
        <v>51.0</v>
      </c>
      <c r="R687" s="12">
        <f t="shared" si="16"/>
        <v>9404.91</v>
      </c>
    </row>
    <row r="688">
      <c r="A688" s="21" t="s">
        <v>3722</v>
      </c>
      <c r="B688" s="58" t="s">
        <v>3749</v>
      </c>
      <c r="C688" s="58" t="s">
        <v>3750</v>
      </c>
      <c r="D688" s="8" t="s">
        <v>1395</v>
      </c>
      <c r="E688" s="58" t="s">
        <v>3751</v>
      </c>
      <c r="F688" s="58" t="s">
        <v>3752</v>
      </c>
      <c r="G688" s="7">
        <v>9.97448934E9</v>
      </c>
      <c r="H688" s="21">
        <v>9.73766144E9</v>
      </c>
      <c r="I688" s="88">
        <v>1870.0</v>
      </c>
      <c r="J688" s="7" t="s">
        <v>3727</v>
      </c>
      <c r="K688" s="8" t="s">
        <v>70</v>
      </c>
      <c r="L688" s="197" t="s">
        <v>49</v>
      </c>
      <c r="M688" s="8" t="s">
        <v>365</v>
      </c>
      <c r="N688" s="8" t="s">
        <v>28</v>
      </c>
      <c r="O688" s="90">
        <v>17664.0</v>
      </c>
      <c r="P688" s="90">
        <v>19881.0</v>
      </c>
      <c r="Q688" s="6">
        <v>60.0</v>
      </c>
      <c r="R688" s="12">
        <f t="shared" si="16"/>
        <v>10598.4</v>
      </c>
    </row>
    <row r="689">
      <c r="A689" s="22" t="s">
        <v>3722</v>
      </c>
      <c r="B689" s="8" t="s">
        <v>3753</v>
      </c>
      <c r="C689" s="8" t="s">
        <v>3754</v>
      </c>
      <c r="D689" s="8" t="s">
        <v>533</v>
      </c>
      <c r="E689" s="8" t="s">
        <v>2701</v>
      </c>
      <c r="F689" s="8" t="s">
        <v>3755</v>
      </c>
      <c r="G689" s="7">
        <v>7.016184293E9</v>
      </c>
      <c r="H689" s="7">
        <v>9.909596056E9</v>
      </c>
      <c r="I689" s="7">
        <v>0.0</v>
      </c>
      <c r="J689" s="215" t="s">
        <v>3727</v>
      </c>
      <c r="K689" s="8" t="s">
        <v>116</v>
      </c>
      <c r="L689" s="197" t="s">
        <v>26</v>
      </c>
      <c r="M689" s="8" t="s">
        <v>27</v>
      </c>
      <c r="N689" s="8" t="s">
        <v>28</v>
      </c>
      <c r="O689" s="97">
        <v>7317.0</v>
      </c>
      <c r="P689" s="97">
        <v>8634.0</v>
      </c>
      <c r="Q689" s="6">
        <v>27.0</v>
      </c>
      <c r="R689" s="12">
        <f t="shared" si="16"/>
        <v>1975.59</v>
      </c>
    </row>
    <row r="690">
      <c r="A690" s="22" t="s">
        <v>3722</v>
      </c>
      <c r="B690" s="8" t="s">
        <v>3756</v>
      </c>
      <c r="C690" s="8" t="s">
        <v>3757</v>
      </c>
      <c r="D690" s="8" t="s">
        <v>1395</v>
      </c>
      <c r="E690" s="8" t="s">
        <v>1974</v>
      </c>
      <c r="F690" s="8" t="s">
        <v>3758</v>
      </c>
      <c r="G690" s="7">
        <v>9.913558904E9</v>
      </c>
      <c r="H690" s="7">
        <v>9.9793828E9</v>
      </c>
      <c r="I690" s="21">
        <v>3490.0</v>
      </c>
      <c r="J690" s="22">
        <v>46027.0</v>
      </c>
      <c r="K690" s="8" t="s">
        <v>668</v>
      </c>
      <c r="L690" s="197" t="s">
        <v>49</v>
      </c>
      <c r="M690" s="8" t="s">
        <v>71</v>
      </c>
      <c r="N690" s="8" t="s">
        <v>28</v>
      </c>
      <c r="O690" s="21">
        <v>25018.0</v>
      </c>
      <c r="P690" s="21">
        <v>28558.0</v>
      </c>
      <c r="Q690" s="6">
        <v>51.0</v>
      </c>
      <c r="R690" s="12">
        <f t="shared" si="16"/>
        <v>12759.18</v>
      </c>
    </row>
    <row r="691">
      <c r="A691" s="22" t="s">
        <v>3722</v>
      </c>
      <c r="B691" s="8" t="s">
        <v>1362</v>
      </c>
      <c r="C691" s="8" t="s">
        <v>3759</v>
      </c>
      <c r="D691" s="8" t="s">
        <v>1395</v>
      </c>
      <c r="E691" s="8" t="s">
        <v>3760</v>
      </c>
      <c r="F691" s="8" t="s">
        <v>1365</v>
      </c>
      <c r="G691" s="7">
        <v>9.979311126E9</v>
      </c>
      <c r="H691" s="7" t="s">
        <v>3761</v>
      </c>
      <c r="I691" s="21">
        <v>2950.0</v>
      </c>
      <c r="J691" s="22">
        <v>46086.0</v>
      </c>
      <c r="K691" s="8" t="s">
        <v>668</v>
      </c>
      <c r="L691" s="197" t="s">
        <v>49</v>
      </c>
      <c r="M691" s="8" t="s">
        <v>340</v>
      </c>
      <c r="N691" s="8" t="s">
        <v>28</v>
      </c>
      <c r="O691" s="21">
        <v>24634.0</v>
      </c>
      <c r="P691" s="21">
        <v>28106.0</v>
      </c>
      <c r="Q691" s="6">
        <v>51.0</v>
      </c>
      <c r="R691" s="12">
        <f t="shared" si="16"/>
        <v>12563.34</v>
      </c>
    </row>
    <row r="692">
      <c r="A692" s="22">
        <v>45693.0</v>
      </c>
      <c r="B692" s="8" t="s">
        <v>3762</v>
      </c>
      <c r="C692" s="8" t="s">
        <v>3763</v>
      </c>
      <c r="D692" s="8" t="s">
        <v>1395</v>
      </c>
      <c r="E692" s="8" t="s">
        <v>2243</v>
      </c>
      <c r="F692" s="8" t="s">
        <v>3764</v>
      </c>
      <c r="G692" s="7" t="s">
        <v>3765</v>
      </c>
      <c r="H692" s="7" t="s">
        <v>3766</v>
      </c>
      <c r="I692" s="21">
        <v>2750.0</v>
      </c>
      <c r="J692" s="14">
        <v>46027.0</v>
      </c>
      <c r="K692" s="8" t="s">
        <v>1424</v>
      </c>
      <c r="L692" s="197" t="s">
        <v>49</v>
      </c>
      <c r="M692" s="8" t="s">
        <v>71</v>
      </c>
      <c r="N692" s="8" t="s">
        <v>28</v>
      </c>
      <c r="O692" s="21">
        <v>20149.0</v>
      </c>
      <c r="P692" s="21">
        <v>22813.0</v>
      </c>
      <c r="Q692" s="6">
        <v>52.0</v>
      </c>
      <c r="R692" s="12">
        <f t="shared" si="16"/>
        <v>10477.48</v>
      </c>
    </row>
    <row r="693">
      <c r="A693" s="22">
        <v>45721.0</v>
      </c>
      <c r="B693" s="8" t="s">
        <v>3767</v>
      </c>
      <c r="C693" s="8" t="s">
        <v>3768</v>
      </c>
      <c r="D693" s="8" t="s">
        <v>533</v>
      </c>
      <c r="E693" s="8" t="s">
        <v>3769</v>
      </c>
      <c r="F693" s="8" t="s">
        <v>3770</v>
      </c>
      <c r="G693" s="7">
        <v>9.016171655E9</v>
      </c>
      <c r="H693" s="7">
        <v>9.879543902E9</v>
      </c>
      <c r="I693" s="21">
        <v>0.0</v>
      </c>
      <c r="J693" s="22">
        <v>46117.0</v>
      </c>
      <c r="K693" s="8" t="s">
        <v>116</v>
      </c>
      <c r="L693" s="197" t="s">
        <v>26</v>
      </c>
      <c r="M693" s="8" t="s">
        <v>33</v>
      </c>
      <c r="N693" s="8" t="s">
        <v>28</v>
      </c>
      <c r="O693" s="97">
        <v>7317.0</v>
      </c>
      <c r="P693" s="97">
        <v>8634.0</v>
      </c>
      <c r="Q693" s="6">
        <v>27.0</v>
      </c>
      <c r="R693" s="12">
        <f t="shared" si="16"/>
        <v>1975.59</v>
      </c>
    </row>
    <row r="694">
      <c r="A694" s="22">
        <v>45721.0</v>
      </c>
      <c r="B694" s="8" t="s">
        <v>3771</v>
      </c>
      <c r="C694" s="8" t="s">
        <v>3772</v>
      </c>
      <c r="D694" s="8" t="s">
        <v>533</v>
      </c>
      <c r="E694" s="8" t="s">
        <v>3769</v>
      </c>
      <c r="F694" s="8" t="s">
        <v>3770</v>
      </c>
      <c r="G694" s="7">
        <v>9.016171655E9</v>
      </c>
      <c r="H694" s="7">
        <v>9.879543902E9</v>
      </c>
      <c r="I694" s="21">
        <v>0.0</v>
      </c>
      <c r="J694" s="22">
        <v>46117.0</v>
      </c>
      <c r="K694" s="8" t="s">
        <v>116</v>
      </c>
      <c r="L694" s="197" t="s">
        <v>26</v>
      </c>
      <c r="M694" s="8" t="s">
        <v>33</v>
      </c>
      <c r="N694" s="8" t="s">
        <v>28</v>
      </c>
      <c r="O694" s="97">
        <v>7317.0</v>
      </c>
      <c r="P694" s="97">
        <v>8634.0</v>
      </c>
      <c r="Q694" s="6">
        <v>27.0</v>
      </c>
      <c r="R694" s="12">
        <f t="shared" si="16"/>
        <v>1975.59</v>
      </c>
    </row>
    <row r="695">
      <c r="A695" s="22">
        <v>45721.0</v>
      </c>
      <c r="B695" s="8" t="s">
        <v>3773</v>
      </c>
      <c r="C695" s="8" t="s">
        <v>3774</v>
      </c>
      <c r="D695" s="8" t="s">
        <v>533</v>
      </c>
      <c r="E695" s="8" t="s">
        <v>3769</v>
      </c>
      <c r="F695" s="8" t="s">
        <v>3770</v>
      </c>
      <c r="G695" s="7">
        <v>9.016171655E9</v>
      </c>
      <c r="H695" s="7">
        <v>9.879543902E9</v>
      </c>
      <c r="I695" s="21">
        <v>0.0</v>
      </c>
      <c r="J695" s="22">
        <v>46117.0</v>
      </c>
      <c r="K695" s="8" t="s">
        <v>116</v>
      </c>
      <c r="L695" s="197" t="s">
        <v>26</v>
      </c>
      <c r="M695" s="8" t="s">
        <v>33</v>
      </c>
      <c r="N695" s="8" t="s">
        <v>28</v>
      </c>
      <c r="O695" s="97">
        <v>7317.0</v>
      </c>
      <c r="P695" s="97">
        <v>8634.0</v>
      </c>
      <c r="Q695" s="6">
        <v>27.0</v>
      </c>
      <c r="R695" s="12">
        <f t="shared" si="16"/>
        <v>1975.59</v>
      </c>
    </row>
    <row r="696">
      <c r="A696" s="22">
        <v>45721.0</v>
      </c>
      <c r="B696" s="8" t="s">
        <v>3775</v>
      </c>
      <c r="C696" s="8" t="s">
        <v>3776</v>
      </c>
      <c r="D696" s="8" t="s">
        <v>21</v>
      </c>
      <c r="E696" s="8" t="s">
        <v>1833</v>
      </c>
      <c r="F696" s="8" t="s">
        <v>3777</v>
      </c>
      <c r="G696" s="7" t="s">
        <v>3778</v>
      </c>
      <c r="H696" s="7">
        <v>9.106579692E9</v>
      </c>
      <c r="I696" s="21">
        <v>16200.0</v>
      </c>
      <c r="J696" s="128">
        <v>46027.0</v>
      </c>
      <c r="K696" s="8" t="s">
        <v>65</v>
      </c>
      <c r="L696" s="197" t="s">
        <v>26</v>
      </c>
      <c r="M696" s="8" t="s">
        <v>27</v>
      </c>
      <c r="N696" s="8" t="s">
        <v>28</v>
      </c>
      <c r="O696" s="21">
        <v>35413.0</v>
      </c>
      <c r="P696" s="21">
        <v>39669.0</v>
      </c>
      <c r="Q696" s="6">
        <v>47.0</v>
      </c>
      <c r="R696" s="12">
        <f t="shared" si="16"/>
        <v>16644.11</v>
      </c>
    </row>
    <row r="697">
      <c r="A697" s="22">
        <v>45721.0</v>
      </c>
      <c r="B697" s="8" t="s">
        <v>3779</v>
      </c>
      <c r="C697" s="8" t="s">
        <v>3780</v>
      </c>
      <c r="D697" s="8" t="s">
        <v>1395</v>
      </c>
      <c r="E697" s="8" t="s">
        <v>3781</v>
      </c>
      <c r="F697" s="8" t="s">
        <v>3782</v>
      </c>
      <c r="G697" s="7">
        <v>7.600013209E9</v>
      </c>
      <c r="H697" s="7">
        <v>9.978997797E9</v>
      </c>
      <c r="I697" s="21">
        <v>2735.0</v>
      </c>
      <c r="J697" s="22">
        <v>46117.0</v>
      </c>
      <c r="K697" s="8" t="s">
        <v>1424</v>
      </c>
      <c r="L697" s="197" t="s">
        <v>49</v>
      </c>
      <c r="M697" s="8" t="s">
        <v>1616</v>
      </c>
      <c r="N697" s="8" t="s">
        <v>28</v>
      </c>
      <c r="O697" s="21">
        <v>20770.0</v>
      </c>
      <c r="P697" s="21">
        <v>23546.0</v>
      </c>
      <c r="Q697" s="6">
        <v>52.0</v>
      </c>
      <c r="R697" s="12">
        <f t="shared" si="16"/>
        <v>10800.4</v>
      </c>
    </row>
    <row r="698">
      <c r="A698" s="22">
        <v>45721.0</v>
      </c>
      <c r="B698" s="8" t="s">
        <v>3783</v>
      </c>
      <c r="C698" s="8" t="s">
        <v>3784</v>
      </c>
      <c r="D698" s="8" t="s">
        <v>1395</v>
      </c>
      <c r="E698" s="8" t="s">
        <v>811</v>
      </c>
      <c r="F698" s="8" t="s">
        <v>3785</v>
      </c>
      <c r="G698" s="7" t="s">
        <v>3786</v>
      </c>
      <c r="H698" s="7" t="s">
        <v>3787</v>
      </c>
      <c r="I698" s="21">
        <v>2450.0</v>
      </c>
      <c r="J698" s="22">
        <v>46086.0</v>
      </c>
      <c r="K698" s="8" t="s">
        <v>143</v>
      </c>
      <c r="L698" s="197" t="s">
        <v>49</v>
      </c>
      <c r="M698" s="8" t="s">
        <v>1616</v>
      </c>
      <c r="N698" s="8" t="s">
        <v>28</v>
      </c>
      <c r="O698" s="97">
        <v>17514.0</v>
      </c>
      <c r="P698" s="97">
        <v>19704.0</v>
      </c>
      <c r="Q698" s="6">
        <v>61.0</v>
      </c>
      <c r="R698" s="12">
        <f t="shared" si="16"/>
        <v>10683.54</v>
      </c>
    </row>
    <row r="699">
      <c r="A699" s="22">
        <v>45752.0</v>
      </c>
      <c r="B699" s="8" t="s">
        <v>3788</v>
      </c>
      <c r="C699" s="8" t="s">
        <v>3789</v>
      </c>
      <c r="D699" s="8" t="s">
        <v>1395</v>
      </c>
      <c r="E699" s="8" t="s">
        <v>3790</v>
      </c>
      <c r="F699" s="8" t="s">
        <v>3791</v>
      </c>
      <c r="G699" s="7">
        <v>6.351317288E9</v>
      </c>
      <c r="H699" s="7">
        <v>6.35571803E8</v>
      </c>
      <c r="I699" s="21">
        <v>3425.0</v>
      </c>
      <c r="J699" s="22">
        <v>46117.0</v>
      </c>
      <c r="K699" s="8" t="s">
        <v>116</v>
      </c>
      <c r="L699" s="197" t="s">
        <v>49</v>
      </c>
      <c r="M699" s="8" t="s">
        <v>389</v>
      </c>
      <c r="N699" s="8" t="s">
        <v>28</v>
      </c>
      <c r="O699" s="97">
        <v>19929.0</v>
      </c>
      <c r="P699" s="97">
        <v>22549.0</v>
      </c>
      <c r="Q699" s="6">
        <v>48.0</v>
      </c>
      <c r="R699" s="12">
        <f t="shared" si="16"/>
        <v>9565.92</v>
      </c>
    </row>
    <row r="700">
      <c r="A700" s="22">
        <v>45782.0</v>
      </c>
      <c r="B700" s="8" t="s">
        <v>3792</v>
      </c>
      <c r="C700" s="8" t="s">
        <v>3793</v>
      </c>
      <c r="D700" s="8" t="s">
        <v>1395</v>
      </c>
      <c r="E700" s="8" t="s">
        <v>3794</v>
      </c>
      <c r="F700" s="8" t="s">
        <v>3795</v>
      </c>
      <c r="G700" s="7">
        <v>6.355139372E9</v>
      </c>
      <c r="H700" s="7">
        <v>9.723945195E9</v>
      </c>
      <c r="I700" s="21">
        <v>2960.0</v>
      </c>
      <c r="J700" s="22">
        <v>46208.0</v>
      </c>
      <c r="K700" s="8" t="s">
        <v>116</v>
      </c>
      <c r="L700" s="197" t="s">
        <v>49</v>
      </c>
      <c r="M700" s="8" t="s">
        <v>365</v>
      </c>
      <c r="N700" s="8" t="s">
        <v>28</v>
      </c>
      <c r="O700" s="97">
        <v>18301.0</v>
      </c>
      <c r="P700" s="97">
        <v>20627.0</v>
      </c>
      <c r="Q700" s="6">
        <v>48.0</v>
      </c>
      <c r="R700" s="12">
        <f t="shared" si="16"/>
        <v>8784.48</v>
      </c>
    </row>
    <row r="701">
      <c r="A701" s="22">
        <v>45782.0</v>
      </c>
      <c r="B701" s="8" t="s">
        <v>3796</v>
      </c>
      <c r="C701" s="8" t="s">
        <v>3797</v>
      </c>
      <c r="D701" s="8" t="s">
        <v>1395</v>
      </c>
      <c r="E701" s="8" t="s">
        <v>811</v>
      </c>
      <c r="F701" s="8" t="s">
        <v>3798</v>
      </c>
      <c r="G701" s="7">
        <v>9.426979699E9</v>
      </c>
      <c r="H701" s="8"/>
      <c r="I701" s="21">
        <v>2450.0</v>
      </c>
      <c r="J701" s="22">
        <v>46178.0</v>
      </c>
      <c r="K701" s="8" t="s">
        <v>143</v>
      </c>
      <c r="L701" s="197" t="s">
        <v>49</v>
      </c>
      <c r="M701" s="8" t="s">
        <v>3028</v>
      </c>
      <c r="N701" s="8" t="s">
        <v>28</v>
      </c>
      <c r="O701" s="97">
        <v>17762.0</v>
      </c>
      <c r="P701" s="97">
        <v>19996.0</v>
      </c>
      <c r="Q701" s="6">
        <v>61.0</v>
      </c>
      <c r="R701" s="12">
        <f t="shared" si="16"/>
        <v>10834.82</v>
      </c>
    </row>
    <row r="702">
      <c r="A702" s="22">
        <v>45782.0</v>
      </c>
      <c r="B702" s="8" t="s">
        <v>3799</v>
      </c>
      <c r="C702" s="8" t="s">
        <v>3800</v>
      </c>
      <c r="D702" s="8" t="s">
        <v>1395</v>
      </c>
      <c r="E702" s="8" t="s">
        <v>2846</v>
      </c>
      <c r="F702" s="8" t="s">
        <v>3801</v>
      </c>
      <c r="G702" s="7">
        <v>8.980813081E9</v>
      </c>
      <c r="H702" s="7">
        <v>9.72587921E9</v>
      </c>
      <c r="I702" s="21">
        <v>2880.0</v>
      </c>
      <c r="J702" s="22">
        <v>46147.0</v>
      </c>
      <c r="K702" s="8" t="s">
        <v>668</v>
      </c>
      <c r="L702" s="197" t="s">
        <v>26</v>
      </c>
      <c r="M702" s="8" t="s">
        <v>1456</v>
      </c>
      <c r="N702" s="8" t="s">
        <v>28</v>
      </c>
      <c r="O702" s="21">
        <v>16149.0</v>
      </c>
      <c r="P702" s="21">
        <v>18093.0</v>
      </c>
      <c r="Q702" s="6">
        <v>51.0</v>
      </c>
      <c r="R702" s="12">
        <f t="shared" si="16"/>
        <v>8235.99</v>
      </c>
    </row>
    <row r="703">
      <c r="A703" s="22">
        <v>45782.0</v>
      </c>
      <c r="B703" s="8" t="s">
        <v>2134</v>
      </c>
      <c r="C703" s="8" t="s">
        <v>3802</v>
      </c>
      <c r="D703" s="8" t="s">
        <v>21</v>
      </c>
      <c r="E703" s="8" t="s">
        <v>3803</v>
      </c>
      <c r="F703" s="8" t="s">
        <v>3399</v>
      </c>
      <c r="G703" s="7">
        <v>9.913446989E9</v>
      </c>
      <c r="H703" s="7">
        <v>9.913446989E9</v>
      </c>
      <c r="I703" s="21">
        <v>5490.0</v>
      </c>
      <c r="J703" s="22">
        <v>46147.0</v>
      </c>
      <c r="K703" s="8" t="s">
        <v>25</v>
      </c>
      <c r="L703" s="197" t="s">
        <v>49</v>
      </c>
      <c r="M703" s="8" t="s">
        <v>27</v>
      </c>
      <c r="N703" s="8" t="s">
        <v>28</v>
      </c>
      <c r="O703" s="97">
        <v>20525.0</v>
      </c>
      <c r="P703" s="97">
        <v>23257.0</v>
      </c>
      <c r="Q703" s="6">
        <v>45.0</v>
      </c>
      <c r="R703" s="12">
        <f t="shared" si="16"/>
        <v>9236.25</v>
      </c>
    </row>
    <row r="704">
      <c r="A704" s="22">
        <v>45813.0</v>
      </c>
      <c r="B704" s="8" t="s">
        <v>3804</v>
      </c>
      <c r="C704" s="8" t="s">
        <v>3805</v>
      </c>
      <c r="D704" s="8" t="s">
        <v>21</v>
      </c>
      <c r="E704" s="8" t="s">
        <v>3806</v>
      </c>
      <c r="F704" s="8" t="s">
        <v>3807</v>
      </c>
      <c r="G704" s="7">
        <v>8.735047E9</v>
      </c>
      <c r="H704" s="7">
        <v>9.726370321E9</v>
      </c>
      <c r="I704" s="21">
        <v>35000.0</v>
      </c>
      <c r="J704" s="22">
        <v>46147.0</v>
      </c>
      <c r="K704" s="8" t="s">
        <v>677</v>
      </c>
      <c r="L704" s="197" t="s">
        <v>49</v>
      </c>
      <c r="M704" s="8" t="s">
        <v>71</v>
      </c>
      <c r="N704" s="8" t="s">
        <v>28</v>
      </c>
      <c r="O704" s="21">
        <v>48098.23</v>
      </c>
      <c r="P704" s="21">
        <v>54118.91</v>
      </c>
      <c r="Q704" s="6">
        <v>20.0</v>
      </c>
      <c r="R704" s="12">
        <f t="shared" si="16"/>
        <v>9619.646</v>
      </c>
    </row>
    <row r="705">
      <c r="A705" s="22">
        <v>45813.0</v>
      </c>
      <c r="B705" s="8" t="s">
        <v>3808</v>
      </c>
      <c r="C705" s="8" t="s">
        <v>3809</v>
      </c>
      <c r="D705" s="8" t="s">
        <v>1395</v>
      </c>
      <c r="E705" s="8" t="s">
        <v>3810</v>
      </c>
      <c r="F705" s="8" t="s">
        <v>3811</v>
      </c>
      <c r="G705" s="7">
        <v>6.351084627E9</v>
      </c>
      <c r="H705" s="7">
        <v>9.979595963E9</v>
      </c>
      <c r="I705" s="21">
        <v>2960.0</v>
      </c>
      <c r="J705" s="128">
        <v>46178.0</v>
      </c>
      <c r="K705" s="8" t="s">
        <v>41</v>
      </c>
      <c r="L705" s="197" t="s">
        <v>49</v>
      </c>
      <c r="M705" s="8" t="s">
        <v>71</v>
      </c>
      <c r="N705" s="8" t="s">
        <v>28</v>
      </c>
      <c r="O705" s="21">
        <v>18541.0</v>
      </c>
      <c r="P705" s="21">
        <v>20915.0</v>
      </c>
      <c r="Q705" s="6">
        <v>52.0</v>
      </c>
      <c r="R705" s="12">
        <f t="shared" si="16"/>
        <v>9641.32</v>
      </c>
    </row>
    <row r="706">
      <c r="A706" s="22">
        <v>45843.0</v>
      </c>
      <c r="B706" s="8" t="s">
        <v>3812</v>
      </c>
      <c r="C706" s="8" t="s">
        <v>3813</v>
      </c>
      <c r="D706" s="8" t="s">
        <v>1432</v>
      </c>
      <c r="E706" s="8" t="s">
        <v>1887</v>
      </c>
      <c r="F706" s="8" t="s">
        <v>2081</v>
      </c>
      <c r="G706" s="7">
        <v>9.727007901E9</v>
      </c>
      <c r="H706" s="7">
        <v>9.033407901E9</v>
      </c>
      <c r="I706" s="21">
        <v>236.0</v>
      </c>
      <c r="J706" s="22">
        <v>46208.0</v>
      </c>
      <c r="K706" s="8" t="s">
        <v>668</v>
      </c>
      <c r="L706" s="197" t="s">
        <v>49</v>
      </c>
      <c r="M706" s="8" t="s">
        <v>219</v>
      </c>
      <c r="N706" s="8" t="s">
        <v>28</v>
      </c>
      <c r="O706" s="21">
        <v>7117.0</v>
      </c>
      <c r="P706" s="21">
        <v>8399.0</v>
      </c>
      <c r="Q706" s="6">
        <v>51.0</v>
      </c>
      <c r="R706" s="12">
        <f t="shared" si="16"/>
        <v>3629.67</v>
      </c>
    </row>
    <row r="707">
      <c r="A707" s="22">
        <v>45843.0</v>
      </c>
      <c r="B707" s="8" t="s">
        <v>3814</v>
      </c>
      <c r="C707" s="8" t="s">
        <v>3815</v>
      </c>
      <c r="D707" s="8" t="s">
        <v>1432</v>
      </c>
      <c r="E707" s="8" t="s">
        <v>1887</v>
      </c>
      <c r="F707" s="8" t="s">
        <v>2081</v>
      </c>
      <c r="G707" s="7">
        <v>9.727007901E9</v>
      </c>
      <c r="H707" s="7">
        <v>9.033407901E9</v>
      </c>
      <c r="I707" s="21">
        <v>236.0</v>
      </c>
      <c r="J707" s="22">
        <v>46239.0</v>
      </c>
      <c r="K707" s="8" t="s">
        <v>668</v>
      </c>
      <c r="L707" s="197" t="s">
        <v>49</v>
      </c>
      <c r="M707" s="8" t="s">
        <v>219</v>
      </c>
      <c r="N707" s="8" t="s">
        <v>28</v>
      </c>
      <c r="O707" s="21">
        <v>6151.0</v>
      </c>
      <c r="P707" s="21">
        <v>7259.0</v>
      </c>
      <c r="Q707" s="6">
        <v>51.0</v>
      </c>
      <c r="R707" s="12">
        <f t="shared" si="16"/>
        <v>3137.01</v>
      </c>
    </row>
    <row r="708">
      <c r="A708" s="22">
        <v>45874.0</v>
      </c>
      <c r="B708" s="8" t="s">
        <v>3816</v>
      </c>
      <c r="C708" s="8" t="s">
        <v>3817</v>
      </c>
      <c r="D708" s="8" t="s">
        <v>21</v>
      </c>
      <c r="E708" s="8" t="s">
        <v>1510</v>
      </c>
      <c r="F708" s="8" t="s">
        <v>3818</v>
      </c>
      <c r="G708" s="7" t="s">
        <v>3819</v>
      </c>
      <c r="H708" s="7" t="s">
        <v>3820</v>
      </c>
      <c r="I708" s="21">
        <v>35000.0</v>
      </c>
      <c r="J708" s="22">
        <v>46208.0</v>
      </c>
      <c r="K708" s="8" t="s">
        <v>353</v>
      </c>
      <c r="L708" s="197" t="s">
        <v>49</v>
      </c>
      <c r="M708" s="8" t="s">
        <v>3028</v>
      </c>
      <c r="N708" s="8" t="s">
        <v>28</v>
      </c>
      <c r="O708" s="97">
        <v>78725.0</v>
      </c>
      <c r="P708" s="97">
        <v>90259.0</v>
      </c>
      <c r="Q708" s="6">
        <v>22.0</v>
      </c>
      <c r="R708" s="12">
        <f t="shared" si="16"/>
        <v>17319.5</v>
      </c>
    </row>
    <row r="709">
      <c r="A709" s="22">
        <v>45874.0</v>
      </c>
      <c r="B709" s="8" t="s">
        <v>3821</v>
      </c>
      <c r="C709" s="8" t="s">
        <v>3822</v>
      </c>
      <c r="D709" s="8" t="s">
        <v>1395</v>
      </c>
      <c r="E709" s="8" t="s">
        <v>519</v>
      </c>
      <c r="F709" s="8" t="s">
        <v>3823</v>
      </c>
      <c r="G709" s="7">
        <v>6.351084627E9</v>
      </c>
      <c r="H709" s="7">
        <v>9.979595963E9</v>
      </c>
      <c r="I709" s="21">
        <v>3895.0</v>
      </c>
      <c r="J709" s="22">
        <v>46239.0</v>
      </c>
      <c r="K709" s="8" t="s">
        <v>25</v>
      </c>
      <c r="L709" s="197" t="s">
        <v>49</v>
      </c>
      <c r="M709" s="8" t="s">
        <v>71</v>
      </c>
      <c r="N709" s="8" t="s">
        <v>28</v>
      </c>
      <c r="O709" s="97">
        <v>22071.0</v>
      </c>
      <c r="P709" s="97">
        <v>25081.0</v>
      </c>
      <c r="Q709" s="6">
        <v>45.0</v>
      </c>
      <c r="R709" s="12">
        <f t="shared" si="16"/>
        <v>9931.95</v>
      </c>
    </row>
    <row r="710">
      <c r="A710" s="22">
        <v>45874.0</v>
      </c>
      <c r="B710" s="8" t="s">
        <v>3824</v>
      </c>
      <c r="C710" s="8" t="s">
        <v>3825</v>
      </c>
      <c r="D710" s="8" t="s">
        <v>1395</v>
      </c>
      <c r="E710" s="8" t="s">
        <v>3826</v>
      </c>
      <c r="F710" s="8" t="s">
        <v>3827</v>
      </c>
      <c r="G710" s="7">
        <v>9.978256489E9</v>
      </c>
      <c r="H710" s="7">
        <v>9.664869799E9</v>
      </c>
      <c r="I710" s="21">
        <v>3895.0</v>
      </c>
      <c r="J710" s="128">
        <v>46239.0</v>
      </c>
      <c r="K710" s="8" t="s">
        <v>25</v>
      </c>
      <c r="L710" s="197" t="s">
        <v>49</v>
      </c>
      <c r="M710" s="8" t="s">
        <v>219</v>
      </c>
      <c r="N710" s="8" t="s">
        <v>28</v>
      </c>
      <c r="O710" s="97">
        <v>22811.0</v>
      </c>
      <c r="P710" s="97">
        <v>25954.0</v>
      </c>
      <c r="Q710" s="6">
        <v>45.0</v>
      </c>
      <c r="R710" s="12">
        <f t="shared" si="16"/>
        <v>10264.95</v>
      </c>
    </row>
    <row r="711">
      <c r="A711" s="22">
        <v>45905.0</v>
      </c>
      <c r="B711" s="8" t="s">
        <v>3828</v>
      </c>
      <c r="C711" s="8" t="s">
        <v>3829</v>
      </c>
      <c r="D711" s="8" t="s">
        <v>1395</v>
      </c>
      <c r="E711" s="8" t="s">
        <v>3830</v>
      </c>
      <c r="F711" s="8"/>
      <c r="G711" s="7" t="s">
        <v>3831</v>
      </c>
      <c r="H711" s="8"/>
      <c r="I711" s="21">
        <v>2960.0</v>
      </c>
      <c r="J711" s="22">
        <v>46239.0</v>
      </c>
      <c r="K711" s="8" t="s">
        <v>41</v>
      </c>
      <c r="L711" s="197" t="s">
        <v>49</v>
      </c>
      <c r="M711" s="8" t="s">
        <v>71</v>
      </c>
      <c r="N711" s="8" t="s">
        <v>28</v>
      </c>
      <c r="O711" s="97">
        <v>16566.0</v>
      </c>
      <c r="P711" s="97">
        <v>18586.0</v>
      </c>
      <c r="Q711" s="6">
        <v>52.0</v>
      </c>
      <c r="R711" s="12">
        <f t="shared" si="16"/>
        <v>8614.32</v>
      </c>
    </row>
    <row r="712">
      <c r="A712" s="22">
        <v>45905.0</v>
      </c>
      <c r="B712" s="8" t="s">
        <v>3832</v>
      </c>
      <c r="C712" s="8" t="s">
        <v>3833</v>
      </c>
      <c r="D712" s="8" t="s">
        <v>21</v>
      </c>
      <c r="E712" s="8" t="s">
        <v>1756</v>
      </c>
      <c r="F712" s="8" t="s">
        <v>3834</v>
      </c>
      <c r="G712" s="7">
        <v>9.909216774E9</v>
      </c>
      <c r="H712" s="7">
        <v>8.799256656E9</v>
      </c>
      <c r="I712" s="21">
        <v>35000.0</v>
      </c>
      <c r="J712" s="128">
        <v>46239.0</v>
      </c>
      <c r="K712" s="8" t="s">
        <v>65</v>
      </c>
      <c r="L712" s="197" t="s">
        <v>26</v>
      </c>
      <c r="M712" s="8" t="s">
        <v>144</v>
      </c>
      <c r="N712" s="8" t="s">
        <v>28</v>
      </c>
      <c r="O712" s="21">
        <v>44050.0</v>
      </c>
      <c r="P712" s="21">
        <v>49342.0</v>
      </c>
      <c r="Q712" s="6">
        <v>48.0</v>
      </c>
      <c r="R712" s="12">
        <f t="shared" si="16"/>
        <v>21144</v>
      </c>
    </row>
    <row r="713">
      <c r="A713" s="22">
        <v>45935.0</v>
      </c>
      <c r="B713" s="8" t="s">
        <v>3835</v>
      </c>
      <c r="C713" s="8" t="s">
        <v>3836</v>
      </c>
      <c r="D713" s="8" t="s">
        <v>1395</v>
      </c>
      <c r="E713" s="8" t="s">
        <v>528</v>
      </c>
      <c r="F713" s="8" t="s">
        <v>3837</v>
      </c>
      <c r="G713" s="7">
        <v>6.354775013E9</v>
      </c>
      <c r="H713" s="7">
        <v>9.92573497E9</v>
      </c>
      <c r="I713" s="21">
        <v>3895.0</v>
      </c>
      <c r="J713" s="8" t="s">
        <v>3838</v>
      </c>
      <c r="K713" s="8" t="s">
        <v>25</v>
      </c>
      <c r="L713" s="197" t="s">
        <v>49</v>
      </c>
      <c r="M713" s="8" t="s">
        <v>219</v>
      </c>
      <c r="N713" s="8" t="s">
        <v>28</v>
      </c>
      <c r="O713" s="97">
        <v>24718.0</v>
      </c>
      <c r="P713" s="97">
        <v>28204.0</v>
      </c>
      <c r="Q713" s="6">
        <v>45.0</v>
      </c>
      <c r="R713" s="12">
        <f t="shared" si="16"/>
        <v>11123.1</v>
      </c>
    </row>
    <row r="714">
      <c r="A714" s="22">
        <v>45935.0</v>
      </c>
      <c r="B714" s="8" t="s">
        <v>3839</v>
      </c>
      <c r="C714" s="8" t="s">
        <v>3840</v>
      </c>
      <c r="D714" s="8" t="s">
        <v>1395</v>
      </c>
      <c r="E714" s="8" t="s">
        <v>3841</v>
      </c>
      <c r="F714" s="8" t="s">
        <v>3842</v>
      </c>
      <c r="G714" s="7">
        <v>6.351317288E9</v>
      </c>
      <c r="H714" s="7">
        <v>6.355711803E9</v>
      </c>
      <c r="I714" s="21">
        <v>2450.0</v>
      </c>
      <c r="J714" s="22">
        <v>46331.0</v>
      </c>
      <c r="K714" s="8" t="s">
        <v>143</v>
      </c>
      <c r="L714" s="197" t="s">
        <v>49</v>
      </c>
      <c r="M714" s="8" t="s">
        <v>389</v>
      </c>
      <c r="N714" s="8" t="s">
        <v>28</v>
      </c>
      <c r="O714" s="97">
        <v>17774.0</v>
      </c>
      <c r="P714" s="97">
        <v>20010.0</v>
      </c>
      <c r="Q714" s="6">
        <v>61.0</v>
      </c>
      <c r="R714" s="12">
        <f t="shared" si="16"/>
        <v>10842.14</v>
      </c>
    </row>
    <row r="715">
      <c r="A715" s="22">
        <v>45935.0</v>
      </c>
      <c r="B715" s="8" t="s">
        <v>3843</v>
      </c>
      <c r="C715" s="8" t="s">
        <v>3844</v>
      </c>
      <c r="D715" s="8" t="s">
        <v>1395</v>
      </c>
      <c r="E715" s="8" t="s">
        <v>3845</v>
      </c>
      <c r="F715" s="8" t="s">
        <v>3846</v>
      </c>
      <c r="G715" s="7">
        <v>7.016277021E9</v>
      </c>
      <c r="H715" s="7">
        <v>8.000811331E9</v>
      </c>
      <c r="I715" s="21">
        <v>1600.0</v>
      </c>
      <c r="J715" s="22">
        <v>46331.0</v>
      </c>
      <c r="K715" s="8" t="s">
        <v>143</v>
      </c>
      <c r="L715" s="197" t="s">
        <v>49</v>
      </c>
      <c r="M715" s="8" t="s">
        <v>3028</v>
      </c>
      <c r="N715" s="8" t="s">
        <v>28</v>
      </c>
      <c r="O715" s="97">
        <v>17149.0</v>
      </c>
      <c r="P715" s="97">
        <v>19273.0</v>
      </c>
      <c r="Q715" s="6">
        <v>61.0</v>
      </c>
      <c r="R715" s="12">
        <f t="shared" si="16"/>
        <v>10460.89</v>
      </c>
    </row>
    <row r="716">
      <c r="A716" s="22">
        <v>45935.0</v>
      </c>
      <c r="B716" s="8" t="s">
        <v>3847</v>
      </c>
      <c r="C716" s="8" t="s">
        <v>3848</v>
      </c>
      <c r="D716" s="8" t="s">
        <v>1395</v>
      </c>
      <c r="E716" s="8" t="s">
        <v>528</v>
      </c>
      <c r="F716" s="8" t="s">
        <v>3849</v>
      </c>
      <c r="G716" s="7" t="s">
        <v>3850</v>
      </c>
      <c r="H716" s="8"/>
      <c r="I716" s="21">
        <v>2300.0</v>
      </c>
      <c r="J716" s="128">
        <v>46270.0</v>
      </c>
      <c r="K716" s="8" t="s">
        <v>65</v>
      </c>
      <c r="L716" s="197" t="s">
        <v>26</v>
      </c>
      <c r="M716" s="8" t="s">
        <v>3028</v>
      </c>
      <c r="N716" s="8" t="s">
        <v>28</v>
      </c>
      <c r="O716" s="21">
        <v>16149.0</v>
      </c>
      <c r="P716" s="21">
        <v>18093.0</v>
      </c>
      <c r="Q716" s="6">
        <v>61.0</v>
      </c>
      <c r="R716" s="12">
        <f t="shared" si="16"/>
        <v>9850.89</v>
      </c>
    </row>
    <row r="717">
      <c r="A717" s="114" t="s">
        <v>3632</v>
      </c>
      <c r="B717" s="64" t="s">
        <v>3851</v>
      </c>
      <c r="C717" s="64" t="s">
        <v>3852</v>
      </c>
      <c r="D717" s="108" t="s">
        <v>21</v>
      </c>
      <c r="E717" s="108" t="s">
        <v>3853</v>
      </c>
      <c r="F717" s="64" t="s">
        <v>3854</v>
      </c>
      <c r="G717" s="63" t="s">
        <v>1424</v>
      </c>
      <c r="H717" s="108"/>
      <c r="I717" s="64" t="s">
        <v>3855</v>
      </c>
      <c r="J717" s="64" t="s">
        <v>3597</v>
      </c>
      <c r="K717" s="108" t="s">
        <v>2638</v>
      </c>
      <c r="L717" s="175" t="s">
        <v>49</v>
      </c>
      <c r="M717" s="108" t="s">
        <v>1697</v>
      </c>
      <c r="N717" s="108" t="s">
        <v>28</v>
      </c>
      <c r="O717" s="112">
        <v>52729.0</v>
      </c>
      <c r="P717" s="112">
        <v>60101.44</v>
      </c>
      <c r="Q717" s="67">
        <v>23.0</v>
      </c>
      <c r="R717" s="30">
        <f t="shared" si="16"/>
        <v>12127.67</v>
      </c>
    </row>
    <row r="718">
      <c r="A718" s="114" t="s">
        <v>3548</v>
      </c>
      <c r="B718" s="64" t="s">
        <v>3856</v>
      </c>
      <c r="C718" s="64" t="s">
        <v>3857</v>
      </c>
      <c r="D718" s="108" t="s">
        <v>21</v>
      </c>
      <c r="E718" s="64" t="s">
        <v>1510</v>
      </c>
      <c r="F718" s="64" t="s">
        <v>3858</v>
      </c>
      <c r="G718" s="63" t="s">
        <v>3859</v>
      </c>
      <c r="H718" s="108"/>
      <c r="I718" s="109">
        <v>35000.0</v>
      </c>
      <c r="J718" s="64" t="s">
        <v>3553</v>
      </c>
      <c r="K718" s="108" t="s">
        <v>353</v>
      </c>
      <c r="L718" s="175" t="s">
        <v>49</v>
      </c>
      <c r="M718" s="108" t="s">
        <v>71</v>
      </c>
      <c r="N718" s="108" t="s">
        <v>28</v>
      </c>
      <c r="O718" s="112">
        <v>71862.0</v>
      </c>
      <c r="P718" s="112">
        <v>82160.0</v>
      </c>
      <c r="Q718" s="216">
        <v>22.0</v>
      </c>
      <c r="R718" s="30">
        <f t="shared" si="16"/>
        <v>15809.64</v>
      </c>
      <c r="S718" s="8"/>
      <c r="T718" s="8"/>
      <c r="U718" s="7"/>
      <c r="V718" s="58"/>
      <c r="W718" s="58"/>
      <c r="X718" s="58"/>
      <c r="Y718" s="58"/>
      <c r="Z718" s="58"/>
    </row>
    <row r="719">
      <c r="A719" s="126"/>
      <c r="E719" s="126"/>
      <c r="L719" s="126"/>
    </row>
    <row r="720">
      <c r="A720" s="126"/>
      <c r="E720" s="126"/>
      <c r="L720" s="126"/>
    </row>
    <row r="721">
      <c r="A721" s="22">
        <v>45935.0</v>
      </c>
      <c r="B721" s="58" t="s">
        <v>3860</v>
      </c>
      <c r="C721" s="58" t="s">
        <v>3861</v>
      </c>
      <c r="D721" s="8" t="s">
        <v>21</v>
      </c>
      <c r="E721" s="58" t="s">
        <v>3862</v>
      </c>
      <c r="F721" s="58" t="s">
        <v>2365</v>
      </c>
      <c r="G721" s="7">
        <v>7.698803404E9</v>
      </c>
      <c r="H721" s="7" t="s">
        <v>3863</v>
      </c>
      <c r="I721" s="21">
        <v>35000.0</v>
      </c>
      <c r="J721" s="217">
        <v>46331.0</v>
      </c>
      <c r="K721" s="8" t="s">
        <v>677</v>
      </c>
      <c r="L721" s="197" t="s">
        <v>49</v>
      </c>
      <c r="M721" s="8" t="s">
        <v>71</v>
      </c>
      <c r="N721" s="8" t="s">
        <v>28</v>
      </c>
      <c r="O721" s="21">
        <v>48129.1</v>
      </c>
      <c r="P721" s="21">
        <v>54155.34</v>
      </c>
      <c r="Q721" s="6">
        <v>20.0</v>
      </c>
      <c r="R721" s="12">
        <f t="shared" ref="R721:R734" si="17">O721*Q721%</f>
        <v>9625.82</v>
      </c>
    </row>
    <row r="722">
      <c r="A722" s="22">
        <v>45966.0</v>
      </c>
      <c r="B722" s="58" t="s">
        <v>3864</v>
      </c>
      <c r="C722" s="58" t="s">
        <v>3865</v>
      </c>
      <c r="D722" s="8" t="s">
        <v>1395</v>
      </c>
      <c r="E722" s="58" t="s">
        <v>3866</v>
      </c>
      <c r="F722" s="58" t="s">
        <v>3867</v>
      </c>
      <c r="G722" s="7" t="s">
        <v>3868</v>
      </c>
      <c r="H722" s="7" t="s">
        <v>3869</v>
      </c>
      <c r="I722" s="88">
        <v>2670.0</v>
      </c>
      <c r="J722" s="60">
        <v>46331.0</v>
      </c>
      <c r="K722" s="8" t="s">
        <v>1424</v>
      </c>
      <c r="L722" s="197" t="s">
        <v>49</v>
      </c>
      <c r="M722" s="8" t="s">
        <v>71</v>
      </c>
      <c r="N722" s="8" t="s">
        <v>28</v>
      </c>
      <c r="O722" s="21">
        <v>17108.0</v>
      </c>
      <c r="P722" s="21">
        <v>19225.0</v>
      </c>
      <c r="Q722" s="6">
        <v>52.0</v>
      </c>
      <c r="R722" s="12">
        <f t="shared" si="17"/>
        <v>8896.16</v>
      </c>
    </row>
    <row r="723">
      <c r="A723" s="21" t="s">
        <v>3870</v>
      </c>
      <c r="B723" s="58" t="s">
        <v>3871</v>
      </c>
      <c r="C723" s="58" t="s">
        <v>3872</v>
      </c>
      <c r="D723" s="8" t="s">
        <v>21</v>
      </c>
      <c r="E723" s="58" t="s">
        <v>2218</v>
      </c>
      <c r="F723" s="58" t="s">
        <v>3873</v>
      </c>
      <c r="G723" s="7" t="s">
        <v>3874</v>
      </c>
      <c r="H723" s="7" t="s">
        <v>3875</v>
      </c>
      <c r="I723" s="88">
        <v>35000.0</v>
      </c>
      <c r="J723" s="58" t="s">
        <v>3876</v>
      </c>
      <c r="K723" s="8" t="s">
        <v>65</v>
      </c>
      <c r="L723" s="197" t="s">
        <v>26</v>
      </c>
      <c r="M723" s="8" t="s">
        <v>27</v>
      </c>
      <c r="N723" s="8" t="s">
        <v>28</v>
      </c>
      <c r="O723" s="21">
        <v>44050.0</v>
      </c>
      <c r="P723" s="21">
        <v>49342.0</v>
      </c>
      <c r="Q723" s="6">
        <v>48.0</v>
      </c>
      <c r="R723" s="12">
        <f t="shared" si="17"/>
        <v>21144</v>
      </c>
    </row>
    <row r="724">
      <c r="A724" s="114" t="s">
        <v>3870</v>
      </c>
      <c r="B724" s="64" t="s">
        <v>3877</v>
      </c>
      <c r="C724" s="64" t="s">
        <v>3878</v>
      </c>
      <c r="D724" s="108" t="s">
        <v>533</v>
      </c>
      <c r="E724" s="64" t="s">
        <v>3879</v>
      </c>
      <c r="F724" s="64" t="s">
        <v>604</v>
      </c>
      <c r="G724" s="63" t="s">
        <v>605</v>
      </c>
      <c r="H724" s="108"/>
      <c r="I724" s="64" t="s">
        <v>3880</v>
      </c>
      <c r="J724" s="64" t="s">
        <v>3838</v>
      </c>
      <c r="K724" s="108" t="s">
        <v>297</v>
      </c>
      <c r="L724" s="175" t="s">
        <v>49</v>
      </c>
      <c r="M724" s="108" t="s">
        <v>27</v>
      </c>
      <c r="N724" s="108" t="s">
        <v>28</v>
      </c>
      <c r="O724" s="116">
        <v>9261.0</v>
      </c>
      <c r="P724" s="116">
        <v>10928.0</v>
      </c>
      <c r="Q724" s="6">
        <v>22.0</v>
      </c>
      <c r="R724" s="12">
        <f t="shared" si="17"/>
        <v>2037.42</v>
      </c>
    </row>
    <row r="725">
      <c r="A725" s="114" t="s">
        <v>3870</v>
      </c>
      <c r="B725" s="64" t="s">
        <v>3877</v>
      </c>
      <c r="C725" s="64" t="s">
        <v>3881</v>
      </c>
      <c r="D725" s="108" t="s">
        <v>533</v>
      </c>
      <c r="E725" s="64" t="s">
        <v>3879</v>
      </c>
      <c r="F725" s="64" t="s">
        <v>604</v>
      </c>
      <c r="G725" s="63" t="s">
        <v>605</v>
      </c>
      <c r="H725" s="108"/>
      <c r="I725" s="64" t="s">
        <v>3880</v>
      </c>
      <c r="J725" s="64" t="s">
        <v>3838</v>
      </c>
      <c r="K725" s="108" t="s">
        <v>297</v>
      </c>
      <c r="L725" s="175" t="s">
        <v>49</v>
      </c>
      <c r="M725" s="108" t="s">
        <v>27</v>
      </c>
      <c r="N725" s="108" t="s">
        <v>28</v>
      </c>
      <c r="O725" s="116">
        <v>9261.0</v>
      </c>
      <c r="P725" s="116">
        <v>10928.0</v>
      </c>
      <c r="Q725" s="6">
        <v>22.0</v>
      </c>
      <c r="R725" s="12">
        <f t="shared" si="17"/>
        <v>2037.42</v>
      </c>
    </row>
    <row r="726">
      <c r="A726" s="21" t="s">
        <v>3870</v>
      </c>
      <c r="B726" s="58" t="s">
        <v>3882</v>
      </c>
      <c r="C726" s="58" t="s">
        <v>3883</v>
      </c>
      <c r="D726" s="8" t="s">
        <v>1395</v>
      </c>
      <c r="E726" s="58" t="s">
        <v>3884</v>
      </c>
      <c r="F726" s="58" t="s">
        <v>3885</v>
      </c>
      <c r="G726" s="7">
        <v>7.984590709E9</v>
      </c>
      <c r="H726" s="7">
        <v>8.980716632E9</v>
      </c>
      <c r="I726" s="88">
        <v>3895.0</v>
      </c>
      <c r="J726" s="7" t="s">
        <v>3886</v>
      </c>
      <c r="K726" s="8" t="s">
        <v>25</v>
      </c>
      <c r="L726" s="197" t="s">
        <v>49</v>
      </c>
      <c r="M726" s="8" t="s">
        <v>71</v>
      </c>
      <c r="N726" s="8" t="s">
        <v>28</v>
      </c>
      <c r="O726" s="97">
        <v>22358.0</v>
      </c>
      <c r="P726" s="97">
        <v>25420.0</v>
      </c>
      <c r="Q726" s="6">
        <v>45.0</v>
      </c>
      <c r="R726" s="12">
        <f t="shared" si="17"/>
        <v>10061.1</v>
      </c>
    </row>
    <row r="727">
      <c r="A727" s="21" t="s">
        <v>3887</v>
      </c>
      <c r="B727" s="8" t="s">
        <v>3888</v>
      </c>
      <c r="C727" s="8" t="s">
        <v>3889</v>
      </c>
      <c r="D727" s="8" t="s">
        <v>1395</v>
      </c>
      <c r="E727" s="8" t="s">
        <v>524</v>
      </c>
      <c r="F727" s="8" t="s">
        <v>3890</v>
      </c>
      <c r="G727" s="7">
        <v>9.82497269E9</v>
      </c>
      <c r="H727" s="7">
        <v>9.89841102E9</v>
      </c>
      <c r="I727" s="88">
        <v>3490.0</v>
      </c>
      <c r="J727" s="58" t="s">
        <v>3838</v>
      </c>
      <c r="K727" s="8" t="s">
        <v>116</v>
      </c>
      <c r="L727" s="197" t="s">
        <v>49</v>
      </c>
      <c r="M727" s="8" t="s">
        <v>1456</v>
      </c>
      <c r="N727" s="8" t="s">
        <v>28</v>
      </c>
      <c r="O727" s="97">
        <v>21274.0</v>
      </c>
      <c r="P727" s="97">
        <v>24137.0</v>
      </c>
      <c r="Q727" s="6">
        <v>48.0</v>
      </c>
      <c r="R727" s="12">
        <f t="shared" si="17"/>
        <v>10211.52</v>
      </c>
    </row>
    <row r="728">
      <c r="A728" s="21" t="s">
        <v>3891</v>
      </c>
      <c r="B728" s="8" t="s">
        <v>3892</v>
      </c>
      <c r="C728" s="8" t="s">
        <v>3893</v>
      </c>
      <c r="D728" s="8" t="s">
        <v>1395</v>
      </c>
      <c r="E728" s="8" t="s">
        <v>178</v>
      </c>
      <c r="F728" s="8" t="s">
        <v>3894</v>
      </c>
      <c r="G728" s="7" t="s">
        <v>3895</v>
      </c>
      <c r="H728" s="8"/>
      <c r="I728" s="21">
        <v>3460.0</v>
      </c>
      <c r="J728" s="58" t="s">
        <v>3896</v>
      </c>
      <c r="K728" s="8" t="s">
        <v>116</v>
      </c>
      <c r="L728" s="197" t="s">
        <v>49</v>
      </c>
      <c r="M728" s="8" t="s">
        <v>27</v>
      </c>
      <c r="N728" s="8" t="s">
        <v>3897</v>
      </c>
      <c r="O728" s="134">
        <v>21801.0</v>
      </c>
      <c r="P728" s="134">
        <v>24756.0</v>
      </c>
      <c r="Q728" s="6">
        <v>48.0</v>
      </c>
      <c r="R728" s="12">
        <f t="shared" si="17"/>
        <v>10464.48</v>
      </c>
    </row>
    <row r="729">
      <c r="A729" s="21" t="s">
        <v>3891</v>
      </c>
      <c r="B729" s="8" t="s">
        <v>3898</v>
      </c>
      <c r="C729" s="8" t="s">
        <v>3899</v>
      </c>
      <c r="D729" s="8" t="s">
        <v>21</v>
      </c>
      <c r="E729" s="8" t="s">
        <v>3900</v>
      </c>
      <c r="F729" s="8" t="s">
        <v>3901</v>
      </c>
      <c r="G729" s="7" t="s">
        <v>3902</v>
      </c>
      <c r="H729" s="7" t="s">
        <v>3903</v>
      </c>
      <c r="I729" s="21">
        <v>35000.0</v>
      </c>
      <c r="J729" s="58" t="s">
        <v>3904</v>
      </c>
      <c r="K729" s="8" t="s">
        <v>3429</v>
      </c>
      <c r="L729" s="197" t="s">
        <v>49</v>
      </c>
      <c r="M729" s="8" t="s">
        <v>144</v>
      </c>
      <c r="N729" s="8" t="s">
        <v>28</v>
      </c>
      <c r="O729" s="88">
        <v>48035.0</v>
      </c>
      <c r="P729" s="88">
        <v>54044.0</v>
      </c>
      <c r="Q729" s="6">
        <v>20.0</v>
      </c>
      <c r="R729" s="12">
        <f t="shared" si="17"/>
        <v>9607</v>
      </c>
    </row>
    <row r="730">
      <c r="A730" s="21" t="s">
        <v>3891</v>
      </c>
      <c r="B730" s="6" t="s">
        <v>3905</v>
      </c>
      <c r="D730" s="6" t="s">
        <v>1395</v>
      </c>
      <c r="E730" s="170" t="s">
        <v>3906</v>
      </c>
      <c r="F730" s="6" t="s">
        <v>3907</v>
      </c>
      <c r="I730" s="6">
        <v>3460.0</v>
      </c>
      <c r="J730" s="6" t="s">
        <v>3908</v>
      </c>
      <c r="K730" s="6" t="s">
        <v>668</v>
      </c>
      <c r="L730" s="170" t="s">
        <v>49</v>
      </c>
      <c r="O730" s="6">
        <v>24555.0</v>
      </c>
      <c r="P730" s="6">
        <v>28013.0</v>
      </c>
      <c r="Q730" s="6">
        <v>50.0</v>
      </c>
      <c r="R730" s="12">
        <f t="shared" si="17"/>
        <v>12277.5</v>
      </c>
    </row>
    <row r="731">
      <c r="A731" s="21" t="s">
        <v>3891</v>
      </c>
      <c r="B731" s="6" t="s">
        <v>3909</v>
      </c>
      <c r="D731" s="6" t="s">
        <v>1759</v>
      </c>
      <c r="E731" s="170" t="s">
        <v>1760</v>
      </c>
      <c r="F731" s="6" t="s">
        <v>3910</v>
      </c>
      <c r="J731" s="6" t="s">
        <v>3911</v>
      </c>
      <c r="K731" s="6" t="s">
        <v>668</v>
      </c>
      <c r="L731" s="170" t="s">
        <v>49</v>
      </c>
      <c r="O731" s="6">
        <v>7094.0</v>
      </c>
      <c r="P731" s="6">
        <v>8370.0</v>
      </c>
      <c r="Q731" s="6">
        <v>51.0</v>
      </c>
      <c r="R731" s="12">
        <f t="shared" si="17"/>
        <v>3617.94</v>
      </c>
    </row>
    <row r="732">
      <c r="A732" s="21" t="s">
        <v>3891</v>
      </c>
      <c r="B732" s="6" t="s">
        <v>3912</v>
      </c>
      <c r="D732" s="6" t="s">
        <v>3913</v>
      </c>
      <c r="E732" s="170" t="s">
        <v>1760</v>
      </c>
      <c r="F732" s="6" t="s">
        <v>3914</v>
      </c>
      <c r="J732" s="171">
        <v>46059.0</v>
      </c>
      <c r="K732" s="6" t="s">
        <v>668</v>
      </c>
      <c r="L732" s="170" t="s">
        <v>49</v>
      </c>
      <c r="O732" s="6">
        <v>6419.0</v>
      </c>
      <c r="P732" s="6">
        <v>7575.0</v>
      </c>
      <c r="Q732" s="6">
        <v>51.0</v>
      </c>
      <c r="R732" s="12">
        <f t="shared" si="17"/>
        <v>3273.69</v>
      </c>
    </row>
    <row r="733">
      <c r="A733" s="21"/>
      <c r="B733" s="6" t="s">
        <v>3915</v>
      </c>
      <c r="D733" s="6" t="s">
        <v>21</v>
      </c>
      <c r="E733" s="170" t="s">
        <v>3916</v>
      </c>
      <c r="F733" s="6" t="s">
        <v>3917</v>
      </c>
      <c r="I733" s="6">
        <v>28000.0</v>
      </c>
      <c r="J733" s="6" t="s">
        <v>3918</v>
      </c>
      <c r="K733" s="6" t="s">
        <v>65</v>
      </c>
      <c r="L733" s="170" t="s">
        <v>26</v>
      </c>
      <c r="O733" s="6">
        <v>44050.0</v>
      </c>
      <c r="P733" s="6">
        <v>49342.0</v>
      </c>
      <c r="Q733" s="6">
        <v>49.0</v>
      </c>
      <c r="R733" s="12">
        <f t="shared" si="17"/>
        <v>21584.5</v>
      </c>
    </row>
    <row r="734">
      <c r="A734" s="126"/>
      <c r="B734" s="6" t="s">
        <v>3919</v>
      </c>
      <c r="D734" s="6" t="s">
        <v>21</v>
      </c>
      <c r="E734" s="170" t="s">
        <v>1537</v>
      </c>
      <c r="F734" s="6" t="s">
        <v>3920</v>
      </c>
      <c r="I734" s="6">
        <v>28000.0</v>
      </c>
      <c r="J734" s="6" t="s">
        <v>3918</v>
      </c>
      <c r="K734" s="6" t="s">
        <v>65</v>
      </c>
      <c r="L734" s="170" t="s">
        <v>26</v>
      </c>
      <c r="O734" s="6">
        <v>44050.0</v>
      </c>
      <c r="P734" s="6">
        <v>49342.0</v>
      </c>
      <c r="Q734" s="6">
        <v>49.0</v>
      </c>
      <c r="R734" s="12">
        <f t="shared" si="17"/>
        <v>21584.5</v>
      </c>
    </row>
    <row r="735">
      <c r="A735" s="126"/>
      <c r="E735" s="126"/>
      <c r="L735" s="126"/>
    </row>
    <row r="736">
      <c r="A736" s="126"/>
      <c r="E736" s="126"/>
      <c r="L736" s="126"/>
    </row>
    <row r="737">
      <c r="A737" s="21" t="s">
        <v>3921</v>
      </c>
      <c r="B737" s="58" t="s">
        <v>3922</v>
      </c>
      <c r="C737" s="58" t="s">
        <v>3923</v>
      </c>
      <c r="D737" s="8" t="s">
        <v>44</v>
      </c>
      <c r="E737" s="58" t="s">
        <v>3924</v>
      </c>
      <c r="F737" s="58" t="s">
        <v>3925</v>
      </c>
      <c r="G737" s="7" t="s">
        <v>3926</v>
      </c>
      <c r="H737" s="7" t="s">
        <v>3927</v>
      </c>
      <c r="I737" s="21">
        <v>2805.0</v>
      </c>
      <c r="J737" s="62" t="s">
        <v>3908</v>
      </c>
      <c r="K737" s="8" t="s">
        <v>668</v>
      </c>
      <c r="L737" s="197" t="s">
        <v>49</v>
      </c>
      <c r="M737" s="8" t="s">
        <v>71</v>
      </c>
      <c r="N737" s="8" t="s">
        <v>28</v>
      </c>
      <c r="O737" s="88">
        <v>17861.0</v>
      </c>
      <c r="P737" s="88">
        <v>20113.0</v>
      </c>
      <c r="Q737" s="6">
        <v>50.0</v>
      </c>
      <c r="R737" s="12">
        <f t="shared" ref="R737:R761" si="18">O737*Q737%</f>
        <v>8930.5</v>
      </c>
    </row>
    <row r="738">
      <c r="A738" s="21" t="s">
        <v>3921</v>
      </c>
      <c r="B738" s="58" t="s">
        <v>3928</v>
      </c>
      <c r="C738" s="58" t="s">
        <v>3929</v>
      </c>
      <c r="D738" s="8" t="s">
        <v>44</v>
      </c>
      <c r="E738" s="58" t="s">
        <v>3930</v>
      </c>
      <c r="F738" s="58" t="s">
        <v>3931</v>
      </c>
      <c r="G738" s="7" t="s">
        <v>2015</v>
      </c>
      <c r="H738" s="7" t="s">
        <v>3932</v>
      </c>
      <c r="I738" s="21">
        <v>2820.0</v>
      </c>
      <c r="J738" s="62" t="s">
        <v>3933</v>
      </c>
      <c r="K738" s="8" t="s">
        <v>3934</v>
      </c>
      <c r="L738" s="197" t="s">
        <v>26</v>
      </c>
      <c r="M738" s="8" t="s">
        <v>71</v>
      </c>
      <c r="N738" s="8" t="s">
        <v>28</v>
      </c>
      <c r="O738" s="101">
        <v>16149.0</v>
      </c>
      <c r="P738" s="88">
        <v>18093.0</v>
      </c>
      <c r="Q738" s="6">
        <v>56.0</v>
      </c>
      <c r="R738" s="12">
        <f t="shared" si="18"/>
        <v>9043.44</v>
      </c>
    </row>
    <row r="739">
      <c r="A739" s="21" t="s">
        <v>3921</v>
      </c>
      <c r="B739" s="58" t="s">
        <v>3935</v>
      </c>
      <c r="C739" s="58" t="s">
        <v>3936</v>
      </c>
      <c r="D739" s="8" t="s">
        <v>93</v>
      </c>
      <c r="E739" s="58" t="s">
        <v>3937</v>
      </c>
      <c r="F739" s="58" t="s">
        <v>3938</v>
      </c>
      <c r="G739" s="7" t="s">
        <v>3939</v>
      </c>
      <c r="H739" s="8"/>
      <c r="I739" s="88">
        <v>11990.0</v>
      </c>
      <c r="J739" s="62" t="s">
        <v>3918</v>
      </c>
      <c r="K739" s="8" t="s">
        <v>353</v>
      </c>
      <c r="L739" s="197" t="s">
        <v>49</v>
      </c>
      <c r="M739" s="8" t="s">
        <v>27</v>
      </c>
      <c r="N739" s="8" t="s">
        <v>28</v>
      </c>
      <c r="O739" s="90">
        <v>43463.0</v>
      </c>
      <c r="P739" s="90">
        <v>49655.0</v>
      </c>
      <c r="Q739" s="6">
        <v>26.0</v>
      </c>
      <c r="R739" s="12">
        <f t="shared" si="18"/>
        <v>11300.38</v>
      </c>
    </row>
    <row r="740">
      <c r="A740" s="21" t="s">
        <v>3921</v>
      </c>
      <c r="B740" s="58" t="s">
        <v>3940</v>
      </c>
      <c r="C740" s="58" t="s">
        <v>3941</v>
      </c>
      <c r="D740" s="8" t="s">
        <v>44</v>
      </c>
      <c r="E740" s="58" t="s">
        <v>1070</v>
      </c>
      <c r="F740" s="58" t="s">
        <v>3942</v>
      </c>
      <c r="G740" s="7" t="s">
        <v>3943</v>
      </c>
      <c r="H740" s="7" t="s">
        <v>3944</v>
      </c>
      <c r="I740" s="21">
        <v>2990.0</v>
      </c>
      <c r="J740" s="62" t="s">
        <v>3945</v>
      </c>
      <c r="K740" s="8" t="s">
        <v>25</v>
      </c>
      <c r="L740" s="197" t="s">
        <v>49</v>
      </c>
      <c r="M740" s="8" t="s">
        <v>27</v>
      </c>
      <c r="N740" s="8" t="s">
        <v>28</v>
      </c>
      <c r="O740" s="90">
        <v>19222.0</v>
      </c>
      <c r="P740" s="90">
        <v>21719.0</v>
      </c>
      <c r="Q740" s="6">
        <v>52.0</v>
      </c>
      <c r="R740" s="12">
        <f t="shared" si="18"/>
        <v>9995.44</v>
      </c>
    </row>
    <row r="741">
      <c r="A741" s="21" t="s">
        <v>3946</v>
      </c>
      <c r="B741" s="58" t="s">
        <v>3947</v>
      </c>
      <c r="C741" s="58" t="s">
        <v>3948</v>
      </c>
      <c r="D741" s="8" t="s">
        <v>21</v>
      </c>
      <c r="E741" s="58" t="s">
        <v>3949</v>
      </c>
      <c r="F741" s="58" t="s">
        <v>3950</v>
      </c>
      <c r="G741" s="7">
        <v>7.573947006E9</v>
      </c>
      <c r="H741" s="7">
        <v>9.979442458E9</v>
      </c>
      <c r="I741" s="21">
        <v>31000.0</v>
      </c>
      <c r="J741" s="62" t="s">
        <v>3951</v>
      </c>
      <c r="K741" s="8" t="s">
        <v>3934</v>
      </c>
      <c r="L741" s="197" t="s">
        <v>26</v>
      </c>
      <c r="M741" s="8" t="s">
        <v>3952</v>
      </c>
      <c r="N741" s="8" t="s">
        <v>28</v>
      </c>
      <c r="O741" s="88">
        <v>44050.0</v>
      </c>
      <c r="P741" s="88">
        <v>49342.0</v>
      </c>
      <c r="Q741" s="6">
        <v>48.0</v>
      </c>
      <c r="R741" s="12">
        <f t="shared" si="18"/>
        <v>21144</v>
      </c>
    </row>
    <row r="742">
      <c r="A742" s="21" t="s">
        <v>3946</v>
      </c>
      <c r="B742" s="8" t="s">
        <v>3953</v>
      </c>
      <c r="C742" s="58" t="s">
        <v>3954</v>
      </c>
      <c r="D742" s="8" t="s">
        <v>3955</v>
      </c>
      <c r="E742" s="58" t="s">
        <v>2376</v>
      </c>
      <c r="F742" s="58" t="s">
        <v>3956</v>
      </c>
      <c r="G742" s="7" t="s">
        <v>3957</v>
      </c>
      <c r="H742" s="7">
        <v>9.725545109E9</v>
      </c>
      <c r="I742" s="21">
        <v>995.0</v>
      </c>
      <c r="J742" s="62" t="s">
        <v>3945</v>
      </c>
      <c r="K742" s="8" t="s">
        <v>2681</v>
      </c>
      <c r="L742" s="197" t="s">
        <v>49</v>
      </c>
      <c r="M742" s="8" t="s">
        <v>185</v>
      </c>
      <c r="N742" s="8" t="s">
        <v>28</v>
      </c>
      <c r="O742" s="88">
        <v>5355.0</v>
      </c>
      <c r="P742" s="88">
        <v>6051.0</v>
      </c>
      <c r="Q742" s="6">
        <v>51.0</v>
      </c>
      <c r="R742" s="12">
        <f t="shared" si="18"/>
        <v>2731.05</v>
      </c>
    </row>
    <row r="743">
      <c r="A743" s="21" t="s">
        <v>3958</v>
      </c>
      <c r="B743" s="58" t="s">
        <v>3959</v>
      </c>
      <c r="C743" s="58" t="s">
        <v>3960</v>
      </c>
      <c r="D743" s="8" t="s">
        <v>21</v>
      </c>
      <c r="E743" s="58" t="s">
        <v>1997</v>
      </c>
      <c r="F743" s="58" t="s">
        <v>3961</v>
      </c>
      <c r="G743" s="7" t="s">
        <v>3962</v>
      </c>
      <c r="H743" s="7" t="s">
        <v>3963</v>
      </c>
      <c r="I743" s="88">
        <v>28000.0</v>
      </c>
      <c r="J743" s="62" t="s">
        <v>3964</v>
      </c>
      <c r="K743" s="8" t="s">
        <v>65</v>
      </c>
      <c r="L743" s="197" t="s">
        <v>26</v>
      </c>
      <c r="M743" s="8" t="s">
        <v>71</v>
      </c>
      <c r="N743" s="8" t="s">
        <v>28</v>
      </c>
      <c r="O743" s="88">
        <v>44050.0</v>
      </c>
      <c r="P743" s="88">
        <v>49342.0</v>
      </c>
      <c r="Q743" s="6">
        <v>50.0</v>
      </c>
      <c r="R743" s="12">
        <f t="shared" si="18"/>
        <v>22025</v>
      </c>
    </row>
    <row r="744">
      <c r="A744" s="21" t="s">
        <v>3958</v>
      </c>
      <c r="B744" s="58" t="s">
        <v>3965</v>
      </c>
      <c r="C744" s="58" t="s">
        <v>3966</v>
      </c>
      <c r="D744" s="8" t="s">
        <v>1432</v>
      </c>
      <c r="E744" s="58" t="s">
        <v>1887</v>
      </c>
      <c r="F744" s="58" t="s">
        <v>3967</v>
      </c>
      <c r="G744" s="7">
        <v>8.238616979E9</v>
      </c>
      <c r="H744" s="21">
        <v>8.200099032E9</v>
      </c>
      <c r="I744" s="21">
        <v>470.0</v>
      </c>
      <c r="J744" s="62" t="s">
        <v>3319</v>
      </c>
      <c r="K744" s="8" t="s">
        <v>2681</v>
      </c>
      <c r="L744" s="197" t="s">
        <v>49</v>
      </c>
      <c r="M744" s="8" t="s">
        <v>3968</v>
      </c>
      <c r="N744" s="8" t="s">
        <v>3897</v>
      </c>
      <c r="O744" s="88">
        <v>6971.0</v>
      </c>
      <c r="P744" s="88">
        <v>8225.0</v>
      </c>
      <c r="Q744" s="6">
        <v>51.0</v>
      </c>
      <c r="R744" s="12">
        <f t="shared" si="18"/>
        <v>3555.21</v>
      </c>
    </row>
    <row r="745">
      <c r="A745" s="21" t="s">
        <v>3958</v>
      </c>
      <c r="B745" s="58" t="s">
        <v>3969</v>
      </c>
      <c r="C745" s="58" t="s">
        <v>3970</v>
      </c>
      <c r="D745" s="8" t="s">
        <v>44</v>
      </c>
      <c r="E745" s="58" t="s">
        <v>888</v>
      </c>
      <c r="F745" s="58" t="s">
        <v>3971</v>
      </c>
      <c r="G745" s="8"/>
      <c r="H745" s="8"/>
      <c r="I745" s="21">
        <v>3425.0</v>
      </c>
      <c r="J745" s="62" t="s">
        <v>3972</v>
      </c>
      <c r="K745" s="8" t="s">
        <v>25</v>
      </c>
      <c r="L745" s="197" t="s">
        <v>49</v>
      </c>
      <c r="M745" s="8" t="s">
        <v>27</v>
      </c>
      <c r="N745" s="8" t="s">
        <v>28</v>
      </c>
      <c r="O745" s="90">
        <v>19867.0</v>
      </c>
      <c r="P745" s="90">
        <v>22480.0</v>
      </c>
      <c r="Q745" s="6">
        <v>52.0</v>
      </c>
      <c r="R745" s="12">
        <f t="shared" si="18"/>
        <v>10330.84</v>
      </c>
    </row>
    <row r="746">
      <c r="A746" s="21" t="s">
        <v>3958</v>
      </c>
      <c r="B746" s="58" t="s">
        <v>3973</v>
      </c>
      <c r="C746" s="58" t="s">
        <v>3974</v>
      </c>
      <c r="D746" s="8" t="s">
        <v>1395</v>
      </c>
      <c r="E746" s="58" t="s">
        <v>3975</v>
      </c>
      <c r="F746" s="58" t="s">
        <v>3976</v>
      </c>
      <c r="G746" s="8"/>
      <c r="H746" s="8"/>
      <c r="I746" s="21">
        <v>1845.0</v>
      </c>
      <c r="J746" s="62" t="s">
        <v>3972</v>
      </c>
      <c r="K746" s="8" t="s">
        <v>70</v>
      </c>
      <c r="L746" s="197" t="s">
        <v>49</v>
      </c>
      <c r="M746" s="8" t="s">
        <v>3977</v>
      </c>
      <c r="N746" s="8" t="s">
        <v>3897</v>
      </c>
      <c r="O746" s="90">
        <v>16524.0</v>
      </c>
      <c r="P746" s="90">
        <v>19617.0</v>
      </c>
      <c r="Q746" s="6">
        <v>61.0</v>
      </c>
      <c r="R746" s="12">
        <f t="shared" si="18"/>
        <v>10079.64</v>
      </c>
    </row>
    <row r="747">
      <c r="A747" s="21" t="s">
        <v>3978</v>
      </c>
      <c r="B747" s="58" t="s">
        <v>3979</v>
      </c>
      <c r="C747" s="58" t="s">
        <v>3980</v>
      </c>
      <c r="D747" s="8" t="s">
        <v>1395</v>
      </c>
      <c r="E747" s="58" t="s">
        <v>3981</v>
      </c>
      <c r="F747" s="58" t="s">
        <v>3982</v>
      </c>
      <c r="G747" s="7">
        <v>8.866609058E9</v>
      </c>
      <c r="H747" s="7">
        <v>9.58617891E9</v>
      </c>
      <c r="I747" s="88">
        <v>1630.0</v>
      </c>
      <c r="J747" s="62" t="s">
        <v>3983</v>
      </c>
      <c r="K747" s="8" t="s">
        <v>2681</v>
      </c>
      <c r="L747" s="197" t="s">
        <v>49</v>
      </c>
      <c r="M747" s="8" t="s">
        <v>1460</v>
      </c>
      <c r="N747" s="8" t="s">
        <v>3897</v>
      </c>
      <c r="O747" s="88">
        <v>20517.0</v>
      </c>
      <c r="P747" s="88">
        <v>23247.0</v>
      </c>
      <c r="Q747" s="6">
        <v>52.0</v>
      </c>
      <c r="R747" s="12">
        <f t="shared" si="18"/>
        <v>10668.84</v>
      </c>
    </row>
    <row r="748">
      <c r="A748" s="21" t="s">
        <v>3978</v>
      </c>
      <c r="B748" s="58" t="s">
        <v>3984</v>
      </c>
      <c r="C748" s="58" t="s">
        <v>3985</v>
      </c>
      <c r="D748" s="8" t="s">
        <v>93</v>
      </c>
      <c r="E748" s="58" t="s">
        <v>2555</v>
      </c>
      <c r="F748" s="58" t="s">
        <v>3986</v>
      </c>
      <c r="G748" s="7" t="s">
        <v>3987</v>
      </c>
      <c r="H748" s="7" t="s">
        <v>3988</v>
      </c>
      <c r="I748" s="21">
        <v>11990.0</v>
      </c>
      <c r="J748" s="62" t="s">
        <v>3989</v>
      </c>
      <c r="K748" s="8" t="s">
        <v>65</v>
      </c>
      <c r="L748" s="197" t="s">
        <v>26</v>
      </c>
      <c r="M748" s="8" t="s">
        <v>389</v>
      </c>
      <c r="N748" s="8" t="s">
        <v>28</v>
      </c>
      <c r="O748" s="88">
        <v>27286.0</v>
      </c>
      <c r="P748" s="88">
        <v>30566.0</v>
      </c>
      <c r="Q748" s="6">
        <v>47.0</v>
      </c>
      <c r="R748" s="12">
        <f t="shared" si="18"/>
        <v>12824.42</v>
      </c>
    </row>
    <row r="749">
      <c r="A749" s="21" t="s">
        <v>3978</v>
      </c>
      <c r="B749" s="58" t="s">
        <v>3990</v>
      </c>
      <c r="C749" s="58" t="s">
        <v>3991</v>
      </c>
      <c r="D749" s="8" t="s">
        <v>21</v>
      </c>
      <c r="E749" s="58" t="s">
        <v>3992</v>
      </c>
      <c r="F749" s="58" t="s">
        <v>3993</v>
      </c>
      <c r="G749" s="7" t="s">
        <v>3994</v>
      </c>
      <c r="H749" s="7">
        <v>9.825555029E9</v>
      </c>
      <c r="I749" s="88">
        <v>4450.0</v>
      </c>
      <c r="J749" s="62" t="s">
        <v>3995</v>
      </c>
      <c r="K749" s="8" t="s">
        <v>65</v>
      </c>
      <c r="L749" s="197" t="s">
        <v>26</v>
      </c>
      <c r="M749" s="8" t="s">
        <v>219</v>
      </c>
      <c r="N749" s="8" t="s">
        <v>28</v>
      </c>
      <c r="O749" s="88">
        <v>16149.0</v>
      </c>
      <c r="P749" s="88">
        <v>18093.0</v>
      </c>
      <c r="Q749" s="6">
        <v>47.0</v>
      </c>
      <c r="R749" s="12">
        <f t="shared" si="18"/>
        <v>7590.03</v>
      </c>
    </row>
    <row r="750">
      <c r="A750" s="21" t="s">
        <v>3978</v>
      </c>
      <c r="B750" s="58" t="s">
        <v>3996</v>
      </c>
      <c r="C750" s="58" t="s">
        <v>3997</v>
      </c>
      <c r="D750" s="8" t="s">
        <v>44</v>
      </c>
      <c r="E750" s="58" t="s">
        <v>3998</v>
      </c>
      <c r="F750" s="58" t="s">
        <v>3999</v>
      </c>
      <c r="G750" s="7">
        <v>9.825300933E9</v>
      </c>
      <c r="H750" s="8"/>
      <c r="I750" s="88">
        <v>6250.0</v>
      </c>
      <c r="J750" s="62" t="s">
        <v>4000</v>
      </c>
      <c r="K750" s="8" t="s">
        <v>41</v>
      </c>
      <c r="L750" s="197" t="s">
        <v>26</v>
      </c>
      <c r="M750" s="8" t="s">
        <v>4001</v>
      </c>
      <c r="N750" s="8" t="s">
        <v>3897</v>
      </c>
      <c r="O750" s="90">
        <v>16149.0</v>
      </c>
      <c r="P750" s="90">
        <v>18093.0</v>
      </c>
      <c r="Q750" s="6">
        <v>52.0</v>
      </c>
      <c r="R750" s="12">
        <f t="shared" si="18"/>
        <v>8397.48</v>
      </c>
    </row>
    <row r="751">
      <c r="A751" s="21" t="s">
        <v>4002</v>
      </c>
      <c r="B751" s="58" t="s">
        <v>4003</v>
      </c>
      <c r="C751" s="58" t="s">
        <v>4004</v>
      </c>
      <c r="D751" s="8" t="s">
        <v>44</v>
      </c>
      <c r="E751" s="58" t="s">
        <v>4005</v>
      </c>
      <c r="F751" s="58" t="s">
        <v>4006</v>
      </c>
      <c r="G751" s="7" t="s">
        <v>4007</v>
      </c>
      <c r="H751" s="7" t="s">
        <v>4008</v>
      </c>
      <c r="I751" s="88">
        <v>3460.0</v>
      </c>
      <c r="J751" s="62" t="s">
        <v>4009</v>
      </c>
      <c r="K751" s="8" t="s">
        <v>25</v>
      </c>
      <c r="L751" s="197" t="s">
        <v>49</v>
      </c>
      <c r="M751" s="8" t="s">
        <v>365</v>
      </c>
      <c r="N751" s="8" t="s">
        <v>3897</v>
      </c>
      <c r="O751" s="90">
        <v>24650.0</v>
      </c>
      <c r="P751" s="90">
        <v>28124.0</v>
      </c>
      <c r="Q751" s="6">
        <v>52.0</v>
      </c>
      <c r="R751" s="12">
        <f t="shared" si="18"/>
        <v>12818</v>
      </c>
    </row>
    <row r="752">
      <c r="A752" s="21" t="s">
        <v>4002</v>
      </c>
      <c r="B752" s="58" t="s">
        <v>4010</v>
      </c>
      <c r="C752" s="58" t="s">
        <v>4011</v>
      </c>
      <c r="D752" s="8" t="s">
        <v>44</v>
      </c>
      <c r="E752" s="58" t="s">
        <v>4012</v>
      </c>
      <c r="F752" s="58" t="s">
        <v>4013</v>
      </c>
      <c r="G752" s="7" t="s">
        <v>4014</v>
      </c>
      <c r="H752" s="7" t="s">
        <v>4008</v>
      </c>
      <c r="I752" s="88">
        <v>2825.0</v>
      </c>
      <c r="J752" s="62" t="s">
        <v>4009</v>
      </c>
      <c r="K752" s="8" t="s">
        <v>25</v>
      </c>
      <c r="L752" s="197" t="s">
        <v>49</v>
      </c>
      <c r="M752" s="8" t="s">
        <v>365</v>
      </c>
      <c r="N752" s="8" t="s">
        <v>3897</v>
      </c>
      <c r="O752" s="90">
        <v>23159.0</v>
      </c>
      <c r="P752" s="90">
        <v>26365.0</v>
      </c>
      <c r="Q752" s="6">
        <v>52.0</v>
      </c>
      <c r="R752" s="12">
        <f t="shared" si="18"/>
        <v>12042.68</v>
      </c>
    </row>
    <row r="753">
      <c r="A753" s="21" t="s">
        <v>4015</v>
      </c>
      <c r="B753" s="140" t="s">
        <v>293</v>
      </c>
      <c r="C753" s="58" t="s">
        <v>4016</v>
      </c>
      <c r="D753" s="8" t="s">
        <v>4017</v>
      </c>
      <c r="E753" s="58" t="s">
        <v>4018</v>
      </c>
      <c r="F753" s="58" t="s">
        <v>4019</v>
      </c>
      <c r="G753" s="7" t="s">
        <v>4020</v>
      </c>
      <c r="H753" s="7" t="s">
        <v>4021</v>
      </c>
      <c r="I753" s="92" t="s">
        <v>3880</v>
      </c>
      <c r="J753" s="62" t="s">
        <v>4000</v>
      </c>
      <c r="K753" s="8" t="s">
        <v>70</v>
      </c>
      <c r="L753" s="197" t="s">
        <v>49</v>
      </c>
      <c r="M753" s="8" t="s">
        <v>1460</v>
      </c>
      <c r="N753" s="8" t="s">
        <v>3897</v>
      </c>
      <c r="O753" s="90">
        <v>10346.0</v>
      </c>
      <c r="P753" s="90">
        <v>10346.0</v>
      </c>
      <c r="Q753" s="6">
        <v>25.0</v>
      </c>
      <c r="R753" s="12">
        <f t="shared" si="18"/>
        <v>2586.5</v>
      </c>
    </row>
    <row r="754">
      <c r="A754" s="21" t="s">
        <v>4022</v>
      </c>
      <c r="B754" s="58" t="s">
        <v>4023</v>
      </c>
      <c r="C754" s="58" t="s">
        <v>4024</v>
      </c>
      <c r="D754" s="8" t="s">
        <v>21</v>
      </c>
      <c r="E754" s="58" t="s">
        <v>2218</v>
      </c>
      <c r="F754" s="58" t="s">
        <v>4025</v>
      </c>
      <c r="G754" s="7" t="s">
        <v>4026</v>
      </c>
      <c r="H754" s="7" t="s">
        <v>4027</v>
      </c>
      <c r="I754" s="88">
        <v>35000.0</v>
      </c>
      <c r="J754" s="62" t="s">
        <v>4028</v>
      </c>
      <c r="K754" s="8" t="s">
        <v>65</v>
      </c>
      <c r="L754" s="197" t="s">
        <v>26</v>
      </c>
      <c r="M754" s="8" t="s">
        <v>1460</v>
      </c>
      <c r="N754" s="8" t="s">
        <v>3897</v>
      </c>
      <c r="O754" s="88">
        <v>44050.0</v>
      </c>
      <c r="P754" s="88">
        <v>49342.0</v>
      </c>
      <c r="Q754" s="6">
        <v>48.0</v>
      </c>
      <c r="R754" s="12">
        <f t="shared" si="18"/>
        <v>21144</v>
      </c>
    </row>
    <row r="755">
      <c r="A755" s="21" t="s">
        <v>4029</v>
      </c>
      <c r="B755" s="58" t="s">
        <v>4030</v>
      </c>
      <c r="C755" s="58" t="s">
        <v>4031</v>
      </c>
      <c r="D755" s="8" t="s">
        <v>1395</v>
      </c>
      <c r="E755" s="58" t="s">
        <v>4032</v>
      </c>
      <c r="F755" s="58" t="s">
        <v>4033</v>
      </c>
      <c r="G755" s="8"/>
      <c r="H755" s="8"/>
      <c r="I755" s="88">
        <v>2450.0</v>
      </c>
      <c r="J755" s="62" t="s">
        <v>4034</v>
      </c>
      <c r="K755" s="8" t="s">
        <v>143</v>
      </c>
      <c r="L755" s="197" t="s">
        <v>49</v>
      </c>
      <c r="M755" s="8" t="s">
        <v>3977</v>
      </c>
      <c r="N755" s="8" t="s">
        <v>3897</v>
      </c>
      <c r="O755" s="90">
        <v>17032.0</v>
      </c>
      <c r="P755" s="90">
        <v>19135.0</v>
      </c>
      <c r="Q755" s="6">
        <v>61.0</v>
      </c>
      <c r="R755" s="12">
        <f t="shared" si="18"/>
        <v>10389.52</v>
      </c>
    </row>
    <row r="756">
      <c r="A756" s="218" t="s">
        <v>4035</v>
      </c>
      <c r="B756" s="6" t="s">
        <v>4036</v>
      </c>
      <c r="D756" s="6" t="s">
        <v>21</v>
      </c>
      <c r="E756" s="170" t="s">
        <v>4037</v>
      </c>
      <c r="F756" s="6" t="s">
        <v>4038</v>
      </c>
      <c r="I756" s="6">
        <v>31000.0</v>
      </c>
      <c r="J756" s="6" t="s">
        <v>4039</v>
      </c>
      <c r="K756" s="6" t="s">
        <v>70</v>
      </c>
      <c r="L756" s="170" t="s">
        <v>49</v>
      </c>
      <c r="O756" s="6">
        <v>48231.0</v>
      </c>
      <c r="P756" s="6">
        <v>54276.0</v>
      </c>
      <c r="Q756" s="6">
        <v>20.0</v>
      </c>
      <c r="R756" s="12">
        <f t="shared" si="18"/>
        <v>9646.2</v>
      </c>
    </row>
    <row r="757">
      <c r="A757" s="218" t="s">
        <v>4035</v>
      </c>
      <c r="B757" s="6" t="s">
        <v>4040</v>
      </c>
      <c r="D757" s="6" t="s">
        <v>21</v>
      </c>
      <c r="E757" s="170" t="s">
        <v>4041</v>
      </c>
      <c r="F757" s="6" t="s">
        <v>4042</v>
      </c>
      <c r="I757" s="6">
        <v>28000.0</v>
      </c>
      <c r="J757" s="171">
        <v>46028.0</v>
      </c>
      <c r="K757" s="6" t="s">
        <v>65</v>
      </c>
      <c r="L757" s="170" t="s">
        <v>26</v>
      </c>
      <c r="O757" s="6">
        <v>44050.0</v>
      </c>
      <c r="P757" s="6">
        <v>49342.0</v>
      </c>
      <c r="Q757" s="6">
        <v>50.0</v>
      </c>
      <c r="R757" s="12">
        <f t="shared" si="18"/>
        <v>22025</v>
      </c>
    </row>
    <row r="758">
      <c r="A758" s="218" t="s">
        <v>4035</v>
      </c>
      <c r="B758" s="6" t="s">
        <v>4043</v>
      </c>
      <c r="D758" s="6" t="s">
        <v>1395</v>
      </c>
      <c r="E758" s="170" t="s">
        <v>4044</v>
      </c>
      <c r="F758" s="6" t="s">
        <v>4045</v>
      </c>
      <c r="I758" s="6">
        <v>1285.0</v>
      </c>
      <c r="J758" s="171">
        <v>46028.0</v>
      </c>
      <c r="K758" s="6" t="s">
        <v>70</v>
      </c>
      <c r="L758" s="170" t="s">
        <v>49</v>
      </c>
      <c r="O758" s="6">
        <v>16637.0</v>
      </c>
      <c r="P758" s="6">
        <v>18669.0</v>
      </c>
      <c r="Q758" s="6">
        <v>61.0</v>
      </c>
      <c r="R758" s="12">
        <f t="shared" si="18"/>
        <v>10148.57</v>
      </c>
    </row>
    <row r="759">
      <c r="A759" s="30" t="s">
        <v>4046</v>
      </c>
      <c r="B759" s="120" t="s">
        <v>4047</v>
      </c>
      <c r="C759" s="120" t="s">
        <v>4048</v>
      </c>
      <c r="D759" s="24" t="s">
        <v>21</v>
      </c>
      <c r="E759" s="120" t="s">
        <v>4049</v>
      </c>
      <c r="F759" s="120" t="s">
        <v>4050</v>
      </c>
      <c r="G759" s="219">
        <v>7.016452549E9</v>
      </c>
      <c r="H759" s="25">
        <v>9.825227145E9</v>
      </c>
      <c r="I759" s="30">
        <v>16020.0</v>
      </c>
      <c r="J759" s="219" t="s">
        <v>3972</v>
      </c>
      <c r="K759" s="24" t="s">
        <v>1424</v>
      </c>
      <c r="L759" s="175" t="s">
        <v>49</v>
      </c>
      <c r="M759" s="24" t="s">
        <v>3028</v>
      </c>
      <c r="N759" s="24" t="s">
        <v>3897</v>
      </c>
      <c r="O759" s="121">
        <v>39262.0</v>
      </c>
      <c r="P759" s="121">
        <v>44211.0</v>
      </c>
      <c r="Q759" s="153">
        <v>24.0</v>
      </c>
      <c r="R759" s="12">
        <f t="shared" si="18"/>
        <v>9422.88</v>
      </c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</row>
    <row r="760">
      <c r="A760" s="30" t="s">
        <v>4022</v>
      </c>
      <c r="B760" s="120" t="s">
        <v>4051</v>
      </c>
      <c r="C760" s="120" t="s">
        <v>4052</v>
      </c>
      <c r="D760" s="24" t="s">
        <v>44</v>
      </c>
      <c r="E760" s="120" t="s">
        <v>4012</v>
      </c>
      <c r="F760" s="120" t="s">
        <v>4053</v>
      </c>
      <c r="G760" s="25" t="s">
        <v>4054</v>
      </c>
      <c r="H760" s="25" t="s">
        <v>4055</v>
      </c>
      <c r="I760" s="121">
        <v>2825.0</v>
      </c>
      <c r="J760" s="25" t="s">
        <v>3983</v>
      </c>
      <c r="K760" s="136" t="s">
        <v>25</v>
      </c>
      <c r="L760" s="175" t="s">
        <v>49</v>
      </c>
      <c r="M760" s="24" t="s">
        <v>365</v>
      </c>
      <c r="N760" s="24" t="s">
        <v>3897</v>
      </c>
      <c r="O760" s="123">
        <v>23314.0</v>
      </c>
      <c r="P760" s="123">
        <v>26548.0</v>
      </c>
      <c r="Q760" s="6">
        <v>52.0</v>
      </c>
      <c r="R760" s="12">
        <f t="shared" si="18"/>
        <v>12123.28</v>
      </c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</row>
    <row r="761">
      <c r="A761" s="30" t="s">
        <v>4056</v>
      </c>
      <c r="B761" s="120" t="s">
        <v>4057</v>
      </c>
      <c r="C761" s="120" t="s">
        <v>4058</v>
      </c>
      <c r="D761" s="24" t="s">
        <v>1395</v>
      </c>
      <c r="E761" s="120" t="s">
        <v>4059</v>
      </c>
      <c r="F761" s="28"/>
      <c r="G761" s="25" t="s">
        <v>4060</v>
      </c>
      <c r="H761" s="28"/>
      <c r="I761" s="121">
        <v>2710.0</v>
      </c>
      <c r="J761" s="219" t="s">
        <v>4061</v>
      </c>
      <c r="K761" s="24" t="s">
        <v>668</v>
      </c>
      <c r="L761" s="175" t="s">
        <v>49</v>
      </c>
      <c r="M761" s="24" t="s">
        <v>71</v>
      </c>
      <c r="N761" s="24" t="s">
        <v>3897</v>
      </c>
      <c r="O761" s="121">
        <v>19125.0</v>
      </c>
      <c r="P761" s="121">
        <v>21605.0</v>
      </c>
      <c r="Q761" s="153">
        <v>50.0</v>
      </c>
      <c r="R761" s="12">
        <f t="shared" si="18"/>
        <v>9562.5</v>
      </c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</row>
    <row r="762">
      <c r="A762" s="126"/>
      <c r="E762" s="126"/>
      <c r="L762" s="126"/>
    </row>
    <row r="763">
      <c r="A763" s="126"/>
      <c r="E763" s="126"/>
      <c r="L763" s="126"/>
    </row>
    <row r="764">
      <c r="A764" s="126"/>
      <c r="E764" s="126"/>
      <c r="L764" s="126"/>
    </row>
    <row r="765">
      <c r="A765" s="22">
        <v>45722.0</v>
      </c>
      <c r="B765" s="58" t="s">
        <v>4062</v>
      </c>
      <c r="C765" s="58" t="s">
        <v>4063</v>
      </c>
      <c r="D765" s="8" t="s">
        <v>1395</v>
      </c>
      <c r="E765" s="58" t="s">
        <v>1898</v>
      </c>
      <c r="F765" s="58" t="s">
        <v>4064</v>
      </c>
      <c r="G765" s="7">
        <v>9.023618936E9</v>
      </c>
      <c r="H765" s="7">
        <v>9.664822819E9</v>
      </c>
      <c r="I765" s="88">
        <v>3490.0</v>
      </c>
      <c r="J765" s="91">
        <v>46059.0</v>
      </c>
      <c r="K765" s="8" t="s">
        <v>2681</v>
      </c>
      <c r="L765" s="197" t="s">
        <v>49</v>
      </c>
      <c r="M765" s="8" t="s">
        <v>389</v>
      </c>
      <c r="N765" s="8" t="s">
        <v>3897</v>
      </c>
      <c r="O765" s="88">
        <v>19473.0</v>
      </c>
      <c r="P765" s="88">
        <v>22015.0</v>
      </c>
      <c r="Q765" s="6">
        <v>50.0</v>
      </c>
      <c r="R765" s="12">
        <f t="shared" ref="R765:R792" si="19">O765*Q765%</f>
        <v>9736.5</v>
      </c>
    </row>
    <row r="766">
      <c r="A766" s="22">
        <v>45814.0</v>
      </c>
      <c r="B766" s="58" t="s">
        <v>4065</v>
      </c>
      <c r="C766" s="58" t="s">
        <v>4066</v>
      </c>
      <c r="D766" s="8" t="s">
        <v>533</v>
      </c>
      <c r="E766" s="58" t="s">
        <v>4067</v>
      </c>
      <c r="F766" s="58" t="s">
        <v>4068</v>
      </c>
      <c r="G766" s="7" t="s">
        <v>4069</v>
      </c>
      <c r="H766" s="7">
        <v>9.879695775E9</v>
      </c>
      <c r="I766" s="88">
        <v>7580.0</v>
      </c>
      <c r="J766" s="22">
        <v>46148.0</v>
      </c>
      <c r="K766" s="8" t="s">
        <v>4070</v>
      </c>
      <c r="L766" s="197" t="s">
        <v>49</v>
      </c>
      <c r="M766" s="8" t="s">
        <v>4071</v>
      </c>
      <c r="N766" s="8" t="s">
        <v>3897</v>
      </c>
      <c r="O766" s="90">
        <v>11291.0</v>
      </c>
      <c r="P766" s="90">
        <v>13323.0</v>
      </c>
      <c r="Q766" s="6">
        <v>38.0</v>
      </c>
      <c r="R766" s="12">
        <f t="shared" si="19"/>
        <v>4290.58</v>
      </c>
    </row>
    <row r="767">
      <c r="A767" s="110">
        <v>45814.0</v>
      </c>
      <c r="B767" s="108" t="s">
        <v>4072</v>
      </c>
      <c r="C767" s="64" t="s">
        <v>4073</v>
      </c>
      <c r="D767" s="108" t="s">
        <v>21</v>
      </c>
      <c r="E767" s="108" t="s">
        <v>4074</v>
      </c>
      <c r="F767" s="108" t="s">
        <v>4075</v>
      </c>
      <c r="G767" s="63">
        <v>6.352100183E9</v>
      </c>
      <c r="H767" s="108"/>
      <c r="I767" s="114">
        <v>25000.0</v>
      </c>
      <c r="J767" s="204">
        <v>46179.0</v>
      </c>
      <c r="K767" s="108" t="s">
        <v>2526</v>
      </c>
      <c r="L767" s="175" t="s">
        <v>49</v>
      </c>
      <c r="M767" s="108" t="s">
        <v>71</v>
      </c>
      <c r="N767" s="108" t="s">
        <v>3897</v>
      </c>
      <c r="O767" s="114">
        <v>48003.0</v>
      </c>
      <c r="P767" s="114">
        <v>54007.0</v>
      </c>
      <c r="Q767" s="6">
        <v>29.0</v>
      </c>
      <c r="R767" s="12">
        <f t="shared" si="19"/>
        <v>13920.87</v>
      </c>
    </row>
    <row r="768">
      <c r="A768" s="22">
        <v>46210.0</v>
      </c>
      <c r="B768" s="58" t="s">
        <v>4076</v>
      </c>
      <c r="C768" s="58" t="s">
        <v>4077</v>
      </c>
      <c r="D768" s="8" t="s">
        <v>21</v>
      </c>
      <c r="E768" s="58" t="s">
        <v>4078</v>
      </c>
      <c r="F768" s="58" t="s">
        <v>4079</v>
      </c>
      <c r="G768" s="7">
        <v>9.97905557E9</v>
      </c>
      <c r="H768" s="8"/>
      <c r="I768" s="88">
        <v>10400.0</v>
      </c>
      <c r="J768" s="94">
        <v>46209.0</v>
      </c>
      <c r="K768" s="8" t="s">
        <v>3934</v>
      </c>
      <c r="L768" s="197" t="s">
        <v>26</v>
      </c>
      <c r="M768" s="8" t="s">
        <v>71</v>
      </c>
      <c r="N768" s="8" t="s">
        <v>3897</v>
      </c>
      <c r="O768" s="88">
        <v>27286.0</v>
      </c>
      <c r="P768" s="88">
        <v>30566.0</v>
      </c>
      <c r="Q768" s="6">
        <v>47.0</v>
      </c>
      <c r="R768" s="12">
        <f t="shared" si="19"/>
        <v>12824.42</v>
      </c>
    </row>
    <row r="769">
      <c r="A769" s="22">
        <v>45997.0</v>
      </c>
      <c r="B769" s="58" t="s">
        <v>4080</v>
      </c>
      <c r="C769" s="58" t="s">
        <v>4081</v>
      </c>
      <c r="D769" s="8" t="s">
        <v>1395</v>
      </c>
      <c r="E769" s="58" t="s">
        <v>4082</v>
      </c>
      <c r="F769" s="58" t="s">
        <v>4083</v>
      </c>
      <c r="G769" s="7">
        <v>8.735047E9</v>
      </c>
      <c r="H769" s="7" t="s">
        <v>4084</v>
      </c>
      <c r="I769" s="88">
        <v>2750.0</v>
      </c>
      <c r="J769" s="91">
        <v>46332.0</v>
      </c>
      <c r="K769" s="8" t="s">
        <v>2681</v>
      </c>
      <c r="L769" s="197" t="s">
        <v>49</v>
      </c>
      <c r="M769" s="8" t="s">
        <v>27</v>
      </c>
      <c r="N769" s="8" t="s">
        <v>3897</v>
      </c>
      <c r="O769" s="88">
        <v>17133.0</v>
      </c>
      <c r="P769" s="88">
        <v>19255.0</v>
      </c>
      <c r="Q769" s="6">
        <v>50.0</v>
      </c>
      <c r="R769" s="12">
        <f t="shared" si="19"/>
        <v>8566.5</v>
      </c>
    </row>
    <row r="770">
      <c r="A770" s="21" t="s">
        <v>4085</v>
      </c>
      <c r="B770" s="58" t="s">
        <v>4086</v>
      </c>
      <c r="C770" s="8" t="s">
        <v>4087</v>
      </c>
      <c r="D770" s="8" t="s">
        <v>1395</v>
      </c>
      <c r="E770" s="8" t="s">
        <v>4088</v>
      </c>
      <c r="F770" s="8" t="s">
        <v>4089</v>
      </c>
      <c r="G770" s="7">
        <v>9.265108847E9</v>
      </c>
      <c r="H770" s="8"/>
      <c r="I770" s="21">
        <v>2523.0</v>
      </c>
      <c r="J770" s="8" t="s">
        <v>4090</v>
      </c>
      <c r="K770" s="8" t="s">
        <v>4091</v>
      </c>
      <c r="L770" s="197" t="s">
        <v>49</v>
      </c>
      <c r="M770" s="8" t="s">
        <v>3977</v>
      </c>
      <c r="N770" s="8" t="s">
        <v>3897</v>
      </c>
      <c r="O770" s="21">
        <v>17727.0</v>
      </c>
      <c r="P770" s="21">
        <v>19955.0</v>
      </c>
      <c r="Q770" s="6">
        <v>52.0</v>
      </c>
      <c r="R770" s="12">
        <f t="shared" si="19"/>
        <v>9218.04</v>
      </c>
    </row>
    <row r="771">
      <c r="A771" s="21" t="s">
        <v>4092</v>
      </c>
      <c r="B771" s="58" t="s">
        <v>4093</v>
      </c>
      <c r="C771" s="58" t="s">
        <v>4094</v>
      </c>
      <c r="D771" s="8" t="s">
        <v>1395</v>
      </c>
      <c r="E771" s="58" t="s">
        <v>4095</v>
      </c>
      <c r="F771" s="58" t="s">
        <v>4096</v>
      </c>
      <c r="G771" s="7" t="s">
        <v>4097</v>
      </c>
      <c r="H771" s="8"/>
      <c r="I771" s="88">
        <v>2120.0</v>
      </c>
      <c r="J771" s="58" t="s">
        <v>4098</v>
      </c>
      <c r="K771" s="8" t="s">
        <v>65</v>
      </c>
      <c r="L771" s="197" t="s">
        <v>26</v>
      </c>
      <c r="M771" s="8" t="s">
        <v>71</v>
      </c>
      <c r="N771" s="8" t="s">
        <v>28</v>
      </c>
      <c r="O771" s="88">
        <v>16099.0</v>
      </c>
      <c r="P771" s="88">
        <v>18035.0</v>
      </c>
      <c r="Q771" s="6">
        <v>61.0</v>
      </c>
      <c r="R771" s="12">
        <f t="shared" si="19"/>
        <v>9820.39</v>
      </c>
    </row>
    <row r="772">
      <c r="A772" s="21" t="s">
        <v>4099</v>
      </c>
      <c r="B772" s="58" t="s">
        <v>4100</v>
      </c>
      <c r="C772" s="58" t="s">
        <v>4101</v>
      </c>
      <c r="D772" s="206" t="s">
        <v>21</v>
      </c>
      <c r="E772" s="58" t="s">
        <v>4102</v>
      </c>
      <c r="F772" s="58" t="s">
        <v>2904</v>
      </c>
      <c r="G772" s="7">
        <v>9.87984388E9</v>
      </c>
      <c r="H772" s="7" t="s">
        <v>4103</v>
      </c>
      <c r="I772" s="220">
        <v>28000.0</v>
      </c>
      <c r="J772" s="58" t="s">
        <v>4104</v>
      </c>
      <c r="K772" s="8" t="s">
        <v>65</v>
      </c>
      <c r="L772" s="197" t="s">
        <v>26</v>
      </c>
      <c r="M772" s="8" t="s">
        <v>389</v>
      </c>
      <c r="N772" s="8" t="s">
        <v>3897</v>
      </c>
      <c r="O772" s="88">
        <v>44050.0</v>
      </c>
      <c r="P772" s="88">
        <v>49342.0</v>
      </c>
      <c r="Q772" s="6">
        <v>50.0</v>
      </c>
      <c r="R772" s="12">
        <f t="shared" si="19"/>
        <v>22025</v>
      </c>
    </row>
    <row r="773">
      <c r="A773" s="21" t="s">
        <v>4099</v>
      </c>
      <c r="B773" s="58" t="s">
        <v>4105</v>
      </c>
      <c r="C773" s="58" t="s">
        <v>4106</v>
      </c>
      <c r="D773" s="8" t="s">
        <v>44</v>
      </c>
      <c r="E773" s="7" t="s">
        <v>63</v>
      </c>
      <c r="F773" s="58" t="s">
        <v>4107</v>
      </c>
      <c r="G773" s="7" t="s">
        <v>4108</v>
      </c>
      <c r="H773" s="8"/>
      <c r="I773" s="7" t="s">
        <v>63</v>
      </c>
      <c r="J773" s="58" t="s">
        <v>4109</v>
      </c>
      <c r="K773" s="58" t="s">
        <v>4110</v>
      </c>
      <c r="L773" s="197" t="s">
        <v>49</v>
      </c>
      <c r="M773" s="8" t="s">
        <v>71</v>
      </c>
      <c r="N773" s="8" t="s">
        <v>3897</v>
      </c>
      <c r="O773" s="90">
        <v>8746.0</v>
      </c>
      <c r="P773" s="90">
        <v>10320.0</v>
      </c>
      <c r="Q773" s="6">
        <v>30.0</v>
      </c>
      <c r="R773" s="12">
        <f t="shared" si="19"/>
        <v>2623.8</v>
      </c>
    </row>
    <row r="774">
      <c r="A774" s="21" t="s">
        <v>4099</v>
      </c>
      <c r="B774" s="58" t="s">
        <v>4111</v>
      </c>
      <c r="C774" s="58" t="s">
        <v>4112</v>
      </c>
      <c r="D774" s="8" t="s">
        <v>21</v>
      </c>
      <c r="E774" s="58" t="s">
        <v>4113</v>
      </c>
      <c r="F774" s="58" t="s">
        <v>4114</v>
      </c>
      <c r="G774" s="7">
        <v>9.898900043E9</v>
      </c>
      <c r="H774" s="7">
        <v>7.698803404E9</v>
      </c>
      <c r="I774" s="21">
        <v>35000.0</v>
      </c>
      <c r="J774" s="58" t="s">
        <v>4109</v>
      </c>
      <c r="K774" s="8" t="s">
        <v>677</v>
      </c>
      <c r="L774" s="197" t="s">
        <v>49</v>
      </c>
      <c r="M774" s="8" t="s">
        <v>27</v>
      </c>
      <c r="N774" s="8" t="s">
        <v>3897</v>
      </c>
      <c r="O774" s="88">
        <v>50965.74</v>
      </c>
      <c r="P774" s="88">
        <v>57502.58</v>
      </c>
      <c r="Q774" s="6">
        <v>24.0</v>
      </c>
      <c r="R774" s="12">
        <f t="shared" si="19"/>
        <v>12231.7776</v>
      </c>
    </row>
    <row r="775">
      <c r="A775" s="21" t="s">
        <v>4115</v>
      </c>
      <c r="B775" s="8" t="s">
        <v>4116</v>
      </c>
      <c r="C775" s="206" t="s">
        <v>4117</v>
      </c>
      <c r="D775" s="8" t="s">
        <v>21</v>
      </c>
      <c r="E775" s="8" t="s">
        <v>4118</v>
      </c>
      <c r="F775" s="8" t="s">
        <v>4119</v>
      </c>
      <c r="G775" s="7">
        <v>9.106626733E9</v>
      </c>
      <c r="H775" s="7">
        <v>7.567554682E9</v>
      </c>
      <c r="I775" s="21">
        <v>35000.0</v>
      </c>
      <c r="J775" s="8" t="s">
        <v>4120</v>
      </c>
      <c r="K775" s="8" t="s">
        <v>2526</v>
      </c>
      <c r="L775" s="197" t="s">
        <v>49</v>
      </c>
      <c r="M775" s="8" t="s">
        <v>1456</v>
      </c>
      <c r="N775" s="8" t="s">
        <v>3897</v>
      </c>
      <c r="O775" s="21">
        <v>52693.0</v>
      </c>
      <c r="P775" s="21">
        <v>59541.0</v>
      </c>
      <c r="Q775" s="6">
        <v>23.0</v>
      </c>
      <c r="R775" s="12">
        <f t="shared" si="19"/>
        <v>12119.39</v>
      </c>
    </row>
    <row r="776">
      <c r="A776" s="21" t="s">
        <v>4115</v>
      </c>
      <c r="B776" s="58" t="s">
        <v>4121</v>
      </c>
      <c r="C776" s="58" t="s">
        <v>4122</v>
      </c>
      <c r="D776" s="8" t="s">
        <v>533</v>
      </c>
      <c r="E776" s="58" t="s">
        <v>4123</v>
      </c>
      <c r="F776" s="58" t="s">
        <v>4124</v>
      </c>
      <c r="G776" s="7">
        <v>9.586562025E9</v>
      </c>
      <c r="H776" s="8"/>
      <c r="I776" s="21">
        <v>0.0</v>
      </c>
      <c r="J776" s="58" t="s">
        <v>4120</v>
      </c>
      <c r="K776" s="8" t="s">
        <v>2681</v>
      </c>
      <c r="L776" s="197" t="s">
        <v>49</v>
      </c>
      <c r="M776" s="8" t="s">
        <v>3977</v>
      </c>
      <c r="N776" s="8" t="s">
        <v>3897</v>
      </c>
      <c r="O776" s="88">
        <v>12800.0</v>
      </c>
      <c r="P776" s="88">
        <v>15104.0</v>
      </c>
      <c r="Q776" s="6">
        <v>35.0</v>
      </c>
      <c r="R776" s="12">
        <f t="shared" si="19"/>
        <v>4480</v>
      </c>
    </row>
    <row r="777">
      <c r="A777" s="21" t="s">
        <v>4125</v>
      </c>
      <c r="B777" s="58" t="s">
        <v>4126</v>
      </c>
      <c r="C777" s="58" t="s">
        <v>4127</v>
      </c>
      <c r="D777" s="206" t="s">
        <v>21</v>
      </c>
      <c r="E777" s="58" t="s">
        <v>519</v>
      </c>
      <c r="F777" s="58" t="s">
        <v>4128</v>
      </c>
      <c r="G777" s="7" t="s">
        <v>4129</v>
      </c>
      <c r="H777" s="7">
        <v>9.909533412E9</v>
      </c>
      <c r="I777" s="88">
        <v>3895.0</v>
      </c>
      <c r="J777" s="8" t="s">
        <v>4130</v>
      </c>
      <c r="K777" s="8" t="s">
        <v>25</v>
      </c>
      <c r="L777" s="197" t="s">
        <v>49</v>
      </c>
      <c r="M777" s="8" t="s">
        <v>1456</v>
      </c>
      <c r="N777" s="8" t="s">
        <v>3897</v>
      </c>
      <c r="O777" s="90">
        <v>23595.0</v>
      </c>
      <c r="P777" s="90">
        <v>26879.0</v>
      </c>
      <c r="Q777" s="6">
        <v>45.0</v>
      </c>
      <c r="R777" s="12">
        <f t="shared" si="19"/>
        <v>10617.75</v>
      </c>
    </row>
    <row r="778">
      <c r="A778" s="21" t="s">
        <v>4125</v>
      </c>
      <c r="B778" s="58" t="s">
        <v>4131</v>
      </c>
      <c r="C778" s="58" t="s">
        <v>4132</v>
      </c>
      <c r="D778" s="8" t="s">
        <v>533</v>
      </c>
      <c r="E778" s="58" t="s">
        <v>4133</v>
      </c>
      <c r="F778" s="58" t="s">
        <v>4134</v>
      </c>
      <c r="G778" s="7">
        <v>7.567979531E9</v>
      </c>
      <c r="H778" s="8"/>
      <c r="I778" s="88">
        <v>0.0</v>
      </c>
      <c r="J778" s="58" t="s">
        <v>4135</v>
      </c>
      <c r="K778" s="8" t="s">
        <v>78</v>
      </c>
      <c r="L778" s="197" t="s">
        <v>49</v>
      </c>
      <c r="M778" s="8" t="s">
        <v>3977</v>
      </c>
      <c r="N778" s="8" t="s">
        <v>3897</v>
      </c>
      <c r="O778" s="90">
        <v>8326.25</v>
      </c>
      <c r="P778" s="90">
        <v>9825.0</v>
      </c>
      <c r="Q778" s="6">
        <v>55.0</v>
      </c>
      <c r="R778" s="12">
        <f t="shared" si="19"/>
        <v>4579.4375</v>
      </c>
    </row>
    <row r="779">
      <c r="A779" s="21" t="s">
        <v>4136</v>
      </c>
      <c r="B779" s="58" t="s">
        <v>4137</v>
      </c>
      <c r="C779" s="58" t="s">
        <v>4138</v>
      </c>
      <c r="D779" s="8" t="s">
        <v>21</v>
      </c>
      <c r="E779" s="58" t="s">
        <v>4139</v>
      </c>
      <c r="F779" s="58" t="s">
        <v>4140</v>
      </c>
      <c r="G779" s="7">
        <v>9.825765417E9</v>
      </c>
      <c r="H779" s="8"/>
      <c r="I779" s="88">
        <v>28000.0</v>
      </c>
      <c r="J779" s="58" t="s">
        <v>4141</v>
      </c>
      <c r="K779" s="8" t="s">
        <v>65</v>
      </c>
      <c r="L779" s="197" t="s">
        <v>26</v>
      </c>
      <c r="M779" s="8" t="s">
        <v>71</v>
      </c>
      <c r="N779" s="8" t="s">
        <v>3897</v>
      </c>
      <c r="O779" s="88">
        <v>44050.0</v>
      </c>
      <c r="P779" s="88">
        <v>49342.0</v>
      </c>
      <c r="Q779" s="6">
        <v>50.0</v>
      </c>
      <c r="R779" s="12">
        <f t="shared" si="19"/>
        <v>22025</v>
      </c>
    </row>
    <row r="780">
      <c r="A780" s="21" t="s">
        <v>4142</v>
      </c>
      <c r="B780" s="58" t="s">
        <v>4143</v>
      </c>
      <c r="C780" s="58" t="s">
        <v>4144</v>
      </c>
      <c r="D780" s="8" t="s">
        <v>21</v>
      </c>
      <c r="E780" s="58" t="s">
        <v>4145</v>
      </c>
      <c r="F780" s="58" t="s">
        <v>4146</v>
      </c>
      <c r="G780" s="7" t="s">
        <v>4147</v>
      </c>
      <c r="H780" s="8"/>
      <c r="I780" s="88">
        <v>35000.0</v>
      </c>
      <c r="J780" s="58" t="s">
        <v>4135</v>
      </c>
      <c r="K780" s="8" t="s">
        <v>78</v>
      </c>
      <c r="L780" s="197" t="s">
        <v>49</v>
      </c>
      <c r="M780" s="8" t="s">
        <v>27</v>
      </c>
      <c r="N780" s="8" t="s">
        <v>28</v>
      </c>
      <c r="O780" s="90">
        <v>49160.15</v>
      </c>
      <c r="P780" s="90">
        <v>55372.0</v>
      </c>
      <c r="Q780" s="6">
        <v>29.0</v>
      </c>
      <c r="R780" s="12">
        <f t="shared" si="19"/>
        <v>14256.4435</v>
      </c>
    </row>
    <row r="781">
      <c r="A781" s="21" t="s">
        <v>4142</v>
      </c>
      <c r="B781" s="58" t="s">
        <v>4148</v>
      </c>
      <c r="C781" s="58" t="s">
        <v>4149</v>
      </c>
      <c r="D781" s="8" t="s">
        <v>1395</v>
      </c>
      <c r="E781" s="58" t="s">
        <v>4150</v>
      </c>
      <c r="F781" s="58" t="s">
        <v>4151</v>
      </c>
      <c r="G781" s="7">
        <v>9.898558319E9</v>
      </c>
      <c r="H781" s="8"/>
      <c r="I781" s="88">
        <v>3490.0</v>
      </c>
      <c r="J781" s="58" t="s">
        <v>4152</v>
      </c>
      <c r="K781" s="8" t="s">
        <v>78</v>
      </c>
      <c r="L781" s="197" t="s">
        <v>49</v>
      </c>
      <c r="M781" s="8" t="s">
        <v>71</v>
      </c>
      <c r="N781" s="8" t="s">
        <v>3897</v>
      </c>
      <c r="O781" s="90">
        <v>18213.3</v>
      </c>
      <c r="P781" s="90">
        <v>20529.0</v>
      </c>
      <c r="Q781" s="6">
        <v>53.0</v>
      </c>
      <c r="R781" s="12">
        <f t="shared" si="19"/>
        <v>9653.049</v>
      </c>
    </row>
    <row r="782">
      <c r="A782" s="21" t="s">
        <v>4142</v>
      </c>
      <c r="B782" s="58" t="s">
        <v>4153</v>
      </c>
      <c r="C782" s="58" t="s">
        <v>4154</v>
      </c>
      <c r="D782" s="8" t="s">
        <v>21</v>
      </c>
      <c r="E782" s="58" t="s">
        <v>4145</v>
      </c>
      <c r="F782" s="58" t="s">
        <v>4155</v>
      </c>
      <c r="G782" s="7" t="s">
        <v>4147</v>
      </c>
      <c r="H782" s="8"/>
      <c r="I782" s="88">
        <v>35000.0</v>
      </c>
      <c r="J782" s="58" t="s">
        <v>4135</v>
      </c>
      <c r="K782" s="8" t="s">
        <v>78</v>
      </c>
      <c r="L782" s="197" t="s">
        <v>49</v>
      </c>
      <c r="M782" s="8" t="s">
        <v>27</v>
      </c>
      <c r="N782" s="8" t="s">
        <v>3897</v>
      </c>
      <c r="O782" s="90">
        <v>49160.15</v>
      </c>
      <c r="P782" s="90">
        <v>55372.0</v>
      </c>
      <c r="Q782" s="6">
        <v>29.0</v>
      </c>
      <c r="R782" s="12">
        <f t="shared" si="19"/>
        <v>14256.4435</v>
      </c>
    </row>
    <row r="783">
      <c r="A783" s="21" t="s">
        <v>4142</v>
      </c>
      <c r="B783" s="58" t="s">
        <v>4156</v>
      </c>
      <c r="C783" s="58" t="s">
        <v>4157</v>
      </c>
      <c r="D783" s="8" t="s">
        <v>21</v>
      </c>
      <c r="E783" s="58" t="s">
        <v>633</v>
      </c>
      <c r="F783" s="58" t="s">
        <v>4158</v>
      </c>
      <c r="G783" s="7">
        <v>9.90997217E9</v>
      </c>
      <c r="H783" s="8"/>
      <c r="I783" s="88">
        <v>12990.0</v>
      </c>
      <c r="J783" s="58" t="s">
        <v>4159</v>
      </c>
      <c r="K783" s="8" t="s">
        <v>78</v>
      </c>
      <c r="L783" s="197" t="s">
        <v>49</v>
      </c>
      <c r="M783" s="8" t="s">
        <v>33</v>
      </c>
      <c r="N783" s="8" t="s">
        <v>28</v>
      </c>
      <c r="O783" s="90">
        <v>36686.33</v>
      </c>
      <c r="P783" s="90">
        <v>41171.0</v>
      </c>
      <c r="Q783" s="6">
        <v>29.0</v>
      </c>
      <c r="R783" s="12">
        <f t="shared" si="19"/>
        <v>10639.0357</v>
      </c>
    </row>
    <row r="784">
      <c r="A784" s="21" t="s">
        <v>4160</v>
      </c>
      <c r="B784" s="58" t="s">
        <v>4161</v>
      </c>
      <c r="C784" s="58" t="s">
        <v>4162</v>
      </c>
      <c r="D784" s="8" t="s">
        <v>1405</v>
      </c>
      <c r="E784" s="58" t="s">
        <v>4163</v>
      </c>
      <c r="F784" s="58" t="s">
        <v>4164</v>
      </c>
      <c r="G784" s="7" t="s">
        <v>4165</v>
      </c>
      <c r="H784" s="8"/>
      <c r="I784" s="88">
        <v>975.0</v>
      </c>
      <c r="J784" s="58" t="s">
        <v>4166</v>
      </c>
      <c r="K784" s="8" t="s">
        <v>668</v>
      </c>
      <c r="L784" s="197" t="s">
        <v>49</v>
      </c>
      <c r="M784" s="8" t="s">
        <v>1456</v>
      </c>
      <c r="N784" s="8" t="s">
        <v>28</v>
      </c>
      <c r="O784" s="88">
        <v>4938.0</v>
      </c>
      <c r="P784" s="88">
        <v>5560.0</v>
      </c>
      <c r="Q784" s="6">
        <v>51.0</v>
      </c>
      <c r="R784" s="12">
        <f t="shared" si="19"/>
        <v>2518.38</v>
      </c>
    </row>
    <row r="785">
      <c r="A785" s="21" t="s">
        <v>4167</v>
      </c>
      <c r="B785" s="58" t="s">
        <v>4168</v>
      </c>
      <c r="C785" s="58" t="s">
        <v>4169</v>
      </c>
      <c r="D785" s="8" t="s">
        <v>1405</v>
      </c>
      <c r="E785" s="58" t="s">
        <v>119</v>
      </c>
      <c r="F785" s="58" t="s">
        <v>4170</v>
      </c>
      <c r="G785" s="7">
        <v>8.866339648E9</v>
      </c>
      <c r="H785" s="7">
        <v>9.879092036E9</v>
      </c>
      <c r="I785" s="88">
        <v>995.0</v>
      </c>
      <c r="J785" s="58" t="s">
        <v>4171</v>
      </c>
      <c r="K785" s="8" t="s">
        <v>78</v>
      </c>
      <c r="L785" s="197" t="s">
        <v>49</v>
      </c>
      <c r="M785" s="8" t="s">
        <v>4172</v>
      </c>
      <c r="N785" s="8" t="s">
        <v>28</v>
      </c>
      <c r="O785" s="90">
        <v>5362.44</v>
      </c>
      <c r="P785" s="90">
        <v>6058.0</v>
      </c>
      <c r="Q785" s="6">
        <v>50.0</v>
      </c>
      <c r="R785" s="12">
        <f t="shared" si="19"/>
        <v>2681.22</v>
      </c>
    </row>
    <row r="786">
      <c r="A786" s="21" t="s">
        <v>4173</v>
      </c>
      <c r="B786" s="58" t="s">
        <v>4174</v>
      </c>
      <c r="C786" s="58" t="s">
        <v>4175</v>
      </c>
      <c r="D786" s="8" t="s">
        <v>1405</v>
      </c>
      <c r="E786" s="58" t="s">
        <v>4176</v>
      </c>
      <c r="F786" s="58" t="s">
        <v>4177</v>
      </c>
      <c r="G786" s="7">
        <v>9.316970841E9</v>
      </c>
      <c r="H786" s="7">
        <v>9.316970841E9</v>
      </c>
      <c r="I786" s="88">
        <v>694.0</v>
      </c>
      <c r="J786" s="58" t="s">
        <v>4178</v>
      </c>
      <c r="K786" s="8" t="s">
        <v>78</v>
      </c>
      <c r="L786" s="197" t="s">
        <v>49</v>
      </c>
      <c r="M786" s="8" t="s">
        <v>340</v>
      </c>
      <c r="N786" s="8" t="s">
        <v>3897</v>
      </c>
      <c r="O786" s="90">
        <v>3986.46</v>
      </c>
      <c r="P786" s="90">
        <v>4516.0</v>
      </c>
      <c r="Q786" s="6">
        <v>50.0</v>
      </c>
      <c r="R786" s="12">
        <f t="shared" si="19"/>
        <v>1993.23</v>
      </c>
    </row>
    <row r="787">
      <c r="A787" s="21" t="s">
        <v>4173</v>
      </c>
      <c r="B787" s="58" t="s">
        <v>4179</v>
      </c>
      <c r="C787" s="58" t="s">
        <v>4180</v>
      </c>
      <c r="D787" s="8" t="s">
        <v>21</v>
      </c>
      <c r="E787" s="58" t="s">
        <v>649</v>
      </c>
      <c r="F787" s="58" t="s">
        <v>4181</v>
      </c>
      <c r="G787" s="7">
        <v>8.849285752E9</v>
      </c>
      <c r="H787" s="8"/>
      <c r="I787" s="88">
        <v>35000.0</v>
      </c>
      <c r="J787" s="58" t="s">
        <v>4130</v>
      </c>
      <c r="K787" s="8" t="s">
        <v>78</v>
      </c>
      <c r="L787" s="197" t="s">
        <v>49</v>
      </c>
      <c r="M787" s="8" t="s">
        <v>71</v>
      </c>
      <c r="N787" s="8" t="s">
        <v>28</v>
      </c>
      <c r="O787" s="90">
        <v>47288.58</v>
      </c>
      <c r="P787" s="90">
        <v>53164.0</v>
      </c>
      <c r="Q787" s="6">
        <v>29.0</v>
      </c>
      <c r="R787" s="12">
        <f t="shared" si="19"/>
        <v>13713.6882</v>
      </c>
    </row>
    <row r="788">
      <c r="A788" s="24" t="s">
        <v>2588</v>
      </c>
      <c r="B788" s="120" t="s">
        <v>4182</v>
      </c>
      <c r="C788" s="120" t="s">
        <v>4183</v>
      </c>
      <c r="D788" s="24" t="s">
        <v>21</v>
      </c>
      <c r="E788" s="120" t="s">
        <v>4184</v>
      </c>
      <c r="F788" s="120" t="s">
        <v>4185</v>
      </c>
      <c r="G788" s="30" t="s">
        <v>4186</v>
      </c>
      <c r="H788" s="24" t="s">
        <v>4187</v>
      </c>
      <c r="I788" s="121">
        <v>35000.0</v>
      </c>
      <c r="J788" s="121" t="s">
        <v>970</v>
      </c>
      <c r="K788" s="24" t="s">
        <v>353</v>
      </c>
      <c r="L788" s="175" t="s">
        <v>49</v>
      </c>
      <c r="M788" s="24" t="s">
        <v>219</v>
      </c>
      <c r="N788" s="24" t="s">
        <v>28</v>
      </c>
      <c r="O788" s="123">
        <v>77946.0</v>
      </c>
      <c r="P788" s="123">
        <v>89339.0</v>
      </c>
      <c r="Q788" s="129">
        <v>27.0</v>
      </c>
      <c r="R788" s="12">
        <f t="shared" si="19"/>
        <v>21045.42</v>
      </c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</row>
    <row r="789">
      <c r="A789" s="30" t="s">
        <v>4188</v>
      </c>
      <c r="B789" s="24" t="s">
        <v>4189</v>
      </c>
      <c r="C789" s="24" t="s">
        <v>4190</v>
      </c>
      <c r="D789" s="24" t="s">
        <v>21</v>
      </c>
      <c r="E789" s="24" t="s">
        <v>4191</v>
      </c>
      <c r="F789" s="24" t="s">
        <v>4192</v>
      </c>
      <c r="G789" s="25">
        <v>9.87999169E9</v>
      </c>
      <c r="H789" s="25">
        <v>7.096633649E9</v>
      </c>
      <c r="I789" s="30">
        <v>42000.0</v>
      </c>
      <c r="J789" s="120" t="s">
        <v>4193</v>
      </c>
      <c r="K789" s="24" t="s">
        <v>2526</v>
      </c>
      <c r="L789" s="175" t="s">
        <v>49</v>
      </c>
      <c r="M789" s="24" t="s">
        <v>4071</v>
      </c>
      <c r="N789" s="24" t="s">
        <v>3897</v>
      </c>
      <c r="O789" s="30">
        <v>48129.0</v>
      </c>
      <c r="P789" s="30">
        <v>54138.0</v>
      </c>
      <c r="Q789" s="129">
        <v>29.0</v>
      </c>
      <c r="R789" s="12">
        <f t="shared" si="19"/>
        <v>13957.41</v>
      </c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</row>
    <row r="790">
      <c r="A790" s="30" t="s">
        <v>4136</v>
      </c>
      <c r="B790" s="24" t="s">
        <v>4194</v>
      </c>
      <c r="C790" s="24" t="s">
        <v>4195</v>
      </c>
      <c r="D790" s="24" t="s">
        <v>21</v>
      </c>
      <c r="E790" s="24" t="s">
        <v>4196</v>
      </c>
      <c r="F790" s="24" t="s">
        <v>4197</v>
      </c>
      <c r="G790" s="25">
        <v>9.879929707E9</v>
      </c>
      <c r="H790" s="25" t="s">
        <v>4198</v>
      </c>
      <c r="I790" s="30">
        <v>35000.0</v>
      </c>
      <c r="J790" s="120" t="s">
        <v>4135</v>
      </c>
      <c r="K790" s="24" t="s">
        <v>2526</v>
      </c>
      <c r="L790" s="175" t="s">
        <v>49</v>
      </c>
      <c r="M790" s="24" t="s">
        <v>4071</v>
      </c>
      <c r="N790" s="24" t="s">
        <v>3897</v>
      </c>
      <c r="O790" s="30">
        <v>48147.0</v>
      </c>
      <c r="P790" s="30">
        <v>54176.0</v>
      </c>
      <c r="Q790" s="221">
        <v>29.0</v>
      </c>
      <c r="R790" s="12">
        <f t="shared" si="19"/>
        <v>13962.63</v>
      </c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  <c r="AE790" s="124"/>
      <c r="AF790" s="124"/>
      <c r="AG790" s="124"/>
      <c r="AH790" s="124"/>
      <c r="AI790" s="124"/>
    </row>
    <row r="791">
      <c r="A791" s="30" t="s">
        <v>4167</v>
      </c>
      <c r="B791" s="120" t="s">
        <v>4199</v>
      </c>
      <c r="C791" s="120" t="s">
        <v>4200</v>
      </c>
      <c r="D791" s="24" t="s">
        <v>533</v>
      </c>
      <c r="E791" s="120" t="s">
        <v>4201</v>
      </c>
      <c r="F791" s="120" t="s">
        <v>604</v>
      </c>
      <c r="G791" s="25" t="s">
        <v>619</v>
      </c>
      <c r="H791" s="28"/>
      <c r="I791" s="30">
        <v>0.0</v>
      </c>
      <c r="J791" s="120" t="s">
        <v>4152</v>
      </c>
      <c r="K791" s="24" t="s">
        <v>668</v>
      </c>
      <c r="L791" s="175" t="s">
        <v>49</v>
      </c>
      <c r="M791" s="24" t="s">
        <v>27</v>
      </c>
      <c r="N791" s="24" t="s">
        <v>3897</v>
      </c>
      <c r="O791" s="121">
        <v>15232.0</v>
      </c>
      <c r="P791" s="121">
        <v>17974.0</v>
      </c>
      <c r="Q791" s="129">
        <v>35.0</v>
      </c>
      <c r="R791" s="12">
        <f t="shared" si="19"/>
        <v>5331.2</v>
      </c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</row>
    <row r="792">
      <c r="A792" s="30" t="s">
        <v>4167</v>
      </c>
      <c r="B792" s="120" t="s">
        <v>4202</v>
      </c>
      <c r="C792" s="120" t="s">
        <v>4203</v>
      </c>
      <c r="D792" s="24" t="s">
        <v>533</v>
      </c>
      <c r="E792" s="120" t="s">
        <v>4201</v>
      </c>
      <c r="F792" s="120" t="s">
        <v>4201</v>
      </c>
      <c r="G792" s="25" t="s">
        <v>619</v>
      </c>
      <c r="H792" s="28"/>
      <c r="I792" s="30">
        <v>0.0</v>
      </c>
      <c r="J792" s="120" t="s">
        <v>4152</v>
      </c>
      <c r="K792" s="24" t="s">
        <v>668</v>
      </c>
      <c r="L792" s="175" t="s">
        <v>49</v>
      </c>
      <c r="M792" s="24" t="s">
        <v>27</v>
      </c>
      <c r="N792" s="24" t="s">
        <v>3897</v>
      </c>
      <c r="O792" s="121">
        <v>15232.0</v>
      </c>
      <c r="P792" s="121">
        <v>17974.0</v>
      </c>
      <c r="Q792" s="129">
        <v>35.0</v>
      </c>
      <c r="R792" s="12">
        <f t="shared" si="19"/>
        <v>5331.2</v>
      </c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</row>
    <row r="793">
      <c r="A793" s="126"/>
      <c r="E793" s="126"/>
      <c r="L793" s="126"/>
    </row>
    <row r="794">
      <c r="A794" s="126"/>
      <c r="E794" s="126"/>
      <c r="L794" s="126"/>
    </row>
    <row r="795">
      <c r="A795" s="126"/>
      <c r="E795" s="126"/>
      <c r="L795" s="126"/>
    </row>
    <row r="796">
      <c r="A796" s="126"/>
      <c r="E796" s="126"/>
      <c r="L796" s="126"/>
    </row>
    <row r="797">
      <c r="A797" s="126"/>
      <c r="E797" s="126"/>
      <c r="L797" s="126"/>
    </row>
    <row r="798">
      <c r="A798" s="7" t="s">
        <v>4092</v>
      </c>
      <c r="B798" s="93" t="s">
        <v>4204</v>
      </c>
      <c r="C798" s="62" t="s">
        <v>4205</v>
      </c>
      <c r="D798" s="7" t="s">
        <v>21</v>
      </c>
      <c r="E798" s="8" t="s">
        <v>4206</v>
      </c>
      <c r="F798" s="8" t="s">
        <v>4207</v>
      </c>
      <c r="G798" s="7">
        <v>9.825850336E9</v>
      </c>
      <c r="H798" s="7">
        <v>9.727767716E9</v>
      </c>
      <c r="I798" s="7">
        <v>8250.0</v>
      </c>
      <c r="J798" s="7" t="s">
        <v>4208</v>
      </c>
      <c r="K798" s="7" t="s">
        <v>41</v>
      </c>
      <c r="L798" s="214" t="s">
        <v>26</v>
      </c>
      <c r="M798" s="7" t="s">
        <v>4209</v>
      </c>
      <c r="N798" s="7" t="s">
        <v>28</v>
      </c>
      <c r="O798" s="7">
        <v>27286.0</v>
      </c>
      <c r="P798" s="7">
        <v>30566.0</v>
      </c>
      <c r="Q798" s="5">
        <v>52.0</v>
      </c>
      <c r="R798" s="12">
        <f t="shared" ref="R798:R841" si="20">O798*Q798%</f>
        <v>14188.72</v>
      </c>
      <c r="S798" s="222" t="s">
        <v>4210</v>
      </c>
    </row>
    <row r="799">
      <c r="A799" s="62" t="s">
        <v>4125</v>
      </c>
      <c r="B799" s="93" t="s">
        <v>4211</v>
      </c>
      <c r="C799" s="62" t="s">
        <v>4212</v>
      </c>
      <c r="D799" s="7" t="s">
        <v>1405</v>
      </c>
      <c r="E799" s="58" t="s">
        <v>4213</v>
      </c>
      <c r="F799" s="58" t="s">
        <v>4214</v>
      </c>
      <c r="G799" s="7">
        <v>8.14131301E9</v>
      </c>
      <c r="H799" s="7">
        <v>9.638568109E9</v>
      </c>
      <c r="I799" s="62">
        <v>998.0</v>
      </c>
      <c r="J799" s="62" t="s">
        <v>4166</v>
      </c>
      <c r="K799" s="7" t="s">
        <v>668</v>
      </c>
      <c r="L799" s="214" t="s">
        <v>49</v>
      </c>
      <c r="M799" s="7" t="s">
        <v>4215</v>
      </c>
      <c r="N799" s="7" t="s">
        <v>28</v>
      </c>
      <c r="O799" s="7">
        <v>5460.0</v>
      </c>
      <c r="P799" s="7">
        <v>6254.0</v>
      </c>
      <c r="Q799" s="5">
        <v>50.0</v>
      </c>
      <c r="R799" s="12">
        <f t="shared" si="20"/>
        <v>2730</v>
      </c>
    </row>
    <row r="800">
      <c r="A800" s="7" t="s">
        <v>4216</v>
      </c>
      <c r="B800" s="93" t="s">
        <v>4217</v>
      </c>
      <c r="C800" s="62" t="s">
        <v>4218</v>
      </c>
      <c r="D800" s="7" t="s">
        <v>44</v>
      </c>
      <c r="E800" s="58" t="s">
        <v>3095</v>
      </c>
      <c r="F800" s="58" t="s">
        <v>4219</v>
      </c>
      <c r="G800" s="7">
        <v>9.638975565E9</v>
      </c>
      <c r="H800" s="7">
        <v>9.82573097E9</v>
      </c>
      <c r="I800" s="62">
        <v>2960.0</v>
      </c>
      <c r="J800" s="62" t="s">
        <v>4220</v>
      </c>
      <c r="K800" s="7" t="s">
        <v>668</v>
      </c>
      <c r="L800" s="214" t="s">
        <v>49</v>
      </c>
      <c r="M800" s="7" t="s">
        <v>4221</v>
      </c>
      <c r="N800" s="7" t="s">
        <v>28</v>
      </c>
      <c r="O800" s="7">
        <v>17248.0</v>
      </c>
      <c r="P800" s="7">
        <v>19390.0</v>
      </c>
      <c r="Q800" s="5">
        <v>50.0</v>
      </c>
      <c r="R800" s="12">
        <f t="shared" si="20"/>
        <v>8624</v>
      </c>
    </row>
    <row r="801">
      <c r="A801" s="7" t="s">
        <v>4160</v>
      </c>
      <c r="B801" s="100" t="s">
        <v>4222</v>
      </c>
      <c r="C801" s="62" t="s">
        <v>4223</v>
      </c>
      <c r="D801" s="7" t="s">
        <v>93</v>
      </c>
      <c r="E801" s="8" t="s">
        <v>4224</v>
      </c>
      <c r="F801" s="8" t="s">
        <v>4225</v>
      </c>
      <c r="G801" s="7">
        <v>9.998842905E9</v>
      </c>
      <c r="H801" s="7">
        <v>7.043467266E9</v>
      </c>
      <c r="I801" s="7">
        <v>5300.0</v>
      </c>
      <c r="J801" s="7" t="s">
        <v>4159</v>
      </c>
      <c r="K801" s="7" t="s">
        <v>41</v>
      </c>
      <c r="L801" s="214" t="s">
        <v>26</v>
      </c>
      <c r="M801" s="7" t="s">
        <v>4226</v>
      </c>
      <c r="N801" s="7" t="s">
        <v>28</v>
      </c>
      <c r="O801" s="7">
        <v>16149.0</v>
      </c>
      <c r="P801" s="7">
        <v>18093.0</v>
      </c>
      <c r="Q801" s="5">
        <v>52.0</v>
      </c>
      <c r="R801" s="12">
        <f t="shared" si="20"/>
        <v>8397.48</v>
      </c>
    </row>
    <row r="802">
      <c r="A802" s="7" t="s">
        <v>4160</v>
      </c>
      <c r="B802" s="93" t="s">
        <v>4227</v>
      </c>
      <c r="C802" s="62" t="s">
        <v>4228</v>
      </c>
      <c r="D802" s="7" t="s">
        <v>21</v>
      </c>
      <c r="E802" s="58" t="s">
        <v>4229</v>
      </c>
      <c r="F802" s="58" t="s">
        <v>4230</v>
      </c>
      <c r="G802" s="7">
        <v>9.824136405E9</v>
      </c>
      <c r="H802" s="7">
        <v>8.530661557E9</v>
      </c>
      <c r="I802" s="7">
        <v>16200.0</v>
      </c>
      <c r="J802" s="62" t="s">
        <v>4231</v>
      </c>
      <c r="K802" s="7" t="s">
        <v>78</v>
      </c>
      <c r="L802" s="214" t="s">
        <v>49</v>
      </c>
      <c r="M802" s="7" t="s">
        <v>4221</v>
      </c>
      <c r="N802" s="7" t="s">
        <v>28</v>
      </c>
      <c r="O802" s="15">
        <v>36595.0</v>
      </c>
      <c r="P802" s="15">
        <v>41063.0</v>
      </c>
      <c r="Q802" s="5">
        <v>29.0</v>
      </c>
      <c r="R802" s="12">
        <f t="shared" si="20"/>
        <v>10612.55</v>
      </c>
    </row>
    <row r="803">
      <c r="A803" s="7" t="s">
        <v>4167</v>
      </c>
      <c r="B803" s="100" t="s">
        <v>4232</v>
      </c>
      <c r="C803" s="7" t="s">
        <v>4233</v>
      </c>
      <c r="D803" s="7" t="s">
        <v>93</v>
      </c>
      <c r="E803" s="8" t="s">
        <v>4234</v>
      </c>
      <c r="F803" s="8" t="s">
        <v>4235</v>
      </c>
      <c r="G803" s="7">
        <v>9.998148505E9</v>
      </c>
      <c r="H803" s="7">
        <v>9.725481505E9</v>
      </c>
      <c r="I803" s="7">
        <v>5700.0</v>
      </c>
      <c r="J803" s="7" t="s">
        <v>4166</v>
      </c>
      <c r="K803" s="7" t="s">
        <v>41</v>
      </c>
      <c r="L803" s="214" t="s">
        <v>26</v>
      </c>
      <c r="M803" s="7" t="s">
        <v>4221</v>
      </c>
      <c r="N803" s="7" t="s">
        <v>28</v>
      </c>
      <c r="O803" s="7">
        <v>16424.0</v>
      </c>
      <c r="P803" s="7">
        <v>18418.0</v>
      </c>
      <c r="Q803" s="5">
        <v>52.0</v>
      </c>
      <c r="R803" s="12">
        <f t="shared" si="20"/>
        <v>8540.48</v>
      </c>
    </row>
    <row r="804">
      <c r="A804" s="7" t="s">
        <v>4167</v>
      </c>
      <c r="B804" s="100" t="s">
        <v>4236</v>
      </c>
      <c r="C804" s="62" t="s">
        <v>4237</v>
      </c>
      <c r="D804" s="7" t="s">
        <v>44</v>
      </c>
      <c r="E804" s="58" t="s">
        <v>4238</v>
      </c>
      <c r="F804" s="58" t="s">
        <v>4239</v>
      </c>
      <c r="G804" s="7">
        <v>9.998148505E9</v>
      </c>
      <c r="H804" s="7">
        <v>9.725481505E9</v>
      </c>
      <c r="I804" s="7">
        <v>2180.0</v>
      </c>
      <c r="J804" s="62" t="s">
        <v>4240</v>
      </c>
      <c r="K804" s="7" t="s">
        <v>65</v>
      </c>
      <c r="L804" s="214" t="s">
        <v>26</v>
      </c>
      <c r="M804" s="7" t="s">
        <v>4221</v>
      </c>
      <c r="N804" s="7" t="s">
        <v>28</v>
      </c>
      <c r="O804" s="80">
        <v>16480.0</v>
      </c>
      <c r="P804" s="11">
        <v>18484.0</v>
      </c>
      <c r="Q804" s="5">
        <v>61.0</v>
      </c>
      <c r="R804" s="12">
        <f t="shared" si="20"/>
        <v>10052.8</v>
      </c>
    </row>
    <row r="805">
      <c r="A805" s="7" t="s">
        <v>4167</v>
      </c>
      <c r="B805" s="100" t="s">
        <v>4241</v>
      </c>
      <c r="C805" s="62" t="s">
        <v>4242</v>
      </c>
      <c r="D805" s="7" t="s">
        <v>21</v>
      </c>
      <c r="E805" s="58" t="s">
        <v>4243</v>
      </c>
      <c r="F805" s="58" t="s">
        <v>4239</v>
      </c>
      <c r="G805" s="7">
        <v>9.998148505E9</v>
      </c>
      <c r="H805" s="7">
        <v>9.725481505E9</v>
      </c>
      <c r="I805" s="62">
        <v>28000.0</v>
      </c>
      <c r="J805" s="62" t="s">
        <v>4240</v>
      </c>
      <c r="K805" s="7" t="s">
        <v>65</v>
      </c>
      <c r="L805" s="214" t="s">
        <v>26</v>
      </c>
      <c r="M805" s="7" t="s">
        <v>4221</v>
      </c>
      <c r="N805" s="7" t="s">
        <v>28</v>
      </c>
      <c r="O805" s="20">
        <v>44381.0</v>
      </c>
      <c r="P805" s="7">
        <v>49733.0</v>
      </c>
      <c r="Q805" s="5">
        <v>51.0</v>
      </c>
      <c r="R805" s="12">
        <f t="shared" si="20"/>
        <v>22634.31</v>
      </c>
    </row>
    <row r="806">
      <c r="A806" s="7" t="s">
        <v>4173</v>
      </c>
      <c r="B806" s="100" t="s">
        <v>4244</v>
      </c>
      <c r="C806" s="62" t="s">
        <v>4245</v>
      </c>
      <c r="D806" s="7" t="s">
        <v>1228</v>
      </c>
      <c r="E806" s="58" t="s">
        <v>4246</v>
      </c>
      <c r="F806" s="58" t="s">
        <v>4247</v>
      </c>
      <c r="G806" s="7">
        <v>9.974583812E9</v>
      </c>
      <c r="H806" s="7">
        <v>9.714542898E9</v>
      </c>
      <c r="I806" s="62">
        <v>1197.0</v>
      </c>
      <c r="J806" s="62" t="s">
        <v>4248</v>
      </c>
      <c r="K806" s="7" t="s">
        <v>65</v>
      </c>
      <c r="L806" s="214" t="s">
        <v>26</v>
      </c>
      <c r="M806" s="7" t="s">
        <v>4226</v>
      </c>
      <c r="N806" s="7" t="s">
        <v>28</v>
      </c>
      <c r="O806" s="11">
        <v>11852.0</v>
      </c>
      <c r="P806" s="11">
        <v>14044.0</v>
      </c>
      <c r="Q806" s="5">
        <v>30.0</v>
      </c>
      <c r="R806" s="12">
        <f t="shared" si="20"/>
        <v>3555.6</v>
      </c>
    </row>
    <row r="807">
      <c r="A807" s="7" t="s">
        <v>4173</v>
      </c>
      <c r="B807" s="100" t="s">
        <v>4249</v>
      </c>
      <c r="C807" s="62" t="s">
        <v>4223</v>
      </c>
      <c r="D807" s="7" t="s">
        <v>44</v>
      </c>
      <c r="E807" s="8" t="s">
        <v>4250</v>
      </c>
      <c r="F807" s="8" t="s">
        <v>4251</v>
      </c>
      <c r="G807" s="7">
        <v>9.512446526E9</v>
      </c>
      <c r="H807" s="7">
        <v>9.913793138E9</v>
      </c>
      <c r="I807" s="7">
        <v>6950.0</v>
      </c>
      <c r="J807" s="7" t="s">
        <v>4252</v>
      </c>
      <c r="K807" s="7" t="s">
        <v>41</v>
      </c>
      <c r="L807" s="214" t="s">
        <v>26</v>
      </c>
      <c r="M807" s="7" t="s">
        <v>4226</v>
      </c>
      <c r="N807" s="7" t="s">
        <v>28</v>
      </c>
      <c r="O807" s="7">
        <v>16149.0</v>
      </c>
      <c r="P807" s="7">
        <v>18093.0</v>
      </c>
      <c r="Q807" s="5">
        <v>52.0</v>
      </c>
      <c r="R807" s="12">
        <f t="shared" si="20"/>
        <v>8397.48</v>
      </c>
    </row>
    <row r="808">
      <c r="A808" s="14">
        <v>45664.0</v>
      </c>
      <c r="B808" s="93" t="s">
        <v>4253</v>
      </c>
      <c r="C808" s="62" t="s">
        <v>4254</v>
      </c>
      <c r="D808" s="7" t="s">
        <v>44</v>
      </c>
      <c r="E808" s="58" t="s">
        <v>4255</v>
      </c>
      <c r="F808" s="58" t="s">
        <v>4256</v>
      </c>
      <c r="G808" s="7">
        <v>9.31399965E9</v>
      </c>
      <c r="H808" s="7">
        <v>9.265608248E9</v>
      </c>
      <c r="I808" s="62">
        <v>3425.0</v>
      </c>
      <c r="J808" s="60">
        <v>46060.0</v>
      </c>
      <c r="K808" s="7" t="s">
        <v>78</v>
      </c>
      <c r="L808" s="214" t="s">
        <v>49</v>
      </c>
      <c r="M808" s="7" t="s">
        <v>4257</v>
      </c>
      <c r="N808" s="7" t="s">
        <v>28</v>
      </c>
      <c r="O808" s="15">
        <v>17188.0</v>
      </c>
      <c r="P808" s="11">
        <v>19319.0</v>
      </c>
      <c r="Q808" s="5">
        <v>53.0</v>
      </c>
      <c r="R808" s="12">
        <f t="shared" si="20"/>
        <v>9109.64</v>
      </c>
    </row>
    <row r="809">
      <c r="A809" s="14">
        <v>45664.0</v>
      </c>
      <c r="B809" s="93" t="s">
        <v>4258</v>
      </c>
      <c r="C809" s="62" t="s">
        <v>4259</v>
      </c>
      <c r="D809" s="20" t="s">
        <v>4260</v>
      </c>
      <c r="E809" s="58" t="s">
        <v>4261</v>
      </c>
      <c r="F809" s="58" t="s">
        <v>4262</v>
      </c>
      <c r="G809" s="7">
        <v>9.99839646E9</v>
      </c>
      <c r="H809" s="7">
        <v>9.998139163E9</v>
      </c>
      <c r="I809" s="62">
        <v>796.0</v>
      </c>
      <c r="J809" s="60">
        <v>46060.0</v>
      </c>
      <c r="K809" s="7" t="s">
        <v>668</v>
      </c>
      <c r="L809" s="214" t="s">
        <v>49</v>
      </c>
      <c r="M809" s="7" t="s">
        <v>4263</v>
      </c>
      <c r="N809" s="7" t="s">
        <v>28</v>
      </c>
      <c r="O809" s="80">
        <v>22876.0</v>
      </c>
      <c r="P809" s="11">
        <v>26994.0</v>
      </c>
      <c r="Q809" s="5">
        <v>70.0</v>
      </c>
      <c r="R809" s="12">
        <f t="shared" si="20"/>
        <v>16013.2</v>
      </c>
    </row>
    <row r="810">
      <c r="A810" s="14">
        <v>45754.0</v>
      </c>
      <c r="B810" s="93" t="s">
        <v>4264</v>
      </c>
      <c r="C810" s="62" t="s">
        <v>4265</v>
      </c>
      <c r="D810" s="7" t="s">
        <v>75</v>
      </c>
      <c r="E810" s="58" t="s">
        <v>4266</v>
      </c>
      <c r="F810" s="58" t="s">
        <v>4267</v>
      </c>
      <c r="G810" s="7">
        <v>9.72716177E9</v>
      </c>
      <c r="H810" s="7">
        <v>9.925908515E9</v>
      </c>
      <c r="I810" s="62">
        <v>990.0</v>
      </c>
      <c r="J810" s="60">
        <v>46029.0</v>
      </c>
      <c r="K810" s="7" t="s">
        <v>78</v>
      </c>
      <c r="L810" s="214" t="s">
        <v>26</v>
      </c>
      <c r="M810" s="7" t="s">
        <v>170</v>
      </c>
      <c r="N810" s="7" t="s">
        <v>28</v>
      </c>
      <c r="O810" s="7">
        <v>4542.0</v>
      </c>
      <c r="P810" s="7">
        <v>5090.0</v>
      </c>
      <c r="Q810" s="5">
        <v>50.0</v>
      </c>
      <c r="R810" s="12">
        <f t="shared" si="20"/>
        <v>2271</v>
      </c>
    </row>
    <row r="811">
      <c r="A811" s="14">
        <v>45754.0</v>
      </c>
      <c r="B811" s="93" t="s">
        <v>4268</v>
      </c>
      <c r="C811" s="62" t="s">
        <v>4269</v>
      </c>
      <c r="D811" s="7" t="s">
        <v>44</v>
      </c>
      <c r="E811" s="58" t="s">
        <v>4270</v>
      </c>
      <c r="F811" s="58" t="s">
        <v>4271</v>
      </c>
      <c r="G811" s="7">
        <v>9.723888809E9</v>
      </c>
      <c r="H811" s="7">
        <v>9.723463001E9</v>
      </c>
      <c r="I811" s="62">
        <v>1600.0</v>
      </c>
      <c r="J811" s="60">
        <v>46205.0</v>
      </c>
      <c r="K811" s="7" t="s">
        <v>4272</v>
      </c>
      <c r="L811" s="214" t="s">
        <v>49</v>
      </c>
      <c r="M811" s="7" t="s">
        <v>4273</v>
      </c>
      <c r="N811" s="7" t="s">
        <v>28</v>
      </c>
      <c r="O811" s="15">
        <v>17251.0</v>
      </c>
      <c r="P811" s="15">
        <v>19393.0</v>
      </c>
      <c r="Q811" s="5">
        <v>63.0</v>
      </c>
      <c r="R811" s="12">
        <f t="shared" si="20"/>
        <v>10868.13</v>
      </c>
    </row>
    <row r="812">
      <c r="A812" s="14">
        <v>45784.0</v>
      </c>
      <c r="B812" s="93" t="s">
        <v>4274</v>
      </c>
      <c r="C812" s="62" t="s">
        <v>4275</v>
      </c>
      <c r="D812" s="20" t="s">
        <v>1405</v>
      </c>
      <c r="E812" s="58" t="s">
        <v>4276</v>
      </c>
      <c r="F812" s="58" t="s">
        <v>4277</v>
      </c>
      <c r="G812" s="7">
        <v>9.974040924E9</v>
      </c>
      <c r="H812" s="7">
        <v>7.490028924E9</v>
      </c>
      <c r="I812" s="62">
        <v>990.0</v>
      </c>
      <c r="J812" s="60">
        <v>46149.0</v>
      </c>
      <c r="K812" s="7" t="s">
        <v>668</v>
      </c>
      <c r="L812" s="214" t="s">
        <v>49</v>
      </c>
      <c r="M812" s="7" t="s">
        <v>271</v>
      </c>
      <c r="N812" s="7" t="s">
        <v>28</v>
      </c>
      <c r="O812" s="7">
        <v>4786.0</v>
      </c>
      <c r="P812" s="7">
        <v>5380.0</v>
      </c>
      <c r="Q812" s="5">
        <v>50.0</v>
      </c>
      <c r="R812" s="12">
        <f t="shared" si="20"/>
        <v>2393</v>
      </c>
    </row>
    <row r="813">
      <c r="A813" s="21" t="s">
        <v>4278</v>
      </c>
      <c r="B813" s="8" t="s">
        <v>4279</v>
      </c>
      <c r="C813" s="58" t="s">
        <v>4280</v>
      </c>
      <c r="D813" s="8" t="s">
        <v>21</v>
      </c>
      <c r="E813" s="58" t="s">
        <v>4281</v>
      </c>
      <c r="F813" s="58" t="s">
        <v>3444</v>
      </c>
      <c r="G813" s="7">
        <v>7.016395724E9</v>
      </c>
      <c r="H813" s="7">
        <v>9.510779527E9</v>
      </c>
      <c r="I813" s="21">
        <v>35000.0</v>
      </c>
      <c r="J813" s="8" t="s">
        <v>4282</v>
      </c>
      <c r="K813" s="8" t="s">
        <v>78</v>
      </c>
      <c r="L813" s="197" t="s">
        <v>49</v>
      </c>
      <c r="M813" s="8" t="s">
        <v>33</v>
      </c>
      <c r="N813" s="8" t="s">
        <v>3897</v>
      </c>
      <c r="O813" s="90">
        <v>48288.81</v>
      </c>
      <c r="P813" s="90">
        <v>54344.0</v>
      </c>
      <c r="Q813" s="6">
        <v>28.0</v>
      </c>
      <c r="R813" s="12">
        <f t="shared" si="20"/>
        <v>13520.8668</v>
      </c>
    </row>
    <row r="814">
      <c r="A814" s="21" t="s">
        <v>4278</v>
      </c>
      <c r="B814" s="8" t="s">
        <v>4283</v>
      </c>
      <c r="C814" s="8" t="s">
        <v>4284</v>
      </c>
      <c r="D814" s="8" t="s">
        <v>21</v>
      </c>
      <c r="E814" s="58" t="s">
        <v>4285</v>
      </c>
      <c r="F814" s="58" t="s">
        <v>3091</v>
      </c>
      <c r="G814" s="7" t="s">
        <v>4286</v>
      </c>
      <c r="H814" s="8"/>
      <c r="I814" s="21">
        <v>18500.0</v>
      </c>
      <c r="J814" s="8" t="s">
        <v>4152</v>
      </c>
      <c r="K814" s="8" t="s">
        <v>78</v>
      </c>
      <c r="L814" s="197" t="s">
        <v>49</v>
      </c>
      <c r="M814" s="8" t="s">
        <v>71</v>
      </c>
      <c r="N814" s="8" t="s">
        <v>3897</v>
      </c>
      <c r="O814" s="90">
        <v>37243.66</v>
      </c>
      <c r="P814" s="90">
        <v>41829.0</v>
      </c>
      <c r="Q814" s="6">
        <v>28.0</v>
      </c>
      <c r="R814" s="12">
        <f t="shared" si="20"/>
        <v>10428.2248</v>
      </c>
    </row>
    <row r="815">
      <c r="A815" s="21" t="s">
        <v>4278</v>
      </c>
      <c r="B815" s="8" t="s">
        <v>4287</v>
      </c>
      <c r="C815" s="8" t="s">
        <v>4288</v>
      </c>
      <c r="D815" s="8" t="s">
        <v>21</v>
      </c>
      <c r="E815" s="58" t="s">
        <v>4285</v>
      </c>
      <c r="F815" s="58" t="s">
        <v>4289</v>
      </c>
      <c r="G815" s="7" t="s">
        <v>4290</v>
      </c>
      <c r="H815" s="8"/>
      <c r="I815" s="21">
        <v>18500.0</v>
      </c>
      <c r="J815" s="8" t="s">
        <v>4152</v>
      </c>
      <c r="K815" s="8" t="s">
        <v>78</v>
      </c>
      <c r="L815" s="197" t="s">
        <v>49</v>
      </c>
      <c r="M815" s="8" t="s">
        <v>71</v>
      </c>
      <c r="N815" s="8" t="s">
        <v>28</v>
      </c>
      <c r="O815" s="90">
        <v>36735.21</v>
      </c>
      <c r="P815" s="90">
        <v>41229.0</v>
      </c>
      <c r="Q815" s="6">
        <v>28.0</v>
      </c>
      <c r="R815" s="12">
        <f t="shared" si="20"/>
        <v>10285.8588</v>
      </c>
    </row>
    <row r="816">
      <c r="A816" s="22">
        <v>45664.0</v>
      </c>
      <c r="B816" s="8" t="s">
        <v>4291</v>
      </c>
      <c r="C816" s="8" t="s">
        <v>4292</v>
      </c>
      <c r="D816" s="8" t="s">
        <v>21</v>
      </c>
      <c r="E816" s="58" t="s">
        <v>4293</v>
      </c>
      <c r="F816" s="58" t="s">
        <v>4294</v>
      </c>
      <c r="G816" s="7">
        <v>9.723042872E9</v>
      </c>
      <c r="H816" s="7">
        <v>8.128963192E9</v>
      </c>
      <c r="I816" s="21">
        <v>35000.0</v>
      </c>
      <c r="J816" s="223">
        <v>46029.0</v>
      </c>
      <c r="K816" s="8" t="s">
        <v>65</v>
      </c>
      <c r="L816" s="197" t="s">
        <v>26</v>
      </c>
      <c r="M816" s="8" t="s">
        <v>33</v>
      </c>
      <c r="N816" s="8" t="s">
        <v>3897</v>
      </c>
      <c r="O816" s="88">
        <v>44050.0</v>
      </c>
      <c r="P816" s="88">
        <v>49342.0</v>
      </c>
      <c r="Q816" s="6">
        <v>48.0</v>
      </c>
      <c r="R816" s="12">
        <f t="shared" si="20"/>
        <v>21144</v>
      </c>
    </row>
    <row r="817">
      <c r="A817" s="22">
        <v>45664.0</v>
      </c>
      <c r="B817" s="8" t="s">
        <v>4295</v>
      </c>
      <c r="C817" s="8" t="s">
        <v>4296</v>
      </c>
      <c r="D817" s="8" t="s">
        <v>1395</v>
      </c>
      <c r="E817" s="58" t="s">
        <v>4297</v>
      </c>
      <c r="F817" s="58" t="s">
        <v>4298</v>
      </c>
      <c r="G817" s="7">
        <v>9.624857457E9</v>
      </c>
      <c r="H817" s="8"/>
      <c r="I817" s="88">
        <v>2750.0</v>
      </c>
      <c r="J817" s="58" t="s">
        <v>4178</v>
      </c>
      <c r="K817" s="8" t="s">
        <v>25</v>
      </c>
      <c r="L817" s="197" t="s">
        <v>49</v>
      </c>
      <c r="M817" s="8" t="s">
        <v>1456</v>
      </c>
      <c r="N817" s="8" t="s">
        <v>28</v>
      </c>
      <c r="O817" s="90">
        <v>18458.0</v>
      </c>
      <c r="P817" s="90">
        <v>20818.0</v>
      </c>
      <c r="Q817" s="6">
        <v>53.0</v>
      </c>
      <c r="R817" s="12">
        <f t="shared" si="20"/>
        <v>9782.74</v>
      </c>
    </row>
    <row r="818">
      <c r="A818" s="22">
        <v>45664.0</v>
      </c>
      <c r="B818" s="8" t="s">
        <v>4299</v>
      </c>
      <c r="C818" s="8" t="s">
        <v>4300</v>
      </c>
      <c r="D818" s="8" t="s">
        <v>1395</v>
      </c>
      <c r="E818" s="58" t="s">
        <v>4301</v>
      </c>
      <c r="F818" s="58" t="s">
        <v>4302</v>
      </c>
      <c r="G818" s="7">
        <v>9.265340866E9</v>
      </c>
      <c r="H818" s="8"/>
      <c r="I818" s="88">
        <v>1495.0</v>
      </c>
      <c r="J818" s="58" t="s">
        <v>4178</v>
      </c>
      <c r="K818" s="8" t="s">
        <v>4070</v>
      </c>
      <c r="L818" s="197" t="s">
        <v>49</v>
      </c>
      <c r="M818" s="8" t="s">
        <v>3977</v>
      </c>
      <c r="N818" s="8" t="s">
        <v>3897</v>
      </c>
      <c r="O818" s="90">
        <v>17418.0</v>
      </c>
      <c r="P818" s="90">
        <v>19590.0</v>
      </c>
      <c r="Q818" s="6">
        <v>63.0</v>
      </c>
      <c r="R818" s="12">
        <f t="shared" si="20"/>
        <v>10973.34</v>
      </c>
    </row>
    <row r="819">
      <c r="A819" s="22">
        <v>45664.0</v>
      </c>
      <c r="B819" s="8" t="s">
        <v>4303</v>
      </c>
      <c r="C819" s="8" t="s">
        <v>4304</v>
      </c>
      <c r="D819" s="8" t="s">
        <v>21</v>
      </c>
      <c r="E819" s="58" t="s">
        <v>4305</v>
      </c>
      <c r="F819" s="58" t="s">
        <v>4306</v>
      </c>
      <c r="G819" s="7">
        <v>9.913049575E9</v>
      </c>
      <c r="H819" s="8"/>
      <c r="I819" s="88">
        <v>35000.0</v>
      </c>
      <c r="J819" s="58" t="s">
        <v>4178</v>
      </c>
      <c r="K819" s="8" t="s">
        <v>78</v>
      </c>
      <c r="L819" s="197" t="s">
        <v>49</v>
      </c>
      <c r="M819" s="8" t="s">
        <v>71</v>
      </c>
      <c r="N819" s="8" t="s">
        <v>3897</v>
      </c>
      <c r="O819" s="90">
        <v>46773.6</v>
      </c>
      <c r="P819" s="90">
        <v>52556.0</v>
      </c>
      <c r="Q819" s="6">
        <v>28.0</v>
      </c>
      <c r="R819" s="12">
        <f t="shared" si="20"/>
        <v>13096.608</v>
      </c>
    </row>
    <row r="820">
      <c r="A820" s="22">
        <v>45664.0</v>
      </c>
      <c r="B820" s="8" t="s">
        <v>4307</v>
      </c>
      <c r="C820" s="8" t="s">
        <v>4308</v>
      </c>
      <c r="D820" s="8" t="s">
        <v>4309</v>
      </c>
      <c r="E820" s="58" t="s">
        <v>4310</v>
      </c>
      <c r="F820" s="58" t="s">
        <v>4311</v>
      </c>
      <c r="G820" s="7">
        <v>9.638890291E9</v>
      </c>
      <c r="H820" s="7">
        <v>7.990752501E9</v>
      </c>
      <c r="I820" s="88">
        <v>1600.0</v>
      </c>
      <c r="J820" s="82">
        <v>46241.0</v>
      </c>
      <c r="K820" s="8" t="s">
        <v>78</v>
      </c>
      <c r="L820" s="197" t="s">
        <v>49</v>
      </c>
      <c r="M820" s="8" t="s">
        <v>1456</v>
      </c>
      <c r="N820" s="8" t="s">
        <v>3897</v>
      </c>
      <c r="O820" s="90">
        <v>17534.39</v>
      </c>
      <c r="P820" s="90">
        <v>19728.0</v>
      </c>
      <c r="Q820" s="6">
        <v>60.0</v>
      </c>
      <c r="R820" s="12">
        <f t="shared" si="20"/>
        <v>10520.634</v>
      </c>
    </row>
    <row r="821">
      <c r="A821" s="22">
        <v>45664.0</v>
      </c>
      <c r="B821" s="8" t="s">
        <v>4312</v>
      </c>
      <c r="C821" s="8" t="s">
        <v>4313</v>
      </c>
      <c r="D821" s="8" t="s">
        <v>3955</v>
      </c>
      <c r="E821" s="58" t="s">
        <v>4314</v>
      </c>
      <c r="F821" s="58" t="s">
        <v>4315</v>
      </c>
      <c r="G821" s="7">
        <v>9.979605726E9</v>
      </c>
      <c r="H821" s="7">
        <v>7.041522258E9</v>
      </c>
      <c r="I821" s="88">
        <v>995.0</v>
      </c>
      <c r="J821" s="82">
        <v>46088.0</v>
      </c>
      <c r="K821" s="8" t="s">
        <v>78</v>
      </c>
      <c r="L821" s="197" t="s">
        <v>49</v>
      </c>
      <c r="M821" s="8" t="s">
        <v>185</v>
      </c>
      <c r="N821" s="8" t="s">
        <v>3897</v>
      </c>
      <c r="O821" s="90">
        <v>4804.65</v>
      </c>
      <c r="P821" s="90">
        <v>5400.0</v>
      </c>
      <c r="Q821" s="6">
        <v>50.0</v>
      </c>
      <c r="R821" s="12">
        <f t="shared" si="20"/>
        <v>2402.325</v>
      </c>
    </row>
    <row r="822">
      <c r="A822" s="22">
        <v>45664.0</v>
      </c>
      <c r="B822" s="8" t="s">
        <v>4316</v>
      </c>
      <c r="C822" s="8" t="s">
        <v>4317</v>
      </c>
      <c r="D822" s="8" t="s">
        <v>1228</v>
      </c>
      <c r="E822" s="58" t="s">
        <v>4318</v>
      </c>
      <c r="F822" s="58" t="s">
        <v>4319</v>
      </c>
      <c r="G822" s="7">
        <v>9.664516929E9</v>
      </c>
      <c r="H822" s="8"/>
      <c r="I822" s="8"/>
      <c r="J822" s="82">
        <v>46088.0</v>
      </c>
      <c r="K822" s="8" t="s">
        <v>65</v>
      </c>
      <c r="L822" s="197" t="s">
        <v>49</v>
      </c>
      <c r="M822" s="8" t="s">
        <v>71</v>
      </c>
      <c r="N822" s="8" t="s">
        <v>3897</v>
      </c>
      <c r="O822" s="90">
        <v>39440.0</v>
      </c>
      <c r="P822" s="90">
        <v>46540.0</v>
      </c>
      <c r="Q822" s="6">
        <v>52.0</v>
      </c>
      <c r="R822" s="12">
        <f t="shared" si="20"/>
        <v>20508.8</v>
      </c>
    </row>
    <row r="823">
      <c r="A823" s="14">
        <v>45695.0</v>
      </c>
      <c r="B823" s="8" t="s">
        <v>4320</v>
      </c>
      <c r="C823" s="8" t="s">
        <v>4321</v>
      </c>
      <c r="D823" s="8" t="s">
        <v>1395</v>
      </c>
      <c r="E823" s="8" t="s">
        <v>481</v>
      </c>
      <c r="F823" s="8" t="s">
        <v>4322</v>
      </c>
      <c r="G823" s="21">
        <v>8.758777865E9</v>
      </c>
      <c r="H823" s="8"/>
      <c r="I823" s="21">
        <v>3490.0</v>
      </c>
      <c r="J823" s="22">
        <v>46029.0</v>
      </c>
      <c r="K823" s="8" t="s">
        <v>668</v>
      </c>
      <c r="L823" s="224" t="s">
        <v>49</v>
      </c>
      <c r="M823" s="8" t="s">
        <v>71</v>
      </c>
      <c r="N823" s="8" t="s">
        <v>28</v>
      </c>
      <c r="O823" s="21">
        <v>24290.0</v>
      </c>
      <c r="P823" s="21">
        <v>27700.0</v>
      </c>
      <c r="Q823" s="6">
        <v>51.0</v>
      </c>
      <c r="R823" s="12">
        <f t="shared" si="20"/>
        <v>12387.9</v>
      </c>
    </row>
    <row r="824">
      <c r="A824" s="14">
        <v>45695.0</v>
      </c>
      <c r="B824" s="8" t="s">
        <v>4323</v>
      </c>
      <c r="C824" s="8" t="s">
        <v>4324</v>
      </c>
      <c r="D824" s="8" t="s">
        <v>21</v>
      </c>
      <c r="E824" s="8" t="s">
        <v>4325</v>
      </c>
      <c r="F824" s="8" t="s">
        <v>4326</v>
      </c>
      <c r="G824" s="21">
        <v>9.82502478E9</v>
      </c>
      <c r="H824" s="8"/>
      <c r="I824" s="21">
        <v>12500.0</v>
      </c>
      <c r="J824" s="21" t="s">
        <v>4178</v>
      </c>
      <c r="K824" s="8" t="s">
        <v>78</v>
      </c>
      <c r="L824" s="224" t="s">
        <v>49</v>
      </c>
      <c r="M824" s="8" t="s">
        <v>33</v>
      </c>
      <c r="N824" s="8" t="s">
        <v>28</v>
      </c>
      <c r="O824" s="97">
        <v>36887.19</v>
      </c>
      <c r="P824" s="97">
        <v>41408.0</v>
      </c>
      <c r="Q824" s="6">
        <v>28.0</v>
      </c>
      <c r="R824" s="12">
        <f t="shared" si="20"/>
        <v>10328.4132</v>
      </c>
    </row>
    <row r="825">
      <c r="A825" s="14">
        <v>45695.0</v>
      </c>
      <c r="B825" s="8" t="s">
        <v>4327</v>
      </c>
      <c r="C825" s="8" t="s">
        <v>4328</v>
      </c>
      <c r="D825" s="8" t="s">
        <v>21</v>
      </c>
      <c r="E825" s="8" t="s">
        <v>4329</v>
      </c>
      <c r="F825" s="8" t="s">
        <v>4330</v>
      </c>
      <c r="G825" s="21">
        <v>9.824407837E9</v>
      </c>
      <c r="H825" s="8"/>
      <c r="I825" s="96">
        <v>28000.0</v>
      </c>
      <c r="J825" s="22">
        <v>46060.0</v>
      </c>
      <c r="K825" s="8" t="s">
        <v>297</v>
      </c>
      <c r="L825" s="224" t="s">
        <v>26</v>
      </c>
      <c r="M825" s="8" t="s">
        <v>27</v>
      </c>
      <c r="N825" s="8" t="s">
        <v>28</v>
      </c>
      <c r="O825" s="97">
        <v>44050.0</v>
      </c>
      <c r="P825" s="97">
        <v>49342.0</v>
      </c>
      <c r="Q825" s="6">
        <v>51.0</v>
      </c>
      <c r="R825" s="12">
        <f t="shared" si="20"/>
        <v>22465.5</v>
      </c>
    </row>
    <row r="826">
      <c r="A826" s="14">
        <v>45723.0</v>
      </c>
      <c r="B826" s="8" t="s">
        <v>4331</v>
      </c>
      <c r="C826" s="8" t="s">
        <v>4332</v>
      </c>
      <c r="D826" s="8" t="s">
        <v>21</v>
      </c>
      <c r="E826" s="8" t="s">
        <v>649</v>
      </c>
      <c r="F826" s="8" t="s">
        <v>4333</v>
      </c>
      <c r="G826" s="21">
        <v>9.638778222E9</v>
      </c>
      <c r="H826" s="8"/>
      <c r="I826" s="21">
        <v>35000.0</v>
      </c>
      <c r="J826" s="22">
        <v>46060.0</v>
      </c>
      <c r="K826" s="8" t="s">
        <v>78</v>
      </c>
      <c r="L826" s="224" t="s">
        <v>49</v>
      </c>
      <c r="M826" s="8" t="s">
        <v>71</v>
      </c>
      <c r="N826" s="8" t="s">
        <v>28</v>
      </c>
      <c r="O826" s="97">
        <v>47617.46</v>
      </c>
      <c r="P826" s="97">
        <v>53552.0</v>
      </c>
      <c r="Q826" s="6">
        <v>28.0</v>
      </c>
      <c r="R826" s="12">
        <f t="shared" si="20"/>
        <v>13332.8888</v>
      </c>
    </row>
    <row r="827">
      <c r="A827" s="14">
        <v>45723.0</v>
      </c>
      <c r="B827" s="8" t="s">
        <v>4334</v>
      </c>
      <c r="C827" s="8" t="s">
        <v>4335</v>
      </c>
      <c r="D827" s="8" t="s">
        <v>4336</v>
      </c>
      <c r="E827" s="8" t="s">
        <v>4337</v>
      </c>
      <c r="F827" s="8" t="s">
        <v>4338</v>
      </c>
      <c r="G827" s="21">
        <v>9.978553553E9</v>
      </c>
      <c r="H827" s="8"/>
      <c r="I827" s="21">
        <v>2956.0</v>
      </c>
      <c r="J827" s="22">
        <v>46060.0</v>
      </c>
      <c r="K827" s="8" t="s">
        <v>4339</v>
      </c>
      <c r="L827" s="224" t="s">
        <v>49</v>
      </c>
      <c r="M827" s="8" t="s">
        <v>71</v>
      </c>
      <c r="N827" s="8" t="s">
        <v>28</v>
      </c>
      <c r="O827" s="97">
        <v>54356.0</v>
      </c>
      <c r="P827" s="97">
        <v>64140.0</v>
      </c>
      <c r="Q827" s="6">
        <v>74.0</v>
      </c>
      <c r="R827" s="12">
        <f t="shared" si="20"/>
        <v>40223.44</v>
      </c>
    </row>
    <row r="828">
      <c r="A828" s="14">
        <v>45754.0</v>
      </c>
      <c r="B828" s="8" t="s">
        <v>4340</v>
      </c>
      <c r="C828" s="8" t="s">
        <v>4341</v>
      </c>
      <c r="D828" s="8" t="s">
        <v>21</v>
      </c>
      <c r="E828" s="8" t="s">
        <v>748</v>
      </c>
      <c r="F828" s="58" t="s">
        <v>4342</v>
      </c>
      <c r="G828" s="8"/>
      <c r="H828" s="8"/>
      <c r="I828" s="88">
        <v>28000.0</v>
      </c>
      <c r="J828" s="94">
        <v>46119.0</v>
      </c>
      <c r="K828" s="8" t="s">
        <v>65</v>
      </c>
      <c r="L828" s="224" t="s">
        <v>26</v>
      </c>
      <c r="M828" s="8" t="s">
        <v>27</v>
      </c>
      <c r="N828" s="8" t="s">
        <v>28</v>
      </c>
      <c r="O828" s="88">
        <v>44050.0</v>
      </c>
      <c r="P828" s="88">
        <v>49342.0</v>
      </c>
      <c r="Q828" s="6">
        <v>51.0</v>
      </c>
      <c r="R828" s="12">
        <f t="shared" si="20"/>
        <v>22465.5</v>
      </c>
    </row>
    <row r="829">
      <c r="A829" s="14">
        <v>45754.0</v>
      </c>
      <c r="B829" s="8" t="s">
        <v>4343</v>
      </c>
      <c r="C829" s="8" t="s">
        <v>4344</v>
      </c>
      <c r="D829" s="8" t="s">
        <v>1395</v>
      </c>
      <c r="E829" s="8" t="s">
        <v>4345</v>
      </c>
      <c r="F829" s="58" t="s">
        <v>4346</v>
      </c>
      <c r="G829" s="21" t="s">
        <v>4347</v>
      </c>
      <c r="H829" s="8" t="s">
        <v>4348</v>
      </c>
      <c r="I829" s="88">
        <v>3490.0</v>
      </c>
      <c r="J829" s="91">
        <v>46060.0</v>
      </c>
      <c r="K829" s="8" t="s">
        <v>78</v>
      </c>
      <c r="L829" s="224" t="s">
        <v>49</v>
      </c>
      <c r="M829" s="8" t="s">
        <v>365</v>
      </c>
      <c r="N829" s="8" t="s">
        <v>28</v>
      </c>
      <c r="O829" s="90">
        <v>18633.57</v>
      </c>
      <c r="P829" s="90">
        <v>21025.0</v>
      </c>
      <c r="Q829" s="6">
        <v>53.0</v>
      </c>
      <c r="R829" s="12">
        <f t="shared" si="20"/>
        <v>9875.7921</v>
      </c>
    </row>
    <row r="830">
      <c r="A830" s="14">
        <v>45754.0</v>
      </c>
      <c r="B830" s="8" t="s">
        <v>4349</v>
      </c>
      <c r="C830" s="8" t="s">
        <v>4350</v>
      </c>
      <c r="D830" s="8" t="s">
        <v>1395</v>
      </c>
      <c r="E830" s="8" t="s">
        <v>4310</v>
      </c>
      <c r="F830" s="58" t="s">
        <v>4351</v>
      </c>
      <c r="G830" s="21">
        <v>9.316413591E9</v>
      </c>
      <c r="H830" s="8"/>
      <c r="I830" s="21">
        <v>1600.0</v>
      </c>
      <c r="J830" s="91">
        <v>46119.0</v>
      </c>
      <c r="K830" s="8" t="s">
        <v>78</v>
      </c>
      <c r="L830" s="224" t="s">
        <v>49</v>
      </c>
      <c r="M830" s="8" t="s">
        <v>1456</v>
      </c>
      <c r="N830" s="8" t="s">
        <v>28</v>
      </c>
      <c r="O830" s="90">
        <v>18201.32</v>
      </c>
      <c r="P830" s="90">
        <v>20515.0</v>
      </c>
      <c r="Q830" s="6">
        <v>60.0</v>
      </c>
      <c r="R830" s="12">
        <f t="shared" si="20"/>
        <v>10920.792</v>
      </c>
    </row>
    <row r="831">
      <c r="A831" s="14">
        <v>45784.0</v>
      </c>
      <c r="B831" s="8" t="s">
        <v>4352</v>
      </c>
      <c r="C831" s="8" t="s">
        <v>4353</v>
      </c>
      <c r="D831" s="8" t="s">
        <v>1395</v>
      </c>
      <c r="E831" s="8" t="s">
        <v>4354</v>
      </c>
      <c r="F831" s="58" t="s">
        <v>4355</v>
      </c>
      <c r="G831" s="21">
        <v>9.624857457E9</v>
      </c>
      <c r="H831" s="8"/>
      <c r="I831" s="88">
        <v>2825.0</v>
      </c>
      <c r="J831" s="94">
        <v>46088.0</v>
      </c>
      <c r="K831" s="8" t="s">
        <v>25</v>
      </c>
      <c r="L831" s="224" t="s">
        <v>49</v>
      </c>
      <c r="M831" s="8" t="s">
        <v>1456</v>
      </c>
      <c r="N831" s="8" t="s">
        <v>28</v>
      </c>
      <c r="O831" s="90">
        <v>18515.0</v>
      </c>
      <c r="P831" s="90">
        <v>20885.0</v>
      </c>
      <c r="Q831" s="6">
        <v>53.0</v>
      </c>
      <c r="R831" s="12">
        <f t="shared" si="20"/>
        <v>9812.95</v>
      </c>
    </row>
    <row r="832">
      <c r="A832" s="14">
        <v>45784.0</v>
      </c>
      <c r="B832" s="8" t="s">
        <v>4356</v>
      </c>
      <c r="C832" s="8" t="s">
        <v>4357</v>
      </c>
      <c r="D832" s="8" t="s">
        <v>1395</v>
      </c>
      <c r="E832" s="8" t="s">
        <v>4297</v>
      </c>
      <c r="F832" s="58" t="s">
        <v>4358</v>
      </c>
      <c r="G832" s="21" t="s">
        <v>4359</v>
      </c>
      <c r="H832" s="8"/>
      <c r="I832" s="88">
        <v>2750.0</v>
      </c>
      <c r="J832" s="91">
        <v>46119.0</v>
      </c>
      <c r="K832" s="8" t="s">
        <v>25</v>
      </c>
      <c r="L832" s="224" t="s">
        <v>49</v>
      </c>
      <c r="M832" s="8" t="s">
        <v>71</v>
      </c>
      <c r="N832" s="8" t="s">
        <v>28</v>
      </c>
      <c r="O832" s="90">
        <v>20306.0</v>
      </c>
      <c r="P832" s="90">
        <v>22998.0</v>
      </c>
      <c r="Q832" s="6">
        <v>53.0</v>
      </c>
      <c r="R832" s="12">
        <f t="shared" si="20"/>
        <v>10762.18</v>
      </c>
    </row>
    <row r="833">
      <c r="A833" s="14">
        <v>45784.0</v>
      </c>
      <c r="B833" s="8" t="s">
        <v>4360</v>
      </c>
      <c r="C833" s="8" t="s">
        <v>4361</v>
      </c>
      <c r="D833" s="8" t="s">
        <v>1395</v>
      </c>
      <c r="E833" s="8" t="s">
        <v>811</v>
      </c>
      <c r="F833" s="58" t="s">
        <v>4362</v>
      </c>
      <c r="G833" s="21">
        <v>9.687774169E9</v>
      </c>
      <c r="H833" s="21">
        <v>6.353291862E9</v>
      </c>
      <c r="I833" s="88">
        <v>2450.0</v>
      </c>
      <c r="J833" s="91">
        <v>46149.0</v>
      </c>
      <c r="K833" s="8" t="s">
        <v>143</v>
      </c>
      <c r="L833" s="224" t="s">
        <v>49</v>
      </c>
      <c r="M833" s="8" t="s">
        <v>185</v>
      </c>
      <c r="N833" s="8" t="s">
        <v>28</v>
      </c>
      <c r="O833" s="90">
        <v>17392.0</v>
      </c>
      <c r="P833" s="90">
        <v>19560.0</v>
      </c>
      <c r="Q833" s="6">
        <v>61.0</v>
      </c>
      <c r="R833" s="12">
        <f t="shared" si="20"/>
        <v>10609.12</v>
      </c>
    </row>
    <row r="834">
      <c r="A834" s="14">
        <v>45784.0</v>
      </c>
      <c r="B834" s="8" t="s">
        <v>4363</v>
      </c>
      <c r="C834" s="8" t="s">
        <v>4364</v>
      </c>
      <c r="D834" s="8" t="s">
        <v>21</v>
      </c>
      <c r="E834" s="8" t="s">
        <v>4365</v>
      </c>
      <c r="F834" s="58" t="s">
        <v>1958</v>
      </c>
      <c r="G834" s="21">
        <v>9.979078037E9</v>
      </c>
      <c r="H834" s="21">
        <v>9.825978037E9</v>
      </c>
      <c r="I834" s="88">
        <v>35000.0</v>
      </c>
      <c r="J834" s="91">
        <v>46119.0</v>
      </c>
      <c r="K834" s="8" t="s">
        <v>353</v>
      </c>
      <c r="L834" s="224" t="s">
        <v>49</v>
      </c>
      <c r="M834" s="8" t="s">
        <v>27</v>
      </c>
      <c r="N834" s="8" t="s">
        <v>28</v>
      </c>
      <c r="O834" s="90">
        <v>48124.0</v>
      </c>
      <c r="P834" s="90">
        <v>54149.0</v>
      </c>
      <c r="Q834" s="6">
        <v>28.0</v>
      </c>
      <c r="R834" s="12">
        <f t="shared" si="20"/>
        <v>13474.72</v>
      </c>
    </row>
    <row r="835">
      <c r="A835" s="14">
        <v>45815.0</v>
      </c>
      <c r="B835" s="8" t="s">
        <v>2134</v>
      </c>
      <c r="C835" s="8" t="s">
        <v>4366</v>
      </c>
      <c r="D835" s="8" t="s">
        <v>21</v>
      </c>
      <c r="E835" s="8" t="s">
        <v>2408</v>
      </c>
      <c r="F835" s="58" t="s">
        <v>4367</v>
      </c>
      <c r="G835" s="21" t="s">
        <v>3400</v>
      </c>
      <c r="H835" s="8"/>
      <c r="I835" s="88">
        <v>5700.0</v>
      </c>
      <c r="J835" s="91">
        <v>46149.0</v>
      </c>
      <c r="K835" s="8" t="s">
        <v>25</v>
      </c>
      <c r="L835" s="224" t="s">
        <v>49</v>
      </c>
      <c r="M835" s="8" t="s">
        <v>27</v>
      </c>
      <c r="N835" s="8" t="s">
        <v>28</v>
      </c>
      <c r="O835" s="90">
        <v>20165.0</v>
      </c>
      <c r="P835" s="90">
        <v>22832.0</v>
      </c>
      <c r="Q835" s="6">
        <v>40.0</v>
      </c>
      <c r="R835" s="12">
        <f t="shared" si="20"/>
        <v>8066</v>
      </c>
    </row>
    <row r="836">
      <c r="A836" s="14">
        <v>45876.0</v>
      </c>
      <c r="B836" s="8" t="s">
        <v>4368</v>
      </c>
      <c r="C836" s="8" t="s">
        <v>4369</v>
      </c>
      <c r="D836" s="8" t="s">
        <v>1395</v>
      </c>
      <c r="E836" s="8" t="s">
        <v>888</v>
      </c>
      <c r="F836" s="58" t="s">
        <v>4370</v>
      </c>
      <c r="G836" s="21" t="s">
        <v>4371</v>
      </c>
      <c r="H836" s="21">
        <v>9.773452337E9</v>
      </c>
      <c r="I836" s="88">
        <v>3490.0</v>
      </c>
      <c r="J836" s="91">
        <v>46363.0</v>
      </c>
      <c r="K836" s="8" t="s">
        <v>25</v>
      </c>
      <c r="L836" s="224" t="s">
        <v>49</v>
      </c>
      <c r="M836" s="8" t="s">
        <v>340</v>
      </c>
      <c r="N836" s="8" t="s">
        <v>28</v>
      </c>
      <c r="O836" s="90">
        <v>23807.0</v>
      </c>
      <c r="P836" s="90">
        <v>27129.0</v>
      </c>
      <c r="Q836" s="6">
        <v>53.0</v>
      </c>
      <c r="R836" s="12">
        <f t="shared" si="20"/>
        <v>12617.71</v>
      </c>
    </row>
    <row r="837">
      <c r="A837" s="14">
        <v>45876.0</v>
      </c>
      <c r="B837" s="8" t="s">
        <v>4372</v>
      </c>
      <c r="C837" s="8" t="s">
        <v>4373</v>
      </c>
      <c r="D837" s="8" t="s">
        <v>1405</v>
      </c>
      <c r="E837" s="8" t="s">
        <v>119</v>
      </c>
      <c r="F837" s="58" t="s">
        <v>4374</v>
      </c>
      <c r="G837" s="21">
        <v>6.353487387E9</v>
      </c>
      <c r="H837" s="21">
        <v>9.714799875E9</v>
      </c>
      <c r="I837" s="88">
        <v>995.0</v>
      </c>
      <c r="J837" s="91">
        <v>46210.0</v>
      </c>
      <c r="K837" s="8" t="s">
        <v>78</v>
      </c>
      <c r="L837" s="224" t="s">
        <v>49</v>
      </c>
      <c r="M837" s="8" t="s">
        <v>4172</v>
      </c>
      <c r="N837" s="8" t="s">
        <v>28</v>
      </c>
      <c r="O837" s="90">
        <v>5299.07</v>
      </c>
      <c r="P837" s="90">
        <v>5983.0</v>
      </c>
      <c r="Q837" s="6">
        <v>50.0</v>
      </c>
      <c r="R837" s="12">
        <f t="shared" si="20"/>
        <v>2649.535</v>
      </c>
    </row>
    <row r="838">
      <c r="A838" s="14">
        <v>45876.0</v>
      </c>
      <c r="B838" s="8" t="s">
        <v>4375</v>
      </c>
      <c r="C838" s="8" t="s">
        <v>4376</v>
      </c>
      <c r="D838" s="8" t="s">
        <v>1395</v>
      </c>
      <c r="E838" s="8" t="s">
        <v>4377</v>
      </c>
      <c r="F838" s="58" t="s">
        <v>4378</v>
      </c>
      <c r="G838" s="21">
        <v>9.558853029E9</v>
      </c>
      <c r="H838" s="21">
        <v>9.978059596E9</v>
      </c>
      <c r="I838" s="88">
        <v>3460.0</v>
      </c>
      <c r="J838" s="91">
        <v>46210.0</v>
      </c>
      <c r="K838" s="8" t="s">
        <v>78</v>
      </c>
      <c r="L838" s="224" t="s">
        <v>49</v>
      </c>
      <c r="M838" s="8" t="s">
        <v>111</v>
      </c>
      <c r="N838" s="8" t="s">
        <v>28</v>
      </c>
      <c r="O838" s="90">
        <v>19491.05</v>
      </c>
      <c r="P838" s="90">
        <v>22036.0</v>
      </c>
      <c r="Q838" s="6">
        <v>53.0</v>
      </c>
      <c r="R838" s="12">
        <f t="shared" si="20"/>
        <v>10330.2565</v>
      </c>
    </row>
    <row r="839">
      <c r="A839" s="14">
        <v>45876.0</v>
      </c>
      <c r="B839" s="225" t="s">
        <v>4379</v>
      </c>
      <c r="C839" s="136"/>
      <c r="D839" s="225" t="s">
        <v>75</v>
      </c>
      <c r="E839" s="225" t="s">
        <v>1760</v>
      </c>
      <c r="F839" s="226" t="s">
        <v>4380</v>
      </c>
      <c r="G839" s="12"/>
      <c r="H839" s="137"/>
      <c r="I839" s="227"/>
      <c r="J839" s="228">
        <v>46210.0</v>
      </c>
      <c r="K839" s="225" t="s">
        <v>78</v>
      </c>
      <c r="L839" s="229" t="s">
        <v>49</v>
      </c>
      <c r="M839" s="225" t="s">
        <v>340</v>
      </c>
      <c r="N839" s="225" t="s">
        <v>28</v>
      </c>
      <c r="O839" s="230">
        <v>5362.0</v>
      </c>
      <c r="P839" s="230">
        <v>6058.0</v>
      </c>
      <c r="Q839" s="153">
        <v>50.0</v>
      </c>
      <c r="R839" s="12">
        <f t="shared" si="20"/>
        <v>2681</v>
      </c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</row>
    <row r="840">
      <c r="A840" s="23">
        <v>45723.0</v>
      </c>
      <c r="B840" s="24" t="s">
        <v>4381</v>
      </c>
      <c r="C840" s="24" t="s">
        <v>4382</v>
      </c>
      <c r="D840" s="24" t="s">
        <v>533</v>
      </c>
      <c r="E840" s="24" t="s">
        <v>4383</v>
      </c>
      <c r="F840" s="24" t="s">
        <v>604</v>
      </c>
      <c r="G840" s="30" t="s">
        <v>605</v>
      </c>
      <c r="H840" s="28"/>
      <c r="I840" s="30">
        <v>5700.0</v>
      </c>
      <c r="J840" s="30" t="s">
        <v>4152</v>
      </c>
      <c r="K840" s="24" t="s">
        <v>668</v>
      </c>
      <c r="L840" s="231" t="s">
        <v>49</v>
      </c>
      <c r="M840" s="24" t="s">
        <v>27</v>
      </c>
      <c r="N840" s="24" t="s">
        <v>28</v>
      </c>
      <c r="O840" s="30">
        <v>15232.0</v>
      </c>
      <c r="P840" s="30">
        <v>17974.0</v>
      </c>
      <c r="Q840" s="153">
        <v>35.0</v>
      </c>
      <c r="R840" s="12">
        <f t="shared" si="20"/>
        <v>5331.2</v>
      </c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</row>
    <row r="841">
      <c r="A841" s="23">
        <v>45723.0</v>
      </c>
      <c r="B841" s="24" t="s">
        <v>4384</v>
      </c>
      <c r="C841" s="24" t="s">
        <v>4385</v>
      </c>
      <c r="D841" s="24" t="s">
        <v>21</v>
      </c>
      <c r="E841" s="24" t="s">
        <v>3289</v>
      </c>
      <c r="F841" s="24" t="s">
        <v>604</v>
      </c>
      <c r="G841" s="30" t="s">
        <v>605</v>
      </c>
      <c r="H841" s="28"/>
      <c r="I841" s="30">
        <v>35000.0</v>
      </c>
      <c r="J841" s="151">
        <v>46060.0</v>
      </c>
      <c r="K841" s="24" t="s">
        <v>353</v>
      </c>
      <c r="L841" s="231" t="s">
        <v>49</v>
      </c>
      <c r="M841" s="24" t="s">
        <v>27</v>
      </c>
      <c r="N841" s="24" t="s">
        <v>28</v>
      </c>
      <c r="O841" s="152">
        <v>75439.0</v>
      </c>
      <c r="P841" s="152">
        <v>86381.0</v>
      </c>
      <c r="Q841" s="153">
        <v>24.0</v>
      </c>
      <c r="R841" s="12">
        <f t="shared" si="20"/>
        <v>18105.36</v>
      </c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</row>
    <row r="842">
      <c r="A842" s="126"/>
      <c r="E842" s="126"/>
      <c r="L842" s="126"/>
    </row>
    <row r="843">
      <c r="L843" s="126"/>
    </row>
    <row r="844">
      <c r="L844" s="126"/>
    </row>
    <row r="845">
      <c r="L845" s="126"/>
    </row>
    <row r="846">
      <c r="L846" s="126"/>
    </row>
    <row r="847">
      <c r="A847" s="14">
        <v>45907.0</v>
      </c>
      <c r="B847" s="100" t="s">
        <v>4386</v>
      </c>
      <c r="C847" s="8" t="s">
        <v>4387</v>
      </c>
      <c r="D847" s="8" t="s">
        <v>1395</v>
      </c>
      <c r="E847" s="8" t="s">
        <v>481</v>
      </c>
      <c r="F847" s="8" t="s">
        <v>4388</v>
      </c>
      <c r="G847" s="8">
        <v>9.89899104E9</v>
      </c>
      <c r="H847" s="8">
        <v>9.512022224E9</v>
      </c>
      <c r="I847" s="21">
        <v>2880.0</v>
      </c>
      <c r="J847" s="215">
        <v>46210.0</v>
      </c>
      <c r="K847" s="8" t="s">
        <v>668</v>
      </c>
      <c r="L847" s="224" t="s">
        <v>49</v>
      </c>
      <c r="M847" s="7" t="s">
        <v>71</v>
      </c>
      <c r="N847" s="7" t="s">
        <v>28</v>
      </c>
      <c r="O847" s="21">
        <v>17248.0</v>
      </c>
      <c r="P847" s="21">
        <v>19390.0</v>
      </c>
      <c r="Q847" s="6">
        <v>52.0</v>
      </c>
      <c r="R847" s="12">
        <f t="shared" ref="R847:R892" si="21">O847*Q847%</f>
        <v>8968.96</v>
      </c>
    </row>
    <row r="848" ht="15.75" customHeight="1">
      <c r="A848" s="14">
        <v>45907.0</v>
      </c>
      <c r="B848" s="100" t="s">
        <v>4389</v>
      </c>
      <c r="C848" s="8" t="s">
        <v>4390</v>
      </c>
      <c r="D848" s="8" t="s">
        <v>1395</v>
      </c>
      <c r="E848" s="8" t="s">
        <v>2182</v>
      </c>
      <c r="F848" s="8" t="s">
        <v>4391</v>
      </c>
      <c r="G848" s="8" t="s">
        <v>4392</v>
      </c>
      <c r="H848" s="8"/>
      <c r="I848" s="21">
        <v>1600.0</v>
      </c>
      <c r="J848" s="232">
        <v>46241.0</v>
      </c>
      <c r="K848" s="8" t="s">
        <v>4339</v>
      </c>
      <c r="L848" s="224" t="s">
        <v>49</v>
      </c>
      <c r="M848" s="7" t="s">
        <v>27</v>
      </c>
      <c r="N848" s="7" t="s">
        <v>28</v>
      </c>
      <c r="O848" s="97">
        <v>18194.0</v>
      </c>
      <c r="P848" s="97">
        <v>20506.0</v>
      </c>
      <c r="Q848" s="6">
        <v>63.0</v>
      </c>
      <c r="R848" s="12">
        <f t="shared" si="21"/>
        <v>11462.22</v>
      </c>
    </row>
    <row r="849">
      <c r="A849" s="14">
        <v>45937.0</v>
      </c>
      <c r="B849" s="100" t="s">
        <v>4393</v>
      </c>
      <c r="C849" s="8" t="s">
        <v>4394</v>
      </c>
      <c r="D849" s="8" t="s">
        <v>1395</v>
      </c>
      <c r="E849" s="8" t="s">
        <v>4150</v>
      </c>
      <c r="F849" s="8" t="s">
        <v>4395</v>
      </c>
      <c r="G849" s="8">
        <v>9.687761477E9</v>
      </c>
      <c r="H849" s="8">
        <v>9.913677485E9</v>
      </c>
      <c r="I849" s="21">
        <v>3490.0</v>
      </c>
      <c r="J849" s="215">
        <v>46272.0</v>
      </c>
      <c r="K849" s="8" t="s">
        <v>78</v>
      </c>
      <c r="L849" s="224" t="s">
        <v>49</v>
      </c>
      <c r="M849" s="7" t="s">
        <v>71</v>
      </c>
      <c r="N849" s="7" t="s">
        <v>28</v>
      </c>
      <c r="O849" s="97">
        <v>18409.28</v>
      </c>
      <c r="P849" s="97">
        <v>20760.0</v>
      </c>
      <c r="Q849" s="6">
        <v>55.0</v>
      </c>
      <c r="R849" s="12">
        <f t="shared" si="21"/>
        <v>10125.104</v>
      </c>
    </row>
    <row r="850">
      <c r="A850" s="14">
        <v>45937.0</v>
      </c>
      <c r="B850" s="100" t="s">
        <v>4396</v>
      </c>
      <c r="C850" s="8" t="s">
        <v>4397</v>
      </c>
      <c r="D850" s="86" t="s">
        <v>4398</v>
      </c>
      <c r="E850" s="8" t="s">
        <v>4337</v>
      </c>
      <c r="F850" s="8" t="s">
        <v>4338</v>
      </c>
      <c r="G850" s="8">
        <v>9.978553553E9</v>
      </c>
      <c r="H850" s="8"/>
      <c r="I850" s="21">
        <v>2956.0</v>
      </c>
      <c r="J850" s="232">
        <v>46272.0</v>
      </c>
      <c r="K850" s="8" t="s">
        <v>4339</v>
      </c>
      <c r="L850" s="224" t="s">
        <v>49</v>
      </c>
      <c r="M850" s="7" t="s">
        <v>71</v>
      </c>
      <c r="N850" s="7" t="s">
        <v>28</v>
      </c>
      <c r="O850" s="97">
        <v>54356.0</v>
      </c>
      <c r="P850" s="97">
        <v>64140.0</v>
      </c>
      <c r="Q850" s="6">
        <v>74.0</v>
      </c>
      <c r="R850" s="12">
        <f t="shared" si="21"/>
        <v>40223.44</v>
      </c>
    </row>
    <row r="851">
      <c r="A851" s="14">
        <v>45937.0</v>
      </c>
      <c r="B851" s="100" t="s">
        <v>3832</v>
      </c>
      <c r="C851" s="8" t="s">
        <v>4399</v>
      </c>
      <c r="D851" s="8" t="s">
        <v>21</v>
      </c>
      <c r="E851" s="8" t="s">
        <v>4145</v>
      </c>
      <c r="F851" s="8" t="s">
        <v>4400</v>
      </c>
      <c r="G851" s="8">
        <v>9.909216774E9</v>
      </c>
      <c r="H851" s="8">
        <v>8.799256656E9</v>
      </c>
      <c r="I851" s="21">
        <v>35000.0</v>
      </c>
      <c r="J851" s="232">
        <v>46272.0</v>
      </c>
      <c r="K851" s="8" t="s">
        <v>78</v>
      </c>
      <c r="L851" s="224" t="s">
        <v>49</v>
      </c>
      <c r="M851" s="7" t="s">
        <v>27</v>
      </c>
      <c r="N851" s="7" t="s">
        <v>28</v>
      </c>
      <c r="O851" s="97">
        <v>47206.75</v>
      </c>
      <c r="P851" s="97">
        <v>53067.0</v>
      </c>
      <c r="Q851" s="6">
        <v>28.0</v>
      </c>
      <c r="R851" s="12">
        <f t="shared" si="21"/>
        <v>13217.89</v>
      </c>
    </row>
    <row r="852">
      <c r="A852" s="14">
        <v>45937.0</v>
      </c>
      <c r="B852" s="100" t="s">
        <v>4401</v>
      </c>
      <c r="C852" s="8" t="s">
        <v>4402</v>
      </c>
      <c r="D852" s="8" t="s">
        <v>1228</v>
      </c>
      <c r="E852" s="8" t="s">
        <v>4403</v>
      </c>
      <c r="F852" s="8" t="s">
        <v>4404</v>
      </c>
      <c r="G852" s="8" t="s">
        <v>4405</v>
      </c>
      <c r="H852" s="8" t="s">
        <v>4406</v>
      </c>
      <c r="I852" s="21">
        <v>2956.0</v>
      </c>
      <c r="J852" s="223">
        <v>46333.0</v>
      </c>
      <c r="K852" s="8" t="s">
        <v>65</v>
      </c>
      <c r="L852" s="224" t="s">
        <v>26</v>
      </c>
      <c r="M852" s="7" t="s">
        <v>3028</v>
      </c>
      <c r="N852" s="7" t="s">
        <v>28</v>
      </c>
      <c r="O852" s="21">
        <v>15041.0</v>
      </c>
      <c r="P852" s="21">
        <v>17749.0</v>
      </c>
      <c r="Q852" s="6">
        <v>30.0</v>
      </c>
      <c r="R852" s="12">
        <f t="shared" si="21"/>
        <v>4512.3</v>
      </c>
    </row>
    <row r="853">
      <c r="A853" s="14">
        <v>45968.0</v>
      </c>
      <c r="B853" s="100" t="s">
        <v>4407</v>
      </c>
      <c r="C853" s="8" t="s">
        <v>4408</v>
      </c>
      <c r="D853" s="8" t="s">
        <v>21</v>
      </c>
      <c r="E853" s="8" t="s">
        <v>2013</v>
      </c>
      <c r="F853" s="8" t="s">
        <v>4409</v>
      </c>
      <c r="G853" s="8">
        <v>9.978460453E9</v>
      </c>
      <c r="H853" s="8">
        <v>9.638786168E9</v>
      </c>
      <c r="I853" s="21">
        <v>5950.0</v>
      </c>
      <c r="J853" s="215">
        <v>46333.0</v>
      </c>
      <c r="K853" s="8" t="s">
        <v>25</v>
      </c>
      <c r="L853" s="224" t="s">
        <v>26</v>
      </c>
      <c r="M853" s="7" t="s">
        <v>71</v>
      </c>
      <c r="N853" s="7" t="s">
        <v>28</v>
      </c>
      <c r="O853" s="21">
        <v>16149.0</v>
      </c>
      <c r="P853" s="21">
        <v>18093.0</v>
      </c>
      <c r="Q853" s="6">
        <v>44.0</v>
      </c>
      <c r="R853" s="12">
        <f t="shared" si="21"/>
        <v>7105.56</v>
      </c>
    </row>
    <row r="854">
      <c r="A854" s="14">
        <v>45968.0</v>
      </c>
      <c r="B854" s="100" t="s">
        <v>4410</v>
      </c>
      <c r="C854" s="8" t="s">
        <v>4411</v>
      </c>
      <c r="D854" s="8" t="s">
        <v>1395</v>
      </c>
      <c r="E854" s="8" t="s">
        <v>4150</v>
      </c>
      <c r="F854" s="8" t="s">
        <v>4412</v>
      </c>
      <c r="G854" s="8">
        <v>9.429099222E9</v>
      </c>
      <c r="H854" s="8">
        <v>7.984978351E9</v>
      </c>
      <c r="I854" s="21">
        <v>2960.0</v>
      </c>
      <c r="J854" s="215">
        <v>46333.0</v>
      </c>
      <c r="K854" s="8" t="s">
        <v>78</v>
      </c>
      <c r="L854" s="224" t="s">
        <v>49</v>
      </c>
      <c r="M854" s="7" t="s">
        <v>71</v>
      </c>
      <c r="N854" s="7" t="s">
        <v>28</v>
      </c>
      <c r="O854" s="97">
        <v>16878.33</v>
      </c>
      <c r="P854" s="97">
        <v>18953.0</v>
      </c>
      <c r="Q854" s="6">
        <v>55.0</v>
      </c>
      <c r="R854" s="12">
        <f t="shared" si="21"/>
        <v>9283.0815</v>
      </c>
    </row>
    <row r="855">
      <c r="A855" s="14">
        <v>45998.0</v>
      </c>
      <c r="B855" s="100" t="s">
        <v>4413</v>
      </c>
      <c r="C855" s="8" t="s">
        <v>4414</v>
      </c>
      <c r="D855" s="8" t="s">
        <v>1395</v>
      </c>
      <c r="E855" s="8" t="s">
        <v>4150</v>
      </c>
      <c r="F855" s="8" t="s">
        <v>4415</v>
      </c>
      <c r="G855" s="8">
        <v>6.351777313E9</v>
      </c>
      <c r="H855" s="8">
        <v>9.97905557E9</v>
      </c>
      <c r="I855" s="21">
        <v>2990.0</v>
      </c>
      <c r="J855" s="215">
        <v>46333.0</v>
      </c>
      <c r="K855" s="8" t="s">
        <v>78</v>
      </c>
      <c r="L855" s="224" t="s">
        <v>49</v>
      </c>
      <c r="M855" s="7" t="s">
        <v>71</v>
      </c>
      <c r="N855" s="7" t="s">
        <v>28</v>
      </c>
      <c r="O855" s="97">
        <v>17828.29</v>
      </c>
      <c r="P855" s="97">
        <v>20074.0</v>
      </c>
      <c r="Q855" s="6">
        <v>55.0</v>
      </c>
      <c r="R855" s="12">
        <f t="shared" si="21"/>
        <v>9805.5595</v>
      </c>
    </row>
    <row r="856">
      <c r="A856" s="14">
        <v>45998.0</v>
      </c>
      <c r="B856" s="100" t="s">
        <v>4416</v>
      </c>
      <c r="C856" s="8" t="s">
        <v>4417</v>
      </c>
      <c r="D856" s="8" t="s">
        <v>21</v>
      </c>
      <c r="E856" s="8" t="s">
        <v>4418</v>
      </c>
      <c r="F856" s="8" t="s">
        <v>4419</v>
      </c>
      <c r="G856" s="8">
        <v>9.825081107E9</v>
      </c>
      <c r="H856" s="8"/>
      <c r="I856" s="21">
        <v>18490.0</v>
      </c>
      <c r="J856" s="215">
        <v>46302.0</v>
      </c>
      <c r="K856" s="8" t="s">
        <v>78</v>
      </c>
      <c r="L856" s="224" t="s">
        <v>49</v>
      </c>
      <c r="M856" s="7" t="s">
        <v>27</v>
      </c>
      <c r="N856" s="7" t="s">
        <v>28</v>
      </c>
      <c r="O856" s="97">
        <v>56359.38</v>
      </c>
      <c r="P856" s="97">
        <v>64385.0</v>
      </c>
      <c r="Q856" s="6">
        <v>28.0</v>
      </c>
      <c r="R856" s="12">
        <f t="shared" si="21"/>
        <v>15780.6264</v>
      </c>
    </row>
    <row r="857">
      <c r="A857" s="14">
        <v>45998.0</v>
      </c>
      <c r="B857" s="100" t="s">
        <v>4420</v>
      </c>
      <c r="C857" s="8" t="s">
        <v>4421</v>
      </c>
      <c r="D857" s="8" t="s">
        <v>1395</v>
      </c>
      <c r="E857" s="8" t="s">
        <v>3826</v>
      </c>
      <c r="F857" s="8" t="s">
        <v>4422</v>
      </c>
      <c r="G857" s="8" t="s">
        <v>4423</v>
      </c>
      <c r="H857" s="8"/>
      <c r="I857" s="21">
        <v>3895.0</v>
      </c>
      <c r="J857" s="215">
        <v>46333.0</v>
      </c>
      <c r="K857" s="8" t="s">
        <v>25</v>
      </c>
      <c r="L857" s="224" t="s">
        <v>49</v>
      </c>
      <c r="M857" s="7" t="s">
        <v>27</v>
      </c>
      <c r="N857" s="7" t="s">
        <v>28</v>
      </c>
      <c r="O857" s="97">
        <v>24147.0</v>
      </c>
      <c r="P857" s="97">
        <v>27531.0</v>
      </c>
      <c r="Q857" s="6">
        <v>40.0</v>
      </c>
      <c r="R857" s="12">
        <f t="shared" si="21"/>
        <v>9658.8</v>
      </c>
    </row>
    <row r="858">
      <c r="A858" s="14">
        <v>45998.0</v>
      </c>
      <c r="B858" s="100" t="s">
        <v>4424</v>
      </c>
      <c r="C858" s="8" t="s">
        <v>4425</v>
      </c>
      <c r="D858" s="8" t="s">
        <v>533</v>
      </c>
      <c r="E858" s="8" t="s">
        <v>4426</v>
      </c>
      <c r="F858" s="8" t="s">
        <v>4427</v>
      </c>
      <c r="G858" s="8" t="s">
        <v>4428</v>
      </c>
      <c r="H858" s="8">
        <v>9.924417324E9</v>
      </c>
      <c r="I858" s="8"/>
      <c r="J858" s="215">
        <v>46363.0</v>
      </c>
      <c r="K858" s="8" t="s">
        <v>78</v>
      </c>
      <c r="L858" s="224" t="s">
        <v>26</v>
      </c>
      <c r="M858" s="7" t="s">
        <v>365</v>
      </c>
      <c r="N858" s="7" t="s">
        <v>28</v>
      </c>
      <c r="O858" s="97">
        <v>7317.0</v>
      </c>
      <c r="P858" s="97">
        <v>8634.0</v>
      </c>
      <c r="Q858" s="6">
        <v>55.0</v>
      </c>
      <c r="R858" s="12">
        <f t="shared" si="21"/>
        <v>4024.35</v>
      </c>
    </row>
    <row r="859">
      <c r="A859" s="14">
        <v>45998.0</v>
      </c>
      <c r="B859" s="100" t="s">
        <v>4429</v>
      </c>
      <c r="C859" s="8" t="s">
        <v>4430</v>
      </c>
      <c r="D859" s="8" t="s">
        <v>1405</v>
      </c>
      <c r="E859" s="8" t="s">
        <v>119</v>
      </c>
      <c r="F859" s="8" t="s">
        <v>4431</v>
      </c>
      <c r="G859" s="8" t="s">
        <v>4432</v>
      </c>
      <c r="H859" s="8" t="s">
        <v>4433</v>
      </c>
      <c r="I859" s="21">
        <v>995.0</v>
      </c>
      <c r="J859" s="215">
        <v>46363.0</v>
      </c>
      <c r="K859" s="8" t="s">
        <v>78</v>
      </c>
      <c r="L859" s="224" t="s">
        <v>49</v>
      </c>
      <c r="M859" s="7" t="s">
        <v>3028</v>
      </c>
      <c r="N859" s="7" t="s">
        <v>28</v>
      </c>
      <c r="O859" s="97">
        <v>5362.44</v>
      </c>
      <c r="P859" s="97">
        <v>6058.0</v>
      </c>
      <c r="Q859" s="6">
        <v>50.0</v>
      </c>
      <c r="R859" s="12">
        <f t="shared" si="21"/>
        <v>2681.22</v>
      </c>
    </row>
    <row r="860">
      <c r="A860" s="14">
        <v>45998.0</v>
      </c>
      <c r="B860" s="100" t="s">
        <v>4434</v>
      </c>
      <c r="C860" s="8" t="s">
        <v>4435</v>
      </c>
      <c r="D860" s="8" t="s">
        <v>1228</v>
      </c>
      <c r="E860" s="8" t="s">
        <v>4436</v>
      </c>
      <c r="F860" s="8"/>
      <c r="G860" s="8" t="s">
        <v>4437</v>
      </c>
      <c r="H860" s="8"/>
      <c r="I860" s="21">
        <v>2596.0</v>
      </c>
      <c r="J860" s="215">
        <v>46333.0</v>
      </c>
      <c r="K860" s="8" t="s">
        <v>41</v>
      </c>
      <c r="L860" s="224" t="s">
        <v>26</v>
      </c>
      <c r="M860" s="7" t="s">
        <v>27</v>
      </c>
      <c r="N860" s="7" t="s">
        <v>28</v>
      </c>
      <c r="O860" s="21">
        <v>24315.0</v>
      </c>
      <c r="P860" s="21">
        <v>28691.0</v>
      </c>
      <c r="Q860" s="6">
        <v>15.0</v>
      </c>
      <c r="R860" s="12">
        <f t="shared" si="21"/>
        <v>3647.25</v>
      </c>
    </row>
    <row r="861">
      <c r="A861" s="7" t="s">
        <v>4438</v>
      </c>
      <c r="B861" s="100" t="s">
        <v>4439</v>
      </c>
      <c r="C861" s="8" t="s">
        <v>4440</v>
      </c>
      <c r="D861" s="8" t="s">
        <v>21</v>
      </c>
      <c r="E861" s="8" t="s">
        <v>1875</v>
      </c>
      <c r="F861" s="8" t="s">
        <v>4441</v>
      </c>
      <c r="G861" s="8"/>
      <c r="H861" s="8"/>
      <c r="I861" s="21">
        <v>25000.0</v>
      </c>
      <c r="J861" s="8" t="s">
        <v>4442</v>
      </c>
      <c r="K861" s="8" t="s">
        <v>4339</v>
      </c>
      <c r="L861" s="224" t="s">
        <v>49</v>
      </c>
      <c r="M861" s="7" t="s">
        <v>27</v>
      </c>
      <c r="N861" s="7" t="s">
        <v>28</v>
      </c>
      <c r="O861" s="97">
        <v>47189.0</v>
      </c>
      <c r="P861" s="203">
        <v>53046.0</v>
      </c>
      <c r="Q861" s="6">
        <v>16.0</v>
      </c>
      <c r="R861" s="12">
        <f t="shared" si="21"/>
        <v>7550.24</v>
      </c>
    </row>
    <row r="862">
      <c r="A862" s="7" t="s">
        <v>4438</v>
      </c>
      <c r="B862" s="100" t="s">
        <v>4443</v>
      </c>
      <c r="C862" s="8" t="s">
        <v>4444</v>
      </c>
      <c r="D862" s="8" t="s">
        <v>75</v>
      </c>
      <c r="E862" s="8" t="s">
        <v>4445</v>
      </c>
      <c r="F862" s="8" t="s">
        <v>4446</v>
      </c>
      <c r="G862" s="8" t="s">
        <v>4447</v>
      </c>
      <c r="H862" s="8"/>
      <c r="I862" s="21">
        <v>995.0</v>
      </c>
      <c r="J862" s="8" t="s">
        <v>4448</v>
      </c>
      <c r="K862" s="8" t="s">
        <v>78</v>
      </c>
      <c r="L862" s="224" t="s">
        <v>49</v>
      </c>
      <c r="M862" s="7" t="s">
        <v>27</v>
      </c>
      <c r="N862" s="7" t="s">
        <v>28</v>
      </c>
      <c r="O862" s="97">
        <v>4305.51</v>
      </c>
      <c r="P862" s="97">
        <v>4892.0</v>
      </c>
      <c r="Q862" s="6">
        <v>50.0</v>
      </c>
      <c r="R862" s="12">
        <f t="shared" si="21"/>
        <v>2152.755</v>
      </c>
    </row>
    <row r="863">
      <c r="A863" s="7" t="s">
        <v>4449</v>
      </c>
      <c r="B863" s="100" t="s">
        <v>4450</v>
      </c>
      <c r="C863" s="8" t="s">
        <v>4451</v>
      </c>
      <c r="D863" s="8" t="s">
        <v>1395</v>
      </c>
      <c r="E863" s="8" t="s">
        <v>528</v>
      </c>
      <c r="F863" s="8" t="s">
        <v>4452</v>
      </c>
      <c r="G863" s="8" t="s">
        <v>4453</v>
      </c>
      <c r="H863" s="8">
        <v>9.510324226E9</v>
      </c>
      <c r="I863" s="21">
        <v>2750.0</v>
      </c>
      <c r="J863" s="8" t="s">
        <v>4454</v>
      </c>
      <c r="K863" s="8" t="s">
        <v>65</v>
      </c>
      <c r="L863" s="224" t="s">
        <v>26</v>
      </c>
      <c r="M863" s="7" t="s">
        <v>4172</v>
      </c>
      <c r="N863" s="7" t="s">
        <v>28</v>
      </c>
      <c r="O863" s="21">
        <v>16149.0</v>
      </c>
      <c r="P863" s="21">
        <v>18093.0</v>
      </c>
      <c r="Q863" s="6">
        <v>57.0</v>
      </c>
      <c r="R863" s="12">
        <f t="shared" si="21"/>
        <v>9204.93</v>
      </c>
    </row>
    <row r="864">
      <c r="A864" s="7" t="s">
        <v>4449</v>
      </c>
      <c r="B864" s="100" t="s">
        <v>4455</v>
      </c>
      <c r="C864" s="8" t="s">
        <v>4456</v>
      </c>
      <c r="D864" s="8" t="s">
        <v>21</v>
      </c>
      <c r="E864" s="8" t="s">
        <v>4457</v>
      </c>
      <c r="F864" s="8" t="s">
        <v>4458</v>
      </c>
      <c r="G864" s="8" t="s">
        <v>4459</v>
      </c>
      <c r="H864" s="8"/>
      <c r="I864" s="21">
        <v>25000.0</v>
      </c>
      <c r="J864" s="8" t="s">
        <v>4460</v>
      </c>
      <c r="K864" s="8" t="s">
        <v>25</v>
      </c>
      <c r="L864" s="224" t="s">
        <v>26</v>
      </c>
      <c r="M864" s="7" t="s">
        <v>27</v>
      </c>
      <c r="N864" s="7" t="s">
        <v>28</v>
      </c>
      <c r="O864" s="21">
        <v>44050.0</v>
      </c>
      <c r="P864" s="21">
        <v>49342.0</v>
      </c>
      <c r="Q864" s="6">
        <v>49.0</v>
      </c>
      <c r="R864" s="12">
        <f t="shared" si="21"/>
        <v>21584.5</v>
      </c>
    </row>
    <row r="865">
      <c r="A865" s="7" t="s">
        <v>4449</v>
      </c>
      <c r="B865" s="100" t="s">
        <v>4461</v>
      </c>
      <c r="C865" s="8" t="s">
        <v>4462</v>
      </c>
      <c r="D865" s="8" t="s">
        <v>21</v>
      </c>
      <c r="E865" s="8" t="s">
        <v>4463</v>
      </c>
      <c r="F865" s="8" t="s">
        <v>4464</v>
      </c>
      <c r="G865" s="8">
        <v>6.351000398E9</v>
      </c>
      <c r="H865" s="8"/>
      <c r="I865" s="21">
        <v>12990.0</v>
      </c>
      <c r="J865" s="8" t="s">
        <v>4460</v>
      </c>
      <c r="K865" s="8" t="s">
        <v>78</v>
      </c>
      <c r="L865" s="224" t="s">
        <v>49</v>
      </c>
      <c r="M865" s="7" t="s">
        <v>71</v>
      </c>
      <c r="N865" s="7" t="s">
        <v>28</v>
      </c>
      <c r="O865" s="97">
        <v>36687.87</v>
      </c>
      <c r="P865" s="97">
        <v>41173.0</v>
      </c>
      <c r="Q865" s="6">
        <v>28.0</v>
      </c>
      <c r="R865" s="12">
        <f t="shared" si="21"/>
        <v>10272.6036</v>
      </c>
    </row>
    <row r="866">
      <c r="A866" s="7" t="s">
        <v>4449</v>
      </c>
      <c r="B866" s="100" t="s">
        <v>4465</v>
      </c>
      <c r="C866" s="8" t="s">
        <v>4466</v>
      </c>
      <c r="D866" s="8" t="s">
        <v>21</v>
      </c>
      <c r="E866" s="8" t="s">
        <v>4467</v>
      </c>
      <c r="F866" s="8" t="s">
        <v>2961</v>
      </c>
      <c r="G866" s="8">
        <v>9.97892069E9</v>
      </c>
      <c r="H866" s="8">
        <v>9.427222549E9</v>
      </c>
      <c r="I866" s="21">
        <v>28000.0</v>
      </c>
      <c r="J866" s="8" t="s">
        <v>4468</v>
      </c>
      <c r="K866" s="8" t="s">
        <v>78</v>
      </c>
      <c r="L866" s="224" t="s">
        <v>49</v>
      </c>
      <c r="M866" s="7" t="s">
        <v>71</v>
      </c>
      <c r="N866" s="7" t="s">
        <v>28</v>
      </c>
      <c r="O866" s="97">
        <v>46389.47</v>
      </c>
      <c r="P866" s="97">
        <v>52103.0</v>
      </c>
      <c r="Q866" s="6">
        <v>28.0</v>
      </c>
      <c r="R866" s="12">
        <f t="shared" si="21"/>
        <v>12989.0516</v>
      </c>
    </row>
    <row r="867">
      <c r="A867" s="7" t="s">
        <v>4469</v>
      </c>
      <c r="B867" s="233" t="s">
        <v>4470</v>
      </c>
      <c r="C867" s="8">
        <v>6.30322626E9</v>
      </c>
      <c r="D867" s="8" t="s">
        <v>1395</v>
      </c>
      <c r="E867" s="8" t="s">
        <v>4471</v>
      </c>
      <c r="F867" s="8" t="s">
        <v>4472</v>
      </c>
      <c r="G867" s="8">
        <v>9.722682133E9</v>
      </c>
      <c r="H867" s="8"/>
      <c r="I867" s="21">
        <v>2620.0</v>
      </c>
      <c r="J867" s="8" t="s">
        <v>4468</v>
      </c>
      <c r="K867" s="8" t="s">
        <v>668</v>
      </c>
      <c r="L867" s="224" t="s">
        <v>49</v>
      </c>
      <c r="M867" s="7" t="s">
        <v>71</v>
      </c>
      <c r="N867" s="7" t="s">
        <v>28</v>
      </c>
      <c r="O867" s="21">
        <v>17134.0</v>
      </c>
      <c r="P867" s="21">
        <v>19256.0</v>
      </c>
      <c r="Q867" s="6">
        <v>51.0</v>
      </c>
      <c r="R867" s="12">
        <f t="shared" si="21"/>
        <v>8738.34</v>
      </c>
    </row>
    <row r="868">
      <c r="A868" s="7" t="s">
        <v>4473</v>
      </c>
      <c r="B868" s="100" t="s">
        <v>4474</v>
      </c>
      <c r="C868" s="8" t="s">
        <v>4475</v>
      </c>
      <c r="D868" s="8" t="s">
        <v>1395</v>
      </c>
      <c r="E868" s="8" t="s">
        <v>3826</v>
      </c>
      <c r="F868" s="8" t="s">
        <v>4476</v>
      </c>
      <c r="G868" s="8" t="s">
        <v>2447</v>
      </c>
      <c r="H868" s="8"/>
      <c r="I868" s="21">
        <v>3895.0</v>
      </c>
      <c r="J868" s="8" t="s">
        <v>4468</v>
      </c>
      <c r="K868" s="8" t="s">
        <v>25</v>
      </c>
      <c r="L868" s="224" t="s">
        <v>49</v>
      </c>
      <c r="M868" s="7" t="s">
        <v>3028</v>
      </c>
      <c r="N868" s="7" t="s">
        <v>28</v>
      </c>
      <c r="O868" s="97">
        <v>24347.0</v>
      </c>
      <c r="P868" s="97">
        <v>27767.0</v>
      </c>
      <c r="Q868" s="6">
        <v>40.0</v>
      </c>
      <c r="R868" s="12">
        <f t="shared" si="21"/>
        <v>9738.8</v>
      </c>
    </row>
    <row r="869">
      <c r="A869" s="7" t="s">
        <v>4473</v>
      </c>
      <c r="B869" s="100" t="s">
        <v>4477</v>
      </c>
      <c r="C869" s="8" t="s">
        <v>4478</v>
      </c>
      <c r="D869" s="8" t="s">
        <v>1405</v>
      </c>
      <c r="E869" s="8" t="s">
        <v>4479</v>
      </c>
      <c r="F869" s="8" t="s">
        <v>4480</v>
      </c>
      <c r="G869" s="8">
        <v>9.727113256E9</v>
      </c>
      <c r="H869" s="8">
        <v>9.081211071E9</v>
      </c>
      <c r="I869" s="21">
        <v>990.0</v>
      </c>
      <c r="J869" s="8" t="s">
        <v>4468</v>
      </c>
      <c r="K869" s="8" t="s">
        <v>78</v>
      </c>
      <c r="L869" s="224" t="s">
        <v>49</v>
      </c>
      <c r="M869" s="7" t="s">
        <v>185</v>
      </c>
      <c r="N869" s="7" t="s">
        <v>28</v>
      </c>
      <c r="O869" s="97">
        <v>5386.93</v>
      </c>
      <c r="P869" s="97">
        <v>6087.0</v>
      </c>
      <c r="Q869" s="6">
        <v>50.0</v>
      </c>
      <c r="R869" s="12">
        <f t="shared" si="21"/>
        <v>2693.465</v>
      </c>
    </row>
    <row r="870">
      <c r="A870" s="7" t="s">
        <v>4481</v>
      </c>
      <c r="B870" s="100" t="s">
        <v>4482</v>
      </c>
      <c r="C870" s="8" t="s">
        <v>4483</v>
      </c>
      <c r="D870" s="8" t="s">
        <v>1395</v>
      </c>
      <c r="E870" s="8" t="s">
        <v>2182</v>
      </c>
      <c r="F870" s="8" t="s">
        <v>4484</v>
      </c>
      <c r="G870" s="8">
        <v>9.067488146E9</v>
      </c>
      <c r="H870" s="8"/>
      <c r="I870" s="21">
        <v>1600.0</v>
      </c>
      <c r="J870" s="8" t="s">
        <v>4448</v>
      </c>
      <c r="K870" s="8" t="s">
        <v>4339</v>
      </c>
      <c r="L870" s="224" t="s">
        <v>49</v>
      </c>
      <c r="M870" s="7" t="s">
        <v>71</v>
      </c>
      <c r="N870" s="7" t="s">
        <v>28</v>
      </c>
      <c r="O870" s="97">
        <v>19997.0</v>
      </c>
      <c r="P870" s="97">
        <v>22634.0</v>
      </c>
      <c r="Q870" s="6">
        <v>63.0</v>
      </c>
      <c r="R870" s="12">
        <f t="shared" si="21"/>
        <v>12598.11</v>
      </c>
    </row>
    <row r="871">
      <c r="A871" s="7" t="s">
        <v>4485</v>
      </c>
      <c r="B871" s="100" t="s">
        <v>4486</v>
      </c>
      <c r="C871" s="8" t="s">
        <v>4487</v>
      </c>
      <c r="D871" s="8" t="s">
        <v>21</v>
      </c>
      <c r="E871" s="8" t="s">
        <v>4488</v>
      </c>
      <c r="F871" s="8" t="s">
        <v>4489</v>
      </c>
      <c r="G871" s="8" t="s">
        <v>4490</v>
      </c>
      <c r="H871" s="8"/>
      <c r="I871" s="21">
        <v>42000.0</v>
      </c>
      <c r="J871" s="8" t="s">
        <v>4491</v>
      </c>
      <c r="K871" s="8" t="s">
        <v>3429</v>
      </c>
      <c r="L871" s="224" t="s">
        <v>49</v>
      </c>
      <c r="M871" s="7" t="s">
        <v>3028</v>
      </c>
      <c r="N871" s="7" t="s">
        <v>28</v>
      </c>
      <c r="O871" s="21">
        <v>44567.0</v>
      </c>
      <c r="P871" s="21">
        <v>55842.0</v>
      </c>
      <c r="Q871" s="6">
        <v>22.0</v>
      </c>
      <c r="R871" s="12">
        <f t="shared" si="21"/>
        <v>9804.74</v>
      </c>
    </row>
    <row r="872">
      <c r="A872" s="7" t="s">
        <v>4485</v>
      </c>
      <c r="B872" s="100" t="s">
        <v>4492</v>
      </c>
      <c r="C872" s="8" t="s">
        <v>4493</v>
      </c>
      <c r="D872" s="8" t="s">
        <v>1395</v>
      </c>
      <c r="E872" s="8" t="s">
        <v>1690</v>
      </c>
      <c r="F872" s="8" t="s">
        <v>4494</v>
      </c>
      <c r="G872" s="8">
        <v>9.106191792E9</v>
      </c>
      <c r="H872" s="8"/>
      <c r="I872" s="21">
        <v>1600.0</v>
      </c>
      <c r="J872" s="8" t="s">
        <v>4495</v>
      </c>
      <c r="K872" s="8" t="s">
        <v>4339</v>
      </c>
      <c r="L872" s="224" t="s">
        <v>49</v>
      </c>
      <c r="M872" s="7" t="s">
        <v>71</v>
      </c>
      <c r="N872" s="7" t="s">
        <v>28</v>
      </c>
      <c r="O872" s="97">
        <v>19684.0</v>
      </c>
      <c r="P872" s="97">
        <v>22264.0</v>
      </c>
      <c r="Q872" s="6">
        <v>63.0</v>
      </c>
      <c r="R872" s="12">
        <f t="shared" si="21"/>
        <v>12400.92</v>
      </c>
    </row>
    <row r="873">
      <c r="A873" s="7" t="s">
        <v>4496</v>
      </c>
      <c r="B873" s="100" t="s">
        <v>4497</v>
      </c>
      <c r="C873" s="8" t="s">
        <v>4498</v>
      </c>
      <c r="D873" s="8" t="s">
        <v>1395</v>
      </c>
      <c r="E873" s="8" t="s">
        <v>811</v>
      </c>
      <c r="F873" s="8" t="s">
        <v>4499</v>
      </c>
      <c r="G873" s="8" t="s">
        <v>4500</v>
      </c>
      <c r="H873" s="8"/>
      <c r="I873" s="21">
        <v>2450.0</v>
      </c>
      <c r="J873" s="8" t="s">
        <v>4501</v>
      </c>
      <c r="K873" s="8" t="s">
        <v>143</v>
      </c>
      <c r="L873" s="224" t="s">
        <v>49</v>
      </c>
      <c r="M873" s="7" t="s">
        <v>3028</v>
      </c>
      <c r="N873" s="7" t="s">
        <v>28</v>
      </c>
      <c r="O873" s="97">
        <v>17247.0</v>
      </c>
      <c r="P873" s="97">
        <v>19389.0</v>
      </c>
      <c r="Q873" s="6">
        <v>61.0</v>
      </c>
      <c r="R873" s="12">
        <f t="shared" si="21"/>
        <v>10520.67</v>
      </c>
    </row>
    <row r="874">
      <c r="A874" s="7" t="s">
        <v>4496</v>
      </c>
      <c r="B874" s="100" t="s">
        <v>4502</v>
      </c>
      <c r="C874" s="8" t="s">
        <v>4503</v>
      </c>
      <c r="D874" s="8" t="s">
        <v>1395</v>
      </c>
      <c r="E874" s="8" t="s">
        <v>528</v>
      </c>
      <c r="F874" s="8" t="s">
        <v>4504</v>
      </c>
      <c r="G874" s="8">
        <v>8.128164008E9</v>
      </c>
      <c r="H874" s="8">
        <v>6.352520083E9</v>
      </c>
      <c r="I874" s="21">
        <v>2450.0</v>
      </c>
      <c r="J874" s="8" t="s">
        <v>4505</v>
      </c>
      <c r="K874" s="8" t="s">
        <v>65</v>
      </c>
      <c r="L874" s="224" t="s">
        <v>26</v>
      </c>
      <c r="M874" s="7" t="s">
        <v>71</v>
      </c>
      <c r="N874" s="7" t="s">
        <v>28</v>
      </c>
      <c r="O874" s="21">
        <v>16149.0</v>
      </c>
      <c r="P874" s="21">
        <v>18093.0</v>
      </c>
      <c r="Q874" s="6">
        <v>61.0</v>
      </c>
      <c r="R874" s="12">
        <f t="shared" si="21"/>
        <v>9850.89</v>
      </c>
    </row>
    <row r="875">
      <c r="A875" s="7" t="s">
        <v>4506</v>
      </c>
      <c r="B875" s="100" t="s">
        <v>4507</v>
      </c>
      <c r="C875" s="8" t="s">
        <v>4508</v>
      </c>
      <c r="D875" s="8" t="s">
        <v>1395</v>
      </c>
      <c r="E875" s="8" t="s">
        <v>4509</v>
      </c>
      <c r="F875" s="8" t="s">
        <v>4510</v>
      </c>
      <c r="G875" s="8">
        <v>9.06762367E9</v>
      </c>
      <c r="H875" s="8">
        <v>9.722682133E9</v>
      </c>
      <c r="I875" s="21">
        <v>1600.0</v>
      </c>
      <c r="J875" s="8" t="s">
        <v>4501</v>
      </c>
      <c r="K875" s="8" t="s">
        <v>4339</v>
      </c>
      <c r="L875" s="224" t="s">
        <v>49</v>
      </c>
      <c r="M875" s="7" t="s">
        <v>71</v>
      </c>
      <c r="N875" s="7" t="s">
        <v>28</v>
      </c>
      <c r="O875" s="97">
        <v>20241.0</v>
      </c>
      <c r="P875" s="97">
        <v>22921.0</v>
      </c>
      <c r="Q875" s="6">
        <v>63.0</v>
      </c>
      <c r="R875" s="12">
        <f t="shared" si="21"/>
        <v>12751.83</v>
      </c>
    </row>
    <row r="876">
      <c r="A876" s="7" t="s">
        <v>4506</v>
      </c>
      <c r="B876" s="100" t="s">
        <v>4511</v>
      </c>
      <c r="C876" s="8" t="s">
        <v>4512</v>
      </c>
      <c r="D876" s="8" t="s">
        <v>75</v>
      </c>
      <c r="E876" s="8" t="s">
        <v>119</v>
      </c>
      <c r="F876" s="8" t="s">
        <v>4513</v>
      </c>
      <c r="G876" s="8">
        <v>6.353229936E9</v>
      </c>
      <c r="H876" s="8">
        <v>9.978563449E9</v>
      </c>
      <c r="I876" s="21">
        <v>995.0</v>
      </c>
      <c r="J876" s="8" t="s">
        <v>4514</v>
      </c>
      <c r="K876" s="8" t="s">
        <v>78</v>
      </c>
      <c r="L876" s="224" t="s">
        <v>49</v>
      </c>
      <c r="M876" s="7" t="s">
        <v>33</v>
      </c>
      <c r="N876" s="7" t="s">
        <v>28</v>
      </c>
      <c r="O876" s="97">
        <v>5362.44</v>
      </c>
      <c r="P876" s="97">
        <v>6058.0</v>
      </c>
      <c r="Q876" s="6">
        <v>50.0</v>
      </c>
      <c r="R876" s="12">
        <f t="shared" si="21"/>
        <v>2681.22</v>
      </c>
    </row>
    <row r="877">
      <c r="A877" s="7" t="s">
        <v>4506</v>
      </c>
      <c r="B877" s="100" t="s">
        <v>4515</v>
      </c>
      <c r="C877" s="8" t="s">
        <v>4516</v>
      </c>
      <c r="D877" s="100" t="s">
        <v>21</v>
      </c>
      <c r="E877" s="8" t="s">
        <v>2854</v>
      </c>
      <c r="F877" s="8" t="s">
        <v>4517</v>
      </c>
      <c r="G877" s="8" t="s">
        <v>4518</v>
      </c>
      <c r="H877" s="8" t="s">
        <v>4519</v>
      </c>
      <c r="I877" s="21">
        <v>11990.0</v>
      </c>
      <c r="J877" s="8" t="s">
        <v>4501</v>
      </c>
      <c r="K877" s="8" t="s">
        <v>25</v>
      </c>
      <c r="L877" s="224" t="s">
        <v>49</v>
      </c>
      <c r="M877" s="7" t="s">
        <v>27</v>
      </c>
      <c r="N877" s="7" t="s">
        <v>28</v>
      </c>
      <c r="O877" s="97">
        <v>33615.0</v>
      </c>
      <c r="P877" s="97">
        <v>38035.0</v>
      </c>
      <c r="Q877" s="6">
        <v>27.5</v>
      </c>
      <c r="R877" s="12">
        <f t="shared" si="21"/>
        <v>9244.125</v>
      </c>
    </row>
    <row r="878">
      <c r="A878" s="14">
        <v>45968.0</v>
      </c>
      <c r="B878" s="100" t="s">
        <v>4520</v>
      </c>
      <c r="C878" s="8" t="s">
        <v>4521</v>
      </c>
      <c r="D878" s="100" t="s">
        <v>21</v>
      </c>
      <c r="E878" s="8" t="s">
        <v>3622</v>
      </c>
      <c r="F878" s="8" t="s">
        <v>4522</v>
      </c>
      <c r="G878" s="7">
        <v>9.574000923E9</v>
      </c>
      <c r="H878" s="7">
        <v>9.824115451E9</v>
      </c>
      <c r="I878" s="21">
        <v>28000.0</v>
      </c>
      <c r="J878" s="7" t="s">
        <v>4523</v>
      </c>
      <c r="K878" s="100" t="s">
        <v>65</v>
      </c>
      <c r="L878" s="100" t="s">
        <v>26</v>
      </c>
      <c r="M878" s="7" t="s">
        <v>4263</v>
      </c>
      <c r="N878" s="7" t="s">
        <v>28</v>
      </c>
      <c r="O878" s="203">
        <v>44050.0</v>
      </c>
      <c r="P878" s="97">
        <v>49342.0</v>
      </c>
      <c r="Q878" s="6">
        <v>51.0</v>
      </c>
      <c r="R878" s="12">
        <f t="shared" si="21"/>
        <v>22465.5</v>
      </c>
    </row>
    <row r="879">
      <c r="A879" s="14">
        <v>45998.0</v>
      </c>
      <c r="B879" s="100" t="s">
        <v>4524</v>
      </c>
      <c r="C879" s="8" t="s">
        <v>4525</v>
      </c>
      <c r="D879" s="100" t="s">
        <v>21</v>
      </c>
      <c r="E879" s="8" t="s">
        <v>4526</v>
      </c>
      <c r="F879" s="8" t="s">
        <v>4522</v>
      </c>
      <c r="G879" s="7">
        <v>9.574000923E9</v>
      </c>
      <c r="H879" s="7">
        <v>9.824115451E9</v>
      </c>
      <c r="I879" s="21">
        <v>28000.0</v>
      </c>
      <c r="J879" s="7" t="s">
        <v>4523</v>
      </c>
      <c r="K879" s="100" t="s">
        <v>65</v>
      </c>
      <c r="L879" s="100" t="s">
        <v>26</v>
      </c>
      <c r="M879" s="7" t="s">
        <v>4263</v>
      </c>
      <c r="N879" s="7" t="s">
        <v>28</v>
      </c>
      <c r="O879" s="203">
        <v>44050.0</v>
      </c>
      <c r="P879" s="97">
        <v>49342.0</v>
      </c>
      <c r="Q879" s="6">
        <v>51.0</v>
      </c>
      <c r="R879" s="12">
        <f t="shared" si="21"/>
        <v>22465.5</v>
      </c>
    </row>
    <row r="880">
      <c r="A880" s="14">
        <v>45998.0</v>
      </c>
      <c r="B880" s="100" t="s">
        <v>4527</v>
      </c>
      <c r="C880" s="8" t="s">
        <v>4528</v>
      </c>
      <c r="D880" s="100" t="s">
        <v>44</v>
      </c>
      <c r="E880" s="8" t="s">
        <v>528</v>
      </c>
      <c r="F880" s="8" t="s">
        <v>4529</v>
      </c>
      <c r="G880" s="7">
        <v>9.723661912E9</v>
      </c>
      <c r="H880" s="7">
        <v>8.849902724E9</v>
      </c>
      <c r="I880" s="21">
        <v>2975.0</v>
      </c>
      <c r="J880" s="7" t="s">
        <v>4530</v>
      </c>
      <c r="K880" s="100" t="s">
        <v>65</v>
      </c>
      <c r="L880" s="214" t="s">
        <v>26</v>
      </c>
      <c r="M880" s="7" t="s">
        <v>4221</v>
      </c>
      <c r="N880" s="7" t="s">
        <v>28</v>
      </c>
      <c r="O880" s="96">
        <v>16049.0</v>
      </c>
      <c r="P880" s="97">
        <v>18093.0</v>
      </c>
      <c r="Q880" s="6">
        <v>57.0</v>
      </c>
      <c r="R880" s="12">
        <f t="shared" si="21"/>
        <v>9147.93</v>
      </c>
    </row>
    <row r="881">
      <c r="A881" s="7" t="s">
        <v>4531</v>
      </c>
      <c r="B881" s="100" t="s">
        <v>4532</v>
      </c>
      <c r="C881" s="8" t="s">
        <v>4533</v>
      </c>
      <c r="D881" s="100" t="s">
        <v>44</v>
      </c>
      <c r="E881" s="8" t="s">
        <v>4534</v>
      </c>
      <c r="F881" s="8" t="s">
        <v>4535</v>
      </c>
      <c r="G881" s="7">
        <v>9.978504538E9</v>
      </c>
      <c r="H881" s="7">
        <v>9.820787884E9</v>
      </c>
      <c r="I881" s="21">
        <v>2110.0</v>
      </c>
      <c r="J881" s="7" t="s">
        <v>4442</v>
      </c>
      <c r="K881" s="100" t="s">
        <v>70</v>
      </c>
      <c r="L881" s="214" t="s">
        <v>49</v>
      </c>
      <c r="M881" s="7" t="s">
        <v>4536</v>
      </c>
      <c r="N881" s="7" t="s">
        <v>28</v>
      </c>
      <c r="O881" s="97">
        <v>17459.0</v>
      </c>
      <c r="P881" s="97">
        <v>19639.0</v>
      </c>
      <c r="Q881" s="6">
        <v>63.0</v>
      </c>
      <c r="R881" s="12">
        <f t="shared" si="21"/>
        <v>10999.17</v>
      </c>
    </row>
    <row r="882">
      <c r="A882" s="7" t="s">
        <v>4449</v>
      </c>
      <c r="B882" s="100" t="s">
        <v>4537</v>
      </c>
      <c r="C882" s="8" t="s">
        <v>4538</v>
      </c>
      <c r="D882" s="100" t="s">
        <v>44</v>
      </c>
      <c r="E882" s="8" t="s">
        <v>4539</v>
      </c>
      <c r="F882" s="8" t="s">
        <v>4540</v>
      </c>
      <c r="G882" s="7">
        <v>9.723661912E9</v>
      </c>
      <c r="H882" s="7">
        <v>8.849902724E9</v>
      </c>
      <c r="I882" s="21">
        <v>7450.0</v>
      </c>
      <c r="J882" s="7" t="s">
        <v>4460</v>
      </c>
      <c r="K882" s="100" t="s">
        <v>25</v>
      </c>
      <c r="L882" s="214" t="s">
        <v>26</v>
      </c>
      <c r="M882" s="7" t="s">
        <v>4221</v>
      </c>
      <c r="N882" s="7" t="s">
        <v>28</v>
      </c>
      <c r="O882" s="21">
        <v>16049.0</v>
      </c>
      <c r="P882" s="21">
        <v>18800.0</v>
      </c>
      <c r="Q882" s="6">
        <v>44.0</v>
      </c>
      <c r="R882" s="12">
        <f t="shared" si="21"/>
        <v>7061.56</v>
      </c>
    </row>
    <row r="883">
      <c r="A883" s="7" t="s">
        <v>4473</v>
      </c>
      <c r="B883" s="100" t="s">
        <v>4541</v>
      </c>
      <c r="C883" s="8" t="s">
        <v>4542</v>
      </c>
      <c r="D883" s="100" t="s">
        <v>44</v>
      </c>
      <c r="E883" s="8" t="s">
        <v>4543</v>
      </c>
      <c r="F883" s="8" t="s">
        <v>4544</v>
      </c>
      <c r="G883" s="7">
        <v>7.777990547E9</v>
      </c>
      <c r="H883" s="7">
        <v>8.980978892E9</v>
      </c>
      <c r="I883" s="21">
        <v>1550.0</v>
      </c>
      <c r="J883" s="7" t="s">
        <v>4545</v>
      </c>
      <c r="K883" s="100" t="s">
        <v>65</v>
      </c>
      <c r="L883" s="214" t="s">
        <v>26</v>
      </c>
      <c r="M883" s="7" t="s">
        <v>4263</v>
      </c>
      <c r="N883" s="7" t="s">
        <v>28</v>
      </c>
      <c r="O883" s="96">
        <v>16049.0</v>
      </c>
      <c r="P883" s="96">
        <v>18093.0</v>
      </c>
      <c r="Q883" s="6">
        <v>61.0</v>
      </c>
      <c r="R883" s="12">
        <f t="shared" si="21"/>
        <v>9789.89</v>
      </c>
    </row>
    <row r="884">
      <c r="A884" s="7" t="s">
        <v>4473</v>
      </c>
      <c r="B884" s="100" t="s">
        <v>4546</v>
      </c>
      <c r="C884" s="8" t="s">
        <v>4547</v>
      </c>
      <c r="D884" s="100" t="s">
        <v>44</v>
      </c>
      <c r="E884" s="8" t="s">
        <v>4548</v>
      </c>
      <c r="F884" s="8" t="s">
        <v>4549</v>
      </c>
      <c r="G884" s="7">
        <v>9.624123923E9</v>
      </c>
      <c r="H884" s="7">
        <v>9.558170054E9</v>
      </c>
      <c r="I884" s="21">
        <v>2255.0</v>
      </c>
      <c r="J884" s="7" t="s">
        <v>4550</v>
      </c>
      <c r="K884" s="100" t="s">
        <v>78</v>
      </c>
      <c r="L884" s="214" t="s">
        <v>49</v>
      </c>
      <c r="M884" s="7" t="s">
        <v>4226</v>
      </c>
      <c r="N884" s="7" t="s">
        <v>28</v>
      </c>
      <c r="O884" s="96">
        <v>16049.0</v>
      </c>
      <c r="P884" s="96">
        <v>18882.0</v>
      </c>
      <c r="Q884" s="6">
        <v>60.0</v>
      </c>
      <c r="R884" s="12">
        <f t="shared" si="21"/>
        <v>9629.4</v>
      </c>
    </row>
    <row r="885">
      <c r="A885" s="7" t="s">
        <v>4551</v>
      </c>
      <c r="B885" s="100" t="s">
        <v>4552</v>
      </c>
      <c r="C885" s="8" t="s">
        <v>4553</v>
      </c>
      <c r="D885" s="100" t="s">
        <v>44</v>
      </c>
      <c r="E885" s="8" t="s">
        <v>4554</v>
      </c>
      <c r="F885" s="8" t="s">
        <v>4555</v>
      </c>
      <c r="G885" s="7">
        <v>9.909640199E9</v>
      </c>
      <c r="H885" s="7">
        <v>9.737435705E9</v>
      </c>
      <c r="I885" s="21">
        <v>2275.0</v>
      </c>
      <c r="J885" s="7" t="s">
        <v>4448</v>
      </c>
      <c r="K885" s="100" t="s">
        <v>4272</v>
      </c>
      <c r="L885" s="214" t="s">
        <v>49</v>
      </c>
      <c r="M885" s="7" t="s">
        <v>4221</v>
      </c>
      <c r="N885" s="7" t="s">
        <v>28</v>
      </c>
      <c r="O885" s="96">
        <v>19210.0</v>
      </c>
      <c r="P885" s="96">
        <v>21705.0</v>
      </c>
      <c r="Q885" s="6">
        <v>63.0</v>
      </c>
      <c r="R885" s="12">
        <f t="shared" si="21"/>
        <v>12102.3</v>
      </c>
    </row>
    <row r="886">
      <c r="A886" s="7" t="s">
        <v>4551</v>
      </c>
      <c r="B886" s="100" t="s">
        <v>4556</v>
      </c>
      <c r="C886" s="8" t="s">
        <v>4557</v>
      </c>
      <c r="D886" s="100" t="s">
        <v>21</v>
      </c>
      <c r="E886" s="8" t="s">
        <v>2555</v>
      </c>
      <c r="F886" s="8" t="s">
        <v>4558</v>
      </c>
      <c r="G886" s="7">
        <v>9.979869574E9</v>
      </c>
      <c r="H886" s="7">
        <v>9.712380107E9</v>
      </c>
      <c r="I886" s="96">
        <v>12500.0</v>
      </c>
      <c r="J886" s="7" t="s">
        <v>4491</v>
      </c>
      <c r="K886" s="100" t="s">
        <v>2562</v>
      </c>
      <c r="L886" s="214" t="s">
        <v>26</v>
      </c>
      <c r="M886" s="7" t="s">
        <v>4221</v>
      </c>
      <c r="N886" s="7" t="s">
        <v>28</v>
      </c>
      <c r="O886" s="96">
        <v>35413.0</v>
      </c>
      <c r="P886" s="96">
        <v>39668.0</v>
      </c>
      <c r="Q886" s="6">
        <v>51.0</v>
      </c>
      <c r="R886" s="12">
        <f t="shared" si="21"/>
        <v>18060.63</v>
      </c>
    </row>
    <row r="887">
      <c r="A887" s="7" t="s">
        <v>4485</v>
      </c>
      <c r="B887" s="100" t="s">
        <v>4559</v>
      </c>
      <c r="C887" s="8" t="s">
        <v>4560</v>
      </c>
      <c r="D887" s="100" t="s">
        <v>75</v>
      </c>
      <c r="E887" s="8" t="s">
        <v>4561</v>
      </c>
      <c r="F887" s="8" t="s">
        <v>4562</v>
      </c>
      <c r="G887" s="7">
        <v>7.874733734E9</v>
      </c>
      <c r="H887" s="7">
        <v>8.238387497E9</v>
      </c>
      <c r="I887" s="21">
        <v>995.0</v>
      </c>
      <c r="J887" s="7" t="s">
        <v>4563</v>
      </c>
      <c r="K887" s="100" t="s">
        <v>78</v>
      </c>
      <c r="L887" s="214" t="s">
        <v>49</v>
      </c>
      <c r="M887" s="7" t="s">
        <v>271</v>
      </c>
      <c r="N887" s="7" t="s">
        <v>28</v>
      </c>
      <c r="O887" s="21">
        <v>5386.0</v>
      </c>
      <c r="P887" s="21">
        <v>6087.0</v>
      </c>
      <c r="Q887" s="6">
        <v>50.0</v>
      </c>
      <c r="R887" s="12">
        <f t="shared" si="21"/>
        <v>2693</v>
      </c>
    </row>
    <row r="888">
      <c r="A888" s="7" t="s">
        <v>4496</v>
      </c>
      <c r="B888" s="100" t="s">
        <v>4564</v>
      </c>
      <c r="C888" s="8" t="s">
        <v>4565</v>
      </c>
      <c r="D888" s="100" t="s">
        <v>1759</v>
      </c>
      <c r="E888" s="8" t="s">
        <v>4566</v>
      </c>
      <c r="F888" s="8" t="s">
        <v>4567</v>
      </c>
      <c r="G888" s="7">
        <v>9.925982681E9</v>
      </c>
      <c r="H888" s="7">
        <v>6.351701864E9</v>
      </c>
      <c r="I888" s="21">
        <v>395.0</v>
      </c>
      <c r="J888" s="7" t="s">
        <v>4501</v>
      </c>
      <c r="K888" s="100" t="s">
        <v>143</v>
      </c>
      <c r="L888" s="214" t="s">
        <v>49</v>
      </c>
      <c r="M888" s="7" t="s">
        <v>4263</v>
      </c>
      <c r="N888" s="7" t="s">
        <v>28</v>
      </c>
      <c r="O888" s="96">
        <v>6188.0</v>
      </c>
      <c r="P888" s="96">
        <v>7302.0</v>
      </c>
      <c r="Q888" s="6">
        <v>55.0</v>
      </c>
      <c r="R888" s="12">
        <f t="shared" si="21"/>
        <v>3403.4</v>
      </c>
    </row>
    <row r="889">
      <c r="A889" s="7" t="s">
        <v>4496</v>
      </c>
      <c r="B889" s="100" t="s">
        <v>4568</v>
      </c>
      <c r="C889" s="8" t="s">
        <v>4569</v>
      </c>
      <c r="D889" s="100" t="s">
        <v>44</v>
      </c>
      <c r="E889" s="8" t="s">
        <v>4570</v>
      </c>
      <c r="F889" s="8" t="s">
        <v>4571</v>
      </c>
      <c r="G889" s="7">
        <v>8.485990493E9</v>
      </c>
      <c r="H889" s="7">
        <v>9.825285484E9</v>
      </c>
      <c r="I889" s="21">
        <v>1600.0</v>
      </c>
      <c r="J889" s="7" t="s">
        <v>4572</v>
      </c>
      <c r="K889" s="100" t="s">
        <v>78</v>
      </c>
      <c r="L889" s="214" t="s">
        <v>49</v>
      </c>
      <c r="M889" s="7" t="s">
        <v>4263</v>
      </c>
      <c r="N889" s="7" t="s">
        <v>28</v>
      </c>
      <c r="O889" s="96">
        <v>18268.0</v>
      </c>
      <c r="P889" s="97">
        <v>20593.0</v>
      </c>
      <c r="Q889" s="6">
        <v>60.0</v>
      </c>
      <c r="R889" s="12">
        <f t="shared" si="21"/>
        <v>10960.8</v>
      </c>
    </row>
    <row r="890">
      <c r="A890" s="7" t="s">
        <v>4506</v>
      </c>
      <c r="B890" s="100" t="s">
        <v>4573</v>
      </c>
      <c r="C890" s="8" t="s">
        <v>4574</v>
      </c>
      <c r="D890" s="100" t="s">
        <v>21</v>
      </c>
      <c r="E890" s="8" t="s">
        <v>4575</v>
      </c>
      <c r="F890" s="8" t="s">
        <v>4576</v>
      </c>
      <c r="G890" s="7" t="s">
        <v>4577</v>
      </c>
      <c r="H890" s="7">
        <v>7.046822149E9</v>
      </c>
      <c r="I890" s="21">
        <v>35000.0</v>
      </c>
      <c r="J890" s="7" t="s">
        <v>4572</v>
      </c>
      <c r="K890" s="100" t="s">
        <v>78</v>
      </c>
      <c r="L890" s="214" t="s">
        <v>49</v>
      </c>
      <c r="M890" s="7" t="s">
        <v>4263</v>
      </c>
      <c r="N890" s="7" t="s">
        <v>28</v>
      </c>
      <c r="O890" s="21">
        <v>48040.0</v>
      </c>
      <c r="P890" s="21">
        <v>54050.0</v>
      </c>
      <c r="Q890" s="6">
        <v>28.0</v>
      </c>
      <c r="R890" s="12">
        <f t="shared" si="21"/>
        <v>13451.2</v>
      </c>
    </row>
    <row r="891">
      <c r="A891" s="234">
        <v>45784.0</v>
      </c>
      <c r="B891" s="107" t="s">
        <v>4578</v>
      </c>
      <c r="C891" s="108" t="s">
        <v>4579</v>
      </c>
      <c r="D891" s="108" t="s">
        <v>21</v>
      </c>
      <c r="E891" s="108" t="s">
        <v>4463</v>
      </c>
      <c r="F891" s="108" t="s">
        <v>4580</v>
      </c>
      <c r="G891" s="108">
        <v>9.714204447E9</v>
      </c>
      <c r="H891" s="108">
        <v>9.099369398E9</v>
      </c>
      <c r="I891" s="114">
        <v>12990.0</v>
      </c>
      <c r="J891" s="235">
        <v>46149.0</v>
      </c>
      <c r="K891" s="107" t="s">
        <v>78</v>
      </c>
      <c r="L891" s="231" t="s">
        <v>49</v>
      </c>
      <c r="M891" s="63" t="s">
        <v>71</v>
      </c>
      <c r="N891" s="63" t="s">
        <v>28</v>
      </c>
      <c r="O891" s="116">
        <v>37319.16</v>
      </c>
      <c r="P891" s="116">
        <v>41918.0</v>
      </c>
      <c r="Q891" s="67">
        <v>28.0</v>
      </c>
      <c r="R891" s="30">
        <f t="shared" si="21"/>
        <v>10449.3648</v>
      </c>
    </row>
    <row r="892">
      <c r="A892" s="234">
        <v>45876.0</v>
      </c>
      <c r="B892" s="107" t="s">
        <v>4581</v>
      </c>
      <c r="C892" s="108" t="s">
        <v>4582</v>
      </c>
      <c r="D892" s="108" t="s">
        <v>21</v>
      </c>
      <c r="E892" s="108" t="s">
        <v>2405</v>
      </c>
      <c r="F892" s="108" t="s">
        <v>999</v>
      </c>
      <c r="G892" s="108">
        <v>9.979600037E9</v>
      </c>
      <c r="H892" s="108"/>
      <c r="I892" s="114">
        <v>28000.0</v>
      </c>
      <c r="J892" s="235">
        <v>46241.0</v>
      </c>
      <c r="K892" s="108" t="s">
        <v>353</v>
      </c>
      <c r="L892" s="231" t="s">
        <v>49</v>
      </c>
      <c r="M892" s="63" t="s">
        <v>27</v>
      </c>
      <c r="N892" s="63" t="s">
        <v>28</v>
      </c>
      <c r="O892" s="116">
        <v>48573.0</v>
      </c>
      <c r="P892" s="116">
        <v>54679.0</v>
      </c>
      <c r="Q892" s="67">
        <v>28.0</v>
      </c>
      <c r="R892" s="30">
        <f t="shared" si="21"/>
        <v>13600.44</v>
      </c>
    </row>
    <row r="893">
      <c r="A893" s="126"/>
      <c r="E893" s="126"/>
      <c r="L893" s="126"/>
    </row>
    <row r="894">
      <c r="G894" s="236"/>
      <c r="H894" s="236"/>
      <c r="L894" s="126"/>
    </row>
    <row r="895">
      <c r="A895" s="7" t="s">
        <v>4583</v>
      </c>
      <c r="B895" s="93" t="s">
        <v>4584</v>
      </c>
      <c r="C895" s="58" t="s">
        <v>4585</v>
      </c>
      <c r="D895" s="100" t="s">
        <v>1395</v>
      </c>
      <c r="E895" s="58" t="s">
        <v>4586</v>
      </c>
      <c r="F895" s="58" t="s">
        <v>4587</v>
      </c>
      <c r="G895" s="7">
        <v>7.38317157E9</v>
      </c>
      <c r="H895" s="7"/>
      <c r="I895" s="88">
        <v>2435.0</v>
      </c>
      <c r="J895" s="8" t="s">
        <v>4514</v>
      </c>
      <c r="K895" s="8" t="s">
        <v>4339</v>
      </c>
      <c r="L895" s="224" t="s">
        <v>49</v>
      </c>
      <c r="M895" s="7" t="s">
        <v>71</v>
      </c>
      <c r="N895" s="7" t="s">
        <v>28</v>
      </c>
      <c r="O895" s="90">
        <v>17632.0</v>
      </c>
      <c r="P895" s="90">
        <v>19843.0</v>
      </c>
      <c r="Q895" s="6">
        <v>63.0</v>
      </c>
      <c r="R895" s="12">
        <f t="shared" ref="R895:R926" si="22">O895*Q895%</f>
        <v>11108.16</v>
      </c>
    </row>
    <row r="896">
      <c r="A896" s="7" t="s">
        <v>4583</v>
      </c>
      <c r="B896" s="93" t="s">
        <v>4588</v>
      </c>
      <c r="C896" s="58" t="s">
        <v>4589</v>
      </c>
      <c r="D896" s="100" t="s">
        <v>21</v>
      </c>
      <c r="E896" s="58" t="s">
        <v>2218</v>
      </c>
      <c r="F896" s="58" t="s">
        <v>4590</v>
      </c>
      <c r="G896" s="7">
        <v>8.128214132E9</v>
      </c>
      <c r="H896" s="7"/>
      <c r="I896" s="88">
        <v>35000.0</v>
      </c>
      <c r="J896" s="58" t="s">
        <v>4591</v>
      </c>
      <c r="K896" s="8" t="s">
        <v>65</v>
      </c>
      <c r="L896" s="224" t="s">
        <v>26</v>
      </c>
      <c r="M896" s="7" t="s">
        <v>71</v>
      </c>
      <c r="N896" s="7" t="s">
        <v>28</v>
      </c>
      <c r="O896" s="88">
        <v>44050.0</v>
      </c>
      <c r="P896" s="88">
        <v>49342.0</v>
      </c>
      <c r="Q896" s="6">
        <v>47.0</v>
      </c>
      <c r="R896" s="12">
        <f t="shared" si="22"/>
        <v>20703.5</v>
      </c>
    </row>
    <row r="897">
      <c r="A897" s="7" t="s">
        <v>4592</v>
      </c>
      <c r="B897" s="237" t="s">
        <v>3488</v>
      </c>
      <c r="C897" s="58" t="s">
        <v>4593</v>
      </c>
      <c r="D897" s="100" t="s">
        <v>21</v>
      </c>
      <c r="E897" s="58" t="s">
        <v>4594</v>
      </c>
      <c r="F897" s="58" t="s">
        <v>4595</v>
      </c>
      <c r="G897" s="7" t="s">
        <v>4596</v>
      </c>
      <c r="H897" s="7" t="s">
        <v>4597</v>
      </c>
      <c r="I897" s="88">
        <v>55000.0</v>
      </c>
      <c r="J897" s="58" t="s">
        <v>4598</v>
      </c>
      <c r="K897" s="8" t="s">
        <v>3429</v>
      </c>
      <c r="L897" s="224" t="s">
        <v>49</v>
      </c>
      <c r="M897" s="7" t="s">
        <v>365</v>
      </c>
      <c r="N897" s="7" t="s">
        <v>28</v>
      </c>
      <c r="O897" s="88">
        <v>81587.0</v>
      </c>
      <c r="P897" s="88">
        <v>93618.0</v>
      </c>
      <c r="Q897" s="6">
        <v>22.0</v>
      </c>
      <c r="R897" s="12">
        <f t="shared" si="22"/>
        <v>17949.14</v>
      </c>
    </row>
    <row r="898">
      <c r="A898" s="7" t="s">
        <v>4592</v>
      </c>
      <c r="B898" s="237" t="s">
        <v>3488</v>
      </c>
      <c r="C898" s="58" t="s">
        <v>4599</v>
      </c>
      <c r="D898" s="100" t="s">
        <v>21</v>
      </c>
      <c r="E898" s="58" t="s">
        <v>4594</v>
      </c>
      <c r="F898" s="58" t="s">
        <v>4595</v>
      </c>
      <c r="G898" s="7" t="s">
        <v>4596</v>
      </c>
      <c r="H898" s="7" t="s">
        <v>4597</v>
      </c>
      <c r="I898" s="21">
        <v>55000.0</v>
      </c>
      <c r="J898" s="58" t="s">
        <v>4598</v>
      </c>
      <c r="K898" s="8" t="s">
        <v>3429</v>
      </c>
      <c r="L898" s="224" t="s">
        <v>49</v>
      </c>
      <c r="M898" s="7" t="s">
        <v>365</v>
      </c>
      <c r="N898" s="7" t="s">
        <v>28</v>
      </c>
      <c r="O898" s="88">
        <v>81587.0</v>
      </c>
      <c r="P898" s="88">
        <v>93618.0</v>
      </c>
      <c r="Q898" s="6">
        <v>22.0</v>
      </c>
      <c r="R898" s="12">
        <f t="shared" si="22"/>
        <v>17949.14</v>
      </c>
    </row>
    <row r="899">
      <c r="A899" s="7" t="s">
        <v>4600</v>
      </c>
      <c r="B899" s="93" t="s">
        <v>4601</v>
      </c>
      <c r="C899" s="58" t="s">
        <v>4602</v>
      </c>
      <c r="D899" s="100" t="s">
        <v>21</v>
      </c>
      <c r="E899" s="58" t="s">
        <v>4102</v>
      </c>
      <c r="F899" s="58" t="s">
        <v>4603</v>
      </c>
      <c r="G899" s="7">
        <v>9.924955553E9</v>
      </c>
      <c r="H899" s="7">
        <v>9.512355553E9</v>
      </c>
      <c r="I899" s="88">
        <v>28000.0</v>
      </c>
      <c r="J899" s="58" t="s">
        <v>4604</v>
      </c>
      <c r="K899" s="86" t="s">
        <v>65</v>
      </c>
      <c r="L899" s="224" t="s">
        <v>26</v>
      </c>
      <c r="M899" s="7" t="s">
        <v>27</v>
      </c>
      <c r="N899" s="7" t="s">
        <v>28</v>
      </c>
      <c r="O899" s="88">
        <v>44050.0</v>
      </c>
      <c r="P899" s="88">
        <v>49342.0</v>
      </c>
      <c r="Q899" s="6">
        <v>50.0</v>
      </c>
      <c r="R899" s="12">
        <f t="shared" si="22"/>
        <v>22025</v>
      </c>
    </row>
    <row r="900">
      <c r="A900" s="7" t="s">
        <v>4605</v>
      </c>
      <c r="B900" s="93" t="s">
        <v>4606</v>
      </c>
      <c r="C900" s="58" t="s">
        <v>4607</v>
      </c>
      <c r="D900" s="100" t="s">
        <v>21</v>
      </c>
      <c r="E900" s="58" t="s">
        <v>4608</v>
      </c>
      <c r="F900" s="58" t="s">
        <v>4140</v>
      </c>
      <c r="G900" s="7">
        <v>9.825765417E9</v>
      </c>
      <c r="H900" s="7"/>
      <c r="I900" s="88">
        <v>25000.0</v>
      </c>
      <c r="J900" s="58" t="s">
        <v>4609</v>
      </c>
      <c r="K900" s="8" t="s">
        <v>65</v>
      </c>
      <c r="L900" s="224" t="s">
        <v>26</v>
      </c>
      <c r="M900" s="7" t="s">
        <v>71</v>
      </c>
      <c r="N900" s="7" t="s">
        <v>28</v>
      </c>
      <c r="O900" s="88">
        <v>44050.0</v>
      </c>
      <c r="P900" s="88">
        <v>49342.0</v>
      </c>
      <c r="Q900" s="6">
        <v>50.0</v>
      </c>
      <c r="R900" s="12">
        <f t="shared" si="22"/>
        <v>22025</v>
      </c>
    </row>
    <row r="901">
      <c r="A901" s="7" t="s">
        <v>4605</v>
      </c>
      <c r="B901" s="93" t="s">
        <v>4610</v>
      </c>
      <c r="C901" s="58" t="s">
        <v>4611</v>
      </c>
      <c r="D901" s="100" t="s">
        <v>21</v>
      </c>
      <c r="E901" s="58" t="s">
        <v>4102</v>
      </c>
      <c r="F901" s="58" t="s">
        <v>4612</v>
      </c>
      <c r="G901" s="7">
        <v>9.879766747E9</v>
      </c>
      <c r="H901" s="7"/>
      <c r="I901" s="88">
        <v>28000.0</v>
      </c>
      <c r="J901" s="58" t="s">
        <v>4613</v>
      </c>
      <c r="K901" s="8" t="s">
        <v>65</v>
      </c>
      <c r="L901" s="224" t="s">
        <v>26</v>
      </c>
      <c r="M901" s="7" t="s">
        <v>71</v>
      </c>
      <c r="N901" s="7" t="s">
        <v>28</v>
      </c>
      <c r="O901" s="88">
        <v>44050.0</v>
      </c>
      <c r="P901" s="88">
        <v>49342.0</v>
      </c>
      <c r="Q901" s="6">
        <v>50.0</v>
      </c>
      <c r="R901" s="12">
        <f t="shared" si="22"/>
        <v>22025</v>
      </c>
    </row>
    <row r="902">
      <c r="A902" s="14">
        <v>45665.0</v>
      </c>
      <c r="B902" s="100" t="s">
        <v>4614</v>
      </c>
      <c r="C902" s="8" t="s">
        <v>4615</v>
      </c>
      <c r="D902" s="100" t="s">
        <v>1395</v>
      </c>
      <c r="E902" s="8" t="s">
        <v>1690</v>
      </c>
      <c r="F902" s="8" t="s">
        <v>4616</v>
      </c>
      <c r="G902" s="7">
        <v>9.879872759E9</v>
      </c>
      <c r="H902" s="7">
        <v>9.662880933E9</v>
      </c>
      <c r="I902" s="21">
        <v>1600.0</v>
      </c>
      <c r="J902" s="14">
        <v>46061.0</v>
      </c>
      <c r="K902" s="8" t="s">
        <v>70</v>
      </c>
      <c r="L902" s="224" t="s">
        <v>49</v>
      </c>
      <c r="M902" s="7" t="s">
        <v>4617</v>
      </c>
      <c r="N902" s="7" t="s">
        <v>28</v>
      </c>
      <c r="O902" s="97">
        <v>20242.0</v>
      </c>
      <c r="P902" s="97">
        <v>22923.0</v>
      </c>
      <c r="Q902" s="6">
        <v>63.0</v>
      </c>
      <c r="R902" s="12">
        <f t="shared" si="22"/>
        <v>12752.46</v>
      </c>
    </row>
    <row r="903">
      <c r="A903" s="14">
        <v>45696.0</v>
      </c>
      <c r="B903" s="100" t="s">
        <v>4618</v>
      </c>
      <c r="C903" s="8" t="s">
        <v>4619</v>
      </c>
      <c r="D903" s="100" t="s">
        <v>1395</v>
      </c>
      <c r="E903" s="8" t="s">
        <v>1106</v>
      </c>
      <c r="F903" s="8" t="s">
        <v>4620</v>
      </c>
      <c r="G903" s="7" t="s">
        <v>4621</v>
      </c>
      <c r="H903" s="7"/>
      <c r="I903" s="21">
        <v>2820.0</v>
      </c>
      <c r="J903" s="217">
        <v>46061.0</v>
      </c>
      <c r="K903" s="8" t="s">
        <v>65</v>
      </c>
      <c r="L903" s="224" t="s">
        <v>26</v>
      </c>
      <c r="M903" s="7" t="s">
        <v>3028</v>
      </c>
      <c r="N903" s="7" t="s">
        <v>28</v>
      </c>
      <c r="O903" s="21">
        <v>16149.0</v>
      </c>
      <c r="P903" s="21">
        <v>18093.0</v>
      </c>
      <c r="Q903" s="6">
        <v>57.0</v>
      </c>
      <c r="R903" s="12">
        <f t="shared" si="22"/>
        <v>9204.93</v>
      </c>
    </row>
    <row r="904">
      <c r="A904" s="14">
        <v>45696.0</v>
      </c>
      <c r="B904" s="100" t="s">
        <v>4622</v>
      </c>
      <c r="C904" s="8" t="s">
        <v>4623</v>
      </c>
      <c r="D904" s="100" t="s">
        <v>1395</v>
      </c>
      <c r="E904" s="8" t="s">
        <v>4509</v>
      </c>
      <c r="F904" s="8" t="s">
        <v>4624</v>
      </c>
      <c r="G904" s="7" t="s">
        <v>4625</v>
      </c>
      <c r="H904" s="7" t="s">
        <v>4626</v>
      </c>
      <c r="I904" s="21">
        <v>1600.0</v>
      </c>
      <c r="J904" s="14">
        <v>46211.0</v>
      </c>
      <c r="K904" s="8" t="s">
        <v>70</v>
      </c>
      <c r="L904" s="224" t="s">
        <v>49</v>
      </c>
      <c r="M904" s="7" t="s">
        <v>27</v>
      </c>
      <c r="N904" s="7" t="s">
        <v>28</v>
      </c>
      <c r="O904" s="97">
        <v>18902.0</v>
      </c>
      <c r="P904" s="97">
        <v>21341.0</v>
      </c>
      <c r="Q904" s="6">
        <v>63.0</v>
      </c>
      <c r="R904" s="12">
        <f t="shared" si="22"/>
        <v>11908.26</v>
      </c>
    </row>
    <row r="905">
      <c r="A905" s="14">
        <v>45724.0</v>
      </c>
      <c r="B905" s="93" t="s">
        <v>4627</v>
      </c>
      <c r="C905" s="58" t="s">
        <v>4628</v>
      </c>
      <c r="D905" s="100" t="s">
        <v>1395</v>
      </c>
      <c r="E905" s="58" t="s">
        <v>4629</v>
      </c>
      <c r="F905" s="58" t="s">
        <v>4630</v>
      </c>
      <c r="G905" s="7">
        <v>9.510801847E9</v>
      </c>
      <c r="H905" s="7"/>
      <c r="I905" s="88">
        <v>1426.0</v>
      </c>
      <c r="J905" s="14">
        <v>46211.0</v>
      </c>
      <c r="K905" s="8" t="s">
        <v>70</v>
      </c>
      <c r="L905" s="224" t="s">
        <v>49</v>
      </c>
      <c r="M905" s="7" t="s">
        <v>71</v>
      </c>
      <c r="N905" s="7" t="s">
        <v>28</v>
      </c>
      <c r="O905" s="90">
        <v>17035.0</v>
      </c>
      <c r="P905" s="90">
        <v>19138.0</v>
      </c>
      <c r="Q905" s="6">
        <v>63.0</v>
      </c>
      <c r="R905" s="12">
        <f t="shared" si="22"/>
        <v>10732.05</v>
      </c>
    </row>
    <row r="906">
      <c r="A906" s="14">
        <v>45755.0</v>
      </c>
      <c r="B906" s="100" t="s">
        <v>4631</v>
      </c>
      <c r="C906" s="8" t="s">
        <v>4632</v>
      </c>
      <c r="D906" s="100" t="s">
        <v>533</v>
      </c>
      <c r="E906" s="8" t="s">
        <v>3035</v>
      </c>
      <c r="F906" s="8" t="s">
        <v>4633</v>
      </c>
      <c r="G906" s="7"/>
      <c r="H906" s="7"/>
      <c r="I906" s="8"/>
      <c r="J906" s="14">
        <v>46089.0</v>
      </c>
      <c r="K906" s="8" t="s">
        <v>25</v>
      </c>
      <c r="L906" s="224" t="s">
        <v>49</v>
      </c>
      <c r="M906" s="7" t="s">
        <v>27</v>
      </c>
      <c r="N906" s="7" t="s">
        <v>28</v>
      </c>
      <c r="O906" s="97">
        <v>1710.0</v>
      </c>
      <c r="P906" s="97">
        <v>2019.0</v>
      </c>
      <c r="Q906" s="6">
        <v>56.0</v>
      </c>
      <c r="R906" s="12">
        <f t="shared" si="22"/>
        <v>957.6</v>
      </c>
    </row>
    <row r="907">
      <c r="A907" s="14">
        <v>45785.0</v>
      </c>
      <c r="B907" s="100" t="s">
        <v>4634</v>
      </c>
      <c r="C907" s="8" t="s">
        <v>4635</v>
      </c>
      <c r="D907" s="100" t="s">
        <v>21</v>
      </c>
      <c r="E907" s="8" t="s">
        <v>4636</v>
      </c>
      <c r="F907" s="8" t="s">
        <v>4637</v>
      </c>
      <c r="G907" s="7">
        <v>9.879457882E9</v>
      </c>
      <c r="H907" s="7">
        <v>8.160914166E9</v>
      </c>
      <c r="I907" s="21">
        <v>11900.0</v>
      </c>
      <c r="J907" s="128">
        <v>46181.0</v>
      </c>
      <c r="K907" s="8" t="s">
        <v>65</v>
      </c>
      <c r="L907" s="224" t="s">
        <v>26</v>
      </c>
      <c r="M907" s="7" t="s">
        <v>4638</v>
      </c>
      <c r="N907" s="7" t="s">
        <v>28</v>
      </c>
      <c r="O907" s="21">
        <v>27286.0</v>
      </c>
      <c r="P907" s="21">
        <v>30566.0</v>
      </c>
      <c r="Q907" s="6">
        <v>47.0</v>
      </c>
      <c r="R907" s="12">
        <f t="shared" si="22"/>
        <v>12824.42</v>
      </c>
    </row>
    <row r="908">
      <c r="A908" s="14">
        <v>45785.0</v>
      </c>
      <c r="B908" s="100" t="s">
        <v>4639</v>
      </c>
      <c r="C908" s="8" t="s">
        <v>4640</v>
      </c>
      <c r="D908" s="100" t="s">
        <v>1395</v>
      </c>
      <c r="E908" s="8" t="s">
        <v>4641</v>
      </c>
      <c r="F908" s="8" t="s">
        <v>4642</v>
      </c>
      <c r="G908" s="7">
        <v>9.724566096E9</v>
      </c>
      <c r="H908" s="7"/>
      <c r="I908" s="21">
        <v>1600.0</v>
      </c>
      <c r="J908" s="128">
        <v>46150.0</v>
      </c>
      <c r="K908" s="8" t="s">
        <v>70</v>
      </c>
      <c r="L908" s="224" t="s">
        <v>49</v>
      </c>
      <c r="M908" s="7" t="s">
        <v>71</v>
      </c>
      <c r="N908" s="7" t="s">
        <v>28</v>
      </c>
      <c r="O908" s="97">
        <v>19672.0</v>
      </c>
      <c r="P908" s="97">
        <v>22250.0</v>
      </c>
      <c r="Q908" s="6">
        <v>63.0</v>
      </c>
      <c r="R908" s="12">
        <f t="shared" si="22"/>
        <v>12393.36</v>
      </c>
    </row>
    <row r="909">
      <c r="A909" s="14">
        <v>45846.0</v>
      </c>
      <c r="B909" s="100" t="s">
        <v>4643</v>
      </c>
      <c r="C909" s="8" t="s">
        <v>4644</v>
      </c>
      <c r="D909" s="100" t="s">
        <v>1395</v>
      </c>
      <c r="E909" s="8" t="s">
        <v>4641</v>
      </c>
      <c r="F909" s="8" t="s">
        <v>4641</v>
      </c>
      <c r="G909" s="7">
        <v>9.9242827762E10</v>
      </c>
      <c r="H909" s="7"/>
      <c r="I909" s="21">
        <v>1600.0</v>
      </c>
      <c r="J909" s="22">
        <v>46150.0</v>
      </c>
      <c r="K909" s="8" t="s">
        <v>70</v>
      </c>
      <c r="L909" s="224" t="s">
        <v>49</v>
      </c>
      <c r="M909" s="7" t="s">
        <v>71</v>
      </c>
      <c r="N909" s="7" t="s">
        <v>28</v>
      </c>
      <c r="O909" s="97">
        <v>17204.0</v>
      </c>
      <c r="P909" s="97">
        <v>19338.0</v>
      </c>
      <c r="Q909" s="6">
        <v>63.0</v>
      </c>
      <c r="R909" s="12">
        <f t="shared" si="22"/>
        <v>10838.52</v>
      </c>
    </row>
    <row r="910">
      <c r="A910" s="14">
        <v>45846.0</v>
      </c>
      <c r="B910" s="100" t="s">
        <v>4645</v>
      </c>
      <c r="C910" s="8" t="s">
        <v>4646</v>
      </c>
      <c r="D910" s="100" t="s">
        <v>1395</v>
      </c>
      <c r="E910" s="8" t="s">
        <v>4509</v>
      </c>
      <c r="F910" s="8" t="s">
        <v>4647</v>
      </c>
      <c r="G910" s="7" t="s">
        <v>4648</v>
      </c>
      <c r="H910" s="7">
        <v>9.72540013E9</v>
      </c>
      <c r="I910" s="21">
        <v>1600.0</v>
      </c>
      <c r="J910" s="22">
        <v>46181.0</v>
      </c>
      <c r="K910" s="8" t="s">
        <v>70</v>
      </c>
      <c r="L910" s="224" t="s">
        <v>49</v>
      </c>
      <c r="M910" s="7" t="s">
        <v>365</v>
      </c>
      <c r="N910" s="7" t="s">
        <v>28</v>
      </c>
      <c r="O910" s="97">
        <v>19608.0</v>
      </c>
      <c r="P910" s="97">
        <v>22174.0</v>
      </c>
      <c r="Q910" s="6">
        <v>63.0</v>
      </c>
      <c r="R910" s="12">
        <f t="shared" si="22"/>
        <v>12353.04</v>
      </c>
    </row>
    <row r="911">
      <c r="A911" s="14">
        <v>45938.0</v>
      </c>
      <c r="B911" s="100" t="s">
        <v>4649</v>
      </c>
      <c r="C911" s="8" t="s">
        <v>4650</v>
      </c>
      <c r="D911" s="100" t="s">
        <v>21</v>
      </c>
      <c r="E911" s="8" t="s">
        <v>1123</v>
      </c>
      <c r="F911" s="8" t="s">
        <v>4651</v>
      </c>
      <c r="G911" s="7">
        <v>9.87984388E9</v>
      </c>
      <c r="H911" s="7"/>
      <c r="I911" s="22">
        <v>25000.0</v>
      </c>
      <c r="J911" s="22">
        <v>46242.0</v>
      </c>
      <c r="K911" s="8" t="s">
        <v>25</v>
      </c>
      <c r="L911" s="224" t="s">
        <v>26</v>
      </c>
      <c r="M911" s="7" t="s">
        <v>27</v>
      </c>
      <c r="N911" s="11" t="s">
        <v>28</v>
      </c>
      <c r="O911" s="21">
        <v>44050.0</v>
      </c>
      <c r="P911" s="21">
        <v>49342.0</v>
      </c>
      <c r="Q911" s="6">
        <v>49.0</v>
      </c>
      <c r="R911" s="12">
        <f t="shared" si="22"/>
        <v>21584.5</v>
      </c>
    </row>
    <row r="912">
      <c r="A912" s="7" t="s">
        <v>4652</v>
      </c>
      <c r="B912" s="93" t="s">
        <v>4653</v>
      </c>
      <c r="C912" s="58" t="s">
        <v>4654</v>
      </c>
      <c r="D912" s="100" t="s">
        <v>44</v>
      </c>
      <c r="E912" s="58" t="s">
        <v>4655</v>
      </c>
      <c r="F912" s="58" t="s">
        <v>4656</v>
      </c>
      <c r="G912" s="62">
        <v>9.909640199E9</v>
      </c>
      <c r="H912" s="7">
        <v>9.737435705E9</v>
      </c>
      <c r="I912" s="88">
        <v>2275.0</v>
      </c>
      <c r="J912" s="60">
        <v>46226.0</v>
      </c>
      <c r="K912" s="8" t="s">
        <v>4339</v>
      </c>
      <c r="L912" s="214" t="s">
        <v>49</v>
      </c>
      <c r="M912" s="7" t="s">
        <v>4221</v>
      </c>
      <c r="N912" s="7" t="s">
        <v>28</v>
      </c>
      <c r="O912" s="90">
        <v>18772.0</v>
      </c>
      <c r="P912" s="134">
        <v>21188.0</v>
      </c>
      <c r="Q912" s="6">
        <v>63.0</v>
      </c>
      <c r="R912" s="12">
        <f t="shared" si="22"/>
        <v>11826.36</v>
      </c>
    </row>
    <row r="913">
      <c r="A913" s="7" t="s">
        <v>4652</v>
      </c>
      <c r="B913" s="100" t="s">
        <v>4657</v>
      </c>
      <c r="C913" s="58" t="s">
        <v>4658</v>
      </c>
      <c r="D913" s="100" t="s">
        <v>44</v>
      </c>
      <c r="E913" s="58" t="s">
        <v>528</v>
      </c>
      <c r="F913" s="58" t="s">
        <v>4659</v>
      </c>
      <c r="G913" s="7">
        <v>9.824391626E9</v>
      </c>
      <c r="H913" s="7">
        <v>9.998667161E9</v>
      </c>
      <c r="I913" s="88">
        <v>2620.0</v>
      </c>
      <c r="J913" s="62" t="s">
        <v>4591</v>
      </c>
      <c r="K913" s="7" t="s">
        <v>65</v>
      </c>
      <c r="L913" s="214" t="s">
        <v>26</v>
      </c>
      <c r="M913" s="7" t="s">
        <v>4221</v>
      </c>
      <c r="N913" s="7" t="s">
        <v>28</v>
      </c>
      <c r="O913" s="88">
        <v>16149.0</v>
      </c>
      <c r="P913" s="88">
        <v>18093.0</v>
      </c>
      <c r="Q913" s="6">
        <v>57.0</v>
      </c>
      <c r="R913" s="12">
        <f t="shared" si="22"/>
        <v>9204.93</v>
      </c>
    </row>
    <row r="914">
      <c r="A914" s="7" t="s">
        <v>4583</v>
      </c>
      <c r="B914" s="93" t="s">
        <v>4660</v>
      </c>
      <c r="C914" s="58" t="s">
        <v>4661</v>
      </c>
      <c r="D914" s="100" t="s">
        <v>75</v>
      </c>
      <c r="E914" s="58" t="s">
        <v>4662</v>
      </c>
      <c r="F914" s="58" t="s">
        <v>4663</v>
      </c>
      <c r="G914" s="7">
        <v>9.426755511E9</v>
      </c>
      <c r="H914" s="7">
        <v>9.558773945E9</v>
      </c>
      <c r="I914" s="88">
        <v>975.0</v>
      </c>
      <c r="J914" s="62" t="s">
        <v>4495</v>
      </c>
      <c r="K914" s="7" t="s">
        <v>668</v>
      </c>
      <c r="L914" s="214" t="s">
        <v>49</v>
      </c>
      <c r="M914" s="7" t="s">
        <v>4226</v>
      </c>
      <c r="N914" s="7" t="s">
        <v>28</v>
      </c>
      <c r="O914" s="88">
        <v>5175.0</v>
      </c>
      <c r="P914" s="88">
        <v>5837.0</v>
      </c>
      <c r="Q914" s="6">
        <v>51.0</v>
      </c>
      <c r="R914" s="12">
        <f t="shared" si="22"/>
        <v>2639.25</v>
      </c>
    </row>
    <row r="915">
      <c r="A915" s="7" t="s">
        <v>4583</v>
      </c>
      <c r="B915" s="93" t="s">
        <v>4664</v>
      </c>
      <c r="C915" s="58" t="s">
        <v>4665</v>
      </c>
      <c r="D915" s="100" t="s">
        <v>44</v>
      </c>
      <c r="E915" s="58" t="s">
        <v>4666</v>
      </c>
      <c r="F915" s="58" t="s">
        <v>4667</v>
      </c>
      <c r="G915" s="7">
        <v>9.909640199E9</v>
      </c>
      <c r="H915" s="7">
        <v>9.737435705E9</v>
      </c>
      <c r="I915" s="88">
        <v>2275.0</v>
      </c>
      <c r="J915" s="62" t="s">
        <v>4495</v>
      </c>
      <c r="K915" s="8" t="s">
        <v>4339</v>
      </c>
      <c r="L915" s="214" t="s">
        <v>49</v>
      </c>
      <c r="M915" s="7" t="s">
        <v>4221</v>
      </c>
      <c r="N915" s="7" t="s">
        <v>28</v>
      </c>
      <c r="O915" s="134">
        <v>18772.0</v>
      </c>
      <c r="P915" s="90">
        <v>21188.0</v>
      </c>
      <c r="Q915" s="6">
        <v>63.0</v>
      </c>
      <c r="R915" s="12">
        <f t="shared" si="22"/>
        <v>11826.36</v>
      </c>
    </row>
    <row r="916">
      <c r="A916" s="7" t="s">
        <v>4583</v>
      </c>
      <c r="B916" s="93" t="s">
        <v>4668</v>
      </c>
      <c r="C916" s="58" t="s">
        <v>4669</v>
      </c>
      <c r="D916" s="100" t="s">
        <v>44</v>
      </c>
      <c r="E916" s="58" t="s">
        <v>262</v>
      </c>
      <c r="F916" s="58" t="s">
        <v>4670</v>
      </c>
      <c r="G916" s="7">
        <v>9.909640199E9</v>
      </c>
      <c r="H916" s="62">
        <v>9.737435705E9</v>
      </c>
      <c r="I916" s="88">
        <v>1600.0</v>
      </c>
      <c r="J916" s="62" t="s">
        <v>4495</v>
      </c>
      <c r="K916" s="8" t="s">
        <v>4339</v>
      </c>
      <c r="L916" s="214" t="s">
        <v>49</v>
      </c>
      <c r="M916" s="7" t="s">
        <v>4221</v>
      </c>
      <c r="N916" s="7" t="s">
        <v>28</v>
      </c>
      <c r="O916" s="90">
        <v>18147.0</v>
      </c>
      <c r="P916" s="90">
        <v>20451.0</v>
      </c>
      <c r="Q916" s="6">
        <v>63.0</v>
      </c>
      <c r="R916" s="12">
        <f t="shared" si="22"/>
        <v>11432.61</v>
      </c>
    </row>
    <row r="917">
      <c r="A917" s="7" t="s">
        <v>4583</v>
      </c>
      <c r="B917" s="93" t="s">
        <v>4671</v>
      </c>
      <c r="C917" s="58" t="s">
        <v>4672</v>
      </c>
      <c r="D917" s="100" t="s">
        <v>44</v>
      </c>
      <c r="E917" s="58" t="s">
        <v>528</v>
      </c>
      <c r="F917" s="58" t="s">
        <v>4673</v>
      </c>
      <c r="G917" s="7">
        <v>9.998667161E9</v>
      </c>
      <c r="H917" s="7">
        <v>9.824391626E9</v>
      </c>
      <c r="I917" s="88">
        <v>2990.0</v>
      </c>
      <c r="J917" s="62" t="s">
        <v>4674</v>
      </c>
      <c r="K917" s="7" t="s">
        <v>65</v>
      </c>
      <c r="L917" s="214" t="s">
        <v>26</v>
      </c>
      <c r="M917" s="7" t="s">
        <v>4221</v>
      </c>
      <c r="N917" s="7" t="s">
        <v>28</v>
      </c>
      <c r="O917" s="90">
        <v>16149.0</v>
      </c>
      <c r="P917" s="90">
        <v>18093.0</v>
      </c>
      <c r="Q917" s="6">
        <v>57.0</v>
      </c>
      <c r="R917" s="12">
        <f t="shared" si="22"/>
        <v>9204.93</v>
      </c>
    </row>
    <row r="918">
      <c r="A918" s="7" t="s">
        <v>4600</v>
      </c>
      <c r="B918" s="100" t="s">
        <v>4675</v>
      </c>
      <c r="C918" s="58" t="s">
        <v>4676</v>
      </c>
      <c r="D918" s="100" t="s">
        <v>1759</v>
      </c>
      <c r="E918" s="58" t="s">
        <v>4677</v>
      </c>
      <c r="F918" s="58" t="s">
        <v>4678</v>
      </c>
      <c r="G918" s="7">
        <v>9.925982681E9</v>
      </c>
      <c r="H918" s="7">
        <v>6.351701864E9</v>
      </c>
      <c r="I918" s="88">
        <v>395.0</v>
      </c>
      <c r="J918" s="62" t="s">
        <v>4679</v>
      </c>
      <c r="K918" s="62" t="s">
        <v>143</v>
      </c>
      <c r="L918" s="214" t="s">
        <v>49</v>
      </c>
      <c r="M918" s="7" t="s">
        <v>4263</v>
      </c>
      <c r="N918" s="7" t="s">
        <v>28</v>
      </c>
      <c r="O918" s="134">
        <v>5903.0</v>
      </c>
      <c r="P918" s="134">
        <v>6966.0</v>
      </c>
      <c r="Q918" s="6">
        <v>55.0</v>
      </c>
      <c r="R918" s="12">
        <f t="shared" si="22"/>
        <v>3246.65</v>
      </c>
    </row>
    <row r="919">
      <c r="A919" s="7" t="s">
        <v>4600</v>
      </c>
      <c r="B919" s="93" t="s">
        <v>4680</v>
      </c>
      <c r="C919" s="58" t="s">
        <v>4681</v>
      </c>
      <c r="D919" s="100" t="s">
        <v>44</v>
      </c>
      <c r="E919" s="58" t="s">
        <v>4044</v>
      </c>
      <c r="F919" s="58" t="s">
        <v>4682</v>
      </c>
      <c r="G919" s="7" t="s">
        <v>4683</v>
      </c>
      <c r="H919" s="7">
        <v>9.662602868E9</v>
      </c>
      <c r="I919" s="88">
        <v>1550.0</v>
      </c>
      <c r="J919" s="62" t="s">
        <v>4679</v>
      </c>
      <c r="K919" s="8" t="s">
        <v>4339</v>
      </c>
      <c r="L919" s="214" t="s">
        <v>49</v>
      </c>
      <c r="M919" s="7" t="s">
        <v>4263</v>
      </c>
      <c r="N919" s="7" t="s">
        <v>28</v>
      </c>
      <c r="O919" s="134">
        <v>17137.0</v>
      </c>
      <c r="P919" s="134">
        <v>19259.0</v>
      </c>
      <c r="Q919" s="6">
        <v>63.0</v>
      </c>
      <c r="R919" s="12">
        <f t="shared" si="22"/>
        <v>10796.31</v>
      </c>
    </row>
    <row r="920">
      <c r="A920" s="7" t="s">
        <v>4605</v>
      </c>
      <c r="B920" s="93" t="s">
        <v>4684</v>
      </c>
      <c r="C920" s="58" t="s">
        <v>4685</v>
      </c>
      <c r="D920" s="100" t="s">
        <v>1228</v>
      </c>
      <c r="E920" s="58" t="s">
        <v>528</v>
      </c>
      <c r="F920" s="58" t="s">
        <v>4686</v>
      </c>
      <c r="G920" s="7">
        <v>7.490042114E9</v>
      </c>
      <c r="H920" s="7">
        <v>8.264077786E9</v>
      </c>
      <c r="I920" s="88">
        <v>1493.0</v>
      </c>
      <c r="J920" s="62" t="s">
        <v>4679</v>
      </c>
      <c r="K920" s="8" t="s">
        <v>4339</v>
      </c>
      <c r="L920" s="214" t="s">
        <v>49</v>
      </c>
      <c r="M920" s="7" t="s">
        <v>151</v>
      </c>
      <c r="N920" s="7" t="s">
        <v>28</v>
      </c>
      <c r="O920" s="134">
        <v>19762.0</v>
      </c>
      <c r="P920" s="134">
        <v>23319.0</v>
      </c>
      <c r="Q920" s="6">
        <v>63.0</v>
      </c>
      <c r="R920" s="12">
        <f t="shared" si="22"/>
        <v>12450.06</v>
      </c>
    </row>
    <row r="921">
      <c r="A921" s="14">
        <v>45696.0</v>
      </c>
      <c r="B921" s="93" t="s">
        <v>4687</v>
      </c>
      <c r="C921" s="58" t="s">
        <v>4688</v>
      </c>
      <c r="D921" s="100" t="s">
        <v>44</v>
      </c>
      <c r="E921" s="58" t="s">
        <v>4689</v>
      </c>
      <c r="F921" s="58" t="s">
        <v>4690</v>
      </c>
      <c r="G921" s="7">
        <v>9.664516511E9</v>
      </c>
      <c r="H921" s="7" t="s">
        <v>4691</v>
      </c>
      <c r="I921" s="88">
        <v>2180.0</v>
      </c>
      <c r="J921" s="14">
        <v>46089.0</v>
      </c>
      <c r="K921" s="8" t="s">
        <v>4339</v>
      </c>
      <c r="L921" s="214" t="s">
        <v>26</v>
      </c>
      <c r="M921" s="7" t="s">
        <v>4263</v>
      </c>
      <c r="N921" s="7" t="s">
        <v>28</v>
      </c>
      <c r="O921" s="134">
        <v>16149.0</v>
      </c>
      <c r="P921" s="134">
        <v>18093.0</v>
      </c>
      <c r="Q921" s="6">
        <v>63.0</v>
      </c>
      <c r="R921" s="12">
        <f t="shared" si="22"/>
        <v>10173.87</v>
      </c>
    </row>
    <row r="922">
      <c r="A922" s="14">
        <v>45696.0</v>
      </c>
      <c r="B922" s="100" t="s">
        <v>4692</v>
      </c>
      <c r="C922" s="58" t="s">
        <v>4693</v>
      </c>
      <c r="D922" s="100" t="s">
        <v>44</v>
      </c>
      <c r="E922" s="58" t="s">
        <v>4694</v>
      </c>
      <c r="F922" s="58" t="s">
        <v>4695</v>
      </c>
      <c r="G922" s="7">
        <v>9.824391626E9</v>
      </c>
      <c r="H922" s="7">
        <v>9.998667161E9</v>
      </c>
      <c r="I922" s="88">
        <v>7490.0</v>
      </c>
      <c r="J922" s="60">
        <v>46030.0</v>
      </c>
      <c r="K922" s="62" t="s">
        <v>4696</v>
      </c>
      <c r="L922" s="214" t="s">
        <v>49</v>
      </c>
      <c r="M922" s="7" t="s">
        <v>4221</v>
      </c>
      <c r="N922" s="7" t="s">
        <v>28</v>
      </c>
      <c r="O922" s="90">
        <v>18317.0</v>
      </c>
      <c r="P922" s="90">
        <v>20652.0</v>
      </c>
      <c r="Q922" s="6">
        <v>35.0</v>
      </c>
      <c r="R922" s="12">
        <f t="shared" si="22"/>
        <v>6410.95</v>
      </c>
    </row>
    <row r="923">
      <c r="A923" s="14">
        <v>45846.0</v>
      </c>
      <c r="B923" s="93" t="s">
        <v>4697</v>
      </c>
      <c r="C923" s="58" t="s">
        <v>4698</v>
      </c>
      <c r="D923" s="100" t="s">
        <v>44</v>
      </c>
      <c r="E923" s="58" t="s">
        <v>4699</v>
      </c>
      <c r="F923" s="58" t="s">
        <v>4700</v>
      </c>
      <c r="G923" s="7">
        <v>9.724440734E9</v>
      </c>
      <c r="H923" s="7">
        <v>9.904193799E9</v>
      </c>
      <c r="I923" s="88">
        <v>1870.0</v>
      </c>
      <c r="J923" s="91">
        <v>45846.0</v>
      </c>
      <c r="K923" s="58" t="s">
        <v>4339</v>
      </c>
      <c r="L923" s="214" t="s">
        <v>26</v>
      </c>
      <c r="M923" s="7" t="s">
        <v>285</v>
      </c>
      <c r="N923" s="7" t="s">
        <v>28</v>
      </c>
      <c r="O923" s="90">
        <v>16524.0</v>
      </c>
      <c r="P923" s="90">
        <v>18535.0</v>
      </c>
      <c r="Q923" s="6">
        <v>63.0</v>
      </c>
      <c r="R923" s="12">
        <f t="shared" si="22"/>
        <v>10410.12</v>
      </c>
    </row>
    <row r="924">
      <c r="A924" s="14">
        <v>45846.0</v>
      </c>
      <c r="B924" s="93" t="s">
        <v>4701</v>
      </c>
      <c r="C924" s="58" t="s">
        <v>4702</v>
      </c>
      <c r="D924" s="100" t="s">
        <v>44</v>
      </c>
      <c r="E924" s="58" t="s">
        <v>528</v>
      </c>
      <c r="F924" s="58" t="s">
        <v>4703</v>
      </c>
      <c r="G924" s="7">
        <v>9.737014754E9</v>
      </c>
      <c r="H924" s="7">
        <v>8.78063289E9</v>
      </c>
      <c r="I924" s="88">
        <v>2670.0</v>
      </c>
      <c r="J924" s="94">
        <v>46242.0</v>
      </c>
      <c r="K924" s="8" t="s">
        <v>65</v>
      </c>
      <c r="L924" s="100" t="s">
        <v>26</v>
      </c>
      <c r="M924" s="7" t="s">
        <v>151</v>
      </c>
      <c r="N924" s="7" t="s">
        <v>28</v>
      </c>
      <c r="O924" s="90">
        <v>16149.0</v>
      </c>
      <c r="P924" s="90">
        <v>18093.0</v>
      </c>
      <c r="Q924" s="6">
        <v>57.0</v>
      </c>
      <c r="R924" s="12">
        <f t="shared" si="22"/>
        <v>9204.93</v>
      </c>
    </row>
    <row r="925">
      <c r="A925" s="238">
        <v>45969.0</v>
      </c>
      <c r="B925" s="127" t="s">
        <v>4704</v>
      </c>
      <c r="C925" s="58"/>
      <c r="D925" s="99" t="s">
        <v>1395</v>
      </c>
      <c r="E925" s="140" t="s">
        <v>4044</v>
      </c>
      <c r="F925" s="140" t="s">
        <v>4705</v>
      </c>
      <c r="G925" s="7"/>
      <c r="H925" s="7"/>
      <c r="I925" s="101">
        <v>2100.0</v>
      </c>
      <c r="J925" s="239">
        <v>46334.0</v>
      </c>
      <c r="K925" s="86" t="s">
        <v>70</v>
      </c>
      <c r="L925" s="99" t="s">
        <v>49</v>
      </c>
      <c r="M925" s="7"/>
      <c r="N925" s="7"/>
      <c r="O925" s="104">
        <v>17348.0</v>
      </c>
      <c r="P925" s="104">
        <v>19508.0</v>
      </c>
      <c r="Q925" s="6">
        <v>63.0</v>
      </c>
      <c r="R925" s="12">
        <f t="shared" si="22"/>
        <v>10929.24</v>
      </c>
    </row>
    <row r="926">
      <c r="A926" s="63" t="s">
        <v>4706</v>
      </c>
      <c r="B926" s="106" t="s">
        <v>4707</v>
      </c>
      <c r="C926" s="64" t="s">
        <v>4708</v>
      </c>
      <c r="D926" s="107" t="s">
        <v>1395</v>
      </c>
      <c r="E926" s="64" t="s">
        <v>846</v>
      </c>
      <c r="F926" s="64" t="s">
        <v>604</v>
      </c>
      <c r="G926" s="108" t="s">
        <v>619</v>
      </c>
      <c r="H926" s="108"/>
      <c r="I926" s="109">
        <v>3490.0</v>
      </c>
      <c r="J926" s="64" t="s">
        <v>4709</v>
      </c>
      <c r="K926" s="108" t="s">
        <v>25</v>
      </c>
      <c r="L926" s="231" t="s">
        <v>49</v>
      </c>
      <c r="M926" s="63" t="s">
        <v>27</v>
      </c>
      <c r="N926" s="63" t="s">
        <v>28</v>
      </c>
      <c r="O926" s="112">
        <v>23063.0</v>
      </c>
      <c r="P926" s="112">
        <v>26251.0</v>
      </c>
      <c r="Q926" s="6">
        <v>53.0</v>
      </c>
      <c r="R926" s="12">
        <f t="shared" si="22"/>
        <v>12223.39</v>
      </c>
    </row>
    <row r="927">
      <c r="A927" s="126"/>
      <c r="E927" s="126"/>
      <c r="L927" s="126"/>
    </row>
    <row r="928">
      <c r="A928" s="126"/>
      <c r="E928" s="126"/>
      <c r="L928" s="126"/>
    </row>
    <row r="929">
      <c r="A929" s="126"/>
      <c r="E929" s="126"/>
      <c r="L929" s="126"/>
    </row>
    <row r="930">
      <c r="A930" s="14">
        <v>45999.0</v>
      </c>
      <c r="B930" s="8" t="s">
        <v>4710</v>
      </c>
      <c r="C930" s="8" t="s">
        <v>4711</v>
      </c>
      <c r="D930" s="8" t="s">
        <v>1395</v>
      </c>
      <c r="E930" s="8" t="s">
        <v>811</v>
      </c>
      <c r="F930" s="8" t="s">
        <v>4712</v>
      </c>
      <c r="G930" s="21">
        <v>7.38317157E9</v>
      </c>
      <c r="H930" s="8"/>
      <c r="I930" s="21">
        <v>2450.0</v>
      </c>
      <c r="J930" s="21" t="s">
        <v>4713</v>
      </c>
      <c r="K930" s="8" t="s">
        <v>143</v>
      </c>
      <c r="L930" s="224" t="s">
        <v>26</v>
      </c>
      <c r="M930" s="8" t="s">
        <v>27</v>
      </c>
      <c r="N930" s="8" t="s">
        <v>28</v>
      </c>
      <c r="O930" s="97">
        <v>16149.0</v>
      </c>
      <c r="P930" s="97">
        <v>18093.0</v>
      </c>
      <c r="Q930" s="6">
        <v>61.0</v>
      </c>
      <c r="R930" s="12">
        <f t="shared" ref="R930:R944" si="23">O930*Q930%</f>
        <v>9850.89</v>
      </c>
    </row>
    <row r="931">
      <c r="A931" s="14">
        <v>45999.0</v>
      </c>
      <c r="B931" s="8" t="s">
        <v>4714</v>
      </c>
      <c r="C931" s="8" t="s">
        <v>4715</v>
      </c>
      <c r="D931" s="8" t="s">
        <v>1395</v>
      </c>
      <c r="E931" s="8" t="s">
        <v>4716</v>
      </c>
      <c r="F931" s="8" t="s">
        <v>4717</v>
      </c>
      <c r="G931" s="21">
        <v>9.90962411E9</v>
      </c>
      <c r="H931" s="8"/>
      <c r="I931" s="21">
        <v>3490.0</v>
      </c>
      <c r="J931" s="22">
        <v>46334.0</v>
      </c>
      <c r="K931" s="8" t="s">
        <v>25</v>
      </c>
      <c r="L931" s="224" t="s">
        <v>49</v>
      </c>
      <c r="M931" s="8" t="s">
        <v>27</v>
      </c>
      <c r="N931" s="8" t="s">
        <v>28</v>
      </c>
      <c r="O931" s="97">
        <v>22205.0</v>
      </c>
      <c r="P931" s="97">
        <v>25239.0</v>
      </c>
      <c r="Q931" s="6">
        <v>53.0</v>
      </c>
      <c r="R931" s="12">
        <f t="shared" si="23"/>
        <v>11768.65</v>
      </c>
    </row>
    <row r="932">
      <c r="A932" s="7" t="s">
        <v>4718</v>
      </c>
      <c r="B932" s="8" t="s">
        <v>4719</v>
      </c>
      <c r="C932" s="8" t="s">
        <v>4720</v>
      </c>
      <c r="D932" s="8" t="s">
        <v>1395</v>
      </c>
      <c r="E932" s="8" t="s">
        <v>4721</v>
      </c>
      <c r="F932" s="8" t="s">
        <v>4722</v>
      </c>
      <c r="G932" s="21">
        <v>9.925408717E9</v>
      </c>
      <c r="H932" s="8"/>
      <c r="I932" s="21">
        <v>1950.0</v>
      </c>
      <c r="J932" s="21" t="s">
        <v>4723</v>
      </c>
      <c r="K932" s="8" t="s">
        <v>70</v>
      </c>
      <c r="L932" s="224" t="s">
        <v>49</v>
      </c>
      <c r="M932" s="8" t="s">
        <v>71</v>
      </c>
      <c r="N932" s="8" t="s">
        <v>28</v>
      </c>
      <c r="O932" s="97">
        <v>17146.0</v>
      </c>
      <c r="P932" s="97">
        <v>19269.0</v>
      </c>
      <c r="Q932" s="6">
        <v>63.0</v>
      </c>
      <c r="R932" s="12">
        <f t="shared" si="23"/>
        <v>10801.98</v>
      </c>
    </row>
    <row r="933">
      <c r="A933" s="7" t="s">
        <v>4724</v>
      </c>
      <c r="B933" s="8" t="s">
        <v>4725</v>
      </c>
      <c r="C933" s="8" t="s">
        <v>4726</v>
      </c>
      <c r="D933" s="8" t="s">
        <v>21</v>
      </c>
      <c r="E933" s="8" t="s">
        <v>4608</v>
      </c>
      <c r="F933" s="8" t="s">
        <v>4727</v>
      </c>
      <c r="G933" s="21">
        <v>9.979600037E9</v>
      </c>
      <c r="H933" s="8"/>
      <c r="I933" s="21">
        <v>28000.0</v>
      </c>
      <c r="J933" s="21" t="s">
        <v>4728</v>
      </c>
      <c r="K933" s="8" t="s">
        <v>65</v>
      </c>
      <c r="L933" s="224" t="s">
        <v>26</v>
      </c>
      <c r="M933" s="8" t="s">
        <v>71</v>
      </c>
      <c r="N933" s="8" t="s">
        <v>28</v>
      </c>
      <c r="O933" s="21">
        <v>44050.0</v>
      </c>
      <c r="P933" s="21">
        <v>49342.0</v>
      </c>
      <c r="Q933" s="6">
        <v>50.0</v>
      </c>
      <c r="R933" s="12">
        <f t="shared" si="23"/>
        <v>22025</v>
      </c>
    </row>
    <row r="934">
      <c r="A934" s="7" t="s">
        <v>4729</v>
      </c>
      <c r="B934" s="8" t="s">
        <v>4730</v>
      </c>
      <c r="C934" s="8" t="s">
        <v>4731</v>
      </c>
      <c r="D934" s="8" t="s">
        <v>21</v>
      </c>
      <c r="E934" s="8" t="s">
        <v>4732</v>
      </c>
      <c r="F934" s="8" t="s">
        <v>3961</v>
      </c>
      <c r="G934" s="21">
        <v>9.537704952E9</v>
      </c>
      <c r="H934" s="21">
        <v>9.428277711E9</v>
      </c>
      <c r="I934" s="21">
        <v>35000.0</v>
      </c>
      <c r="J934" s="21" t="s">
        <v>4728</v>
      </c>
      <c r="K934" s="8" t="s">
        <v>65</v>
      </c>
      <c r="L934" s="224" t="s">
        <v>26</v>
      </c>
      <c r="M934" s="8" t="s">
        <v>71</v>
      </c>
      <c r="N934" s="8" t="s">
        <v>28</v>
      </c>
      <c r="O934" s="21">
        <v>44050.0</v>
      </c>
      <c r="P934" s="21">
        <v>49342.0</v>
      </c>
      <c r="Q934" s="6">
        <v>47.0</v>
      </c>
      <c r="R934" s="12">
        <f t="shared" si="23"/>
        <v>20703.5</v>
      </c>
    </row>
    <row r="935">
      <c r="A935" s="7" t="s">
        <v>4729</v>
      </c>
      <c r="B935" s="8" t="s">
        <v>4733</v>
      </c>
      <c r="C935" s="8" t="s">
        <v>4734</v>
      </c>
      <c r="D935" s="8" t="s">
        <v>1395</v>
      </c>
      <c r="E935" s="8" t="s">
        <v>4735</v>
      </c>
      <c r="F935" s="8" t="s">
        <v>4736</v>
      </c>
      <c r="G935" s="21">
        <v>9.904521586E9</v>
      </c>
      <c r="H935" s="21">
        <v>9.909540615E9</v>
      </c>
      <c r="I935" s="21">
        <v>1600.0</v>
      </c>
      <c r="J935" s="8" t="s">
        <v>4737</v>
      </c>
      <c r="K935" s="8" t="s">
        <v>2638</v>
      </c>
      <c r="L935" s="224" t="s">
        <v>49</v>
      </c>
      <c r="M935" s="8" t="s">
        <v>33</v>
      </c>
      <c r="N935" s="8" t="s">
        <v>28</v>
      </c>
      <c r="O935" s="97">
        <v>19325.0</v>
      </c>
      <c r="P935" s="97">
        <v>21840.56</v>
      </c>
      <c r="Q935" s="6">
        <v>63.0</v>
      </c>
      <c r="R935" s="12">
        <f t="shared" si="23"/>
        <v>12174.75</v>
      </c>
    </row>
    <row r="936">
      <c r="A936" s="7" t="s">
        <v>4738</v>
      </c>
      <c r="B936" s="8" t="s">
        <v>4739</v>
      </c>
      <c r="C936" s="8" t="s">
        <v>4740</v>
      </c>
      <c r="D936" s="8" t="s">
        <v>1395</v>
      </c>
      <c r="E936" s="8" t="s">
        <v>4735</v>
      </c>
      <c r="F936" s="8" t="s">
        <v>4741</v>
      </c>
      <c r="G936" s="21">
        <v>8.735047E9</v>
      </c>
      <c r="H936" s="21">
        <v>9.913914665E9</v>
      </c>
      <c r="I936" s="21">
        <v>1600.0</v>
      </c>
      <c r="J936" s="8" t="s">
        <v>4742</v>
      </c>
      <c r="K936" s="8" t="s">
        <v>2638</v>
      </c>
      <c r="L936" s="224" t="s">
        <v>49</v>
      </c>
      <c r="M936" s="8" t="s">
        <v>71</v>
      </c>
      <c r="N936" s="8" t="s">
        <v>28</v>
      </c>
      <c r="O936" s="97">
        <v>18973.0</v>
      </c>
      <c r="P936" s="97">
        <v>21425.2</v>
      </c>
      <c r="Q936" s="6">
        <v>63.0</v>
      </c>
      <c r="R936" s="12">
        <f t="shared" si="23"/>
        <v>11952.99</v>
      </c>
    </row>
    <row r="937">
      <c r="A937" s="7" t="s">
        <v>4743</v>
      </c>
      <c r="B937" s="58" t="s">
        <v>4744</v>
      </c>
      <c r="C937" s="58" t="s">
        <v>4745</v>
      </c>
      <c r="D937" s="8" t="s">
        <v>21</v>
      </c>
      <c r="E937" s="58" t="s">
        <v>1050</v>
      </c>
      <c r="F937" s="58" t="s">
        <v>4746</v>
      </c>
      <c r="G937" s="8"/>
      <c r="H937" s="8"/>
      <c r="I937" s="88">
        <v>5700.0</v>
      </c>
      <c r="J937" s="8" t="s">
        <v>4747</v>
      </c>
      <c r="K937" s="8" t="s">
        <v>25</v>
      </c>
      <c r="L937" s="224" t="s">
        <v>26</v>
      </c>
      <c r="M937" s="8" t="s">
        <v>96</v>
      </c>
      <c r="N937" s="8" t="s">
        <v>28</v>
      </c>
      <c r="O937" s="88">
        <v>16149.0</v>
      </c>
      <c r="P937" s="88">
        <v>18093.0</v>
      </c>
      <c r="Q937" s="6">
        <v>40.0</v>
      </c>
      <c r="R937" s="12">
        <f t="shared" si="23"/>
        <v>6459.6</v>
      </c>
    </row>
    <row r="938">
      <c r="A938" s="7" t="s">
        <v>4718</v>
      </c>
      <c r="B938" s="58" t="s">
        <v>4748</v>
      </c>
      <c r="C938" s="58" t="s">
        <v>4749</v>
      </c>
      <c r="D938" s="7" t="s">
        <v>44</v>
      </c>
      <c r="E938" s="58" t="s">
        <v>4750</v>
      </c>
      <c r="F938" s="58" t="s">
        <v>4751</v>
      </c>
      <c r="G938" s="7">
        <v>8.000007271E9</v>
      </c>
      <c r="H938" s="7">
        <v>7.271967271E9</v>
      </c>
      <c r="I938" s="88">
        <v>1550.0</v>
      </c>
      <c r="J938" s="88" t="s">
        <v>4752</v>
      </c>
      <c r="K938" s="8" t="s">
        <v>143</v>
      </c>
      <c r="L938" s="214" t="s">
        <v>26</v>
      </c>
      <c r="M938" s="7" t="s">
        <v>271</v>
      </c>
      <c r="N938" s="7" t="s">
        <v>28</v>
      </c>
      <c r="O938" s="134">
        <v>16149.0</v>
      </c>
      <c r="P938" s="134">
        <v>18093.0</v>
      </c>
      <c r="Q938" s="6">
        <v>63.0</v>
      </c>
      <c r="R938" s="12">
        <f t="shared" si="23"/>
        <v>10173.87</v>
      </c>
    </row>
    <row r="939">
      <c r="A939" s="20" t="s">
        <v>4753</v>
      </c>
      <c r="B939" s="140" t="s">
        <v>4754</v>
      </c>
      <c r="C939" s="58"/>
      <c r="D939" s="20" t="s">
        <v>44</v>
      </c>
      <c r="E939" s="140" t="s">
        <v>528</v>
      </c>
      <c r="F939" s="140" t="s">
        <v>4755</v>
      </c>
      <c r="G939" s="7"/>
      <c r="H939" s="7"/>
      <c r="I939" s="101">
        <v>2450.0</v>
      </c>
      <c r="J939" s="101" t="s">
        <v>4747</v>
      </c>
      <c r="K939" s="20" t="s">
        <v>143</v>
      </c>
      <c r="L939" s="99" t="s">
        <v>49</v>
      </c>
      <c r="M939" s="20" t="s">
        <v>4215</v>
      </c>
      <c r="N939" s="20" t="s">
        <v>28</v>
      </c>
      <c r="O939" s="240">
        <v>17326.0</v>
      </c>
      <c r="P939" s="240">
        <v>19482.0</v>
      </c>
      <c r="Q939" s="6">
        <v>61.0</v>
      </c>
      <c r="R939" s="12">
        <f t="shared" si="23"/>
        <v>10568.86</v>
      </c>
    </row>
    <row r="940">
      <c r="A940" s="20" t="s">
        <v>4756</v>
      </c>
      <c r="B940" s="140" t="s">
        <v>4757</v>
      </c>
      <c r="C940" s="58"/>
      <c r="D940" s="20" t="s">
        <v>21</v>
      </c>
      <c r="E940" s="140" t="s">
        <v>4293</v>
      </c>
      <c r="F940" s="140" t="s">
        <v>4758</v>
      </c>
      <c r="G940" s="7"/>
      <c r="H940" s="7"/>
      <c r="I940" s="101">
        <v>35000.0</v>
      </c>
      <c r="J940" s="6" t="s">
        <v>4759</v>
      </c>
      <c r="K940" s="20" t="s">
        <v>25</v>
      </c>
      <c r="L940" s="99" t="s">
        <v>26</v>
      </c>
      <c r="M940" s="20" t="s">
        <v>4760</v>
      </c>
      <c r="N940" s="20" t="s">
        <v>28</v>
      </c>
      <c r="O940" s="240">
        <v>44050.0</v>
      </c>
      <c r="P940" s="240">
        <v>49342.0</v>
      </c>
      <c r="Q940" s="6">
        <v>49.0</v>
      </c>
      <c r="R940" s="12">
        <f t="shared" si="23"/>
        <v>21584.5</v>
      </c>
    </row>
    <row r="941">
      <c r="A941" s="23">
        <v>45969.0</v>
      </c>
      <c r="B941" s="24" t="s">
        <v>4761</v>
      </c>
      <c r="C941" s="24" t="s">
        <v>4762</v>
      </c>
      <c r="D941" s="24" t="s">
        <v>21</v>
      </c>
      <c r="E941" s="24" t="s">
        <v>4763</v>
      </c>
      <c r="F941" s="24" t="s">
        <v>4764</v>
      </c>
      <c r="G941" s="30" t="s">
        <v>4765</v>
      </c>
      <c r="H941" s="28"/>
      <c r="I941" s="30">
        <v>15800.0</v>
      </c>
      <c r="J941" s="151">
        <v>46303.0</v>
      </c>
      <c r="K941" s="24" t="s">
        <v>78</v>
      </c>
      <c r="L941" s="231" t="s">
        <v>49</v>
      </c>
      <c r="M941" s="24" t="s">
        <v>27</v>
      </c>
      <c r="N941" s="24" t="s">
        <v>28</v>
      </c>
      <c r="O941" s="152">
        <v>39112.79</v>
      </c>
      <c r="P941" s="30">
        <v>44034.0</v>
      </c>
      <c r="Q941" s="6">
        <v>29.0</v>
      </c>
      <c r="R941" s="12">
        <f t="shared" si="23"/>
        <v>11342.7091</v>
      </c>
    </row>
    <row r="942">
      <c r="A942" s="25" t="s">
        <v>4738</v>
      </c>
      <c r="B942" s="24" t="s">
        <v>4766</v>
      </c>
      <c r="C942" s="24" t="s">
        <v>4767</v>
      </c>
      <c r="D942" s="24" t="s">
        <v>21</v>
      </c>
      <c r="E942" s="24" t="s">
        <v>4768</v>
      </c>
      <c r="F942" s="24" t="s">
        <v>608</v>
      </c>
      <c r="G942" s="30" t="s">
        <v>619</v>
      </c>
      <c r="H942" s="28"/>
      <c r="I942" s="30">
        <v>16200.0</v>
      </c>
      <c r="J942" s="24" t="s">
        <v>4769</v>
      </c>
      <c r="K942" s="24" t="s">
        <v>25</v>
      </c>
      <c r="L942" s="231" t="s">
        <v>26</v>
      </c>
      <c r="M942" s="24" t="s">
        <v>27</v>
      </c>
      <c r="N942" s="24" t="s">
        <v>28</v>
      </c>
      <c r="O942" s="30">
        <v>35413.0</v>
      </c>
      <c r="P942" s="30">
        <v>39669.0</v>
      </c>
      <c r="Q942" s="6">
        <v>49.0</v>
      </c>
      <c r="R942" s="12">
        <f t="shared" si="23"/>
        <v>17352.37</v>
      </c>
    </row>
    <row r="943">
      <c r="A943" s="25" t="s">
        <v>4756</v>
      </c>
      <c r="B943" s="24" t="s">
        <v>4770</v>
      </c>
      <c r="C943" s="24" t="s">
        <v>4771</v>
      </c>
      <c r="D943" s="24" t="s">
        <v>21</v>
      </c>
      <c r="E943" s="24" t="s">
        <v>4772</v>
      </c>
      <c r="F943" s="24" t="s">
        <v>3636</v>
      </c>
      <c r="G943" s="30" t="s">
        <v>619</v>
      </c>
      <c r="H943" s="28"/>
      <c r="I943" s="30">
        <v>25000.0</v>
      </c>
      <c r="J943" s="24" t="s">
        <v>4773</v>
      </c>
      <c r="K943" s="24" t="s">
        <v>65</v>
      </c>
      <c r="L943" s="231" t="s">
        <v>26</v>
      </c>
      <c r="M943" s="24" t="s">
        <v>27</v>
      </c>
      <c r="N943" s="24" t="s">
        <v>28</v>
      </c>
      <c r="O943" s="30">
        <v>44050.0</v>
      </c>
      <c r="P943" s="30">
        <v>49342.0</v>
      </c>
      <c r="Q943" s="6">
        <v>50.0</v>
      </c>
      <c r="R943" s="12">
        <f t="shared" si="23"/>
        <v>22025</v>
      </c>
    </row>
    <row r="944">
      <c r="A944" s="234">
        <v>45846.0</v>
      </c>
      <c r="B944" s="108" t="s">
        <v>4774</v>
      </c>
      <c r="C944" s="108" t="s">
        <v>4775</v>
      </c>
      <c r="D944" s="108" t="s">
        <v>21</v>
      </c>
      <c r="E944" s="108" t="s">
        <v>4776</v>
      </c>
      <c r="F944" s="108" t="s">
        <v>4777</v>
      </c>
      <c r="G944" s="114" t="s">
        <v>4778</v>
      </c>
      <c r="H944" s="114" t="s">
        <v>2939</v>
      </c>
      <c r="I944" s="114">
        <v>12990.0</v>
      </c>
      <c r="J944" s="110">
        <v>46181.0</v>
      </c>
      <c r="K944" s="108" t="s">
        <v>353</v>
      </c>
      <c r="L944" s="231" t="s">
        <v>49</v>
      </c>
      <c r="M944" s="108" t="s">
        <v>27</v>
      </c>
      <c r="N944" s="108" t="s">
        <v>28</v>
      </c>
      <c r="O944" s="116">
        <v>37700.0</v>
      </c>
      <c r="P944" s="116">
        <v>42367.0</v>
      </c>
      <c r="Q944" s="6">
        <v>29.0</v>
      </c>
      <c r="R944" s="12">
        <f t="shared" si="23"/>
        <v>10933</v>
      </c>
    </row>
    <row r="945">
      <c r="A945" s="126"/>
      <c r="E945" s="126"/>
      <c r="L945" s="126"/>
    </row>
    <row r="946">
      <c r="A946" s="126"/>
      <c r="E946" s="126"/>
      <c r="L946" s="126"/>
    </row>
    <row r="947">
      <c r="A947" s="7" t="s">
        <v>4779</v>
      </c>
      <c r="B947" s="8" t="s">
        <v>4780</v>
      </c>
      <c r="C947" s="8" t="s">
        <v>4781</v>
      </c>
      <c r="D947" s="8" t="s">
        <v>1395</v>
      </c>
      <c r="E947" s="8" t="s">
        <v>4782</v>
      </c>
      <c r="F947" s="8" t="s">
        <v>4783</v>
      </c>
      <c r="G947" s="21" t="s">
        <v>4784</v>
      </c>
      <c r="H947" s="8"/>
      <c r="I947" s="21">
        <v>1600.0</v>
      </c>
      <c r="J947" s="8" t="s">
        <v>4785</v>
      </c>
      <c r="K947" s="8" t="s">
        <v>143</v>
      </c>
      <c r="L947" s="224" t="s">
        <v>49</v>
      </c>
      <c r="M947" s="8" t="s">
        <v>3028</v>
      </c>
      <c r="N947" s="8" t="s">
        <v>28</v>
      </c>
      <c r="O947" s="97">
        <v>17522.0</v>
      </c>
      <c r="P947" s="97">
        <v>19713.0</v>
      </c>
      <c r="Q947" s="6">
        <v>61.0</v>
      </c>
      <c r="R947" s="12">
        <f t="shared" ref="R947:R970" si="24">O947*Q947%</f>
        <v>10688.42</v>
      </c>
    </row>
    <row r="948">
      <c r="A948" s="7" t="s">
        <v>4786</v>
      </c>
      <c r="B948" s="8" t="s">
        <v>4787</v>
      </c>
      <c r="C948" s="8" t="s">
        <v>4788</v>
      </c>
      <c r="D948" s="8" t="s">
        <v>21</v>
      </c>
      <c r="E948" s="8" t="s">
        <v>4789</v>
      </c>
      <c r="F948" s="8" t="s">
        <v>4790</v>
      </c>
      <c r="G948" s="21">
        <v>9.824518419E9</v>
      </c>
      <c r="H948" s="21">
        <v>8.238642431E9</v>
      </c>
      <c r="I948" s="21">
        <v>42000.0</v>
      </c>
      <c r="J948" s="8" t="s">
        <v>4785</v>
      </c>
      <c r="K948" s="8" t="s">
        <v>3429</v>
      </c>
      <c r="L948" s="224" t="s">
        <v>49</v>
      </c>
      <c r="M948" s="8" t="s">
        <v>96</v>
      </c>
      <c r="N948" s="8" t="s">
        <v>28</v>
      </c>
      <c r="O948" s="21">
        <v>47562.0</v>
      </c>
      <c r="P948" s="21">
        <v>53469.0</v>
      </c>
      <c r="Q948" s="6">
        <v>28.0</v>
      </c>
      <c r="R948" s="12">
        <f t="shared" si="24"/>
        <v>13317.36</v>
      </c>
    </row>
    <row r="949">
      <c r="A949" s="7" t="s">
        <v>4791</v>
      </c>
      <c r="B949" s="8" t="s">
        <v>4792</v>
      </c>
      <c r="C949" s="8" t="s">
        <v>4793</v>
      </c>
      <c r="D949" s="8" t="s">
        <v>21</v>
      </c>
      <c r="E949" s="8" t="s">
        <v>4794</v>
      </c>
      <c r="F949" s="8" t="s">
        <v>4795</v>
      </c>
      <c r="G949" s="21">
        <v>7.573947006E9</v>
      </c>
      <c r="H949" s="8"/>
      <c r="I949" s="21">
        <v>42000.0</v>
      </c>
      <c r="J949" s="8" t="s">
        <v>4769</v>
      </c>
      <c r="K949" s="8" t="s">
        <v>70</v>
      </c>
      <c r="L949" s="224" t="s">
        <v>26</v>
      </c>
      <c r="M949" s="8" t="s">
        <v>96</v>
      </c>
      <c r="N949" s="8" t="s">
        <v>28</v>
      </c>
      <c r="O949" s="97">
        <v>44342.0</v>
      </c>
      <c r="P949" s="97">
        <v>49669.0</v>
      </c>
      <c r="Q949" s="6">
        <v>44.0</v>
      </c>
      <c r="R949" s="12">
        <f t="shared" si="24"/>
        <v>19510.48</v>
      </c>
    </row>
    <row r="950">
      <c r="A950" s="7" t="s">
        <v>4796</v>
      </c>
      <c r="B950" s="8" t="s">
        <v>4797</v>
      </c>
      <c r="C950" s="8" t="s">
        <v>4798</v>
      </c>
      <c r="D950" s="8" t="s">
        <v>1395</v>
      </c>
      <c r="E950" s="8" t="s">
        <v>4799</v>
      </c>
      <c r="F950" s="8" t="s">
        <v>4800</v>
      </c>
      <c r="G950" s="21">
        <v>9.824184014E9</v>
      </c>
      <c r="H950" s="8"/>
      <c r="I950" s="21">
        <v>1630.0</v>
      </c>
      <c r="J950" s="8" t="s">
        <v>4801</v>
      </c>
      <c r="K950" s="8" t="s">
        <v>70</v>
      </c>
      <c r="L950" s="224" t="s">
        <v>49</v>
      </c>
      <c r="M950" s="8" t="s">
        <v>71</v>
      </c>
      <c r="N950" s="8" t="s">
        <v>28</v>
      </c>
      <c r="O950" s="97">
        <v>19883.0</v>
      </c>
      <c r="P950" s="97">
        <v>22499.0</v>
      </c>
      <c r="Q950" s="6">
        <v>63.0</v>
      </c>
      <c r="R950" s="12">
        <f t="shared" si="24"/>
        <v>12526.29</v>
      </c>
    </row>
    <row r="951">
      <c r="A951" s="7" t="s">
        <v>4802</v>
      </c>
      <c r="B951" s="8" t="s">
        <v>4803</v>
      </c>
      <c r="C951" s="8" t="s">
        <v>4804</v>
      </c>
      <c r="D951" s="8" t="s">
        <v>1395</v>
      </c>
      <c r="E951" s="8" t="s">
        <v>4805</v>
      </c>
      <c r="F951" s="8" t="s">
        <v>4806</v>
      </c>
      <c r="G951" s="21">
        <v>9.328499896E9</v>
      </c>
      <c r="H951" s="21">
        <v>9.016096396E9</v>
      </c>
      <c r="I951" s="21">
        <v>1950.0</v>
      </c>
      <c r="J951" s="8" t="s">
        <v>4807</v>
      </c>
      <c r="K951" s="8" t="s">
        <v>70</v>
      </c>
      <c r="L951" s="224" t="s">
        <v>49</v>
      </c>
      <c r="M951" s="8" t="s">
        <v>71</v>
      </c>
      <c r="N951" s="8" t="s">
        <v>28</v>
      </c>
      <c r="O951" s="97">
        <v>19732.0</v>
      </c>
      <c r="P951" s="97">
        <v>22321.0</v>
      </c>
      <c r="Q951" s="6">
        <v>63.0</v>
      </c>
      <c r="R951" s="12">
        <f t="shared" si="24"/>
        <v>12431.16</v>
      </c>
    </row>
    <row r="952">
      <c r="A952" s="7" t="s">
        <v>4802</v>
      </c>
      <c r="B952" s="8" t="s">
        <v>4808</v>
      </c>
      <c r="C952" s="8" t="s">
        <v>4809</v>
      </c>
      <c r="D952" s="8" t="s">
        <v>60</v>
      </c>
      <c r="E952" s="8" t="s">
        <v>719</v>
      </c>
      <c r="F952" s="8" t="s">
        <v>4810</v>
      </c>
      <c r="G952" s="21" t="s">
        <v>4811</v>
      </c>
      <c r="H952" s="8"/>
      <c r="I952" s="21">
        <v>100.0</v>
      </c>
      <c r="J952" s="8" t="s">
        <v>4812</v>
      </c>
      <c r="K952" s="8" t="s">
        <v>65</v>
      </c>
      <c r="L952" s="224" t="s">
        <v>26</v>
      </c>
      <c r="M952" s="8" t="s">
        <v>27</v>
      </c>
      <c r="N952" s="8" t="s">
        <v>28</v>
      </c>
      <c r="O952" s="21">
        <v>714.0</v>
      </c>
      <c r="P952" s="21">
        <v>842.0</v>
      </c>
      <c r="Q952" s="6">
        <v>57.0</v>
      </c>
      <c r="R952" s="12">
        <f t="shared" si="24"/>
        <v>406.98</v>
      </c>
    </row>
    <row r="953">
      <c r="A953" s="7" t="s">
        <v>4802</v>
      </c>
      <c r="B953" s="8" t="s">
        <v>4813</v>
      </c>
      <c r="C953" s="8" t="s">
        <v>4814</v>
      </c>
      <c r="D953" s="8" t="s">
        <v>21</v>
      </c>
      <c r="E953" s="8" t="s">
        <v>4815</v>
      </c>
      <c r="F953" s="8" t="s">
        <v>4816</v>
      </c>
      <c r="G953" s="21">
        <v>9.825229742E9</v>
      </c>
      <c r="H953" s="21">
        <v>9.558255182E9</v>
      </c>
      <c r="I953" s="21">
        <v>45500.0</v>
      </c>
      <c r="J953" s="8" t="s">
        <v>4785</v>
      </c>
      <c r="K953" s="8" t="s">
        <v>70</v>
      </c>
      <c r="L953" s="224" t="s">
        <v>49</v>
      </c>
      <c r="M953" s="8" t="s">
        <v>340</v>
      </c>
      <c r="N953" s="8" t="s">
        <v>28</v>
      </c>
      <c r="O953" s="97">
        <v>48008.0</v>
      </c>
      <c r="P953" s="97">
        <v>53995.0</v>
      </c>
      <c r="Q953" s="6">
        <v>27.5</v>
      </c>
      <c r="R953" s="12">
        <f t="shared" si="24"/>
        <v>13202.2</v>
      </c>
    </row>
    <row r="954">
      <c r="A954" s="7" t="s">
        <v>4817</v>
      </c>
      <c r="B954" s="8" t="s">
        <v>4818</v>
      </c>
      <c r="C954" s="8" t="s">
        <v>4819</v>
      </c>
      <c r="D954" s="8" t="s">
        <v>1395</v>
      </c>
      <c r="E954" s="8" t="s">
        <v>3826</v>
      </c>
      <c r="F954" s="8" t="s">
        <v>4820</v>
      </c>
      <c r="G954" s="21" t="s">
        <v>4821</v>
      </c>
      <c r="H954" s="21" t="s">
        <v>4822</v>
      </c>
      <c r="I954" s="21">
        <v>3895.0</v>
      </c>
      <c r="J954" s="8" t="s">
        <v>4823</v>
      </c>
      <c r="K954" s="8" t="s">
        <v>25</v>
      </c>
      <c r="L954" s="224" t="s">
        <v>49</v>
      </c>
      <c r="M954" s="8" t="s">
        <v>365</v>
      </c>
      <c r="N954" s="8" t="s">
        <v>28</v>
      </c>
      <c r="O954" s="97">
        <v>25099.0</v>
      </c>
      <c r="P954" s="97">
        <v>28654.0</v>
      </c>
      <c r="Q954" s="6">
        <v>40.0</v>
      </c>
      <c r="R954" s="12">
        <f t="shared" si="24"/>
        <v>10039.6</v>
      </c>
    </row>
    <row r="955">
      <c r="A955" s="7" t="s">
        <v>4817</v>
      </c>
      <c r="B955" s="8" t="s">
        <v>4824</v>
      </c>
      <c r="C955" s="8" t="s">
        <v>4825</v>
      </c>
      <c r="D955" s="8" t="s">
        <v>1395</v>
      </c>
      <c r="E955" s="8" t="s">
        <v>4826</v>
      </c>
      <c r="F955" s="8" t="s">
        <v>4827</v>
      </c>
      <c r="G955" s="21" t="s">
        <v>4828</v>
      </c>
      <c r="H955" s="21">
        <v>9.558916143E9</v>
      </c>
      <c r="I955" s="21">
        <v>3895.0</v>
      </c>
      <c r="J955" s="8" t="s">
        <v>4823</v>
      </c>
      <c r="K955" s="8" t="s">
        <v>25</v>
      </c>
      <c r="L955" s="224" t="s">
        <v>49</v>
      </c>
      <c r="M955" s="8" t="s">
        <v>96</v>
      </c>
      <c r="N955" s="8" t="s">
        <v>28</v>
      </c>
      <c r="O955" s="97">
        <v>23454.0</v>
      </c>
      <c r="P955" s="97">
        <v>26713.0</v>
      </c>
      <c r="Q955" s="6">
        <v>40.0</v>
      </c>
      <c r="R955" s="12">
        <f t="shared" si="24"/>
        <v>9381.6</v>
      </c>
    </row>
    <row r="956">
      <c r="A956" s="7" t="s">
        <v>4829</v>
      </c>
      <c r="B956" s="8" t="s">
        <v>4830</v>
      </c>
      <c r="C956" s="8" t="s">
        <v>4831</v>
      </c>
      <c r="D956" s="8" t="s">
        <v>21</v>
      </c>
      <c r="E956" s="8" t="s">
        <v>4832</v>
      </c>
      <c r="F956" s="8" t="s">
        <v>4833</v>
      </c>
      <c r="G956" s="21" t="s">
        <v>4834</v>
      </c>
      <c r="H956" s="8"/>
      <c r="I956" s="21">
        <v>28000.0</v>
      </c>
      <c r="J956" s="8" t="s">
        <v>4835</v>
      </c>
      <c r="K956" s="8" t="s">
        <v>3429</v>
      </c>
      <c r="L956" s="224" t="s">
        <v>49</v>
      </c>
      <c r="M956" s="8" t="s">
        <v>4172</v>
      </c>
      <c r="N956" s="8" t="s">
        <v>28</v>
      </c>
      <c r="O956" s="21">
        <v>45946.0</v>
      </c>
      <c r="P956" s="21">
        <v>51579.0</v>
      </c>
      <c r="Q956" s="6">
        <v>28.0</v>
      </c>
      <c r="R956" s="12">
        <f t="shared" si="24"/>
        <v>12864.88</v>
      </c>
    </row>
    <row r="957">
      <c r="A957" s="7" t="s">
        <v>4829</v>
      </c>
      <c r="B957" s="8" t="s">
        <v>4836</v>
      </c>
      <c r="C957" s="8" t="s">
        <v>4837</v>
      </c>
      <c r="D957" s="8" t="s">
        <v>1228</v>
      </c>
      <c r="E957" s="8" t="s">
        <v>4838</v>
      </c>
      <c r="F957" s="8" t="s">
        <v>4839</v>
      </c>
      <c r="G957" s="21" t="s">
        <v>4840</v>
      </c>
      <c r="H957" s="8"/>
      <c r="I957" s="21">
        <v>2596.0</v>
      </c>
      <c r="J957" s="8" t="s">
        <v>4841</v>
      </c>
      <c r="K957" s="8" t="s">
        <v>41</v>
      </c>
      <c r="L957" s="224" t="s">
        <v>26</v>
      </c>
      <c r="M957" s="8" t="s">
        <v>27</v>
      </c>
      <c r="N957" s="8" t="s">
        <v>28</v>
      </c>
      <c r="O957" s="21">
        <v>24090.0</v>
      </c>
      <c r="P957" s="21">
        <v>28426.0</v>
      </c>
      <c r="Q957" s="6">
        <v>15.0</v>
      </c>
      <c r="R957" s="12">
        <f t="shared" si="24"/>
        <v>3613.5</v>
      </c>
    </row>
    <row r="958">
      <c r="A958" s="7" t="s">
        <v>4842</v>
      </c>
      <c r="B958" s="8" t="s">
        <v>4843</v>
      </c>
      <c r="C958" s="8" t="s">
        <v>4844</v>
      </c>
      <c r="D958" s="8" t="s">
        <v>1395</v>
      </c>
      <c r="E958" s="8" t="s">
        <v>811</v>
      </c>
      <c r="F958" s="8" t="s">
        <v>4845</v>
      </c>
      <c r="G958" s="21" t="s">
        <v>4846</v>
      </c>
      <c r="H958" s="8"/>
      <c r="I958" s="21">
        <v>2450.0</v>
      </c>
      <c r="J958" s="8" t="s">
        <v>4847</v>
      </c>
      <c r="K958" s="8" t="s">
        <v>143</v>
      </c>
      <c r="L958" s="224" t="s">
        <v>49</v>
      </c>
      <c r="M958" s="8" t="s">
        <v>27</v>
      </c>
      <c r="N958" s="8" t="s">
        <v>28</v>
      </c>
      <c r="O958" s="97">
        <v>16509.0</v>
      </c>
      <c r="P958" s="97">
        <v>18518.0</v>
      </c>
      <c r="Q958" s="6">
        <v>61.0</v>
      </c>
      <c r="R958" s="12">
        <f t="shared" si="24"/>
        <v>10070.49</v>
      </c>
    </row>
    <row r="959">
      <c r="A959" s="7" t="s">
        <v>4842</v>
      </c>
      <c r="B959" s="8" t="s">
        <v>4848</v>
      </c>
      <c r="C959" s="241" t="s">
        <v>4849</v>
      </c>
      <c r="D959" s="8" t="s">
        <v>21</v>
      </c>
      <c r="E959" s="8" t="s">
        <v>4608</v>
      </c>
      <c r="F959" s="8" t="s">
        <v>4850</v>
      </c>
      <c r="G959" s="21">
        <v>9.924955553E9</v>
      </c>
      <c r="H959" s="21">
        <v>9.512355553E9</v>
      </c>
      <c r="I959" s="21">
        <v>28000.0</v>
      </c>
      <c r="J959" s="8" t="s">
        <v>4851</v>
      </c>
      <c r="K959" s="8" t="s">
        <v>65</v>
      </c>
      <c r="L959" s="224" t="s">
        <v>26</v>
      </c>
      <c r="M959" s="8" t="s">
        <v>27</v>
      </c>
      <c r="N959" s="8" t="s">
        <v>28</v>
      </c>
      <c r="O959" s="21">
        <v>44050.0</v>
      </c>
      <c r="P959" s="21">
        <v>49342.0</v>
      </c>
      <c r="Q959" s="6">
        <v>50.0</v>
      </c>
      <c r="R959" s="12">
        <f t="shared" si="24"/>
        <v>22025</v>
      </c>
    </row>
    <row r="960">
      <c r="A960" s="7" t="s">
        <v>4842</v>
      </c>
      <c r="B960" s="8" t="s">
        <v>4852</v>
      </c>
      <c r="C960" s="8" t="s">
        <v>4853</v>
      </c>
      <c r="D960" s="8" t="s">
        <v>1395</v>
      </c>
      <c r="E960" s="8" t="s">
        <v>4509</v>
      </c>
      <c r="F960" s="8" t="s">
        <v>4854</v>
      </c>
      <c r="G960" s="21">
        <v>9.825613517E9</v>
      </c>
      <c r="H960" s="21">
        <v>9.723019337E9</v>
      </c>
      <c r="I960" s="21">
        <v>1600.0</v>
      </c>
      <c r="J960" s="8" t="s">
        <v>4847</v>
      </c>
      <c r="K960" s="8" t="s">
        <v>70</v>
      </c>
      <c r="L960" s="224" t="s">
        <v>49</v>
      </c>
      <c r="M960" s="8" t="s">
        <v>71</v>
      </c>
      <c r="N960" s="8" t="s">
        <v>28</v>
      </c>
      <c r="O960" s="97">
        <v>19706.0</v>
      </c>
      <c r="P960" s="97">
        <v>22290.0</v>
      </c>
      <c r="Q960" s="6">
        <v>63.0</v>
      </c>
      <c r="R960" s="12">
        <f t="shared" si="24"/>
        <v>12414.78</v>
      </c>
    </row>
    <row r="961">
      <c r="A961" s="14">
        <v>45666.0</v>
      </c>
      <c r="B961" s="8" t="s">
        <v>4855</v>
      </c>
      <c r="C961" s="8" t="s">
        <v>4856</v>
      </c>
      <c r="D961" s="8" t="s">
        <v>1395</v>
      </c>
      <c r="E961" s="8" t="s">
        <v>4509</v>
      </c>
      <c r="F961" s="8" t="s">
        <v>4857</v>
      </c>
      <c r="G961" s="21" t="s">
        <v>4858</v>
      </c>
      <c r="H961" s="21">
        <v>9.925887772E9</v>
      </c>
      <c r="I961" s="21">
        <v>1600.0</v>
      </c>
      <c r="J961" s="8" t="s">
        <v>4851</v>
      </c>
      <c r="K961" s="8" t="s">
        <v>70</v>
      </c>
      <c r="L961" s="224" t="s">
        <v>49</v>
      </c>
      <c r="M961" s="8" t="s">
        <v>96</v>
      </c>
      <c r="N961" s="8" t="s">
        <v>28</v>
      </c>
      <c r="O961" s="97">
        <v>19756.0</v>
      </c>
      <c r="P961" s="97">
        <v>22349.0</v>
      </c>
      <c r="Q961" s="6">
        <v>63.0</v>
      </c>
      <c r="R961" s="12">
        <f t="shared" si="24"/>
        <v>12446.28</v>
      </c>
    </row>
    <row r="962">
      <c r="A962" s="14">
        <v>45666.0</v>
      </c>
      <c r="B962" s="8" t="s">
        <v>4859</v>
      </c>
      <c r="C962" s="8" t="s">
        <v>4860</v>
      </c>
      <c r="D962" s="8" t="s">
        <v>21</v>
      </c>
      <c r="E962" s="8" t="s">
        <v>4861</v>
      </c>
      <c r="F962" s="8" t="s">
        <v>4862</v>
      </c>
      <c r="G962" s="21">
        <v>9.727847275E9</v>
      </c>
      <c r="H962" s="8"/>
      <c r="I962" s="21">
        <v>16020.0</v>
      </c>
      <c r="J962" s="8" t="s">
        <v>4835</v>
      </c>
      <c r="K962" s="8" t="s">
        <v>3429</v>
      </c>
      <c r="L962" s="224" t="s">
        <v>49</v>
      </c>
      <c r="M962" s="8" t="s">
        <v>33</v>
      </c>
      <c r="N962" s="8" t="s">
        <v>28</v>
      </c>
      <c r="O962" s="21">
        <v>38516.0</v>
      </c>
      <c r="P962" s="21">
        <v>43330.0</v>
      </c>
      <c r="Q962" s="6">
        <v>26.0</v>
      </c>
      <c r="R962" s="12">
        <f t="shared" si="24"/>
        <v>10014.16</v>
      </c>
    </row>
    <row r="963">
      <c r="A963" s="14">
        <v>45697.0</v>
      </c>
      <c r="B963" s="8" t="s">
        <v>4863</v>
      </c>
      <c r="C963" s="8" t="s">
        <v>4864</v>
      </c>
      <c r="D963" s="8" t="s">
        <v>21</v>
      </c>
      <c r="E963" s="8" t="s">
        <v>4865</v>
      </c>
      <c r="F963" s="8" t="s">
        <v>4866</v>
      </c>
      <c r="G963" s="21">
        <v>7.801855508E9</v>
      </c>
      <c r="H963" s="21">
        <v>8.188880839E9</v>
      </c>
      <c r="I963" s="21">
        <v>15184.0</v>
      </c>
      <c r="J963" s="22">
        <v>46031.0</v>
      </c>
      <c r="K963" s="8" t="s">
        <v>353</v>
      </c>
      <c r="L963" s="242" t="s">
        <v>49</v>
      </c>
      <c r="M963" s="8" t="s">
        <v>71</v>
      </c>
      <c r="N963" s="8" t="s">
        <v>28</v>
      </c>
      <c r="O963" s="97">
        <v>37214.0</v>
      </c>
      <c r="P963" s="97">
        <v>41794.0</v>
      </c>
      <c r="Q963" s="6">
        <v>29.0</v>
      </c>
      <c r="R963" s="12">
        <f t="shared" si="24"/>
        <v>10792.06</v>
      </c>
    </row>
    <row r="964">
      <c r="A964" s="14">
        <v>45725.0</v>
      </c>
      <c r="B964" s="8" t="s">
        <v>4867</v>
      </c>
      <c r="C964" s="8" t="s">
        <v>4868</v>
      </c>
      <c r="D964" s="8" t="s">
        <v>1395</v>
      </c>
      <c r="E964" s="8" t="s">
        <v>4869</v>
      </c>
      <c r="F964" s="8" t="s">
        <v>4870</v>
      </c>
      <c r="G964" s="21">
        <v>7.0695383E9</v>
      </c>
      <c r="H964" s="21">
        <v>7.572976013E9</v>
      </c>
      <c r="I964" s="21">
        <v>1600.0</v>
      </c>
      <c r="J964" s="22">
        <v>46062.0</v>
      </c>
      <c r="K964" s="8" t="s">
        <v>70</v>
      </c>
      <c r="L964" s="242" t="s">
        <v>49</v>
      </c>
      <c r="M964" s="8" t="s">
        <v>71</v>
      </c>
      <c r="N964" s="8" t="s">
        <v>28</v>
      </c>
      <c r="O964" s="97">
        <v>18952.0</v>
      </c>
      <c r="P964" s="97">
        <v>21401.0</v>
      </c>
      <c r="Q964" s="6">
        <v>63.0</v>
      </c>
      <c r="R964" s="12">
        <f t="shared" si="24"/>
        <v>11939.76</v>
      </c>
    </row>
    <row r="965">
      <c r="A965" s="14">
        <v>45666.0</v>
      </c>
      <c r="B965" s="93" t="s">
        <v>4871</v>
      </c>
      <c r="C965" s="93" t="s">
        <v>4872</v>
      </c>
      <c r="D965" s="100" t="s">
        <v>21</v>
      </c>
      <c r="E965" s="93" t="s">
        <v>4873</v>
      </c>
      <c r="F965" s="93" t="s">
        <v>4874</v>
      </c>
      <c r="G965" s="100">
        <v>6.31846714E8</v>
      </c>
      <c r="H965" s="100">
        <v>9.712817003E9</v>
      </c>
      <c r="I965" s="93">
        <v>11450.0</v>
      </c>
      <c r="J965" s="87">
        <v>45725.0</v>
      </c>
      <c r="K965" s="100" t="s">
        <v>25</v>
      </c>
      <c r="L965" s="214" t="s">
        <v>49</v>
      </c>
      <c r="M965" s="100" t="s">
        <v>271</v>
      </c>
      <c r="N965" s="100" t="s">
        <v>28</v>
      </c>
      <c r="O965" s="96">
        <v>31842.0</v>
      </c>
      <c r="P965" s="96">
        <v>35942.0</v>
      </c>
      <c r="Q965" s="6">
        <v>30.0</v>
      </c>
      <c r="R965" s="12">
        <f t="shared" si="24"/>
        <v>9552.6</v>
      </c>
    </row>
    <row r="966">
      <c r="A966" s="7" t="s">
        <v>4817</v>
      </c>
      <c r="B966" s="93" t="s">
        <v>4875</v>
      </c>
      <c r="C966" s="93" t="s">
        <v>4876</v>
      </c>
      <c r="D966" s="100" t="s">
        <v>44</v>
      </c>
      <c r="E966" s="93" t="s">
        <v>4877</v>
      </c>
      <c r="F966" s="93" t="s">
        <v>4878</v>
      </c>
      <c r="G966" s="100">
        <v>9.82595758E9</v>
      </c>
      <c r="H966" s="100">
        <v>9.825034004E9</v>
      </c>
      <c r="I966" s="93">
        <v>2825.0</v>
      </c>
      <c r="J966" s="93" t="s">
        <v>4841</v>
      </c>
      <c r="K966" s="100" t="s">
        <v>668</v>
      </c>
      <c r="L966" s="214" t="s">
        <v>49</v>
      </c>
      <c r="M966" s="100" t="s">
        <v>285</v>
      </c>
      <c r="N966" s="100" t="s">
        <v>28</v>
      </c>
      <c r="O966" s="97">
        <v>22588.0</v>
      </c>
      <c r="P966" s="97">
        <v>25690.0</v>
      </c>
      <c r="Q966" s="6">
        <v>48.0</v>
      </c>
      <c r="R966" s="12">
        <f t="shared" si="24"/>
        <v>10842.24</v>
      </c>
    </row>
    <row r="967">
      <c r="A967" s="7" t="s">
        <v>4817</v>
      </c>
      <c r="B967" s="93" t="s">
        <v>4879</v>
      </c>
      <c r="C967" s="93" t="s">
        <v>4880</v>
      </c>
      <c r="D967" s="100" t="s">
        <v>44</v>
      </c>
      <c r="E967" s="93" t="s">
        <v>4881</v>
      </c>
      <c r="F967" s="93" t="s">
        <v>4882</v>
      </c>
      <c r="G967" s="100">
        <v>6.354021865E9</v>
      </c>
      <c r="H967" s="100">
        <v>8.141132397E9</v>
      </c>
      <c r="I967" s="93">
        <v>2825.0</v>
      </c>
      <c r="J967" s="93" t="s">
        <v>4841</v>
      </c>
      <c r="K967" s="100" t="s">
        <v>25</v>
      </c>
      <c r="L967" s="214" t="s">
        <v>49</v>
      </c>
      <c r="M967" s="100" t="s">
        <v>4263</v>
      </c>
      <c r="N967" s="100" t="s">
        <v>28</v>
      </c>
      <c r="O967" s="97">
        <v>19713.0</v>
      </c>
      <c r="P967" s="97">
        <v>22298.0</v>
      </c>
      <c r="Q967" s="6">
        <v>53.0</v>
      </c>
      <c r="R967" s="12">
        <f t="shared" si="24"/>
        <v>10447.89</v>
      </c>
    </row>
    <row r="968">
      <c r="A968" s="7" t="s">
        <v>4791</v>
      </c>
      <c r="B968" s="93" t="s">
        <v>4883</v>
      </c>
      <c r="C968" s="93" t="s">
        <v>4884</v>
      </c>
      <c r="D968" s="100" t="s">
        <v>44</v>
      </c>
      <c r="E968" s="8" t="s">
        <v>4805</v>
      </c>
      <c r="F968" s="93" t="s">
        <v>4885</v>
      </c>
      <c r="G968" s="100">
        <v>9.824473507E9</v>
      </c>
      <c r="H968" s="100">
        <v>9.106410407E9</v>
      </c>
      <c r="I968" s="93">
        <v>2500.0</v>
      </c>
      <c r="J968" s="100" t="s">
        <v>4801</v>
      </c>
      <c r="K968" s="93" t="s">
        <v>4339</v>
      </c>
      <c r="L968" s="214" t="s">
        <v>49</v>
      </c>
      <c r="M968" s="100" t="s">
        <v>4886</v>
      </c>
      <c r="N968" s="100" t="s">
        <v>28</v>
      </c>
      <c r="O968" s="96">
        <v>16899.0</v>
      </c>
      <c r="P968" s="96">
        <v>18978.0</v>
      </c>
      <c r="Q968" s="6">
        <v>63.0</v>
      </c>
      <c r="R968" s="12">
        <f t="shared" si="24"/>
        <v>10646.37</v>
      </c>
    </row>
    <row r="969">
      <c r="A969" s="63" t="s">
        <v>4817</v>
      </c>
      <c r="B969" s="107" t="s">
        <v>4887</v>
      </c>
      <c r="C969" s="107" t="s">
        <v>4888</v>
      </c>
      <c r="D969" s="107" t="s">
        <v>21</v>
      </c>
      <c r="E969" s="107" t="s">
        <v>4889</v>
      </c>
      <c r="F969" s="107" t="s">
        <v>604</v>
      </c>
      <c r="G969" s="107" t="s">
        <v>4890</v>
      </c>
      <c r="H969" s="107"/>
      <c r="I969" s="107" t="s">
        <v>4891</v>
      </c>
      <c r="J969" s="107" t="s">
        <v>4847</v>
      </c>
      <c r="K969" s="107" t="s">
        <v>2638</v>
      </c>
      <c r="L969" s="231" t="s">
        <v>49</v>
      </c>
      <c r="M969" s="107" t="s">
        <v>27</v>
      </c>
      <c r="N969" s="107" t="s">
        <v>28</v>
      </c>
      <c r="O969" s="116">
        <v>46140.0</v>
      </c>
      <c r="P969" s="116">
        <v>51808.2</v>
      </c>
      <c r="Q969" s="6">
        <v>29.0</v>
      </c>
      <c r="R969" s="12">
        <f t="shared" si="24"/>
        <v>13380.6</v>
      </c>
    </row>
    <row r="970">
      <c r="A970" s="14">
        <v>45697.0</v>
      </c>
      <c r="B970" s="100"/>
      <c r="C970" s="100" t="s">
        <v>4892</v>
      </c>
      <c r="D970" s="100"/>
      <c r="E970" s="100"/>
      <c r="F970" s="100" t="s">
        <v>4893</v>
      </c>
      <c r="G970" s="100"/>
      <c r="H970" s="100"/>
      <c r="I970" s="100"/>
      <c r="J970" s="100" t="s">
        <v>4807</v>
      </c>
      <c r="K970" s="100" t="s">
        <v>353</v>
      </c>
      <c r="L970" s="100"/>
      <c r="M970" s="100"/>
      <c r="N970" s="100" t="s">
        <v>28</v>
      </c>
      <c r="O970" s="97">
        <v>12600.0</v>
      </c>
      <c r="P970" s="97">
        <v>14868.0</v>
      </c>
      <c r="Q970" s="6">
        <v>22.5</v>
      </c>
      <c r="R970" s="12">
        <f t="shared" si="24"/>
        <v>2835</v>
      </c>
    </row>
    <row r="971">
      <c r="A971" s="126"/>
      <c r="E971" s="126"/>
      <c r="L971" s="126"/>
    </row>
    <row r="972">
      <c r="A972" s="126"/>
      <c r="E972" s="126"/>
      <c r="L972" s="126"/>
    </row>
    <row r="973">
      <c r="A973" s="126"/>
      <c r="E973" s="126"/>
      <c r="L973" s="126"/>
    </row>
    <row r="974">
      <c r="A974" s="126"/>
      <c r="E974" s="126"/>
      <c r="L974" s="126"/>
    </row>
    <row r="975">
      <c r="A975" s="126"/>
      <c r="E975" s="126"/>
      <c r="L975" s="126"/>
    </row>
    <row r="976">
      <c r="A976" s="126"/>
      <c r="E976" s="126"/>
      <c r="L976" s="126"/>
    </row>
    <row r="977">
      <c r="A977" s="126"/>
      <c r="E977" s="126"/>
      <c r="L977" s="126"/>
    </row>
    <row r="978">
      <c r="A978" s="126"/>
      <c r="E978" s="126"/>
      <c r="L978" s="126"/>
    </row>
    <row r="979">
      <c r="A979" s="58"/>
      <c r="B979" s="8" t="s">
        <v>4894</v>
      </c>
      <c r="C979" s="8" t="s">
        <v>4895</v>
      </c>
      <c r="D979" s="100" t="s">
        <v>1395</v>
      </c>
      <c r="E979" s="8" t="s">
        <v>4641</v>
      </c>
      <c r="F979" s="8" t="s">
        <v>4896</v>
      </c>
      <c r="G979" s="21">
        <v>9.979476839E9</v>
      </c>
      <c r="H979" s="21">
        <v>7.984142893E9</v>
      </c>
      <c r="I979" s="21">
        <v>1600.0</v>
      </c>
      <c r="J979" s="22">
        <v>46090.0</v>
      </c>
      <c r="K979" s="8" t="s">
        <v>70</v>
      </c>
      <c r="L979" s="242" t="s">
        <v>49</v>
      </c>
      <c r="M979" s="8" t="s">
        <v>71</v>
      </c>
      <c r="N979" s="8" t="s">
        <v>28</v>
      </c>
      <c r="O979" s="97">
        <v>19439.0</v>
      </c>
      <c r="P979" s="97">
        <v>21975.0</v>
      </c>
      <c r="Q979" s="6">
        <v>63.0</v>
      </c>
      <c r="R979" s="12">
        <f t="shared" ref="R979:R1004" si="25">O979*Q979%</f>
        <v>12246.57</v>
      </c>
    </row>
    <row r="980">
      <c r="A980" s="58"/>
      <c r="B980" s="8" t="s">
        <v>4897</v>
      </c>
      <c r="C980" s="8" t="s">
        <v>4898</v>
      </c>
      <c r="D980" s="100" t="s">
        <v>21</v>
      </c>
      <c r="E980" s="8" t="s">
        <v>4899</v>
      </c>
      <c r="F980" s="8" t="s">
        <v>4900</v>
      </c>
      <c r="G980" s="21">
        <v>9.99815043E9</v>
      </c>
      <c r="H980" s="21">
        <v>9.512844447E9</v>
      </c>
      <c r="I980" s="21">
        <v>16200.0</v>
      </c>
      <c r="J980" s="22">
        <v>46151.0</v>
      </c>
      <c r="K980" s="8" t="s">
        <v>56</v>
      </c>
      <c r="L980" s="242" t="s">
        <v>49</v>
      </c>
      <c r="M980" s="8" t="s">
        <v>71</v>
      </c>
      <c r="N980" s="8" t="s">
        <v>28</v>
      </c>
      <c r="O980" s="97">
        <v>38007.0</v>
      </c>
      <c r="P980" s="97">
        <v>42729.0</v>
      </c>
      <c r="Q980" s="6">
        <v>26.0</v>
      </c>
      <c r="R980" s="12">
        <f t="shared" si="25"/>
        <v>9881.82</v>
      </c>
    </row>
    <row r="981">
      <c r="A981" s="58"/>
      <c r="B981" s="8" t="s">
        <v>4901</v>
      </c>
      <c r="C981" s="8" t="s">
        <v>4902</v>
      </c>
      <c r="D981" s="100" t="s">
        <v>21</v>
      </c>
      <c r="E981" s="8" t="s">
        <v>133</v>
      </c>
      <c r="F981" s="8" t="s">
        <v>4903</v>
      </c>
      <c r="G981" s="21">
        <v>7.98467355E9</v>
      </c>
      <c r="H981" s="21">
        <v>7.567163875E9</v>
      </c>
      <c r="I981" s="21">
        <v>42000.0</v>
      </c>
      <c r="J981" s="22">
        <v>46335.0</v>
      </c>
      <c r="K981" s="8" t="s">
        <v>70</v>
      </c>
      <c r="L981" s="242" t="s">
        <v>49</v>
      </c>
      <c r="M981" s="8" t="s">
        <v>71</v>
      </c>
      <c r="N981" s="8" t="s">
        <v>28</v>
      </c>
      <c r="O981" s="97">
        <v>49596.0</v>
      </c>
      <c r="P981" s="97">
        <v>55869.0</v>
      </c>
      <c r="Q981" s="6">
        <v>28.0</v>
      </c>
      <c r="R981" s="12">
        <f t="shared" si="25"/>
        <v>13886.88</v>
      </c>
    </row>
    <row r="982">
      <c r="A982" s="58"/>
      <c r="B982" s="8" t="s">
        <v>4904</v>
      </c>
      <c r="C982" s="8" t="s">
        <v>4905</v>
      </c>
      <c r="D982" s="100" t="s">
        <v>1395</v>
      </c>
      <c r="E982" s="8" t="s">
        <v>1690</v>
      </c>
      <c r="F982" s="8" t="s">
        <v>4906</v>
      </c>
      <c r="G982" s="21">
        <v>9.879145201E9</v>
      </c>
      <c r="H982" s="21">
        <v>8.460059828E9</v>
      </c>
      <c r="I982" s="21">
        <v>1600.0</v>
      </c>
      <c r="J982" s="22">
        <v>46365.0</v>
      </c>
      <c r="K982" s="8" t="s">
        <v>70</v>
      </c>
      <c r="L982" s="242" t="s">
        <v>49</v>
      </c>
      <c r="M982" s="8" t="s">
        <v>71</v>
      </c>
      <c r="N982" s="8" t="s">
        <v>28</v>
      </c>
      <c r="O982" s="97">
        <v>19286.0</v>
      </c>
      <c r="P982" s="97">
        <v>21795.0</v>
      </c>
      <c r="Q982" s="6">
        <v>63.0</v>
      </c>
      <c r="R982" s="12">
        <f t="shared" si="25"/>
        <v>12150.18</v>
      </c>
    </row>
    <row r="983">
      <c r="A983" s="58"/>
      <c r="B983" s="8" t="s">
        <v>4907</v>
      </c>
      <c r="C983" s="8" t="s">
        <v>4908</v>
      </c>
      <c r="D983" s="100" t="s">
        <v>1395</v>
      </c>
      <c r="E983" s="8" t="s">
        <v>4509</v>
      </c>
      <c r="F983" s="8" t="s">
        <v>192</v>
      </c>
      <c r="G983" s="21">
        <v>9.099975475E9</v>
      </c>
      <c r="H983" s="21">
        <v>9.212259977E9</v>
      </c>
      <c r="I983" s="21">
        <v>1600.0</v>
      </c>
      <c r="J983" s="22">
        <v>46365.0</v>
      </c>
      <c r="K983" s="8" t="s">
        <v>70</v>
      </c>
      <c r="L983" s="242" t="s">
        <v>49</v>
      </c>
      <c r="M983" s="8" t="s">
        <v>89</v>
      </c>
      <c r="N983" s="8" t="s">
        <v>28</v>
      </c>
      <c r="O983" s="97">
        <v>19947.0</v>
      </c>
      <c r="P983" s="97">
        <v>22575.0</v>
      </c>
      <c r="Q983" s="6">
        <v>63.0</v>
      </c>
      <c r="R983" s="12">
        <f t="shared" si="25"/>
        <v>12566.61</v>
      </c>
    </row>
    <row r="984">
      <c r="A984" s="58"/>
      <c r="B984" s="8" t="s">
        <v>4909</v>
      </c>
      <c r="C984" s="8" t="s">
        <v>4910</v>
      </c>
      <c r="D984" s="100" t="s">
        <v>75</v>
      </c>
      <c r="E984" s="8" t="s">
        <v>4911</v>
      </c>
      <c r="F984" s="8" t="s">
        <v>4912</v>
      </c>
      <c r="G984" s="21">
        <v>9.558261343E9</v>
      </c>
      <c r="H984" s="21">
        <v>6.358207853E9</v>
      </c>
      <c r="I984" s="21">
        <v>990.0</v>
      </c>
      <c r="J984" s="22">
        <v>46365.0</v>
      </c>
      <c r="K984" s="8" t="s">
        <v>41</v>
      </c>
      <c r="L984" s="242" t="s">
        <v>49</v>
      </c>
      <c r="M984" s="8" t="s">
        <v>71</v>
      </c>
      <c r="N984" s="8" t="s">
        <v>28</v>
      </c>
      <c r="O984" s="21">
        <v>5080.0</v>
      </c>
      <c r="P984" s="21">
        <v>5726.0</v>
      </c>
      <c r="Q984" s="6">
        <v>58.0</v>
      </c>
      <c r="R984" s="12">
        <f t="shared" si="25"/>
        <v>2946.4</v>
      </c>
    </row>
    <row r="985">
      <c r="A985" s="83"/>
      <c r="B985" s="133" t="s">
        <v>4913</v>
      </c>
      <c r="C985" s="8" t="s">
        <v>4914</v>
      </c>
      <c r="D985" s="100" t="s">
        <v>21</v>
      </c>
      <c r="E985" s="8" t="s">
        <v>748</v>
      </c>
      <c r="F985" s="8" t="s">
        <v>4915</v>
      </c>
      <c r="G985" s="21">
        <v>7.98467355E9</v>
      </c>
      <c r="H985" s="8"/>
      <c r="I985" s="86">
        <v>42000.0</v>
      </c>
      <c r="J985" s="22">
        <v>46335.0</v>
      </c>
      <c r="K985" s="8" t="s">
        <v>4916</v>
      </c>
      <c r="L985" s="242" t="s">
        <v>49</v>
      </c>
      <c r="M985" s="8" t="s">
        <v>27</v>
      </c>
      <c r="N985" s="8" t="s">
        <v>28</v>
      </c>
      <c r="O985" s="21">
        <v>50608.7</v>
      </c>
      <c r="P985" s="21">
        <v>57063.74</v>
      </c>
      <c r="Q985" s="6">
        <v>24.0</v>
      </c>
      <c r="R985" s="12">
        <f t="shared" si="25"/>
        <v>12146.088</v>
      </c>
    </row>
    <row r="986">
      <c r="A986" s="83"/>
      <c r="B986" s="133" t="s">
        <v>4917</v>
      </c>
      <c r="C986" s="8" t="s">
        <v>4918</v>
      </c>
      <c r="D986" s="100" t="s">
        <v>1395</v>
      </c>
      <c r="E986" s="8" t="s">
        <v>4919</v>
      </c>
      <c r="F986" s="8" t="s">
        <v>4920</v>
      </c>
      <c r="G986" s="21" t="s">
        <v>4921</v>
      </c>
      <c r="H986" s="8"/>
      <c r="I986" s="21">
        <v>3490.0</v>
      </c>
      <c r="J986" s="21" t="s">
        <v>4922</v>
      </c>
      <c r="K986" s="8" t="s">
        <v>25</v>
      </c>
      <c r="L986" s="242" t="s">
        <v>49</v>
      </c>
      <c r="M986" s="8" t="s">
        <v>96</v>
      </c>
      <c r="N986" s="8" t="s">
        <v>28</v>
      </c>
      <c r="O986" s="97">
        <v>22891.0</v>
      </c>
      <c r="P986" s="97">
        <v>26048.0</v>
      </c>
      <c r="Q986" s="6">
        <v>53.0</v>
      </c>
      <c r="R986" s="12">
        <f t="shared" si="25"/>
        <v>12132.23</v>
      </c>
    </row>
    <row r="987">
      <c r="A987" s="58"/>
      <c r="B987" s="8" t="s">
        <v>4923</v>
      </c>
      <c r="C987" s="8" t="s">
        <v>4924</v>
      </c>
      <c r="D987" s="100" t="s">
        <v>21</v>
      </c>
      <c r="E987" s="8" t="s">
        <v>4925</v>
      </c>
      <c r="F987" s="8" t="s">
        <v>4926</v>
      </c>
      <c r="G987" s="21">
        <v>9.87984388E9</v>
      </c>
      <c r="H987" s="8"/>
      <c r="I987" s="21">
        <v>25000.0</v>
      </c>
      <c r="J987" s="21" t="s">
        <v>4922</v>
      </c>
      <c r="K987" s="8" t="s">
        <v>25</v>
      </c>
      <c r="L987" s="242" t="s">
        <v>26</v>
      </c>
      <c r="M987" s="8" t="s">
        <v>111</v>
      </c>
      <c r="N987" s="8" t="s">
        <v>28</v>
      </c>
      <c r="O987" s="21">
        <v>44050.0</v>
      </c>
      <c r="P987" s="21">
        <v>49342.0</v>
      </c>
      <c r="Q987" s="6">
        <v>49.0</v>
      </c>
      <c r="R987" s="12">
        <f t="shared" si="25"/>
        <v>21584.5</v>
      </c>
    </row>
    <row r="988">
      <c r="A988" s="58"/>
      <c r="B988" s="8" t="s">
        <v>4927</v>
      </c>
      <c r="C988" s="8" t="s">
        <v>4928</v>
      </c>
      <c r="D988" s="100" t="s">
        <v>75</v>
      </c>
      <c r="E988" s="8" t="s">
        <v>4929</v>
      </c>
      <c r="F988" s="8" t="s">
        <v>4930</v>
      </c>
      <c r="G988" s="21">
        <v>9.879496972E9</v>
      </c>
      <c r="H988" s="21">
        <v>6.359316757E9</v>
      </c>
      <c r="I988" s="21">
        <v>995.0</v>
      </c>
      <c r="J988" s="21" t="s">
        <v>4922</v>
      </c>
      <c r="K988" s="8" t="s">
        <v>41</v>
      </c>
      <c r="L988" s="242" t="s">
        <v>49</v>
      </c>
      <c r="M988" s="8" t="s">
        <v>71</v>
      </c>
      <c r="N988" s="8" t="s">
        <v>28</v>
      </c>
      <c r="O988" s="97">
        <v>5163.0</v>
      </c>
      <c r="P988" s="97">
        <v>5819.0</v>
      </c>
      <c r="Q988" s="6">
        <v>58.0</v>
      </c>
      <c r="R988" s="12">
        <f t="shared" si="25"/>
        <v>2994.54</v>
      </c>
    </row>
    <row r="989">
      <c r="A989" s="58"/>
      <c r="B989" s="8" t="s">
        <v>4931</v>
      </c>
      <c r="C989" s="8" t="s">
        <v>4932</v>
      </c>
      <c r="D989" s="100" t="s">
        <v>1395</v>
      </c>
      <c r="E989" s="8" t="s">
        <v>4933</v>
      </c>
      <c r="F989" s="8" t="s">
        <v>4934</v>
      </c>
      <c r="G989" s="21">
        <v>9.925905999E9</v>
      </c>
      <c r="H989" s="21">
        <v>9.638204996E9</v>
      </c>
      <c r="I989" s="21">
        <v>2820.0</v>
      </c>
      <c r="J989" s="21" t="s">
        <v>4935</v>
      </c>
      <c r="K989" s="8" t="s">
        <v>4936</v>
      </c>
      <c r="L989" s="242" t="s">
        <v>49</v>
      </c>
      <c r="M989" s="8" t="s">
        <v>71</v>
      </c>
      <c r="N989" s="8" t="s">
        <v>28</v>
      </c>
      <c r="O989" s="97">
        <v>16987.0</v>
      </c>
      <c r="P989" s="97">
        <v>19082.0</v>
      </c>
      <c r="Q989" s="6">
        <v>62.0</v>
      </c>
      <c r="R989" s="12">
        <f t="shared" si="25"/>
        <v>10531.94</v>
      </c>
    </row>
    <row r="990">
      <c r="A990" s="58"/>
      <c r="B990" s="8" t="s">
        <v>4937</v>
      </c>
      <c r="C990" s="8" t="s">
        <v>4938</v>
      </c>
      <c r="D990" s="100" t="s">
        <v>966</v>
      </c>
      <c r="E990" s="8" t="s">
        <v>4939</v>
      </c>
      <c r="F990" s="8" t="s">
        <v>4940</v>
      </c>
      <c r="G990" s="21">
        <v>9.879515715E9</v>
      </c>
      <c r="H990" s="21">
        <v>8.866115715E9</v>
      </c>
      <c r="I990" s="21">
        <v>1248.0</v>
      </c>
      <c r="J990" s="21" t="s">
        <v>4941</v>
      </c>
      <c r="K990" s="8" t="s">
        <v>4916</v>
      </c>
      <c r="L990" s="242" t="s">
        <v>49</v>
      </c>
      <c r="M990" s="8" t="s">
        <v>71</v>
      </c>
      <c r="N990" s="8" t="s">
        <v>28</v>
      </c>
      <c r="O990" s="97">
        <v>9071.32</v>
      </c>
      <c r="P990" s="97">
        <v>10704.16</v>
      </c>
      <c r="Q990" s="6">
        <v>25.0</v>
      </c>
      <c r="R990" s="12">
        <f t="shared" si="25"/>
        <v>2267.83</v>
      </c>
    </row>
    <row r="991">
      <c r="A991" s="58"/>
      <c r="B991" s="8" t="s">
        <v>4942</v>
      </c>
      <c r="C991" s="8" t="s">
        <v>4943</v>
      </c>
      <c r="D991" s="100" t="s">
        <v>1395</v>
      </c>
      <c r="E991" s="8" t="s">
        <v>4944</v>
      </c>
      <c r="F991" s="8" t="s">
        <v>4945</v>
      </c>
      <c r="G991" s="21">
        <v>9.913297786E9</v>
      </c>
      <c r="H991" s="8"/>
      <c r="I991" s="21">
        <v>2620.0</v>
      </c>
      <c r="J991" s="21" t="s">
        <v>4946</v>
      </c>
      <c r="K991" s="8" t="s">
        <v>4936</v>
      </c>
      <c r="L991" s="242" t="s">
        <v>49</v>
      </c>
      <c r="M991" s="8" t="s">
        <v>27</v>
      </c>
      <c r="N991" s="8" t="s">
        <v>28</v>
      </c>
      <c r="O991" s="97">
        <v>17556.0</v>
      </c>
      <c r="P991" s="97">
        <v>19753.0</v>
      </c>
      <c r="Q991" s="6">
        <v>62.0</v>
      </c>
      <c r="R991" s="12">
        <f t="shared" si="25"/>
        <v>10884.72</v>
      </c>
    </row>
    <row r="992">
      <c r="A992" s="58"/>
      <c r="B992" s="8" t="s">
        <v>4947</v>
      </c>
      <c r="C992" s="8" t="s">
        <v>4948</v>
      </c>
      <c r="D992" s="100" t="s">
        <v>21</v>
      </c>
      <c r="E992" s="8" t="s">
        <v>4949</v>
      </c>
      <c r="F992" s="8" t="s">
        <v>4950</v>
      </c>
      <c r="G992" s="21">
        <v>9.712510058E9</v>
      </c>
      <c r="H992" s="21">
        <v>8.980300196E9</v>
      </c>
      <c r="I992" s="21">
        <v>42000.0</v>
      </c>
      <c r="J992" s="21" t="s">
        <v>4951</v>
      </c>
      <c r="K992" s="8" t="s">
        <v>70</v>
      </c>
      <c r="L992" s="242" t="s">
        <v>49</v>
      </c>
      <c r="M992" s="8" t="s">
        <v>71</v>
      </c>
      <c r="N992" s="8" t="s">
        <v>28</v>
      </c>
      <c r="O992" s="97">
        <v>49615.0</v>
      </c>
      <c r="P992" s="97">
        <v>55891.0</v>
      </c>
      <c r="Q992" s="6">
        <v>28.0</v>
      </c>
      <c r="R992" s="12">
        <f t="shared" si="25"/>
        <v>13892.2</v>
      </c>
    </row>
    <row r="993">
      <c r="A993" s="58"/>
      <c r="B993" s="8" t="s">
        <v>4952</v>
      </c>
      <c r="C993" s="8" t="s">
        <v>4953</v>
      </c>
      <c r="D993" s="100" t="s">
        <v>1395</v>
      </c>
      <c r="E993" s="8" t="s">
        <v>4954</v>
      </c>
      <c r="F993" s="8" t="s">
        <v>4955</v>
      </c>
      <c r="G993" s="21" t="s">
        <v>4956</v>
      </c>
      <c r="H993" s="8"/>
      <c r="I993" s="21">
        <v>2670.0</v>
      </c>
      <c r="J993" s="21" t="s">
        <v>4957</v>
      </c>
      <c r="K993" s="8" t="s">
        <v>4936</v>
      </c>
      <c r="L993" s="242" t="s">
        <v>49</v>
      </c>
      <c r="M993" s="8" t="s">
        <v>27</v>
      </c>
      <c r="N993" s="8" t="s">
        <v>28</v>
      </c>
      <c r="O993" s="97">
        <v>17087.0</v>
      </c>
      <c r="P993" s="97">
        <v>19199.0</v>
      </c>
      <c r="Q993" s="6">
        <v>62.0</v>
      </c>
      <c r="R993" s="12">
        <f t="shared" si="25"/>
        <v>10593.94</v>
      </c>
    </row>
    <row r="994">
      <c r="A994" s="58"/>
      <c r="B994" s="8" t="s">
        <v>4958</v>
      </c>
      <c r="C994" s="8" t="s">
        <v>4959</v>
      </c>
      <c r="D994" s="100" t="s">
        <v>44</v>
      </c>
      <c r="E994" s="8" t="s">
        <v>811</v>
      </c>
      <c r="F994" s="8" t="s">
        <v>4960</v>
      </c>
      <c r="G994" s="7">
        <v>9.726844056E9</v>
      </c>
      <c r="H994" s="7">
        <v>9.913775673E9</v>
      </c>
      <c r="I994" s="21">
        <v>2450.0</v>
      </c>
      <c r="J994" s="22">
        <v>46121.0</v>
      </c>
      <c r="K994" s="7" t="s">
        <v>143</v>
      </c>
      <c r="L994" s="214" t="s">
        <v>49</v>
      </c>
      <c r="M994" s="7" t="s">
        <v>4961</v>
      </c>
      <c r="N994" s="7" t="s">
        <v>28</v>
      </c>
      <c r="O994" s="96">
        <v>17054.0</v>
      </c>
      <c r="P994" s="96">
        <v>19161.0</v>
      </c>
      <c r="Q994" s="101">
        <v>61.0</v>
      </c>
      <c r="R994" s="12">
        <f t="shared" si="25"/>
        <v>10402.94</v>
      </c>
    </row>
    <row r="995">
      <c r="A995" s="58"/>
      <c r="B995" s="8" t="s">
        <v>4962</v>
      </c>
      <c r="C995" s="8" t="s">
        <v>4963</v>
      </c>
      <c r="D995" s="100" t="s">
        <v>21</v>
      </c>
      <c r="E995" s="8" t="s">
        <v>4964</v>
      </c>
      <c r="F995" s="8" t="s">
        <v>4965</v>
      </c>
      <c r="G995" s="7">
        <v>9.825879022E9</v>
      </c>
      <c r="H995" s="7">
        <v>9.998842905E9</v>
      </c>
      <c r="I995" s="21">
        <v>11950.0</v>
      </c>
      <c r="J995" s="22">
        <v>46121.0</v>
      </c>
      <c r="K995" s="7" t="s">
        <v>25</v>
      </c>
      <c r="L995" s="214" t="s">
        <v>49</v>
      </c>
      <c r="M995" s="7" t="s">
        <v>4221</v>
      </c>
      <c r="N995" s="7" t="s">
        <v>28</v>
      </c>
      <c r="O995" s="97">
        <v>29445.0</v>
      </c>
      <c r="P995" s="97">
        <v>33114.0</v>
      </c>
      <c r="Q995" s="101">
        <v>30.0</v>
      </c>
      <c r="R995" s="12">
        <f t="shared" si="25"/>
        <v>8833.5</v>
      </c>
    </row>
    <row r="996">
      <c r="A996" s="58"/>
      <c r="B996" s="8" t="s">
        <v>4966</v>
      </c>
      <c r="C996" s="8" t="s">
        <v>4967</v>
      </c>
      <c r="D996" s="100" t="s">
        <v>1405</v>
      </c>
      <c r="E996" s="8" t="s">
        <v>76</v>
      </c>
      <c r="F996" s="8" t="s">
        <v>4968</v>
      </c>
      <c r="G996" s="7">
        <v>9.998742912E9</v>
      </c>
      <c r="H996" s="7">
        <v>9.636745427E9</v>
      </c>
      <c r="I996" s="21">
        <v>995.0</v>
      </c>
      <c r="J996" s="22">
        <v>46274.0</v>
      </c>
      <c r="K996" s="7" t="s">
        <v>78</v>
      </c>
      <c r="L996" s="214" t="s">
        <v>49</v>
      </c>
      <c r="M996" s="7" t="s">
        <v>84</v>
      </c>
      <c r="N996" s="7" t="s">
        <v>28</v>
      </c>
      <c r="O996" s="97">
        <v>6551.0</v>
      </c>
      <c r="P996" s="97">
        <v>7462.0</v>
      </c>
      <c r="Q996" s="101">
        <v>50.0</v>
      </c>
      <c r="R996" s="12">
        <f t="shared" si="25"/>
        <v>3275.5</v>
      </c>
    </row>
    <row r="997">
      <c r="A997" s="58"/>
      <c r="B997" s="8" t="s">
        <v>4969</v>
      </c>
      <c r="C997" s="8" t="s">
        <v>4970</v>
      </c>
      <c r="D997" s="100" t="s">
        <v>21</v>
      </c>
      <c r="E997" s="8" t="s">
        <v>2218</v>
      </c>
      <c r="F997" s="8" t="s">
        <v>4971</v>
      </c>
      <c r="G997" s="7">
        <v>9.925421152E9</v>
      </c>
      <c r="H997" s="7">
        <v>9.97919793E9</v>
      </c>
      <c r="I997" s="21">
        <v>35000.0</v>
      </c>
      <c r="J997" s="22">
        <v>46304.0</v>
      </c>
      <c r="K997" s="7" t="s">
        <v>65</v>
      </c>
      <c r="L997" s="214" t="s">
        <v>26</v>
      </c>
      <c r="M997" s="7" t="s">
        <v>4972</v>
      </c>
      <c r="N997" s="7" t="s">
        <v>28</v>
      </c>
      <c r="O997" s="134">
        <v>44050.0</v>
      </c>
      <c r="P997" s="21">
        <v>49342.0</v>
      </c>
      <c r="Q997" s="101">
        <v>47.0</v>
      </c>
      <c r="R997" s="12">
        <f t="shared" si="25"/>
        <v>20703.5</v>
      </c>
    </row>
    <row r="998">
      <c r="A998" s="58"/>
      <c r="B998" s="8" t="s">
        <v>4973</v>
      </c>
      <c r="C998" s="8" t="s">
        <v>4974</v>
      </c>
      <c r="D998" s="100" t="s">
        <v>21</v>
      </c>
      <c r="E998" s="8" t="s">
        <v>3066</v>
      </c>
      <c r="F998" s="8" t="s">
        <v>4975</v>
      </c>
      <c r="G998" s="7">
        <v>9.979573793E9</v>
      </c>
      <c r="H998" s="7">
        <v>9.979450492E9</v>
      </c>
      <c r="I998" s="21">
        <v>11990.0</v>
      </c>
      <c r="J998" s="22">
        <v>46335.0</v>
      </c>
      <c r="K998" s="7" t="s">
        <v>65</v>
      </c>
      <c r="L998" s="214" t="s">
        <v>26</v>
      </c>
      <c r="M998" s="7" t="s">
        <v>151</v>
      </c>
      <c r="N998" s="7" t="s">
        <v>28</v>
      </c>
      <c r="O998" s="90">
        <v>27286.0</v>
      </c>
      <c r="P998" s="97">
        <v>30566.0</v>
      </c>
      <c r="Q998" s="101">
        <v>47.0</v>
      </c>
      <c r="R998" s="12">
        <f t="shared" si="25"/>
        <v>12824.42</v>
      </c>
    </row>
    <row r="999">
      <c r="A999" s="58"/>
      <c r="B999" s="58" t="s">
        <v>4976</v>
      </c>
      <c r="C999" s="58" t="s">
        <v>4977</v>
      </c>
      <c r="D999" s="100" t="s">
        <v>44</v>
      </c>
      <c r="E999" s="58" t="s">
        <v>4629</v>
      </c>
      <c r="F999" s="58" t="s">
        <v>4978</v>
      </c>
      <c r="G999" s="7" t="s">
        <v>4979</v>
      </c>
      <c r="H999" s="7" t="s">
        <v>4980</v>
      </c>
      <c r="I999" s="88">
        <v>1426.0</v>
      </c>
      <c r="J999" s="94">
        <v>46304.0</v>
      </c>
      <c r="K999" s="7" t="s">
        <v>70</v>
      </c>
      <c r="L999" s="100" t="s">
        <v>49</v>
      </c>
      <c r="M999" s="7" t="s">
        <v>4263</v>
      </c>
      <c r="N999" s="7" t="s">
        <v>28</v>
      </c>
      <c r="O999" s="90">
        <v>16963.0</v>
      </c>
      <c r="P999" s="90">
        <v>19053.0</v>
      </c>
      <c r="Q999" s="6">
        <v>63.0</v>
      </c>
      <c r="R999" s="12">
        <f t="shared" si="25"/>
        <v>10686.69</v>
      </c>
    </row>
    <row r="1000">
      <c r="A1000" s="58"/>
      <c r="B1000" s="58" t="s">
        <v>4981</v>
      </c>
      <c r="C1000" s="58" t="s">
        <v>4982</v>
      </c>
      <c r="D1000" s="100" t="s">
        <v>44</v>
      </c>
      <c r="E1000" s="58" t="s">
        <v>4983</v>
      </c>
      <c r="F1000" s="58" t="s">
        <v>4984</v>
      </c>
      <c r="G1000" s="7">
        <v>9.879310455E9</v>
      </c>
      <c r="H1000" s="7">
        <v>8.78036031E9</v>
      </c>
      <c r="I1000" s="88">
        <v>2525.0</v>
      </c>
      <c r="J1000" s="82" t="s">
        <v>4946</v>
      </c>
      <c r="K1000" s="8" t="s">
        <v>4936</v>
      </c>
      <c r="L1000" s="214" t="s">
        <v>26</v>
      </c>
      <c r="M1000" s="7" t="s">
        <v>4961</v>
      </c>
      <c r="N1000" s="7" t="s">
        <v>28</v>
      </c>
      <c r="O1000" s="134">
        <v>16429.0</v>
      </c>
      <c r="P1000" s="90">
        <v>18423.0</v>
      </c>
      <c r="Q1000" s="6">
        <v>62.0</v>
      </c>
      <c r="R1000" s="12">
        <f t="shared" si="25"/>
        <v>10185.98</v>
      </c>
    </row>
    <row r="1001">
      <c r="A1001" s="58"/>
      <c r="B1001" s="58" t="s">
        <v>4985</v>
      </c>
      <c r="C1001" s="58" t="s">
        <v>4986</v>
      </c>
      <c r="D1001" s="100" t="s">
        <v>93</v>
      </c>
      <c r="E1001" s="58" t="s">
        <v>4987</v>
      </c>
      <c r="F1001" s="58" t="s">
        <v>4988</v>
      </c>
      <c r="G1001" s="7">
        <v>7.041549391E9</v>
      </c>
      <c r="H1001" s="7">
        <v>8.758403262E9</v>
      </c>
      <c r="I1001" s="88">
        <v>11990.0</v>
      </c>
      <c r="J1001" s="82" t="s">
        <v>4951</v>
      </c>
      <c r="K1001" s="7" t="s">
        <v>25</v>
      </c>
      <c r="L1001" s="214" t="s">
        <v>49</v>
      </c>
      <c r="M1001" s="7" t="s">
        <v>4221</v>
      </c>
      <c r="N1001" s="7" t="s">
        <v>28</v>
      </c>
      <c r="O1001" s="134">
        <v>42941.0</v>
      </c>
      <c r="P1001" s="134">
        <v>49039.0</v>
      </c>
      <c r="Q1001" s="101">
        <v>30.0</v>
      </c>
      <c r="R1001" s="12">
        <f t="shared" si="25"/>
        <v>12882.3</v>
      </c>
    </row>
    <row r="1002">
      <c r="A1002" s="64"/>
      <c r="B1002" s="108" t="s">
        <v>4989</v>
      </c>
      <c r="C1002" s="108" t="s">
        <v>4990</v>
      </c>
      <c r="D1002" s="107" t="s">
        <v>21</v>
      </c>
      <c r="E1002" s="108" t="s">
        <v>1063</v>
      </c>
      <c r="F1002" s="108" t="s">
        <v>4991</v>
      </c>
      <c r="G1002" s="114">
        <v>6.352330688E9</v>
      </c>
      <c r="H1002" s="114" t="s">
        <v>4992</v>
      </c>
      <c r="I1002" s="114">
        <v>11990.0</v>
      </c>
      <c r="J1002" s="110">
        <v>46121.0</v>
      </c>
      <c r="K1002" s="108" t="s">
        <v>25</v>
      </c>
      <c r="L1002" s="231" t="s">
        <v>49</v>
      </c>
      <c r="M1002" s="108" t="s">
        <v>340</v>
      </c>
      <c r="N1002" s="108" t="s">
        <v>28</v>
      </c>
      <c r="O1002" s="116">
        <v>35156.0</v>
      </c>
      <c r="P1002" s="116">
        <v>39853.0</v>
      </c>
      <c r="Q1002" s="6">
        <v>30.0</v>
      </c>
      <c r="R1002" s="12">
        <f t="shared" si="25"/>
        <v>10546.8</v>
      </c>
    </row>
    <row r="1003">
      <c r="A1003" s="64"/>
      <c r="B1003" s="108" t="s">
        <v>4993</v>
      </c>
      <c r="C1003" s="108" t="s">
        <v>4994</v>
      </c>
      <c r="D1003" s="107" t="s">
        <v>44</v>
      </c>
      <c r="E1003" s="108" t="s">
        <v>4995</v>
      </c>
      <c r="F1003" s="108" t="s">
        <v>4996</v>
      </c>
      <c r="G1003" s="63">
        <v>7.096891046E9</v>
      </c>
      <c r="H1003" s="63">
        <v>7.990459235E9</v>
      </c>
      <c r="I1003" s="114">
        <v>3490.0</v>
      </c>
      <c r="J1003" s="110">
        <v>46090.0</v>
      </c>
      <c r="K1003" s="63" t="s">
        <v>78</v>
      </c>
      <c r="L1003" s="175" t="s">
        <v>49</v>
      </c>
      <c r="M1003" s="63" t="s">
        <v>285</v>
      </c>
      <c r="N1003" s="63" t="s">
        <v>28</v>
      </c>
      <c r="O1003" s="116">
        <v>18453.0</v>
      </c>
      <c r="P1003" s="116">
        <v>20813.0</v>
      </c>
      <c r="Q1003" s="101">
        <v>53.0</v>
      </c>
      <c r="R1003" s="12">
        <f t="shared" si="25"/>
        <v>9780.09</v>
      </c>
    </row>
    <row r="1004">
      <c r="A1004" s="64"/>
      <c r="B1004" s="108" t="s">
        <v>4997</v>
      </c>
      <c r="C1004" s="108">
        <v>6.303379086E9</v>
      </c>
      <c r="D1004" s="243" t="s">
        <v>4998</v>
      </c>
      <c r="E1004" s="108" t="s">
        <v>4999</v>
      </c>
      <c r="F1004" s="108" t="s">
        <v>5000</v>
      </c>
      <c r="G1004" s="114" t="s">
        <v>5000</v>
      </c>
      <c r="H1004" s="108"/>
      <c r="I1004" s="114">
        <v>5131.0</v>
      </c>
      <c r="J1004" s="110">
        <v>46275.0</v>
      </c>
      <c r="K1004" s="108" t="s">
        <v>668</v>
      </c>
      <c r="L1004" s="231" t="s">
        <v>49</v>
      </c>
      <c r="M1004" s="108" t="s">
        <v>27</v>
      </c>
      <c r="N1004" s="108" t="s">
        <v>28</v>
      </c>
      <c r="O1004" s="114">
        <v>69141.0</v>
      </c>
      <c r="P1004" s="114">
        <v>81587.0</v>
      </c>
      <c r="Q1004" s="6">
        <v>48.0</v>
      </c>
      <c r="R1004" s="12">
        <f t="shared" si="25"/>
        <v>33187.68</v>
      </c>
    </row>
    <row r="1005">
      <c r="A1005" s="58"/>
      <c r="B1005" s="58"/>
      <c r="C1005" s="58"/>
      <c r="D1005" s="58"/>
      <c r="E1005" s="58"/>
      <c r="F1005" s="88"/>
      <c r="G1005" s="58"/>
      <c r="H1005" s="88"/>
      <c r="I1005" s="91"/>
      <c r="J1005" s="58"/>
      <c r="K1005" s="244"/>
      <c r="L1005" s="93"/>
      <c r="M1005" s="58"/>
      <c r="N1005" s="62"/>
      <c r="O1005" s="245"/>
      <c r="P1005" s="62"/>
      <c r="Q1005" s="58"/>
      <c r="R1005" s="88"/>
      <c r="S1005" s="88"/>
    </row>
    <row r="1006">
      <c r="A1006" s="58"/>
      <c r="B1006" s="58"/>
      <c r="C1006" s="58"/>
      <c r="D1006" s="58"/>
      <c r="E1006" s="58"/>
      <c r="F1006" s="88"/>
      <c r="G1006" s="58"/>
      <c r="H1006" s="88"/>
      <c r="I1006" s="91"/>
      <c r="J1006" s="58"/>
      <c r="K1006" s="244"/>
      <c r="L1006" s="93"/>
      <c r="M1006" s="58"/>
      <c r="N1006" s="62"/>
      <c r="O1006" s="245"/>
      <c r="P1006" s="62"/>
      <c r="Q1006" s="58"/>
      <c r="R1006" s="88"/>
      <c r="S1006" s="88"/>
    </row>
    <row r="1007">
      <c r="A1007" s="58"/>
      <c r="B1007" s="58"/>
      <c r="C1007" s="58"/>
      <c r="D1007" s="58"/>
      <c r="E1007" s="58"/>
      <c r="F1007" s="88"/>
      <c r="G1007" s="58"/>
      <c r="H1007" s="88"/>
      <c r="I1007" s="91"/>
      <c r="J1007" s="58"/>
      <c r="K1007" s="244"/>
      <c r="L1007" s="93"/>
      <c r="M1007" s="58"/>
      <c r="N1007" s="62"/>
      <c r="O1007" s="245"/>
      <c r="P1007" s="62"/>
      <c r="Q1007" s="58"/>
      <c r="R1007" s="88"/>
      <c r="S1007" s="88"/>
    </row>
    <row r="1008">
      <c r="A1008" s="7" t="s">
        <v>5001</v>
      </c>
      <c r="B1008" s="8" t="s">
        <v>5002</v>
      </c>
      <c r="C1008" s="100" t="s">
        <v>5003</v>
      </c>
      <c r="D1008" s="100" t="s">
        <v>75</v>
      </c>
      <c r="E1008" s="8" t="s">
        <v>5004</v>
      </c>
      <c r="F1008" s="8" t="s">
        <v>5005</v>
      </c>
      <c r="G1008" s="21">
        <v>9.537309647E9</v>
      </c>
      <c r="H1008" s="22">
        <v>9.537283348E9</v>
      </c>
      <c r="I1008" s="21">
        <v>990.0</v>
      </c>
      <c r="J1008" s="246" t="s">
        <v>5006</v>
      </c>
      <c r="K1008" s="8" t="s">
        <v>41</v>
      </c>
      <c r="L1008" s="9" t="s">
        <v>49</v>
      </c>
      <c r="M1008" s="8" t="s">
        <v>71</v>
      </c>
      <c r="N1008" s="223" t="s">
        <v>28</v>
      </c>
      <c r="O1008" s="21">
        <v>5144.0</v>
      </c>
      <c r="P1008" s="21">
        <v>5796.0</v>
      </c>
      <c r="Q1008" s="6">
        <v>58.0</v>
      </c>
      <c r="R1008" s="12">
        <f t="shared" ref="R1008:R1068" si="26">O1008*Q1008%</f>
        <v>2983.52</v>
      </c>
    </row>
    <row r="1009">
      <c r="A1009" s="7" t="s">
        <v>5007</v>
      </c>
      <c r="B1009" s="8" t="s">
        <v>5008</v>
      </c>
      <c r="C1009" s="100" t="s">
        <v>5009</v>
      </c>
      <c r="D1009" s="100" t="s">
        <v>1395</v>
      </c>
      <c r="E1009" s="8" t="s">
        <v>5010</v>
      </c>
      <c r="F1009" s="8" t="s">
        <v>5011</v>
      </c>
      <c r="G1009" s="21">
        <v>9.925968917E9</v>
      </c>
      <c r="H1009" s="22">
        <v>9.316428662E9</v>
      </c>
      <c r="I1009" s="21">
        <v>3490.0</v>
      </c>
      <c r="J1009" s="246" t="s">
        <v>5006</v>
      </c>
      <c r="K1009" s="8" t="s">
        <v>25</v>
      </c>
      <c r="L1009" s="9" t="s">
        <v>49</v>
      </c>
      <c r="M1009" s="8" t="s">
        <v>365</v>
      </c>
      <c r="N1009" s="223" t="s">
        <v>28</v>
      </c>
      <c r="O1009" s="97">
        <v>22156.0</v>
      </c>
      <c r="P1009" s="97">
        <v>25181.0</v>
      </c>
      <c r="Q1009" s="6">
        <v>53.0</v>
      </c>
      <c r="R1009" s="12">
        <f t="shared" si="26"/>
        <v>11742.68</v>
      </c>
    </row>
    <row r="1010">
      <c r="A1010" s="7" t="s">
        <v>5012</v>
      </c>
      <c r="B1010" s="8" t="s">
        <v>5013</v>
      </c>
      <c r="C1010" s="100">
        <v>6.303388699E9</v>
      </c>
      <c r="D1010" s="100" t="s">
        <v>1395</v>
      </c>
      <c r="E1010" s="8" t="s">
        <v>2372</v>
      </c>
      <c r="F1010" s="8" t="s">
        <v>5014</v>
      </c>
      <c r="G1010" s="21">
        <v>9.510620415E9</v>
      </c>
      <c r="H1010" s="22">
        <v>9.023923509E9</v>
      </c>
      <c r="I1010" s="21">
        <v>1600.0</v>
      </c>
      <c r="J1010" s="246" t="s">
        <v>5015</v>
      </c>
      <c r="K1010" s="8" t="s">
        <v>668</v>
      </c>
      <c r="L1010" s="9" t="s">
        <v>49</v>
      </c>
      <c r="M1010" s="8" t="s">
        <v>71</v>
      </c>
      <c r="N1010" s="223" t="s">
        <v>28</v>
      </c>
      <c r="O1010" s="21">
        <v>17414.0</v>
      </c>
      <c r="P1010" s="21">
        <v>18462.0</v>
      </c>
      <c r="Q1010" s="6">
        <v>61.0</v>
      </c>
      <c r="R1010" s="12">
        <f t="shared" si="26"/>
        <v>10622.54</v>
      </c>
    </row>
    <row r="1011">
      <c r="A1011" s="7" t="s">
        <v>5012</v>
      </c>
      <c r="B1011" s="8" t="s">
        <v>5016</v>
      </c>
      <c r="C1011" s="100" t="s">
        <v>5017</v>
      </c>
      <c r="D1011" s="100" t="s">
        <v>1395</v>
      </c>
      <c r="E1011" s="8" t="s">
        <v>4782</v>
      </c>
      <c r="F1011" s="8" t="s">
        <v>5018</v>
      </c>
      <c r="G1011" s="21">
        <v>9.687789442E9</v>
      </c>
      <c r="H1011" s="22">
        <v>7.228856101E9</v>
      </c>
      <c r="I1011" s="21">
        <v>1600.0</v>
      </c>
      <c r="J1011" s="246" t="s">
        <v>5019</v>
      </c>
      <c r="K1011" s="8" t="s">
        <v>143</v>
      </c>
      <c r="L1011" s="9" t="s">
        <v>49</v>
      </c>
      <c r="M1011" s="8" t="s">
        <v>71</v>
      </c>
      <c r="N1011" s="223" t="s">
        <v>28</v>
      </c>
      <c r="O1011" s="97">
        <v>20114.0</v>
      </c>
      <c r="P1011" s="97">
        <v>21648.0</v>
      </c>
      <c r="Q1011" s="6">
        <v>61.0</v>
      </c>
      <c r="R1011" s="12">
        <f t="shared" si="26"/>
        <v>12269.54</v>
      </c>
    </row>
    <row r="1012">
      <c r="A1012" s="7" t="s">
        <v>5020</v>
      </c>
      <c r="B1012" s="8" t="s">
        <v>5021</v>
      </c>
      <c r="C1012" s="100" t="s">
        <v>5022</v>
      </c>
      <c r="D1012" s="100" t="s">
        <v>75</v>
      </c>
      <c r="E1012" s="8" t="s">
        <v>5023</v>
      </c>
      <c r="F1012" s="8" t="s">
        <v>5024</v>
      </c>
      <c r="G1012" s="21">
        <v>8.849500437E9</v>
      </c>
      <c r="H1012" s="22">
        <v>9.979908588E9</v>
      </c>
      <c r="I1012" s="21">
        <v>995.0</v>
      </c>
      <c r="J1012" s="246" t="s">
        <v>5019</v>
      </c>
      <c r="K1012" s="8" t="s">
        <v>41</v>
      </c>
      <c r="L1012" s="9" t="s">
        <v>49</v>
      </c>
      <c r="M1012" s="8" t="s">
        <v>71</v>
      </c>
      <c r="N1012" s="223" t="s">
        <v>28</v>
      </c>
      <c r="O1012" s="97">
        <v>5193.0</v>
      </c>
      <c r="P1012" s="97">
        <v>5543.0</v>
      </c>
      <c r="Q1012" s="6">
        <v>58.0</v>
      </c>
      <c r="R1012" s="12">
        <f t="shared" si="26"/>
        <v>3011.94</v>
      </c>
    </row>
    <row r="1013">
      <c r="A1013" s="7" t="s">
        <v>5020</v>
      </c>
      <c r="B1013" s="8" t="s">
        <v>5025</v>
      </c>
      <c r="C1013" s="100" t="s">
        <v>5026</v>
      </c>
      <c r="D1013" s="100" t="s">
        <v>75</v>
      </c>
      <c r="E1013" s="8" t="s">
        <v>5027</v>
      </c>
      <c r="F1013" s="8" t="s">
        <v>5028</v>
      </c>
      <c r="G1013" s="21">
        <v>9.978488287E9</v>
      </c>
      <c r="H1013" s="22">
        <v>9.978488287E9</v>
      </c>
      <c r="I1013" s="21">
        <v>990.0</v>
      </c>
      <c r="J1013" s="246" t="s">
        <v>5029</v>
      </c>
      <c r="K1013" s="8" t="s">
        <v>41</v>
      </c>
      <c r="L1013" s="9" t="s">
        <v>49</v>
      </c>
      <c r="M1013" s="8" t="s">
        <v>4221</v>
      </c>
      <c r="N1013" s="223" t="s">
        <v>28</v>
      </c>
      <c r="O1013" s="97">
        <v>5112.0</v>
      </c>
      <c r="P1013" s="97">
        <v>5448.0</v>
      </c>
      <c r="Q1013" s="6">
        <v>58.0</v>
      </c>
      <c r="R1013" s="12">
        <f t="shared" si="26"/>
        <v>2964.96</v>
      </c>
    </row>
    <row r="1014">
      <c r="A1014" s="7" t="s">
        <v>5030</v>
      </c>
      <c r="B1014" s="8" t="s">
        <v>5031</v>
      </c>
      <c r="C1014" s="100">
        <v>6.30340084E9</v>
      </c>
      <c r="D1014" s="100" t="s">
        <v>1395</v>
      </c>
      <c r="E1014" s="8" t="s">
        <v>5032</v>
      </c>
      <c r="F1014" s="8" t="s">
        <v>5033</v>
      </c>
      <c r="G1014" s="21">
        <v>9.687556378E9</v>
      </c>
      <c r="H1014" s="22">
        <v>7.622935955E9</v>
      </c>
      <c r="I1014" s="21">
        <v>2880.0</v>
      </c>
      <c r="J1014" s="246" t="s">
        <v>5034</v>
      </c>
      <c r="K1014" s="8" t="s">
        <v>668</v>
      </c>
      <c r="L1014" s="9" t="s">
        <v>49</v>
      </c>
      <c r="M1014" s="8" t="s">
        <v>185</v>
      </c>
      <c r="N1014" s="223" t="s">
        <v>28</v>
      </c>
      <c r="O1014" s="21">
        <v>17665.0</v>
      </c>
      <c r="P1014" s="21">
        <v>18759.0</v>
      </c>
      <c r="Q1014" s="6">
        <v>52.0</v>
      </c>
      <c r="R1014" s="12">
        <f t="shared" si="26"/>
        <v>9185.8</v>
      </c>
    </row>
    <row r="1015">
      <c r="A1015" s="7" t="s">
        <v>5030</v>
      </c>
      <c r="B1015" s="8" t="s">
        <v>5035</v>
      </c>
      <c r="C1015" s="100" t="s">
        <v>5036</v>
      </c>
      <c r="D1015" s="100" t="s">
        <v>1228</v>
      </c>
      <c r="E1015" s="8" t="s">
        <v>5037</v>
      </c>
      <c r="F1015" s="8" t="s">
        <v>5038</v>
      </c>
      <c r="G1015" s="21" t="s">
        <v>4840</v>
      </c>
      <c r="H1015" s="215"/>
      <c r="I1015" s="21">
        <v>2650.0</v>
      </c>
      <c r="J1015" s="246" t="s">
        <v>5019</v>
      </c>
      <c r="K1015" s="8" t="s">
        <v>41</v>
      </c>
      <c r="L1015" s="9" t="s">
        <v>26</v>
      </c>
      <c r="M1015" s="8" t="s">
        <v>27</v>
      </c>
      <c r="N1015" s="223" t="s">
        <v>28</v>
      </c>
      <c r="O1015" s="97">
        <v>24040.0</v>
      </c>
      <c r="P1015" s="97">
        <v>28368.0</v>
      </c>
      <c r="Q1015" s="6">
        <v>15.0</v>
      </c>
      <c r="R1015" s="12">
        <f t="shared" si="26"/>
        <v>3606</v>
      </c>
    </row>
    <row r="1016">
      <c r="A1016" s="7" t="s">
        <v>5030</v>
      </c>
      <c r="B1016" s="8" t="s">
        <v>5039</v>
      </c>
      <c r="C1016" s="100" t="s">
        <v>5040</v>
      </c>
      <c r="D1016" s="100" t="s">
        <v>1395</v>
      </c>
      <c r="E1016" s="8" t="s">
        <v>4641</v>
      </c>
      <c r="F1016" s="8" t="s">
        <v>5041</v>
      </c>
      <c r="G1016" s="21" t="s">
        <v>5042</v>
      </c>
      <c r="H1016" s="215"/>
      <c r="I1016" s="21">
        <v>1600.0</v>
      </c>
      <c r="J1016" s="246" t="s">
        <v>5029</v>
      </c>
      <c r="K1016" s="8" t="s">
        <v>70</v>
      </c>
      <c r="L1016" s="9" t="s">
        <v>49</v>
      </c>
      <c r="M1016" s="8" t="s">
        <v>27</v>
      </c>
      <c r="N1016" s="223" t="s">
        <v>28</v>
      </c>
      <c r="O1016" s="97">
        <v>20355.0</v>
      </c>
      <c r="P1016" s="97">
        <v>21932.0</v>
      </c>
      <c r="Q1016" s="6">
        <v>63.0</v>
      </c>
      <c r="R1016" s="12">
        <f t="shared" si="26"/>
        <v>12823.65</v>
      </c>
    </row>
    <row r="1017">
      <c r="A1017" s="7" t="s">
        <v>5030</v>
      </c>
      <c r="B1017" s="8" t="s">
        <v>5043</v>
      </c>
      <c r="C1017" s="100" t="s">
        <v>5044</v>
      </c>
      <c r="D1017" s="100" t="s">
        <v>21</v>
      </c>
      <c r="E1017" s="8" t="s">
        <v>5045</v>
      </c>
      <c r="F1017" s="8" t="s">
        <v>5046</v>
      </c>
      <c r="G1017" s="21">
        <v>9.728725319E9</v>
      </c>
      <c r="H1017" s="22">
        <v>9.724925319E9</v>
      </c>
      <c r="I1017" s="21">
        <v>45500.0</v>
      </c>
      <c r="J1017" s="246" t="s">
        <v>5047</v>
      </c>
      <c r="K1017" s="8" t="s">
        <v>4916</v>
      </c>
      <c r="L1017" s="9" t="s">
        <v>49</v>
      </c>
      <c r="M1017" s="8" t="s">
        <v>365</v>
      </c>
      <c r="N1017" s="223" t="s">
        <v>28</v>
      </c>
      <c r="O1017" s="97">
        <v>49606.15</v>
      </c>
      <c r="P1017" s="97">
        <v>52783.79</v>
      </c>
      <c r="Q1017" s="6">
        <v>15.0</v>
      </c>
      <c r="R1017" s="12">
        <f t="shared" si="26"/>
        <v>7440.9225</v>
      </c>
    </row>
    <row r="1018">
      <c r="A1018" s="7" t="s">
        <v>5030</v>
      </c>
      <c r="B1018" s="8" t="s">
        <v>5048</v>
      </c>
      <c r="C1018" s="100" t="s">
        <v>5049</v>
      </c>
      <c r="D1018" s="100" t="s">
        <v>21</v>
      </c>
      <c r="E1018" s="8" t="s">
        <v>442</v>
      </c>
      <c r="F1018" s="8" t="s">
        <v>5050</v>
      </c>
      <c r="G1018" s="21">
        <v>9.624023981E9</v>
      </c>
      <c r="H1018" s="22">
        <v>9.624023982E9</v>
      </c>
      <c r="I1018" s="8" t="s">
        <v>5051</v>
      </c>
      <c r="J1018" s="246" t="s">
        <v>5029</v>
      </c>
      <c r="K1018" s="8" t="s">
        <v>297</v>
      </c>
      <c r="L1018" s="9" t="s">
        <v>49</v>
      </c>
      <c r="M1018" s="8" t="s">
        <v>89</v>
      </c>
      <c r="N1018" s="223" t="s">
        <v>28</v>
      </c>
      <c r="O1018" s="97">
        <v>37063.0</v>
      </c>
      <c r="P1018" s="97">
        <v>39143.66</v>
      </c>
      <c r="Q1018" s="6">
        <v>30.0</v>
      </c>
      <c r="R1018" s="12">
        <f t="shared" si="26"/>
        <v>11118.9</v>
      </c>
    </row>
    <row r="1019">
      <c r="A1019" s="7" t="s">
        <v>5030</v>
      </c>
      <c r="B1019" s="8" t="s">
        <v>5052</v>
      </c>
      <c r="C1019" s="100" t="s">
        <v>5053</v>
      </c>
      <c r="D1019" s="100" t="s">
        <v>21</v>
      </c>
      <c r="E1019" s="8" t="s">
        <v>442</v>
      </c>
      <c r="F1019" s="8" t="s">
        <v>5050</v>
      </c>
      <c r="G1019" s="21">
        <v>9.624023981E9</v>
      </c>
      <c r="H1019" s="22">
        <v>9.624023982E9</v>
      </c>
      <c r="I1019" s="8" t="s">
        <v>3855</v>
      </c>
      <c r="J1019" s="246" t="s">
        <v>5029</v>
      </c>
      <c r="K1019" s="8" t="s">
        <v>297</v>
      </c>
      <c r="L1019" s="9" t="s">
        <v>49</v>
      </c>
      <c r="M1019" s="8" t="s">
        <v>89</v>
      </c>
      <c r="N1019" s="223" t="s">
        <v>28</v>
      </c>
      <c r="O1019" s="97">
        <v>51617.0</v>
      </c>
      <c r="P1019" s="97">
        <v>56317.38</v>
      </c>
      <c r="Q1019" s="6">
        <v>30.0</v>
      </c>
      <c r="R1019" s="12">
        <f t="shared" si="26"/>
        <v>15485.1</v>
      </c>
    </row>
    <row r="1020">
      <c r="A1020" s="7" t="s">
        <v>5030</v>
      </c>
      <c r="B1020" s="8" t="s">
        <v>5054</v>
      </c>
      <c r="C1020" s="100" t="s">
        <v>5055</v>
      </c>
      <c r="D1020" s="100" t="s">
        <v>21</v>
      </c>
      <c r="E1020" s="8" t="s">
        <v>4102</v>
      </c>
      <c r="F1020" s="8" t="s">
        <v>5056</v>
      </c>
      <c r="G1020" s="21" t="s">
        <v>1951</v>
      </c>
      <c r="H1020" s="215"/>
      <c r="I1020" s="21">
        <v>28000.0</v>
      </c>
      <c r="J1020" s="246" t="s">
        <v>5057</v>
      </c>
      <c r="K1020" s="100" t="s">
        <v>65</v>
      </c>
      <c r="L1020" s="9" t="s">
        <v>26</v>
      </c>
      <c r="M1020" s="8" t="s">
        <v>71</v>
      </c>
      <c r="N1020" s="223" t="s">
        <v>28</v>
      </c>
      <c r="O1020" s="97">
        <v>44050.0</v>
      </c>
      <c r="P1020" s="97">
        <v>46266.0</v>
      </c>
      <c r="Q1020" s="6">
        <v>50.0</v>
      </c>
      <c r="R1020" s="12">
        <f t="shared" si="26"/>
        <v>22025</v>
      </c>
    </row>
    <row r="1021">
      <c r="A1021" s="7" t="s">
        <v>5030</v>
      </c>
      <c r="B1021" s="8" t="s">
        <v>5058</v>
      </c>
      <c r="C1021" s="100" t="s">
        <v>5059</v>
      </c>
      <c r="D1021" s="100" t="s">
        <v>75</v>
      </c>
      <c r="E1021" s="8" t="s">
        <v>5060</v>
      </c>
      <c r="F1021" s="8" t="s">
        <v>5061</v>
      </c>
      <c r="G1021" s="21">
        <v>6.353728009E9</v>
      </c>
      <c r="H1021" s="22">
        <v>9.979042996E9</v>
      </c>
      <c r="I1021" s="21">
        <v>995.0</v>
      </c>
      <c r="J1021" s="246" t="s">
        <v>5062</v>
      </c>
      <c r="K1021" s="8" t="s">
        <v>41</v>
      </c>
      <c r="L1021" s="9" t="s">
        <v>49</v>
      </c>
      <c r="M1021" s="8" t="s">
        <v>71</v>
      </c>
      <c r="N1021" s="223" t="s">
        <v>28</v>
      </c>
      <c r="O1021" s="21">
        <v>5222.0</v>
      </c>
      <c r="P1021" s="21">
        <v>5570.0</v>
      </c>
      <c r="Q1021" s="6">
        <v>58.0</v>
      </c>
      <c r="R1021" s="12">
        <f t="shared" si="26"/>
        <v>3028.76</v>
      </c>
    </row>
    <row r="1022">
      <c r="A1022" s="7" t="s">
        <v>5030</v>
      </c>
      <c r="B1022" s="8" t="s">
        <v>5063</v>
      </c>
      <c r="C1022" s="100" t="s">
        <v>5064</v>
      </c>
      <c r="D1022" s="100" t="s">
        <v>1395</v>
      </c>
      <c r="E1022" s="8" t="s">
        <v>5065</v>
      </c>
      <c r="F1022" s="8" t="s">
        <v>5066</v>
      </c>
      <c r="G1022" s="21" t="s">
        <v>5067</v>
      </c>
      <c r="H1022" s="215"/>
      <c r="I1022" s="21">
        <v>2880.0</v>
      </c>
      <c r="J1022" s="246" t="s">
        <v>5068</v>
      </c>
      <c r="K1022" s="8" t="s">
        <v>4936</v>
      </c>
      <c r="L1022" s="9" t="s">
        <v>49</v>
      </c>
      <c r="M1022" s="8" t="s">
        <v>71</v>
      </c>
      <c r="N1022" s="223" t="s">
        <v>28</v>
      </c>
      <c r="O1022" s="97">
        <v>17251.0</v>
      </c>
      <c r="P1022" s="97">
        <v>18270.0</v>
      </c>
      <c r="Q1022" s="6">
        <v>62.0</v>
      </c>
      <c r="R1022" s="12">
        <f t="shared" si="26"/>
        <v>10695.62</v>
      </c>
    </row>
    <row r="1023">
      <c r="A1023" s="7" t="s">
        <v>5069</v>
      </c>
      <c r="B1023" s="8" t="s">
        <v>5070</v>
      </c>
      <c r="C1023" s="100" t="s">
        <v>5071</v>
      </c>
      <c r="D1023" s="100" t="s">
        <v>1395</v>
      </c>
      <c r="E1023" s="8" t="s">
        <v>4641</v>
      </c>
      <c r="F1023" s="8" t="s">
        <v>5072</v>
      </c>
      <c r="G1023" s="21">
        <v>9.91306017E9</v>
      </c>
      <c r="H1023" s="22">
        <v>6.355705522E9</v>
      </c>
      <c r="I1023" s="21">
        <v>1600.0</v>
      </c>
      <c r="J1023" s="246" t="s">
        <v>5073</v>
      </c>
      <c r="K1023" s="8" t="s">
        <v>70</v>
      </c>
      <c r="L1023" s="9" t="s">
        <v>49</v>
      </c>
      <c r="M1023" s="8" t="s">
        <v>96</v>
      </c>
      <c r="N1023" s="223" t="s">
        <v>28</v>
      </c>
      <c r="O1023" s="97">
        <v>20290.0</v>
      </c>
      <c r="P1023" s="97">
        <v>21856.0</v>
      </c>
      <c r="Q1023" s="6">
        <v>63.0</v>
      </c>
      <c r="R1023" s="12">
        <f t="shared" si="26"/>
        <v>12782.7</v>
      </c>
    </row>
    <row r="1024">
      <c r="A1024" s="7" t="s">
        <v>5069</v>
      </c>
      <c r="B1024" s="8" t="s">
        <v>5074</v>
      </c>
      <c r="C1024" s="100" t="s">
        <v>5075</v>
      </c>
      <c r="D1024" s="100" t="s">
        <v>533</v>
      </c>
      <c r="E1024" s="8" t="s">
        <v>782</v>
      </c>
      <c r="F1024" s="8" t="s">
        <v>5076</v>
      </c>
      <c r="G1024" s="21">
        <v>9.87901593E9</v>
      </c>
      <c r="H1024" s="22">
        <v>9.879933331E9</v>
      </c>
      <c r="I1024" s="8"/>
      <c r="J1024" s="246" t="s">
        <v>5077</v>
      </c>
      <c r="K1024" s="8" t="s">
        <v>116</v>
      </c>
      <c r="L1024" s="9" t="s">
        <v>26</v>
      </c>
      <c r="M1024" s="8" t="s">
        <v>89</v>
      </c>
      <c r="N1024" s="223" t="s">
        <v>28</v>
      </c>
      <c r="O1024" s="97">
        <v>7317.0</v>
      </c>
      <c r="P1024" s="97">
        <v>8634.0</v>
      </c>
      <c r="Q1024" s="6">
        <v>27.0</v>
      </c>
      <c r="R1024" s="12">
        <f t="shared" si="26"/>
        <v>1975.59</v>
      </c>
    </row>
    <row r="1025">
      <c r="A1025" s="14">
        <v>45726.0</v>
      </c>
      <c r="B1025" s="58" t="s">
        <v>5078</v>
      </c>
      <c r="C1025" s="93" t="s">
        <v>5079</v>
      </c>
      <c r="D1025" s="100" t="s">
        <v>1395</v>
      </c>
      <c r="E1025" s="58" t="s">
        <v>5080</v>
      </c>
      <c r="F1025" s="58" t="s">
        <v>5081</v>
      </c>
      <c r="G1025" s="21">
        <v>9.60188366E9</v>
      </c>
      <c r="H1025" s="215"/>
      <c r="I1025" s="88">
        <v>2500.0</v>
      </c>
      <c r="J1025" s="246" t="s">
        <v>5082</v>
      </c>
      <c r="K1025" s="8" t="s">
        <v>143</v>
      </c>
      <c r="L1025" s="9" t="s">
        <v>49</v>
      </c>
      <c r="M1025" s="100" t="s">
        <v>89</v>
      </c>
      <c r="N1025" s="247" t="s">
        <v>28</v>
      </c>
      <c r="O1025" s="90">
        <v>16506.0</v>
      </c>
      <c r="P1025" s="90">
        <v>17391.0</v>
      </c>
      <c r="Q1025" s="6">
        <v>62.0</v>
      </c>
      <c r="R1025" s="12">
        <f t="shared" si="26"/>
        <v>10233.72</v>
      </c>
    </row>
    <row r="1026">
      <c r="A1026" s="14">
        <v>45667.0</v>
      </c>
      <c r="B1026" s="8" t="s">
        <v>5083</v>
      </c>
      <c r="C1026" s="248" t="s">
        <v>5084</v>
      </c>
      <c r="D1026" s="100" t="s">
        <v>1395</v>
      </c>
      <c r="E1026" s="8" t="s">
        <v>2182</v>
      </c>
      <c r="F1026" s="8" t="s">
        <v>5085</v>
      </c>
      <c r="G1026" s="21" t="s">
        <v>5086</v>
      </c>
      <c r="H1026" s="8"/>
      <c r="I1026" s="88">
        <v>1600.0</v>
      </c>
      <c r="J1026" s="22" t="s">
        <v>5068</v>
      </c>
      <c r="K1026" s="8" t="s">
        <v>70</v>
      </c>
      <c r="L1026" s="9" t="s">
        <v>49</v>
      </c>
      <c r="M1026" s="8" t="s">
        <v>33</v>
      </c>
      <c r="N1026" s="8" t="s">
        <v>28</v>
      </c>
      <c r="O1026" s="97">
        <v>17289.0</v>
      </c>
      <c r="P1026" s="97">
        <v>18315.0</v>
      </c>
      <c r="Q1026" s="6">
        <v>63.0</v>
      </c>
      <c r="R1026" s="12">
        <f t="shared" si="26"/>
        <v>10892.07</v>
      </c>
    </row>
    <row r="1027">
      <c r="A1027" s="14">
        <v>45698.0</v>
      </c>
      <c r="B1027" s="8" t="s">
        <v>5087</v>
      </c>
      <c r="C1027" s="248" t="s">
        <v>5088</v>
      </c>
      <c r="D1027" s="100" t="s">
        <v>75</v>
      </c>
      <c r="E1027" s="8" t="s">
        <v>5089</v>
      </c>
      <c r="F1027" s="8" t="s">
        <v>5090</v>
      </c>
      <c r="G1027" s="21">
        <v>8.141204459E9</v>
      </c>
      <c r="H1027" s="21">
        <v>7.990135649E9</v>
      </c>
      <c r="I1027" s="88">
        <v>986.0</v>
      </c>
      <c r="J1027" s="21" t="s">
        <v>5091</v>
      </c>
      <c r="K1027" s="8" t="s">
        <v>41</v>
      </c>
      <c r="L1027" s="9" t="s">
        <v>49</v>
      </c>
      <c r="M1027" s="8" t="s">
        <v>71</v>
      </c>
      <c r="N1027" s="8" t="s">
        <v>28</v>
      </c>
      <c r="O1027" s="97">
        <v>5178.0</v>
      </c>
      <c r="P1027" s="97">
        <v>5518.0</v>
      </c>
      <c r="Q1027" s="6">
        <v>58.0</v>
      </c>
      <c r="R1027" s="12">
        <f t="shared" si="26"/>
        <v>3003.24</v>
      </c>
    </row>
    <row r="1028">
      <c r="A1028" s="14">
        <v>45698.0</v>
      </c>
      <c r="B1028" s="8" t="s">
        <v>5092</v>
      </c>
      <c r="C1028" s="248" t="s">
        <v>5093</v>
      </c>
      <c r="D1028" s="100" t="s">
        <v>21</v>
      </c>
      <c r="E1028" s="8" t="s">
        <v>5094</v>
      </c>
      <c r="F1028" s="8" t="s">
        <v>5095</v>
      </c>
      <c r="G1028" s="21" t="s">
        <v>5096</v>
      </c>
      <c r="H1028" s="8"/>
      <c r="I1028" s="88">
        <v>55000.0</v>
      </c>
      <c r="J1028" s="22">
        <v>46063.0</v>
      </c>
      <c r="K1028" s="8" t="s">
        <v>56</v>
      </c>
      <c r="L1028" s="9" t="s">
        <v>49</v>
      </c>
      <c r="M1028" s="8" t="s">
        <v>33</v>
      </c>
      <c r="N1028" s="8" t="s">
        <v>28</v>
      </c>
      <c r="O1028" s="21">
        <v>52000.0</v>
      </c>
      <c r="P1028" s="21">
        <v>55609.0</v>
      </c>
      <c r="Q1028" s="6">
        <v>24.0</v>
      </c>
      <c r="R1028" s="12">
        <f t="shared" si="26"/>
        <v>12480</v>
      </c>
    </row>
    <row r="1029">
      <c r="A1029" s="14">
        <v>45726.0</v>
      </c>
      <c r="B1029" s="8" t="s">
        <v>5097</v>
      </c>
      <c r="C1029" s="248" t="s">
        <v>5098</v>
      </c>
      <c r="D1029" s="100" t="s">
        <v>75</v>
      </c>
      <c r="E1029" s="8" t="s">
        <v>4929</v>
      </c>
      <c r="F1029" s="8" t="s">
        <v>5099</v>
      </c>
      <c r="G1029" s="21">
        <v>7.874016819E9</v>
      </c>
      <c r="H1029" s="21">
        <v>6.352458896E9</v>
      </c>
      <c r="I1029" s="88">
        <v>995.0</v>
      </c>
      <c r="J1029" s="22">
        <v>46063.0</v>
      </c>
      <c r="K1029" s="8" t="s">
        <v>41</v>
      </c>
      <c r="L1029" s="9" t="s">
        <v>49</v>
      </c>
      <c r="M1029" s="8" t="s">
        <v>71</v>
      </c>
      <c r="N1029" s="8" t="s">
        <v>28</v>
      </c>
      <c r="O1029" s="97">
        <v>5295.0</v>
      </c>
      <c r="P1029" s="97">
        <v>5657.0</v>
      </c>
      <c r="Q1029" s="6">
        <v>58.0</v>
      </c>
      <c r="R1029" s="12">
        <f t="shared" si="26"/>
        <v>3071.1</v>
      </c>
    </row>
    <row r="1030">
      <c r="A1030" s="14">
        <v>45757.0</v>
      </c>
      <c r="B1030" s="8" t="s">
        <v>5100</v>
      </c>
      <c r="C1030" s="248">
        <v>6.303421185E9</v>
      </c>
      <c r="D1030" s="100" t="s">
        <v>1395</v>
      </c>
      <c r="E1030" s="8" t="s">
        <v>2718</v>
      </c>
      <c r="F1030" s="8" t="s">
        <v>5101</v>
      </c>
      <c r="G1030" s="21">
        <v>7.016225455E9</v>
      </c>
      <c r="H1030" s="8"/>
      <c r="I1030" s="88">
        <v>2700.0</v>
      </c>
      <c r="J1030" s="22">
        <v>46152.0</v>
      </c>
      <c r="K1030" s="8" t="s">
        <v>668</v>
      </c>
      <c r="L1030" s="9" t="s">
        <v>49</v>
      </c>
      <c r="M1030" s="8" t="s">
        <v>4221</v>
      </c>
      <c r="N1030" s="8" t="s">
        <v>28</v>
      </c>
      <c r="O1030" s="21">
        <v>18233.0</v>
      </c>
      <c r="P1030" s="21">
        <v>19429.0</v>
      </c>
      <c r="Q1030" s="6">
        <v>52.0</v>
      </c>
      <c r="R1030" s="12">
        <f t="shared" si="26"/>
        <v>9481.16</v>
      </c>
    </row>
    <row r="1031">
      <c r="A1031" s="14">
        <v>45757.0</v>
      </c>
      <c r="B1031" s="8" t="s">
        <v>5102</v>
      </c>
      <c r="C1031" s="248" t="s">
        <v>5103</v>
      </c>
      <c r="D1031" s="100" t="s">
        <v>1395</v>
      </c>
      <c r="E1031" s="8" t="s">
        <v>1690</v>
      </c>
      <c r="F1031" s="8" t="s">
        <v>5104</v>
      </c>
      <c r="G1031" s="21">
        <v>8.799182266E9</v>
      </c>
      <c r="H1031" s="21">
        <v>9.537269659E9</v>
      </c>
      <c r="I1031" s="88">
        <v>1600.0</v>
      </c>
      <c r="J1031" s="22">
        <v>46122.0</v>
      </c>
      <c r="K1031" s="8" t="s">
        <v>70</v>
      </c>
      <c r="L1031" s="9" t="s">
        <v>49</v>
      </c>
      <c r="M1031" s="8" t="s">
        <v>71</v>
      </c>
      <c r="N1031" s="8" t="s">
        <v>28</v>
      </c>
      <c r="O1031" s="97">
        <v>19573.0</v>
      </c>
      <c r="P1031" s="97">
        <v>21010.0</v>
      </c>
      <c r="Q1031" s="6">
        <v>63.0</v>
      </c>
      <c r="R1031" s="12">
        <f t="shared" si="26"/>
        <v>12330.99</v>
      </c>
    </row>
    <row r="1032">
      <c r="A1032" s="14">
        <v>45787.0</v>
      </c>
      <c r="B1032" s="8" t="s">
        <v>5105</v>
      </c>
      <c r="C1032" s="248" t="s">
        <v>5106</v>
      </c>
      <c r="D1032" s="100" t="s">
        <v>21</v>
      </c>
      <c r="E1032" s="8" t="s">
        <v>5107</v>
      </c>
      <c r="F1032" s="8" t="s">
        <v>5108</v>
      </c>
      <c r="G1032" s="21" t="s">
        <v>5109</v>
      </c>
      <c r="H1032" s="21">
        <v>9.909157615E9</v>
      </c>
      <c r="I1032" s="88">
        <v>35000.0</v>
      </c>
      <c r="J1032" s="22">
        <v>46122.0</v>
      </c>
      <c r="K1032" s="8" t="s">
        <v>25</v>
      </c>
      <c r="L1032" s="9" t="s">
        <v>26</v>
      </c>
      <c r="M1032" s="8" t="s">
        <v>340</v>
      </c>
      <c r="N1032" s="8" t="s">
        <v>28</v>
      </c>
      <c r="O1032" s="21">
        <v>44050.0</v>
      </c>
      <c r="P1032" s="21">
        <v>46266.0</v>
      </c>
      <c r="Q1032" s="6">
        <v>49.0</v>
      </c>
      <c r="R1032" s="12">
        <f t="shared" si="26"/>
        <v>21584.5</v>
      </c>
    </row>
    <row r="1033">
      <c r="A1033" s="14">
        <v>45787.0</v>
      </c>
      <c r="B1033" s="8" t="s">
        <v>5110</v>
      </c>
      <c r="C1033" s="248" t="s">
        <v>5111</v>
      </c>
      <c r="D1033" s="100" t="s">
        <v>21</v>
      </c>
      <c r="E1033" s="8" t="s">
        <v>5112</v>
      </c>
      <c r="F1033" s="8" t="s">
        <v>5113</v>
      </c>
      <c r="G1033" s="21">
        <v>9.428277711E9</v>
      </c>
      <c r="H1033" s="21" t="s">
        <v>3963</v>
      </c>
      <c r="I1033" s="88">
        <v>25000.0</v>
      </c>
      <c r="J1033" s="128">
        <v>46152.0</v>
      </c>
      <c r="K1033" s="100" t="s">
        <v>65</v>
      </c>
      <c r="L1033" s="9" t="s">
        <v>26</v>
      </c>
      <c r="M1033" s="8" t="s">
        <v>71</v>
      </c>
      <c r="N1033" s="8" t="s">
        <v>28</v>
      </c>
      <c r="O1033" s="21">
        <v>44050.0</v>
      </c>
      <c r="P1033" s="21">
        <v>46266.0</v>
      </c>
      <c r="Q1033" s="6">
        <v>50.0</v>
      </c>
      <c r="R1033" s="12">
        <f t="shared" si="26"/>
        <v>22025</v>
      </c>
    </row>
    <row r="1034">
      <c r="A1034" s="14">
        <v>45787.0</v>
      </c>
      <c r="B1034" s="8" t="s">
        <v>5114</v>
      </c>
      <c r="C1034" s="248" t="s">
        <v>5115</v>
      </c>
      <c r="D1034" s="100" t="s">
        <v>966</v>
      </c>
      <c r="E1034" s="8" t="s">
        <v>5116</v>
      </c>
      <c r="F1034" s="8" t="s">
        <v>5117</v>
      </c>
      <c r="G1034" s="21">
        <v>9.978762415E9</v>
      </c>
      <c r="H1034" s="21">
        <v>9.979566147E9</v>
      </c>
      <c r="I1034" s="88">
        <v>1197.0</v>
      </c>
      <c r="J1034" s="128">
        <v>46152.0</v>
      </c>
      <c r="K1034" s="100" t="s">
        <v>65</v>
      </c>
      <c r="L1034" s="9" t="s">
        <v>26</v>
      </c>
      <c r="M1034" s="8" t="s">
        <v>71</v>
      </c>
      <c r="N1034" s="8" t="s">
        <v>28</v>
      </c>
      <c r="O1034" s="21">
        <v>4047.0</v>
      </c>
      <c r="P1034" s="21">
        <v>4775.0</v>
      </c>
      <c r="Q1034" s="6">
        <v>47.0</v>
      </c>
      <c r="R1034" s="12">
        <f t="shared" si="26"/>
        <v>1902.09</v>
      </c>
    </row>
    <row r="1035">
      <c r="A1035" s="14">
        <v>45787.0</v>
      </c>
      <c r="B1035" s="8" t="s">
        <v>5118</v>
      </c>
      <c r="C1035" s="248">
        <v>6.3034241E9</v>
      </c>
      <c r="D1035" s="100" t="s">
        <v>1395</v>
      </c>
      <c r="E1035" s="8" t="s">
        <v>2718</v>
      </c>
      <c r="F1035" s="8" t="s">
        <v>5101</v>
      </c>
      <c r="G1035" s="21">
        <v>7.016225455E9</v>
      </c>
      <c r="H1035" s="8"/>
      <c r="I1035" s="88">
        <v>2700.0</v>
      </c>
      <c r="J1035" s="249">
        <v>46305.0</v>
      </c>
      <c r="K1035" s="8" t="s">
        <v>668</v>
      </c>
      <c r="L1035" s="9" t="s">
        <v>49</v>
      </c>
      <c r="M1035" s="8" t="s">
        <v>4221</v>
      </c>
      <c r="N1035" s="8" t="s">
        <v>28</v>
      </c>
      <c r="O1035" s="21">
        <v>18233.0</v>
      </c>
      <c r="P1035" s="21">
        <v>19429.0</v>
      </c>
      <c r="Q1035" s="6">
        <v>52.0</v>
      </c>
      <c r="R1035" s="12">
        <f t="shared" si="26"/>
        <v>9481.16</v>
      </c>
    </row>
    <row r="1036">
      <c r="A1036" s="14">
        <v>45787.0</v>
      </c>
      <c r="B1036" s="8" t="s">
        <v>5119</v>
      </c>
      <c r="C1036" s="248" t="s">
        <v>5120</v>
      </c>
      <c r="D1036" s="100" t="s">
        <v>1395</v>
      </c>
      <c r="E1036" s="8" t="s">
        <v>5121</v>
      </c>
      <c r="F1036" s="8" t="s">
        <v>5122</v>
      </c>
      <c r="G1036" s="21">
        <v>9.51254476E9</v>
      </c>
      <c r="H1036" s="21">
        <v>9.054534606E9</v>
      </c>
      <c r="I1036" s="88">
        <v>1675.0</v>
      </c>
      <c r="J1036" s="22">
        <v>46091.0</v>
      </c>
      <c r="K1036" s="8" t="s">
        <v>70</v>
      </c>
      <c r="L1036" s="9" t="s">
        <v>49</v>
      </c>
      <c r="M1036" s="8" t="s">
        <v>71</v>
      </c>
      <c r="N1036" s="8" t="s">
        <v>28</v>
      </c>
      <c r="O1036" s="97">
        <v>20192.0</v>
      </c>
      <c r="P1036" s="97">
        <v>21740.0</v>
      </c>
      <c r="Q1036" s="6">
        <v>63.0</v>
      </c>
      <c r="R1036" s="12">
        <f t="shared" si="26"/>
        <v>12720.96</v>
      </c>
    </row>
    <row r="1037">
      <c r="A1037" s="14">
        <v>45818.0</v>
      </c>
      <c r="B1037" s="8" t="s">
        <v>5123</v>
      </c>
      <c r="C1037" s="248" t="s">
        <v>5124</v>
      </c>
      <c r="D1037" s="100" t="s">
        <v>21</v>
      </c>
      <c r="E1037" s="8" t="s">
        <v>133</v>
      </c>
      <c r="F1037" s="8" t="s">
        <v>5125</v>
      </c>
      <c r="G1037" s="21">
        <v>7.6218629E9</v>
      </c>
      <c r="H1037" s="21">
        <v>9.925214467E9</v>
      </c>
      <c r="I1037" s="88">
        <v>42000.0</v>
      </c>
      <c r="J1037" s="22">
        <v>46122.0</v>
      </c>
      <c r="K1037" s="8" t="s">
        <v>70</v>
      </c>
      <c r="L1037" s="9" t="s">
        <v>49</v>
      </c>
      <c r="M1037" s="8" t="s">
        <v>71</v>
      </c>
      <c r="N1037" s="8" t="s">
        <v>28</v>
      </c>
      <c r="O1037" s="97">
        <v>50546.0</v>
      </c>
      <c r="P1037" s="97">
        <v>53893.0</v>
      </c>
      <c r="Q1037" s="6">
        <v>30.0</v>
      </c>
      <c r="R1037" s="12">
        <f t="shared" si="26"/>
        <v>15163.8</v>
      </c>
    </row>
    <row r="1038">
      <c r="A1038" s="14">
        <v>45818.0</v>
      </c>
      <c r="B1038" s="8" t="s">
        <v>5126</v>
      </c>
      <c r="C1038" s="248" t="s">
        <v>5127</v>
      </c>
      <c r="D1038" s="100" t="s">
        <v>1395</v>
      </c>
      <c r="E1038" s="86" t="s">
        <v>4919</v>
      </c>
      <c r="F1038" s="8" t="s">
        <v>5128</v>
      </c>
      <c r="G1038" s="21" t="s">
        <v>2224</v>
      </c>
      <c r="H1038" s="21">
        <v>8.866848454E9</v>
      </c>
      <c r="I1038" s="88">
        <v>3490.0</v>
      </c>
      <c r="J1038" s="22">
        <v>46183.0</v>
      </c>
      <c r="K1038" s="8" t="s">
        <v>25</v>
      </c>
      <c r="L1038" s="9" t="s">
        <v>49</v>
      </c>
      <c r="M1038" s="8" t="s">
        <v>89</v>
      </c>
      <c r="N1038" s="8" t="s">
        <v>28</v>
      </c>
      <c r="O1038" s="97">
        <v>22565.0</v>
      </c>
      <c r="P1038" s="97">
        <v>24540.0</v>
      </c>
      <c r="Q1038" s="6">
        <v>53.0</v>
      </c>
      <c r="R1038" s="12">
        <f t="shared" si="26"/>
        <v>11959.45</v>
      </c>
    </row>
    <row r="1039">
      <c r="A1039" s="14">
        <v>45848.0</v>
      </c>
      <c r="B1039" s="8" t="s">
        <v>5129</v>
      </c>
      <c r="C1039" s="248" t="s">
        <v>5130</v>
      </c>
      <c r="D1039" s="100" t="s">
        <v>21</v>
      </c>
      <c r="E1039" s="8" t="s">
        <v>1549</v>
      </c>
      <c r="F1039" s="8" t="s">
        <v>5131</v>
      </c>
      <c r="G1039" s="21">
        <v>9.033333157E9</v>
      </c>
      <c r="H1039" s="21">
        <v>6.351000398E9</v>
      </c>
      <c r="I1039" s="88">
        <v>12990.0</v>
      </c>
      <c r="J1039" s="22">
        <v>46213.0</v>
      </c>
      <c r="K1039" s="8" t="s">
        <v>70</v>
      </c>
      <c r="L1039" s="9" t="s">
        <v>49</v>
      </c>
      <c r="M1039" s="8" t="s">
        <v>71</v>
      </c>
      <c r="N1039" s="8" t="s">
        <v>28</v>
      </c>
      <c r="O1039" s="97">
        <v>37105.0</v>
      </c>
      <c r="P1039" s="97">
        <v>39193.0</v>
      </c>
      <c r="Q1039" s="6">
        <v>30.0</v>
      </c>
      <c r="R1039" s="12">
        <f t="shared" si="26"/>
        <v>11131.5</v>
      </c>
    </row>
    <row r="1040">
      <c r="A1040" s="14">
        <v>45848.0</v>
      </c>
      <c r="B1040" s="8" t="s">
        <v>5132</v>
      </c>
      <c r="C1040" s="248" t="s">
        <v>5133</v>
      </c>
      <c r="D1040" s="100" t="s">
        <v>21</v>
      </c>
      <c r="E1040" s="8" t="s">
        <v>133</v>
      </c>
      <c r="F1040" s="8" t="s">
        <v>1570</v>
      </c>
      <c r="G1040" s="21">
        <v>8.128110812E9</v>
      </c>
      <c r="H1040" s="21">
        <v>9.724860034E9</v>
      </c>
      <c r="I1040" s="88">
        <v>42000.0</v>
      </c>
      <c r="J1040" s="22">
        <v>46152.0</v>
      </c>
      <c r="K1040" s="8" t="s">
        <v>70</v>
      </c>
      <c r="L1040" s="9" t="s">
        <v>49</v>
      </c>
      <c r="M1040" s="8" t="s">
        <v>71</v>
      </c>
      <c r="N1040" s="8" t="s">
        <v>28</v>
      </c>
      <c r="O1040" s="97">
        <v>48338.0</v>
      </c>
      <c r="P1040" s="97">
        <v>51287.0</v>
      </c>
      <c r="Q1040" s="6">
        <v>30.0</v>
      </c>
      <c r="R1040" s="12">
        <f t="shared" si="26"/>
        <v>14501.4</v>
      </c>
    </row>
    <row r="1041">
      <c r="A1041" s="14">
        <v>45848.0</v>
      </c>
      <c r="B1041" s="58" t="s">
        <v>5134</v>
      </c>
      <c r="C1041" s="250" t="s">
        <v>5135</v>
      </c>
      <c r="D1041" s="100" t="s">
        <v>21</v>
      </c>
      <c r="E1041" s="58" t="s">
        <v>1549</v>
      </c>
      <c r="F1041" s="58" t="s">
        <v>5136</v>
      </c>
      <c r="G1041" s="21">
        <v>9.033333157E9</v>
      </c>
      <c r="H1041" s="21">
        <v>6.351000398E9</v>
      </c>
      <c r="I1041" s="88">
        <v>12990.0</v>
      </c>
      <c r="J1041" s="22">
        <v>46183.0</v>
      </c>
      <c r="K1041" s="8" t="s">
        <v>70</v>
      </c>
      <c r="L1041" s="9" t="s">
        <v>49</v>
      </c>
      <c r="M1041" s="8" t="s">
        <v>71</v>
      </c>
      <c r="N1041" s="8" t="s">
        <v>28</v>
      </c>
      <c r="O1041" s="90">
        <v>37720.0</v>
      </c>
      <c r="P1041" s="90">
        <v>39919.0</v>
      </c>
      <c r="Q1041" s="6">
        <v>30.0</v>
      </c>
      <c r="R1041" s="12">
        <f t="shared" si="26"/>
        <v>11316</v>
      </c>
    </row>
    <row r="1042">
      <c r="A1042" s="14">
        <v>45879.0</v>
      </c>
      <c r="B1042" s="58" t="s">
        <v>5137</v>
      </c>
      <c r="C1042" s="250">
        <v>7.75522523340001E17</v>
      </c>
      <c r="D1042" s="100" t="s">
        <v>1395</v>
      </c>
      <c r="E1042" s="58" t="s">
        <v>4629</v>
      </c>
      <c r="F1042" s="58" t="s">
        <v>5138</v>
      </c>
      <c r="G1042" s="21">
        <v>9.92546587E9</v>
      </c>
      <c r="H1042" s="21">
        <v>9.90919277E9</v>
      </c>
      <c r="I1042" s="88">
        <v>1426.0</v>
      </c>
      <c r="J1042" s="91">
        <v>46244.0</v>
      </c>
      <c r="K1042" s="8" t="s">
        <v>70</v>
      </c>
      <c r="L1042" s="9" t="s">
        <v>49</v>
      </c>
      <c r="M1042" s="8" t="s">
        <v>71</v>
      </c>
      <c r="N1042" s="8" t="s">
        <v>28</v>
      </c>
      <c r="O1042" s="90">
        <v>16988.0</v>
      </c>
      <c r="P1042" s="90">
        <v>17960.0</v>
      </c>
      <c r="Q1042" s="6">
        <v>63.0</v>
      </c>
      <c r="R1042" s="12">
        <f t="shared" si="26"/>
        <v>10702.44</v>
      </c>
    </row>
    <row r="1043">
      <c r="A1043" s="14">
        <v>45879.0</v>
      </c>
      <c r="B1043" s="58" t="s">
        <v>5139</v>
      </c>
      <c r="C1043" s="250">
        <v>6.303432052E9</v>
      </c>
      <c r="D1043" s="99" t="s">
        <v>533</v>
      </c>
      <c r="E1043" s="58" t="s">
        <v>5140</v>
      </c>
      <c r="F1043" s="58" t="s">
        <v>5141</v>
      </c>
      <c r="G1043" s="21">
        <v>9.925355644E9</v>
      </c>
      <c r="H1043" s="21">
        <v>9.979599588E9</v>
      </c>
      <c r="I1043" s="88">
        <v>1196.0</v>
      </c>
      <c r="J1043" s="91">
        <v>46183.0</v>
      </c>
      <c r="K1043" s="8" t="s">
        <v>668</v>
      </c>
      <c r="L1043" s="9" t="s">
        <v>49</v>
      </c>
      <c r="M1043" s="8" t="s">
        <v>71</v>
      </c>
      <c r="N1043" s="8" t="s">
        <v>28</v>
      </c>
      <c r="O1043" s="88">
        <v>9519.0</v>
      </c>
      <c r="P1043" s="88">
        <v>11233.0</v>
      </c>
      <c r="Q1043" s="6">
        <v>35.0</v>
      </c>
      <c r="R1043" s="12">
        <f t="shared" si="26"/>
        <v>3331.65</v>
      </c>
    </row>
    <row r="1044">
      <c r="A1044" s="14">
        <v>45879.0</v>
      </c>
      <c r="B1044" s="58" t="s">
        <v>5142</v>
      </c>
      <c r="C1044" s="250" t="s">
        <v>5143</v>
      </c>
      <c r="D1044" s="100" t="s">
        <v>21</v>
      </c>
      <c r="E1044" s="58" t="s">
        <v>133</v>
      </c>
      <c r="F1044" s="58" t="s">
        <v>5144</v>
      </c>
      <c r="G1044" s="21">
        <v>9.879491349E9</v>
      </c>
      <c r="H1044" s="21" t="s">
        <v>5145</v>
      </c>
      <c r="I1044" s="88">
        <v>42000.0</v>
      </c>
      <c r="J1044" s="22">
        <v>46183.0</v>
      </c>
      <c r="K1044" s="8" t="s">
        <v>70</v>
      </c>
      <c r="L1044" s="9" t="s">
        <v>49</v>
      </c>
      <c r="M1044" s="8" t="s">
        <v>71</v>
      </c>
      <c r="N1044" s="8" t="s">
        <v>28</v>
      </c>
      <c r="O1044" s="90">
        <v>51024.0</v>
      </c>
      <c r="P1044" s="90">
        <v>54457.0</v>
      </c>
      <c r="Q1044" s="6">
        <v>30.0</v>
      </c>
      <c r="R1044" s="12">
        <f t="shared" si="26"/>
        <v>15307.2</v>
      </c>
    </row>
    <row r="1045">
      <c r="A1045" s="238">
        <v>45910.0</v>
      </c>
      <c r="B1045" s="140" t="s">
        <v>5146</v>
      </c>
      <c r="C1045" s="250"/>
      <c r="D1045" s="99" t="s">
        <v>21</v>
      </c>
      <c r="E1045" s="140" t="s">
        <v>5147</v>
      </c>
      <c r="F1045" s="140" t="s">
        <v>5148</v>
      </c>
      <c r="G1045" s="7"/>
      <c r="H1045" s="7"/>
      <c r="I1045" s="101">
        <v>47500.0</v>
      </c>
      <c r="J1045" s="102">
        <v>46275.0</v>
      </c>
      <c r="K1045" s="20" t="s">
        <v>70</v>
      </c>
      <c r="L1045" s="251" t="s">
        <v>49</v>
      </c>
      <c r="M1045" s="99" t="s">
        <v>27</v>
      </c>
      <c r="N1045" s="99" t="s">
        <v>28</v>
      </c>
      <c r="O1045" s="101">
        <v>49551.0</v>
      </c>
      <c r="P1045" s="101">
        <v>52719.0</v>
      </c>
      <c r="Q1045" s="6">
        <v>30.0</v>
      </c>
      <c r="R1045" s="12">
        <f t="shared" si="26"/>
        <v>14865.3</v>
      </c>
    </row>
    <row r="1046">
      <c r="A1046" s="238">
        <v>45910.0</v>
      </c>
      <c r="B1046" s="140" t="s">
        <v>5149</v>
      </c>
      <c r="C1046" s="250"/>
      <c r="D1046" s="99" t="s">
        <v>21</v>
      </c>
      <c r="E1046" s="140" t="s">
        <v>5147</v>
      </c>
      <c r="F1046" s="140" t="s">
        <v>5148</v>
      </c>
      <c r="G1046" s="7"/>
      <c r="H1046" s="7"/>
      <c r="I1046" s="101">
        <v>47500.0</v>
      </c>
      <c r="J1046" s="102">
        <v>46275.0</v>
      </c>
      <c r="K1046" s="20" t="s">
        <v>70</v>
      </c>
      <c r="L1046" s="251" t="s">
        <v>49</v>
      </c>
      <c r="M1046" s="99" t="s">
        <v>27</v>
      </c>
      <c r="N1046" s="99" t="s">
        <v>28</v>
      </c>
      <c r="O1046" s="101">
        <v>49551.0</v>
      </c>
      <c r="P1046" s="101">
        <v>52719.0</v>
      </c>
      <c r="Q1046" s="6">
        <v>30.0</v>
      </c>
      <c r="R1046" s="12">
        <f t="shared" si="26"/>
        <v>14865.3</v>
      </c>
    </row>
    <row r="1047">
      <c r="A1047" s="7" t="s">
        <v>5150</v>
      </c>
      <c r="B1047" s="8" t="s">
        <v>5151</v>
      </c>
      <c r="C1047" s="248">
        <v>6.30215509E13</v>
      </c>
      <c r="D1047" s="100" t="s">
        <v>21</v>
      </c>
      <c r="E1047" s="8" t="s">
        <v>5152</v>
      </c>
      <c r="F1047" s="8" t="s">
        <v>5153</v>
      </c>
      <c r="G1047" s="7">
        <v>8.320666175E9</v>
      </c>
      <c r="H1047" s="7" t="s">
        <v>63</v>
      </c>
      <c r="I1047" s="88">
        <v>28000.0</v>
      </c>
      <c r="J1047" s="21" t="s">
        <v>5062</v>
      </c>
      <c r="K1047" s="7" t="s">
        <v>25</v>
      </c>
      <c r="L1047" s="252" t="s">
        <v>26</v>
      </c>
      <c r="M1047" s="100" t="s">
        <v>271</v>
      </c>
      <c r="N1047" s="100" t="s">
        <v>28</v>
      </c>
      <c r="O1047" s="21">
        <v>44050.0</v>
      </c>
      <c r="P1047" s="21">
        <v>46266.0</v>
      </c>
      <c r="Q1047" s="6">
        <v>49.0</v>
      </c>
      <c r="R1047" s="12">
        <f t="shared" si="26"/>
        <v>21584.5</v>
      </c>
    </row>
    <row r="1048">
      <c r="A1048" s="7" t="s">
        <v>5020</v>
      </c>
      <c r="B1048" s="8" t="s">
        <v>5154</v>
      </c>
      <c r="C1048" s="100" t="s">
        <v>5155</v>
      </c>
      <c r="D1048" s="100" t="s">
        <v>21</v>
      </c>
      <c r="E1048" s="8" t="s">
        <v>5156</v>
      </c>
      <c r="F1048" s="8" t="s">
        <v>5157</v>
      </c>
      <c r="G1048" s="7">
        <v>9.825879022E9</v>
      </c>
      <c r="H1048" s="7">
        <v>9.825523227E9</v>
      </c>
      <c r="I1048" s="88">
        <v>7250.0</v>
      </c>
      <c r="J1048" s="22">
        <v>46063.0</v>
      </c>
      <c r="K1048" s="8" t="s">
        <v>4936</v>
      </c>
      <c r="L1048" s="252" t="s">
        <v>49</v>
      </c>
      <c r="M1048" s="100" t="s">
        <v>4221</v>
      </c>
      <c r="N1048" s="100" t="s">
        <v>28</v>
      </c>
      <c r="O1048" s="96">
        <v>17667.0</v>
      </c>
      <c r="P1048" s="96">
        <v>18760.0</v>
      </c>
      <c r="Q1048" s="6">
        <v>37.0</v>
      </c>
      <c r="R1048" s="12">
        <f t="shared" si="26"/>
        <v>6536.79</v>
      </c>
    </row>
    <row r="1049">
      <c r="A1049" s="7" t="s">
        <v>5020</v>
      </c>
      <c r="B1049" s="8" t="s">
        <v>5158</v>
      </c>
      <c r="C1049" s="100" t="s">
        <v>5159</v>
      </c>
      <c r="D1049" s="100" t="s">
        <v>44</v>
      </c>
      <c r="E1049" s="8" t="s">
        <v>5160</v>
      </c>
      <c r="F1049" s="8" t="s">
        <v>5161</v>
      </c>
      <c r="G1049" s="7" t="s">
        <v>5162</v>
      </c>
      <c r="H1049" s="7">
        <v>9.913624982E9</v>
      </c>
      <c r="I1049" s="88">
        <v>2450.0</v>
      </c>
      <c r="J1049" s="7" t="s">
        <v>5019</v>
      </c>
      <c r="K1049" s="253" t="s">
        <v>5163</v>
      </c>
      <c r="L1049" s="252" t="s">
        <v>49</v>
      </c>
      <c r="M1049" s="100" t="s">
        <v>4263</v>
      </c>
      <c r="N1049" s="100" t="s">
        <v>28</v>
      </c>
      <c r="O1049" s="96">
        <v>17358.0</v>
      </c>
      <c r="P1049" s="96">
        <v>18396.0</v>
      </c>
      <c r="Q1049" s="6">
        <v>61.0</v>
      </c>
      <c r="R1049" s="12">
        <f t="shared" si="26"/>
        <v>10588.38</v>
      </c>
    </row>
    <row r="1050">
      <c r="A1050" s="7" t="s">
        <v>5020</v>
      </c>
      <c r="B1050" s="8" t="s">
        <v>5164</v>
      </c>
      <c r="C1050" s="100" t="s">
        <v>5165</v>
      </c>
      <c r="D1050" s="100" t="s">
        <v>21</v>
      </c>
      <c r="E1050" s="8" t="s">
        <v>5166</v>
      </c>
      <c r="F1050" s="8" t="s">
        <v>5167</v>
      </c>
      <c r="G1050" s="7">
        <v>9.825879022E9</v>
      </c>
      <c r="H1050" s="7">
        <v>9.825523227E9</v>
      </c>
      <c r="I1050" s="88">
        <v>12990.0</v>
      </c>
      <c r="J1050" s="7" t="s">
        <v>5168</v>
      </c>
      <c r="K1050" s="7" t="s">
        <v>78</v>
      </c>
      <c r="L1050" s="252" t="s">
        <v>49</v>
      </c>
      <c r="M1050" s="100" t="s">
        <v>4221</v>
      </c>
      <c r="N1050" s="100" t="s">
        <v>28</v>
      </c>
      <c r="O1050" s="96">
        <v>37252.0</v>
      </c>
      <c r="P1050" s="96">
        <v>39367.0</v>
      </c>
      <c r="Q1050" s="6">
        <v>31.0</v>
      </c>
      <c r="R1050" s="12">
        <f t="shared" si="26"/>
        <v>11548.12</v>
      </c>
    </row>
    <row r="1051">
      <c r="A1051" s="7" t="s">
        <v>5169</v>
      </c>
      <c r="B1051" s="8" t="s">
        <v>5170</v>
      </c>
      <c r="C1051" s="100" t="s">
        <v>5171</v>
      </c>
      <c r="D1051" s="100" t="s">
        <v>21</v>
      </c>
      <c r="E1051" s="8" t="s">
        <v>5172</v>
      </c>
      <c r="F1051" s="8" t="s">
        <v>5173</v>
      </c>
      <c r="G1051" s="7" t="s">
        <v>150</v>
      </c>
      <c r="H1051" s="7" t="s">
        <v>149</v>
      </c>
      <c r="I1051" s="88">
        <v>35000.0</v>
      </c>
      <c r="J1051" s="7" t="s">
        <v>5019</v>
      </c>
      <c r="K1051" s="253" t="s">
        <v>5174</v>
      </c>
      <c r="L1051" s="252" t="s">
        <v>26</v>
      </c>
      <c r="M1051" s="100" t="s">
        <v>151</v>
      </c>
      <c r="N1051" s="100" t="s">
        <v>28</v>
      </c>
      <c r="O1051" s="96">
        <v>44150.0</v>
      </c>
      <c r="P1051" s="96">
        <v>46383.0</v>
      </c>
      <c r="Q1051" s="6">
        <v>28.0</v>
      </c>
      <c r="R1051" s="12">
        <f t="shared" si="26"/>
        <v>12362</v>
      </c>
    </row>
    <row r="1052">
      <c r="A1052" s="62" t="s">
        <v>5062</v>
      </c>
      <c r="B1052" s="58" t="s">
        <v>5175</v>
      </c>
      <c r="C1052" s="93" t="s">
        <v>5176</v>
      </c>
      <c r="D1052" s="100" t="s">
        <v>1395</v>
      </c>
      <c r="E1052" s="58" t="s">
        <v>5177</v>
      </c>
      <c r="F1052" s="58" t="s">
        <v>5178</v>
      </c>
      <c r="G1052" s="7" t="s">
        <v>5179</v>
      </c>
      <c r="H1052" s="7" t="s">
        <v>5180</v>
      </c>
      <c r="I1052" s="88">
        <v>1630.0</v>
      </c>
      <c r="J1052" s="62" t="s">
        <v>5069</v>
      </c>
      <c r="K1052" s="7" t="s">
        <v>668</v>
      </c>
      <c r="L1052" s="252" t="s">
        <v>49</v>
      </c>
      <c r="M1052" s="100" t="s">
        <v>4263</v>
      </c>
      <c r="N1052" s="100" t="s">
        <v>28</v>
      </c>
      <c r="O1052" s="88">
        <v>17902.0</v>
      </c>
      <c r="P1052" s="88">
        <v>19038.0</v>
      </c>
      <c r="Q1052" s="6">
        <v>61.0</v>
      </c>
      <c r="R1052" s="12">
        <f t="shared" si="26"/>
        <v>10920.22</v>
      </c>
    </row>
    <row r="1053">
      <c r="A1053" s="245">
        <v>46032.0</v>
      </c>
      <c r="B1053" s="58" t="s">
        <v>5181</v>
      </c>
      <c r="C1053" s="93" t="s">
        <v>5182</v>
      </c>
      <c r="D1053" s="100" t="s">
        <v>93</v>
      </c>
      <c r="E1053" s="58" t="s">
        <v>5183</v>
      </c>
      <c r="F1053" s="58" t="s">
        <v>5184</v>
      </c>
      <c r="G1053" s="7">
        <v>9.601668419E9</v>
      </c>
      <c r="H1053" s="7">
        <v>9.723570154E9</v>
      </c>
      <c r="I1053" s="88">
        <v>11950.0</v>
      </c>
      <c r="J1053" s="62" t="s">
        <v>5185</v>
      </c>
      <c r="K1053" s="100" t="s">
        <v>65</v>
      </c>
      <c r="L1053" s="252" t="s">
        <v>26</v>
      </c>
      <c r="M1053" s="100" t="s">
        <v>4221</v>
      </c>
      <c r="N1053" s="100" t="s">
        <v>28</v>
      </c>
      <c r="O1053" s="134">
        <v>27186.0</v>
      </c>
      <c r="P1053" s="134">
        <v>28664.0</v>
      </c>
      <c r="Q1053" s="6">
        <v>47.0</v>
      </c>
      <c r="R1053" s="12">
        <f t="shared" si="26"/>
        <v>12777.42</v>
      </c>
    </row>
    <row r="1054">
      <c r="A1054" s="14">
        <v>45726.0</v>
      </c>
      <c r="B1054" s="7" t="s">
        <v>5186</v>
      </c>
      <c r="C1054" s="93" t="s">
        <v>5187</v>
      </c>
      <c r="D1054" s="100" t="s">
        <v>44</v>
      </c>
      <c r="E1054" s="8" t="s">
        <v>5188</v>
      </c>
      <c r="F1054" s="8" t="s">
        <v>5189</v>
      </c>
      <c r="G1054" s="7">
        <v>9.73712706E9</v>
      </c>
      <c r="H1054" s="7">
        <v>6.352075061E9</v>
      </c>
      <c r="I1054" s="88">
        <v>1550.0</v>
      </c>
      <c r="J1054" s="91">
        <v>46063.0</v>
      </c>
      <c r="K1054" s="7" t="s">
        <v>70</v>
      </c>
      <c r="L1054" s="252" t="s">
        <v>26</v>
      </c>
      <c r="M1054" s="100" t="s">
        <v>4972</v>
      </c>
      <c r="N1054" s="100" t="s">
        <v>28</v>
      </c>
      <c r="O1054" s="90">
        <v>16149.0</v>
      </c>
      <c r="P1054" s="90">
        <v>16969.0</v>
      </c>
      <c r="Q1054" s="6">
        <v>63.0</v>
      </c>
      <c r="R1054" s="12">
        <f t="shared" si="26"/>
        <v>10173.87</v>
      </c>
    </row>
    <row r="1055">
      <c r="A1055" s="14">
        <v>45757.0</v>
      </c>
      <c r="B1055" s="58" t="s">
        <v>5190</v>
      </c>
      <c r="C1055" s="93" t="s">
        <v>5191</v>
      </c>
      <c r="D1055" s="100" t="s">
        <v>21</v>
      </c>
      <c r="E1055" s="58" t="s">
        <v>5192</v>
      </c>
      <c r="F1055" s="58" t="s">
        <v>5193</v>
      </c>
      <c r="G1055" s="7">
        <v>9.898109366E9</v>
      </c>
      <c r="H1055" s="7" t="s">
        <v>63</v>
      </c>
      <c r="I1055" s="88">
        <v>42000.0</v>
      </c>
      <c r="J1055" s="217">
        <v>46091.0</v>
      </c>
      <c r="K1055" s="7" t="s">
        <v>70</v>
      </c>
      <c r="L1055" s="252" t="s">
        <v>49</v>
      </c>
      <c r="M1055" s="100" t="s">
        <v>271</v>
      </c>
      <c r="N1055" s="100" t="s">
        <v>28</v>
      </c>
      <c r="O1055" s="134">
        <v>48825.0</v>
      </c>
      <c r="P1055" s="134">
        <v>51862.0</v>
      </c>
      <c r="Q1055" s="6">
        <v>30.0</v>
      </c>
      <c r="R1055" s="12">
        <f t="shared" si="26"/>
        <v>14647.5</v>
      </c>
    </row>
    <row r="1056">
      <c r="A1056" s="14">
        <v>45848.0</v>
      </c>
      <c r="B1056" s="58" t="s">
        <v>5194</v>
      </c>
      <c r="C1056" s="93" t="s">
        <v>5195</v>
      </c>
      <c r="D1056" s="100" t="s">
        <v>44</v>
      </c>
      <c r="E1056" s="58" t="s">
        <v>5196</v>
      </c>
      <c r="F1056" s="58" t="s">
        <v>5197</v>
      </c>
      <c r="G1056" s="7">
        <v>9.73712706E9</v>
      </c>
      <c r="H1056" s="7">
        <v>6.352075061E9</v>
      </c>
      <c r="I1056" s="88">
        <v>1550.0</v>
      </c>
      <c r="J1056" s="217">
        <v>46183.0</v>
      </c>
      <c r="K1056" s="7" t="s">
        <v>70</v>
      </c>
      <c r="L1056" s="252" t="s">
        <v>26</v>
      </c>
      <c r="M1056" s="100" t="s">
        <v>4972</v>
      </c>
      <c r="N1056" s="100" t="s">
        <v>28</v>
      </c>
      <c r="O1056" s="134">
        <v>16199.0</v>
      </c>
      <c r="P1056" s="134">
        <v>17028.0</v>
      </c>
      <c r="Q1056" s="6">
        <v>63.0</v>
      </c>
      <c r="R1056" s="12">
        <f t="shared" si="26"/>
        <v>10205.37</v>
      </c>
    </row>
    <row r="1057">
      <c r="A1057" s="14">
        <v>45848.0</v>
      </c>
      <c r="B1057" s="58" t="s">
        <v>5198</v>
      </c>
      <c r="C1057" s="93" t="s">
        <v>5199</v>
      </c>
      <c r="D1057" s="100" t="s">
        <v>44</v>
      </c>
      <c r="E1057" s="58" t="s">
        <v>5200</v>
      </c>
      <c r="F1057" s="58" t="s">
        <v>5201</v>
      </c>
      <c r="G1057" s="7">
        <v>9.725508699E9</v>
      </c>
      <c r="H1057" s="7">
        <v>9.824817266E9</v>
      </c>
      <c r="I1057" s="88">
        <v>1550.0</v>
      </c>
      <c r="J1057" s="217">
        <v>46244.0</v>
      </c>
      <c r="K1057" s="7" t="s">
        <v>70</v>
      </c>
      <c r="L1057" s="252" t="s">
        <v>49</v>
      </c>
      <c r="M1057" s="100" t="s">
        <v>4221</v>
      </c>
      <c r="N1057" s="100" t="s">
        <v>28</v>
      </c>
      <c r="O1057" s="134">
        <v>16716.0</v>
      </c>
      <c r="P1057" s="90">
        <v>17639.0</v>
      </c>
      <c r="Q1057" s="6">
        <v>63.0</v>
      </c>
      <c r="R1057" s="12">
        <f t="shared" si="26"/>
        <v>10531.08</v>
      </c>
    </row>
    <row r="1058">
      <c r="A1058" s="14">
        <v>45879.0</v>
      </c>
      <c r="B1058" s="7" t="s">
        <v>5202</v>
      </c>
      <c r="C1058" s="93" t="s">
        <v>5203</v>
      </c>
      <c r="D1058" s="100" t="s">
        <v>44</v>
      </c>
      <c r="E1058" s="58" t="s">
        <v>4509</v>
      </c>
      <c r="F1058" s="58" t="s">
        <v>5204</v>
      </c>
      <c r="G1058" s="7" t="s">
        <v>5205</v>
      </c>
      <c r="H1058" s="7" t="s">
        <v>63</v>
      </c>
      <c r="I1058" s="88">
        <v>1600.0</v>
      </c>
      <c r="J1058" s="14">
        <v>46213.0</v>
      </c>
      <c r="K1058" s="7" t="s">
        <v>70</v>
      </c>
      <c r="L1058" s="252" t="s">
        <v>49</v>
      </c>
      <c r="M1058" s="100" t="s">
        <v>170</v>
      </c>
      <c r="N1058" s="100" t="s">
        <v>28</v>
      </c>
      <c r="O1058" s="134">
        <v>18023.0</v>
      </c>
      <c r="P1058" s="134">
        <v>19181.0</v>
      </c>
      <c r="Q1058" s="6">
        <v>63.0</v>
      </c>
      <c r="R1058" s="12">
        <f t="shared" si="26"/>
        <v>11354.49</v>
      </c>
    </row>
    <row r="1059">
      <c r="A1059" s="14">
        <v>45879.0</v>
      </c>
      <c r="B1059" s="7" t="s">
        <v>5206</v>
      </c>
      <c r="C1059" s="93" t="s">
        <v>5207</v>
      </c>
      <c r="D1059" s="100" t="s">
        <v>21</v>
      </c>
      <c r="E1059" s="58" t="s">
        <v>5208</v>
      </c>
      <c r="F1059" s="58" t="s">
        <v>5209</v>
      </c>
      <c r="G1059" s="7" t="s">
        <v>150</v>
      </c>
      <c r="H1059" s="7" t="s">
        <v>149</v>
      </c>
      <c r="I1059" s="88">
        <v>35000.0</v>
      </c>
      <c r="J1059" s="14">
        <v>46213.0</v>
      </c>
      <c r="K1059" s="7" t="s">
        <v>25</v>
      </c>
      <c r="L1059" s="252" t="s">
        <v>26</v>
      </c>
      <c r="M1059" s="100" t="s">
        <v>151</v>
      </c>
      <c r="N1059" s="100" t="s">
        <v>28</v>
      </c>
      <c r="O1059" s="134">
        <v>43950.0</v>
      </c>
      <c r="P1059" s="134">
        <v>46266.0</v>
      </c>
      <c r="Q1059" s="6">
        <v>49.0</v>
      </c>
      <c r="R1059" s="12">
        <f t="shared" si="26"/>
        <v>21535.5</v>
      </c>
    </row>
    <row r="1060">
      <c r="A1060" s="63" t="s">
        <v>5012</v>
      </c>
      <c r="B1060" s="108" t="s">
        <v>5210</v>
      </c>
      <c r="C1060" s="107">
        <v>6.303388342E9</v>
      </c>
      <c r="D1060" s="107" t="s">
        <v>533</v>
      </c>
      <c r="E1060" s="108" t="s">
        <v>5211</v>
      </c>
      <c r="F1060" s="108" t="s">
        <v>604</v>
      </c>
      <c r="G1060" s="114" t="s">
        <v>4060</v>
      </c>
      <c r="H1060" s="235"/>
      <c r="I1060" s="109"/>
      <c r="J1060" s="114" t="s">
        <v>5029</v>
      </c>
      <c r="K1060" s="108" t="s">
        <v>668</v>
      </c>
      <c r="L1060" s="26" t="s">
        <v>49</v>
      </c>
      <c r="M1060" s="108" t="s">
        <v>27</v>
      </c>
      <c r="N1060" s="254" t="s">
        <v>28</v>
      </c>
      <c r="O1060" s="114">
        <v>11493.0</v>
      </c>
      <c r="P1060" s="114">
        <v>13561.0</v>
      </c>
      <c r="Q1060" s="6">
        <v>35.0</v>
      </c>
      <c r="R1060" s="12">
        <f t="shared" si="26"/>
        <v>4022.55</v>
      </c>
    </row>
    <row r="1061">
      <c r="A1061" s="63" t="s">
        <v>5012</v>
      </c>
      <c r="B1061" s="108" t="s">
        <v>5212</v>
      </c>
      <c r="C1061" s="107">
        <v>6.303388319E9</v>
      </c>
      <c r="D1061" s="107" t="s">
        <v>533</v>
      </c>
      <c r="E1061" s="108" t="s">
        <v>5211</v>
      </c>
      <c r="F1061" s="108" t="s">
        <v>604</v>
      </c>
      <c r="G1061" s="114" t="s">
        <v>4060</v>
      </c>
      <c r="H1061" s="235"/>
      <c r="I1061" s="172"/>
      <c r="J1061" s="114" t="s">
        <v>5029</v>
      </c>
      <c r="K1061" s="108" t="s">
        <v>668</v>
      </c>
      <c r="L1061" s="26" t="s">
        <v>49</v>
      </c>
      <c r="M1061" s="108" t="s">
        <v>27</v>
      </c>
      <c r="N1061" s="254" t="s">
        <v>28</v>
      </c>
      <c r="O1061" s="116">
        <v>11493.0</v>
      </c>
      <c r="P1061" s="116">
        <v>13561.0</v>
      </c>
      <c r="Q1061" s="6">
        <v>35.0</v>
      </c>
      <c r="R1061" s="12">
        <f t="shared" si="26"/>
        <v>4022.55</v>
      </c>
    </row>
    <row r="1062">
      <c r="A1062" s="63" t="s">
        <v>5012</v>
      </c>
      <c r="B1062" s="108" t="s">
        <v>5213</v>
      </c>
      <c r="C1062" s="107">
        <v>6.303388275E9</v>
      </c>
      <c r="D1062" s="107" t="s">
        <v>533</v>
      </c>
      <c r="E1062" s="108" t="s">
        <v>5211</v>
      </c>
      <c r="F1062" s="108" t="s">
        <v>604</v>
      </c>
      <c r="G1062" s="114" t="s">
        <v>4060</v>
      </c>
      <c r="H1062" s="235"/>
      <c r="I1062" s="108"/>
      <c r="J1062" s="114" t="s">
        <v>5168</v>
      </c>
      <c r="K1062" s="108" t="s">
        <v>668</v>
      </c>
      <c r="L1062" s="26" t="s">
        <v>49</v>
      </c>
      <c r="M1062" s="108" t="s">
        <v>27</v>
      </c>
      <c r="N1062" s="254" t="s">
        <v>28</v>
      </c>
      <c r="O1062" s="114">
        <v>11493.0</v>
      </c>
      <c r="P1062" s="114">
        <v>13561.0</v>
      </c>
      <c r="Q1062" s="6">
        <v>35.0</v>
      </c>
      <c r="R1062" s="12">
        <f t="shared" si="26"/>
        <v>4022.55</v>
      </c>
    </row>
    <row r="1063">
      <c r="A1063" s="63" t="s">
        <v>5012</v>
      </c>
      <c r="B1063" s="108" t="s">
        <v>5214</v>
      </c>
      <c r="C1063" s="107">
        <v>6.303388249E9</v>
      </c>
      <c r="D1063" s="107" t="s">
        <v>533</v>
      </c>
      <c r="E1063" s="108" t="s">
        <v>5211</v>
      </c>
      <c r="F1063" s="108" t="s">
        <v>604</v>
      </c>
      <c r="G1063" s="114" t="s">
        <v>4060</v>
      </c>
      <c r="H1063" s="235"/>
      <c r="I1063" s="108"/>
      <c r="J1063" s="114" t="s">
        <v>5168</v>
      </c>
      <c r="K1063" s="108" t="s">
        <v>668</v>
      </c>
      <c r="L1063" s="26" t="s">
        <v>49</v>
      </c>
      <c r="M1063" s="108" t="s">
        <v>27</v>
      </c>
      <c r="N1063" s="254" t="s">
        <v>28</v>
      </c>
      <c r="O1063" s="114">
        <v>11493.0</v>
      </c>
      <c r="P1063" s="114">
        <v>13561.0</v>
      </c>
      <c r="Q1063" s="6">
        <v>35.0</v>
      </c>
      <c r="R1063" s="12">
        <f t="shared" si="26"/>
        <v>4022.55</v>
      </c>
    </row>
    <row r="1064">
      <c r="A1064" s="63" t="s">
        <v>5069</v>
      </c>
      <c r="B1064" s="108" t="s">
        <v>5215</v>
      </c>
      <c r="C1064" s="107" t="s">
        <v>5216</v>
      </c>
      <c r="D1064" s="107" t="s">
        <v>21</v>
      </c>
      <c r="E1064" s="108" t="s">
        <v>748</v>
      </c>
      <c r="F1064" s="108" t="s">
        <v>5217</v>
      </c>
      <c r="G1064" s="114">
        <v>9.825671973E9</v>
      </c>
      <c r="H1064" s="235"/>
      <c r="I1064" s="114">
        <v>28000.0</v>
      </c>
      <c r="J1064" s="110">
        <v>46275.0</v>
      </c>
      <c r="K1064" s="108" t="s">
        <v>4916</v>
      </c>
      <c r="L1064" s="26" t="s">
        <v>49</v>
      </c>
      <c r="M1064" s="108" t="s">
        <v>71</v>
      </c>
      <c r="N1064" s="254" t="s">
        <v>28</v>
      </c>
      <c r="O1064" s="114">
        <v>45407.2</v>
      </c>
      <c r="P1064" s="114">
        <v>47867.0</v>
      </c>
      <c r="Q1064" s="6">
        <v>24.0</v>
      </c>
      <c r="R1064" s="12">
        <f t="shared" si="26"/>
        <v>10897.728</v>
      </c>
    </row>
    <row r="1065">
      <c r="A1065" s="63" t="s">
        <v>5218</v>
      </c>
      <c r="B1065" s="108" t="s">
        <v>5219</v>
      </c>
      <c r="C1065" s="107" t="s">
        <v>5220</v>
      </c>
      <c r="D1065" s="107" t="s">
        <v>21</v>
      </c>
      <c r="E1065" s="108" t="s">
        <v>4789</v>
      </c>
      <c r="F1065" s="108" t="s">
        <v>5221</v>
      </c>
      <c r="G1065" s="114">
        <v>9.725794288E9</v>
      </c>
      <c r="H1065" s="110">
        <v>7.0043923525E10</v>
      </c>
      <c r="I1065" s="114">
        <v>42000.0</v>
      </c>
      <c r="J1065" s="114" t="s">
        <v>4935</v>
      </c>
      <c r="K1065" s="108" t="s">
        <v>56</v>
      </c>
      <c r="L1065" s="26" t="s">
        <v>49</v>
      </c>
      <c r="M1065" s="108" t="s">
        <v>27</v>
      </c>
      <c r="N1065" s="254" t="s">
        <v>28</v>
      </c>
      <c r="O1065" s="114">
        <v>47149.0</v>
      </c>
      <c r="P1065" s="114">
        <v>52981.0</v>
      </c>
      <c r="Q1065" s="6">
        <v>28.0</v>
      </c>
      <c r="R1065" s="12">
        <f t="shared" si="26"/>
        <v>13201.72</v>
      </c>
    </row>
    <row r="1066">
      <c r="A1066" s="234">
        <v>46000.0</v>
      </c>
      <c r="B1066" s="108" t="s">
        <v>5222</v>
      </c>
      <c r="C1066" s="107" t="s">
        <v>5223</v>
      </c>
      <c r="D1066" s="107" t="s">
        <v>21</v>
      </c>
      <c r="E1066" s="108" t="s">
        <v>5224</v>
      </c>
      <c r="F1066" s="108" t="s">
        <v>5225</v>
      </c>
      <c r="G1066" s="114">
        <v>9.9790711E9</v>
      </c>
      <c r="H1066" s="110">
        <v>9.104600786E9</v>
      </c>
      <c r="I1066" s="114">
        <v>35000.0</v>
      </c>
      <c r="J1066" s="110">
        <v>46365.0</v>
      </c>
      <c r="K1066" s="108" t="s">
        <v>353</v>
      </c>
      <c r="L1066" s="26" t="s">
        <v>49</v>
      </c>
      <c r="M1066" s="108" t="s">
        <v>71</v>
      </c>
      <c r="N1066" s="254" t="s">
        <v>28</v>
      </c>
      <c r="O1066" s="116">
        <v>47316.0</v>
      </c>
      <c r="P1066" s="116">
        <v>53196.0</v>
      </c>
      <c r="Q1066" s="6">
        <v>28.0</v>
      </c>
      <c r="R1066" s="12">
        <f t="shared" si="26"/>
        <v>13248.48</v>
      </c>
    </row>
    <row r="1067">
      <c r="A1067" s="234">
        <v>45878.0</v>
      </c>
      <c r="B1067" s="108" t="s">
        <v>5226</v>
      </c>
      <c r="C1067" s="107" t="s">
        <v>5227</v>
      </c>
      <c r="D1067" s="107" t="s">
        <v>21</v>
      </c>
      <c r="E1067" s="108" t="s">
        <v>5228</v>
      </c>
      <c r="F1067" s="108" t="s">
        <v>5229</v>
      </c>
      <c r="G1067" s="114">
        <v>9.909617917E9</v>
      </c>
      <c r="H1067" s="110">
        <v>9.909081678E9</v>
      </c>
      <c r="I1067" s="114">
        <v>35000.0</v>
      </c>
      <c r="J1067" s="110">
        <v>46243.0</v>
      </c>
      <c r="K1067" s="108" t="s">
        <v>353</v>
      </c>
      <c r="L1067" s="26" t="s">
        <v>49</v>
      </c>
      <c r="M1067" s="108" t="s">
        <v>71</v>
      </c>
      <c r="N1067" s="254" t="s">
        <v>28</v>
      </c>
      <c r="O1067" s="116">
        <v>48934.0</v>
      </c>
      <c r="P1067" s="116">
        <v>55105.0</v>
      </c>
      <c r="Q1067" s="6">
        <v>28.0</v>
      </c>
      <c r="R1067" s="12">
        <f t="shared" si="26"/>
        <v>13701.52</v>
      </c>
    </row>
    <row r="1068">
      <c r="A1068" s="234">
        <v>45725.0</v>
      </c>
      <c r="B1068" s="108" t="s">
        <v>5230</v>
      </c>
      <c r="C1068" s="107" t="s">
        <v>5231</v>
      </c>
      <c r="D1068" s="107" t="s">
        <v>21</v>
      </c>
      <c r="E1068" s="108" t="s">
        <v>1063</v>
      </c>
      <c r="F1068" s="108" t="s">
        <v>5232</v>
      </c>
      <c r="G1068" s="114">
        <v>9.925968917E9</v>
      </c>
      <c r="H1068" s="110">
        <v>9.913149743E9</v>
      </c>
      <c r="I1068" s="114">
        <v>11990.0</v>
      </c>
      <c r="J1068" s="110">
        <v>46062.0</v>
      </c>
      <c r="K1068" s="108" t="s">
        <v>25</v>
      </c>
      <c r="L1068" s="26" t="s">
        <v>49</v>
      </c>
      <c r="M1068" s="108" t="s">
        <v>71</v>
      </c>
      <c r="N1068" s="254" t="s">
        <v>28</v>
      </c>
      <c r="O1068" s="116">
        <v>32375.0</v>
      </c>
      <c r="P1068" s="116">
        <v>36571.0</v>
      </c>
      <c r="Q1068" s="6">
        <v>30.0</v>
      </c>
      <c r="R1068" s="12">
        <f t="shared" si="26"/>
        <v>9712.5</v>
      </c>
    </row>
    <row r="1069">
      <c r="A1069" s="58"/>
      <c r="B1069" s="58"/>
      <c r="C1069" s="58"/>
      <c r="D1069" s="58"/>
      <c r="E1069" s="58"/>
      <c r="F1069" s="88"/>
      <c r="G1069" s="58"/>
      <c r="H1069" s="88"/>
      <c r="I1069" s="91"/>
      <c r="J1069" s="58"/>
      <c r="K1069" s="244"/>
      <c r="L1069" s="93"/>
      <c r="M1069" s="58"/>
      <c r="N1069" s="62"/>
      <c r="O1069" s="245"/>
      <c r="P1069" s="62"/>
      <c r="Q1069" s="58"/>
      <c r="R1069" s="88"/>
      <c r="S1069" s="88"/>
    </row>
    <row r="1070">
      <c r="A1070" s="58"/>
      <c r="B1070" s="58"/>
      <c r="C1070" s="58"/>
      <c r="D1070" s="58"/>
      <c r="E1070" s="58"/>
      <c r="F1070" s="88"/>
      <c r="G1070" s="58"/>
      <c r="H1070" s="88"/>
      <c r="I1070" s="91"/>
      <c r="J1070" s="58"/>
      <c r="K1070" s="244"/>
      <c r="L1070" s="93"/>
      <c r="M1070" s="58"/>
      <c r="N1070" s="62"/>
      <c r="O1070" s="245"/>
      <c r="P1070" s="62"/>
      <c r="Q1070" s="58"/>
      <c r="R1070" s="88"/>
      <c r="S1070" s="88"/>
    </row>
    <row r="1071">
      <c r="A1071" s="58"/>
      <c r="B1071" s="58"/>
      <c r="C1071" s="58"/>
      <c r="D1071" s="58"/>
      <c r="E1071" s="58"/>
      <c r="F1071" s="88"/>
      <c r="G1071" s="58"/>
      <c r="H1071" s="88"/>
      <c r="I1071" s="91"/>
      <c r="J1071" s="58"/>
      <c r="K1071" s="244"/>
      <c r="L1071" s="93"/>
      <c r="M1071" s="58"/>
      <c r="N1071" s="62"/>
      <c r="O1071" s="245"/>
      <c r="P1071" s="62"/>
      <c r="Q1071" s="58"/>
      <c r="R1071" s="88"/>
      <c r="S1071" s="88"/>
    </row>
    <row r="1072">
      <c r="A1072" s="58"/>
      <c r="B1072" s="8" t="s">
        <v>5233</v>
      </c>
      <c r="C1072" s="8" t="s">
        <v>5234</v>
      </c>
      <c r="D1072" s="8" t="s">
        <v>21</v>
      </c>
      <c r="E1072" s="8" t="s">
        <v>5235</v>
      </c>
      <c r="F1072" s="8" t="s">
        <v>5236</v>
      </c>
      <c r="G1072" s="21">
        <v>9.97809916E9</v>
      </c>
      <c r="H1072" s="21">
        <v>9.97962827E9</v>
      </c>
      <c r="I1072" s="21">
        <v>4995.0</v>
      </c>
      <c r="J1072" s="249">
        <v>46336.0</v>
      </c>
      <c r="K1072" s="8" t="s">
        <v>25</v>
      </c>
      <c r="L1072" s="9" t="s">
        <v>49</v>
      </c>
      <c r="M1072" s="8" t="s">
        <v>71</v>
      </c>
      <c r="N1072" s="8" t="s">
        <v>28</v>
      </c>
      <c r="O1072" s="97">
        <v>19199.0</v>
      </c>
      <c r="P1072" s="97">
        <v>20568.0</v>
      </c>
      <c r="Q1072" s="5">
        <v>43.0</v>
      </c>
      <c r="R1072" s="12">
        <f t="shared" ref="R1072:R1083" si="27">O1072*Q1072%</f>
        <v>8255.57</v>
      </c>
    </row>
    <row r="1073">
      <c r="A1073" s="58"/>
      <c r="B1073" s="8" t="s">
        <v>5237</v>
      </c>
      <c r="C1073" s="8" t="s">
        <v>5238</v>
      </c>
      <c r="D1073" s="8" t="s">
        <v>21</v>
      </c>
      <c r="E1073" s="8" t="s">
        <v>5239</v>
      </c>
      <c r="F1073" s="8" t="s">
        <v>2802</v>
      </c>
      <c r="G1073" s="21" t="s">
        <v>1000</v>
      </c>
      <c r="H1073" s="8"/>
      <c r="I1073" s="21">
        <v>25000.0</v>
      </c>
      <c r="J1073" s="249">
        <v>46366.0</v>
      </c>
      <c r="K1073" s="8" t="s">
        <v>143</v>
      </c>
      <c r="L1073" s="9" t="s">
        <v>49</v>
      </c>
      <c r="M1073" s="8" t="s">
        <v>71</v>
      </c>
      <c r="N1073" s="8" t="s">
        <v>28</v>
      </c>
      <c r="O1073" s="97">
        <v>48719.0</v>
      </c>
      <c r="P1073" s="97">
        <v>51775.0</v>
      </c>
      <c r="Q1073" s="5">
        <v>35.0</v>
      </c>
      <c r="R1073" s="12">
        <f t="shared" si="27"/>
        <v>17051.65</v>
      </c>
    </row>
    <row r="1074">
      <c r="A1074" s="58"/>
      <c r="B1074" s="8" t="s">
        <v>5240</v>
      </c>
      <c r="C1074" s="8" t="s">
        <v>5241</v>
      </c>
      <c r="D1074" s="8" t="s">
        <v>1395</v>
      </c>
      <c r="E1074" s="8" t="s">
        <v>5242</v>
      </c>
      <c r="F1074" s="8" t="s">
        <v>5243</v>
      </c>
      <c r="G1074" s="21">
        <v>9.510544813E9</v>
      </c>
      <c r="H1074" s="21">
        <v>6.352793095E9</v>
      </c>
      <c r="I1074" s="21">
        <v>3895.0</v>
      </c>
      <c r="J1074" s="22" t="s">
        <v>5244</v>
      </c>
      <c r="K1074" s="8" t="s">
        <v>25</v>
      </c>
      <c r="L1074" s="9" t="s">
        <v>49</v>
      </c>
      <c r="M1074" s="8" t="s">
        <v>340</v>
      </c>
      <c r="N1074" s="8" t="s">
        <v>28</v>
      </c>
      <c r="O1074" s="97">
        <v>22342.0</v>
      </c>
      <c r="P1074" s="97">
        <v>24277.0</v>
      </c>
      <c r="Q1074" s="5">
        <v>43.0</v>
      </c>
      <c r="R1074" s="12">
        <f t="shared" si="27"/>
        <v>9607.06</v>
      </c>
    </row>
    <row r="1075">
      <c r="A1075" s="58"/>
      <c r="B1075" s="8" t="s">
        <v>5245</v>
      </c>
      <c r="C1075" s="8" t="s">
        <v>5246</v>
      </c>
      <c r="D1075" s="8" t="s">
        <v>21</v>
      </c>
      <c r="E1075" s="8" t="s">
        <v>5247</v>
      </c>
      <c r="F1075" s="8" t="s">
        <v>5248</v>
      </c>
      <c r="G1075" s="21">
        <v>9.722223071E9</v>
      </c>
      <c r="H1075" s="21">
        <v>8.320061495E9</v>
      </c>
      <c r="I1075" s="21">
        <v>16200.0</v>
      </c>
      <c r="J1075" s="22" t="s">
        <v>5249</v>
      </c>
      <c r="K1075" s="8" t="s">
        <v>25</v>
      </c>
      <c r="L1075" s="9" t="s">
        <v>26</v>
      </c>
      <c r="M1075" s="8" t="s">
        <v>27</v>
      </c>
      <c r="N1075" s="8" t="s">
        <v>28</v>
      </c>
      <c r="O1075" s="21">
        <v>35413.0</v>
      </c>
      <c r="P1075" s="21">
        <v>37197.0</v>
      </c>
      <c r="Q1075" s="5">
        <v>49.0</v>
      </c>
      <c r="R1075" s="12">
        <f t="shared" si="27"/>
        <v>17352.37</v>
      </c>
    </row>
    <row r="1076">
      <c r="A1076" s="58"/>
      <c r="B1076" s="8" t="s">
        <v>5250</v>
      </c>
      <c r="C1076" s="8" t="s">
        <v>5251</v>
      </c>
      <c r="D1076" s="8" t="s">
        <v>21</v>
      </c>
      <c r="E1076" s="8" t="s">
        <v>5252</v>
      </c>
      <c r="F1076" s="8" t="s">
        <v>5253</v>
      </c>
      <c r="G1076" s="21">
        <v>7.572878023E9</v>
      </c>
      <c r="H1076" s="21">
        <v>7.778956755E9</v>
      </c>
      <c r="I1076" s="21">
        <v>35000.0</v>
      </c>
      <c r="J1076" s="22" t="s">
        <v>5249</v>
      </c>
      <c r="K1076" s="8" t="s">
        <v>143</v>
      </c>
      <c r="L1076" s="9" t="s">
        <v>49</v>
      </c>
      <c r="M1076" s="8" t="s">
        <v>71</v>
      </c>
      <c r="N1076" s="8" t="s">
        <v>28</v>
      </c>
      <c r="O1076" s="97">
        <v>47807.0</v>
      </c>
      <c r="P1076" s="97">
        <v>50699.0</v>
      </c>
      <c r="Q1076" s="5">
        <v>35.0</v>
      </c>
      <c r="R1076" s="12">
        <f t="shared" si="27"/>
        <v>16732.45</v>
      </c>
    </row>
    <row r="1077">
      <c r="A1077" s="58"/>
      <c r="B1077" s="8" t="s">
        <v>5254</v>
      </c>
      <c r="C1077" s="8">
        <v>6.303456024E9</v>
      </c>
      <c r="D1077" s="8" t="s">
        <v>533</v>
      </c>
      <c r="E1077" s="8" t="s">
        <v>5255</v>
      </c>
      <c r="F1077" s="8" t="s">
        <v>5256</v>
      </c>
      <c r="G1077" s="21">
        <v>9.725794288E9</v>
      </c>
      <c r="H1077" s="21">
        <v>9.725794288E9</v>
      </c>
      <c r="I1077" s="8"/>
      <c r="J1077" s="215" t="s">
        <v>5244</v>
      </c>
      <c r="K1077" s="8" t="s">
        <v>668</v>
      </c>
      <c r="L1077" s="9" t="s">
        <v>49</v>
      </c>
      <c r="M1077" s="8" t="s">
        <v>71</v>
      </c>
      <c r="N1077" s="8" t="s">
        <v>28</v>
      </c>
      <c r="O1077" s="21">
        <v>9959.0</v>
      </c>
      <c r="P1077" s="21">
        <v>11751.0</v>
      </c>
      <c r="Q1077" s="5">
        <v>35.0</v>
      </c>
      <c r="R1077" s="12">
        <f t="shared" si="27"/>
        <v>3485.65</v>
      </c>
    </row>
    <row r="1078">
      <c r="A1078" s="64"/>
      <c r="B1078" s="108" t="s">
        <v>5257</v>
      </c>
      <c r="C1078" s="255" t="s">
        <v>5258</v>
      </c>
      <c r="D1078" s="108" t="s">
        <v>21</v>
      </c>
      <c r="E1078" s="108" t="s">
        <v>5112</v>
      </c>
      <c r="F1078" s="108" t="s">
        <v>3636</v>
      </c>
      <c r="G1078" s="114" t="s">
        <v>605</v>
      </c>
      <c r="H1078" s="108"/>
      <c r="I1078" s="114">
        <v>28000.0</v>
      </c>
      <c r="J1078" s="235" t="s">
        <v>5244</v>
      </c>
      <c r="K1078" s="108" t="s">
        <v>65</v>
      </c>
      <c r="L1078" s="26" t="s">
        <v>26</v>
      </c>
      <c r="M1078" s="108" t="s">
        <v>27</v>
      </c>
      <c r="N1078" s="108" t="s">
        <v>28</v>
      </c>
      <c r="O1078" s="114">
        <v>44050.0</v>
      </c>
      <c r="P1078" s="114">
        <v>46266.0</v>
      </c>
      <c r="Q1078" s="5">
        <v>50.0</v>
      </c>
      <c r="R1078" s="12">
        <f t="shared" si="27"/>
        <v>22025</v>
      </c>
      <c r="S1078" s="6" t="s">
        <v>5259</v>
      </c>
    </row>
    <row r="1079">
      <c r="A1079" s="64"/>
      <c r="B1079" s="108" t="s">
        <v>5260</v>
      </c>
      <c r="C1079" s="108" t="s">
        <v>5261</v>
      </c>
      <c r="D1079" s="108" t="s">
        <v>21</v>
      </c>
      <c r="E1079" s="108" t="s">
        <v>4608</v>
      </c>
      <c r="F1079" s="108" t="s">
        <v>5262</v>
      </c>
      <c r="G1079" s="114" t="s">
        <v>605</v>
      </c>
      <c r="H1079" s="108"/>
      <c r="I1079" s="114">
        <v>28000.0</v>
      </c>
      <c r="J1079" s="235" t="s">
        <v>5244</v>
      </c>
      <c r="K1079" s="108" t="s">
        <v>65</v>
      </c>
      <c r="L1079" s="26" t="s">
        <v>26</v>
      </c>
      <c r="M1079" s="108" t="s">
        <v>27</v>
      </c>
      <c r="N1079" s="108" t="s">
        <v>28</v>
      </c>
      <c r="O1079" s="114">
        <v>44050.0</v>
      </c>
      <c r="P1079" s="114">
        <v>46266.0</v>
      </c>
      <c r="Q1079" s="5">
        <v>50.0</v>
      </c>
      <c r="R1079" s="12">
        <f t="shared" si="27"/>
        <v>22025</v>
      </c>
    </row>
    <row r="1080">
      <c r="A1080" s="58"/>
      <c r="B1080" s="8" t="s">
        <v>5263</v>
      </c>
      <c r="C1080" s="8" t="s">
        <v>5264</v>
      </c>
      <c r="D1080" s="8" t="s">
        <v>1395</v>
      </c>
      <c r="E1080" s="8" t="s">
        <v>5242</v>
      </c>
      <c r="F1080" s="8" t="s">
        <v>5265</v>
      </c>
      <c r="G1080" s="21">
        <v>9.32854658E9</v>
      </c>
      <c r="H1080" s="22">
        <v>9.925944404E9</v>
      </c>
      <c r="I1080" s="21">
        <v>3895.0</v>
      </c>
      <c r="J1080" s="21" t="s">
        <v>5266</v>
      </c>
      <c r="K1080" s="8" t="s">
        <v>25</v>
      </c>
      <c r="L1080" s="9" t="s">
        <v>49</v>
      </c>
      <c r="M1080" s="8" t="s">
        <v>33</v>
      </c>
      <c r="N1080" s="223" t="s">
        <v>28</v>
      </c>
      <c r="O1080" s="97">
        <v>24372.0</v>
      </c>
      <c r="P1080" s="97">
        <v>26673.0</v>
      </c>
      <c r="Q1080" s="6">
        <v>43.0</v>
      </c>
      <c r="R1080" s="12">
        <f t="shared" si="27"/>
        <v>10479.96</v>
      </c>
    </row>
    <row r="1081">
      <c r="A1081" s="58"/>
      <c r="B1081" s="8" t="s">
        <v>5267</v>
      </c>
      <c r="C1081" s="8" t="s">
        <v>5268</v>
      </c>
      <c r="D1081" s="8" t="s">
        <v>21</v>
      </c>
      <c r="E1081" s="8" t="s">
        <v>5269</v>
      </c>
      <c r="F1081" s="8" t="s">
        <v>5270</v>
      </c>
      <c r="G1081" s="21">
        <v>6.351000398E9</v>
      </c>
      <c r="H1081" s="22">
        <v>9.033333157E9</v>
      </c>
      <c r="I1081" s="21">
        <v>12990.0</v>
      </c>
      <c r="J1081" s="21" t="s">
        <v>5266</v>
      </c>
      <c r="K1081" s="8" t="s">
        <v>70</v>
      </c>
      <c r="L1081" s="9" t="s">
        <v>49</v>
      </c>
      <c r="M1081" s="8" t="s">
        <v>71</v>
      </c>
      <c r="N1081" s="223" t="s">
        <v>28</v>
      </c>
      <c r="O1081" s="97">
        <v>38021.0</v>
      </c>
      <c r="P1081" s="97">
        <v>40274.0</v>
      </c>
      <c r="Q1081" s="6">
        <v>30.0</v>
      </c>
      <c r="R1081" s="12">
        <f t="shared" si="27"/>
        <v>11406.3</v>
      </c>
    </row>
    <row r="1082">
      <c r="A1082" s="58"/>
      <c r="B1082" s="8" t="s">
        <v>5271</v>
      </c>
      <c r="C1082" s="8">
        <v>6.303468328E9</v>
      </c>
      <c r="D1082" s="8" t="s">
        <v>1759</v>
      </c>
      <c r="E1082" s="8" t="s">
        <v>1887</v>
      </c>
      <c r="F1082" s="8" t="s">
        <v>5272</v>
      </c>
      <c r="G1082" s="21">
        <v>9.978473605E9</v>
      </c>
      <c r="H1082" s="22">
        <v>9.725271413E9</v>
      </c>
      <c r="I1082" s="21">
        <v>470.0</v>
      </c>
      <c r="J1082" s="8" t="s">
        <v>5273</v>
      </c>
      <c r="K1082" s="8" t="s">
        <v>668</v>
      </c>
      <c r="L1082" s="9" t="s">
        <v>49</v>
      </c>
      <c r="M1082" s="8" t="s">
        <v>71</v>
      </c>
      <c r="N1082" s="223" t="s">
        <v>28</v>
      </c>
      <c r="O1082" s="21">
        <v>6384.0</v>
      </c>
      <c r="P1082" s="21">
        <v>7534.0</v>
      </c>
      <c r="Q1082" s="6">
        <v>57.0</v>
      </c>
      <c r="R1082" s="12">
        <f t="shared" si="27"/>
        <v>3638.88</v>
      </c>
    </row>
    <row r="1083">
      <c r="A1083" s="58"/>
      <c r="B1083" s="8" t="s">
        <v>5274</v>
      </c>
      <c r="C1083" s="8" t="s">
        <v>5275</v>
      </c>
      <c r="D1083" s="8" t="s">
        <v>21</v>
      </c>
      <c r="E1083" s="8" t="s">
        <v>755</v>
      </c>
      <c r="F1083" s="8" t="s">
        <v>5276</v>
      </c>
      <c r="G1083" s="21">
        <v>9.590178692E9</v>
      </c>
      <c r="H1083" s="22">
        <v>9.998252863E9</v>
      </c>
      <c r="I1083" s="21">
        <v>47500.0</v>
      </c>
      <c r="J1083" s="21" t="s">
        <v>5277</v>
      </c>
      <c r="K1083" s="8" t="s">
        <v>70</v>
      </c>
      <c r="L1083" s="9" t="s">
        <v>49</v>
      </c>
      <c r="M1083" s="8" t="s">
        <v>71</v>
      </c>
      <c r="N1083" s="223" t="s">
        <v>28</v>
      </c>
      <c r="O1083" s="97">
        <v>52626.0</v>
      </c>
      <c r="P1083" s="97">
        <v>56347.0</v>
      </c>
      <c r="Q1083" s="6">
        <v>30.0</v>
      </c>
      <c r="R1083" s="12">
        <f t="shared" si="27"/>
        <v>15787.8</v>
      </c>
    </row>
    <row r="1084">
      <c r="A1084" s="58"/>
      <c r="B1084" s="58"/>
      <c r="C1084" s="58"/>
      <c r="D1084" s="58"/>
      <c r="E1084" s="58"/>
      <c r="F1084" s="88"/>
      <c r="G1084" s="58"/>
      <c r="H1084" s="88"/>
      <c r="I1084" s="91"/>
      <c r="J1084" s="58"/>
      <c r="K1084" s="244"/>
      <c r="L1084" s="93"/>
      <c r="M1084" s="58"/>
      <c r="N1084" s="62"/>
      <c r="O1084" s="245"/>
      <c r="P1084" s="62"/>
      <c r="Q1084" s="58"/>
      <c r="R1084" s="88"/>
      <c r="S1084" s="88"/>
    </row>
    <row r="1085">
      <c r="A1085" s="58"/>
      <c r="B1085" s="58"/>
      <c r="C1085" s="58"/>
      <c r="D1085" s="58"/>
      <c r="E1085" s="58"/>
      <c r="F1085" s="88"/>
      <c r="G1085" s="58"/>
      <c r="H1085" s="88"/>
      <c r="I1085" s="91"/>
      <c r="J1085" s="58"/>
      <c r="K1085" s="244"/>
      <c r="L1085" s="93"/>
      <c r="M1085" s="58"/>
      <c r="N1085" s="62"/>
      <c r="O1085" s="245"/>
      <c r="P1085" s="62"/>
      <c r="Q1085" s="58"/>
      <c r="R1085" s="88"/>
      <c r="S1085" s="88"/>
    </row>
    <row r="1086">
      <c r="A1086" s="7" t="s">
        <v>5278</v>
      </c>
      <c r="B1086" s="8" t="s">
        <v>5279</v>
      </c>
      <c r="C1086" s="8">
        <v>6.303469468E9</v>
      </c>
      <c r="D1086" s="8" t="s">
        <v>1759</v>
      </c>
      <c r="E1086" s="8" t="s">
        <v>1887</v>
      </c>
      <c r="F1086" s="8" t="s">
        <v>5280</v>
      </c>
      <c r="G1086" s="21" t="s">
        <v>5281</v>
      </c>
      <c r="H1086" s="21">
        <v>9.904440113E9</v>
      </c>
      <c r="I1086" s="21">
        <v>470.0</v>
      </c>
      <c r="J1086" s="21" t="s">
        <v>5273</v>
      </c>
      <c r="K1086" s="8" t="s">
        <v>668</v>
      </c>
      <c r="L1086" s="9" t="s">
        <v>49</v>
      </c>
      <c r="M1086" s="8" t="s">
        <v>340</v>
      </c>
      <c r="N1086" s="8" t="s">
        <v>28</v>
      </c>
      <c r="O1086" s="21">
        <v>6568.0</v>
      </c>
      <c r="P1086" s="21">
        <v>7750.0</v>
      </c>
      <c r="Q1086" s="6">
        <v>57.0</v>
      </c>
      <c r="R1086" s="12">
        <f t="shared" ref="R1086:R1118" si="28">O1086*Q1086%</f>
        <v>3743.76</v>
      </c>
    </row>
    <row r="1087">
      <c r="A1087" s="7" t="s">
        <v>5278</v>
      </c>
      <c r="B1087" s="8" t="s">
        <v>5282</v>
      </c>
      <c r="C1087" s="8">
        <v>6.303469454E9</v>
      </c>
      <c r="D1087" s="8" t="s">
        <v>1759</v>
      </c>
      <c r="E1087" s="8" t="s">
        <v>1887</v>
      </c>
      <c r="F1087" s="8" t="s">
        <v>5283</v>
      </c>
      <c r="G1087" s="21">
        <v>8.141197899E9</v>
      </c>
      <c r="H1087" s="21">
        <v>9.662271202E9</v>
      </c>
      <c r="I1087" s="21">
        <v>470.0</v>
      </c>
      <c r="J1087" s="21" t="s">
        <v>5284</v>
      </c>
      <c r="K1087" s="8" t="s">
        <v>668</v>
      </c>
      <c r="L1087" s="9" t="s">
        <v>49</v>
      </c>
      <c r="M1087" s="8" t="s">
        <v>71</v>
      </c>
      <c r="N1087" s="8" t="s">
        <v>28</v>
      </c>
      <c r="O1087" s="21">
        <v>6328.0</v>
      </c>
      <c r="P1087" s="21">
        <v>7468.0</v>
      </c>
      <c r="Q1087" s="6">
        <v>57.0</v>
      </c>
      <c r="R1087" s="12">
        <f t="shared" si="28"/>
        <v>3606.96</v>
      </c>
    </row>
    <row r="1088">
      <c r="A1088" s="7" t="s">
        <v>5285</v>
      </c>
      <c r="B1088" s="8" t="s">
        <v>5286</v>
      </c>
      <c r="C1088" s="8">
        <v>6.303474002E9</v>
      </c>
      <c r="D1088" s="8" t="s">
        <v>1759</v>
      </c>
      <c r="E1088" s="8" t="s">
        <v>1887</v>
      </c>
      <c r="F1088" s="8" t="s">
        <v>5287</v>
      </c>
      <c r="G1088" s="21">
        <v>9.426975983E9</v>
      </c>
      <c r="H1088" s="21">
        <v>9.979495473E9</v>
      </c>
      <c r="I1088" s="21">
        <v>470.0</v>
      </c>
      <c r="J1088" s="21" t="s">
        <v>5284</v>
      </c>
      <c r="K1088" s="8" t="s">
        <v>668</v>
      </c>
      <c r="L1088" s="9" t="s">
        <v>49</v>
      </c>
      <c r="M1088" s="8" t="s">
        <v>33</v>
      </c>
      <c r="N1088" s="8" t="s">
        <v>28</v>
      </c>
      <c r="O1088" s="21">
        <v>6568.0</v>
      </c>
      <c r="P1088" s="21">
        <v>7750.0</v>
      </c>
      <c r="Q1088" s="6">
        <v>57.0</v>
      </c>
      <c r="R1088" s="12">
        <f t="shared" si="28"/>
        <v>3743.76</v>
      </c>
    </row>
    <row r="1089">
      <c r="A1089" s="7" t="s">
        <v>5285</v>
      </c>
      <c r="B1089" s="8" t="s">
        <v>5288</v>
      </c>
      <c r="C1089" s="8" t="s">
        <v>5289</v>
      </c>
      <c r="D1089" s="8" t="s">
        <v>1395</v>
      </c>
      <c r="E1089" s="8" t="s">
        <v>5290</v>
      </c>
      <c r="F1089" s="8" t="s">
        <v>5291</v>
      </c>
      <c r="G1089" s="21">
        <v>6.355978247E9</v>
      </c>
      <c r="H1089" s="21">
        <v>7.600276288E9</v>
      </c>
      <c r="I1089" s="21">
        <v>3895.0</v>
      </c>
      <c r="J1089" s="21" t="s">
        <v>5284</v>
      </c>
      <c r="K1089" s="8" t="s">
        <v>25</v>
      </c>
      <c r="L1089" s="9" t="s">
        <v>49</v>
      </c>
      <c r="M1089" s="8" t="s">
        <v>185</v>
      </c>
      <c r="N1089" s="8" t="s">
        <v>28</v>
      </c>
      <c r="O1089" s="97">
        <v>19765.0</v>
      </c>
      <c r="P1089" s="97">
        <v>21236.0</v>
      </c>
      <c r="Q1089" s="6">
        <v>43.0</v>
      </c>
      <c r="R1089" s="12">
        <f t="shared" si="28"/>
        <v>8498.95</v>
      </c>
    </row>
    <row r="1090">
      <c r="A1090" s="7" t="s">
        <v>5285</v>
      </c>
      <c r="B1090" s="8" t="s">
        <v>5292</v>
      </c>
      <c r="C1090" s="8">
        <v>6.30347398E9</v>
      </c>
      <c r="D1090" s="8" t="s">
        <v>1759</v>
      </c>
      <c r="E1090" s="8" t="s">
        <v>5293</v>
      </c>
      <c r="F1090" s="8" t="s">
        <v>5294</v>
      </c>
      <c r="G1090" s="21">
        <v>9.723080297E9</v>
      </c>
      <c r="H1090" s="21">
        <v>6.351743379E9</v>
      </c>
      <c r="I1090" s="21">
        <v>236.0</v>
      </c>
      <c r="J1090" s="21" t="s">
        <v>5295</v>
      </c>
      <c r="K1090" s="8" t="s">
        <v>668</v>
      </c>
      <c r="L1090" s="9" t="s">
        <v>49</v>
      </c>
      <c r="M1090" s="8" t="s">
        <v>71</v>
      </c>
      <c r="N1090" s="8" t="s">
        <v>28</v>
      </c>
      <c r="O1090" s="21">
        <v>6328.0</v>
      </c>
      <c r="P1090" s="21">
        <v>7468.0</v>
      </c>
      <c r="Q1090" s="6">
        <v>57.0</v>
      </c>
      <c r="R1090" s="12">
        <f t="shared" si="28"/>
        <v>3606.96</v>
      </c>
    </row>
    <row r="1091">
      <c r="A1091" s="7" t="s">
        <v>5285</v>
      </c>
      <c r="B1091" s="8" t="s">
        <v>5296</v>
      </c>
      <c r="C1091" s="8" t="s">
        <v>5297</v>
      </c>
      <c r="D1091" s="8" t="s">
        <v>1395</v>
      </c>
      <c r="E1091" s="8" t="s">
        <v>178</v>
      </c>
      <c r="F1091" s="8" t="s">
        <v>5298</v>
      </c>
      <c r="G1091" s="21">
        <v>9.601085595E9</v>
      </c>
      <c r="H1091" s="21">
        <v>9.586463363E9</v>
      </c>
      <c r="I1091" s="21">
        <v>3460.0</v>
      </c>
      <c r="J1091" s="21" t="s">
        <v>5284</v>
      </c>
      <c r="K1091" s="8" t="s">
        <v>116</v>
      </c>
      <c r="L1091" s="9" t="s">
        <v>49</v>
      </c>
      <c r="M1091" s="8" t="s">
        <v>71</v>
      </c>
      <c r="N1091" s="8" t="s">
        <v>28</v>
      </c>
      <c r="O1091" s="97">
        <v>21578.0</v>
      </c>
      <c r="P1091" s="97">
        <v>23365.0</v>
      </c>
      <c r="Q1091" s="6">
        <v>55.0</v>
      </c>
      <c r="R1091" s="12">
        <f t="shared" si="28"/>
        <v>11867.9</v>
      </c>
    </row>
    <row r="1092">
      <c r="A1092" s="7" t="s">
        <v>5299</v>
      </c>
      <c r="B1092" s="8" t="s">
        <v>5300</v>
      </c>
      <c r="C1092" s="8">
        <v>6.303477173E9</v>
      </c>
      <c r="D1092" s="8" t="s">
        <v>1759</v>
      </c>
      <c r="E1092" s="8" t="s">
        <v>5301</v>
      </c>
      <c r="F1092" s="8" t="s">
        <v>5302</v>
      </c>
      <c r="G1092" s="21" t="s">
        <v>5303</v>
      </c>
      <c r="H1092" s="8"/>
      <c r="I1092" s="21">
        <v>236.0</v>
      </c>
      <c r="J1092" s="21" t="s">
        <v>5304</v>
      </c>
      <c r="K1092" s="8" t="s">
        <v>668</v>
      </c>
      <c r="L1092" s="9" t="s">
        <v>49</v>
      </c>
      <c r="M1092" s="8" t="s">
        <v>27</v>
      </c>
      <c r="N1092" s="8" t="s">
        <v>28</v>
      </c>
      <c r="O1092" s="21">
        <v>6193.0</v>
      </c>
      <c r="P1092" s="21">
        <v>7307.0</v>
      </c>
      <c r="Q1092" s="6">
        <v>57.0</v>
      </c>
      <c r="R1092" s="12">
        <f t="shared" si="28"/>
        <v>3530.01</v>
      </c>
    </row>
    <row r="1093">
      <c r="A1093" s="7" t="s">
        <v>5299</v>
      </c>
      <c r="B1093" s="8" t="s">
        <v>5305</v>
      </c>
      <c r="C1093" s="8">
        <v>6.303477179E9</v>
      </c>
      <c r="D1093" s="8" t="s">
        <v>1759</v>
      </c>
      <c r="E1093" s="8" t="s">
        <v>5293</v>
      </c>
      <c r="F1093" s="8" t="s">
        <v>5306</v>
      </c>
      <c r="G1093" s="21">
        <v>7.698649447E9</v>
      </c>
      <c r="H1093" s="21">
        <v>9.265661739E9</v>
      </c>
      <c r="I1093" s="21">
        <v>236.0</v>
      </c>
      <c r="J1093" s="21" t="s">
        <v>5295</v>
      </c>
      <c r="K1093" s="8" t="s">
        <v>668</v>
      </c>
      <c r="L1093" s="9" t="s">
        <v>49</v>
      </c>
      <c r="M1093" s="8" t="s">
        <v>71</v>
      </c>
      <c r="N1093" s="8" t="s">
        <v>28</v>
      </c>
      <c r="O1093" s="21">
        <v>6328.0</v>
      </c>
      <c r="P1093" s="21">
        <v>7468.0</v>
      </c>
      <c r="Q1093" s="6">
        <v>57.0</v>
      </c>
      <c r="R1093" s="12">
        <f t="shared" si="28"/>
        <v>3606.96</v>
      </c>
    </row>
    <row r="1094">
      <c r="A1094" s="7" t="s">
        <v>5307</v>
      </c>
      <c r="B1094" s="8" t="s">
        <v>5308</v>
      </c>
      <c r="C1094" s="8">
        <v>6.30347872E9</v>
      </c>
      <c r="D1094" s="8" t="s">
        <v>1759</v>
      </c>
      <c r="E1094" s="8" t="s">
        <v>5293</v>
      </c>
      <c r="F1094" s="8" t="s">
        <v>5309</v>
      </c>
      <c r="G1094" s="21">
        <v>9.978335317E9</v>
      </c>
      <c r="H1094" s="21">
        <v>9.016597411E9</v>
      </c>
      <c r="I1094" s="21">
        <v>236.0</v>
      </c>
      <c r="J1094" s="21" t="s">
        <v>5310</v>
      </c>
      <c r="K1094" s="8" t="s">
        <v>668</v>
      </c>
      <c r="L1094" s="9" t="s">
        <v>49</v>
      </c>
      <c r="M1094" s="8" t="s">
        <v>4221</v>
      </c>
      <c r="N1094" s="8" t="s">
        <v>28</v>
      </c>
      <c r="O1094" s="21">
        <v>6443.0</v>
      </c>
      <c r="P1094" s="21">
        <v>7603.0</v>
      </c>
      <c r="Q1094" s="6">
        <v>57.0</v>
      </c>
      <c r="R1094" s="12">
        <f t="shared" si="28"/>
        <v>3672.51</v>
      </c>
    </row>
    <row r="1095">
      <c r="A1095" s="7" t="s">
        <v>5311</v>
      </c>
      <c r="B1095" s="8" t="s">
        <v>5312</v>
      </c>
      <c r="C1095" s="8" t="s">
        <v>5313</v>
      </c>
      <c r="D1095" s="8" t="s">
        <v>21</v>
      </c>
      <c r="E1095" s="8" t="s">
        <v>762</v>
      </c>
      <c r="F1095" s="8" t="s">
        <v>5314</v>
      </c>
      <c r="G1095" s="21" t="s">
        <v>2369</v>
      </c>
      <c r="H1095" s="8"/>
      <c r="I1095" s="21">
        <v>42000.0</v>
      </c>
      <c r="J1095" s="21" t="s">
        <v>5310</v>
      </c>
      <c r="K1095" s="8" t="s">
        <v>70</v>
      </c>
      <c r="L1095" s="9" t="s">
        <v>49</v>
      </c>
      <c r="M1095" s="8" t="s">
        <v>71</v>
      </c>
      <c r="N1095" s="8" t="s">
        <v>28</v>
      </c>
      <c r="O1095" s="97">
        <v>48854.0</v>
      </c>
      <c r="P1095" s="97">
        <v>51896.0</v>
      </c>
      <c r="Q1095" s="6">
        <v>30.0</v>
      </c>
      <c r="R1095" s="12">
        <f t="shared" si="28"/>
        <v>14656.2</v>
      </c>
    </row>
    <row r="1096">
      <c r="A1096" s="7" t="s">
        <v>5315</v>
      </c>
      <c r="B1096" s="8" t="s">
        <v>5316</v>
      </c>
      <c r="C1096" s="8">
        <v>6.303488624E9</v>
      </c>
      <c r="D1096" s="8" t="s">
        <v>1759</v>
      </c>
      <c r="E1096" s="8" t="s">
        <v>1887</v>
      </c>
      <c r="F1096" s="8" t="s">
        <v>5317</v>
      </c>
      <c r="G1096" s="21">
        <v>9.023047843E9</v>
      </c>
      <c r="H1096" s="21">
        <v>9.023408985E9</v>
      </c>
      <c r="I1096" s="21">
        <v>470.0</v>
      </c>
      <c r="J1096" s="21" t="s">
        <v>5318</v>
      </c>
      <c r="K1096" s="8" t="s">
        <v>668</v>
      </c>
      <c r="L1096" s="9" t="s">
        <v>49</v>
      </c>
      <c r="M1096" s="8" t="s">
        <v>89</v>
      </c>
      <c r="N1096" s="8" t="s">
        <v>28</v>
      </c>
      <c r="O1096" s="21">
        <v>6443.0</v>
      </c>
      <c r="P1096" s="21">
        <v>7603.0</v>
      </c>
      <c r="Q1096" s="6">
        <v>57.0</v>
      </c>
      <c r="R1096" s="12">
        <f t="shared" si="28"/>
        <v>3672.51</v>
      </c>
    </row>
    <row r="1097">
      <c r="A1097" s="7" t="s">
        <v>5315</v>
      </c>
      <c r="B1097" s="8" t="s">
        <v>5319</v>
      </c>
      <c r="C1097" s="8">
        <v>6.303488629E9</v>
      </c>
      <c r="D1097" s="8" t="s">
        <v>21</v>
      </c>
      <c r="E1097" s="8" t="s">
        <v>5320</v>
      </c>
      <c r="F1097" s="8" t="s">
        <v>5321</v>
      </c>
      <c r="G1097" s="21">
        <v>9.316310173E9</v>
      </c>
      <c r="H1097" s="21">
        <v>9.099115677E9</v>
      </c>
      <c r="I1097" s="21">
        <v>12976.0</v>
      </c>
      <c r="J1097" s="21" t="s">
        <v>5318</v>
      </c>
      <c r="K1097" s="8" t="s">
        <v>668</v>
      </c>
      <c r="L1097" s="9" t="s">
        <v>26</v>
      </c>
      <c r="M1097" s="8" t="s">
        <v>96</v>
      </c>
      <c r="N1097" s="8" t="s">
        <v>28</v>
      </c>
      <c r="O1097" s="21">
        <v>35788.0</v>
      </c>
      <c r="P1097" s="21">
        <v>37640.0</v>
      </c>
      <c r="Q1097" s="6">
        <v>47.0</v>
      </c>
      <c r="R1097" s="12">
        <f t="shared" si="28"/>
        <v>16820.36</v>
      </c>
    </row>
    <row r="1098">
      <c r="A1098" s="7" t="s">
        <v>5315</v>
      </c>
      <c r="B1098" s="8" t="s">
        <v>5322</v>
      </c>
      <c r="C1098" s="8">
        <v>6.303488626E9</v>
      </c>
      <c r="D1098" s="8" t="s">
        <v>1759</v>
      </c>
      <c r="E1098" s="8" t="s">
        <v>1887</v>
      </c>
      <c r="F1098" s="8" t="s">
        <v>5323</v>
      </c>
      <c r="G1098" s="21">
        <v>9.924524742E9</v>
      </c>
      <c r="H1098" s="21">
        <v>9.726146355E9</v>
      </c>
      <c r="I1098" s="21">
        <v>470.0</v>
      </c>
      <c r="J1098" s="21" t="s">
        <v>5318</v>
      </c>
      <c r="K1098" s="8" t="s">
        <v>668</v>
      </c>
      <c r="L1098" s="9" t="s">
        <v>49</v>
      </c>
      <c r="M1098" s="8" t="s">
        <v>185</v>
      </c>
      <c r="N1098" s="8" t="s">
        <v>28</v>
      </c>
      <c r="O1098" s="21">
        <v>6513.0</v>
      </c>
      <c r="P1098" s="21">
        <v>7685.0</v>
      </c>
      <c r="Q1098" s="6">
        <v>57.0</v>
      </c>
      <c r="R1098" s="12">
        <f t="shared" si="28"/>
        <v>3712.41</v>
      </c>
    </row>
    <row r="1099">
      <c r="A1099" s="7" t="s">
        <v>5315</v>
      </c>
      <c r="B1099" s="8" t="s">
        <v>5324</v>
      </c>
      <c r="C1099" s="8">
        <v>6.303488621E9</v>
      </c>
      <c r="D1099" s="8" t="s">
        <v>1759</v>
      </c>
      <c r="E1099" s="8" t="s">
        <v>1887</v>
      </c>
      <c r="F1099" s="8" t="s">
        <v>5325</v>
      </c>
      <c r="G1099" s="21">
        <v>9.726436441E9</v>
      </c>
      <c r="H1099" s="21">
        <v>9.71475523E9</v>
      </c>
      <c r="I1099" s="21">
        <v>470.0</v>
      </c>
      <c r="J1099" s="21" t="s">
        <v>5326</v>
      </c>
      <c r="K1099" s="8" t="s">
        <v>668</v>
      </c>
      <c r="L1099" s="9" t="s">
        <v>49</v>
      </c>
      <c r="M1099" s="8" t="s">
        <v>33</v>
      </c>
      <c r="N1099" s="8" t="s">
        <v>28</v>
      </c>
      <c r="O1099" s="21">
        <v>6443.0</v>
      </c>
      <c r="P1099" s="21">
        <v>7603.0</v>
      </c>
      <c r="Q1099" s="6">
        <v>57.0</v>
      </c>
      <c r="R1099" s="12">
        <f t="shared" si="28"/>
        <v>3672.51</v>
      </c>
    </row>
    <row r="1100">
      <c r="A1100" s="7" t="s">
        <v>5315</v>
      </c>
      <c r="B1100" s="8" t="s">
        <v>5327</v>
      </c>
      <c r="C1100" s="8" t="s">
        <v>5328</v>
      </c>
      <c r="D1100" s="8" t="s">
        <v>21</v>
      </c>
      <c r="E1100" s="8" t="s">
        <v>5329</v>
      </c>
      <c r="F1100" s="8" t="s">
        <v>5330</v>
      </c>
      <c r="G1100" s="21" t="s">
        <v>5331</v>
      </c>
      <c r="H1100" s="21" t="s">
        <v>5332</v>
      </c>
      <c r="I1100" s="21">
        <v>16140.0</v>
      </c>
      <c r="J1100" s="21" t="s">
        <v>5318</v>
      </c>
      <c r="K1100" s="8" t="s">
        <v>56</v>
      </c>
      <c r="L1100" s="9" t="s">
        <v>49</v>
      </c>
      <c r="M1100" s="8" t="s">
        <v>27</v>
      </c>
      <c r="N1100" s="8" t="s">
        <v>28</v>
      </c>
      <c r="O1100" s="21">
        <v>51445.0</v>
      </c>
      <c r="P1100" s="21">
        <v>56114.0</v>
      </c>
      <c r="Q1100" s="6">
        <v>26.0</v>
      </c>
      <c r="R1100" s="12">
        <f t="shared" si="28"/>
        <v>13375.7</v>
      </c>
    </row>
    <row r="1101">
      <c r="A1101" s="7" t="s">
        <v>5315</v>
      </c>
      <c r="B1101" s="8" t="s">
        <v>5333</v>
      </c>
      <c r="C1101" s="8" t="s">
        <v>5334</v>
      </c>
      <c r="D1101" s="8" t="s">
        <v>966</v>
      </c>
      <c r="E1101" s="8" t="s">
        <v>5335</v>
      </c>
      <c r="F1101" s="8" t="s">
        <v>5336</v>
      </c>
      <c r="G1101" s="21">
        <v>8.849285752E9</v>
      </c>
      <c r="H1101" s="21">
        <v>8.141728962E9</v>
      </c>
      <c r="I1101" s="21">
        <v>1196.0</v>
      </c>
      <c r="J1101" s="21" t="s">
        <v>5318</v>
      </c>
      <c r="K1101" s="8" t="s">
        <v>5337</v>
      </c>
      <c r="L1101" s="9" t="s">
        <v>26</v>
      </c>
      <c r="M1101" s="8" t="s">
        <v>365</v>
      </c>
      <c r="N1101" s="8" t="s">
        <v>28</v>
      </c>
      <c r="O1101" s="97">
        <v>3416.0</v>
      </c>
      <c r="P1101" s="97">
        <v>4031.0</v>
      </c>
      <c r="Q1101" s="6">
        <v>16.0</v>
      </c>
      <c r="R1101" s="12">
        <f t="shared" si="28"/>
        <v>546.56</v>
      </c>
    </row>
    <row r="1102">
      <c r="A1102" s="7" t="s">
        <v>5315</v>
      </c>
      <c r="B1102" s="8" t="s">
        <v>5338</v>
      </c>
      <c r="C1102" s="8" t="s">
        <v>5339</v>
      </c>
      <c r="D1102" s="8" t="s">
        <v>21</v>
      </c>
      <c r="E1102" s="8" t="s">
        <v>5340</v>
      </c>
      <c r="F1102" s="8" t="s">
        <v>5341</v>
      </c>
      <c r="G1102" s="21">
        <v>9.825404475E9</v>
      </c>
      <c r="H1102" s="8"/>
      <c r="I1102" s="21">
        <v>37000.0</v>
      </c>
      <c r="J1102" s="21" t="s">
        <v>5326</v>
      </c>
      <c r="K1102" s="8" t="s">
        <v>143</v>
      </c>
      <c r="L1102" s="9" t="s">
        <v>49</v>
      </c>
      <c r="M1102" s="8" t="s">
        <v>27</v>
      </c>
      <c r="N1102" s="8" t="s">
        <v>28</v>
      </c>
      <c r="O1102" s="97">
        <v>50841.0</v>
      </c>
      <c r="P1102" s="97">
        <v>54279.0</v>
      </c>
      <c r="Q1102" s="6">
        <v>35.0</v>
      </c>
      <c r="R1102" s="12">
        <f t="shared" si="28"/>
        <v>17794.35</v>
      </c>
    </row>
    <row r="1103">
      <c r="A1103" s="7" t="s">
        <v>5315</v>
      </c>
      <c r="B1103" s="8" t="s">
        <v>5342</v>
      </c>
      <c r="C1103" s="8" t="s">
        <v>5343</v>
      </c>
      <c r="D1103" s="8" t="s">
        <v>1759</v>
      </c>
      <c r="E1103" s="8" t="s">
        <v>1887</v>
      </c>
      <c r="F1103" s="8" t="s">
        <v>5344</v>
      </c>
      <c r="G1103" s="21">
        <v>9.773150984E9</v>
      </c>
      <c r="H1103" s="21">
        <v>9.979418301E9</v>
      </c>
      <c r="I1103" s="21">
        <v>807.0</v>
      </c>
      <c r="J1103" s="21" t="s">
        <v>5326</v>
      </c>
      <c r="K1103" s="8" t="s">
        <v>668</v>
      </c>
      <c r="L1103" s="9" t="s">
        <v>49</v>
      </c>
      <c r="M1103" s="8" t="s">
        <v>185</v>
      </c>
      <c r="N1103" s="8" t="s">
        <v>28</v>
      </c>
      <c r="O1103" s="21">
        <v>6427.0</v>
      </c>
      <c r="P1103" s="21">
        <v>7583.0</v>
      </c>
      <c r="Q1103" s="6">
        <v>57.0</v>
      </c>
      <c r="R1103" s="12">
        <f t="shared" si="28"/>
        <v>3663.39</v>
      </c>
    </row>
    <row r="1104">
      <c r="A1104" s="7" t="s">
        <v>5315</v>
      </c>
      <c r="B1104" s="8" t="s">
        <v>5345</v>
      </c>
      <c r="C1104" s="8" t="s">
        <v>5346</v>
      </c>
      <c r="D1104" s="8" t="s">
        <v>1759</v>
      </c>
      <c r="E1104" s="8" t="s">
        <v>1887</v>
      </c>
      <c r="F1104" s="8" t="s">
        <v>5347</v>
      </c>
      <c r="G1104" s="21">
        <v>8.84951938E9</v>
      </c>
      <c r="H1104" s="21">
        <v>9.316574737E9</v>
      </c>
      <c r="I1104" s="21">
        <v>818.0</v>
      </c>
      <c r="J1104" s="21" t="s">
        <v>5318</v>
      </c>
      <c r="K1104" s="8" t="s">
        <v>668</v>
      </c>
      <c r="L1104" s="9" t="s">
        <v>49</v>
      </c>
      <c r="M1104" s="8" t="s">
        <v>71</v>
      </c>
      <c r="N1104" s="8" t="s">
        <v>28</v>
      </c>
      <c r="O1104" s="21">
        <v>6328.0</v>
      </c>
      <c r="P1104" s="21">
        <v>7468.0</v>
      </c>
      <c r="Q1104" s="6">
        <v>57.0</v>
      </c>
      <c r="R1104" s="12">
        <f t="shared" si="28"/>
        <v>3606.96</v>
      </c>
    </row>
    <row r="1105">
      <c r="A1105" s="7" t="s">
        <v>5315</v>
      </c>
      <c r="B1105" s="8" t="s">
        <v>5348</v>
      </c>
      <c r="C1105" s="8" t="s">
        <v>5349</v>
      </c>
      <c r="D1105" s="8" t="s">
        <v>93</v>
      </c>
      <c r="E1105" s="8" t="s">
        <v>5350</v>
      </c>
      <c r="F1105" s="8" t="s">
        <v>5351</v>
      </c>
      <c r="G1105" s="21" t="s">
        <v>5352</v>
      </c>
      <c r="H1105" s="8"/>
      <c r="I1105" s="21">
        <v>11950.0</v>
      </c>
      <c r="J1105" s="21" t="s">
        <v>5318</v>
      </c>
      <c r="K1105" s="8" t="s">
        <v>25</v>
      </c>
      <c r="L1105" s="9" t="s">
        <v>49</v>
      </c>
      <c r="M1105" s="8" t="s">
        <v>71</v>
      </c>
      <c r="N1105" s="8" t="s">
        <v>28</v>
      </c>
      <c r="O1105" s="97">
        <v>28768.0</v>
      </c>
      <c r="P1105" s="97">
        <v>30412.0</v>
      </c>
      <c r="Q1105" s="6">
        <v>30.0</v>
      </c>
      <c r="R1105" s="12">
        <f t="shared" si="28"/>
        <v>8630.4</v>
      </c>
    </row>
    <row r="1106">
      <c r="A1106" s="7" t="s">
        <v>5315</v>
      </c>
      <c r="B1106" s="8" t="s">
        <v>5353</v>
      </c>
      <c r="C1106" s="8" t="s">
        <v>5354</v>
      </c>
      <c r="D1106" s="8" t="s">
        <v>21</v>
      </c>
      <c r="E1106" s="8" t="s">
        <v>1503</v>
      </c>
      <c r="F1106" s="8" t="s">
        <v>5355</v>
      </c>
      <c r="G1106" s="21">
        <v>8.200527746E9</v>
      </c>
      <c r="H1106" s="21">
        <v>9.537965057E9</v>
      </c>
      <c r="I1106" s="21">
        <v>12990.0</v>
      </c>
      <c r="J1106" s="21" t="s">
        <v>5318</v>
      </c>
      <c r="K1106" s="8" t="s">
        <v>70</v>
      </c>
      <c r="L1106" s="9" t="s">
        <v>49</v>
      </c>
      <c r="M1106" s="8" t="s">
        <v>71</v>
      </c>
      <c r="N1106" s="8" t="s">
        <v>28</v>
      </c>
      <c r="O1106" s="97">
        <v>38021.0</v>
      </c>
      <c r="P1106" s="97">
        <v>40274.0</v>
      </c>
      <c r="Q1106" s="6">
        <v>30.0</v>
      </c>
      <c r="R1106" s="12">
        <f t="shared" si="28"/>
        <v>11406.3</v>
      </c>
    </row>
    <row r="1107">
      <c r="A1107" s="7" t="s">
        <v>5356</v>
      </c>
      <c r="B1107" s="8" t="s">
        <v>5357</v>
      </c>
      <c r="C1107" s="8" t="s">
        <v>5358</v>
      </c>
      <c r="D1107" s="8" t="s">
        <v>1759</v>
      </c>
      <c r="E1107" s="8" t="s">
        <v>1887</v>
      </c>
      <c r="F1107" s="8" t="s">
        <v>5359</v>
      </c>
      <c r="G1107" s="21">
        <v>9.099745592E9</v>
      </c>
      <c r="H1107" s="21">
        <v>8.238297591E9</v>
      </c>
      <c r="I1107" s="21">
        <v>818.0</v>
      </c>
      <c r="J1107" s="22">
        <v>46184.0</v>
      </c>
      <c r="K1107" s="8" t="s">
        <v>668</v>
      </c>
      <c r="L1107" s="9" t="s">
        <v>49</v>
      </c>
      <c r="M1107" s="8" t="s">
        <v>4221</v>
      </c>
      <c r="N1107" s="8" t="s">
        <v>28</v>
      </c>
      <c r="O1107" s="21">
        <v>7278.0</v>
      </c>
      <c r="P1107" s="21">
        <v>8588.0</v>
      </c>
      <c r="Q1107" s="6">
        <v>57.0</v>
      </c>
      <c r="R1107" s="12">
        <f t="shared" si="28"/>
        <v>4148.46</v>
      </c>
    </row>
    <row r="1108">
      <c r="A1108" s="7" t="s">
        <v>5356</v>
      </c>
      <c r="B1108" s="8" t="s">
        <v>5360</v>
      </c>
      <c r="C1108" s="8" t="s">
        <v>5361</v>
      </c>
      <c r="D1108" s="8" t="s">
        <v>1759</v>
      </c>
      <c r="E1108" s="8" t="s">
        <v>5362</v>
      </c>
      <c r="F1108" s="8" t="s">
        <v>5363</v>
      </c>
      <c r="G1108" s="21">
        <v>6.351876437E9</v>
      </c>
      <c r="H1108" s="21">
        <v>9.510512282E9</v>
      </c>
      <c r="I1108" s="21">
        <v>818.0</v>
      </c>
      <c r="J1108" s="21" t="s">
        <v>5364</v>
      </c>
      <c r="K1108" s="8" t="s">
        <v>668</v>
      </c>
      <c r="L1108" s="9" t="s">
        <v>49</v>
      </c>
      <c r="M1108" s="8" t="s">
        <v>71</v>
      </c>
      <c r="N1108" s="8" t="s">
        <v>28</v>
      </c>
      <c r="O1108" s="21">
        <v>6328.0</v>
      </c>
      <c r="P1108" s="21">
        <v>7468.0</v>
      </c>
      <c r="Q1108" s="6">
        <v>57.0</v>
      </c>
      <c r="R1108" s="12">
        <f t="shared" si="28"/>
        <v>3606.96</v>
      </c>
    </row>
    <row r="1109">
      <c r="A1109" s="7" t="s">
        <v>5356</v>
      </c>
      <c r="B1109" s="8" t="s">
        <v>5365</v>
      </c>
      <c r="C1109" s="8" t="s">
        <v>5366</v>
      </c>
      <c r="D1109" s="8" t="s">
        <v>1759</v>
      </c>
      <c r="E1109" s="8" t="s">
        <v>1887</v>
      </c>
      <c r="F1109" s="8" t="s">
        <v>5367</v>
      </c>
      <c r="G1109" s="21">
        <v>9.10401693E9</v>
      </c>
      <c r="H1109" s="21">
        <v>8.780101424E9</v>
      </c>
      <c r="I1109" s="21">
        <v>806.0</v>
      </c>
      <c r="J1109" s="21" t="s">
        <v>5368</v>
      </c>
      <c r="K1109" s="8" t="s">
        <v>668</v>
      </c>
      <c r="L1109" s="9" t="s">
        <v>49</v>
      </c>
      <c r="M1109" s="8" t="s">
        <v>71</v>
      </c>
      <c r="N1109" s="8" t="s">
        <v>28</v>
      </c>
      <c r="O1109" s="21">
        <v>6245.0</v>
      </c>
      <c r="P1109" s="21">
        <v>7369.0</v>
      </c>
      <c r="Q1109" s="6">
        <v>57.0</v>
      </c>
      <c r="R1109" s="12">
        <f t="shared" si="28"/>
        <v>3559.65</v>
      </c>
    </row>
    <row r="1110">
      <c r="A1110" s="7" t="s">
        <v>5356</v>
      </c>
      <c r="B1110" s="8" t="s">
        <v>5369</v>
      </c>
      <c r="C1110" s="8" t="s">
        <v>5370</v>
      </c>
      <c r="D1110" s="8" t="s">
        <v>1759</v>
      </c>
      <c r="E1110" s="8" t="s">
        <v>1887</v>
      </c>
      <c r="F1110" s="8" t="s">
        <v>5371</v>
      </c>
      <c r="G1110" s="21">
        <v>7.433814867E9</v>
      </c>
      <c r="H1110" s="21">
        <v>9.316095164E9</v>
      </c>
      <c r="I1110" s="21">
        <v>818.0</v>
      </c>
      <c r="J1110" s="21" t="s">
        <v>5372</v>
      </c>
      <c r="K1110" s="8" t="s">
        <v>668</v>
      </c>
      <c r="L1110" s="9" t="s">
        <v>49</v>
      </c>
      <c r="M1110" s="8" t="s">
        <v>71</v>
      </c>
      <c r="N1110" s="8" t="s">
        <v>28</v>
      </c>
      <c r="O1110" s="21">
        <v>6328.0</v>
      </c>
      <c r="P1110" s="21">
        <v>7468.0</v>
      </c>
      <c r="Q1110" s="6">
        <v>57.0</v>
      </c>
      <c r="R1110" s="12">
        <f t="shared" si="28"/>
        <v>3606.96</v>
      </c>
    </row>
    <row r="1111">
      <c r="A1111" s="7" t="s">
        <v>5356</v>
      </c>
      <c r="B1111" s="8" t="s">
        <v>5373</v>
      </c>
      <c r="C1111" s="8" t="s">
        <v>5374</v>
      </c>
      <c r="D1111" s="8" t="s">
        <v>44</v>
      </c>
      <c r="E1111" s="8" t="s">
        <v>5375</v>
      </c>
      <c r="F1111" s="8" t="s">
        <v>5376</v>
      </c>
      <c r="G1111" s="21">
        <v>9.879683724E9</v>
      </c>
      <c r="H1111" s="21">
        <v>9.825213422E9</v>
      </c>
      <c r="I1111" s="21">
        <v>2450.0</v>
      </c>
      <c r="J1111" s="21" t="s">
        <v>5368</v>
      </c>
      <c r="K1111" s="8" t="s">
        <v>143</v>
      </c>
      <c r="L1111" s="9" t="s">
        <v>49</v>
      </c>
      <c r="M1111" s="8" t="s">
        <v>185</v>
      </c>
      <c r="N1111" s="8" t="s">
        <v>28</v>
      </c>
      <c r="O1111" s="97">
        <v>16982.0</v>
      </c>
      <c r="P1111" s="97">
        <v>17952.0</v>
      </c>
      <c r="Q1111" s="6">
        <v>62.0</v>
      </c>
      <c r="R1111" s="12">
        <f t="shared" si="28"/>
        <v>10528.84</v>
      </c>
    </row>
    <row r="1112">
      <c r="A1112" s="7" t="s">
        <v>5356</v>
      </c>
      <c r="B1112" s="8" t="s">
        <v>5377</v>
      </c>
      <c r="C1112" s="8" t="s">
        <v>5378</v>
      </c>
      <c r="D1112" s="8" t="s">
        <v>1759</v>
      </c>
      <c r="E1112" s="8" t="s">
        <v>1887</v>
      </c>
      <c r="F1112" s="8" t="s">
        <v>5379</v>
      </c>
      <c r="G1112" s="21">
        <v>9.375962737E9</v>
      </c>
      <c r="H1112" s="21">
        <v>9.377862737E9</v>
      </c>
      <c r="I1112" s="21">
        <v>818.0</v>
      </c>
      <c r="J1112" s="21" t="s">
        <v>5364</v>
      </c>
      <c r="K1112" s="8" t="s">
        <v>668</v>
      </c>
      <c r="L1112" s="9" t="s">
        <v>49</v>
      </c>
      <c r="M1112" s="8" t="s">
        <v>71</v>
      </c>
      <c r="N1112" s="8" t="s">
        <v>28</v>
      </c>
      <c r="O1112" s="21">
        <v>6384.0</v>
      </c>
      <c r="P1112" s="21">
        <v>7534.0</v>
      </c>
      <c r="Q1112" s="6">
        <v>57.0</v>
      </c>
      <c r="R1112" s="12">
        <f t="shared" si="28"/>
        <v>3638.88</v>
      </c>
    </row>
    <row r="1113">
      <c r="A1113" s="7" t="s">
        <v>5356</v>
      </c>
      <c r="B1113" s="8" t="s">
        <v>5380</v>
      </c>
      <c r="C1113" s="8" t="s">
        <v>5381</v>
      </c>
      <c r="D1113" s="8" t="s">
        <v>21</v>
      </c>
      <c r="E1113" s="8" t="s">
        <v>748</v>
      </c>
      <c r="F1113" s="8" t="s">
        <v>5382</v>
      </c>
      <c r="G1113" s="21">
        <v>8.735047E9</v>
      </c>
      <c r="H1113" s="8"/>
      <c r="I1113" s="21">
        <v>28000.0</v>
      </c>
      <c r="J1113" s="21" t="s">
        <v>5368</v>
      </c>
      <c r="K1113" s="8" t="s">
        <v>677</v>
      </c>
      <c r="L1113" s="9" t="s">
        <v>49</v>
      </c>
      <c r="M1113" s="8" t="s">
        <v>71</v>
      </c>
      <c r="N1113" s="8" t="s">
        <v>28</v>
      </c>
      <c r="O1113" s="21">
        <v>47173.8</v>
      </c>
      <c r="P1113" s="21">
        <v>49951.58</v>
      </c>
      <c r="Q1113" s="6">
        <v>24.0</v>
      </c>
      <c r="R1113" s="12">
        <f t="shared" si="28"/>
        <v>11321.712</v>
      </c>
    </row>
    <row r="1114">
      <c r="A1114" s="7" t="s">
        <v>5383</v>
      </c>
      <c r="B1114" s="256" t="s">
        <v>5384</v>
      </c>
      <c r="C1114" s="8" t="s">
        <v>5385</v>
      </c>
      <c r="D1114" s="8" t="s">
        <v>533</v>
      </c>
      <c r="E1114" s="8" t="s">
        <v>5386</v>
      </c>
      <c r="F1114" s="8" t="s">
        <v>5076</v>
      </c>
      <c r="G1114" s="21">
        <v>9.87901593E9</v>
      </c>
      <c r="H1114" s="8"/>
      <c r="I1114" s="21">
        <v>12000.0</v>
      </c>
      <c r="J1114" s="21" t="s">
        <v>5387</v>
      </c>
      <c r="K1114" s="8" t="s">
        <v>116</v>
      </c>
      <c r="L1114" s="9" t="s">
        <v>26</v>
      </c>
      <c r="M1114" s="8" t="s">
        <v>27</v>
      </c>
      <c r="N1114" s="8" t="s">
        <v>28</v>
      </c>
      <c r="O1114" s="97">
        <v>7317.0</v>
      </c>
      <c r="P1114" s="97">
        <v>8634.0</v>
      </c>
      <c r="Q1114" s="6">
        <v>27.0</v>
      </c>
      <c r="R1114" s="12">
        <f t="shared" si="28"/>
        <v>1975.59</v>
      </c>
    </row>
    <row r="1115">
      <c r="A1115" s="7" t="s">
        <v>5383</v>
      </c>
      <c r="B1115" s="8" t="s">
        <v>5388</v>
      </c>
      <c r="C1115" s="8" t="s">
        <v>5389</v>
      </c>
      <c r="D1115" s="8" t="s">
        <v>1759</v>
      </c>
      <c r="E1115" s="8" t="s">
        <v>1887</v>
      </c>
      <c r="F1115" s="8" t="s">
        <v>5390</v>
      </c>
      <c r="G1115" s="21">
        <v>9.638635683E9</v>
      </c>
      <c r="H1115" s="21">
        <v>9.316531404E9</v>
      </c>
      <c r="I1115" s="21">
        <v>818.0</v>
      </c>
      <c r="J1115" s="21" t="s">
        <v>5391</v>
      </c>
      <c r="K1115" s="8" t="s">
        <v>668</v>
      </c>
      <c r="L1115" s="9" t="s">
        <v>49</v>
      </c>
      <c r="M1115" s="8" t="s">
        <v>71</v>
      </c>
      <c r="N1115" s="8" t="s">
        <v>28</v>
      </c>
      <c r="O1115" s="21">
        <v>6328.0</v>
      </c>
      <c r="P1115" s="21">
        <v>7468.0</v>
      </c>
      <c r="Q1115" s="6">
        <v>57.0</v>
      </c>
      <c r="R1115" s="12">
        <f t="shared" si="28"/>
        <v>3606.96</v>
      </c>
    </row>
    <row r="1116">
      <c r="A1116" s="7" t="s">
        <v>5383</v>
      </c>
      <c r="B1116" s="8" t="s">
        <v>5392</v>
      </c>
      <c r="C1116" s="8" t="s">
        <v>5393</v>
      </c>
      <c r="D1116" s="8" t="s">
        <v>1759</v>
      </c>
      <c r="E1116" s="8" t="s">
        <v>2080</v>
      </c>
      <c r="F1116" s="8" t="s">
        <v>5394</v>
      </c>
      <c r="G1116" s="21">
        <v>7.016029467E9</v>
      </c>
      <c r="H1116" s="21">
        <v>8.238244022E9</v>
      </c>
      <c r="I1116" s="21">
        <v>756.0</v>
      </c>
      <c r="J1116" s="21" t="s">
        <v>5368</v>
      </c>
      <c r="K1116" s="8" t="s">
        <v>668</v>
      </c>
      <c r="L1116" s="9" t="s">
        <v>49</v>
      </c>
      <c r="M1116" s="8" t="s">
        <v>27</v>
      </c>
      <c r="N1116" s="8" t="s">
        <v>28</v>
      </c>
      <c r="O1116" s="21">
        <v>6312.0</v>
      </c>
      <c r="P1116" s="21">
        <v>7448.0</v>
      </c>
      <c r="Q1116" s="6">
        <v>57.0</v>
      </c>
      <c r="R1116" s="12">
        <f t="shared" si="28"/>
        <v>3597.84</v>
      </c>
    </row>
    <row r="1117">
      <c r="A1117" s="13" t="s">
        <v>5383</v>
      </c>
      <c r="B1117" s="257" t="s">
        <v>5395</v>
      </c>
      <c r="C1117" s="131" t="s">
        <v>5396</v>
      </c>
      <c r="D1117" s="131" t="s">
        <v>1759</v>
      </c>
      <c r="E1117" s="131" t="s">
        <v>1887</v>
      </c>
      <c r="F1117" s="131" t="s">
        <v>5397</v>
      </c>
      <c r="G1117" s="208">
        <v>9.227830001E9</v>
      </c>
      <c r="H1117" s="208">
        <v>9.725864111E9</v>
      </c>
      <c r="I1117" s="21">
        <v>806.0</v>
      </c>
      <c r="J1117" s="208" t="s">
        <v>5368</v>
      </c>
      <c r="K1117" s="131" t="s">
        <v>668</v>
      </c>
      <c r="L1117" s="258" t="s">
        <v>49</v>
      </c>
      <c r="M1117" s="131" t="s">
        <v>27</v>
      </c>
      <c r="N1117" s="131" t="s">
        <v>28</v>
      </c>
      <c r="O1117" s="208">
        <v>6339.0</v>
      </c>
      <c r="P1117" s="208">
        <v>7481.0</v>
      </c>
      <c r="Q1117" s="6">
        <v>57.0</v>
      </c>
      <c r="R1117" s="12">
        <f t="shared" si="28"/>
        <v>3613.23</v>
      </c>
    </row>
    <row r="1118">
      <c r="A1118" s="7" t="s">
        <v>5383</v>
      </c>
      <c r="B1118" s="8" t="s">
        <v>5398</v>
      </c>
      <c r="C1118" s="8" t="s">
        <v>5399</v>
      </c>
      <c r="D1118" s="8" t="s">
        <v>1759</v>
      </c>
      <c r="E1118" s="8" t="s">
        <v>1887</v>
      </c>
      <c r="F1118" s="8" t="s">
        <v>5400</v>
      </c>
      <c r="G1118" s="21">
        <v>8.511891018E9</v>
      </c>
      <c r="H1118" s="21">
        <v>9.687332915E9</v>
      </c>
      <c r="I1118" s="21">
        <v>818.0</v>
      </c>
      <c r="J1118" s="21" t="s">
        <v>5401</v>
      </c>
      <c r="K1118" s="8" t="s">
        <v>668</v>
      </c>
      <c r="L1118" s="9" t="s">
        <v>49</v>
      </c>
      <c r="M1118" s="8" t="s">
        <v>71</v>
      </c>
      <c r="N1118" s="8" t="s">
        <v>28</v>
      </c>
      <c r="O1118" s="21">
        <v>6269.0</v>
      </c>
      <c r="P1118" s="21">
        <v>7397.0</v>
      </c>
      <c r="Q1118" s="6">
        <v>57.0</v>
      </c>
      <c r="R1118" s="12">
        <f t="shared" si="28"/>
        <v>3573.33</v>
      </c>
    </row>
    <row r="1119">
      <c r="A1119" s="58"/>
      <c r="B1119" s="58"/>
      <c r="C1119" s="58"/>
      <c r="D1119" s="58"/>
      <c r="E1119" s="58"/>
      <c r="F1119" s="88"/>
      <c r="G1119" s="58"/>
      <c r="H1119" s="88"/>
      <c r="I1119" s="91"/>
      <c r="J1119" s="58"/>
      <c r="K1119" s="244"/>
      <c r="L1119" s="93"/>
      <c r="M1119" s="58"/>
      <c r="N1119" s="62"/>
      <c r="O1119" s="245"/>
      <c r="P1119" s="62"/>
      <c r="Q1119" s="58"/>
      <c r="R1119" s="88"/>
      <c r="S1119" s="88"/>
    </row>
    <row r="1120">
      <c r="A1120" s="58"/>
      <c r="B1120" s="58"/>
      <c r="C1120" s="58"/>
      <c r="D1120" s="58"/>
      <c r="E1120" s="58"/>
      <c r="F1120" s="88"/>
      <c r="G1120" s="58"/>
      <c r="H1120" s="88"/>
      <c r="I1120" s="91"/>
      <c r="J1120" s="58"/>
      <c r="K1120" s="244"/>
      <c r="L1120" s="93"/>
      <c r="M1120" s="58"/>
      <c r="N1120" s="62"/>
      <c r="O1120" s="245"/>
      <c r="P1120" s="62"/>
      <c r="Q1120" s="58"/>
      <c r="R1120" s="88"/>
      <c r="S1120" s="88"/>
    </row>
    <row r="1121">
      <c r="A1121" s="7" t="s">
        <v>5402</v>
      </c>
      <c r="B1121" s="131" t="s">
        <v>5403</v>
      </c>
      <c r="C1121" s="8" t="s">
        <v>5404</v>
      </c>
      <c r="D1121" s="7" t="s">
        <v>1759</v>
      </c>
      <c r="E1121" s="8" t="s">
        <v>5293</v>
      </c>
      <c r="F1121" s="8" t="s">
        <v>5405</v>
      </c>
      <c r="G1121" s="7">
        <v>9.327387753E9</v>
      </c>
      <c r="H1121" s="7">
        <v>8.980235654E9</v>
      </c>
      <c r="I1121" s="7">
        <v>818.0</v>
      </c>
      <c r="J1121" s="7" t="s">
        <v>5401</v>
      </c>
      <c r="K1121" s="7" t="s">
        <v>668</v>
      </c>
      <c r="L1121" s="9" t="s">
        <v>49</v>
      </c>
      <c r="M1121" s="7" t="s">
        <v>71</v>
      </c>
      <c r="N1121" s="217" t="s">
        <v>28</v>
      </c>
      <c r="O1121" s="21">
        <v>6328.0</v>
      </c>
      <c r="P1121" s="21">
        <v>7468.0</v>
      </c>
      <c r="Q1121" s="6">
        <v>51.0</v>
      </c>
      <c r="R1121" s="12">
        <f t="shared" ref="R1121:R1214" si="29">O1121*Q1121%</f>
        <v>3227.28</v>
      </c>
    </row>
    <row r="1122">
      <c r="A1122" s="7" t="s">
        <v>5402</v>
      </c>
      <c r="B1122" s="131" t="s">
        <v>5406</v>
      </c>
      <c r="C1122" s="8" t="s">
        <v>5407</v>
      </c>
      <c r="D1122" s="7" t="s">
        <v>1759</v>
      </c>
      <c r="E1122" s="8" t="s">
        <v>5293</v>
      </c>
      <c r="F1122" s="8" t="s">
        <v>5408</v>
      </c>
      <c r="G1122" s="7">
        <v>8.780343125E9</v>
      </c>
      <c r="H1122" s="7">
        <v>9.92585238E9</v>
      </c>
      <c r="I1122" s="7">
        <v>818.0</v>
      </c>
      <c r="J1122" s="7" t="s">
        <v>5391</v>
      </c>
      <c r="K1122" s="7" t="s">
        <v>668</v>
      </c>
      <c r="L1122" s="9" t="s">
        <v>49</v>
      </c>
      <c r="M1122" s="7" t="s">
        <v>71</v>
      </c>
      <c r="N1122" s="217" t="s">
        <v>28</v>
      </c>
      <c r="O1122" s="21">
        <v>6280.0</v>
      </c>
      <c r="P1122" s="21">
        <v>7410.0</v>
      </c>
      <c r="Q1122" s="6">
        <v>51.0</v>
      </c>
      <c r="R1122" s="12">
        <f t="shared" si="29"/>
        <v>3202.8</v>
      </c>
    </row>
    <row r="1123">
      <c r="A1123" s="7" t="s">
        <v>5402</v>
      </c>
      <c r="B1123" s="131" t="s">
        <v>5409</v>
      </c>
      <c r="C1123" s="8" t="s">
        <v>5410</v>
      </c>
      <c r="D1123" s="7" t="s">
        <v>1759</v>
      </c>
      <c r="E1123" s="8" t="s">
        <v>1887</v>
      </c>
      <c r="F1123" s="8" t="s">
        <v>5411</v>
      </c>
      <c r="G1123" s="7">
        <v>9.099265969E9</v>
      </c>
      <c r="H1123" s="7">
        <v>9.327134709E9</v>
      </c>
      <c r="I1123" s="7">
        <v>818.0</v>
      </c>
      <c r="J1123" s="7" t="s">
        <v>5412</v>
      </c>
      <c r="K1123" s="7" t="s">
        <v>668</v>
      </c>
      <c r="L1123" s="9" t="s">
        <v>49</v>
      </c>
      <c r="M1123" s="7" t="s">
        <v>365</v>
      </c>
      <c r="N1123" s="217" t="s">
        <v>28</v>
      </c>
      <c r="O1123" s="21">
        <v>6394.0</v>
      </c>
      <c r="P1123" s="21">
        <v>7544.0</v>
      </c>
      <c r="Q1123" s="6">
        <v>51.0</v>
      </c>
      <c r="R1123" s="12">
        <f t="shared" si="29"/>
        <v>3260.94</v>
      </c>
    </row>
    <row r="1124">
      <c r="A1124" s="7" t="s">
        <v>5402</v>
      </c>
      <c r="B1124" s="131" t="s">
        <v>5413</v>
      </c>
      <c r="C1124" s="8" t="s">
        <v>5414</v>
      </c>
      <c r="D1124" s="7" t="s">
        <v>1759</v>
      </c>
      <c r="E1124" s="8" t="s">
        <v>1887</v>
      </c>
      <c r="F1124" s="8" t="s">
        <v>5415</v>
      </c>
      <c r="G1124" s="7">
        <v>9.825186127E9</v>
      </c>
      <c r="H1124" s="7">
        <v>9.712586159E9</v>
      </c>
      <c r="I1124" s="7">
        <v>818.0</v>
      </c>
      <c r="J1124" s="7" t="s">
        <v>5368</v>
      </c>
      <c r="K1124" s="7" t="s">
        <v>668</v>
      </c>
      <c r="L1124" s="9" t="s">
        <v>49</v>
      </c>
      <c r="M1124" s="7" t="s">
        <v>71</v>
      </c>
      <c r="N1124" s="217" t="s">
        <v>28</v>
      </c>
      <c r="O1124" s="21">
        <v>6328.0</v>
      </c>
      <c r="P1124" s="21">
        <v>7468.0</v>
      </c>
      <c r="Q1124" s="6">
        <v>51.0</v>
      </c>
      <c r="R1124" s="12">
        <f t="shared" si="29"/>
        <v>3227.28</v>
      </c>
    </row>
    <row r="1125">
      <c r="A1125" s="7" t="s">
        <v>5402</v>
      </c>
      <c r="B1125" s="131" t="s">
        <v>5416</v>
      </c>
      <c r="C1125" s="8" t="s">
        <v>5417</v>
      </c>
      <c r="D1125" s="7" t="s">
        <v>1759</v>
      </c>
      <c r="E1125" s="8" t="s">
        <v>1887</v>
      </c>
      <c r="F1125" s="8" t="s">
        <v>5418</v>
      </c>
      <c r="G1125" s="7">
        <v>9.316388022E9</v>
      </c>
      <c r="H1125" s="7">
        <v>9.313356757E9</v>
      </c>
      <c r="I1125" s="7">
        <v>818.0</v>
      </c>
      <c r="J1125" s="7" t="s">
        <v>5391</v>
      </c>
      <c r="K1125" s="7" t="s">
        <v>668</v>
      </c>
      <c r="L1125" s="9" t="s">
        <v>49</v>
      </c>
      <c r="M1125" s="7" t="s">
        <v>365</v>
      </c>
      <c r="N1125" s="217" t="s">
        <v>28</v>
      </c>
      <c r="O1125" s="21">
        <v>6430.0</v>
      </c>
      <c r="P1125" s="21">
        <v>7588.0</v>
      </c>
      <c r="Q1125" s="6">
        <v>51.0</v>
      </c>
      <c r="R1125" s="12">
        <f t="shared" si="29"/>
        <v>3279.3</v>
      </c>
    </row>
    <row r="1126">
      <c r="A1126" s="7" t="s">
        <v>5402</v>
      </c>
      <c r="B1126" s="131" t="s">
        <v>5419</v>
      </c>
      <c r="C1126" s="8" t="s">
        <v>5420</v>
      </c>
      <c r="D1126" s="7" t="s">
        <v>93</v>
      </c>
      <c r="E1126" s="8" t="s">
        <v>1111</v>
      </c>
      <c r="F1126" s="8" t="s">
        <v>1118</v>
      </c>
      <c r="G1126" s="7" t="s">
        <v>4519</v>
      </c>
      <c r="H1126" s="8"/>
      <c r="I1126" s="7">
        <v>11990.0</v>
      </c>
      <c r="J1126" s="7" t="s">
        <v>5368</v>
      </c>
      <c r="K1126" s="7" t="s">
        <v>25</v>
      </c>
      <c r="L1126" s="9" t="s">
        <v>49</v>
      </c>
      <c r="M1126" s="7" t="s">
        <v>71</v>
      </c>
      <c r="N1126" s="217" t="s">
        <v>28</v>
      </c>
      <c r="O1126" s="97">
        <v>29139.0</v>
      </c>
      <c r="P1126" s="97">
        <v>30850.0</v>
      </c>
      <c r="Q1126" s="6">
        <v>30.0</v>
      </c>
      <c r="R1126" s="12">
        <f t="shared" si="29"/>
        <v>8741.7</v>
      </c>
    </row>
    <row r="1127">
      <c r="A1127" s="7" t="s">
        <v>5402</v>
      </c>
      <c r="B1127" s="131" t="s">
        <v>5421</v>
      </c>
      <c r="C1127" s="8" t="s">
        <v>5422</v>
      </c>
      <c r="D1127" s="7" t="s">
        <v>1759</v>
      </c>
      <c r="E1127" s="8" t="s">
        <v>1887</v>
      </c>
      <c r="F1127" s="8" t="s">
        <v>5423</v>
      </c>
      <c r="G1127" s="7">
        <v>9.099265969E9</v>
      </c>
      <c r="H1127" s="7">
        <v>9.327134709E9</v>
      </c>
      <c r="I1127" s="7">
        <v>818.0</v>
      </c>
      <c r="J1127" s="7" t="s">
        <v>5412</v>
      </c>
      <c r="K1127" s="7" t="s">
        <v>668</v>
      </c>
      <c r="L1127" s="9" t="s">
        <v>49</v>
      </c>
      <c r="M1127" s="7" t="s">
        <v>365</v>
      </c>
      <c r="N1127" s="217" t="s">
        <v>28</v>
      </c>
      <c r="O1127" s="21">
        <v>6370.0</v>
      </c>
      <c r="P1127" s="21">
        <v>7516.0</v>
      </c>
      <c r="Q1127" s="6">
        <v>51.0</v>
      </c>
      <c r="R1127" s="12">
        <f t="shared" si="29"/>
        <v>3248.7</v>
      </c>
    </row>
    <row r="1128">
      <c r="A1128" s="7" t="s">
        <v>5424</v>
      </c>
      <c r="B1128" s="131" t="s">
        <v>5425</v>
      </c>
      <c r="C1128" s="8" t="s">
        <v>5426</v>
      </c>
      <c r="D1128" s="7" t="s">
        <v>44</v>
      </c>
      <c r="E1128" s="8" t="s">
        <v>524</v>
      </c>
      <c r="F1128" s="8" t="s">
        <v>5427</v>
      </c>
      <c r="G1128" s="7">
        <v>9.825920527E9</v>
      </c>
      <c r="H1128" s="7">
        <v>9.601796333E9</v>
      </c>
      <c r="I1128" s="7">
        <v>3490.0</v>
      </c>
      <c r="J1128" s="7" t="s">
        <v>5401</v>
      </c>
      <c r="K1128" s="7" t="s">
        <v>116</v>
      </c>
      <c r="L1128" s="9" t="s">
        <v>49</v>
      </c>
      <c r="M1128" s="7" t="s">
        <v>71</v>
      </c>
      <c r="N1128" s="217" t="s">
        <v>28</v>
      </c>
      <c r="O1128" s="97">
        <v>20860.0</v>
      </c>
      <c r="P1128" s="97">
        <v>22515.0</v>
      </c>
      <c r="Q1128" s="6">
        <v>54.0</v>
      </c>
      <c r="R1128" s="12">
        <f t="shared" si="29"/>
        <v>11264.4</v>
      </c>
    </row>
    <row r="1129">
      <c r="A1129" s="7" t="s">
        <v>5424</v>
      </c>
      <c r="B1129" s="131" t="s">
        <v>5428</v>
      </c>
      <c r="C1129" s="8" t="s">
        <v>5429</v>
      </c>
      <c r="D1129" s="7" t="s">
        <v>1759</v>
      </c>
      <c r="E1129" s="8" t="s">
        <v>1887</v>
      </c>
      <c r="F1129" s="8" t="s">
        <v>5430</v>
      </c>
      <c r="G1129" s="7">
        <v>6.352850236E9</v>
      </c>
      <c r="H1129" s="7">
        <v>6.353950211E9</v>
      </c>
      <c r="I1129" s="7">
        <v>818.0</v>
      </c>
      <c r="J1129" s="7" t="s">
        <v>5401</v>
      </c>
      <c r="K1129" s="7" t="s">
        <v>668</v>
      </c>
      <c r="L1129" s="9" t="s">
        <v>49</v>
      </c>
      <c r="M1129" s="7" t="s">
        <v>71</v>
      </c>
      <c r="N1129" s="217" t="s">
        <v>28</v>
      </c>
      <c r="O1129" s="21">
        <v>6328.0</v>
      </c>
      <c r="P1129" s="21">
        <v>7468.0</v>
      </c>
      <c r="Q1129" s="6">
        <v>51.0</v>
      </c>
      <c r="R1129" s="12">
        <f t="shared" si="29"/>
        <v>3227.28</v>
      </c>
    </row>
    <row r="1130">
      <c r="A1130" s="7" t="s">
        <v>5424</v>
      </c>
      <c r="B1130" s="131" t="s">
        <v>5431</v>
      </c>
      <c r="C1130" s="8" t="s">
        <v>5432</v>
      </c>
      <c r="D1130" s="7" t="s">
        <v>1759</v>
      </c>
      <c r="E1130" s="8" t="s">
        <v>1887</v>
      </c>
      <c r="F1130" s="8" t="s">
        <v>5433</v>
      </c>
      <c r="G1130" s="7">
        <v>7.043224425E9</v>
      </c>
      <c r="H1130" s="8"/>
      <c r="I1130" s="7">
        <v>818.0</v>
      </c>
      <c r="J1130" s="7" t="s">
        <v>5401</v>
      </c>
      <c r="K1130" s="7" t="s">
        <v>668</v>
      </c>
      <c r="L1130" s="9" t="s">
        <v>49</v>
      </c>
      <c r="M1130" s="7" t="s">
        <v>89</v>
      </c>
      <c r="N1130" s="217" t="s">
        <v>28</v>
      </c>
      <c r="O1130" s="21">
        <v>6513.0</v>
      </c>
      <c r="P1130" s="21">
        <v>7685.0</v>
      </c>
      <c r="Q1130" s="6">
        <v>51.0</v>
      </c>
      <c r="R1130" s="12">
        <f t="shared" si="29"/>
        <v>3321.63</v>
      </c>
    </row>
    <row r="1131">
      <c r="A1131" s="7" t="s">
        <v>5424</v>
      </c>
      <c r="B1131" s="131" t="s">
        <v>5434</v>
      </c>
      <c r="C1131" s="8" t="s">
        <v>5435</v>
      </c>
      <c r="D1131" s="7" t="s">
        <v>75</v>
      </c>
      <c r="E1131" s="8" t="s">
        <v>225</v>
      </c>
      <c r="F1131" s="8" t="s">
        <v>5436</v>
      </c>
      <c r="G1131" s="7">
        <v>9.978857955E9</v>
      </c>
      <c r="H1131" s="7">
        <v>9.97454347E9</v>
      </c>
      <c r="I1131" s="7">
        <v>995.0</v>
      </c>
      <c r="J1131" s="14">
        <v>46092.0</v>
      </c>
      <c r="K1131" s="7" t="s">
        <v>41</v>
      </c>
      <c r="L1131" s="9" t="s">
        <v>49</v>
      </c>
      <c r="M1131" s="7" t="s">
        <v>71</v>
      </c>
      <c r="N1131" s="217" t="s">
        <v>28</v>
      </c>
      <c r="O1131" s="97">
        <v>5222.0</v>
      </c>
      <c r="P1131" s="97">
        <v>5570.0</v>
      </c>
      <c r="Q1131" s="6">
        <v>52.5</v>
      </c>
      <c r="R1131" s="12">
        <f t="shared" si="29"/>
        <v>2741.55</v>
      </c>
    </row>
    <row r="1132">
      <c r="A1132" s="7" t="s">
        <v>5424</v>
      </c>
      <c r="B1132" s="131" t="s">
        <v>5437</v>
      </c>
      <c r="C1132" s="8" t="s">
        <v>5438</v>
      </c>
      <c r="D1132" s="7" t="s">
        <v>1759</v>
      </c>
      <c r="E1132" s="8" t="s">
        <v>1887</v>
      </c>
      <c r="F1132" s="8" t="s">
        <v>5439</v>
      </c>
      <c r="G1132" s="7">
        <v>9.87995728E9</v>
      </c>
      <c r="H1132" s="8"/>
      <c r="I1132" s="7">
        <v>818.0</v>
      </c>
      <c r="J1132" s="7" t="s">
        <v>5401</v>
      </c>
      <c r="K1132" s="7" t="s">
        <v>668</v>
      </c>
      <c r="L1132" s="9" t="s">
        <v>49</v>
      </c>
      <c r="M1132" s="7" t="s">
        <v>50</v>
      </c>
      <c r="N1132" s="217" t="s">
        <v>28</v>
      </c>
      <c r="O1132" s="21">
        <v>6540.0</v>
      </c>
      <c r="P1132" s="21">
        <v>7718.0</v>
      </c>
      <c r="Q1132" s="6">
        <v>51.0</v>
      </c>
      <c r="R1132" s="12">
        <f t="shared" si="29"/>
        <v>3335.4</v>
      </c>
    </row>
    <row r="1133">
      <c r="A1133" s="7" t="s">
        <v>5424</v>
      </c>
      <c r="B1133" s="131" t="s">
        <v>5440</v>
      </c>
      <c r="C1133" s="8" t="s">
        <v>5441</v>
      </c>
      <c r="D1133" s="7" t="s">
        <v>1759</v>
      </c>
      <c r="E1133" s="8" t="s">
        <v>1887</v>
      </c>
      <c r="F1133" s="8" t="s">
        <v>5442</v>
      </c>
      <c r="G1133" s="7">
        <v>9.978856111E9</v>
      </c>
      <c r="H1133" s="7">
        <v>9.879719111E9</v>
      </c>
      <c r="I1133" s="7">
        <v>818.0</v>
      </c>
      <c r="J1133" s="7" t="s">
        <v>5391</v>
      </c>
      <c r="K1133" s="7" t="s">
        <v>668</v>
      </c>
      <c r="L1133" s="9" t="s">
        <v>49</v>
      </c>
      <c r="M1133" s="7" t="s">
        <v>71</v>
      </c>
      <c r="N1133" s="217" t="s">
        <v>28</v>
      </c>
      <c r="O1133" s="21">
        <v>6384.0</v>
      </c>
      <c r="P1133" s="21">
        <v>7534.0</v>
      </c>
      <c r="Q1133" s="6">
        <v>51.0</v>
      </c>
      <c r="R1133" s="12">
        <f t="shared" si="29"/>
        <v>3255.84</v>
      </c>
    </row>
    <row r="1134">
      <c r="A1134" s="14">
        <v>45668.0</v>
      </c>
      <c r="B1134" s="8" t="s">
        <v>5443</v>
      </c>
      <c r="C1134" s="8" t="s">
        <v>5444</v>
      </c>
      <c r="D1134" s="7" t="s">
        <v>1759</v>
      </c>
      <c r="E1134" s="8" t="s">
        <v>1887</v>
      </c>
      <c r="F1134" s="8" t="s">
        <v>5445</v>
      </c>
      <c r="G1134" s="7" t="s">
        <v>5446</v>
      </c>
      <c r="H1134" s="7">
        <v>9.327134709E9</v>
      </c>
      <c r="I1134" s="7">
        <v>818.0</v>
      </c>
      <c r="J1134" s="7" t="s">
        <v>5412</v>
      </c>
      <c r="K1134" s="7" t="s">
        <v>668</v>
      </c>
      <c r="L1134" s="9" t="s">
        <v>49</v>
      </c>
      <c r="M1134" s="7" t="s">
        <v>365</v>
      </c>
      <c r="N1134" s="217" t="s">
        <v>28</v>
      </c>
      <c r="O1134" s="21">
        <v>6568.0</v>
      </c>
      <c r="P1134" s="21">
        <v>7750.0</v>
      </c>
      <c r="Q1134" s="6">
        <v>51.0</v>
      </c>
      <c r="R1134" s="12">
        <f t="shared" si="29"/>
        <v>3349.68</v>
      </c>
    </row>
    <row r="1135">
      <c r="A1135" s="14">
        <v>45668.0</v>
      </c>
      <c r="B1135" s="8" t="s">
        <v>5447</v>
      </c>
      <c r="C1135" s="8" t="s">
        <v>5448</v>
      </c>
      <c r="D1135" s="7" t="s">
        <v>21</v>
      </c>
      <c r="E1135" s="8" t="s">
        <v>5449</v>
      </c>
      <c r="F1135" s="8" t="s">
        <v>5450</v>
      </c>
      <c r="G1135" s="7">
        <v>9.978460453E9</v>
      </c>
      <c r="H1135" s="7">
        <v>9.427896364E9</v>
      </c>
      <c r="I1135" s="7">
        <v>14050.0</v>
      </c>
      <c r="J1135" s="7" t="s">
        <v>5412</v>
      </c>
      <c r="K1135" s="7" t="s">
        <v>25</v>
      </c>
      <c r="L1135" s="9" t="s">
        <v>26</v>
      </c>
      <c r="M1135" s="7" t="s">
        <v>71</v>
      </c>
      <c r="N1135" s="217" t="s">
        <v>28</v>
      </c>
      <c r="O1135" s="21">
        <v>35413.0</v>
      </c>
      <c r="P1135" s="21">
        <v>37197.0</v>
      </c>
      <c r="Q1135" s="6">
        <v>51.0</v>
      </c>
      <c r="R1135" s="12">
        <f t="shared" si="29"/>
        <v>18060.63</v>
      </c>
    </row>
    <row r="1136">
      <c r="A1136" s="14">
        <v>45668.0</v>
      </c>
      <c r="B1136" s="8" t="s">
        <v>5451</v>
      </c>
      <c r="C1136" s="8" t="s">
        <v>5452</v>
      </c>
      <c r="D1136" s="7" t="s">
        <v>1759</v>
      </c>
      <c r="E1136" s="8" t="s">
        <v>1887</v>
      </c>
      <c r="F1136" s="8" t="s">
        <v>5453</v>
      </c>
      <c r="G1136" s="7">
        <v>9.727231209E9</v>
      </c>
      <c r="H1136" s="7">
        <v>9.913221784E9</v>
      </c>
      <c r="I1136" s="7">
        <v>470.0</v>
      </c>
      <c r="J1136" s="14">
        <v>46064.0</v>
      </c>
      <c r="K1136" s="7" t="s">
        <v>668</v>
      </c>
      <c r="L1136" s="9" t="s">
        <v>49</v>
      </c>
      <c r="M1136" s="7" t="s">
        <v>71</v>
      </c>
      <c r="N1136" s="217" t="s">
        <v>28</v>
      </c>
      <c r="O1136" s="21">
        <v>6431.0</v>
      </c>
      <c r="P1136" s="21">
        <v>7589.0</v>
      </c>
      <c r="Q1136" s="6">
        <v>51.0</v>
      </c>
      <c r="R1136" s="12">
        <f t="shared" si="29"/>
        <v>3279.81</v>
      </c>
    </row>
    <row r="1137">
      <c r="A1137" s="14">
        <v>45699.0</v>
      </c>
      <c r="B1137" s="8" t="s">
        <v>5454</v>
      </c>
      <c r="C1137" s="8" t="s">
        <v>5455</v>
      </c>
      <c r="D1137" s="7" t="s">
        <v>1395</v>
      </c>
      <c r="E1137" s="8" t="s">
        <v>1303</v>
      </c>
      <c r="F1137" s="8" t="s">
        <v>5456</v>
      </c>
      <c r="G1137" s="7">
        <v>9.909638759E9</v>
      </c>
      <c r="H1137" s="7">
        <v>9.016005279E9</v>
      </c>
      <c r="I1137" s="7">
        <v>2825.0</v>
      </c>
      <c r="J1137" s="14">
        <v>46033.0</v>
      </c>
      <c r="K1137" s="7" t="s">
        <v>116</v>
      </c>
      <c r="L1137" s="9" t="s">
        <v>49</v>
      </c>
      <c r="M1137" s="7" t="s">
        <v>71</v>
      </c>
      <c r="N1137" s="217" t="s">
        <v>28</v>
      </c>
      <c r="O1137" s="97">
        <v>19815.0</v>
      </c>
      <c r="P1137" s="97">
        <v>21276.0</v>
      </c>
      <c r="Q1137" s="6">
        <v>54.0</v>
      </c>
      <c r="R1137" s="12">
        <f t="shared" si="29"/>
        <v>10700.1</v>
      </c>
    </row>
    <row r="1138">
      <c r="A1138" s="14">
        <v>45699.0</v>
      </c>
      <c r="B1138" s="8" t="s">
        <v>5457</v>
      </c>
      <c r="C1138" s="8" t="s">
        <v>5458</v>
      </c>
      <c r="D1138" s="7" t="s">
        <v>533</v>
      </c>
      <c r="E1138" s="8" t="s">
        <v>5459</v>
      </c>
      <c r="F1138" s="8" t="s">
        <v>3755</v>
      </c>
      <c r="G1138" s="7">
        <v>7.016184293E9</v>
      </c>
      <c r="H1138" s="7">
        <v>9.909596056E9</v>
      </c>
      <c r="I1138" s="8"/>
      <c r="J1138" s="14">
        <v>46033.0</v>
      </c>
      <c r="K1138" s="7" t="s">
        <v>116</v>
      </c>
      <c r="L1138" s="9" t="s">
        <v>26</v>
      </c>
      <c r="M1138" s="7" t="s">
        <v>71</v>
      </c>
      <c r="N1138" s="217" t="s">
        <v>28</v>
      </c>
      <c r="O1138" s="97">
        <v>7317.0</v>
      </c>
      <c r="P1138" s="97">
        <v>8634.0</v>
      </c>
      <c r="Q1138" s="6">
        <v>25.0</v>
      </c>
      <c r="R1138" s="12">
        <f t="shared" si="29"/>
        <v>1829.25</v>
      </c>
    </row>
    <row r="1139">
      <c r="A1139" s="14">
        <v>45727.0</v>
      </c>
      <c r="B1139" s="8" t="s">
        <v>5460</v>
      </c>
      <c r="C1139" s="8" t="s">
        <v>5461</v>
      </c>
      <c r="D1139" s="7" t="s">
        <v>21</v>
      </c>
      <c r="E1139" s="8" t="s">
        <v>5462</v>
      </c>
      <c r="F1139" s="8" t="s">
        <v>5463</v>
      </c>
      <c r="G1139" s="7">
        <v>9.723754448E9</v>
      </c>
      <c r="H1139" s="7">
        <v>9.998438486E9</v>
      </c>
      <c r="I1139" s="7">
        <v>12500.0</v>
      </c>
      <c r="J1139" s="14">
        <v>46064.0</v>
      </c>
      <c r="K1139" s="7" t="s">
        <v>143</v>
      </c>
      <c r="L1139" s="9" t="s">
        <v>49</v>
      </c>
      <c r="M1139" s="7" t="s">
        <v>285</v>
      </c>
      <c r="N1139" s="217" t="s">
        <v>28</v>
      </c>
      <c r="O1139" s="97">
        <v>37182.0</v>
      </c>
      <c r="P1139" s="97">
        <v>39284.0</v>
      </c>
      <c r="Q1139" s="6">
        <v>35.0</v>
      </c>
      <c r="R1139" s="12">
        <f t="shared" si="29"/>
        <v>13013.7</v>
      </c>
    </row>
    <row r="1140">
      <c r="A1140" s="14">
        <v>45727.0</v>
      </c>
      <c r="B1140" s="8" t="s">
        <v>5464</v>
      </c>
      <c r="C1140" s="8" t="s">
        <v>5465</v>
      </c>
      <c r="D1140" s="7" t="s">
        <v>1395</v>
      </c>
      <c r="E1140" s="8" t="s">
        <v>5466</v>
      </c>
      <c r="F1140" s="8" t="s">
        <v>5467</v>
      </c>
      <c r="G1140" s="7">
        <v>9.979431258E9</v>
      </c>
      <c r="H1140" s="7">
        <v>9.925172441E9</v>
      </c>
      <c r="I1140" s="7">
        <v>2500.0</v>
      </c>
      <c r="J1140" s="14">
        <v>46123.0</v>
      </c>
      <c r="K1140" s="7" t="s">
        <v>143</v>
      </c>
      <c r="L1140" s="9" t="s">
        <v>49</v>
      </c>
      <c r="M1140" s="7" t="s">
        <v>365</v>
      </c>
      <c r="N1140" s="217" t="s">
        <v>28</v>
      </c>
      <c r="O1140" s="97">
        <v>17358.0</v>
      </c>
      <c r="P1140" s="97">
        <v>18396.0</v>
      </c>
      <c r="Q1140" s="6">
        <v>62.0</v>
      </c>
      <c r="R1140" s="12">
        <f t="shared" si="29"/>
        <v>10761.96</v>
      </c>
    </row>
    <row r="1141">
      <c r="A1141" s="14">
        <v>45727.0</v>
      </c>
      <c r="B1141" s="8" t="s">
        <v>5468</v>
      </c>
      <c r="C1141" s="8" t="s">
        <v>5469</v>
      </c>
      <c r="D1141" s="7" t="s">
        <v>1395</v>
      </c>
      <c r="E1141" s="8" t="s">
        <v>5242</v>
      </c>
      <c r="F1141" s="8" t="s">
        <v>5470</v>
      </c>
      <c r="G1141" s="7">
        <v>9.725331367E9</v>
      </c>
      <c r="H1141" s="7">
        <v>6.354731511E9</v>
      </c>
      <c r="I1141" s="7">
        <v>3895.0</v>
      </c>
      <c r="J1141" s="14">
        <v>46064.0</v>
      </c>
      <c r="K1141" s="7" t="s">
        <v>25</v>
      </c>
      <c r="L1141" s="9" t="s">
        <v>49</v>
      </c>
      <c r="M1141" s="7" t="s">
        <v>5471</v>
      </c>
      <c r="N1141" s="217" t="s">
        <v>28</v>
      </c>
      <c r="O1141" s="97">
        <v>24408.0</v>
      </c>
      <c r="P1141" s="97">
        <v>26715.0</v>
      </c>
      <c r="Q1141" s="6">
        <v>43.0</v>
      </c>
      <c r="R1141" s="12">
        <f t="shared" si="29"/>
        <v>10495.44</v>
      </c>
    </row>
    <row r="1142">
      <c r="A1142" s="14">
        <v>45758.0</v>
      </c>
      <c r="B1142" s="8" t="s">
        <v>5472</v>
      </c>
      <c r="C1142" s="8" t="s">
        <v>5473</v>
      </c>
      <c r="D1142" s="7" t="s">
        <v>21</v>
      </c>
      <c r="E1142" s="8" t="s">
        <v>5474</v>
      </c>
      <c r="F1142" s="8" t="s">
        <v>5475</v>
      </c>
      <c r="G1142" s="7">
        <v>9.879515715E9</v>
      </c>
      <c r="H1142" s="8"/>
      <c r="I1142" s="7">
        <v>28000.0</v>
      </c>
      <c r="J1142" s="14">
        <v>46064.0</v>
      </c>
      <c r="K1142" s="7" t="s">
        <v>677</v>
      </c>
      <c r="L1142" s="9" t="s">
        <v>49</v>
      </c>
      <c r="M1142" s="7" t="s">
        <v>71</v>
      </c>
      <c r="N1142" s="217" t="s">
        <v>28</v>
      </c>
      <c r="O1142" s="21">
        <v>48200.35</v>
      </c>
      <c r="P1142" s="21">
        <v>51162.91</v>
      </c>
      <c r="Q1142" s="6">
        <v>24.0</v>
      </c>
      <c r="R1142" s="12">
        <f t="shared" si="29"/>
        <v>11568.084</v>
      </c>
    </row>
    <row r="1143">
      <c r="A1143" s="14">
        <v>45788.0</v>
      </c>
      <c r="B1143" s="58" t="s">
        <v>5476</v>
      </c>
      <c r="C1143" s="58" t="s">
        <v>5477</v>
      </c>
      <c r="D1143" s="7" t="s">
        <v>44</v>
      </c>
      <c r="E1143" s="58" t="s">
        <v>5478</v>
      </c>
      <c r="F1143" s="58" t="s">
        <v>5479</v>
      </c>
      <c r="G1143" s="7">
        <v>9.106246885E9</v>
      </c>
      <c r="H1143" s="7">
        <v>9.726727584E9</v>
      </c>
      <c r="I1143" s="7">
        <v>2100.0</v>
      </c>
      <c r="J1143" s="60">
        <v>46245.0</v>
      </c>
      <c r="K1143" s="7" t="s">
        <v>143</v>
      </c>
      <c r="L1143" s="9" t="s">
        <v>49</v>
      </c>
      <c r="M1143" s="7" t="s">
        <v>89</v>
      </c>
      <c r="N1143" s="217" t="s">
        <v>28</v>
      </c>
      <c r="O1143" s="97">
        <v>16934.0</v>
      </c>
      <c r="P1143" s="97">
        <v>17896.0</v>
      </c>
      <c r="Q1143" s="6">
        <v>62.0</v>
      </c>
      <c r="R1143" s="12">
        <f t="shared" si="29"/>
        <v>10499.08</v>
      </c>
    </row>
    <row r="1144">
      <c r="A1144" s="14">
        <v>45819.0</v>
      </c>
      <c r="B1144" s="58" t="s">
        <v>5480</v>
      </c>
      <c r="C1144" s="58" t="s">
        <v>5481</v>
      </c>
      <c r="D1144" s="7" t="s">
        <v>1759</v>
      </c>
      <c r="E1144" s="58" t="s">
        <v>5482</v>
      </c>
      <c r="F1144" s="58" t="s">
        <v>5483</v>
      </c>
      <c r="G1144" s="7">
        <v>8.849108179E9</v>
      </c>
      <c r="H1144" s="7">
        <v>9.327688447E9</v>
      </c>
      <c r="I1144" s="7">
        <v>756.0</v>
      </c>
      <c r="J1144" s="14">
        <v>46184.0</v>
      </c>
      <c r="K1144" s="7" t="s">
        <v>677</v>
      </c>
      <c r="L1144" s="9" t="s">
        <v>49</v>
      </c>
      <c r="M1144" s="7" t="s">
        <v>71</v>
      </c>
      <c r="N1144" s="217" t="s">
        <v>28</v>
      </c>
      <c r="O1144" s="21">
        <v>6083.0</v>
      </c>
      <c r="P1144" s="21">
        <v>7177.94</v>
      </c>
      <c r="Q1144" s="6">
        <v>61.0</v>
      </c>
      <c r="R1144" s="12">
        <f t="shared" si="29"/>
        <v>3710.63</v>
      </c>
    </row>
    <row r="1145">
      <c r="A1145" s="14">
        <v>45819.0</v>
      </c>
      <c r="B1145" s="58" t="s">
        <v>5484</v>
      </c>
      <c r="C1145" s="58" t="s">
        <v>5485</v>
      </c>
      <c r="D1145" s="7" t="s">
        <v>75</v>
      </c>
      <c r="E1145" s="58" t="s">
        <v>225</v>
      </c>
      <c r="F1145" s="58" t="s">
        <v>5486</v>
      </c>
      <c r="G1145" s="7">
        <v>6.352886233E9</v>
      </c>
      <c r="H1145" s="7">
        <v>9.714231016E9</v>
      </c>
      <c r="I1145" s="7">
        <v>995.0</v>
      </c>
      <c r="J1145" s="60">
        <v>46214.0</v>
      </c>
      <c r="K1145" s="7" t="s">
        <v>41</v>
      </c>
      <c r="L1145" s="9" t="s">
        <v>49</v>
      </c>
      <c r="M1145" s="7" t="s">
        <v>33</v>
      </c>
      <c r="N1145" s="217" t="s">
        <v>28</v>
      </c>
      <c r="O1145" s="97">
        <v>5418.0</v>
      </c>
      <c r="P1145" s="97">
        <v>5802.0</v>
      </c>
      <c r="Q1145" s="6">
        <v>52.5</v>
      </c>
      <c r="R1145" s="12">
        <f t="shared" si="29"/>
        <v>2844.45</v>
      </c>
    </row>
    <row r="1146">
      <c r="A1146" s="14">
        <v>45819.0</v>
      </c>
      <c r="B1146" s="58" t="s">
        <v>5487</v>
      </c>
      <c r="C1146" s="58" t="s">
        <v>5488</v>
      </c>
      <c r="D1146" s="7" t="s">
        <v>1759</v>
      </c>
      <c r="E1146" s="58" t="s">
        <v>5293</v>
      </c>
      <c r="F1146" s="58" t="s">
        <v>5489</v>
      </c>
      <c r="G1146" s="7">
        <v>9.825317437E9</v>
      </c>
      <c r="H1146" s="7">
        <v>9.276352817E9</v>
      </c>
      <c r="I1146" s="7">
        <v>818.0</v>
      </c>
      <c r="J1146" s="60">
        <v>46184.0</v>
      </c>
      <c r="K1146" s="7" t="s">
        <v>668</v>
      </c>
      <c r="L1146" s="9" t="s">
        <v>49</v>
      </c>
      <c r="M1146" s="7" t="s">
        <v>71</v>
      </c>
      <c r="N1146" s="217" t="s">
        <v>28</v>
      </c>
      <c r="O1146" s="21">
        <v>6328.0</v>
      </c>
      <c r="P1146" s="21">
        <v>7468.0</v>
      </c>
      <c r="Q1146" s="6">
        <v>51.0</v>
      </c>
      <c r="R1146" s="12">
        <f t="shared" si="29"/>
        <v>3227.28</v>
      </c>
    </row>
    <row r="1147">
      <c r="A1147" s="14">
        <v>45819.0</v>
      </c>
      <c r="B1147" s="58" t="s">
        <v>5490</v>
      </c>
      <c r="C1147" s="58" t="s">
        <v>5491</v>
      </c>
      <c r="D1147" s="259" t="s">
        <v>93</v>
      </c>
      <c r="E1147" s="58" t="s">
        <v>5492</v>
      </c>
      <c r="F1147" s="58" t="s">
        <v>5493</v>
      </c>
      <c r="G1147" s="7">
        <v>9.825295756E9</v>
      </c>
      <c r="H1147" s="7">
        <v>8.200848447E9</v>
      </c>
      <c r="I1147" s="62">
        <v>7200.0</v>
      </c>
      <c r="J1147" s="60">
        <v>46184.0</v>
      </c>
      <c r="K1147" s="7" t="s">
        <v>25</v>
      </c>
      <c r="L1147" s="9" t="s">
        <v>49</v>
      </c>
      <c r="M1147" s="7" t="s">
        <v>27</v>
      </c>
      <c r="N1147" s="217" t="s">
        <v>28</v>
      </c>
      <c r="O1147" s="97">
        <v>18219.0</v>
      </c>
      <c r="P1147" s="97">
        <v>19412.0</v>
      </c>
      <c r="Q1147" s="6">
        <v>43.0</v>
      </c>
      <c r="R1147" s="12">
        <f t="shared" si="29"/>
        <v>7834.17</v>
      </c>
    </row>
    <row r="1148">
      <c r="A1148" s="14">
        <v>45849.0</v>
      </c>
      <c r="B1148" s="58" t="s">
        <v>5494</v>
      </c>
      <c r="C1148" s="58" t="s">
        <v>5495</v>
      </c>
      <c r="D1148" s="7" t="s">
        <v>1759</v>
      </c>
      <c r="E1148" s="58" t="s">
        <v>5293</v>
      </c>
      <c r="F1148" s="58" t="s">
        <v>5496</v>
      </c>
      <c r="G1148" s="7" t="s">
        <v>5497</v>
      </c>
      <c r="H1148" s="7">
        <v>8.4900999E9</v>
      </c>
      <c r="I1148" s="7">
        <v>488.0</v>
      </c>
      <c r="J1148" s="60">
        <v>46184.0</v>
      </c>
      <c r="K1148" s="7" t="s">
        <v>668</v>
      </c>
      <c r="L1148" s="9" t="s">
        <v>49</v>
      </c>
      <c r="M1148" s="7" t="s">
        <v>27</v>
      </c>
      <c r="N1148" s="217" t="s">
        <v>28</v>
      </c>
      <c r="O1148" s="21">
        <v>6568.0</v>
      </c>
      <c r="P1148" s="21">
        <v>7750.0</v>
      </c>
      <c r="Q1148" s="6">
        <v>51.0</v>
      </c>
      <c r="R1148" s="12">
        <f t="shared" si="29"/>
        <v>3349.68</v>
      </c>
    </row>
    <row r="1149">
      <c r="A1149" s="14">
        <v>45849.0</v>
      </c>
      <c r="B1149" s="58" t="s">
        <v>5498</v>
      </c>
      <c r="C1149" s="58" t="s">
        <v>5499</v>
      </c>
      <c r="D1149" s="7" t="s">
        <v>1759</v>
      </c>
      <c r="E1149" s="58" t="s">
        <v>5500</v>
      </c>
      <c r="F1149" s="58" t="s">
        <v>5501</v>
      </c>
      <c r="G1149" s="7">
        <v>9.724677305E9</v>
      </c>
      <c r="H1149" s="7">
        <v>9.773029603E9</v>
      </c>
      <c r="I1149" s="7">
        <v>818.0</v>
      </c>
      <c r="J1149" s="60">
        <v>46184.0</v>
      </c>
      <c r="K1149" s="7" t="s">
        <v>5337</v>
      </c>
      <c r="L1149" s="9" t="s">
        <v>49</v>
      </c>
      <c r="M1149" s="7" t="s">
        <v>389</v>
      </c>
      <c r="N1149" s="217" t="s">
        <v>28</v>
      </c>
      <c r="O1149" s="96">
        <v>7140.0</v>
      </c>
      <c r="P1149" s="97">
        <v>8425.0</v>
      </c>
      <c r="Q1149" s="6">
        <v>25.0</v>
      </c>
      <c r="R1149" s="12">
        <f t="shared" si="29"/>
        <v>1785</v>
      </c>
    </row>
    <row r="1150">
      <c r="A1150" s="14">
        <v>45880.0</v>
      </c>
      <c r="B1150" s="58" t="s">
        <v>5502</v>
      </c>
      <c r="C1150" s="58" t="s">
        <v>5503</v>
      </c>
      <c r="D1150" s="7" t="s">
        <v>1759</v>
      </c>
      <c r="E1150" s="58" t="s">
        <v>1887</v>
      </c>
      <c r="F1150" s="58" t="s">
        <v>5504</v>
      </c>
      <c r="G1150" s="7">
        <v>9.638417745E9</v>
      </c>
      <c r="H1150" s="8"/>
      <c r="I1150" s="8"/>
      <c r="J1150" s="60">
        <v>46276.0</v>
      </c>
      <c r="K1150" s="7" t="s">
        <v>668</v>
      </c>
      <c r="L1150" s="9" t="s">
        <v>49</v>
      </c>
      <c r="M1150" s="7" t="s">
        <v>71</v>
      </c>
      <c r="N1150" s="217" t="s">
        <v>28</v>
      </c>
      <c r="O1150" s="21">
        <v>6326.0</v>
      </c>
      <c r="P1150" s="21">
        <v>7464.0</v>
      </c>
      <c r="Q1150" s="6">
        <v>51.0</v>
      </c>
      <c r="R1150" s="12">
        <f t="shared" si="29"/>
        <v>3226.26</v>
      </c>
    </row>
    <row r="1151">
      <c r="A1151" s="14">
        <v>45880.0</v>
      </c>
      <c r="B1151" s="58" t="s">
        <v>5505</v>
      </c>
      <c r="C1151" s="58" t="s">
        <v>5506</v>
      </c>
      <c r="D1151" s="7" t="s">
        <v>21</v>
      </c>
      <c r="E1151" s="58" t="s">
        <v>5507</v>
      </c>
      <c r="F1151" s="58" t="s">
        <v>5508</v>
      </c>
      <c r="G1151" s="7">
        <v>9.725036831E9</v>
      </c>
      <c r="H1151" s="7">
        <v>9.925361971E9</v>
      </c>
      <c r="I1151" s="7">
        <v>45000.0</v>
      </c>
      <c r="J1151" s="60">
        <v>46214.0</v>
      </c>
      <c r="K1151" s="7" t="s">
        <v>56</v>
      </c>
      <c r="L1151" s="9" t="s">
        <v>49</v>
      </c>
      <c r="M1151" s="7" t="s">
        <v>185</v>
      </c>
      <c r="N1151" s="217" t="s">
        <v>28</v>
      </c>
      <c r="O1151" s="21">
        <v>47189.0</v>
      </c>
      <c r="P1151" s="21">
        <v>49932.0</v>
      </c>
      <c r="Q1151" s="6">
        <v>28.0</v>
      </c>
      <c r="R1151" s="12">
        <f t="shared" si="29"/>
        <v>13212.92</v>
      </c>
    </row>
    <row r="1152">
      <c r="A1152" s="14">
        <v>45880.0</v>
      </c>
      <c r="B1152" s="58" t="s">
        <v>5509</v>
      </c>
      <c r="C1152" s="58" t="s">
        <v>5510</v>
      </c>
      <c r="D1152" s="7" t="s">
        <v>1759</v>
      </c>
      <c r="E1152" s="58" t="s">
        <v>1887</v>
      </c>
      <c r="F1152" s="58" t="s">
        <v>5511</v>
      </c>
      <c r="G1152" s="7">
        <v>6.353574101E9</v>
      </c>
      <c r="H1152" s="8"/>
      <c r="I1152" s="7">
        <v>818.0</v>
      </c>
      <c r="J1152" s="60">
        <v>46245.0</v>
      </c>
      <c r="K1152" s="7" t="s">
        <v>668</v>
      </c>
      <c r="L1152" s="9" t="s">
        <v>49</v>
      </c>
      <c r="M1152" s="7" t="s">
        <v>71</v>
      </c>
      <c r="N1152" s="217" t="s">
        <v>28</v>
      </c>
      <c r="O1152" s="21">
        <v>6328.0</v>
      </c>
      <c r="P1152" s="21">
        <v>7468.0</v>
      </c>
      <c r="Q1152" s="6">
        <v>51.0</v>
      </c>
      <c r="R1152" s="12">
        <f t="shared" si="29"/>
        <v>3227.28</v>
      </c>
    </row>
    <row r="1153">
      <c r="A1153" s="14">
        <v>45880.0</v>
      </c>
      <c r="B1153" s="58" t="s">
        <v>5512</v>
      </c>
      <c r="C1153" s="58" t="s">
        <v>5513</v>
      </c>
      <c r="D1153" s="7" t="s">
        <v>1759</v>
      </c>
      <c r="E1153" s="58" t="s">
        <v>5482</v>
      </c>
      <c r="F1153" s="58" t="s">
        <v>5514</v>
      </c>
      <c r="G1153" s="7">
        <v>9.316881096E9</v>
      </c>
      <c r="H1153" s="7">
        <v>9.712344656E9</v>
      </c>
      <c r="I1153" s="7">
        <v>751.0</v>
      </c>
      <c r="J1153" s="60">
        <v>46245.0</v>
      </c>
      <c r="K1153" s="7" t="s">
        <v>677</v>
      </c>
      <c r="L1153" s="9" t="s">
        <v>49</v>
      </c>
      <c r="M1153" s="7" t="s">
        <v>27</v>
      </c>
      <c r="N1153" s="217" t="s">
        <v>28</v>
      </c>
      <c r="O1153" s="21">
        <v>6083.0</v>
      </c>
      <c r="P1153" s="21">
        <v>7177.0</v>
      </c>
      <c r="Q1153" s="6">
        <v>61.0</v>
      </c>
      <c r="R1153" s="12">
        <f t="shared" si="29"/>
        <v>3710.63</v>
      </c>
    </row>
    <row r="1154">
      <c r="A1154" s="14">
        <v>45911.0</v>
      </c>
      <c r="B1154" s="58" t="s">
        <v>5515</v>
      </c>
      <c r="C1154" s="58" t="s">
        <v>5516</v>
      </c>
      <c r="D1154" s="7" t="s">
        <v>1759</v>
      </c>
      <c r="E1154" s="58" t="s">
        <v>5517</v>
      </c>
      <c r="F1154" s="58" t="s">
        <v>5518</v>
      </c>
      <c r="G1154" s="7">
        <v>6.353912079E9</v>
      </c>
      <c r="H1154" s="7">
        <v>9.537167808E9</v>
      </c>
      <c r="I1154" s="7">
        <v>717.0</v>
      </c>
      <c r="J1154" s="60">
        <v>46276.0</v>
      </c>
      <c r="K1154" s="7" t="s">
        <v>668</v>
      </c>
      <c r="L1154" s="9" t="s">
        <v>49</v>
      </c>
      <c r="M1154" s="7" t="s">
        <v>271</v>
      </c>
      <c r="N1154" s="217" t="s">
        <v>28</v>
      </c>
      <c r="O1154" s="21">
        <v>6636.0</v>
      </c>
      <c r="P1154" s="21">
        <v>7830.0</v>
      </c>
      <c r="Q1154" s="6">
        <v>51.0</v>
      </c>
      <c r="R1154" s="12">
        <f t="shared" si="29"/>
        <v>3384.36</v>
      </c>
    </row>
    <row r="1155">
      <c r="A1155" s="14">
        <v>45911.0</v>
      </c>
      <c r="B1155" s="58" t="s">
        <v>5519</v>
      </c>
      <c r="C1155" s="58" t="s">
        <v>5520</v>
      </c>
      <c r="D1155" s="81" t="s">
        <v>533</v>
      </c>
      <c r="E1155" s="58" t="s">
        <v>5521</v>
      </c>
      <c r="F1155" s="58" t="s">
        <v>5522</v>
      </c>
      <c r="G1155" s="7">
        <v>9.725036831E9</v>
      </c>
      <c r="H1155" s="7">
        <v>9.925361971E9</v>
      </c>
      <c r="I1155" s="7">
        <v>11335.0</v>
      </c>
      <c r="J1155" s="62" t="s">
        <v>5523</v>
      </c>
      <c r="K1155" s="7" t="s">
        <v>668</v>
      </c>
      <c r="L1155" s="9" t="s">
        <v>49</v>
      </c>
      <c r="M1155" s="7" t="s">
        <v>185</v>
      </c>
      <c r="N1155" s="217" t="s">
        <v>28</v>
      </c>
      <c r="O1155" s="21">
        <v>9088.0</v>
      </c>
      <c r="P1155" s="21">
        <v>10724.0</v>
      </c>
      <c r="Q1155" s="6">
        <v>35.0</v>
      </c>
      <c r="R1155" s="12">
        <f t="shared" si="29"/>
        <v>3180.8</v>
      </c>
    </row>
    <row r="1156">
      <c r="A1156" s="14">
        <v>45911.0</v>
      </c>
      <c r="B1156" s="58" t="s">
        <v>5524</v>
      </c>
      <c r="C1156" s="58" t="s">
        <v>5525</v>
      </c>
      <c r="D1156" s="81" t="s">
        <v>533</v>
      </c>
      <c r="E1156" s="58" t="s">
        <v>5526</v>
      </c>
      <c r="F1156" s="58" t="s">
        <v>5527</v>
      </c>
      <c r="G1156" s="7">
        <v>9.725036831E9</v>
      </c>
      <c r="H1156" s="7">
        <v>9.925361971E9</v>
      </c>
      <c r="I1156" s="7">
        <v>2940.0</v>
      </c>
      <c r="J1156" s="62" t="s">
        <v>5528</v>
      </c>
      <c r="K1156" s="7" t="s">
        <v>78</v>
      </c>
      <c r="L1156" s="9" t="s">
        <v>49</v>
      </c>
      <c r="M1156" s="7" t="s">
        <v>185</v>
      </c>
      <c r="N1156" s="217" t="s">
        <v>28</v>
      </c>
      <c r="O1156" s="97">
        <v>8189.4</v>
      </c>
      <c r="P1156" s="97">
        <v>9664.0</v>
      </c>
      <c r="Q1156" s="6">
        <v>55.0</v>
      </c>
      <c r="R1156" s="12">
        <f t="shared" si="29"/>
        <v>4504.17</v>
      </c>
    </row>
    <row r="1157">
      <c r="A1157" s="19">
        <v>45972.0</v>
      </c>
      <c r="B1157" s="58" t="s">
        <v>5529</v>
      </c>
      <c r="C1157" s="58" t="s">
        <v>5530</v>
      </c>
      <c r="D1157" s="7" t="s">
        <v>1759</v>
      </c>
      <c r="E1157" s="58" t="s">
        <v>1887</v>
      </c>
      <c r="F1157" s="58" t="s">
        <v>5531</v>
      </c>
      <c r="G1157" s="7">
        <v>8.160594939E9</v>
      </c>
      <c r="H1157" s="7">
        <v>8.780550396E9</v>
      </c>
      <c r="I1157" s="7">
        <v>818.0</v>
      </c>
      <c r="J1157" s="61">
        <v>46306.0</v>
      </c>
      <c r="K1157" s="7" t="s">
        <v>668</v>
      </c>
      <c r="L1157" s="9" t="s">
        <v>49</v>
      </c>
      <c r="M1157" s="7" t="s">
        <v>27</v>
      </c>
      <c r="N1157" s="217" t="s">
        <v>28</v>
      </c>
      <c r="O1157" s="21">
        <v>6482.0</v>
      </c>
      <c r="P1157" s="21">
        <v>7648.0</v>
      </c>
      <c r="Q1157" s="6">
        <v>51.0</v>
      </c>
      <c r="R1157" s="12">
        <f t="shared" si="29"/>
        <v>3305.82</v>
      </c>
    </row>
    <row r="1158">
      <c r="A1158" s="19">
        <v>45972.0</v>
      </c>
      <c r="B1158" s="58" t="s">
        <v>5532</v>
      </c>
      <c r="C1158" s="58" t="s">
        <v>5533</v>
      </c>
      <c r="D1158" s="7" t="s">
        <v>1759</v>
      </c>
      <c r="E1158" s="58" t="s">
        <v>1887</v>
      </c>
      <c r="F1158" s="58" t="s">
        <v>5534</v>
      </c>
      <c r="G1158" s="7">
        <v>6.35903697E9</v>
      </c>
      <c r="H1158" s="7">
        <v>9.06960419E9</v>
      </c>
      <c r="I1158" s="7">
        <v>818.0</v>
      </c>
      <c r="J1158" s="62" t="s">
        <v>5528</v>
      </c>
      <c r="K1158" s="7" t="s">
        <v>668</v>
      </c>
      <c r="L1158" s="9" t="s">
        <v>49</v>
      </c>
      <c r="M1158" s="7" t="s">
        <v>151</v>
      </c>
      <c r="N1158" s="217" t="s">
        <v>28</v>
      </c>
      <c r="O1158" s="21">
        <v>6443.0</v>
      </c>
      <c r="P1158" s="21">
        <v>7603.0</v>
      </c>
      <c r="Q1158" s="6">
        <v>51.0</v>
      </c>
      <c r="R1158" s="12">
        <f t="shared" si="29"/>
        <v>3285.93</v>
      </c>
    </row>
    <row r="1159">
      <c r="A1159" s="19">
        <v>45972.0</v>
      </c>
      <c r="B1159" s="58" t="s">
        <v>5535</v>
      </c>
      <c r="C1159" s="58" t="s">
        <v>5536</v>
      </c>
      <c r="D1159" s="7" t="s">
        <v>1759</v>
      </c>
      <c r="E1159" s="58" t="s">
        <v>1887</v>
      </c>
      <c r="F1159" s="58" t="s">
        <v>5537</v>
      </c>
      <c r="G1159" s="7">
        <v>7.984756387E9</v>
      </c>
      <c r="H1159" s="7">
        <v>9.925839475E9</v>
      </c>
      <c r="I1159" s="7">
        <v>818.0</v>
      </c>
      <c r="J1159" s="61">
        <v>46306.0</v>
      </c>
      <c r="K1159" s="7" t="s">
        <v>668</v>
      </c>
      <c r="L1159" s="9" t="s">
        <v>49</v>
      </c>
      <c r="M1159" s="7" t="s">
        <v>27</v>
      </c>
      <c r="N1159" s="217" t="s">
        <v>28</v>
      </c>
      <c r="O1159" s="21">
        <v>6540.0</v>
      </c>
      <c r="P1159" s="21">
        <v>7718.0</v>
      </c>
      <c r="Q1159" s="6">
        <v>51.0</v>
      </c>
      <c r="R1159" s="12">
        <f t="shared" si="29"/>
        <v>3335.4</v>
      </c>
    </row>
    <row r="1160">
      <c r="A1160" s="19">
        <v>45972.0</v>
      </c>
      <c r="B1160" s="58" t="s">
        <v>5538</v>
      </c>
      <c r="C1160" s="58" t="s">
        <v>5539</v>
      </c>
      <c r="D1160" s="7" t="s">
        <v>44</v>
      </c>
      <c r="E1160" s="58" t="s">
        <v>1131</v>
      </c>
      <c r="F1160" s="58" t="s">
        <v>5540</v>
      </c>
      <c r="G1160" s="7">
        <v>7.990375476E9</v>
      </c>
      <c r="H1160" s="8"/>
      <c r="I1160" s="7">
        <v>2735.0</v>
      </c>
      <c r="J1160" s="60">
        <v>46276.0</v>
      </c>
      <c r="K1160" s="7" t="s">
        <v>116</v>
      </c>
      <c r="L1160" s="9" t="s">
        <v>49</v>
      </c>
      <c r="M1160" s="7" t="s">
        <v>71</v>
      </c>
      <c r="N1160" s="217" t="s">
        <v>28</v>
      </c>
      <c r="O1160" s="97">
        <v>19295.0</v>
      </c>
      <c r="P1160" s="97">
        <v>20671.0</v>
      </c>
      <c r="Q1160" s="6">
        <v>54.0</v>
      </c>
      <c r="R1160" s="12">
        <f t="shared" si="29"/>
        <v>10419.3</v>
      </c>
    </row>
    <row r="1161">
      <c r="A1161" s="19">
        <v>45972.0</v>
      </c>
      <c r="B1161" s="58" t="s">
        <v>5541</v>
      </c>
      <c r="C1161" s="58" t="s">
        <v>5542</v>
      </c>
      <c r="D1161" s="7" t="s">
        <v>93</v>
      </c>
      <c r="E1161" s="140" t="s">
        <v>5543</v>
      </c>
      <c r="F1161" s="140" t="s">
        <v>5544</v>
      </c>
      <c r="G1161" s="7">
        <v>8.758777865E9</v>
      </c>
      <c r="H1161" s="8"/>
      <c r="I1161" s="7">
        <v>11220.0</v>
      </c>
      <c r="J1161" s="61">
        <v>46306.0</v>
      </c>
      <c r="K1161" s="7" t="s">
        <v>1424</v>
      </c>
      <c r="L1161" s="9" t="s">
        <v>49</v>
      </c>
      <c r="M1161" s="7" t="s">
        <v>71</v>
      </c>
      <c r="N1161" s="217" t="s">
        <v>28</v>
      </c>
      <c r="O1161" s="21">
        <v>32483.0</v>
      </c>
      <c r="P1161" s="21">
        <v>34797.0</v>
      </c>
      <c r="Q1161" s="6">
        <v>20.0</v>
      </c>
      <c r="R1161" s="12">
        <f t="shared" si="29"/>
        <v>6496.6</v>
      </c>
    </row>
    <row r="1162">
      <c r="A1162" s="19">
        <v>46002.0</v>
      </c>
      <c r="B1162" s="58" t="s">
        <v>5545</v>
      </c>
      <c r="C1162" s="58" t="s">
        <v>5546</v>
      </c>
      <c r="D1162" s="7" t="s">
        <v>93</v>
      </c>
      <c r="E1162" s="58" t="s">
        <v>817</v>
      </c>
      <c r="F1162" s="58" t="s">
        <v>5547</v>
      </c>
      <c r="G1162" s="7">
        <v>8.758870374E9</v>
      </c>
      <c r="H1162" s="7">
        <v>9.023391091E9</v>
      </c>
      <c r="I1162" s="7">
        <v>11990.0</v>
      </c>
      <c r="J1162" s="61">
        <v>46306.0</v>
      </c>
      <c r="K1162" s="7" t="s">
        <v>25</v>
      </c>
      <c r="L1162" s="9" t="s">
        <v>49</v>
      </c>
      <c r="M1162" s="7" t="s">
        <v>27</v>
      </c>
      <c r="N1162" s="217" t="s">
        <v>28</v>
      </c>
      <c r="O1162" s="97">
        <v>43718.0</v>
      </c>
      <c r="P1162" s="97">
        <v>48053.0</v>
      </c>
      <c r="Q1162" s="6">
        <v>30.0</v>
      </c>
      <c r="R1162" s="12">
        <f t="shared" si="29"/>
        <v>13115.4</v>
      </c>
    </row>
    <row r="1163">
      <c r="A1163" s="19">
        <v>46002.0</v>
      </c>
      <c r="B1163" s="58" t="s">
        <v>5548</v>
      </c>
      <c r="C1163" s="58" t="s">
        <v>5549</v>
      </c>
      <c r="D1163" s="7" t="s">
        <v>1759</v>
      </c>
      <c r="E1163" s="58" t="s">
        <v>5482</v>
      </c>
      <c r="F1163" s="58" t="s">
        <v>5550</v>
      </c>
      <c r="G1163" s="7">
        <v>9.725864111E9</v>
      </c>
      <c r="H1163" s="7">
        <v>9.809812317E9</v>
      </c>
      <c r="I1163" s="7">
        <v>806.0</v>
      </c>
      <c r="J1163" s="61">
        <v>46367.0</v>
      </c>
      <c r="K1163" s="7" t="s">
        <v>677</v>
      </c>
      <c r="L1163" s="9" t="s">
        <v>49</v>
      </c>
      <c r="M1163" s="7" t="s">
        <v>27</v>
      </c>
      <c r="N1163" s="217" t="s">
        <v>28</v>
      </c>
      <c r="O1163" s="21">
        <v>6208.29</v>
      </c>
      <c r="P1163" s="21">
        <v>7325.79</v>
      </c>
      <c r="Q1163" s="6">
        <v>61.0</v>
      </c>
      <c r="R1163" s="12">
        <f t="shared" si="29"/>
        <v>3787.0569</v>
      </c>
    </row>
    <row r="1164">
      <c r="A1164" s="7" t="s">
        <v>5551</v>
      </c>
      <c r="B1164" s="58" t="s">
        <v>5552</v>
      </c>
      <c r="C1164" s="58" t="s">
        <v>5553</v>
      </c>
      <c r="D1164" s="7" t="s">
        <v>1759</v>
      </c>
      <c r="E1164" s="58" t="s">
        <v>5482</v>
      </c>
      <c r="F1164" s="58" t="s">
        <v>5554</v>
      </c>
      <c r="G1164" s="7">
        <v>9.0998391E9</v>
      </c>
      <c r="H1164" s="8"/>
      <c r="I1164" s="7">
        <v>805.0</v>
      </c>
      <c r="J1164" s="7" t="s">
        <v>5555</v>
      </c>
      <c r="K1164" s="7" t="s">
        <v>677</v>
      </c>
      <c r="L1164" s="9" t="s">
        <v>49</v>
      </c>
      <c r="M1164" s="7" t="s">
        <v>27</v>
      </c>
      <c r="N1164" s="217" t="s">
        <v>28</v>
      </c>
      <c r="O1164" s="21">
        <v>6206.26</v>
      </c>
      <c r="P1164" s="21">
        <v>7323.38</v>
      </c>
      <c r="Q1164" s="6">
        <v>61.0</v>
      </c>
      <c r="R1164" s="12">
        <f t="shared" si="29"/>
        <v>3785.8186</v>
      </c>
    </row>
    <row r="1165">
      <c r="A1165" s="7" t="s">
        <v>5551</v>
      </c>
      <c r="B1165" s="58" t="s">
        <v>5556</v>
      </c>
      <c r="C1165" s="58" t="s">
        <v>5557</v>
      </c>
      <c r="D1165" s="7" t="s">
        <v>1759</v>
      </c>
      <c r="E1165" s="58" t="s">
        <v>1887</v>
      </c>
      <c r="F1165" s="58" t="s">
        <v>5558</v>
      </c>
      <c r="G1165" s="7">
        <v>9.879997473E9</v>
      </c>
      <c r="H1165" s="7">
        <v>7.043570788E9</v>
      </c>
      <c r="I1165" s="7">
        <v>818.0</v>
      </c>
      <c r="J1165" s="61">
        <v>46367.0</v>
      </c>
      <c r="K1165" s="7" t="s">
        <v>668</v>
      </c>
      <c r="L1165" s="9" t="s">
        <v>49</v>
      </c>
      <c r="M1165" s="7" t="s">
        <v>71</v>
      </c>
      <c r="N1165" s="217" t="s">
        <v>28</v>
      </c>
      <c r="O1165" s="21">
        <v>6384.0</v>
      </c>
      <c r="P1165" s="21">
        <v>7534.0</v>
      </c>
      <c r="Q1165" s="6">
        <v>51.0</v>
      </c>
      <c r="R1165" s="12">
        <f t="shared" si="29"/>
        <v>3255.84</v>
      </c>
    </row>
    <row r="1166">
      <c r="A1166" s="7" t="s">
        <v>5559</v>
      </c>
      <c r="B1166" s="58" t="s">
        <v>5560</v>
      </c>
      <c r="C1166" s="58" t="s">
        <v>5561</v>
      </c>
      <c r="D1166" s="7" t="s">
        <v>1759</v>
      </c>
      <c r="E1166" s="58" t="s">
        <v>1887</v>
      </c>
      <c r="F1166" s="58" t="s">
        <v>5562</v>
      </c>
      <c r="G1166" s="7" t="s">
        <v>5563</v>
      </c>
      <c r="H1166" s="7">
        <v>8.140007495E9</v>
      </c>
      <c r="I1166" s="7">
        <v>818.0</v>
      </c>
      <c r="J1166" s="62" t="s">
        <v>5555</v>
      </c>
      <c r="K1166" s="7" t="s">
        <v>668</v>
      </c>
      <c r="L1166" s="9" t="s">
        <v>49</v>
      </c>
      <c r="M1166" s="7" t="s">
        <v>96</v>
      </c>
      <c r="N1166" s="217" t="s">
        <v>28</v>
      </c>
      <c r="O1166" s="21">
        <v>6339.0</v>
      </c>
      <c r="P1166" s="21">
        <v>7481.0</v>
      </c>
      <c r="Q1166" s="6">
        <v>51.0</v>
      </c>
      <c r="R1166" s="12">
        <f t="shared" si="29"/>
        <v>3232.89</v>
      </c>
    </row>
    <row r="1167">
      <c r="A1167" s="7" t="s">
        <v>5559</v>
      </c>
      <c r="B1167" s="58" t="s">
        <v>5564</v>
      </c>
      <c r="C1167" s="58" t="s">
        <v>5565</v>
      </c>
      <c r="D1167" s="7" t="s">
        <v>75</v>
      </c>
      <c r="E1167" s="58" t="s">
        <v>5566</v>
      </c>
      <c r="F1167" s="58" t="s">
        <v>5567</v>
      </c>
      <c r="G1167" s="7">
        <v>9.825450751E9</v>
      </c>
      <c r="H1167" s="7">
        <v>7.990930303E9</v>
      </c>
      <c r="I1167" s="7">
        <v>995.0</v>
      </c>
      <c r="J1167" s="62" t="s">
        <v>5555</v>
      </c>
      <c r="K1167" s="7" t="s">
        <v>41</v>
      </c>
      <c r="L1167" s="9" t="s">
        <v>49</v>
      </c>
      <c r="M1167" s="7" t="s">
        <v>71</v>
      </c>
      <c r="N1167" s="217" t="s">
        <v>28</v>
      </c>
      <c r="O1167" s="97">
        <v>5207.0</v>
      </c>
      <c r="P1167" s="97">
        <v>5553.0</v>
      </c>
      <c r="Q1167" s="6">
        <v>52.5</v>
      </c>
      <c r="R1167" s="12">
        <f t="shared" si="29"/>
        <v>2733.675</v>
      </c>
    </row>
    <row r="1168">
      <c r="A1168" s="7" t="s">
        <v>5568</v>
      </c>
      <c r="B1168" s="58" t="s">
        <v>5569</v>
      </c>
      <c r="C1168" s="58" t="s">
        <v>5570</v>
      </c>
      <c r="D1168" s="7" t="s">
        <v>1759</v>
      </c>
      <c r="E1168" s="58" t="s">
        <v>1887</v>
      </c>
      <c r="F1168" s="58" t="s">
        <v>5571</v>
      </c>
      <c r="G1168" s="7">
        <v>8.79966487E9</v>
      </c>
      <c r="H1168" s="7">
        <v>8.98066487E9</v>
      </c>
      <c r="I1168" s="7">
        <v>818.0</v>
      </c>
      <c r="J1168" s="62" t="s">
        <v>5572</v>
      </c>
      <c r="K1168" s="7" t="s">
        <v>668</v>
      </c>
      <c r="L1168" s="9" t="s">
        <v>49</v>
      </c>
      <c r="M1168" s="7" t="s">
        <v>71</v>
      </c>
      <c r="N1168" s="217" t="s">
        <v>28</v>
      </c>
      <c r="O1168" s="21">
        <v>6345.0</v>
      </c>
      <c r="P1168" s="21">
        <v>7487.0</v>
      </c>
      <c r="Q1168" s="6">
        <v>51.0</v>
      </c>
      <c r="R1168" s="12">
        <f t="shared" si="29"/>
        <v>3235.95</v>
      </c>
    </row>
    <row r="1169">
      <c r="A1169" s="7" t="s">
        <v>5573</v>
      </c>
      <c r="B1169" s="58" t="s">
        <v>5574</v>
      </c>
      <c r="C1169" s="58" t="s">
        <v>5575</v>
      </c>
      <c r="D1169" s="7" t="s">
        <v>75</v>
      </c>
      <c r="E1169" s="58" t="s">
        <v>334</v>
      </c>
      <c r="F1169" s="58" t="s">
        <v>5576</v>
      </c>
      <c r="G1169" s="7">
        <v>9.328635924E9</v>
      </c>
      <c r="H1169" s="7">
        <v>8.140804856E9</v>
      </c>
      <c r="I1169" s="7">
        <v>995.0</v>
      </c>
      <c r="J1169" s="62" t="s">
        <v>5577</v>
      </c>
      <c r="K1169" s="7" t="s">
        <v>41</v>
      </c>
      <c r="L1169" s="9" t="s">
        <v>49</v>
      </c>
      <c r="M1169" s="7" t="s">
        <v>71</v>
      </c>
      <c r="N1169" s="217" t="s">
        <v>28</v>
      </c>
      <c r="O1169" s="96">
        <v>5193.0</v>
      </c>
      <c r="P1169" s="97">
        <v>5543.0</v>
      </c>
      <c r="Q1169" s="6">
        <v>52.5</v>
      </c>
      <c r="R1169" s="12">
        <f t="shared" si="29"/>
        <v>2726.325</v>
      </c>
    </row>
    <row r="1170">
      <c r="A1170" s="7" t="s">
        <v>5573</v>
      </c>
      <c r="B1170" s="58" t="s">
        <v>5578</v>
      </c>
      <c r="C1170" s="58" t="s">
        <v>5579</v>
      </c>
      <c r="D1170" s="7" t="s">
        <v>1759</v>
      </c>
      <c r="E1170" s="58" t="s">
        <v>1887</v>
      </c>
      <c r="F1170" s="58" t="s">
        <v>5580</v>
      </c>
      <c r="G1170" s="7">
        <v>9.726564768E9</v>
      </c>
      <c r="H1170" s="7">
        <v>7.621892414E9</v>
      </c>
      <c r="I1170" s="7">
        <v>818.0</v>
      </c>
      <c r="J1170" s="62" t="s">
        <v>5581</v>
      </c>
      <c r="K1170" s="7" t="s">
        <v>668</v>
      </c>
      <c r="L1170" s="9" t="s">
        <v>49</v>
      </c>
      <c r="M1170" s="7" t="s">
        <v>27</v>
      </c>
      <c r="N1170" s="217" t="s">
        <v>28</v>
      </c>
      <c r="O1170" s="21">
        <v>6568.0</v>
      </c>
      <c r="P1170" s="21">
        <v>7750.0</v>
      </c>
      <c r="Q1170" s="6">
        <v>51.0</v>
      </c>
      <c r="R1170" s="12">
        <f t="shared" si="29"/>
        <v>3349.68</v>
      </c>
    </row>
    <row r="1171">
      <c r="A1171" s="7" t="s">
        <v>5582</v>
      </c>
      <c r="B1171" s="58" t="s">
        <v>5583</v>
      </c>
      <c r="C1171" s="58" t="s">
        <v>5584</v>
      </c>
      <c r="D1171" s="7" t="s">
        <v>1759</v>
      </c>
      <c r="E1171" s="58" t="s">
        <v>1887</v>
      </c>
      <c r="F1171" s="58" t="s">
        <v>5585</v>
      </c>
      <c r="G1171" s="7">
        <v>7.622095866E9</v>
      </c>
      <c r="H1171" s="7">
        <v>9.925260113E9</v>
      </c>
      <c r="I1171" s="7">
        <v>818.0</v>
      </c>
      <c r="J1171" s="62" t="s">
        <v>5586</v>
      </c>
      <c r="K1171" s="7" t="s">
        <v>668</v>
      </c>
      <c r="L1171" s="9" t="s">
        <v>49</v>
      </c>
      <c r="M1171" s="7" t="s">
        <v>71</v>
      </c>
      <c r="N1171" s="217" t="s">
        <v>28</v>
      </c>
      <c r="O1171" s="21">
        <v>6923.0</v>
      </c>
      <c r="P1171" s="21">
        <v>8169.0</v>
      </c>
      <c r="Q1171" s="6">
        <v>51.0</v>
      </c>
      <c r="R1171" s="12">
        <f t="shared" si="29"/>
        <v>3530.73</v>
      </c>
    </row>
    <row r="1172">
      <c r="A1172" s="13" t="s">
        <v>5582</v>
      </c>
      <c r="B1172" s="58" t="s">
        <v>5587</v>
      </c>
      <c r="C1172" s="58" t="s">
        <v>5588</v>
      </c>
      <c r="D1172" s="7" t="s">
        <v>93</v>
      </c>
      <c r="E1172" s="58" t="s">
        <v>3737</v>
      </c>
      <c r="F1172" s="58" t="s">
        <v>5589</v>
      </c>
      <c r="G1172" s="7">
        <v>9.979441515E9</v>
      </c>
      <c r="H1172" s="8"/>
      <c r="I1172" s="7">
        <v>11990.0</v>
      </c>
      <c r="J1172" s="62" t="s">
        <v>5590</v>
      </c>
      <c r="K1172" s="7" t="s">
        <v>668</v>
      </c>
      <c r="L1172" s="9" t="s">
        <v>26</v>
      </c>
      <c r="M1172" s="7" t="s">
        <v>185</v>
      </c>
      <c r="N1172" s="217" t="s">
        <v>28</v>
      </c>
      <c r="O1172" s="21">
        <v>27186.0</v>
      </c>
      <c r="P1172" s="21">
        <v>28546.0</v>
      </c>
      <c r="Q1172" s="6">
        <v>35.0</v>
      </c>
      <c r="R1172" s="12">
        <f t="shared" si="29"/>
        <v>9515.1</v>
      </c>
    </row>
    <row r="1173">
      <c r="A1173" s="7" t="s">
        <v>5582</v>
      </c>
      <c r="B1173" s="58" t="s">
        <v>5591</v>
      </c>
      <c r="C1173" s="58" t="s">
        <v>5592</v>
      </c>
      <c r="D1173" s="7" t="s">
        <v>75</v>
      </c>
      <c r="E1173" s="58" t="s">
        <v>5593</v>
      </c>
      <c r="F1173" s="58" t="s">
        <v>5594</v>
      </c>
      <c r="G1173" s="7">
        <v>9.879829448E9</v>
      </c>
      <c r="H1173" s="7">
        <v>9.724613304E9</v>
      </c>
      <c r="I1173" s="7">
        <v>757.0</v>
      </c>
      <c r="J1173" s="62" t="s">
        <v>5590</v>
      </c>
      <c r="K1173" s="7" t="s">
        <v>668</v>
      </c>
      <c r="L1173" s="9" t="s">
        <v>49</v>
      </c>
      <c r="M1173" s="7" t="s">
        <v>27</v>
      </c>
      <c r="N1173" s="217" t="s">
        <v>28</v>
      </c>
      <c r="O1173" s="21">
        <v>4254.0</v>
      </c>
      <c r="P1173" s="21">
        <v>4612.0</v>
      </c>
      <c r="Q1173" s="6">
        <v>58.0</v>
      </c>
      <c r="R1173" s="12">
        <f t="shared" si="29"/>
        <v>2467.32</v>
      </c>
    </row>
    <row r="1174">
      <c r="A1174" s="7" t="s">
        <v>5582</v>
      </c>
      <c r="B1174" s="58" t="s">
        <v>5595</v>
      </c>
      <c r="C1174" s="58" t="s">
        <v>5596</v>
      </c>
      <c r="D1174" s="7" t="s">
        <v>75</v>
      </c>
      <c r="E1174" s="58" t="s">
        <v>225</v>
      </c>
      <c r="F1174" s="58" t="s">
        <v>5597</v>
      </c>
      <c r="G1174" s="7">
        <v>8.200595965E9</v>
      </c>
      <c r="H1174" s="7">
        <v>9.727520842E9</v>
      </c>
      <c r="I1174" s="7">
        <v>995.0</v>
      </c>
      <c r="J1174" s="62" t="s">
        <v>5598</v>
      </c>
      <c r="K1174" s="7" t="s">
        <v>41</v>
      </c>
      <c r="L1174" s="9" t="s">
        <v>49</v>
      </c>
      <c r="M1174" s="7" t="s">
        <v>4961</v>
      </c>
      <c r="N1174" s="217" t="s">
        <v>28</v>
      </c>
      <c r="O1174" s="96">
        <v>5987.0</v>
      </c>
      <c r="P1174" s="96">
        <v>6473.0</v>
      </c>
      <c r="Q1174" s="6">
        <v>52.5</v>
      </c>
      <c r="R1174" s="12">
        <f t="shared" si="29"/>
        <v>3143.175</v>
      </c>
    </row>
    <row r="1175">
      <c r="A1175" s="7" t="s">
        <v>5599</v>
      </c>
      <c r="B1175" s="58" t="s">
        <v>5600</v>
      </c>
      <c r="C1175" s="58" t="s">
        <v>5601</v>
      </c>
      <c r="D1175" s="7" t="s">
        <v>1759</v>
      </c>
      <c r="E1175" s="58" t="s">
        <v>1887</v>
      </c>
      <c r="F1175" s="58" t="s">
        <v>5602</v>
      </c>
      <c r="G1175" s="7">
        <v>9.054486747E9</v>
      </c>
      <c r="H1175" s="7">
        <v>9.537217935E9</v>
      </c>
      <c r="I1175" s="7">
        <v>818.0</v>
      </c>
      <c r="J1175" s="62" t="s">
        <v>5590</v>
      </c>
      <c r="K1175" s="7" t="s">
        <v>668</v>
      </c>
      <c r="L1175" s="9" t="s">
        <v>49</v>
      </c>
      <c r="M1175" s="7" t="s">
        <v>27</v>
      </c>
      <c r="N1175" s="217" t="s">
        <v>28</v>
      </c>
      <c r="O1175" s="21">
        <v>6568.0</v>
      </c>
      <c r="P1175" s="21">
        <v>7750.0</v>
      </c>
      <c r="Q1175" s="6">
        <v>51.0</v>
      </c>
      <c r="R1175" s="12">
        <f t="shared" si="29"/>
        <v>3349.68</v>
      </c>
    </row>
    <row r="1176">
      <c r="A1176" s="7" t="s">
        <v>5603</v>
      </c>
      <c r="B1176" s="58" t="s">
        <v>5604</v>
      </c>
      <c r="C1176" s="58" t="s">
        <v>5605</v>
      </c>
      <c r="D1176" s="7" t="s">
        <v>1759</v>
      </c>
      <c r="E1176" s="58" t="s">
        <v>1887</v>
      </c>
      <c r="F1176" s="58" t="s">
        <v>5606</v>
      </c>
      <c r="G1176" s="7">
        <v>9.510031734E9</v>
      </c>
      <c r="H1176" s="7">
        <v>9.72364933E9</v>
      </c>
      <c r="I1176" s="7">
        <v>818.0</v>
      </c>
      <c r="J1176" s="62" t="s">
        <v>5607</v>
      </c>
      <c r="K1176" s="7" t="s">
        <v>668</v>
      </c>
      <c r="L1176" s="9" t="s">
        <v>49</v>
      </c>
      <c r="M1176" s="7" t="s">
        <v>71</v>
      </c>
      <c r="N1176" s="217" t="s">
        <v>28</v>
      </c>
      <c r="O1176" s="21">
        <v>6362.0</v>
      </c>
      <c r="P1176" s="21">
        <v>7508.0</v>
      </c>
      <c r="Q1176" s="6">
        <v>51.0</v>
      </c>
      <c r="R1176" s="12">
        <f t="shared" si="29"/>
        <v>3244.62</v>
      </c>
    </row>
    <row r="1177">
      <c r="A1177" s="7" t="s">
        <v>5603</v>
      </c>
      <c r="B1177" s="58" t="s">
        <v>5608</v>
      </c>
      <c r="C1177" s="58" t="s">
        <v>5609</v>
      </c>
      <c r="D1177" s="7" t="s">
        <v>1759</v>
      </c>
      <c r="E1177" s="58" t="s">
        <v>1887</v>
      </c>
      <c r="F1177" s="58" t="s">
        <v>5610</v>
      </c>
      <c r="G1177" s="7">
        <v>9.106012504E9</v>
      </c>
      <c r="H1177" s="8"/>
      <c r="I1177" s="7">
        <v>818.0</v>
      </c>
      <c r="J1177" s="62" t="s">
        <v>5607</v>
      </c>
      <c r="K1177" s="7" t="s">
        <v>668</v>
      </c>
      <c r="L1177" s="9" t="s">
        <v>49</v>
      </c>
      <c r="M1177" s="7" t="s">
        <v>185</v>
      </c>
      <c r="N1177" s="217" t="s">
        <v>28</v>
      </c>
      <c r="O1177" s="21">
        <v>6602.0</v>
      </c>
      <c r="P1177" s="21">
        <v>7790.0</v>
      </c>
      <c r="Q1177" s="6">
        <v>51.0</v>
      </c>
      <c r="R1177" s="12">
        <f t="shared" si="29"/>
        <v>3367.02</v>
      </c>
    </row>
    <row r="1178">
      <c r="A1178" s="7" t="s">
        <v>5603</v>
      </c>
      <c r="B1178" s="58" t="s">
        <v>5611</v>
      </c>
      <c r="C1178" s="58" t="s">
        <v>5612</v>
      </c>
      <c r="D1178" s="7" t="s">
        <v>75</v>
      </c>
      <c r="E1178" s="58" t="s">
        <v>225</v>
      </c>
      <c r="F1178" s="58" t="s">
        <v>5613</v>
      </c>
      <c r="G1178" s="7">
        <v>9.586545772E9</v>
      </c>
      <c r="H1178" s="8"/>
      <c r="I1178" s="7">
        <v>995.0</v>
      </c>
      <c r="J1178" s="7" t="s">
        <v>5614</v>
      </c>
      <c r="K1178" s="7" t="s">
        <v>41</v>
      </c>
      <c r="L1178" s="9" t="s">
        <v>49</v>
      </c>
      <c r="M1178" s="7" t="s">
        <v>71</v>
      </c>
      <c r="N1178" s="217" t="s">
        <v>28</v>
      </c>
      <c r="O1178" s="96">
        <v>5178.0</v>
      </c>
      <c r="P1178" s="96">
        <v>5518.0</v>
      </c>
      <c r="Q1178" s="6">
        <v>52.5</v>
      </c>
      <c r="R1178" s="12">
        <f t="shared" si="29"/>
        <v>2718.45</v>
      </c>
    </row>
    <row r="1179">
      <c r="A1179" s="7" t="s">
        <v>5603</v>
      </c>
      <c r="B1179" s="58" t="s">
        <v>5615</v>
      </c>
      <c r="C1179" s="58" t="s">
        <v>5616</v>
      </c>
      <c r="D1179" s="7" t="s">
        <v>966</v>
      </c>
      <c r="E1179" s="58" t="s">
        <v>5617</v>
      </c>
      <c r="F1179" s="58" t="s">
        <v>5618</v>
      </c>
      <c r="G1179" s="7" t="s">
        <v>5619</v>
      </c>
      <c r="H1179" s="8"/>
      <c r="I1179" s="7">
        <v>1197.0</v>
      </c>
      <c r="J1179" s="62" t="s">
        <v>5620</v>
      </c>
      <c r="K1179" s="7" t="s">
        <v>56</v>
      </c>
      <c r="L1179" s="9" t="s">
        <v>5621</v>
      </c>
      <c r="M1179" s="7" t="s">
        <v>27</v>
      </c>
      <c r="N1179" s="217" t="s">
        <v>28</v>
      </c>
      <c r="O1179" s="96">
        <v>9401.0</v>
      </c>
      <c r="P1179" s="96">
        <v>11093.0</v>
      </c>
      <c r="Q1179" s="6">
        <v>20.0</v>
      </c>
      <c r="R1179" s="12">
        <f t="shared" si="29"/>
        <v>1880.2</v>
      </c>
    </row>
    <row r="1180">
      <c r="A1180" s="7" t="s">
        <v>5622</v>
      </c>
      <c r="B1180" s="58" t="s">
        <v>5623</v>
      </c>
      <c r="C1180" s="58" t="s">
        <v>5624</v>
      </c>
      <c r="D1180" s="7" t="s">
        <v>21</v>
      </c>
      <c r="E1180" s="58" t="s">
        <v>5625</v>
      </c>
      <c r="F1180" s="58" t="s">
        <v>270</v>
      </c>
      <c r="G1180" s="7">
        <v>8.329666175E9</v>
      </c>
      <c r="H1180" s="8"/>
      <c r="I1180" s="20">
        <v>45000.0</v>
      </c>
      <c r="J1180" s="62" t="s">
        <v>5577</v>
      </c>
      <c r="K1180" s="7" t="s">
        <v>56</v>
      </c>
      <c r="L1180" s="9" t="s">
        <v>49</v>
      </c>
      <c r="M1180" s="7" t="s">
        <v>271</v>
      </c>
      <c r="N1180" s="217" t="s">
        <v>28</v>
      </c>
      <c r="O1180" s="21">
        <v>46990.0</v>
      </c>
      <c r="P1180" s="21">
        <v>49697.0</v>
      </c>
      <c r="Q1180" s="6">
        <v>24.0</v>
      </c>
      <c r="R1180" s="12">
        <f t="shared" si="29"/>
        <v>11277.6</v>
      </c>
    </row>
    <row r="1181">
      <c r="A1181" s="7" t="s">
        <v>5622</v>
      </c>
      <c r="B1181" s="58" t="s">
        <v>5626</v>
      </c>
      <c r="C1181" s="58" t="s">
        <v>5627</v>
      </c>
      <c r="D1181" s="7" t="s">
        <v>1759</v>
      </c>
      <c r="E1181" s="58" t="s">
        <v>5293</v>
      </c>
      <c r="F1181" s="58" t="s">
        <v>5628</v>
      </c>
      <c r="G1181" s="7">
        <v>9.099081072E9</v>
      </c>
      <c r="H1181" s="7">
        <v>7.600585405E9</v>
      </c>
      <c r="I1181" s="7">
        <v>818.0</v>
      </c>
      <c r="J1181" s="62" t="s">
        <v>5629</v>
      </c>
      <c r="K1181" s="7" t="s">
        <v>668</v>
      </c>
      <c r="L1181" s="9" t="s">
        <v>49</v>
      </c>
      <c r="M1181" s="7" t="s">
        <v>71</v>
      </c>
      <c r="N1181" s="217" t="s">
        <v>28</v>
      </c>
      <c r="O1181" s="21">
        <v>6339.0</v>
      </c>
      <c r="P1181" s="21">
        <v>7481.0</v>
      </c>
      <c r="Q1181" s="6">
        <v>51.0</v>
      </c>
      <c r="R1181" s="12">
        <f t="shared" si="29"/>
        <v>3232.89</v>
      </c>
    </row>
    <row r="1182">
      <c r="A1182" s="7" t="s">
        <v>5622</v>
      </c>
      <c r="B1182" s="58" t="s">
        <v>5630</v>
      </c>
      <c r="C1182" s="58" t="s">
        <v>5631</v>
      </c>
      <c r="D1182" s="7" t="s">
        <v>75</v>
      </c>
      <c r="E1182" s="58" t="s">
        <v>225</v>
      </c>
      <c r="F1182" s="58" t="s">
        <v>5632</v>
      </c>
      <c r="G1182" s="7">
        <v>9.978278186E9</v>
      </c>
      <c r="H1182" s="8"/>
      <c r="I1182" s="7">
        <v>995.0</v>
      </c>
      <c r="J1182" s="62" t="s">
        <v>5586</v>
      </c>
      <c r="K1182" s="7" t="s">
        <v>41</v>
      </c>
      <c r="L1182" s="9" t="s">
        <v>49</v>
      </c>
      <c r="M1182" s="7" t="s">
        <v>71</v>
      </c>
      <c r="N1182" s="217" t="s">
        <v>28</v>
      </c>
      <c r="O1182" s="96">
        <v>5295.0</v>
      </c>
      <c r="P1182" s="96">
        <v>5657.0</v>
      </c>
      <c r="Q1182" s="6">
        <v>52.5</v>
      </c>
      <c r="R1182" s="12">
        <f t="shared" si="29"/>
        <v>2779.875</v>
      </c>
    </row>
    <row r="1183">
      <c r="A1183" s="7" t="s">
        <v>5622</v>
      </c>
      <c r="B1183" s="58" t="s">
        <v>5633</v>
      </c>
      <c r="C1183" s="58" t="s">
        <v>5634</v>
      </c>
      <c r="D1183" s="7" t="s">
        <v>21</v>
      </c>
      <c r="E1183" s="58" t="s">
        <v>5625</v>
      </c>
      <c r="F1183" s="58" t="s">
        <v>270</v>
      </c>
      <c r="G1183" s="7">
        <v>8.329666175E9</v>
      </c>
      <c r="H1183" s="8"/>
      <c r="I1183" s="20">
        <v>45000.0</v>
      </c>
      <c r="J1183" s="62" t="s">
        <v>5577</v>
      </c>
      <c r="K1183" s="7" t="s">
        <v>56</v>
      </c>
      <c r="L1183" s="9" t="s">
        <v>49</v>
      </c>
      <c r="M1183" s="7" t="s">
        <v>271</v>
      </c>
      <c r="N1183" s="217" t="s">
        <v>28</v>
      </c>
      <c r="O1183" s="21">
        <v>46990.0</v>
      </c>
      <c r="P1183" s="21">
        <v>49697.0</v>
      </c>
      <c r="Q1183" s="6">
        <v>24.0</v>
      </c>
      <c r="R1183" s="12">
        <f t="shared" si="29"/>
        <v>11277.6</v>
      </c>
    </row>
    <row r="1184">
      <c r="A1184" s="7" t="s">
        <v>5622</v>
      </c>
      <c r="B1184" s="58" t="s">
        <v>5635</v>
      </c>
      <c r="C1184" s="58" t="s">
        <v>5636</v>
      </c>
      <c r="D1184" s="7" t="s">
        <v>21</v>
      </c>
      <c r="E1184" s="58" t="s">
        <v>748</v>
      </c>
      <c r="F1184" s="58" t="s">
        <v>5637</v>
      </c>
      <c r="G1184" s="7">
        <v>9.601329164E9</v>
      </c>
      <c r="H1184" s="7">
        <v>9.998252863E9</v>
      </c>
      <c r="I1184" s="7">
        <v>28000.0</v>
      </c>
      <c r="J1184" s="62" t="s">
        <v>5577</v>
      </c>
      <c r="K1184" s="7" t="s">
        <v>25</v>
      </c>
      <c r="L1184" s="9" t="s">
        <v>26</v>
      </c>
      <c r="M1184" s="7" t="s">
        <v>71</v>
      </c>
      <c r="N1184" s="217" t="s">
        <v>28</v>
      </c>
      <c r="O1184" s="21">
        <v>44050.0</v>
      </c>
      <c r="P1184" s="21">
        <v>46266.0</v>
      </c>
      <c r="Q1184" s="6">
        <v>51.0</v>
      </c>
      <c r="R1184" s="12">
        <f t="shared" si="29"/>
        <v>22465.5</v>
      </c>
    </row>
    <row r="1185">
      <c r="A1185" s="7" t="s">
        <v>5638</v>
      </c>
      <c r="B1185" s="58" t="s">
        <v>5639</v>
      </c>
      <c r="C1185" s="58" t="s">
        <v>5640</v>
      </c>
      <c r="D1185" s="7" t="s">
        <v>1759</v>
      </c>
      <c r="E1185" s="58" t="s">
        <v>1887</v>
      </c>
      <c r="F1185" s="58" t="s">
        <v>5641</v>
      </c>
      <c r="G1185" s="7">
        <v>9.978436826E9</v>
      </c>
      <c r="H1185" s="7">
        <v>9.879583037E9</v>
      </c>
      <c r="I1185" s="7">
        <v>818.0</v>
      </c>
      <c r="J1185" s="62" t="s">
        <v>5577</v>
      </c>
      <c r="K1185" s="7" t="s">
        <v>668</v>
      </c>
      <c r="L1185" s="9" t="s">
        <v>49</v>
      </c>
      <c r="M1185" s="7" t="s">
        <v>27</v>
      </c>
      <c r="N1185" s="217" t="s">
        <v>28</v>
      </c>
      <c r="O1185" s="21">
        <v>7011.0</v>
      </c>
      <c r="P1185" s="21">
        <v>8273.0</v>
      </c>
      <c r="Q1185" s="6">
        <v>51.0</v>
      </c>
      <c r="R1185" s="12">
        <f t="shared" si="29"/>
        <v>3575.61</v>
      </c>
    </row>
    <row r="1186">
      <c r="A1186" s="7" t="s">
        <v>5638</v>
      </c>
      <c r="B1186" s="92" t="s">
        <v>5642</v>
      </c>
      <c r="C1186" s="58" t="s">
        <v>5643</v>
      </c>
      <c r="D1186" s="7" t="s">
        <v>75</v>
      </c>
      <c r="E1186" s="58" t="s">
        <v>137</v>
      </c>
      <c r="F1186" s="58" t="s">
        <v>5644</v>
      </c>
      <c r="G1186" s="7">
        <v>9.426236304E9</v>
      </c>
      <c r="H1186" s="7">
        <v>9.428836694E9</v>
      </c>
      <c r="I1186" s="7">
        <v>882.0</v>
      </c>
      <c r="J1186" s="62" t="s">
        <v>5577</v>
      </c>
      <c r="K1186" s="7" t="s">
        <v>78</v>
      </c>
      <c r="L1186" s="9" t="s">
        <v>49</v>
      </c>
      <c r="M1186" s="7" t="s">
        <v>389</v>
      </c>
      <c r="N1186" s="217" t="s">
        <v>28</v>
      </c>
      <c r="O1186" s="97">
        <v>5772.28</v>
      </c>
      <c r="P1186" s="21">
        <v>6227.0</v>
      </c>
      <c r="Q1186" s="6">
        <v>50.0</v>
      </c>
      <c r="R1186" s="12">
        <f t="shared" si="29"/>
        <v>2886.14</v>
      </c>
    </row>
    <row r="1187">
      <c r="A1187" s="7" t="s">
        <v>5638</v>
      </c>
      <c r="B1187" s="58" t="s">
        <v>5645</v>
      </c>
      <c r="C1187" s="58" t="s">
        <v>5646</v>
      </c>
      <c r="D1187" s="7" t="s">
        <v>44</v>
      </c>
      <c r="E1187" s="58" t="s">
        <v>5647</v>
      </c>
      <c r="F1187" s="58" t="s">
        <v>5648</v>
      </c>
      <c r="G1187" s="7" t="s">
        <v>5649</v>
      </c>
      <c r="H1187" s="7">
        <v>9.944777492E9</v>
      </c>
      <c r="I1187" s="7">
        <v>3425.0</v>
      </c>
      <c r="J1187" s="62" t="s">
        <v>5523</v>
      </c>
      <c r="K1187" s="7" t="s">
        <v>78</v>
      </c>
      <c r="L1187" s="9" t="s">
        <v>49</v>
      </c>
      <c r="M1187" s="7" t="s">
        <v>27</v>
      </c>
      <c r="N1187" s="217" t="s">
        <v>28</v>
      </c>
      <c r="O1187" s="97">
        <v>17730.92</v>
      </c>
      <c r="P1187" s="21">
        <v>18836.0</v>
      </c>
      <c r="Q1187" s="6">
        <v>52.0</v>
      </c>
      <c r="R1187" s="12">
        <f t="shared" si="29"/>
        <v>9220.0784</v>
      </c>
    </row>
    <row r="1188">
      <c r="A1188" s="7" t="s">
        <v>5638</v>
      </c>
      <c r="B1188" s="58" t="s">
        <v>5650</v>
      </c>
      <c r="C1188" s="58" t="s">
        <v>5651</v>
      </c>
      <c r="D1188" s="7" t="s">
        <v>21</v>
      </c>
      <c r="E1188" s="58" t="s">
        <v>5652</v>
      </c>
      <c r="F1188" s="58" t="s">
        <v>5653</v>
      </c>
      <c r="G1188" s="7">
        <v>9.737526585E9</v>
      </c>
      <c r="H1188" s="7">
        <v>9.87931764E9</v>
      </c>
      <c r="I1188" s="7">
        <v>16200.0</v>
      </c>
      <c r="J1188" s="62" t="s">
        <v>5577</v>
      </c>
      <c r="K1188" s="7" t="s">
        <v>78</v>
      </c>
      <c r="L1188" s="9" t="s">
        <v>49</v>
      </c>
      <c r="M1188" s="7" t="s">
        <v>71</v>
      </c>
      <c r="N1188" s="217" t="s">
        <v>28</v>
      </c>
      <c r="O1188" s="97">
        <v>37217.79</v>
      </c>
      <c r="P1188" s="21">
        <v>39326.0</v>
      </c>
      <c r="Q1188" s="6">
        <v>31.0</v>
      </c>
      <c r="R1188" s="12">
        <f t="shared" si="29"/>
        <v>11537.5149</v>
      </c>
    </row>
    <row r="1189">
      <c r="A1189" s="7" t="s">
        <v>5654</v>
      </c>
      <c r="B1189" s="58" t="s">
        <v>5655</v>
      </c>
      <c r="C1189" s="58" t="s">
        <v>5656</v>
      </c>
      <c r="D1189" s="7" t="s">
        <v>1759</v>
      </c>
      <c r="E1189" s="58" t="s">
        <v>5293</v>
      </c>
      <c r="F1189" s="58" t="s">
        <v>5657</v>
      </c>
      <c r="G1189" s="7">
        <v>9.73777464E9</v>
      </c>
      <c r="H1189" s="7">
        <v>9.974383179E9</v>
      </c>
      <c r="I1189" s="7">
        <v>818.0</v>
      </c>
      <c r="J1189" s="62" t="s">
        <v>5577</v>
      </c>
      <c r="K1189" s="7" t="s">
        <v>668</v>
      </c>
      <c r="L1189" s="9" t="s">
        <v>49</v>
      </c>
      <c r="M1189" s="7" t="s">
        <v>285</v>
      </c>
      <c r="N1189" s="217" t="s">
        <v>28</v>
      </c>
      <c r="O1189" s="21">
        <v>6339.0</v>
      </c>
      <c r="P1189" s="21">
        <v>7481.0</v>
      </c>
      <c r="Q1189" s="6">
        <v>51.0</v>
      </c>
      <c r="R1189" s="12">
        <f t="shared" si="29"/>
        <v>3232.89</v>
      </c>
    </row>
    <row r="1190">
      <c r="A1190" s="7" t="s">
        <v>5654</v>
      </c>
      <c r="B1190" s="58" t="s">
        <v>5658</v>
      </c>
      <c r="C1190" s="58" t="s">
        <v>5659</v>
      </c>
      <c r="D1190" s="7" t="s">
        <v>44</v>
      </c>
      <c r="E1190" s="58" t="s">
        <v>1303</v>
      </c>
      <c r="F1190" s="58" t="s">
        <v>5660</v>
      </c>
      <c r="G1190" s="7">
        <v>7.984018698E9</v>
      </c>
      <c r="H1190" s="7">
        <v>9.601430581E9</v>
      </c>
      <c r="I1190" s="7">
        <v>2825.0</v>
      </c>
      <c r="J1190" s="62" t="s">
        <v>5614</v>
      </c>
      <c r="K1190" s="7" t="s">
        <v>116</v>
      </c>
      <c r="L1190" s="9" t="s">
        <v>49</v>
      </c>
      <c r="M1190" s="7" t="s">
        <v>71</v>
      </c>
      <c r="N1190" s="217" t="s">
        <v>28</v>
      </c>
      <c r="O1190" s="97">
        <v>20030.0</v>
      </c>
      <c r="P1190" s="97">
        <v>21539.0</v>
      </c>
      <c r="Q1190" s="6">
        <v>54.0</v>
      </c>
      <c r="R1190" s="12">
        <f t="shared" si="29"/>
        <v>10816.2</v>
      </c>
    </row>
    <row r="1191">
      <c r="A1191" s="7" t="s">
        <v>5661</v>
      </c>
      <c r="B1191" s="58" t="s">
        <v>5662</v>
      </c>
      <c r="C1191" s="58" t="s">
        <v>5663</v>
      </c>
      <c r="D1191" s="7" t="s">
        <v>21</v>
      </c>
      <c r="E1191" s="58" t="s">
        <v>762</v>
      </c>
      <c r="F1191" s="58" t="s">
        <v>5664</v>
      </c>
      <c r="G1191" s="7">
        <v>9.724860034E9</v>
      </c>
      <c r="H1191" s="7">
        <v>8.128110812E9</v>
      </c>
      <c r="I1191" s="7">
        <v>42000.0</v>
      </c>
      <c r="J1191" s="62" t="s">
        <v>5614</v>
      </c>
      <c r="K1191" s="7" t="s">
        <v>70</v>
      </c>
      <c r="L1191" s="9" t="s">
        <v>49</v>
      </c>
      <c r="M1191" s="7" t="s">
        <v>71</v>
      </c>
      <c r="N1191" s="217" t="s">
        <v>28</v>
      </c>
      <c r="O1191" s="97">
        <v>47964.0</v>
      </c>
      <c r="P1191" s="97">
        <v>50846.0</v>
      </c>
      <c r="Q1191" s="6">
        <v>26.0</v>
      </c>
      <c r="R1191" s="12">
        <f t="shared" si="29"/>
        <v>12470.64</v>
      </c>
    </row>
    <row r="1192">
      <c r="A1192" s="7" t="s">
        <v>5661</v>
      </c>
      <c r="B1192" s="58" t="s">
        <v>5665</v>
      </c>
      <c r="C1192" s="58" t="s">
        <v>5666</v>
      </c>
      <c r="D1192" s="7" t="s">
        <v>1759</v>
      </c>
      <c r="E1192" s="58" t="s">
        <v>5482</v>
      </c>
      <c r="F1192" s="58" t="s">
        <v>5667</v>
      </c>
      <c r="G1192" s="7">
        <v>9.824554865E9</v>
      </c>
      <c r="H1192" s="7">
        <v>8.530298302E9</v>
      </c>
      <c r="I1192" s="7">
        <v>681.0</v>
      </c>
      <c r="J1192" s="62" t="s">
        <v>5668</v>
      </c>
      <c r="K1192" s="7" t="s">
        <v>677</v>
      </c>
      <c r="L1192" s="9" t="s">
        <v>49</v>
      </c>
      <c r="M1192" s="7" t="s">
        <v>27</v>
      </c>
      <c r="N1192" s="217" t="s">
        <v>28</v>
      </c>
      <c r="O1192" s="21">
        <v>6090.85</v>
      </c>
      <c r="P1192" s="21">
        <v>7187.21</v>
      </c>
      <c r="Q1192" s="6">
        <v>61.0</v>
      </c>
      <c r="R1192" s="12">
        <f t="shared" si="29"/>
        <v>3715.4185</v>
      </c>
    </row>
    <row r="1193">
      <c r="A1193" s="7" t="s">
        <v>5661</v>
      </c>
      <c r="B1193" s="58" t="s">
        <v>5669</v>
      </c>
      <c r="C1193" s="58" t="s">
        <v>5670</v>
      </c>
      <c r="D1193" s="7" t="s">
        <v>533</v>
      </c>
      <c r="E1193" s="58" t="s">
        <v>5671</v>
      </c>
      <c r="F1193" s="58" t="s">
        <v>5672</v>
      </c>
      <c r="G1193" s="7">
        <v>9.824049753E9</v>
      </c>
      <c r="H1193" s="7">
        <v>8.905217399E9</v>
      </c>
      <c r="I1193" s="7">
        <v>2734.0</v>
      </c>
      <c r="J1193" s="7" t="s">
        <v>1590</v>
      </c>
      <c r="K1193" s="7" t="s">
        <v>25</v>
      </c>
      <c r="L1193" s="9" t="s">
        <v>49</v>
      </c>
      <c r="M1193" s="7" t="s">
        <v>27</v>
      </c>
      <c r="N1193" s="217" t="s">
        <v>28</v>
      </c>
      <c r="O1193" s="21">
        <v>919.0</v>
      </c>
      <c r="P1193" s="97">
        <v>1085.0</v>
      </c>
      <c r="Q1193" s="6">
        <v>0.0</v>
      </c>
      <c r="R1193" s="12">
        <f t="shared" si="29"/>
        <v>0</v>
      </c>
    </row>
    <row r="1194">
      <c r="A1194" s="7" t="s">
        <v>5673</v>
      </c>
      <c r="B1194" s="58" t="s">
        <v>5674</v>
      </c>
      <c r="C1194" s="58" t="s">
        <v>5675</v>
      </c>
      <c r="D1194" s="7" t="s">
        <v>1759</v>
      </c>
      <c r="E1194" s="58" t="s">
        <v>1887</v>
      </c>
      <c r="F1194" s="58" t="s">
        <v>5676</v>
      </c>
      <c r="G1194" s="7">
        <v>9.978715751E9</v>
      </c>
      <c r="H1194" s="7">
        <v>8.799084563E9</v>
      </c>
      <c r="I1194" s="7">
        <v>818.0</v>
      </c>
      <c r="J1194" s="62" t="s">
        <v>5668</v>
      </c>
      <c r="K1194" s="7" t="s">
        <v>668</v>
      </c>
      <c r="L1194" s="9" t="s">
        <v>49</v>
      </c>
      <c r="M1194" s="7" t="s">
        <v>71</v>
      </c>
      <c r="N1194" s="217" t="s">
        <v>28</v>
      </c>
      <c r="O1194" s="21">
        <v>6362.0</v>
      </c>
      <c r="P1194" s="21">
        <v>7508.0</v>
      </c>
      <c r="Q1194" s="6">
        <v>51.0</v>
      </c>
      <c r="R1194" s="12">
        <f t="shared" si="29"/>
        <v>3244.62</v>
      </c>
    </row>
    <row r="1195">
      <c r="A1195" s="7" t="s">
        <v>5673</v>
      </c>
      <c r="B1195" s="58" t="s">
        <v>5677</v>
      </c>
      <c r="C1195" s="58" t="s">
        <v>5678</v>
      </c>
      <c r="D1195" s="7" t="s">
        <v>21</v>
      </c>
      <c r="E1195" s="58" t="s">
        <v>5679</v>
      </c>
      <c r="F1195" s="58" t="s">
        <v>5680</v>
      </c>
      <c r="G1195" s="7" t="s">
        <v>150</v>
      </c>
      <c r="H1195" s="7" t="s">
        <v>149</v>
      </c>
      <c r="I1195" s="7">
        <v>35000.0</v>
      </c>
      <c r="J1195" s="62" t="s">
        <v>5681</v>
      </c>
      <c r="K1195" s="7" t="s">
        <v>668</v>
      </c>
      <c r="L1195" s="9" t="s">
        <v>26</v>
      </c>
      <c r="M1195" s="7" t="s">
        <v>151</v>
      </c>
      <c r="N1195" s="217" t="s">
        <v>28</v>
      </c>
      <c r="O1195" s="21">
        <v>43950.0</v>
      </c>
      <c r="P1195" s="21">
        <v>46148.0</v>
      </c>
      <c r="Q1195" s="6">
        <v>45.0</v>
      </c>
      <c r="R1195" s="12">
        <f t="shared" si="29"/>
        <v>19777.5</v>
      </c>
    </row>
    <row r="1196">
      <c r="A1196" s="7" t="s">
        <v>5673</v>
      </c>
      <c r="B1196" s="58" t="s">
        <v>5682</v>
      </c>
      <c r="C1196" s="58" t="s">
        <v>5683</v>
      </c>
      <c r="D1196" s="7" t="s">
        <v>21</v>
      </c>
      <c r="E1196" s="58" t="s">
        <v>442</v>
      </c>
      <c r="F1196" s="58" t="s">
        <v>5684</v>
      </c>
      <c r="G1196" s="7">
        <v>9.913233141E9</v>
      </c>
      <c r="H1196" s="7">
        <v>9.313289593E9</v>
      </c>
      <c r="I1196" s="7">
        <v>17750.0</v>
      </c>
      <c r="J1196" s="62" t="s">
        <v>5681</v>
      </c>
      <c r="K1196" s="7" t="s">
        <v>297</v>
      </c>
      <c r="L1196" s="9" t="s">
        <v>49</v>
      </c>
      <c r="M1196" s="7" t="s">
        <v>185</v>
      </c>
      <c r="N1196" s="217" t="s">
        <v>28</v>
      </c>
      <c r="O1196" s="97">
        <v>41266.0</v>
      </c>
      <c r="P1196" s="97">
        <v>44103.2</v>
      </c>
      <c r="Q1196" s="6">
        <v>30.0</v>
      </c>
      <c r="R1196" s="12">
        <f t="shared" si="29"/>
        <v>12379.8</v>
      </c>
    </row>
    <row r="1197">
      <c r="A1197" s="7" t="s">
        <v>5673</v>
      </c>
      <c r="B1197" s="58" t="s">
        <v>5685</v>
      </c>
      <c r="C1197" s="58" t="s">
        <v>5686</v>
      </c>
      <c r="D1197" s="7" t="s">
        <v>44</v>
      </c>
      <c r="E1197" s="58" t="s">
        <v>2824</v>
      </c>
      <c r="F1197" s="58" t="s">
        <v>5687</v>
      </c>
      <c r="G1197" s="7">
        <v>9.016521035E9</v>
      </c>
      <c r="H1197" s="7">
        <v>9.265568543E9</v>
      </c>
      <c r="I1197" s="7">
        <v>1418.0</v>
      </c>
      <c r="J1197" s="62" t="s">
        <v>5681</v>
      </c>
      <c r="K1197" s="7" t="s">
        <v>70</v>
      </c>
      <c r="L1197" s="9" t="s">
        <v>49</v>
      </c>
      <c r="M1197" s="7" t="s">
        <v>71</v>
      </c>
      <c r="N1197" s="217" t="s">
        <v>28</v>
      </c>
      <c r="O1197" s="97">
        <v>17099.0</v>
      </c>
      <c r="P1197" s="97">
        <v>18090.0</v>
      </c>
      <c r="Q1197" s="6">
        <v>63.0</v>
      </c>
      <c r="R1197" s="12">
        <f t="shared" si="29"/>
        <v>10772.37</v>
      </c>
    </row>
    <row r="1198">
      <c r="A1198" s="7" t="s">
        <v>5673</v>
      </c>
      <c r="B1198" s="58" t="s">
        <v>5688</v>
      </c>
      <c r="C1198" s="58" t="s">
        <v>5689</v>
      </c>
      <c r="D1198" s="7" t="s">
        <v>44</v>
      </c>
      <c r="E1198" s="58" t="s">
        <v>5690</v>
      </c>
      <c r="F1198" s="58" t="s">
        <v>5691</v>
      </c>
      <c r="G1198" s="7">
        <v>8.469015106E9</v>
      </c>
      <c r="H1198" s="7">
        <v>9.712987201E9</v>
      </c>
      <c r="I1198" s="7">
        <v>7450.0</v>
      </c>
      <c r="J1198" s="62" t="s">
        <v>5681</v>
      </c>
      <c r="K1198" s="7" t="s">
        <v>25</v>
      </c>
      <c r="L1198" s="9" t="s">
        <v>26</v>
      </c>
      <c r="M1198" s="7" t="s">
        <v>271</v>
      </c>
      <c r="N1198" s="217" t="s">
        <v>28</v>
      </c>
      <c r="O1198" s="21">
        <v>16149.0</v>
      </c>
      <c r="P1198" s="21">
        <v>16969.0</v>
      </c>
      <c r="Q1198" s="6">
        <v>44.0</v>
      </c>
      <c r="R1198" s="12">
        <f t="shared" si="29"/>
        <v>7105.56</v>
      </c>
    </row>
    <row r="1199">
      <c r="A1199" s="7" t="s">
        <v>5673</v>
      </c>
      <c r="B1199" s="58" t="s">
        <v>5692</v>
      </c>
      <c r="C1199" s="58">
        <v>2.3529779616E10</v>
      </c>
      <c r="D1199" s="7" t="s">
        <v>75</v>
      </c>
      <c r="E1199" s="58" t="s">
        <v>225</v>
      </c>
      <c r="F1199" s="58" t="s">
        <v>5693</v>
      </c>
      <c r="G1199" s="7">
        <v>9.909548086E9</v>
      </c>
      <c r="H1199" s="7">
        <v>7.283824414E9</v>
      </c>
      <c r="I1199" s="7">
        <v>995.0</v>
      </c>
      <c r="J1199" s="62" t="s">
        <v>5681</v>
      </c>
      <c r="K1199" s="7" t="s">
        <v>41</v>
      </c>
      <c r="L1199" s="9" t="s">
        <v>49</v>
      </c>
      <c r="M1199" s="7" t="s">
        <v>71</v>
      </c>
      <c r="N1199" s="217" t="s">
        <v>28</v>
      </c>
      <c r="O1199" s="96">
        <v>5178.0</v>
      </c>
      <c r="P1199" s="96">
        <v>5518.0</v>
      </c>
      <c r="Q1199" s="6">
        <v>52.5</v>
      </c>
      <c r="R1199" s="12">
        <f t="shared" si="29"/>
        <v>2718.45</v>
      </c>
    </row>
    <row r="1200">
      <c r="A1200" s="7" t="s">
        <v>5673</v>
      </c>
      <c r="B1200" s="8" t="s">
        <v>3488</v>
      </c>
      <c r="C1200" s="58" t="s">
        <v>5694</v>
      </c>
      <c r="D1200" s="7" t="s">
        <v>21</v>
      </c>
      <c r="E1200" s="58" t="s">
        <v>5695</v>
      </c>
      <c r="F1200" s="58" t="s">
        <v>5696</v>
      </c>
      <c r="G1200" s="7" t="s">
        <v>5697</v>
      </c>
      <c r="H1200" s="8"/>
      <c r="I1200" s="7">
        <v>18490.0</v>
      </c>
      <c r="J1200" s="62" t="s">
        <v>5586</v>
      </c>
      <c r="K1200" s="7" t="s">
        <v>297</v>
      </c>
      <c r="L1200" s="9" t="s">
        <v>49</v>
      </c>
      <c r="M1200" s="7" t="s">
        <v>27</v>
      </c>
      <c r="N1200" s="217" t="s">
        <v>28</v>
      </c>
      <c r="O1200" s="97">
        <v>56969.0</v>
      </c>
      <c r="P1200" s="97">
        <v>62632.74</v>
      </c>
      <c r="Q1200" s="6">
        <v>22.0</v>
      </c>
      <c r="R1200" s="12">
        <f t="shared" si="29"/>
        <v>12533.18</v>
      </c>
    </row>
    <row r="1201">
      <c r="A1201" s="7" t="s">
        <v>5673</v>
      </c>
      <c r="B1201" s="58" t="s">
        <v>5698</v>
      </c>
      <c r="C1201" s="58" t="s">
        <v>5699</v>
      </c>
      <c r="D1201" s="7" t="s">
        <v>44</v>
      </c>
      <c r="E1201" s="58" t="s">
        <v>961</v>
      </c>
      <c r="F1201" s="58" t="s">
        <v>5700</v>
      </c>
      <c r="G1201" s="7">
        <v>9.913393644E9</v>
      </c>
      <c r="H1201" s="7">
        <v>7.874667212E9</v>
      </c>
      <c r="I1201" s="7">
        <v>2880.0</v>
      </c>
      <c r="J1201" s="62" t="s">
        <v>5701</v>
      </c>
      <c r="K1201" s="7" t="s">
        <v>116</v>
      </c>
      <c r="L1201" s="9" t="s">
        <v>49</v>
      </c>
      <c r="M1201" s="7" t="s">
        <v>71</v>
      </c>
      <c r="N1201" s="217" t="s">
        <v>28</v>
      </c>
      <c r="O1201" s="97">
        <v>20824.0</v>
      </c>
      <c r="P1201" s="97">
        <v>22474.0</v>
      </c>
      <c r="Q1201" s="6">
        <v>54.0</v>
      </c>
      <c r="R1201" s="12">
        <f t="shared" si="29"/>
        <v>11244.96</v>
      </c>
    </row>
    <row r="1202">
      <c r="A1202" s="7" t="s">
        <v>5673</v>
      </c>
      <c r="B1202" s="58" t="s">
        <v>5702</v>
      </c>
      <c r="C1202" s="58" t="s">
        <v>5703</v>
      </c>
      <c r="D1202" s="7" t="s">
        <v>44</v>
      </c>
      <c r="E1202" s="58" t="s">
        <v>5690</v>
      </c>
      <c r="F1202" s="58" t="s">
        <v>5704</v>
      </c>
      <c r="G1202" s="7">
        <v>8.469015106E9</v>
      </c>
      <c r="H1202" s="7">
        <v>9.712987201E9</v>
      </c>
      <c r="I1202" s="7">
        <v>7200.0</v>
      </c>
      <c r="J1202" s="62" t="s">
        <v>5668</v>
      </c>
      <c r="K1202" s="7" t="s">
        <v>25</v>
      </c>
      <c r="L1202" s="9" t="s">
        <v>26</v>
      </c>
      <c r="M1202" s="7" t="s">
        <v>271</v>
      </c>
      <c r="N1202" s="217" t="s">
        <v>28</v>
      </c>
      <c r="O1202" s="21">
        <v>16149.0</v>
      </c>
      <c r="P1202" s="21">
        <v>16969.0</v>
      </c>
      <c r="Q1202" s="6">
        <v>25.0</v>
      </c>
      <c r="R1202" s="12">
        <f t="shared" si="29"/>
        <v>4037.25</v>
      </c>
    </row>
    <row r="1203">
      <c r="A1203" s="7" t="s">
        <v>5705</v>
      </c>
      <c r="B1203" s="58" t="s">
        <v>5706</v>
      </c>
      <c r="C1203" s="58" t="s">
        <v>5707</v>
      </c>
      <c r="D1203" s="7" t="s">
        <v>75</v>
      </c>
      <c r="E1203" s="58" t="s">
        <v>225</v>
      </c>
      <c r="F1203" s="58" t="s">
        <v>5708</v>
      </c>
      <c r="G1203" s="7">
        <v>9.099429987E9</v>
      </c>
      <c r="H1203" s="7">
        <v>7.359922178E9</v>
      </c>
      <c r="I1203" s="7">
        <v>995.0</v>
      </c>
      <c r="J1203" s="62" t="s">
        <v>5387</v>
      </c>
      <c r="K1203" s="7" t="s">
        <v>41</v>
      </c>
      <c r="L1203" s="9" t="s">
        <v>49</v>
      </c>
      <c r="M1203" s="7" t="s">
        <v>71</v>
      </c>
      <c r="N1203" s="217" t="s">
        <v>28</v>
      </c>
      <c r="O1203" s="96">
        <v>5163.0</v>
      </c>
      <c r="P1203" s="96">
        <v>5501.0</v>
      </c>
      <c r="Q1203" s="6">
        <v>52.5</v>
      </c>
      <c r="R1203" s="12">
        <f t="shared" si="29"/>
        <v>2710.575</v>
      </c>
    </row>
    <row r="1204">
      <c r="A1204" s="7" t="s">
        <v>5705</v>
      </c>
      <c r="B1204" s="58" t="s">
        <v>5709</v>
      </c>
      <c r="C1204" s="58" t="s">
        <v>5710</v>
      </c>
      <c r="D1204" s="7" t="s">
        <v>75</v>
      </c>
      <c r="E1204" s="58" t="s">
        <v>291</v>
      </c>
      <c r="F1204" s="58" t="s">
        <v>5711</v>
      </c>
      <c r="G1204" s="7">
        <v>9.879047844E9</v>
      </c>
      <c r="H1204" s="7">
        <v>9.687171944E9</v>
      </c>
      <c r="I1204" s="7">
        <v>990.0</v>
      </c>
      <c r="J1204" s="60">
        <v>46277.0</v>
      </c>
      <c r="K1204" s="7" t="s">
        <v>41</v>
      </c>
      <c r="L1204" s="9" t="s">
        <v>49</v>
      </c>
      <c r="M1204" s="7" t="s">
        <v>71</v>
      </c>
      <c r="N1204" s="217" t="s">
        <v>28</v>
      </c>
      <c r="O1204" s="97">
        <v>5101.0</v>
      </c>
      <c r="P1204" s="97">
        <v>5427.0</v>
      </c>
      <c r="Q1204" s="6">
        <v>52.5</v>
      </c>
      <c r="R1204" s="12">
        <f t="shared" si="29"/>
        <v>2678.025</v>
      </c>
    </row>
    <row r="1205">
      <c r="A1205" s="7" t="s">
        <v>5705</v>
      </c>
      <c r="B1205" s="58" t="s">
        <v>5712</v>
      </c>
      <c r="C1205" s="58" t="s">
        <v>5713</v>
      </c>
      <c r="D1205" s="7" t="s">
        <v>1759</v>
      </c>
      <c r="E1205" s="58" t="s">
        <v>1887</v>
      </c>
      <c r="F1205" s="58" t="s">
        <v>5714</v>
      </c>
      <c r="G1205" s="7">
        <v>9.979074423E9</v>
      </c>
      <c r="H1205" s="7">
        <v>9.979095265E9</v>
      </c>
      <c r="I1205" s="7">
        <v>818.0</v>
      </c>
      <c r="J1205" s="60">
        <v>46215.0</v>
      </c>
      <c r="K1205" s="7" t="s">
        <v>668</v>
      </c>
      <c r="L1205" s="9" t="s">
        <v>49</v>
      </c>
      <c r="M1205" s="7" t="s">
        <v>71</v>
      </c>
      <c r="N1205" s="217" t="s">
        <v>28</v>
      </c>
      <c r="O1205" s="21">
        <v>6930.0</v>
      </c>
      <c r="P1205" s="21">
        <v>8178.0</v>
      </c>
      <c r="Q1205" s="6">
        <v>51.0</v>
      </c>
      <c r="R1205" s="12">
        <f t="shared" si="29"/>
        <v>3534.3</v>
      </c>
    </row>
    <row r="1206">
      <c r="A1206" s="7" t="s">
        <v>5705</v>
      </c>
      <c r="B1206" s="58" t="s">
        <v>5715</v>
      </c>
      <c r="C1206" s="58" t="s">
        <v>5716</v>
      </c>
      <c r="D1206" s="7" t="s">
        <v>1759</v>
      </c>
      <c r="E1206" s="58" t="s">
        <v>1887</v>
      </c>
      <c r="F1206" s="58" t="s">
        <v>5717</v>
      </c>
      <c r="G1206" s="7">
        <v>9.998409969E9</v>
      </c>
      <c r="H1206" s="7">
        <v>9.687199884E9</v>
      </c>
      <c r="I1206" s="7">
        <v>818.0</v>
      </c>
      <c r="J1206" s="62" t="s">
        <v>5387</v>
      </c>
      <c r="K1206" s="7" t="s">
        <v>668</v>
      </c>
      <c r="L1206" s="9" t="s">
        <v>49</v>
      </c>
      <c r="M1206" s="7" t="s">
        <v>89</v>
      </c>
      <c r="N1206" s="217" t="s">
        <v>28</v>
      </c>
      <c r="O1206" s="21">
        <v>6926.0</v>
      </c>
      <c r="P1206" s="21">
        <v>8172.0</v>
      </c>
      <c r="Q1206" s="6">
        <v>51.0</v>
      </c>
      <c r="R1206" s="12">
        <f t="shared" si="29"/>
        <v>3532.26</v>
      </c>
    </row>
    <row r="1207">
      <c r="A1207" s="7" t="s">
        <v>5705</v>
      </c>
      <c r="B1207" s="58" t="s">
        <v>5718</v>
      </c>
      <c r="C1207" s="58" t="s">
        <v>5719</v>
      </c>
      <c r="D1207" s="7" t="s">
        <v>1759</v>
      </c>
      <c r="E1207" s="58" t="s">
        <v>1887</v>
      </c>
      <c r="F1207" s="58" t="s">
        <v>5720</v>
      </c>
      <c r="G1207" s="7">
        <v>9.687914771E9</v>
      </c>
      <c r="H1207" s="7">
        <v>9.974167517E9</v>
      </c>
      <c r="I1207" s="7">
        <v>818.0</v>
      </c>
      <c r="J1207" s="62" t="s">
        <v>5721</v>
      </c>
      <c r="K1207" s="7" t="s">
        <v>668</v>
      </c>
      <c r="L1207" s="9" t="s">
        <v>49</v>
      </c>
      <c r="M1207" s="7" t="s">
        <v>340</v>
      </c>
      <c r="N1207" s="217" t="s">
        <v>28</v>
      </c>
      <c r="O1207" s="21">
        <v>6818.0</v>
      </c>
      <c r="P1207" s="21">
        <v>8046.0</v>
      </c>
      <c r="Q1207" s="6">
        <v>51.0</v>
      </c>
      <c r="R1207" s="12">
        <f t="shared" si="29"/>
        <v>3477.18</v>
      </c>
    </row>
    <row r="1208">
      <c r="A1208" s="7" t="s">
        <v>5705</v>
      </c>
      <c r="B1208" s="86" t="s">
        <v>293</v>
      </c>
      <c r="C1208" s="58" t="s">
        <v>5722</v>
      </c>
      <c r="D1208" s="8"/>
      <c r="E1208" s="58" t="s">
        <v>5723</v>
      </c>
      <c r="F1208" s="58" t="s">
        <v>5724</v>
      </c>
      <c r="G1208" s="8"/>
      <c r="H1208" s="8"/>
      <c r="I1208" s="8"/>
      <c r="J1208" s="58" t="s">
        <v>5586</v>
      </c>
      <c r="K1208" s="7" t="s">
        <v>70</v>
      </c>
      <c r="L1208" s="8"/>
      <c r="M1208" s="7" t="s">
        <v>27</v>
      </c>
      <c r="N1208" s="217" t="s">
        <v>28</v>
      </c>
      <c r="O1208" s="96">
        <v>7875.0</v>
      </c>
      <c r="P1208" s="97">
        <v>9293.0</v>
      </c>
      <c r="Q1208" s="6">
        <v>22.0</v>
      </c>
      <c r="R1208" s="12">
        <f t="shared" si="29"/>
        <v>1732.5</v>
      </c>
    </row>
    <row r="1209">
      <c r="A1209" s="7" t="s">
        <v>5705</v>
      </c>
      <c r="B1209" s="58" t="s">
        <v>5725</v>
      </c>
      <c r="C1209" s="58" t="s">
        <v>5726</v>
      </c>
      <c r="D1209" s="7" t="s">
        <v>1759</v>
      </c>
      <c r="E1209" s="58" t="s">
        <v>1887</v>
      </c>
      <c r="F1209" s="58" t="s">
        <v>5727</v>
      </c>
      <c r="G1209" s="7">
        <v>9.712648022E9</v>
      </c>
      <c r="H1209" s="7">
        <v>7.201843738E9</v>
      </c>
      <c r="I1209" s="7">
        <v>818.0</v>
      </c>
      <c r="J1209" s="62" t="s">
        <v>5668</v>
      </c>
      <c r="K1209" s="7" t="s">
        <v>668</v>
      </c>
      <c r="L1209" s="9" t="s">
        <v>49</v>
      </c>
      <c r="M1209" s="7" t="s">
        <v>365</v>
      </c>
      <c r="N1209" s="217" t="s">
        <v>28</v>
      </c>
      <c r="O1209" s="21">
        <v>6279.0</v>
      </c>
      <c r="P1209" s="21">
        <v>7409.0</v>
      </c>
      <c r="Q1209" s="6">
        <v>51.0</v>
      </c>
      <c r="R1209" s="12">
        <f t="shared" si="29"/>
        <v>3202.29</v>
      </c>
    </row>
    <row r="1210">
      <c r="A1210" s="7" t="s">
        <v>5705</v>
      </c>
      <c r="B1210" s="58" t="s">
        <v>5728</v>
      </c>
      <c r="C1210" s="58" t="s">
        <v>5729</v>
      </c>
      <c r="D1210" s="7" t="s">
        <v>21</v>
      </c>
      <c r="E1210" s="58" t="s">
        <v>5625</v>
      </c>
      <c r="F1210" s="58" t="s">
        <v>270</v>
      </c>
      <c r="G1210" s="7">
        <v>8.329666175E9</v>
      </c>
      <c r="H1210" s="8"/>
      <c r="I1210" s="20">
        <v>45000.0</v>
      </c>
      <c r="J1210" s="62" t="s">
        <v>5523</v>
      </c>
      <c r="K1210" s="7" t="s">
        <v>56</v>
      </c>
      <c r="L1210" s="9" t="s">
        <v>49</v>
      </c>
      <c r="M1210" s="7" t="s">
        <v>271</v>
      </c>
      <c r="N1210" s="217" t="s">
        <v>28</v>
      </c>
      <c r="O1210" s="21">
        <v>47784.0</v>
      </c>
      <c r="P1210" s="21">
        <v>50634.0</v>
      </c>
      <c r="Q1210" s="6">
        <v>24.0</v>
      </c>
      <c r="R1210" s="12">
        <f t="shared" si="29"/>
        <v>11468.16</v>
      </c>
    </row>
    <row r="1211">
      <c r="A1211" s="7" t="s">
        <v>5730</v>
      </c>
      <c r="B1211" s="58" t="s">
        <v>5731</v>
      </c>
      <c r="C1211" s="58" t="s">
        <v>5732</v>
      </c>
      <c r="D1211" s="7" t="s">
        <v>93</v>
      </c>
      <c r="E1211" s="58" t="s">
        <v>5733</v>
      </c>
      <c r="F1211" s="58" t="s">
        <v>5734</v>
      </c>
      <c r="G1211" s="7">
        <v>9.586603743E9</v>
      </c>
      <c r="H1211" s="7">
        <v>6.355053083E9</v>
      </c>
      <c r="I1211" s="62">
        <v>9600.0</v>
      </c>
      <c r="J1211" s="62" t="s">
        <v>5523</v>
      </c>
      <c r="K1211" s="7" t="s">
        <v>668</v>
      </c>
      <c r="L1211" s="9" t="s">
        <v>26</v>
      </c>
      <c r="M1211" s="7" t="s">
        <v>84</v>
      </c>
      <c r="N1211" s="217" t="s">
        <v>28</v>
      </c>
      <c r="O1211" s="21">
        <v>27286.0</v>
      </c>
      <c r="P1211" s="21">
        <v>28664.0</v>
      </c>
      <c r="Q1211" s="6">
        <v>35.0</v>
      </c>
      <c r="R1211" s="12">
        <f t="shared" si="29"/>
        <v>9550.1</v>
      </c>
    </row>
    <row r="1212">
      <c r="A1212" s="7" t="s">
        <v>5730</v>
      </c>
      <c r="B1212" s="58" t="s">
        <v>5735</v>
      </c>
      <c r="C1212" s="58" t="s">
        <v>5736</v>
      </c>
      <c r="D1212" s="7" t="s">
        <v>75</v>
      </c>
      <c r="E1212" s="58" t="s">
        <v>5737</v>
      </c>
      <c r="F1212" s="58" t="s">
        <v>225</v>
      </c>
      <c r="G1212" s="7">
        <v>9.408910259E9</v>
      </c>
      <c r="H1212" s="7">
        <v>9.712049839E9</v>
      </c>
      <c r="I1212" s="7">
        <v>995.0</v>
      </c>
      <c r="J1212" s="62" t="s">
        <v>5523</v>
      </c>
      <c r="K1212" s="7" t="s">
        <v>41</v>
      </c>
      <c r="L1212" s="9" t="s">
        <v>49</v>
      </c>
      <c r="M1212" s="7" t="s">
        <v>389</v>
      </c>
      <c r="N1212" s="217" t="s">
        <v>28</v>
      </c>
      <c r="O1212" s="97">
        <v>5987.0</v>
      </c>
      <c r="P1212" s="97">
        <v>6473.0</v>
      </c>
      <c r="Q1212" s="6">
        <v>52.5</v>
      </c>
      <c r="R1212" s="12">
        <f t="shared" si="29"/>
        <v>3143.175</v>
      </c>
    </row>
    <row r="1213">
      <c r="A1213" s="7" t="s">
        <v>5730</v>
      </c>
      <c r="B1213" s="58" t="s">
        <v>5738</v>
      </c>
      <c r="C1213" s="58" t="s">
        <v>5739</v>
      </c>
      <c r="D1213" s="7" t="s">
        <v>1228</v>
      </c>
      <c r="E1213" s="58" t="s">
        <v>5740</v>
      </c>
      <c r="F1213" s="58" t="s">
        <v>5741</v>
      </c>
      <c r="G1213" s="7">
        <v>9.099665588E9</v>
      </c>
      <c r="H1213" s="7">
        <v>9.925235057E9</v>
      </c>
      <c r="I1213" s="7">
        <v>2596.0</v>
      </c>
      <c r="J1213" s="62" t="s">
        <v>5523</v>
      </c>
      <c r="K1213" s="7" t="s">
        <v>2752</v>
      </c>
      <c r="L1213" s="9" t="s">
        <v>26</v>
      </c>
      <c r="M1213" s="7" t="s">
        <v>89</v>
      </c>
      <c r="N1213" s="217" t="s">
        <v>28</v>
      </c>
      <c r="O1213" s="97">
        <v>24967.0</v>
      </c>
      <c r="P1213" s="21">
        <v>29461.06</v>
      </c>
      <c r="Q1213" s="6">
        <v>15.0</v>
      </c>
      <c r="R1213" s="12">
        <f t="shared" si="29"/>
        <v>3745.05</v>
      </c>
    </row>
    <row r="1214">
      <c r="A1214" s="7" t="s">
        <v>5742</v>
      </c>
      <c r="B1214" s="58" t="s">
        <v>5743</v>
      </c>
      <c r="C1214" s="58" t="s">
        <v>5744</v>
      </c>
      <c r="D1214" s="7" t="s">
        <v>44</v>
      </c>
      <c r="E1214" s="58" t="s">
        <v>1303</v>
      </c>
      <c r="F1214" s="58" t="s">
        <v>5745</v>
      </c>
      <c r="G1214" s="7">
        <v>9.0994348E9</v>
      </c>
      <c r="H1214" s="7">
        <v>9.106722003E9</v>
      </c>
      <c r="I1214" s="7">
        <v>2825.0</v>
      </c>
      <c r="J1214" s="62" t="s">
        <v>5387</v>
      </c>
      <c r="K1214" s="7" t="s">
        <v>116</v>
      </c>
      <c r="L1214" s="9" t="s">
        <v>49</v>
      </c>
      <c r="M1214" s="7" t="s">
        <v>71</v>
      </c>
      <c r="N1214" s="217" t="s">
        <v>28</v>
      </c>
      <c r="O1214" s="165">
        <v>19832.0</v>
      </c>
      <c r="P1214" s="165">
        <v>21304.0</v>
      </c>
      <c r="Q1214" s="6">
        <v>54.0</v>
      </c>
      <c r="R1214" s="12">
        <f t="shared" si="29"/>
        <v>10709.28</v>
      </c>
    </row>
    <row r="1215">
      <c r="A1215" s="58"/>
      <c r="B1215" s="58"/>
      <c r="C1215" s="58"/>
      <c r="D1215" s="58"/>
      <c r="E1215" s="58"/>
      <c r="F1215" s="88"/>
      <c r="G1215" s="58"/>
      <c r="H1215" s="88"/>
      <c r="I1215" s="91"/>
      <c r="J1215" s="58"/>
      <c r="K1215" s="244"/>
      <c r="L1215" s="93"/>
      <c r="M1215" s="58"/>
      <c r="N1215" s="62"/>
      <c r="O1215" s="245"/>
      <c r="P1215" s="62"/>
      <c r="Q1215" s="58"/>
      <c r="R1215" s="88"/>
      <c r="S1215" s="88"/>
    </row>
    <row r="1216">
      <c r="A1216" s="58"/>
      <c r="B1216" s="58"/>
      <c r="C1216" s="58"/>
      <c r="D1216" s="58"/>
      <c r="E1216" s="58"/>
      <c r="F1216" s="88"/>
      <c r="G1216" s="58"/>
      <c r="H1216" s="88"/>
      <c r="I1216" s="91"/>
      <c r="J1216" s="58"/>
      <c r="K1216" s="244"/>
      <c r="L1216" s="93"/>
      <c r="M1216" s="58"/>
      <c r="N1216" s="62"/>
      <c r="O1216" s="245"/>
      <c r="P1216" s="62"/>
      <c r="Q1216" s="58"/>
      <c r="R1216" s="88"/>
      <c r="S1216" s="88"/>
    </row>
    <row r="1217">
      <c r="A1217" s="58"/>
      <c r="B1217" s="58"/>
      <c r="C1217" s="58"/>
      <c r="D1217" s="58"/>
      <c r="E1217" s="58"/>
      <c r="F1217" s="88"/>
      <c r="G1217" s="58"/>
      <c r="H1217" s="88"/>
      <c r="I1217" s="91"/>
      <c r="J1217" s="58"/>
      <c r="K1217" s="244"/>
      <c r="L1217" s="93"/>
      <c r="M1217" s="58"/>
      <c r="N1217" s="62"/>
      <c r="O1217" s="245"/>
      <c r="P1217" s="62"/>
      <c r="Q1217" s="58"/>
      <c r="R1217" s="88"/>
      <c r="S1217" s="88"/>
    </row>
    <row r="1218">
      <c r="A1218" s="63" t="s">
        <v>5705</v>
      </c>
      <c r="B1218" s="64" t="s">
        <v>5746</v>
      </c>
      <c r="C1218" s="64" t="s">
        <v>5747</v>
      </c>
      <c r="D1218" s="63" t="s">
        <v>44</v>
      </c>
      <c r="E1218" s="64" t="s">
        <v>1360</v>
      </c>
      <c r="F1218" s="64" t="s">
        <v>604</v>
      </c>
      <c r="G1218" s="63" t="s">
        <v>605</v>
      </c>
      <c r="H1218" s="235"/>
      <c r="I1218" s="65">
        <v>3490.0</v>
      </c>
      <c r="J1218" s="63" t="s">
        <v>5523</v>
      </c>
      <c r="K1218" s="63" t="s">
        <v>25</v>
      </c>
      <c r="L1218" s="26" t="s">
        <v>49</v>
      </c>
      <c r="M1218" s="260" t="s">
        <v>27</v>
      </c>
      <c r="N1218" s="63" t="s">
        <v>28</v>
      </c>
      <c r="O1218" s="73">
        <v>17538.0</v>
      </c>
      <c r="P1218" s="73">
        <v>18608.0</v>
      </c>
      <c r="Q1218" s="6">
        <v>53.0</v>
      </c>
      <c r="R1218" s="12">
        <f t="shared" ref="R1218:R1264" si="30">O1218*Q1218%</f>
        <v>9295.14</v>
      </c>
    </row>
    <row r="1219">
      <c r="A1219" s="7" t="s">
        <v>5748</v>
      </c>
      <c r="B1219" s="58" t="s">
        <v>5749</v>
      </c>
      <c r="C1219" s="58" t="s">
        <v>5750</v>
      </c>
      <c r="D1219" s="7" t="s">
        <v>44</v>
      </c>
      <c r="E1219" s="58" t="s">
        <v>741</v>
      </c>
      <c r="F1219" s="58" t="s">
        <v>5751</v>
      </c>
      <c r="G1219" s="7">
        <v>9.825510002E9</v>
      </c>
      <c r="H1219" s="7">
        <v>9.7259261E9</v>
      </c>
      <c r="I1219" s="7">
        <v>3490.0</v>
      </c>
      <c r="J1219" s="62" t="s">
        <v>5701</v>
      </c>
      <c r="K1219" s="7" t="s">
        <v>116</v>
      </c>
      <c r="L1219" s="9" t="s">
        <v>49</v>
      </c>
      <c r="M1219" s="7" t="s">
        <v>71</v>
      </c>
      <c r="N1219" s="217" t="s">
        <v>28</v>
      </c>
      <c r="O1219" s="70">
        <v>20502.0</v>
      </c>
      <c r="P1219" s="70">
        <v>22089.0</v>
      </c>
      <c r="Q1219" s="6">
        <v>54.0</v>
      </c>
      <c r="R1219" s="12">
        <f t="shared" si="30"/>
        <v>11071.08</v>
      </c>
    </row>
    <row r="1220">
      <c r="A1220" s="7" t="s">
        <v>5748</v>
      </c>
      <c r="B1220" s="58" t="s">
        <v>5752</v>
      </c>
      <c r="C1220" s="58" t="s">
        <v>5753</v>
      </c>
      <c r="D1220" s="7" t="s">
        <v>44</v>
      </c>
      <c r="E1220" s="58" t="s">
        <v>2091</v>
      </c>
      <c r="F1220" s="58" t="s">
        <v>5754</v>
      </c>
      <c r="G1220" s="7">
        <v>9.724743671E9</v>
      </c>
      <c r="H1220" s="7">
        <v>9.662081811E9</v>
      </c>
      <c r="I1220" s="7">
        <v>2825.0</v>
      </c>
      <c r="J1220" s="62" t="s">
        <v>5701</v>
      </c>
      <c r="K1220" s="7" t="s">
        <v>116</v>
      </c>
      <c r="L1220" s="9" t="s">
        <v>49</v>
      </c>
      <c r="M1220" s="7" t="s">
        <v>71</v>
      </c>
      <c r="N1220" s="217" t="s">
        <v>28</v>
      </c>
      <c r="O1220" s="70">
        <v>19902.0</v>
      </c>
      <c r="P1220" s="70">
        <v>21385.0</v>
      </c>
      <c r="Q1220" s="6">
        <v>54.0</v>
      </c>
      <c r="R1220" s="12">
        <f t="shared" si="30"/>
        <v>10747.08</v>
      </c>
    </row>
    <row r="1221">
      <c r="A1221" s="14">
        <v>45669.0</v>
      </c>
      <c r="B1221" s="58" t="s">
        <v>5755</v>
      </c>
      <c r="C1221" s="58" t="s">
        <v>5756</v>
      </c>
      <c r="D1221" s="7" t="s">
        <v>21</v>
      </c>
      <c r="E1221" s="58" t="s">
        <v>5757</v>
      </c>
      <c r="F1221" s="58" t="s">
        <v>5758</v>
      </c>
      <c r="G1221" s="7">
        <v>9.909502121E9</v>
      </c>
      <c r="H1221" s="7">
        <v>9.879783545E9</v>
      </c>
      <c r="I1221" s="7">
        <v>18500.0</v>
      </c>
      <c r="J1221" s="14">
        <v>46065.0</v>
      </c>
      <c r="K1221" s="7" t="s">
        <v>70</v>
      </c>
      <c r="L1221" s="9" t="s">
        <v>49</v>
      </c>
      <c r="M1221" s="7" t="s">
        <v>71</v>
      </c>
      <c r="N1221" s="217" t="s">
        <v>28</v>
      </c>
      <c r="O1221" s="70">
        <v>36900.0</v>
      </c>
      <c r="P1221" s="70">
        <v>38951.0</v>
      </c>
      <c r="Q1221" s="6">
        <v>30.0</v>
      </c>
      <c r="R1221" s="12">
        <f t="shared" si="30"/>
        <v>11070</v>
      </c>
    </row>
    <row r="1222">
      <c r="A1222" s="14">
        <v>45700.0</v>
      </c>
      <c r="B1222" s="58" t="s">
        <v>5759</v>
      </c>
      <c r="C1222" s="58" t="s">
        <v>5760</v>
      </c>
      <c r="D1222" s="7" t="s">
        <v>1759</v>
      </c>
      <c r="E1222" s="58" t="s">
        <v>1887</v>
      </c>
      <c r="F1222" s="58" t="s">
        <v>5761</v>
      </c>
      <c r="G1222" s="7">
        <v>8.980209817E9</v>
      </c>
      <c r="H1222" s="8"/>
      <c r="I1222" s="7">
        <v>818.0</v>
      </c>
      <c r="J1222" s="60">
        <v>46034.0</v>
      </c>
      <c r="K1222" s="7" t="s">
        <v>668</v>
      </c>
      <c r="L1222" s="9" t="s">
        <v>49</v>
      </c>
      <c r="M1222" s="7" t="s">
        <v>285</v>
      </c>
      <c r="N1222" s="217" t="s">
        <v>28</v>
      </c>
      <c r="O1222" s="62">
        <v>6540.0</v>
      </c>
      <c r="P1222" s="62">
        <v>7718.0</v>
      </c>
      <c r="Q1222" s="6">
        <v>51.0</v>
      </c>
      <c r="R1222" s="12">
        <f t="shared" si="30"/>
        <v>3335.4</v>
      </c>
    </row>
    <row r="1223">
      <c r="A1223" s="14">
        <v>45700.0</v>
      </c>
      <c r="B1223" s="58" t="s">
        <v>5762</v>
      </c>
      <c r="C1223" s="58" t="s">
        <v>5763</v>
      </c>
      <c r="D1223" s="7" t="s">
        <v>966</v>
      </c>
      <c r="E1223" s="58" t="s">
        <v>5764</v>
      </c>
      <c r="F1223" s="58" t="s">
        <v>5765</v>
      </c>
      <c r="G1223" s="7">
        <v>9.879277112E9</v>
      </c>
      <c r="H1223" s="7">
        <v>9.712234896E9</v>
      </c>
      <c r="I1223" s="7">
        <v>796.0</v>
      </c>
      <c r="J1223" s="14">
        <v>46093.0</v>
      </c>
      <c r="K1223" s="7" t="s">
        <v>65</v>
      </c>
      <c r="L1223" s="9" t="s">
        <v>26</v>
      </c>
      <c r="M1223" s="7" t="s">
        <v>365</v>
      </c>
      <c r="N1223" s="217" t="s">
        <v>28</v>
      </c>
      <c r="O1223" s="62">
        <v>2425.0</v>
      </c>
      <c r="P1223" s="62">
        <v>2861.0</v>
      </c>
      <c r="Q1223" s="6">
        <v>43.0</v>
      </c>
      <c r="R1223" s="12">
        <f t="shared" si="30"/>
        <v>1042.75</v>
      </c>
    </row>
    <row r="1224">
      <c r="A1224" s="14">
        <v>45759.0</v>
      </c>
      <c r="B1224" s="58" t="s">
        <v>5766</v>
      </c>
      <c r="C1224" s="58" t="s">
        <v>5767</v>
      </c>
      <c r="D1224" s="7" t="s">
        <v>44</v>
      </c>
      <c r="E1224" s="58" t="s">
        <v>5768</v>
      </c>
      <c r="F1224" s="58" t="s">
        <v>5769</v>
      </c>
      <c r="G1224" s="7">
        <v>9.714187462E9</v>
      </c>
      <c r="H1224" s="7">
        <v>8.238525257E9</v>
      </c>
      <c r="I1224" s="7">
        <v>1550.0</v>
      </c>
      <c r="J1224" s="60">
        <v>46124.0</v>
      </c>
      <c r="K1224" s="7" t="s">
        <v>143</v>
      </c>
      <c r="L1224" s="9" t="s">
        <v>49</v>
      </c>
      <c r="M1224" s="7" t="s">
        <v>285</v>
      </c>
      <c r="N1224" s="217" t="s">
        <v>28</v>
      </c>
      <c r="O1224" s="70">
        <v>17036.0</v>
      </c>
      <c r="P1224" s="70">
        <v>18016.0</v>
      </c>
      <c r="Q1224" s="6">
        <v>62.0</v>
      </c>
      <c r="R1224" s="12">
        <f t="shared" si="30"/>
        <v>10562.32</v>
      </c>
    </row>
    <row r="1225">
      <c r="A1225" s="14">
        <v>45700.0</v>
      </c>
      <c r="B1225" s="8" t="s">
        <v>5770</v>
      </c>
      <c r="C1225" s="8" t="s">
        <v>5771</v>
      </c>
      <c r="D1225" s="7" t="s">
        <v>1759</v>
      </c>
      <c r="E1225" s="8" t="s">
        <v>1887</v>
      </c>
      <c r="F1225" s="8" t="s">
        <v>5772</v>
      </c>
      <c r="G1225" s="7">
        <v>9.879111437E9</v>
      </c>
      <c r="H1225" s="7">
        <v>7.567648361E9</v>
      </c>
      <c r="I1225" s="7">
        <v>818.0</v>
      </c>
      <c r="J1225" s="14">
        <v>46185.0</v>
      </c>
      <c r="K1225" s="7" t="s">
        <v>668</v>
      </c>
      <c r="L1225" s="9" t="s">
        <v>49</v>
      </c>
      <c r="M1225" s="7" t="s">
        <v>71</v>
      </c>
      <c r="N1225" s="217" t="s">
        <v>28</v>
      </c>
      <c r="O1225" s="11">
        <v>6317.0</v>
      </c>
      <c r="P1225" s="11">
        <v>7455.0</v>
      </c>
      <c r="Q1225" s="6">
        <v>51.0</v>
      </c>
      <c r="R1225" s="12">
        <f t="shared" si="30"/>
        <v>3221.67</v>
      </c>
    </row>
    <row r="1226">
      <c r="A1226" s="14">
        <v>45700.0</v>
      </c>
      <c r="B1226" s="8" t="s">
        <v>5773</v>
      </c>
      <c r="C1226" s="8" t="s">
        <v>5774</v>
      </c>
      <c r="D1226" s="7" t="s">
        <v>44</v>
      </c>
      <c r="E1226" s="8" t="s">
        <v>3826</v>
      </c>
      <c r="F1226" s="8" t="s">
        <v>5775</v>
      </c>
      <c r="G1226" s="7" t="s">
        <v>5776</v>
      </c>
      <c r="H1226" s="7">
        <v>9.313451119E9</v>
      </c>
      <c r="I1226" s="7">
        <v>3895.0</v>
      </c>
      <c r="J1226" s="14">
        <v>46093.0</v>
      </c>
      <c r="K1226" s="7" t="s">
        <v>25</v>
      </c>
      <c r="L1226" s="9" t="s">
        <v>49</v>
      </c>
      <c r="M1226" s="7" t="s">
        <v>101</v>
      </c>
      <c r="N1226" s="217" t="s">
        <v>28</v>
      </c>
      <c r="O1226" s="11">
        <v>24191.0</v>
      </c>
      <c r="P1226" s="11">
        <v>26459.0</v>
      </c>
      <c r="Q1226" s="6">
        <v>43.0</v>
      </c>
      <c r="R1226" s="12">
        <f t="shared" si="30"/>
        <v>10402.13</v>
      </c>
    </row>
    <row r="1227">
      <c r="A1227" s="14">
        <v>45700.0</v>
      </c>
      <c r="B1227" s="8" t="s">
        <v>5777</v>
      </c>
      <c r="C1227" s="8" t="s">
        <v>5778</v>
      </c>
      <c r="D1227" s="7" t="s">
        <v>44</v>
      </c>
      <c r="E1227" s="8" t="s">
        <v>3826</v>
      </c>
      <c r="F1227" s="8" t="s">
        <v>5779</v>
      </c>
      <c r="G1227" s="7">
        <v>9.979383418E9</v>
      </c>
      <c r="H1227" s="7" t="s">
        <v>63</v>
      </c>
      <c r="I1227" s="7">
        <v>3895.0</v>
      </c>
      <c r="J1227" s="14">
        <v>46034.0</v>
      </c>
      <c r="K1227" s="7" t="s">
        <v>25</v>
      </c>
      <c r="L1227" s="9" t="s">
        <v>49</v>
      </c>
      <c r="M1227" s="7" t="s">
        <v>71</v>
      </c>
      <c r="N1227" s="217" t="s">
        <v>28</v>
      </c>
      <c r="O1227" s="11">
        <v>19447.0</v>
      </c>
      <c r="P1227" s="11">
        <v>20861.0</v>
      </c>
      <c r="Q1227" s="6">
        <v>43.0</v>
      </c>
      <c r="R1227" s="12">
        <f t="shared" si="30"/>
        <v>8362.21</v>
      </c>
    </row>
    <row r="1228">
      <c r="A1228" s="14">
        <v>45700.0</v>
      </c>
      <c r="B1228" s="8" t="s">
        <v>5780</v>
      </c>
      <c r="C1228" s="8" t="s">
        <v>5781</v>
      </c>
      <c r="D1228" s="7" t="s">
        <v>966</v>
      </c>
      <c r="E1228" s="8" t="s">
        <v>5764</v>
      </c>
      <c r="F1228" s="8" t="s">
        <v>5782</v>
      </c>
      <c r="G1228" s="7">
        <v>9.725733056E9</v>
      </c>
      <c r="H1228" s="7">
        <v>8.46010805E9</v>
      </c>
      <c r="I1228" s="7">
        <v>796.0</v>
      </c>
      <c r="J1228" s="14">
        <v>46093.0</v>
      </c>
      <c r="K1228" s="7" t="s">
        <v>65</v>
      </c>
      <c r="L1228" s="9" t="s">
        <v>26</v>
      </c>
      <c r="M1228" s="7" t="s">
        <v>27</v>
      </c>
      <c r="N1228" s="217" t="s">
        <v>28</v>
      </c>
      <c r="O1228" s="11">
        <v>2154.0</v>
      </c>
      <c r="P1228" s="11">
        <v>2542.0</v>
      </c>
      <c r="Q1228" s="6">
        <v>43.0</v>
      </c>
      <c r="R1228" s="12">
        <f t="shared" si="30"/>
        <v>926.22</v>
      </c>
    </row>
    <row r="1229">
      <c r="A1229" s="14">
        <v>45728.0</v>
      </c>
      <c r="B1229" s="8" t="s">
        <v>5783</v>
      </c>
      <c r="C1229" s="8" t="s">
        <v>5784</v>
      </c>
      <c r="D1229" s="7" t="s">
        <v>44</v>
      </c>
      <c r="E1229" s="8" t="s">
        <v>5785</v>
      </c>
      <c r="F1229" s="8" t="s">
        <v>5786</v>
      </c>
      <c r="G1229" s="7" t="s">
        <v>5787</v>
      </c>
      <c r="H1229" s="7">
        <v>9.978491992E9</v>
      </c>
      <c r="I1229" s="7">
        <v>2990.0</v>
      </c>
      <c r="J1229" s="14">
        <v>46065.0</v>
      </c>
      <c r="K1229" s="7" t="s">
        <v>116</v>
      </c>
      <c r="L1229" s="9" t="s">
        <v>49</v>
      </c>
      <c r="M1229" s="7" t="s">
        <v>71</v>
      </c>
      <c r="N1229" s="217" t="s">
        <v>28</v>
      </c>
      <c r="O1229" s="11">
        <v>17626.0</v>
      </c>
      <c r="P1229" s="11">
        <v>18694.0</v>
      </c>
      <c r="Q1229" s="6">
        <v>54.0</v>
      </c>
      <c r="R1229" s="12">
        <f t="shared" si="30"/>
        <v>9518.04</v>
      </c>
    </row>
    <row r="1230">
      <c r="A1230" s="261">
        <v>45728.0</v>
      </c>
      <c r="B1230" s="160" t="s">
        <v>293</v>
      </c>
      <c r="C1230" s="160" t="s">
        <v>5788</v>
      </c>
      <c r="D1230" s="160"/>
      <c r="E1230" s="160" t="s">
        <v>1041</v>
      </c>
      <c r="F1230" s="160" t="s">
        <v>374</v>
      </c>
      <c r="G1230" s="262" t="s">
        <v>63</v>
      </c>
      <c r="H1230" s="262" t="s">
        <v>63</v>
      </c>
      <c r="I1230" s="160"/>
      <c r="J1230" s="261">
        <v>46065.0</v>
      </c>
      <c r="K1230" s="262" t="s">
        <v>1043</v>
      </c>
      <c r="L1230" s="160"/>
      <c r="M1230" s="262" t="s">
        <v>27</v>
      </c>
      <c r="N1230" s="263" t="s">
        <v>28</v>
      </c>
      <c r="O1230" s="264">
        <v>13841.32</v>
      </c>
      <c r="P1230" s="264">
        <v>16332.76</v>
      </c>
      <c r="Q1230" s="265">
        <v>25.0</v>
      </c>
      <c r="R1230" s="266">
        <f t="shared" si="30"/>
        <v>3460.33</v>
      </c>
      <c r="S1230" s="267"/>
      <c r="T1230" s="267"/>
      <c r="U1230" s="267"/>
      <c r="V1230" s="267"/>
      <c r="W1230" s="267"/>
      <c r="X1230" s="267"/>
      <c r="Y1230" s="267"/>
      <c r="Z1230" s="267"/>
      <c r="AA1230" s="267"/>
      <c r="AB1230" s="267"/>
      <c r="AC1230" s="267"/>
      <c r="AD1230" s="267"/>
      <c r="AE1230" s="267"/>
      <c r="AF1230" s="267"/>
      <c r="AG1230" s="267"/>
      <c r="AH1230" s="267"/>
      <c r="AI1230" s="267"/>
    </row>
    <row r="1231">
      <c r="A1231" s="14">
        <v>45759.0</v>
      </c>
      <c r="B1231" s="8" t="s">
        <v>5789</v>
      </c>
      <c r="C1231" s="8" t="s">
        <v>5790</v>
      </c>
      <c r="D1231" s="7" t="s">
        <v>21</v>
      </c>
      <c r="E1231" s="8" t="s">
        <v>147</v>
      </c>
      <c r="F1231" s="8" t="s">
        <v>5791</v>
      </c>
      <c r="G1231" s="7" t="s">
        <v>5792</v>
      </c>
      <c r="H1231" s="7">
        <v>8.320805775E9</v>
      </c>
      <c r="I1231" s="7">
        <v>28000.0</v>
      </c>
      <c r="J1231" s="14">
        <v>46093.0</v>
      </c>
      <c r="K1231" s="7" t="s">
        <v>25</v>
      </c>
      <c r="L1231" s="9" t="s">
        <v>26</v>
      </c>
      <c r="M1231" s="7" t="s">
        <v>389</v>
      </c>
      <c r="N1231" s="217" t="s">
        <v>28</v>
      </c>
      <c r="O1231" s="11">
        <v>44050.0</v>
      </c>
      <c r="P1231" s="11">
        <v>46266.0</v>
      </c>
      <c r="Q1231" s="6">
        <v>51.0</v>
      </c>
      <c r="R1231" s="12">
        <f t="shared" si="30"/>
        <v>22465.5</v>
      </c>
    </row>
    <row r="1232">
      <c r="A1232" s="14">
        <v>45789.0</v>
      </c>
      <c r="B1232" s="58" t="s">
        <v>5793</v>
      </c>
      <c r="C1232" s="58" t="s">
        <v>5794</v>
      </c>
      <c r="D1232" s="7" t="s">
        <v>44</v>
      </c>
      <c r="E1232" s="58" t="s">
        <v>5795</v>
      </c>
      <c r="F1232" s="58" t="s">
        <v>5796</v>
      </c>
      <c r="G1232" s="7">
        <v>9.925734963E9</v>
      </c>
      <c r="H1232" s="7" t="s">
        <v>63</v>
      </c>
      <c r="I1232" s="7">
        <v>1550.0</v>
      </c>
      <c r="J1232" s="60">
        <v>46307.0</v>
      </c>
      <c r="K1232" s="7" t="s">
        <v>668</v>
      </c>
      <c r="L1232" s="9" t="s">
        <v>49</v>
      </c>
      <c r="M1232" s="7" t="s">
        <v>50</v>
      </c>
      <c r="N1232" s="217" t="s">
        <v>28</v>
      </c>
      <c r="O1232" s="62">
        <v>17386.0</v>
      </c>
      <c r="P1232" s="62">
        <v>18430.0</v>
      </c>
      <c r="Q1232" s="6">
        <v>61.0</v>
      </c>
      <c r="R1232" s="12">
        <f t="shared" si="30"/>
        <v>10605.46</v>
      </c>
    </row>
    <row r="1233">
      <c r="A1233" s="14">
        <v>45820.0</v>
      </c>
      <c r="B1233" s="58" t="s">
        <v>5797</v>
      </c>
      <c r="C1233" s="58" t="s">
        <v>5798</v>
      </c>
      <c r="D1233" s="7" t="s">
        <v>44</v>
      </c>
      <c r="E1233" s="58" t="s">
        <v>5799</v>
      </c>
      <c r="F1233" s="58" t="s">
        <v>5800</v>
      </c>
      <c r="G1233" s="7">
        <v>9.909874439E9</v>
      </c>
      <c r="H1233" s="7">
        <v>8.780131078E9</v>
      </c>
      <c r="I1233" s="7">
        <v>1630.0</v>
      </c>
      <c r="J1233" s="60">
        <v>46185.0</v>
      </c>
      <c r="K1233" s="7" t="s">
        <v>143</v>
      </c>
      <c r="L1233" s="9" t="s">
        <v>49</v>
      </c>
      <c r="M1233" s="7" t="s">
        <v>71</v>
      </c>
      <c r="N1233" s="217" t="s">
        <v>28</v>
      </c>
      <c r="O1233" s="70">
        <v>17368.0</v>
      </c>
      <c r="P1233" s="70">
        <v>18408.0</v>
      </c>
      <c r="Q1233" s="6">
        <v>62.0</v>
      </c>
      <c r="R1233" s="12">
        <f t="shared" si="30"/>
        <v>10768.16</v>
      </c>
    </row>
    <row r="1234">
      <c r="A1234" s="14">
        <v>45820.0</v>
      </c>
      <c r="B1234" s="58" t="s">
        <v>5801</v>
      </c>
      <c r="C1234" s="58" t="s">
        <v>5802</v>
      </c>
      <c r="D1234" s="7" t="s">
        <v>75</v>
      </c>
      <c r="E1234" s="58" t="s">
        <v>225</v>
      </c>
      <c r="F1234" s="58" t="s">
        <v>5803</v>
      </c>
      <c r="G1234" s="7">
        <v>9.979356072E9</v>
      </c>
      <c r="H1234" s="7">
        <v>7.046554949E9</v>
      </c>
      <c r="I1234" s="7">
        <v>995.0</v>
      </c>
      <c r="J1234" s="268">
        <v>46154.0</v>
      </c>
      <c r="K1234" s="10" t="s">
        <v>41</v>
      </c>
      <c r="L1234" s="9" t="s">
        <v>49</v>
      </c>
      <c r="M1234" s="7" t="s">
        <v>71</v>
      </c>
      <c r="N1234" s="217" t="s">
        <v>28</v>
      </c>
      <c r="O1234" s="70">
        <v>5163.0</v>
      </c>
      <c r="P1234" s="70">
        <v>5501.0</v>
      </c>
      <c r="Q1234" s="6">
        <v>52.5</v>
      </c>
      <c r="R1234" s="12">
        <f t="shared" si="30"/>
        <v>2710.575</v>
      </c>
    </row>
    <row r="1235">
      <c r="A1235" s="14">
        <v>45820.0</v>
      </c>
      <c r="B1235" s="58" t="s">
        <v>5804</v>
      </c>
      <c r="C1235" s="58" t="s">
        <v>5805</v>
      </c>
      <c r="D1235" s="7" t="s">
        <v>75</v>
      </c>
      <c r="E1235" s="58" t="s">
        <v>225</v>
      </c>
      <c r="F1235" s="58" t="s">
        <v>5806</v>
      </c>
      <c r="G1235" s="7">
        <v>9.106817371E9</v>
      </c>
      <c r="H1235" s="7">
        <v>9.825497049E9</v>
      </c>
      <c r="I1235" s="7">
        <v>995.0</v>
      </c>
      <c r="J1235" s="60">
        <v>46154.0</v>
      </c>
      <c r="K1235" s="7" t="s">
        <v>41</v>
      </c>
      <c r="L1235" s="9" t="s">
        <v>49</v>
      </c>
      <c r="M1235" s="7" t="s">
        <v>96</v>
      </c>
      <c r="N1235" s="217" t="s">
        <v>28</v>
      </c>
      <c r="O1235" s="70">
        <v>5358.0</v>
      </c>
      <c r="P1235" s="70">
        <v>5732.0</v>
      </c>
      <c r="Q1235" s="6">
        <v>52.5</v>
      </c>
      <c r="R1235" s="12">
        <f t="shared" si="30"/>
        <v>2812.95</v>
      </c>
    </row>
    <row r="1236">
      <c r="A1236" s="14">
        <v>45820.0</v>
      </c>
      <c r="B1236" s="58" t="s">
        <v>4631</v>
      </c>
      <c r="C1236" s="58" t="s">
        <v>5807</v>
      </c>
      <c r="D1236" s="7" t="s">
        <v>37</v>
      </c>
      <c r="E1236" s="58" t="s">
        <v>565</v>
      </c>
      <c r="F1236" s="58" t="s">
        <v>4633</v>
      </c>
      <c r="G1236" s="7">
        <v>9.879130629E9</v>
      </c>
      <c r="H1236" s="7" t="s">
        <v>63</v>
      </c>
      <c r="I1236" s="7">
        <v>2365.0</v>
      </c>
      <c r="J1236" s="14">
        <v>46082.0</v>
      </c>
      <c r="K1236" s="7" t="s">
        <v>25</v>
      </c>
      <c r="L1236" s="9" t="s">
        <v>49</v>
      </c>
      <c r="M1236" s="7" t="s">
        <v>27</v>
      </c>
      <c r="N1236" s="217" t="s">
        <v>28</v>
      </c>
      <c r="O1236" s="62">
        <v>742.0</v>
      </c>
      <c r="P1236" s="62">
        <v>877.0</v>
      </c>
      <c r="Q1236" s="6">
        <v>0.0</v>
      </c>
      <c r="R1236" s="12">
        <f t="shared" si="30"/>
        <v>0</v>
      </c>
    </row>
    <row r="1237">
      <c r="A1237" s="14">
        <v>45820.0</v>
      </c>
      <c r="B1237" s="58" t="s">
        <v>5808</v>
      </c>
      <c r="C1237" s="58" t="s">
        <v>5809</v>
      </c>
      <c r="D1237" s="7" t="s">
        <v>75</v>
      </c>
      <c r="E1237" s="58" t="s">
        <v>225</v>
      </c>
      <c r="F1237" s="58" t="s">
        <v>5810</v>
      </c>
      <c r="G1237" s="7">
        <v>9.51058755E9</v>
      </c>
      <c r="H1237" s="7">
        <v>9.53762825E9</v>
      </c>
      <c r="I1237" s="7">
        <v>995.0</v>
      </c>
      <c r="J1237" s="268">
        <v>46185.0</v>
      </c>
      <c r="K1237" s="7" t="s">
        <v>41</v>
      </c>
      <c r="L1237" s="9" t="s">
        <v>49</v>
      </c>
      <c r="M1237" s="7" t="s">
        <v>84</v>
      </c>
      <c r="N1237" s="217" t="s">
        <v>28</v>
      </c>
      <c r="O1237" s="70">
        <v>5358.0</v>
      </c>
      <c r="P1237" s="70">
        <v>5732.0</v>
      </c>
      <c r="Q1237" s="6">
        <v>52.5</v>
      </c>
      <c r="R1237" s="12">
        <f t="shared" si="30"/>
        <v>2812.95</v>
      </c>
    </row>
    <row r="1238">
      <c r="A1238" s="14">
        <v>45850.0</v>
      </c>
      <c r="B1238" s="58" t="s">
        <v>5811</v>
      </c>
      <c r="C1238" s="58" t="s">
        <v>5812</v>
      </c>
      <c r="D1238" s="7" t="s">
        <v>21</v>
      </c>
      <c r="E1238" s="58" t="s">
        <v>5813</v>
      </c>
      <c r="F1238" s="58" t="s">
        <v>5814</v>
      </c>
      <c r="G1238" s="7">
        <v>9.998252863E9</v>
      </c>
      <c r="H1238" s="7">
        <v>9.590178692E9</v>
      </c>
      <c r="I1238" s="7">
        <v>42000.0</v>
      </c>
      <c r="J1238" s="60">
        <v>46185.0</v>
      </c>
      <c r="K1238" s="7" t="s">
        <v>70</v>
      </c>
      <c r="L1238" s="9" t="s">
        <v>49</v>
      </c>
      <c r="M1238" s="7" t="s">
        <v>71</v>
      </c>
      <c r="N1238" s="217" t="s">
        <v>28</v>
      </c>
      <c r="O1238" s="70">
        <v>50007.0</v>
      </c>
      <c r="P1238" s="70">
        <v>53257.0</v>
      </c>
      <c r="Q1238" s="6">
        <v>27.0</v>
      </c>
      <c r="R1238" s="12">
        <f t="shared" si="30"/>
        <v>13501.89</v>
      </c>
    </row>
    <row r="1239">
      <c r="A1239" s="14">
        <v>45850.0</v>
      </c>
      <c r="B1239" s="58" t="s">
        <v>5815</v>
      </c>
      <c r="C1239" s="58" t="s">
        <v>5816</v>
      </c>
      <c r="D1239" s="7" t="s">
        <v>93</v>
      </c>
      <c r="E1239" s="58" t="s">
        <v>5817</v>
      </c>
      <c r="F1239" s="58" t="s">
        <v>5818</v>
      </c>
      <c r="G1239" s="7">
        <v>7.878783727E9</v>
      </c>
      <c r="H1239" s="7">
        <v>8.128115911E9</v>
      </c>
      <c r="I1239" s="7">
        <v>11950.0</v>
      </c>
      <c r="J1239" s="60">
        <v>46154.0</v>
      </c>
      <c r="K1239" s="7" t="s">
        <v>56</v>
      </c>
      <c r="L1239" s="9" t="s">
        <v>49</v>
      </c>
      <c r="M1239" s="7" t="s">
        <v>271</v>
      </c>
      <c r="N1239" s="217" t="s">
        <v>28</v>
      </c>
      <c r="O1239" s="62">
        <v>28324.0</v>
      </c>
      <c r="P1239" s="62">
        <v>29888.0</v>
      </c>
      <c r="Q1239" s="6">
        <v>26.0</v>
      </c>
      <c r="R1239" s="12">
        <f t="shared" si="30"/>
        <v>7364.24</v>
      </c>
    </row>
    <row r="1240">
      <c r="A1240" s="19">
        <v>45912.0</v>
      </c>
      <c r="B1240" s="58" t="s">
        <v>1141</v>
      </c>
      <c r="C1240" s="58" t="s">
        <v>5819</v>
      </c>
      <c r="D1240" s="7" t="s">
        <v>37</v>
      </c>
      <c r="E1240" s="58" t="s">
        <v>565</v>
      </c>
      <c r="F1240" s="58" t="s">
        <v>1144</v>
      </c>
      <c r="G1240" s="62">
        <v>9.924269892E9</v>
      </c>
      <c r="H1240" s="7" t="s">
        <v>63</v>
      </c>
      <c r="I1240" s="7">
        <v>2730.0</v>
      </c>
      <c r="J1240" s="269">
        <v>46204.0</v>
      </c>
      <c r="K1240" s="7" t="s">
        <v>25</v>
      </c>
      <c r="L1240" s="34" t="s">
        <v>49</v>
      </c>
      <c r="M1240" s="7" t="s">
        <v>27</v>
      </c>
      <c r="N1240" s="217" t="s">
        <v>28</v>
      </c>
      <c r="O1240" s="71">
        <v>700.0</v>
      </c>
      <c r="P1240" s="70">
        <v>827.0</v>
      </c>
      <c r="Q1240" s="6">
        <v>0.0</v>
      </c>
      <c r="R1240" s="12">
        <f t="shared" si="30"/>
        <v>0</v>
      </c>
    </row>
    <row r="1241">
      <c r="A1241" s="19">
        <v>45912.0</v>
      </c>
      <c r="B1241" s="58" t="s">
        <v>5820</v>
      </c>
      <c r="C1241" s="58" t="s">
        <v>5821</v>
      </c>
      <c r="D1241" s="7" t="s">
        <v>44</v>
      </c>
      <c r="E1241" s="58" t="s">
        <v>5822</v>
      </c>
      <c r="F1241" s="58" t="s">
        <v>5823</v>
      </c>
      <c r="G1241" s="7">
        <v>9.099253293E9</v>
      </c>
      <c r="H1241" s="7">
        <v>7.433842589E9</v>
      </c>
      <c r="I1241" s="7">
        <v>2450.0</v>
      </c>
      <c r="J1241" s="61">
        <v>46277.0</v>
      </c>
      <c r="K1241" s="7" t="s">
        <v>143</v>
      </c>
      <c r="L1241" s="9" t="s">
        <v>49</v>
      </c>
      <c r="M1241" s="7" t="s">
        <v>33</v>
      </c>
      <c r="N1241" s="217" t="s">
        <v>28</v>
      </c>
      <c r="O1241" s="70">
        <v>17308.0</v>
      </c>
      <c r="P1241" s="70">
        <v>18337.0</v>
      </c>
      <c r="Q1241" s="6">
        <v>62.0</v>
      </c>
      <c r="R1241" s="12">
        <f t="shared" si="30"/>
        <v>10730.96</v>
      </c>
    </row>
    <row r="1242">
      <c r="A1242" s="19">
        <v>45942.0</v>
      </c>
      <c r="B1242" s="58" t="s">
        <v>5824</v>
      </c>
      <c r="C1242" s="58" t="s">
        <v>5825</v>
      </c>
      <c r="D1242" s="7" t="s">
        <v>93</v>
      </c>
      <c r="E1242" s="58" t="s">
        <v>5826</v>
      </c>
      <c r="F1242" s="58" t="s">
        <v>5827</v>
      </c>
      <c r="G1242" s="7">
        <v>9.687062155E9</v>
      </c>
      <c r="H1242" s="7">
        <v>9.537307613E9</v>
      </c>
      <c r="I1242" s="7">
        <v>11950.0</v>
      </c>
      <c r="J1242" s="61">
        <v>46277.0</v>
      </c>
      <c r="K1242" s="7" t="s">
        <v>668</v>
      </c>
      <c r="L1242" s="9" t="s">
        <v>26</v>
      </c>
      <c r="M1242" s="7" t="s">
        <v>185</v>
      </c>
      <c r="N1242" s="217" t="s">
        <v>28</v>
      </c>
      <c r="O1242" s="62">
        <v>27286.0</v>
      </c>
      <c r="P1242" s="71">
        <v>28664.0</v>
      </c>
      <c r="Q1242" s="6">
        <v>44.0</v>
      </c>
      <c r="R1242" s="12">
        <f t="shared" si="30"/>
        <v>12005.84</v>
      </c>
    </row>
    <row r="1243">
      <c r="A1243" s="19">
        <v>45942.0</v>
      </c>
      <c r="B1243" s="58" t="s">
        <v>5828</v>
      </c>
      <c r="C1243" s="58" t="s">
        <v>5829</v>
      </c>
      <c r="D1243" s="7" t="s">
        <v>21</v>
      </c>
      <c r="E1243" s="58" t="s">
        <v>5507</v>
      </c>
      <c r="F1243" s="58" t="s">
        <v>270</v>
      </c>
      <c r="G1243" s="7">
        <v>8.329666175E9</v>
      </c>
      <c r="H1243" s="7" t="s">
        <v>63</v>
      </c>
      <c r="I1243" s="7">
        <v>45500.0</v>
      </c>
      <c r="J1243" s="61">
        <v>46307.0</v>
      </c>
      <c r="K1243" s="7" t="s">
        <v>56</v>
      </c>
      <c r="L1243" s="9" t="s">
        <v>49</v>
      </c>
      <c r="M1243" s="7" t="s">
        <v>271</v>
      </c>
      <c r="N1243" s="217" t="s">
        <v>28</v>
      </c>
      <c r="O1243" s="62">
        <v>45675.0</v>
      </c>
      <c r="P1243" s="62">
        <v>48145.0</v>
      </c>
      <c r="Q1243" s="6">
        <v>24.0</v>
      </c>
      <c r="R1243" s="12">
        <f t="shared" si="30"/>
        <v>10962</v>
      </c>
    </row>
    <row r="1244">
      <c r="A1244" s="19">
        <v>45942.0</v>
      </c>
      <c r="B1244" s="58" t="s">
        <v>5830</v>
      </c>
      <c r="C1244" s="58" t="s">
        <v>5831</v>
      </c>
      <c r="D1244" s="7" t="s">
        <v>75</v>
      </c>
      <c r="E1244" s="58" t="s">
        <v>225</v>
      </c>
      <c r="F1244" s="58" t="s">
        <v>5832</v>
      </c>
      <c r="G1244" s="7">
        <v>7.487950685E9</v>
      </c>
      <c r="H1244" s="7">
        <v>8.758392315E9</v>
      </c>
      <c r="I1244" s="7">
        <v>995.0</v>
      </c>
      <c r="J1244" s="62" t="s">
        <v>5833</v>
      </c>
      <c r="K1244" s="7" t="s">
        <v>41</v>
      </c>
      <c r="L1244" s="9" t="s">
        <v>49</v>
      </c>
      <c r="M1244" s="7" t="s">
        <v>84</v>
      </c>
      <c r="N1244" s="217" t="s">
        <v>28</v>
      </c>
      <c r="O1244" s="70">
        <v>6365.0</v>
      </c>
      <c r="P1244" s="70">
        <v>6919.0</v>
      </c>
      <c r="Q1244" s="6">
        <v>52.5</v>
      </c>
      <c r="R1244" s="12">
        <f t="shared" si="30"/>
        <v>3341.625</v>
      </c>
    </row>
    <row r="1245">
      <c r="A1245" s="19">
        <v>45973.0</v>
      </c>
      <c r="B1245" s="58" t="s">
        <v>5834</v>
      </c>
      <c r="C1245" s="58" t="s">
        <v>5835</v>
      </c>
      <c r="D1245" s="7" t="s">
        <v>21</v>
      </c>
      <c r="E1245" s="58" t="s">
        <v>5836</v>
      </c>
      <c r="F1245" s="58" t="s">
        <v>5837</v>
      </c>
      <c r="G1245" s="7">
        <v>8.20001614E9</v>
      </c>
      <c r="H1245" s="7" t="s">
        <v>63</v>
      </c>
      <c r="I1245" s="7">
        <v>18500.0</v>
      </c>
      <c r="J1245" s="61">
        <v>46307.0</v>
      </c>
      <c r="K1245" s="7" t="s">
        <v>56</v>
      </c>
      <c r="L1245" s="9" t="s">
        <v>49</v>
      </c>
      <c r="M1245" s="7" t="s">
        <v>27</v>
      </c>
      <c r="N1245" s="217" t="s">
        <v>28</v>
      </c>
      <c r="O1245" s="70">
        <v>38008.0</v>
      </c>
      <c r="P1245" s="70">
        <v>40259.0</v>
      </c>
      <c r="Q1245" s="6">
        <v>12.0</v>
      </c>
      <c r="R1245" s="12">
        <f t="shared" si="30"/>
        <v>4560.96</v>
      </c>
    </row>
    <row r="1246">
      <c r="A1246" s="19">
        <v>45973.0</v>
      </c>
      <c r="B1246" s="58" t="s">
        <v>5838</v>
      </c>
      <c r="C1246" s="58" t="s">
        <v>5839</v>
      </c>
      <c r="D1246" s="7" t="s">
        <v>44</v>
      </c>
      <c r="E1246" s="58" t="s">
        <v>434</v>
      </c>
      <c r="F1246" s="58" t="s">
        <v>5840</v>
      </c>
      <c r="G1246" s="7" t="s">
        <v>5841</v>
      </c>
      <c r="H1246" s="7" t="s">
        <v>5842</v>
      </c>
      <c r="I1246" s="7">
        <v>5950.0</v>
      </c>
      <c r="J1246" s="61">
        <v>46307.0</v>
      </c>
      <c r="K1246" s="7" t="s">
        <v>25</v>
      </c>
      <c r="L1246" s="9" t="s">
        <v>49</v>
      </c>
      <c r="M1246" s="7" t="s">
        <v>27</v>
      </c>
      <c r="N1246" s="217" t="s">
        <v>28</v>
      </c>
      <c r="O1246" s="70">
        <v>18425.0</v>
      </c>
      <c r="P1246" s="70">
        <v>19655.0</v>
      </c>
      <c r="Q1246" s="6">
        <v>40.0</v>
      </c>
      <c r="R1246" s="12">
        <f t="shared" si="30"/>
        <v>7370</v>
      </c>
    </row>
    <row r="1247">
      <c r="A1247" s="19">
        <v>45973.0</v>
      </c>
      <c r="B1247" s="58" t="s">
        <v>5843</v>
      </c>
      <c r="C1247" s="58" t="s">
        <v>5844</v>
      </c>
      <c r="D1247" s="7" t="s">
        <v>37</v>
      </c>
      <c r="E1247" s="58" t="s">
        <v>5845</v>
      </c>
      <c r="F1247" s="58" t="s">
        <v>5846</v>
      </c>
      <c r="G1247" s="8"/>
      <c r="H1247" s="8"/>
      <c r="I1247" s="7">
        <v>4500.0</v>
      </c>
      <c r="J1247" s="62" t="s">
        <v>106</v>
      </c>
      <c r="K1247" s="7" t="s">
        <v>41</v>
      </c>
      <c r="L1247" s="9" t="s">
        <v>26</v>
      </c>
      <c r="M1247" s="7" t="s">
        <v>27</v>
      </c>
      <c r="N1247" s="217" t="s">
        <v>28</v>
      </c>
      <c r="O1247" s="70">
        <v>2485.0</v>
      </c>
      <c r="P1247" s="70">
        <v>2933.0</v>
      </c>
      <c r="Q1247" s="6">
        <v>0.0</v>
      </c>
      <c r="R1247" s="12">
        <f t="shared" si="30"/>
        <v>0</v>
      </c>
    </row>
    <row r="1248">
      <c r="A1248" s="19">
        <v>45973.0</v>
      </c>
      <c r="B1248" s="58" t="s">
        <v>5847</v>
      </c>
      <c r="C1248" s="58" t="s">
        <v>5848</v>
      </c>
      <c r="D1248" s="7" t="s">
        <v>21</v>
      </c>
      <c r="E1248" s="58" t="s">
        <v>5625</v>
      </c>
      <c r="F1248" s="58" t="s">
        <v>270</v>
      </c>
      <c r="G1248" s="7">
        <v>8.329666175E9</v>
      </c>
      <c r="H1248" s="7" t="s">
        <v>63</v>
      </c>
      <c r="I1248" s="7">
        <v>45500.0</v>
      </c>
      <c r="J1248" s="61">
        <v>46307.0</v>
      </c>
      <c r="K1248" s="7" t="s">
        <v>56</v>
      </c>
      <c r="L1248" s="9" t="s">
        <v>49</v>
      </c>
      <c r="M1248" s="7" t="s">
        <v>271</v>
      </c>
      <c r="N1248" s="217" t="s">
        <v>28</v>
      </c>
      <c r="O1248" s="70">
        <v>49539.0</v>
      </c>
      <c r="P1248" s="70">
        <v>52705.0</v>
      </c>
      <c r="Q1248" s="6">
        <v>24.0</v>
      </c>
      <c r="R1248" s="12">
        <f t="shared" si="30"/>
        <v>11889.36</v>
      </c>
    </row>
    <row r="1249">
      <c r="A1249" s="19">
        <v>45973.0</v>
      </c>
      <c r="B1249" s="58" t="s">
        <v>5849</v>
      </c>
      <c r="C1249" s="58" t="s">
        <v>5850</v>
      </c>
      <c r="D1249" s="7" t="s">
        <v>44</v>
      </c>
      <c r="E1249" s="58" t="s">
        <v>5851</v>
      </c>
      <c r="F1249" s="58" t="s">
        <v>5852</v>
      </c>
      <c r="G1249" s="7">
        <v>9.106801009E9</v>
      </c>
      <c r="H1249" s="7">
        <v>8.169255035E9</v>
      </c>
      <c r="I1249" s="7">
        <v>2250.0</v>
      </c>
      <c r="J1249" s="60">
        <v>46277.0</v>
      </c>
      <c r="K1249" s="7" t="s">
        <v>48</v>
      </c>
      <c r="L1249" s="9" t="s">
        <v>49</v>
      </c>
      <c r="M1249" s="7" t="s">
        <v>50</v>
      </c>
      <c r="N1249" s="217" t="s">
        <v>28</v>
      </c>
      <c r="O1249" s="70">
        <v>16941.0</v>
      </c>
      <c r="P1249" s="62">
        <v>17904.0</v>
      </c>
      <c r="Q1249" s="6">
        <v>63.0</v>
      </c>
      <c r="R1249" s="12">
        <f t="shared" si="30"/>
        <v>10672.83</v>
      </c>
    </row>
    <row r="1250">
      <c r="A1250" s="19">
        <v>46003.0</v>
      </c>
      <c r="B1250" s="58" t="s">
        <v>5853</v>
      </c>
      <c r="C1250" s="58" t="s">
        <v>5854</v>
      </c>
      <c r="D1250" s="7" t="s">
        <v>75</v>
      </c>
      <c r="E1250" s="58" t="s">
        <v>334</v>
      </c>
      <c r="F1250" s="58" t="s">
        <v>5855</v>
      </c>
      <c r="G1250" s="7">
        <v>9.978843906E9</v>
      </c>
      <c r="H1250" s="7">
        <v>8.32081308E9</v>
      </c>
      <c r="I1250" s="7">
        <v>995.0</v>
      </c>
      <c r="J1250" s="62" t="s">
        <v>5856</v>
      </c>
      <c r="K1250" s="7" t="s">
        <v>41</v>
      </c>
      <c r="L1250" s="9" t="s">
        <v>49</v>
      </c>
      <c r="M1250" s="7" t="s">
        <v>71</v>
      </c>
      <c r="N1250" s="217" t="s">
        <v>28</v>
      </c>
      <c r="O1250" s="70">
        <v>5278.0</v>
      </c>
      <c r="P1250" s="70">
        <v>5644.0</v>
      </c>
      <c r="Q1250" s="6">
        <v>52.5</v>
      </c>
      <c r="R1250" s="12">
        <f t="shared" si="30"/>
        <v>2770.95</v>
      </c>
    </row>
    <row r="1251">
      <c r="A1251" s="19">
        <v>46003.0</v>
      </c>
      <c r="B1251" s="58" t="s">
        <v>5857</v>
      </c>
      <c r="C1251" s="58" t="s">
        <v>5858</v>
      </c>
      <c r="D1251" s="7" t="s">
        <v>75</v>
      </c>
      <c r="E1251" s="58" t="s">
        <v>291</v>
      </c>
      <c r="F1251" s="58" t="s">
        <v>5859</v>
      </c>
      <c r="G1251" s="7">
        <v>9.712369592E9</v>
      </c>
      <c r="H1251" s="7">
        <v>9.016985283E9</v>
      </c>
      <c r="I1251" s="7">
        <v>990.0</v>
      </c>
      <c r="J1251" s="61">
        <v>46338.0</v>
      </c>
      <c r="K1251" s="7" t="s">
        <v>41</v>
      </c>
      <c r="L1251" s="9" t="s">
        <v>49</v>
      </c>
      <c r="M1251" s="7" t="s">
        <v>71</v>
      </c>
      <c r="N1251" s="217" t="s">
        <v>28</v>
      </c>
      <c r="O1251" s="70">
        <v>5088.0</v>
      </c>
      <c r="P1251" s="70">
        <v>5412.0</v>
      </c>
      <c r="Q1251" s="6">
        <v>52.5</v>
      </c>
      <c r="R1251" s="12">
        <f t="shared" si="30"/>
        <v>2671.2</v>
      </c>
    </row>
    <row r="1252">
      <c r="A1252" s="7" t="s">
        <v>5860</v>
      </c>
      <c r="B1252" s="58" t="s">
        <v>5861</v>
      </c>
      <c r="C1252" s="58" t="s">
        <v>5862</v>
      </c>
      <c r="D1252" s="7" t="s">
        <v>60</v>
      </c>
      <c r="E1252" s="58" t="s">
        <v>723</v>
      </c>
      <c r="F1252" s="58" t="s">
        <v>5863</v>
      </c>
      <c r="G1252" s="7" t="s">
        <v>5864</v>
      </c>
      <c r="H1252" s="8"/>
      <c r="I1252" s="7">
        <v>124.0</v>
      </c>
      <c r="J1252" s="61">
        <v>46368.0</v>
      </c>
      <c r="K1252" s="7" t="s">
        <v>65</v>
      </c>
      <c r="L1252" s="9" t="s">
        <v>26</v>
      </c>
      <c r="M1252" s="7" t="s">
        <v>27</v>
      </c>
      <c r="N1252" s="217" t="s">
        <v>28</v>
      </c>
      <c r="O1252" s="62">
        <v>714.0</v>
      </c>
      <c r="P1252" s="62">
        <v>842.0</v>
      </c>
      <c r="Q1252" s="6">
        <v>52.0</v>
      </c>
      <c r="R1252" s="12">
        <f t="shared" si="30"/>
        <v>371.28</v>
      </c>
    </row>
    <row r="1253">
      <c r="A1253" s="7" t="s">
        <v>5860</v>
      </c>
      <c r="B1253" s="58" t="s">
        <v>5865</v>
      </c>
      <c r="C1253" s="58" t="s">
        <v>5866</v>
      </c>
      <c r="D1253" s="7" t="s">
        <v>21</v>
      </c>
      <c r="E1253" s="58" t="s">
        <v>1360</v>
      </c>
      <c r="F1253" s="58" t="s">
        <v>5867</v>
      </c>
      <c r="G1253" s="7">
        <v>9.725036831E9</v>
      </c>
      <c r="H1253" s="7">
        <v>9.925361971E9</v>
      </c>
      <c r="I1253" s="7">
        <v>28000.0</v>
      </c>
      <c r="J1253" s="61">
        <v>46368.0</v>
      </c>
      <c r="K1253" s="7" t="s">
        <v>25</v>
      </c>
      <c r="L1253" s="9" t="s">
        <v>26</v>
      </c>
      <c r="M1253" s="7" t="s">
        <v>185</v>
      </c>
      <c r="N1253" s="217" t="s">
        <v>28</v>
      </c>
      <c r="O1253" s="62">
        <v>44050.0</v>
      </c>
      <c r="P1253" s="62">
        <v>46266.0</v>
      </c>
      <c r="Q1253" s="6">
        <v>51.0</v>
      </c>
      <c r="R1253" s="12">
        <f t="shared" si="30"/>
        <v>22465.5</v>
      </c>
    </row>
    <row r="1254">
      <c r="A1254" s="7" t="s">
        <v>5860</v>
      </c>
      <c r="B1254" s="58" t="s">
        <v>5868</v>
      </c>
      <c r="C1254" s="58" t="s">
        <v>5869</v>
      </c>
      <c r="D1254" s="7" t="s">
        <v>60</v>
      </c>
      <c r="E1254" s="58" t="s">
        <v>5870</v>
      </c>
      <c r="F1254" s="58" t="s">
        <v>5871</v>
      </c>
      <c r="G1254" s="7">
        <v>7.572875861E9</v>
      </c>
      <c r="H1254" s="7" t="s">
        <v>63</v>
      </c>
      <c r="I1254" s="7">
        <v>109.0</v>
      </c>
      <c r="J1254" s="61">
        <v>46368.0</v>
      </c>
      <c r="K1254" s="7" t="s">
        <v>65</v>
      </c>
      <c r="L1254" s="9" t="s">
        <v>26</v>
      </c>
      <c r="M1254" s="7" t="s">
        <v>27</v>
      </c>
      <c r="N1254" s="217" t="s">
        <v>28</v>
      </c>
      <c r="O1254" s="62">
        <v>714.0</v>
      </c>
      <c r="P1254" s="62">
        <v>842.0</v>
      </c>
      <c r="Q1254" s="6">
        <v>58.0</v>
      </c>
      <c r="R1254" s="12">
        <f t="shared" si="30"/>
        <v>414.12</v>
      </c>
    </row>
    <row r="1255">
      <c r="A1255" s="7" t="s">
        <v>5860</v>
      </c>
      <c r="B1255" s="58" t="s">
        <v>5872</v>
      </c>
      <c r="C1255" s="58" t="s">
        <v>5873</v>
      </c>
      <c r="D1255" s="7" t="s">
        <v>44</v>
      </c>
      <c r="E1255" s="58" t="s">
        <v>3826</v>
      </c>
      <c r="F1255" s="58" t="s">
        <v>5874</v>
      </c>
      <c r="G1255" s="7">
        <v>7.990812396E9</v>
      </c>
      <c r="H1255" s="7">
        <v>8.758280397E9</v>
      </c>
      <c r="I1255" s="7">
        <v>3895.0</v>
      </c>
      <c r="J1255" s="61">
        <v>46368.0</v>
      </c>
      <c r="K1255" s="7" t="s">
        <v>25</v>
      </c>
      <c r="L1255" s="9" t="s">
        <v>26</v>
      </c>
      <c r="M1255" s="7" t="s">
        <v>27</v>
      </c>
      <c r="N1255" s="217" t="s">
        <v>28</v>
      </c>
      <c r="O1255" s="62">
        <v>16149.0</v>
      </c>
      <c r="P1255" s="62">
        <v>16969.0</v>
      </c>
      <c r="Q1255" s="6">
        <v>43.0</v>
      </c>
      <c r="R1255" s="12">
        <f t="shared" si="30"/>
        <v>6944.07</v>
      </c>
    </row>
    <row r="1256">
      <c r="A1256" s="7" t="s">
        <v>5860</v>
      </c>
      <c r="B1256" s="58" t="s">
        <v>5875</v>
      </c>
      <c r="C1256" s="58" t="s">
        <v>5876</v>
      </c>
      <c r="D1256" s="7" t="s">
        <v>44</v>
      </c>
      <c r="E1256" s="58" t="s">
        <v>5690</v>
      </c>
      <c r="F1256" s="58" t="s">
        <v>5877</v>
      </c>
      <c r="G1256" s="7" t="s">
        <v>5878</v>
      </c>
      <c r="H1256" s="7" t="s">
        <v>5879</v>
      </c>
      <c r="I1256" s="7">
        <v>5400.0</v>
      </c>
      <c r="J1256" s="61">
        <v>46338.0</v>
      </c>
      <c r="K1256" s="7" t="s">
        <v>25</v>
      </c>
      <c r="L1256" s="9" t="s">
        <v>49</v>
      </c>
      <c r="M1256" s="7" t="s">
        <v>96</v>
      </c>
      <c r="N1256" s="217" t="s">
        <v>28</v>
      </c>
      <c r="O1256" s="70">
        <v>25327.0</v>
      </c>
      <c r="P1256" s="70">
        <v>27799.0</v>
      </c>
      <c r="Q1256" s="6">
        <v>43.0</v>
      </c>
      <c r="R1256" s="12">
        <f t="shared" si="30"/>
        <v>10890.61</v>
      </c>
    </row>
    <row r="1257">
      <c r="A1257" s="7" t="s">
        <v>5860</v>
      </c>
      <c r="B1257" s="58" t="s">
        <v>5880</v>
      </c>
      <c r="C1257" s="58" t="s">
        <v>5881</v>
      </c>
      <c r="D1257" s="7" t="s">
        <v>21</v>
      </c>
      <c r="E1257" s="58" t="s">
        <v>5882</v>
      </c>
      <c r="F1257" s="58" t="s">
        <v>5883</v>
      </c>
      <c r="G1257" s="7">
        <v>9.624405525E9</v>
      </c>
      <c r="H1257" s="7">
        <v>9.586657272E9</v>
      </c>
      <c r="I1257" s="7">
        <v>28000.0</v>
      </c>
      <c r="J1257" s="62" t="s">
        <v>5721</v>
      </c>
      <c r="K1257" s="7" t="s">
        <v>668</v>
      </c>
      <c r="L1257" s="9" t="s">
        <v>26</v>
      </c>
      <c r="M1257" s="7" t="s">
        <v>89</v>
      </c>
      <c r="N1257" s="217" t="s">
        <v>28</v>
      </c>
      <c r="O1257" s="62">
        <v>44050.0</v>
      </c>
      <c r="P1257" s="62">
        <v>46266.0</v>
      </c>
      <c r="Q1257" s="6">
        <v>44.0</v>
      </c>
      <c r="R1257" s="12">
        <f t="shared" si="30"/>
        <v>19382</v>
      </c>
    </row>
    <row r="1258">
      <c r="A1258" s="7" t="s">
        <v>1934</v>
      </c>
      <c r="B1258" s="58" t="s">
        <v>5884</v>
      </c>
      <c r="C1258" s="58" t="s">
        <v>5885</v>
      </c>
      <c r="D1258" s="7" t="s">
        <v>60</v>
      </c>
      <c r="E1258" s="58" t="s">
        <v>5886</v>
      </c>
      <c r="F1258" s="58" t="s">
        <v>5887</v>
      </c>
      <c r="G1258" s="7">
        <v>9.824796249E9</v>
      </c>
      <c r="H1258" s="7">
        <v>7.984249281E9</v>
      </c>
      <c r="I1258" s="7">
        <v>100.0</v>
      </c>
      <c r="J1258" s="7" t="s">
        <v>5856</v>
      </c>
      <c r="K1258" s="7" t="s">
        <v>65</v>
      </c>
      <c r="L1258" s="9" t="s">
        <v>26</v>
      </c>
      <c r="M1258" s="7" t="s">
        <v>27</v>
      </c>
      <c r="N1258" s="217" t="s">
        <v>28</v>
      </c>
      <c r="O1258" s="62">
        <v>714.0</v>
      </c>
      <c r="P1258" s="62">
        <v>842.0</v>
      </c>
      <c r="Q1258" s="6">
        <v>52.0</v>
      </c>
      <c r="R1258" s="12">
        <f t="shared" si="30"/>
        <v>371.28</v>
      </c>
    </row>
    <row r="1259">
      <c r="A1259" s="7" t="s">
        <v>1934</v>
      </c>
      <c r="B1259" s="58" t="s">
        <v>5888</v>
      </c>
      <c r="C1259" s="58" t="s">
        <v>5889</v>
      </c>
      <c r="D1259" s="7" t="s">
        <v>21</v>
      </c>
      <c r="E1259" s="58" t="s">
        <v>147</v>
      </c>
      <c r="F1259" s="58" t="s">
        <v>5890</v>
      </c>
      <c r="G1259" s="7">
        <v>7.802816169E9</v>
      </c>
      <c r="H1259" s="7">
        <v>8.320805775E9</v>
      </c>
      <c r="I1259" s="7">
        <v>28000.0</v>
      </c>
      <c r="J1259" s="62" t="s">
        <v>5721</v>
      </c>
      <c r="K1259" s="7" t="s">
        <v>668</v>
      </c>
      <c r="L1259" s="9" t="s">
        <v>26</v>
      </c>
      <c r="M1259" s="7" t="s">
        <v>389</v>
      </c>
      <c r="N1259" s="217" t="s">
        <v>28</v>
      </c>
      <c r="O1259" s="62">
        <v>44050.0</v>
      </c>
      <c r="P1259" s="62">
        <v>46266.0</v>
      </c>
      <c r="Q1259" s="6">
        <v>44.0</v>
      </c>
      <c r="R1259" s="12">
        <f t="shared" si="30"/>
        <v>19382</v>
      </c>
    </row>
    <row r="1260">
      <c r="A1260" s="7" t="s">
        <v>1934</v>
      </c>
      <c r="B1260" s="58" t="s">
        <v>5891</v>
      </c>
      <c r="C1260" s="58" t="s">
        <v>5892</v>
      </c>
      <c r="D1260" s="7" t="s">
        <v>60</v>
      </c>
      <c r="E1260" s="58" t="s">
        <v>5893</v>
      </c>
      <c r="F1260" s="58" t="s">
        <v>5894</v>
      </c>
      <c r="G1260" s="7">
        <v>9.825938404E9</v>
      </c>
      <c r="H1260" s="7" t="s">
        <v>63</v>
      </c>
      <c r="I1260" s="7">
        <v>109.0</v>
      </c>
      <c r="J1260" s="62" t="s">
        <v>5721</v>
      </c>
      <c r="K1260" s="7" t="s">
        <v>1043</v>
      </c>
      <c r="L1260" s="9" t="s">
        <v>26</v>
      </c>
      <c r="M1260" s="7" t="s">
        <v>27</v>
      </c>
      <c r="N1260" s="217" t="s">
        <v>28</v>
      </c>
      <c r="O1260" s="62">
        <v>714.0</v>
      </c>
      <c r="P1260" s="62">
        <v>842.52</v>
      </c>
      <c r="Q1260" s="6">
        <v>61.0</v>
      </c>
      <c r="R1260" s="12">
        <f t="shared" si="30"/>
        <v>435.54</v>
      </c>
    </row>
    <row r="1261">
      <c r="A1261" s="7" t="s">
        <v>1943</v>
      </c>
      <c r="B1261" s="58" t="s">
        <v>5895</v>
      </c>
      <c r="C1261" s="58" t="s">
        <v>5896</v>
      </c>
      <c r="D1261" s="7" t="s">
        <v>21</v>
      </c>
      <c r="E1261" s="58" t="s">
        <v>748</v>
      </c>
      <c r="F1261" s="58" t="s">
        <v>5897</v>
      </c>
      <c r="G1261" s="7">
        <v>9.913557251E9</v>
      </c>
      <c r="H1261" s="7" t="s">
        <v>63</v>
      </c>
      <c r="I1261" s="7">
        <v>16200.0</v>
      </c>
      <c r="J1261" s="7" t="s">
        <v>88</v>
      </c>
      <c r="K1261" s="7" t="s">
        <v>25</v>
      </c>
      <c r="L1261" s="9" t="s">
        <v>26</v>
      </c>
      <c r="M1261" s="7" t="s">
        <v>89</v>
      </c>
      <c r="N1261" s="217" t="s">
        <v>28</v>
      </c>
      <c r="O1261" s="71">
        <v>35413.0</v>
      </c>
      <c r="P1261" s="71">
        <v>37197.0</v>
      </c>
      <c r="Q1261" s="6">
        <v>51.0</v>
      </c>
      <c r="R1261" s="12">
        <f t="shared" si="30"/>
        <v>18060.63</v>
      </c>
    </row>
    <row r="1262">
      <c r="A1262" s="7" t="s">
        <v>1943</v>
      </c>
      <c r="B1262" s="58" t="s">
        <v>5898</v>
      </c>
      <c r="C1262" s="58" t="s">
        <v>5899</v>
      </c>
      <c r="D1262" s="7" t="s">
        <v>60</v>
      </c>
      <c r="E1262" s="58" t="s">
        <v>5900</v>
      </c>
      <c r="F1262" s="58" t="s">
        <v>5901</v>
      </c>
      <c r="G1262" s="7">
        <v>9.714917542E9</v>
      </c>
      <c r="H1262" s="7" t="s">
        <v>63</v>
      </c>
      <c r="I1262" s="7">
        <v>97.0</v>
      </c>
      <c r="J1262" s="62" t="s">
        <v>5856</v>
      </c>
      <c r="K1262" s="7" t="s">
        <v>25</v>
      </c>
      <c r="L1262" s="9" t="s">
        <v>5621</v>
      </c>
      <c r="M1262" s="7" t="s">
        <v>27</v>
      </c>
      <c r="N1262" s="217" t="s">
        <v>28</v>
      </c>
      <c r="O1262" s="62">
        <v>750.0</v>
      </c>
      <c r="P1262" s="62">
        <v>885.0</v>
      </c>
      <c r="Q1262" s="6">
        <v>26.0</v>
      </c>
      <c r="R1262" s="12">
        <f t="shared" si="30"/>
        <v>195</v>
      </c>
    </row>
    <row r="1263">
      <c r="A1263" s="7" t="s">
        <v>1943</v>
      </c>
      <c r="B1263" s="58" t="s">
        <v>5902</v>
      </c>
      <c r="C1263" s="58" t="s">
        <v>5903</v>
      </c>
      <c r="D1263" s="7" t="s">
        <v>44</v>
      </c>
      <c r="E1263" s="58" t="s">
        <v>748</v>
      </c>
      <c r="F1263" s="58" t="s">
        <v>5904</v>
      </c>
      <c r="G1263" s="7">
        <v>9.664999821E9</v>
      </c>
      <c r="H1263" s="7">
        <v>9.978292637E9</v>
      </c>
      <c r="I1263" s="7">
        <v>3490.0</v>
      </c>
      <c r="J1263" s="62" t="s">
        <v>5905</v>
      </c>
      <c r="K1263" s="7" t="s">
        <v>116</v>
      </c>
      <c r="L1263" s="9" t="s">
        <v>49</v>
      </c>
      <c r="M1263" s="7" t="s">
        <v>71</v>
      </c>
      <c r="N1263" s="217" t="s">
        <v>28</v>
      </c>
      <c r="O1263" s="70">
        <v>21576.0</v>
      </c>
      <c r="P1263" s="70">
        <v>23354.0</v>
      </c>
      <c r="Q1263" s="6">
        <v>54.0</v>
      </c>
      <c r="R1263" s="12">
        <f t="shared" si="30"/>
        <v>11651.04</v>
      </c>
    </row>
    <row r="1264">
      <c r="A1264" s="262" t="s">
        <v>1947</v>
      </c>
      <c r="B1264" s="270" t="s">
        <v>5906</v>
      </c>
      <c r="C1264" s="270" t="s">
        <v>5907</v>
      </c>
      <c r="D1264" s="262" t="s">
        <v>44</v>
      </c>
      <c r="E1264" s="270" t="s">
        <v>45</v>
      </c>
      <c r="F1264" s="270" t="s">
        <v>5908</v>
      </c>
      <c r="G1264" s="262" t="s">
        <v>5909</v>
      </c>
      <c r="H1264" s="262" t="s">
        <v>5910</v>
      </c>
      <c r="I1264" s="262">
        <v>1600.0</v>
      </c>
      <c r="J1264" s="271" t="s">
        <v>5911</v>
      </c>
      <c r="K1264" s="262" t="s">
        <v>48</v>
      </c>
      <c r="L1264" s="4" t="s">
        <v>49</v>
      </c>
      <c r="M1264" s="262" t="s">
        <v>340</v>
      </c>
      <c r="N1264" s="263" t="s">
        <v>28</v>
      </c>
      <c r="O1264" s="272">
        <v>17198.0</v>
      </c>
      <c r="P1264" s="272">
        <v>18207.0</v>
      </c>
      <c r="Q1264" s="265">
        <v>63.0</v>
      </c>
      <c r="R1264" s="266">
        <f t="shared" si="30"/>
        <v>10834.74</v>
      </c>
      <c r="S1264" s="267"/>
      <c r="T1264" s="267"/>
      <c r="U1264" s="267"/>
      <c r="V1264" s="267"/>
      <c r="W1264" s="267"/>
      <c r="X1264" s="267"/>
      <c r="Y1264" s="267"/>
      <c r="Z1264" s="267"/>
      <c r="AA1264" s="267"/>
      <c r="AB1264" s="267"/>
      <c r="AC1264" s="267"/>
      <c r="AD1264" s="267"/>
      <c r="AE1264" s="267"/>
      <c r="AF1264" s="267"/>
      <c r="AG1264" s="267"/>
      <c r="AH1264" s="267"/>
      <c r="AI1264" s="267"/>
    </row>
    <row r="1265">
      <c r="A1265" s="262" t="s">
        <v>1947</v>
      </c>
      <c r="B1265" s="270" t="s">
        <v>5912</v>
      </c>
      <c r="C1265" s="270" t="s">
        <v>5913</v>
      </c>
      <c r="D1265" s="262" t="s">
        <v>21</v>
      </c>
      <c r="E1265" s="270" t="s">
        <v>5914</v>
      </c>
      <c r="F1265" s="270" t="s">
        <v>5915</v>
      </c>
      <c r="G1265" s="262">
        <v>8.329666175E9</v>
      </c>
      <c r="H1265" s="262" t="s">
        <v>63</v>
      </c>
      <c r="I1265" s="273">
        <v>45500.0</v>
      </c>
      <c r="J1265" s="271" t="s">
        <v>5911</v>
      </c>
      <c r="K1265" s="262" t="s">
        <v>70</v>
      </c>
      <c r="L1265" s="4" t="s">
        <v>26</v>
      </c>
      <c r="M1265" s="262" t="s">
        <v>271</v>
      </c>
      <c r="N1265" s="263" t="s">
        <v>28</v>
      </c>
      <c r="O1265" s="274">
        <v>44342.0</v>
      </c>
      <c r="P1265" s="274">
        <v>46572.0</v>
      </c>
      <c r="Q1265" s="265">
        <v>45.0</v>
      </c>
      <c r="R1265" s="275">
        <v>0.0</v>
      </c>
      <c r="S1265" s="265" t="s">
        <v>5916</v>
      </c>
      <c r="T1265" s="267"/>
      <c r="U1265" s="267"/>
      <c r="V1265" s="267"/>
      <c r="W1265" s="267"/>
      <c r="X1265" s="267"/>
      <c r="Y1265" s="267"/>
      <c r="Z1265" s="267"/>
      <c r="AA1265" s="267"/>
      <c r="AB1265" s="267"/>
      <c r="AC1265" s="267"/>
      <c r="AD1265" s="267"/>
      <c r="AE1265" s="267"/>
      <c r="AF1265" s="267"/>
      <c r="AG1265" s="267"/>
      <c r="AH1265" s="267"/>
      <c r="AI1265" s="267"/>
    </row>
    <row r="1266">
      <c r="A1266" s="7" t="s">
        <v>1567</v>
      </c>
      <c r="B1266" s="58" t="s">
        <v>1945</v>
      </c>
      <c r="C1266" s="58" t="s">
        <v>5917</v>
      </c>
      <c r="D1266" s="7" t="s">
        <v>21</v>
      </c>
      <c r="E1266" s="58" t="s">
        <v>104</v>
      </c>
      <c r="F1266" s="58" t="s">
        <v>105</v>
      </c>
      <c r="G1266" s="7">
        <v>9.427678604E9</v>
      </c>
      <c r="H1266" s="7">
        <v>9.879271104E9</v>
      </c>
      <c r="I1266" s="7">
        <v>47500.0</v>
      </c>
      <c r="J1266" s="276" t="s">
        <v>5911</v>
      </c>
      <c r="K1266" s="7" t="s">
        <v>70</v>
      </c>
      <c r="L1266" s="9" t="s">
        <v>49</v>
      </c>
      <c r="M1266" s="7" t="s">
        <v>71</v>
      </c>
      <c r="N1266" s="217" t="s">
        <v>28</v>
      </c>
      <c r="O1266" s="70">
        <v>53109.0</v>
      </c>
      <c r="P1266" s="70">
        <v>56917.0</v>
      </c>
      <c r="Q1266" s="6">
        <v>27.0</v>
      </c>
      <c r="R1266" s="12">
        <f t="shared" ref="R1266:R1278" si="31">O1266*Q1266%</f>
        <v>14339.43</v>
      </c>
    </row>
    <row r="1267">
      <c r="A1267" s="7" t="s">
        <v>1567</v>
      </c>
      <c r="B1267" s="58" t="s">
        <v>5918</v>
      </c>
      <c r="C1267" s="58" t="s">
        <v>5919</v>
      </c>
      <c r="D1267" s="7" t="s">
        <v>44</v>
      </c>
      <c r="E1267" s="58" t="s">
        <v>45</v>
      </c>
      <c r="F1267" s="58" t="s">
        <v>5920</v>
      </c>
      <c r="G1267" s="7" t="s">
        <v>5921</v>
      </c>
      <c r="H1267" s="7" t="s">
        <v>5922</v>
      </c>
      <c r="I1267" s="7">
        <v>1600.0</v>
      </c>
      <c r="J1267" s="62" t="s">
        <v>5905</v>
      </c>
      <c r="K1267" s="7" t="s">
        <v>48</v>
      </c>
      <c r="L1267" s="9" t="s">
        <v>49</v>
      </c>
      <c r="M1267" s="7" t="s">
        <v>71</v>
      </c>
      <c r="N1267" s="217" t="s">
        <v>28</v>
      </c>
      <c r="O1267" s="70">
        <v>21172.0</v>
      </c>
      <c r="P1267" s="70">
        <v>22897.0</v>
      </c>
      <c r="Q1267" s="6">
        <v>63.0</v>
      </c>
      <c r="R1267" s="12">
        <f t="shared" si="31"/>
        <v>13338.36</v>
      </c>
    </row>
    <row r="1268">
      <c r="A1268" s="7" t="s">
        <v>1921</v>
      </c>
      <c r="B1268" s="58" t="s">
        <v>5923</v>
      </c>
      <c r="C1268" s="58" t="s">
        <v>5924</v>
      </c>
      <c r="D1268" s="7" t="s">
        <v>37</v>
      </c>
      <c r="E1268" s="58" t="s">
        <v>5925</v>
      </c>
      <c r="F1268" s="58" t="s">
        <v>5926</v>
      </c>
      <c r="G1268" s="7">
        <v>9.913511752E9</v>
      </c>
      <c r="H1268" s="7">
        <v>9.033149986E9</v>
      </c>
      <c r="I1268" s="62">
        <v>1196.0</v>
      </c>
      <c r="J1268" s="62" t="s">
        <v>5927</v>
      </c>
      <c r="K1268" s="7" t="s">
        <v>668</v>
      </c>
      <c r="L1268" s="9" t="s">
        <v>49</v>
      </c>
      <c r="M1268" s="7" t="s">
        <v>4961</v>
      </c>
      <c r="N1268" s="217" t="s">
        <v>28</v>
      </c>
      <c r="O1268" s="70">
        <v>9608.0</v>
      </c>
      <c r="P1268" s="70">
        <v>11338.0</v>
      </c>
      <c r="Q1268" s="6">
        <v>34.0</v>
      </c>
      <c r="R1268" s="12">
        <f t="shared" si="31"/>
        <v>3266.72</v>
      </c>
    </row>
    <row r="1269">
      <c r="A1269" s="7" t="s">
        <v>1921</v>
      </c>
      <c r="B1269" s="58" t="s">
        <v>5928</v>
      </c>
      <c r="C1269" s="58" t="s">
        <v>5929</v>
      </c>
      <c r="D1269" s="7" t="s">
        <v>44</v>
      </c>
      <c r="E1269" s="58" t="s">
        <v>154</v>
      </c>
      <c r="F1269" s="58" t="s">
        <v>5930</v>
      </c>
      <c r="G1269" s="7">
        <v>9.327707677E9</v>
      </c>
      <c r="H1269" s="7" t="s">
        <v>63</v>
      </c>
      <c r="I1269" s="7">
        <v>1600.0</v>
      </c>
      <c r="J1269" s="276" t="s">
        <v>5911</v>
      </c>
      <c r="K1269" s="7" t="s">
        <v>48</v>
      </c>
      <c r="L1269" s="9" t="s">
        <v>49</v>
      </c>
      <c r="M1269" s="7" t="s">
        <v>71</v>
      </c>
      <c r="N1269" s="217" t="s">
        <v>28</v>
      </c>
      <c r="O1269" s="71">
        <v>20160.0</v>
      </c>
      <c r="P1269" s="70">
        <v>21702.0</v>
      </c>
      <c r="Q1269" s="6">
        <v>63.0</v>
      </c>
      <c r="R1269" s="12">
        <f t="shared" si="31"/>
        <v>12700.8</v>
      </c>
    </row>
    <row r="1270">
      <c r="A1270" s="7" t="s">
        <v>1921</v>
      </c>
      <c r="B1270" s="58" t="s">
        <v>5931</v>
      </c>
      <c r="C1270" s="58" t="s">
        <v>5932</v>
      </c>
      <c r="D1270" s="7" t="s">
        <v>60</v>
      </c>
      <c r="E1270" s="58" t="s">
        <v>5933</v>
      </c>
      <c r="F1270" s="58" t="s">
        <v>5934</v>
      </c>
      <c r="G1270" s="7">
        <v>8.140148584E9</v>
      </c>
      <c r="H1270" s="7" t="s">
        <v>63</v>
      </c>
      <c r="I1270" s="7">
        <v>115.0</v>
      </c>
      <c r="J1270" s="62" t="s">
        <v>5927</v>
      </c>
      <c r="K1270" s="7" t="s">
        <v>65</v>
      </c>
      <c r="L1270" s="9" t="s">
        <v>26</v>
      </c>
      <c r="M1270" s="7" t="s">
        <v>27</v>
      </c>
      <c r="N1270" s="217" t="s">
        <v>28</v>
      </c>
      <c r="O1270" s="62">
        <v>714.0</v>
      </c>
      <c r="P1270" s="62">
        <v>842.0</v>
      </c>
      <c r="Q1270" s="6">
        <v>52.0</v>
      </c>
      <c r="R1270" s="12">
        <f t="shared" si="31"/>
        <v>371.28</v>
      </c>
    </row>
    <row r="1271">
      <c r="A1271" s="7" t="s">
        <v>1952</v>
      </c>
      <c r="B1271" s="58" t="s">
        <v>1569</v>
      </c>
      <c r="C1271" s="58" t="s">
        <v>5935</v>
      </c>
      <c r="D1271" s="7" t="s">
        <v>21</v>
      </c>
      <c r="E1271" s="58" t="s">
        <v>300</v>
      </c>
      <c r="F1271" s="58" t="s">
        <v>5936</v>
      </c>
      <c r="G1271" s="7">
        <v>9.724860034E9</v>
      </c>
      <c r="H1271" s="7">
        <v>9.998252862E9</v>
      </c>
      <c r="I1271" s="7">
        <v>42000.0</v>
      </c>
      <c r="J1271" s="62" t="s">
        <v>5927</v>
      </c>
      <c r="K1271" s="7" t="s">
        <v>70</v>
      </c>
      <c r="L1271" s="9" t="s">
        <v>49</v>
      </c>
      <c r="M1271" s="7" t="s">
        <v>71</v>
      </c>
      <c r="N1271" s="217" t="s">
        <v>28</v>
      </c>
      <c r="O1271" s="70">
        <v>49463.0</v>
      </c>
      <c r="P1271" s="70">
        <v>52615.0</v>
      </c>
      <c r="Q1271" s="6">
        <v>27.0</v>
      </c>
      <c r="R1271" s="12">
        <f t="shared" si="31"/>
        <v>13355.01</v>
      </c>
    </row>
    <row r="1272">
      <c r="A1272" s="7" t="s">
        <v>1952</v>
      </c>
      <c r="B1272" s="58" t="s">
        <v>5937</v>
      </c>
      <c r="C1272" s="58" t="s">
        <v>5938</v>
      </c>
      <c r="D1272" s="7" t="s">
        <v>44</v>
      </c>
      <c r="E1272" s="58" t="s">
        <v>5939</v>
      </c>
      <c r="F1272" s="58" t="s">
        <v>5940</v>
      </c>
      <c r="G1272" s="7">
        <v>9.979498427E9</v>
      </c>
      <c r="H1272" s="7" t="s">
        <v>63</v>
      </c>
      <c r="I1272" s="7">
        <v>1850.0</v>
      </c>
      <c r="J1272" s="62" t="s">
        <v>5833</v>
      </c>
      <c r="K1272" s="7" t="s">
        <v>48</v>
      </c>
      <c r="L1272" s="9" t="s">
        <v>49</v>
      </c>
      <c r="M1272" s="7" t="s">
        <v>71</v>
      </c>
      <c r="N1272" s="217" t="s">
        <v>28</v>
      </c>
      <c r="O1272" s="62">
        <v>20885.0</v>
      </c>
      <c r="P1272" s="70">
        <v>22558.0</v>
      </c>
      <c r="Q1272" s="6">
        <v>63.0</v>
      </c>
      <c r="R1272" s="12">
        <f t="shared" si="31"/>
        <v>13157.55</v>
      </c>
    </row>
    <row r="1273">
      <c r="A1273" s="7" t="s">
        <v>18</v>
      </c>
      <c r="B1273" s="58" t="s">
        <v>5941</v>
      </c>
      <c r="C1273" s="58" t="s">
        <v>5942</v>
      </c>
      <c r="D1273" s="7" t="s">
        <v>60</v>
      </c>
      <c r="E1273" s="58" t="s">
        <v>719</v>
      </c>
      <c r="F1273" s="58" t="s">
        <v>5943</v>
      </c>
      <c r="G1273" s="7">
        <v>6.351990051E9</v>
      </c>
      <c r="H1273" s="7" t="s">
        <v>63</v>
      </c>
      <c r="I1273" s="7">
        <v>97.0</v>
      </c>
      <c r="J1273" s="7" t="s">
        <v>5944</v>
      </c>
      <c r="K1273" s="7" t="s">
        <v>65</v>
      </c>
      <c r="L1273" s="9" t="s">
        <v>26</v>
      </c>
      <c r="M1273" s="7" t="s">
        <v>27</v>
      </c>
      <c r="N1273" s="217" t="s">
        <v>28</v>
      </c>
      <c r="O1273" s="62">
        <v>714.0</v>
      </c>
      <c r="P1273" s="62">
        <v>842.0</v>
      </c>
      <c r="Q1273" s="6">
        <v>52.0</v>
      </c>
      <c r="R1273" s="12">
        <f t="shared" si="31"/>
        <v>371.28</v>
      </c>
    </row>
    <row r="1274">
      <c r="A1274" s="7" t="s">
        <v>18</v>
      </c>
      <c r="B1274" s="58" t="s">
        <v>5945</v>
      </c>
      <c r="C1274" s="58" t="s">
        <v>5946</v>
      </c>
      <c r="D1274" s="7" t="s">
        <v>44</v>
      </c>
      <c r="E1274" s="58" t="s">
        <v>5947</v>
      </c>
      <c r="F1274" s="58" t="s">
        <v>5948</v>
      </c>
      <c r="G1274" s="7">
        <v>9.979218799E9</v>
      </c>
      <c r="H1274" s="7">
        <v>8.1540883E9</v>
      </c>
      <c r="I1274" s="7">
        <v>6250.0</v>
      </c>
      <c r="J1274" s="62" t="s">
        <v>5944</v>
      </c>
      <c r="K1274" s="7" t="s">
        <v>25</v>
      </c>
      <c r="L1274" s="9" t="s">
        <v>26</v>
      </c>
      <c r="M1274" s="7" t="s">
        <v>89</v>
      </c>
      <c r="N1274" s="217" t="s">
        <v>28</v>
      </c>
      <c r="O1274" s="70">
        <v>16149.0</v>
      </c>
      <c r="P1274" s="70">
        <v>16969.0</v>
      </c>
      <c r="Q1274" s="6">
        <v>43.0</v>
      </c>
      <c r="R1274" s="12">
        <f t="shared" si="31"/>
        <v>6944.07</v>
      </c>
    </row>
    <row r="1275">
      <c r="A1275" s="7" t="s">
        <v>18</v>
      </c>
      <c r="B1275" s="58" t="s">
        <v>5949</v>
      </c>
      <c r="C1275" s="58" t="s">
        <v>5950</v>
      </c>
      <c r="D1275" s="7" t="s">
        <v>21</v>
      </c>
      <c r="E1275" s="58" t="s">
        <v>755</v>
      </c>
      <c r="F1275" s="58" t="s">
        <v>5951</v>
      </c>
      <c r="G1275" s="7">
        <v>9.9879272786E10</v>
      </c>
      <c r="H1275" s="7">
        <v>9.904634786E9</v>
      </c>
      <c r="I1275" s="7">
        <v>47500.0</v>
      </c>
      <c r="J1275" s="62" t="s">
        <v>24</v>
      </c>
      <c r="K1275" s="7" t="s">
        <v>70</v>
      </c>
      <c r="L1275" s="9" t="s">
        <v>49</v>
      </c>
      <c r="M1275" s="7" t="s">
        <v>33</v>
      </c>
      <c r="N1275" s="217" t="s">
        <v>28</v>
      </c>
      <c r="O1275" s="70">
        <v>54062.0</v>
      </c>
      <c r="P1275" s="70">
        <v>58042.0</v>
      </c>
      <c r="Q1275" s="6">
        <v>27.0</v>
      </c>
      <c r="R1275" s="12">
        <f t="shared" si="31"/>
        <v>14596.74</v>
      </c>
    </row>
    <row r="1276">
      <c r="A1276" s="7" t="s">
        <v>18</v>
      </c>
      <c r="B1276" s="58" t="s">
        <v>5952</v>
      </c>
      <c r="C1276" s="58" t="s">
        <v>5953</v>
      </c>
      <c r="D1276" s="7" t="s">
        <v>44</v>
      </c>
      <c r="E1276" s="58" t="s">
        <v>748</v>
      </c>
      <c r="F1276" s="58" t="s">
        <v>5954</v>
      </c>
      <c r="G1276" s="7">
        <v>7.096970038E9</v>
      </c>
      <c r="H1276" s="7">
        <v>9.825634894E9</v>
      </c>
      <c r="I1276" s="7">
        <v>2500.0</v>
      </c>
      <c r="J1276" s="7" t="s">
        <v>5955</v>
      </c>
      <c r="K1276" s="7" t="s">
        <v>48</v>
      </c>
      <c r="L1276" s="9" t="s">
        <v>49</v>
      </c>
      <c r="M1276" s="7" t="s">
        <v>71</v>
      </c>
      <c r="N1276" s="217" t="s">
        <v>28</v>
      </c>
      <c r="O1276" s="71">
        <v>16597.0</v>
      </c>
      <c r="P1276" s="70">
        <v>17498.0</v>
      </c>
      <c r="Q1276" s="6">
        <v>63.0</v>
      </c>
      <c r="R1276" s="12">
        <f t="shared" si="31"/>
        <v>10456.11</v>
      </c>
    </row>
    <row r="1277">
      <c r="A1277" s="7" t="s">
        <v>18</v>
      </c>
      <c r="B1277" s="58" t="s">
        <v>5956</v>
      </c>
      <c r="C1277" s="58" t="s">
        <v>5957</v>
      </c>
      <c r="D1277" s="7" t="s">
        <v>44</v>
      </c>
      <c r="E1277" s="58" t="s">
        <v>45</v>
      </c>
      <c r="F1277" s="58" t="s">
        <v>5958</v>
      </c>
      <c r="G1277" s="7">
        <v>9.72375821E9</v>
      </c>
      <c r="H1277" s="7">
        <v>9.979915143E9</v>
      </c>
      <c r="I1277" s="7">
        <v>1600.0</v>
      </c>
      <c r="J1277" s="7" t="s">
        <v>83</v>
      </c>
      <c r="K1277" s="7" t="s">
        <v>48</v>
      </c>
      <c r="L1277" s="9" t="s">
        <v>49</v>
      </c>
      <c r="M1277" s="7" t="s">
        <v>71</v>
      </c>
      <c r="N1277" s="217" t="s">
        <v>28</v>
      </c>
      <c r="O1277" s="70">
        <v>17458.0</v>
      </c>
      <c r="P1277" s="70">
        <v>18514.0</v>
      </c>
      <c r="Q1277" s="6">
        <v>63.0</v>
      </c>
      <c r="R1277" s="12">
        <f t="shared" si="31"/>
        <v>10998.54</v>
      </c>
    </row>
    <row r="1278">
      <c r="A1278" s="7" t="s">
        <v>2319</v>
      </c>
      <c r="B1278" s="58" t="s">
        <v>5959</v>
      </c>
      <c r="C1278" s="58" t="s">
        <v>5960</v>
      </c>
      <c r="D1278" s="7" t="s">
        <v>21</v>
      </c>
      <c r="E1278" s="58" t="s">
        <v>173</v>
      </c>
      <c r="F1278" s="58" t="s">
        <v>5961</v>
      </c>
      <c r="G1278" s="7">
        <v>8.866609058E9</v>
      </c>
      <c r="H1278" s="7">
        <v>8.98027891E9</v>
      </c>
      <c r="I1278" s="62">
        <v>1305.0</v>
      </c>
      <c r="J1278" s="7" t="s">
        <v>5962</v>
      </c>
      <c r="K1278" s="7" t="s">
        <v>48</v>
      </c>
      <c r="L1278" s="9" t="s">
        <v>49</v>
      </c>
      <c r="M1278" s="7" t="s">
        <v>71</v>
      </c>
      <c r="N1278" s="217" t="s">
        <v>28</v>
      </c>
      <c r="O1278" s="62">
        <v>16821.0</v>
      </c>
      <c r="P1278" s="62">
        <v>17762.0</v>
      </c>
      <c r="Q1278" s="6">
        <v>63.0</v>
      </c>
      <c r="R1278" s="12">
        <f t="shared" si="31"/>
        <v>10597.23</v>
      </c>
    </row>
    <row r="1279">
      <c r="A1279" s="10" t="s">
        <v>2319</v>
      </c>
      <c r="B1279" s="277" t="s">
        <v>5963</v>
      </c>
      <c r="C1279" s="277" t="s">
        <v>5964</v>
      </c>
      <c r="D1279" s="10" t="s">
        <v>21</v>
      </c>
      <c r="E1279" s="277" t="s">
        <v>5965</v>
      </c>
      <c r="F1279" s="277" t="s">
        <v>5966</v>
      </c>
      <c r="G1279" s="10">
        <v>9.974996562E9</v>
      </c>
      <c r="H1279" s="10">
        <v>8.160197406E9</v>
      </c>
      <c r="I1279" s="10">
        <v>18000.0</v>
      </c>
      <c r="J1279" s="278" t="s">
        <v>5944</v>
      </c>
      <c r="K1279" s="10" t="s">
        <v>56</v>
      </c>
      <c r="L1279" s="34" t="s">
        <v>49</v>
      </c>
      <c r="M1279" s="10" t="s">
        <v>4961</v>
      </c>
      <c r="N1279" s="279" t="s">
        <v>28</v>
      </c>
      <c r="O1279" s="280">
        <v>39183.0</v>
      </c>
      <c r="P1279" s="280">
        <v>41645.0</v>
      </c>
      <c r="Q1279" s="38">
        <v>26.0</v>
      </c>
      <c r="R1279" s="281">
        <v>0.0</v>
      </c>
      <c r="S1279" s="39"/>
      <c r="T1279" s="39"/>
      <c r="U1279" s="39"/>
      <c r="V1279" s="39"/>
      <c r="W1279" s="39"/>
      <c r="X1279" s="39"/>
      <c r="Y1279" s="39"/>
      <c r="Z1279" s="39"/>
      <c r="AA1279" s="39"/>
      <c r="AB1279" s="39"/>
      <c r="AC1279" s="39"/>
      <c r="AD1279" s="39"/>
      <c r="AE1279" s="39"/>
      <c r="AF1279" s="39"/>
      <c r="AG1279" s="39"/>
      <c r="AH1279" s="39"/>
      <c r="AI1279" s="39"/>
    </row>
    <row r="1280">
      <c r="A1280" s="7" t="s">
        <v>2317</v>
      </c>
      <c r="B1280" s="58" t="s">
        <v>5967</v>
      </c>
      <c r="C1280" s="58" t="s">
        <v>5968</v>
      </c>
      <c r="D1280" s="7" t="s">
        <v>60</v>
      </c>
      <c r="E1280" s="58" t="s">
        <v>719</v>
      </c>
      <c r="F1280" s="58" t="s">
        <v>5969</v>
      </c>
      <c r="G1280" s="7">
        <v>9.913557251E9</v>
      </c>
      <c r="H1280" s="7" t="s">
        <v>63</v>
      </c>
      <c r="I1280" s="7">
        <v>111.0</v>
      </c>
      <c r="J1280" s="7" t="s">
        <v>5955</v>
      </c>
      <c r="K1280" s="7" t="s">
        <v>65</v>
      </c>
      <c r="L1280" s="9" t="s">
        <v>26</v>
      </c>
      <c r="M1280" s="7" t="s">
        <v>27</v>
      </c>
      <c r="N1280" s="217" t="s">
        <v>28</v>
      </c>
      <c r="O1280" s="62">
        <v>714.0</v>
      </c>
      <c r="P1280" s="62">
        <v>842.0</v>
      </c>
      <c r="Q1280" s="6">
        <v>52.0</v>
      </c>
      <c r="R1280" s="12">
        <f t="shared" ref="R1280:R1282" si="32">O1280*Q1280%</f>
        <v>371.28</v>
      </c>
    </row>
    <row r="1281">
      <c r="A1281" s="23">
        <v>45789.0</v>
      </c>
      <c r="B1281" s="120" t="s">
        <v>5970</v>
      </c>
      <c r="C1281" s="120" t="s">
        <v>5971</v>
      </c>
      <c r="D1281" s="25" t="s">
        <v>21</v>
      </c>
      <c r="E1281" s="120" t="s">
        <v>5972</v>
      </c>
      <c r="F1281" s="120" t="s">
        <v>5973</v>
      </c>
      <c r="G1281" s="25">
        <v>9.979861378E9</v>
      </c>
      <c r="H1281" s="25">
        <v>9.725925295E9</v>
      </c>
      <c r="I1281" s="25">
        <v>47500.0</v>
      </c>
      <c r="J1281" s="23">
        <v>46124.0</v>
      </c>
      <c r="K1281" s="25" t="s">
        <v>56</v>
      </c>
      <c r="L1281" s="26" t="s">
        <v>49</v>
      </c>
      <c r="M1281" s="25" t="s">
        <v>27</v>
      </c>
      <c r="N1281" s="282" t="s">
        <v>28</v>
      </c>
      <c r="O1281" s="219">
        <v>50032.0</v>
      </c>
      <c r="P1281" s="219">
        <v>53286.0</v>
      </c>
      <c r="Q1281" s="153">
        <v>24.0</v>
      </c>
      <c r="R1281" s="12">
        <f t="shared" si="32"/>
        <v>12007.68</v>
      </c>
      <c r="S1281" s="77"/>
      <c r="T1281" s="77"/>
      <c r="U1281" s="77"/>
      <c r="V1281" s="77"/>
      <c r="W1281" s="77"/>
      <c r="X1281" s="77"/>
      <c r="Y1281" s="77"/>
      <c r="Z1281" s="77"/>
      <c r="AA1281" s="77"/>
      <c r="AB1281" s="77"/>
      <c r="AC1281" s="77"/>
      <c r="AD1281" s="77"/>
      <c r="AE1281" s="77"/>
      <c r="AF1281" s="77"/>
      <c r="AG1281" s="77"/>
      <c r="AH1281" s="77"/>
    </row>
    <row r="1282">
      <c r="A1282" s="283">
        <v>45912.0</v>
      </c>
      <c r="B1282" s="120" t="s">
        <v>5974</v>
      </c>
      <c r="C1282" s="120" t="s">
        <v>5975</v>
      </c>
      <c r="D1282" s="25" t="s">
        <v>44</v>
      </c>
      <c r="E1282" s="120" t="s">
        <v>5976</v>
      </c>
      <c r="F1282" s="120" t="s">
        <v>5977</v>
      </c>
      <c r="G1282" s="25">
        <v>7.622018951E9</v>
      </c>
      <c r="H1282" s="25">
        <v>9.726212E9</v>
      </c>
      <c r="I1282" s="25">
        <v>7200.0</v>
      </c>
      <c r="J1282" s="284">
        <v>45850.0</v>
      </c>
      <c r="K1282" s="25" t="s">
        <v>25</v>
      </c>
      <c r="L1282" s="26" t="s">
        <v>49</v>
      </c>
      <c r="M1282" s="25" t="s">
        <v>27</v>
      </c>
      <c r="N1282" s="282" t="s">
        <v>28</v>
      </c>
      <c r="O1282" s="285">
        <v>29206.0</v>
      </c>
      <c r="P1282" s="285">
        <v>32377.0</v>
      </c>
      <c r="Q1282" s="153">
        <v>43.0</v>
      </c>
      <c r="R1282" s="12">
        <f t="shared" si="32"/>
        <v>12558.58</v>
      </c>
      <c r="S1282" s="77"/>
      <c r="T1282" s="77"/>
      <c r="U1282" s="77"/>
      <c r="V1282" s="77"/>
      <c r="W1282" s="77"/>
      <c r="X1282" s="77"/>
      <c r="Y1282" s="77"/>
      <c r="Z1282" s="77"/>
      <c r="AA1282" s="77"/>
      <c r="AB1282" s="77"/>
      <c r="AC1282" s="77"/>
      <c r="AD1282" s="77"/>
      <c r="AE1282" s="77"/>
      <c r="AF1282" s="77"/>
      <c r="AG1282" s="77"/>
      <c r="AH1282" s="77"/>
    </row>
    <row r="1283">
      <c r="A1283" s="286">
        <v>45973.0</v>
      </c>
      <c r="B1283" s="33" t="s">
        <v>746</v>
      </c>
      <c r="C1283" s="287" t="s">
        <v>5978</v>
      </c>
      <c r="D1283" s="32" t="s">
        <v>21</v>
      </c>
      <c r="E1283" s="287" t="s">
        <v>381</v>
      </c>
      <c r="F1283" s="287" t="s">
        <v>749</v>
      </c>
      <c r="G1283" s="32">
        <v>9.870090243E9</v>
      </c>
      <c r="H1283" s="32">
        <v>7.990666343E9</v>
      </c>
      <c r="I1283" s="32">
        <v>18250.0</v>
      </c>
      <c r="J1283" s="288">
        <v>46338.0</v>
      </c>
      <c r="K1283" s="32" t="s">
        <v>25</v>
      </c>
      <c r="L1283" s="34" t="s">
        <v>49</v>
      </c>
      <c r="M1283" s="32" t="s">
        <v>27</v>
      </c>
      <c r="N1283" s="289" t="s">
        <v>28</v>
      </c>
      <c r="O1283" s="290">
        <v>55202.0</v>
      </c>
      <c r="P1283" s="290">
        <v>60548.0</v>
      </c>
      <c r="Q1283" s="291">
        <v>25.0</v>
      </c>
      <c r="R1283" s="281">
        <v>0.0</v>
      </c>
      <c r="S1283" s="292"/>
      <c r="T1283" s="292"/>
      <c r="U1283" s="292"/>
      <c r="V1283" s="292"/>
      <c r="W1283" s="292"/>
      <c r="X1283" s="292"/>
      <c r="Y1283" s="292"/>
      <c r="Z1283" s="292"/>
      <c r="AA1283" s="292"/>
      <c r="AB1283" s="292"/>
      <c r="AC1283" s="292"/>
      <c r="AD1283" s="292"/>
      <c r="AE1283" s="292"/>
      <c r="AF1283" s="292"/>
      <c r="AG1283" s="292"/>
      <c r="AH1283" s="292"/>
      <c r="AI1283" s="39"/>
    </row>
    <row r="1284">
      <c r="A1284" s="32" t="s">
        <v>1947</v>
      </c>
      <c r="B1284" s="287" t="s">
        <v>5979</v>
      </c>
      <c r="C1284" s="287" t="s">
        <v>5980</v>
      </c>
      <c r="D1284" s="32" t="s">
        <v>21</v>
      </c>
      <c r="E1284" s="287" t="s">
        <v>5981</v>
      </c>
      <c r="F1284" s="287" t="s">
        <v>5982</v>
      </c>
      <c r="G1284" s="32">
        <v>9.974996562E9</v>
      </c>
      <c r="H1284" s="32">
        <v>8.160197406E9</v>
      </c>
      <c r="I1284" s="32">
        <v>17750.0</v>
      </c>
      <c r="J1284" s="293" t="s">
        <v>5905</v>
      </c>
      <c r="K1284" s="32" t="s">
        <v>56</v>
      </c>
      <c r="L1284" s="34" t="s">
        <v>49</v>
      </c>
      <c r="M1284" s="32" t="s">
        <v>4961</v>
      </c>
      <c r="N1284" s="289" t="s">
        <v>28</v>
      </c>
      <c r="O1284" s="294">
        <v>54494.0</v>
      </c>
      <c r="P1284" s="294">
        <v>59712.0</v>
      </c>
      <c r="Q1284" s="291">
        <v>24.0</v>
      </c>
      <c r="R1284" s="281">
        <v>0.0</v>
      </c>
      <c r="S1284" s="292"/>
      <c r="T1284" s="292"/>
      <c r="U1284" s="292"/>
      <c r="V1284" s="292"/>
      <c r="W1284" s="292"/>
      <c r="X1284" s="292"/>
      <c r="Y1284" s="292"/>
      <c r="Z1284" s="292"/>
      <c r="AA1284" s="292"/>
      <c r="AB1284" s="292"/>
      <c r="AC1284" s="292"/>
      <c r="AD1284" s="292"/>
      <c r="AE1284" s="292"/>
      <c r="AF1284" s="292"/>
      <c r="AG1284" s="292"/>
      <c r="AH1284" s="292"/>
      <c r="AI1284" s="39"/>
    </row>
    <row r="1285">
      <c r="A1285" s="32" t="s">
        <v>1947</v>
      </c>
      <c r="B1285" s="287" t="s">
        <v>5983</v>
      </c>
      <c r="C1285" s="287" t="s">
        <v>5984</v>
      </c>
      <c r="D1285" s="32" t="s">
        <v>21</v>
      </c>
      <c r="E1285" s="287" t="s">
        <v>5985</v>
      </c>
      <c r="F1285" s="287" t="s">
        <v>5966</v>
      </c>
      <c r="G1285" s="32">
        <v>9.974996562E9</v>
      </c>
      <c r="H1285" s="32">
        <v>8.160197406E9</v>
      </c>
      <c r="I1285" s="32">
        <v>16140.0</v>
      </c>
      <c r="J1285" s="293" t="s">
        <v>5905</v>
      </c>
      <c r="K1285" s="32" t="s">
        <v>56</v>
      </c>
      <c r="L1285" s="34" t="s">
        <v>49</v>
      </c>
      <c r="M1285" s="32" t="s">
        <v>4961</v>
      </c>
      <c r="N1285" s="289" t="s">
        <v>28</v>
      </c>
      <c r="O1285" s="293">
        <v>39153.0</v>
      </c>
      <c r="P1285" s="293">
        <v>41610.0</v>
      </c>
      <c r="Q1285" s="291">
        <v>24.0</v>
      </c>
      <c r="R1285" s="281">
        <v>0.0</v>
      </c>
      <c r="S1285" s="292"/>
      <c r="T1285" s="292"/>
      <c r="U1285" s="292"/>
      <c r="V1285" s="292"/>
      <c r="W1285" s="292"/>
      <c r="X1285" s="292"/>
      <c r="Y1285" s="292"/>
      <c r="Z1285" s="292"/>
      <c r="AA1285" s="292"/>
      <c r="AB1285" s="292"/>
      <c r="AC1285" s="292"/>
      <c r="AD1285" s="292"/>
      <c r="AE1285" s="292"/>
      <c r="AF1285" s="292"/>
      <c r="AG1285" s="292"/>
      <c r="AH1285" s="292"/>
      <c r="AI1285" s="39"/>
    </row>
    <row r="1286">
      <c r="A1286" s="58"/>
      <c r="B1286" s="58"/>
      <c r="C1286" s="58"/>
      <c r="D1286" s="58"/>
      <c r="E1286" s="58"/>
      <c r="F1286" s="88"/>
      <c r="G1286" s="58"/>
      <c r="H1286" s="88"/>
      <c r="I1286" s="91"/>
      <c r="J1286" s="58"/>
      <c r="K1286" s="244"/>
      <c r="L1286" s="93"/>
      <c r="M1286" s="58"/>
      <c r="N1286" s="62"/>
      <c r="O1286" s="245"/>
      <c r="P1286" s="62"/>
      <c r="Q1286" s="58"/>
      <c r="R1286" s="88"/>
      <c r="S1286" s="88"/>
    </row>
    <row r="1287">
      <c r="A1287" s="58"/>
      <c r="B1287" s="58"/>
      <c r="C1287" s="58"/>
      <c r="D1287" s="58"/>
      <c r="E1287" s="58"/>
      <c r="F1287" s="88"/>
      <c r="G1287" s="58"/>
      <c r="H1287" s="88"/>
      <c r="I1287" s="91"/>
      <c r="J1287" s="58"/>
      <c r="K1287" s="244"/>
      <c r="L1287" s="93"/>
      <c r="M1287" s="58"/>
      <c r="N1287" s="62"/>
      <c r="O1287" s="245"/>
      <c r="P1287" s="62"/>
      <c r="Q1287" s="58"/>
      <c r="R1287" s="88"/>
      <c r="S1287" s="88"/>
    </row>
    <row r="1288">
      <c r="A1288" s="58"/>
      <c r="B1288" s="58"/>
      <c r="C1288" s="58"/>
      <c r="D1288" s="58"/>
      <c r="E1288" s="58"/>
      <c r="F1288" s="88"/>
      <c r="G1288" s="58"/>
      <c r="H1288" s="88"/>
      <c r="I1288" s="91"/>
      <c r="J1288" s="58"/>
      <c r="K1288" s="244"/>
      <c r="L1288" s="93"/>
      <c r="M1288" s="58"/>
      <c r="N1288" s="62"/>
      <c r="O1288" s="245"/>
      <c r="P1288" s="62"/>
      <c r="Q1288" s="58"/>
      <c r="R1288" s="88"/>
      <c r="S1288" s="88"/>
    </row>
    <row r="1289">
      <c r="A1289" s="58"/>
      <c r="B1289" s="58"/>
      <c r="C1289" s="58"/>
      <c r="D1289" s="58"/>
      <c r="E1289" s="58"/>
      <c r="F1289" s="88"/>
      <c r="G1289" s="58"/>
      <c r="H1289" s="88"/>
      <c r="I1289" s="91"/>
      <c r="J1289" s="58"/>
      <c r="K1289" s="244"/>
      <c r="L1289" s="93"/>
      <c r="M1289" s="58"/>
      <c r="N1289" s="62"/>
      <c r="O1289" s="245"/>
      <c r="P1289" s="62"/>
      <c r="Q1289" s="58"/>
      <c r="R1289" s="88"/>
      <c r="S1289" s="88"/>
    </row>
    <row r="1290">
      <c r="A1290" s="58"/>
      <c r="B1290" s="58"/>
      <c r="C1290" s="58"/>
      <c r="D1290" s="58"/>
      <c r="E1290" s="58"/>
      <c r="F1290" s="88"/>
      <c r="G1290" s="58"/>
      <c r="H1290" s="88"/>
      <c r="I1290" s="91"/>
      <c r="J1290" s="58"/>
      <c r="K1290" s="244"/>
      <c r="L1290" s="93"/>
      <c r="M1290" s="58"/>
      <c r="N1290" s="62"/>
      <c r="O1290" s="245"/>
      <c r="P1290" s="62"/>
      <c r="Q1290" s="58"/>
      <c r="R1290" s="88"/>
      <c r="S1290" s="88"/>
    </row>
    <row r="1291">
      <c r="A1291" s="58"/>
      <c r="B1291" s="58"/>
      <c r="C1291" s="58"/>
      <c r="D1291" s="58"/>
      <c r="E1291" s="58"/>
      <c r="F1291" s="88"/>
      <c r="G1291" s="58"/>
      <c r="H1291" s="88"/>
      <c r="I1291" s="91"/>
      <c r="J1291" s="58"/>
      <c r="K1291" s="244"/>
      <c r="L1291" s="93"/>
      <c r="M1291" s="58"/>
      <c r="N1291" s="62"/>
      <c r="O1291" s="245"/>
      <c r="P1291" s="62"/>
      <c r="Q1291" s="58"/>
      <c r="R1291" s="88"/>
      <c r="S1291" s="88"/>
    </row>
    <row r="1292">
      <c r="A1292" s="58"/>
      <c r="B1292" s="58"/>
      <c r="C1292" s="58"/>
      <c r="D1292" s="58"/>
      <c r="E1292" s="58"/>
      <c r="F1292" s="88"/>
      <c r="G1292" s="58"/>
      <c r="H1292" s="88"/>
      <c r="I1292" s="91"/>
      <c r="J1292" s="58"/>
      <c r="K1292" s="244"/>
      <c r="L1292" s="93"/>
      <c r="M1292" s="58"/>
      <c r="N1292" s="62"/>
      <c r="O1292" s="245"/>
      <c r="P1292" s="62"/>
      <c r="Q1292" s="58"/>
      <c r="R1292" s="88"/>
      <c r="S1292" s="88"/>
    </row>
    <row r="1293">
      <c r="A1293" s="58"/>
      <c r="B1293" s="58"/>
      <c r="C1293" s="58"/>
      <c r="D1293" s="58"/>
      <c r="E1293" s="58"/>
      <c r="F1293" s="88"/>
      <c r="G1293" s="58"/>
      <c r="H1293" s="88"/>
      <c r="I1293" s="91"/>
      <c r="J1293" s="58"/>
      <c r="K1293" s="244"/>
      <c r="L1293" s="93"/>
      <c r="M1293" s="58"/>
      <c r="N1293" s="62"/>
      <c r="O1293" s="245"/>
      <c r="P1293" s="62"/>
      <c r="Q1293" s="58"/>
      <c r="R1293" s="88"/>
      <c r="S1293" s="88"/>
    </row>
    <row r="1294">
      <c r="A1294" s="58"/>
      <c r="B1294" s="58"/>
      <c r="C1294" s="58"/>
      <c r="D1294" s="58"/>
      <c r="E1294" s="58"/>
      <c r="F1294" s="88"/>
      <c r="G1294" s="58"/>
      <c r="H1294" s="88"/>
      <c r="I1294" s="91"/>
      <c r="J1294" s="58"/>
      <c r="K1294" s="244"/>
      <c r="L1294" s="93"/>
      <c r="M1294" s="58"/>
      <c r="N1294" s="62"/>
      <c r="O1294" s="245"/>
      <c r="P1294" s="62"/>
      <c r="Q1294" s="58"/>
      <c r="R1294" s="88"/>
      <c r="S1294" s="88"/>
    </row>
    <row r="1295">
      <c r="A1295" s="58"/>
      <c r="B1295" s="58"/>
      <c r="C1295" s="58"/>
      <c r="D1295" s="58"/>
      <c r="E1295" s="58"/>
      <c r="F1295" s="88"/>
      <c r="G1295" s="58"/>
      <c r="H1295" s="88"/>
      <c r="I1295" s="91"/>
      <c r="J1295" s="58"/>
      <c r="K1295" s="244"/>
      <c r="L1295" s="93"/>
      <c r="M1295" s="58"/>
      <c r="N1295" s="62"/>
      <c r="O1295" s="245"/>
      <c r="P1295" s="62"/>
      <c r="Q1295" s="58"/>
      <c r="R1295" s="88"/>
      <c r="S1295" s="88"/>
    </row>
    <row r="1296">
      <c r="A1296" s="58"/>
      <c r="B1296" s="58"/>
      <c r="C1296" s="58"/>
      <c r="D1296" s="58"/>
      <c r="E1296" s="58"/>
      <c r="F1296" s="88"/>
      <c r="G1296" s="58"/>
      <c r="H1296" s="88"/>
      <c r="I1296" s="91"/>
      <c r="J1296" s="58"/>
      <c r="K1296" s="244"/>
      <c r="L1296" s="93"/>
      <c r="M1296" s="58"/>
      <c r="N1296" s="62"/>
      <c r="O1296" s="245"/>
      <c r="P1296" s="62"/>
      <c r="Q1296" s="58"/>
      <c r="R1296" s="88"/>
      <c r="S1296" s="88"/>
    </row>
    <row r="1297">
      <c r="A1297" s="58"/>
      <c r="B1297" s="58"/>
      <c r="C1297" s="58"/>
      <c r="D1297" s="58"/>
      <c r="E1297" s="58"/>
      <c r="F1297" s="88"/>
      <c r="G1297" s="58"/>
      <c r="H1297" s="88"/>
      <c r="I1297" s="91"/>
      <c r="J1297" s="58"/>
      <c r="K1297" s="244"/>
      <c r="L1297" s="93"/>
      <c r="M1297" s="58"/>
      <c r="N1297" s="62"/>
      <c r="O1297" s="245"/>
      <c r="P1297" s="62"/>
      <c r="Q1297" s="58"/>
      <c r="R1297" s="88"/>
      <c r="S1297" s="88"/>
    </row>
    <row r="1298">
      <c r="A1298" s="58"/>
      <c r="B1298" s="58"/>
      <c r="C1298" s="58"/>
      <c r="D1298" s="58"/>
      <c r="E1298" s="58"/>
      <c r="F1298" s="88"/>
      <c r="G1298" s="58"/>
      <c r="H1298" s="88"/>
      <c r="I1298" s="91"/>
      <c r="J1298" s="58"/>
      <c r="K1298" s="244"/>
      <c r="L1298" s="93"/>
      <c r="M1298" s="58"/>
      <c r="N1298" s="62"/>
      <c r="O1298" s="245"/>
      <c r="P1298" s="62"/>
      <c r="Q1298" s="58"/>
      <c r="R1298" s="88"/>
      <c r="S1298" s="88"/>
    </row>
    <row r="1299">
      <c r="A1299" s="58"/>
      <c r="B1299" s="58"/>
      <c r="C1299" s="58"/>
      <c r="D1299" s="58"/>
      <c r="E1299" s="58"/>
      <c r="F1299" s="88"/>
      <c r="G1299" s="58"/>
      <c r="H1299" s="88"/>
      <c r="I1299" s="91"/>
      <c r="J1299" s="58"/>
      <c r="K1299" s="244"/>
      <c r="L1299" s="93"/>
      <c r="M1299" s="58"/>
      <c r="N1299" s="62"/>
      <c r="O1299" s="245"/>
      <c r="P1299" s="62"/>
      <c r="Q1299" s="58"/>
      <c r="R1299" s="88"/>
      <c r="S1299" s="88"/>
    </row>
    <row r="1300">
      <c r="A1300" s="58"/>
      <c r="B1300" s="58"/>
      <c r="C1300" s="58"/>
      <c r="D1300" s="58"/>
      <c r="E1300" s="58"/>
      <c r="F1300" s="88"/>
      <c r="G1300" s="58"/>
      <c r="H1300" s="88"/>
      <c r="I1300" s="91"/>
      <c r="J1300" s="58"/>
      <c r="K1300" s="244"/>
      <c r="L1300" s="93"/>
      <c r="M1300" s="58"/>
      <c r="N1300" s="62"/>
      <c r="O1300" s="245"/>
      <c r="P1300" s="62"/>
      <c r="Q1300" s="58"/>
      <c r="R1300" s="88"/>
      <c r="S1300" s="88"/>
    </row>
    <row r="1301">
      <c r="A1301" s="58"/>
      <c r="B1301" s="58"/>
      <c r="C1301" s="58"/>
      <c r="D1301" s="58"/>
      <c r="E1301" s="58"/>
      <c r="F1301" s="88"/>
      <c r="G1301" s="58"/>
      <c r="H1301" s="88"/>
      <c r="I1301" s="91"/>
      <c r="J1301" s="58"/>
      <c r="K1301" s="244"/>
      <c r="L1301" s="93"/>
      <c r="M1301" s="58"/>
      <c r="N1301" s="62"/>
      <c r="O1301" s="245"/>
      <c r="P1301" s="62"/>
      <c r="Q1301" s="58"/>
      <c r="R1301" s="88"/>
      <c r="S1301" s="88"/>
    </row>
    <row r="1302">
      <c r="A1302" s="58"/>
      <c r="B1302" s="58"/>
      <c r="C1302" s="58"/>
      <c r="D1302" s="58"/>
      <c r="E1302" s="58"/>
      <c r="F1302" s="88"/>
      <c r="G1302" s="58"/>
      <c r="H1302" s="88"/>
      <c r="I1302" s="91"/>
      <c r="J1302" s="58"/>
      <c r="K1302" s="244"/>
      <c r="L1302" s="93"/>
      <c r="M1302" s="58"/>
      <c r="N1302" s="62"/>
      <c r="O1302" s="245"/>
      <c r="P1302" s="62"/>
      <c r="Q1302" s="58"/>
      <c r="R1302" s="88"/>
      <c r="S1302" s="88"/>
    </row>
    <row r="1303">
      <c r="A1303" s="58"/>
      <c r="B1303" s="58"/>
      <c r="C1303" s="58"/>
      <c r="D1303" s="58"/>
      <c r="E1303" s="58"/>
      <c r="F1303" s="88"/>
      <c r="G1303" s="58"/>
      <c r="H1303" s="88"/>
      <c r="I1303" s="91"/>
      <c r="J1303" s="58"/>
      <c r="K1303" s="244"/>
      <c r="L1303" s="93"/>
      <c r="M1303" s="58"/>
      <c r="N1303" s="62"/>
      <c r="O1303" s="245"/>
      <c r="P1303" s="62"/>
      <c r="Q1303" s="58"/>
      <c r="R1303" s="88"/>
      <c r="S1303" s="88"/>
    </row>
    <row r="1304">
      <c r="A1304" s="58"/>
      <c r="B1304" s="58"/>
      <c r="C1304" s="58"/>
      <c r="D1304" s="58"/>
      <c r="E1304" s="58"/>
      <c r="F1304" s="88"/>
      <c r="G1304" s="58"/>
      <c r="H1304" s="88"/>
      <c r="I1304" s="91"/>
      <c r="J1304" s="58"/>
      <c r="K1304" s="244"/>
      <c r="L1304" s="93"/>
      <c r="M1304" s="58"/>
      <c r="N1304" s="62"/>
      <c r="O1304" s="245"/>
      <c r="P1304" s="62"/>
      <c r="Q1304" s="58"/>
      <c r="R1304" s="88"/>
      <c r="S1304" s="88"/>
    </row>
    <row r="1305">
      <c r="A1305" s="58"/>
      <c r="B1305" s="58"/>
      <c r="C1305" s="58"/>
      <c r="D1305" s="58"/>
      <c r="E1305" s="58"/>
      <c r="F1305" s="88"/>
      <c r="G1305" s="58"/>
      <c r="H1305" s="88"/>
      <c r="I1305" s="91"/>
      <c r="J1305" s="58"/>
      <c r="K1305" s="244"/>
      <c r="L1305" s="93"/>
      <c r="M1305" s="58"/>
      <c r="N1305" s="62"/>
      <c r="O1305" s="245"/>
      <c r="P1305" s="62"/>
      <c r="Q1305" s="58"/>
      <c r="R1305" s="88"/>
      <c r="S1305" s="88"/>
    </row>
    <row r="1306">
      <c r="A1306" s="58"/>
      <c r="B1306" s="58"/>
      <c r="C1306" s="58"/>
      <c r="D1306" s="58"/>
      <c r="E1306" s="58"/>
      <c r="F1306" s="88"/>
      <c r="G1306" s="58"/>
      <c r="H1306" s="88"/>
      <c r="I1306" s="91"/>
      <c r="J1306" s="58"/>
      <c r="K1306" s="244"/>
      <c r="L1306" s="93"/>
      <c r="M1306" s="58"/>
      <c r="N1306" s="62"/>
      <c r="O1306" s="245"/>
      <c r="P1306" s="62"/>
      <c r="Q1306" s="58"/>
      <c r="R1306" s="88"/>
      <c r="S1306" s="88"/>
    </row>
    <row r="1307">
      <c r="A1307" s="58"/>
      <c r="B1307" s="58"/>
      <c r="C1307" s="58"/>
      <c r="D1307" s="58"/>
      <c r="E1307" s="58"/>
      <c r="F1307" s="88"/>
      <c r="G1307" s="58"/>
      <c r="H1307" s="88"/>
      <c r="I1307" s="91"/>
      <c r="J1307" s="58"/>
      <c r="K1307" s="244"/>
      <c r="L1307" s="93"/>
      <c r="M1307" s="58"/>
      <c r="N1307" s="62"/>
      <c r="O1307" s="245"/>
      <c r="P1307" s="62"/>
      <c r="Q1307" s="58"/>
      <c r="R1307" s="88"/>
      <c r="S1307" s="88"/>
    </row>
    <row r="1308">
      <c r="A1308" s="58"/>
      <c r="B1308" s="58"/>
      <c r="C1308" s="58"/>
      <c r="D1308" s="58"/>
      <c r="E1308" s="58"/>
      <c r="F1308" s="88"/>
      <c r="G1308" s="58"/>
      <c r="H1308" s="88"/>
      <c r="I1308" s="91"/>
      <c r="J1308" s="58"/>
      <c r="K1308" s="244"/>
      <c r="L1308" s="93"/>
      <c r="M1308" s="58"/>
      <c r="N1308" s="62"/>
      <c r="O1308" s="245"/>
      <c r="P1308" s="62"/>
      <c r="Q1308" s="58"/>
      <c r="R1308" s="88"/>
      <c r="S1308" s="88"/>
    </row>
    <row r="1309">
      <c r="A1309" s="58"/>
      <c r="B1309" s="58"/>
      <c r="C1309" s="58"/>
      <c r="D1309" s="58"/>
      <c r="E1309" s="58"/>
      <c r="F1309" s="88"/>
      <c r="G1309" s="58"/>
      <c r="H1309" s="88"/>
      <c r="I1309" s="91"/>
      <c r="J1309" s="58"/>
      <c r="K1309" s="244"/>
      <c r="L1309" s="93"/>
      <c r="M1309" s="58"/>
      <c r="N1309" s="62"/>
      <c r="O1309" s="245"/>
      <c r="P1309" s="62"/>
      <c r="Q1309" s="58"/>
      <c r="R1309" s="88"/>
      <c r="S1309" s="88"/>
    </row>
    <row r="1310">
      <c r="A1310" s="58"/>
      <c r="B1310" s="58"/>
      <c r="C1310" s="58"/>
      <c r="D1310" s="58"/>
      <c r="E1310" s="58"/>
      <c r="F1310" s="88"/>
      <c r="G1310" s="58"/>
      <c r="H1310" s="88"/>
      <c r="I1310" s="91"/>
      <c r="J1310" s="58"/>
      <c r="K1310" s="244"/>
      <c r="L1310" s="93"/>
      <c r="M1310" s="58"/>
      <c r="N1310" s="62"/>
      <c r="O1310" s="245"/>
      <c r="P1310" s="62"/>
      <c r="Q1310" s="58"/>
      <c r="R1310" s="88"/>
      <c r="S1310" s="88"/>
    </row>
    <row r="1311">
      <c r="A1311" s="58"/>
      <c r="B1311" s="58"/>
      <c r="C1311" s="58"/>
      <c r="D1311" s="58"/>
      <c r="E1311" s="58"/>
      <c r="F1311" s="88"/>
      <c r="G1311" s="58"/>
      <c r="H1311" s="88"/>
      <c r="I1311" s="91"/>
      <c r="J1311" s="58"/>
      <c r="K1311" s="244"/>
      <c r="L1311" s="93"/>
      <c r="M1311" s="58"/>
      <c r="N1311" s="62"/>
      <c r="O1311" s="245"/>
      <c r="P1311" s="62"/>
      <c r="Q1311" s="58"/>
      <c r="R1311" s="88"/>
      <c r="S1311" s="88"/>
    </row>
    <row r="1312">
      <c r="A1312" s="58"/>
      <c r="B1312" s="58"/>
      <c r="C1312" s="58"/>
      <c r="D1312" s="58"/>
      <c r="E1312" s="58"/>
      <c r="F1312" s="88"/>
      <c r="G1312" s="58"/>
      <c r="H1312" s="88"/>
      <c r="I1312" s="91"/>
      <c r="J1312" s="58"/>
      <c r="K1312" s="244"/>
      <c r="L1312" s="93"/>
      <c r="M1312" s="58"/>
      <c r="N1312" s="62"/>
      <c r="O1312" s="245"/>
      <c r="P1312" s="62"/>
      <c r="Q1312" s="58"/>
      <c r="R1312" s="88"/>
      <c r="S1312" s="88"/>
    </row>
    <row r="1313">
      <c r="A1313" s="58"/>
      <c r="B1313" s="58"/>
      <c r="C1313" s="58"/>
      <c r="D1313" s="58"/>
      <c r="E1313" s="58"/>
      <c r="F1313" s="88"/>
      <c r="G1313" s="58"/>
      <c r="H1313" s="88"/>
      <c r="I1313" s="91"/>
      <c r="J1313" s="58"/>
      <c r="K1313" s="244"/>
      <c r="L1313" s="93"/>
      <c r="M1313" s="58"/>
      <c r="N1313" s="62"/>
      <c r="O1313" s="245"/>
      <c r="P1313" s="62"/>
      <c r="Q1313" s="58"/>
      <c r="R1313" s="88"/>
      <c r="S1313" s="88"/>
    </row>
    <row r="1314">
      <c r="A1314" s="58"/>
      <c r="B1314" s="58"/>
      <c r="C1314" s="58"/>
      <c r="D1314" s="58"/>
      <c r="E1314" s="58"/>
      <c r="F1314" s="88"/>
      <c r="G1314" s="58"/>
      <c r="H1314" s="88"/>
      <c r="I1314" s="91"/>
      <c r="J1314" s="58"/>
      <c r="K1314" s="244"/>
      <c r="L1314" s="93"/>
      <c r="M1314" s="58"/>
      <c r="N1314" s="62"/>
      <c r="O1314" s="245"/>
      <c r="P1314" s="62"/>
      <c r="Q1314" s="58"/>
      <c r="R1314" s="88"/>
      <c r="S1314" s="88"/>
    </row>
    <row r="1315">
      <c r="A1315" s="58"/>
      <c r="B1315" s="58"/>
      <c r="C1315" s="58"/>
      <c r="D1315" s="58"/>
      <c r="E1315" s="58"/>
      <c r="F1315" s="88"/>
      <c r="G1315" s="58"/>
      <c r="H1315" s="88"/>
      <c r="I1315" s="91"/>
      <c r="J1315" s="58"/>
      <c r="K1315" s="244"/>
      <c r="L1315" s="93"/>
      <c r="M1315" s="58"/>
      <c r="N1315" s="62"/>
      <c r="O1315" s="245"/>
      <c r="P1315" s="62"/>
      <c r="Q1315" s="58"/>
      <c r="R1315" s="88"/>
      <c r="S1315" s="88"/>
    </row>
    <row r="1316">
      <c r="A1316" s="58"/>
      <c r="B1316" s="58"/>
      <c r="C1316" s="58"/>
      <c r="D1316" s="58"/>
      <c r="E1316" s="58"/>
      <c r="F1316" s="88"/>
      <c r="G1316" s="58"/>
      <c r="H1316" s="88"/>
      <c r="I1316" s="91"/>
      <c r="J1316" s="58"/>
      <c r="K1316" s="244"/>
      <c r="L1316" s="93"/>
      <c r="M1316" s="58"/>
      <c r="N1316" s="62"/>
      <c r="O1316" s="245"/>
      <c r="P1316" s="62"/>
      <c r="Q1316" s="58"/>
      <c r="R1316" s="88"/>
      <c r="S1316" s="88"/>
    </row>
    <row r="1317">
      <c r="A1317" s="58"/>
      <c r="B1317" s="58"/>
      <c r="C1317" s="58"/>
      <c r="D1317" s="58"/>
      <c r="E1317" s="58"/>
      <c r="F1317" s="88"/>
      <c r="G1317" s="58"/>
      <c r="H1317" s="88"/>
      <c r="I1317" s="91"/>
      <c r="J1317" s="58"/>
      <c r="K1317" s="244"/>
      <c r="L1317" s="93"/>
      <c r="M1317" s="58"/>
      <c r="N1317" s="62"/>
      <c r="O1317" s="245"/>
      <c r="P1317" s="62"/>
      <c r="Q1317" s="58"/>
      <c r="R1317" s="88"/>
      <c r="S1317" s="88"/>
    </row>
    <row r="1318">
      <c r="A1318" s="58"/>
      <c r="B1318" s="58"/>
      <c r="C1318" s="58"/>
      <c r="D1318" s="58"/>
      <c r="E1318" s="58"/>
      <c r="F1318" s="88"/>
      <c r="G1318" s="58"/>
      <c r="H1318" s="88"/>
      <c r="I1318" s="91"/>
      <c r="J1318" s="58"/>
      <c r="K1318" s="244"/>
      <c r="L1318" s="93"/>
      <c r="M1318" s="58"/>
      <c r="N1318" s="62"/>
      <c r="O1318" s="245"/>
      <c r="P1318" s="62"/>
      <c r="Q1318" s="58"/>
      <c r="R1318" s="88"/>
      <c r="S1318" s="88"/>
    </row>
    <row r="1319">
      <c r="A1319" s="58"/>
      <c r="B1319" s="58"/>
      <c r="C1319" s="58"/>
      <c r="D1319" s="58"/>
      <c r="E1319" s="58"/>
      <c r="F1319" s="88"/>
      <c r="G1319" s="58"/>
      <c r="H1319" s="88"/>
      <c r="I1319" s="91"/>
      <c r="J1319" s="58"/>
      <c r="K1319" s="244"/>
      <c r="L1319" s="93"/>
      <c r="M1319" s="58"/>
      <c r="N1319" s="62"/>
      <c r="O1319" s="245"/>
      <c r="P1319" s="62"/>
      <c r="Q1319" s="58"/>
      <c r="R1319" s="88"/>
      <c r="S1319" s="88"/>
    </row>
    <row r="1320">
      <c r="A1320" s="58"/>
      <c r="B1320" s="58"/>
      <c r="C1320" s="58"/>
      <c r="D1320" s="58"/>
      <c r="E1320" s="58"/>
      <c r="F1320" s="88"/>
      <c r="G1320" s="58"/>
      <c r="H1320" s="88"/>
      <c r="I1320" s="91"/>
      <c r="J1320" s="58"/>
      <c r="K1320" s="244"/>
      <c r="L1320" s="93"/>
      <c r="M1320" s="58"/>
      <c r="N1320" s="62"/>
      <c r="O1320" s="245"/>
      <c r="P1320" s="62"/>
      <c r="Q1320" s="58"/>
      <c r="R1320" s="88"/>
      <c r="S1320" s="88"/>
    </row>
    <row r="1321">
      <c r="A1321" s="58"/>
      <c r="B1321" s="58"/>
      <c r="C1321" s="58"/>
      <c r="D1321" s="58"/>
      <c r="E1321" s="58"/>
      <c r="F1321" s="88"/>
      <c r="G1321" s="58"/>
      <c r="H1321" s="88"/>
      <c r="I1321" s="91"/>
      <c r="J1321" s="58"/>
      <c r="K1321" s="244"/>
      <c r="L1321" s="93"/>
      <c r="M1321" s="58"/>
      <c r="N1321" s="62"/>
      <c r="O1321" s="245"/>
      <c r="P1321" s="62"/>
      <c r="Q1321" s="58"/>
      <c r="R1321" s="88"/>
      <c r="S1321" s="88"/>
    </row>
    <row r="1322">
      <c r="A1322" s="58"/>
      <c r="B1322" s="58"/>
      <c r="C1322" s="58"/>
      <c r="D1322" s="58"/>
      <c r="E1322" s="58"/>
      <c r="F1322" s="88"/>
      <c r="G1322" s="58"/>
      <c r="H1322" s="88"/>
      <c r="I1322" s="91"/>
      <c r="J1322" s="58"/>
      <c r="K1322" s="244"/>
      <c r="L1322" s="93"/>
      <c r="M1322" s="58"/>
      <c r="N1322" s="62"/>
      <c r="O1322" s="245"/>
      <c r="P1322" s="62"/>
      <c r="Q1322" s="58"/>
      <c r="R1322" s="88"/>
      <c r="S1322" s="88"/>
    </row>
    <row r="1323">
      <c r="A1323" s="58"/>
      <c r="B1323" s="58"/>
      <c r="C1323" s="58"/>
      <c r="D1323" s="58"/>
      <c r="E1323" s="58"/>
      <c r="F1323" s="88"/>
      <c r="G1323" s="58"/>
      <c r="H1323" s="88"/>
      <c r="I1323" s="91"/>
      <c r="J1323" s="58"/>
      <c r="K1323" s="244"/>
      <c r="L1323" s="93"/>
      <c r="M1323" s="58"/>
      <c r="N1323" s="62"/>
      <c r="O1323" s="245"/>
      <c r="P1323" s="62"/>
      <c r="Q1323" s="58"/>
      <c r="R1323" s="88"/>
      <c r="S1323" s="88"/>
    </row>
    <row r="1324">
      <c r="A1324" s="58"/>
      <c r="B1324" s="58"/>
      <c r="C1324" s="58"/>
      <c r="D1324" s="58"/>
      <c r="E1324" s="58"/>
      <c r="F1324" s="88"/>
      <c r="G1324" s="58"/>
      <c r="H1324" s="88"/>
      <c r="I1324" s="91"/>
      <c r="J1324" s="58"/>
      <c r="K1324" s="244"/>
      <c r="L1324" s="93"/>
      <c r="M1324" s="58"/>
      <c r="N1324" s="62"/>
      <c r="O1324" s="245"/>
      <c r="P1324" s="62"/>
      <c r="Q1324" s="58"/>
      <c r="R1324" s="88"/>
      <c r="S1324" s="88"/>
    </row>
    <row r="1325">
      <c r="A1325" s="58"/>
      <c r="B1325" s="58"/>
      <c r="C1325" s="58"/>
      <c r="D1325" s="58"/>
      <c r="E1325" s="58"/>
      <c r="F1325" s="88"/>
      <c r="G1325" s="58"/>
      <c r="H1325" s="88"/>
      <c r="I1325" s="91"/>
      <c r="J1325" s="58"/>
      <c r="K1325" s="244"/>
      <c r="L1325" s="93"/>
      <c r="M1325" s="58"/>
      <c r="N1325" s="62"/>
      <c r="O1325" s="245"/>
      <c r="P1325" s="62"/>
      <c r="Q1325" s="58"/>
      <c r="R1325" s="88"/>
      <c r="S1325" s="88"/>
    </row>
    <row r="1326">
      <c r="A1326" s="58"/>
      <c r="B1326" s="58"/>
      <c r="C1326" s="58"/>
      <c r="D1326" s="58"/>
      <c r="E1326" s="58"/>
      <c r="F1326" s="88"/>
      <c r="G1326" s="58"/>
      <c r="H1326" s="88"/>
      <c r="I1326" s="91"/>
      <c r="J1326" s="58"/>
      <c r="K1326" s="244"/>
      <c r="L1326" s="93"/>
      <c r="M1326" s="58"/>
      <c r="N1326" s="62"/>
      <c r="O1326" s="245"/>
      <c r="P1326" s="62"/>
      <c r="Q1326" s="58"/>
      <c r="R1326" s="88"/>
      <c r="S1326" s="88"/>
    </row>
    <row r="1327">
      <c r="A1327" s="58"/>
      <c r="B1327" s="58"/>
      <c r="C1327" s="58"/>
      <c r="D1327" s="58"/>
      <c r="E1327" s="58"/>
      <c r="F1327" s="88"/>
      <c r="G1327" s="58"/>
      <c r="H1327" s="88"/>
      <c r="I1327" s="91"/>
      <c r="J1327" s="58"/>
      <c r="K1327" s="244"/>
      <c r="L1327" s="93"/>
      <c r="M1327" s="58"/>
      <c r="N1327" s="62"/>
      <c r="O1327" s="245"/>
      <c r="P1327" s="62"/>
      <c r="Q1327" s="58"/>
      <c r="R1327" s="88"/>
      <c r="S1327" s="88"/>
    </row>
    <row r="1328">
      <c r="A1328" s="58"/>
      <c r="B1328" s="58"/>
      <c r="C1328" s="58"/>
      <c r="D1328" s="58"/>
      <c r="E1328" s="58"/>
      <c r="F1328" s="88"/>
      <c r="G1328" s="58"/>
      <c r="H1328" s="88"/>
      <c r="I1328" s="91"/>
      <c r="J1328" s="58"/>
      <c r="K1328" s="244"/>
      <c r="L1328" s="93"/>
      <c r="M1328" s="58"/>
      <c r="N1328" s="62"/>
      <c r="O1328" s="245"/>
      <c r="P1328" s="62"/>
      <c r="Q1328" s="58"/>
      <c r="R1328" s="88"/>
      <c r="S1328" s="88"/>
    </row>
    <row r="1329">
      <c r="A1329" s="58"/>
      <c r="B1329" s="58"/>
      <c r="C1329" s="58"/>
      <c r="D1329" s="58"/>
      <c r="E1329" s="58"/>
      <c r="F1329" s="88"/>
      <c r="G1329" s="58"/>
      <c r="H1329" s="88"/>
      <c r="I1329" s="91"/>
      <c r="J1329" s="58"/>
      <c r="K1329" s="244"/>
      <c r="L1329" s="93"/>
      <c r="M1329" s="58"/>
      <c r="N1329" s="62"/>
      <c r="O1329" s="245"/>
      <c r="P1329" s="62"/>
      <c r="Q1329" s="58"/>
      <c r="R1329" s="88"/>
      <c r="S1329" s="88"/>
    </row>
    <row r="1330">
      <c r="A1330" s="58"/>
      <c r="B1330" s="58"/>
      <c r="C1330" s="58"/>
      <c r="D1330" s="58"/>
      <c r="E1330" s="58"/>
      <c r="F1330" s="88"/>
      <c r="G1330" s="58"/>
      <c r="H1330" s="88"/>
      <c r="I1330" s="91"/>
      <c r="J1330" s="58"/>
      <c r="K1330" s="244"/>
      <c r="L1330" s="93"/>
      <c r="M1330" s="58"/>
      <c r="N1330" s="62"/>
      <c r="O1330" s="245"/>
      <c r="P1330" s="62"/>
      <c r="Q1330" s="58"/>
      <c r="R1330" s="88"/>
      <c r="S1330" s="88"/>
    </row>
    <row r="1331">
      <c r="A1331" s="58"/>
      <c r="B1331" s="58"/>
      <c r="C1331" s="58"/>
      <c r="D1331" s="58"/>
      <c r="E1331" s="58"/>
      <c r="F1331" s="88"/>
      <c r="G1331" s="58"/>
      <c r="H1331" s="88"/>
      <c r="I1331" s="91"/>
      <c r="J1331" s="58"/>
      <c r="K1331" s="244"/>
      <c r="L1331" s="93"/>
      <c r="M1331" s="58"/>
      <c r="N1331" s="62"/>
      <c r="O1331" s="245"/>
      <c r="P1331" s="62"/>
      <c r="Q1331" s="58"/>
      <c r="R1331" s="88"/>
      <c r="S1331" s="88"/>
    </row>
    <row r="1332">
      <c r="A1332" s="58"/>
      <c r="B1332" s="58"/>
      <c r="C1332" s="58"/>
      <c r="D1332" s="58"/>
      <c r="E1332" s="58"/>
      <c r="F1332" s="88"/>
      <c r="G1332" s="58"/>
      <c r="H1332" s="88"/>
      <c r="I1332" s="91"/>
      <c r="J1332" s="58"/>
      <c r="K1332" s="244"/>
      <c r="L1332" s="93"/>
      <c r="M1332" s="58"/>
      <c r="N1332" s="62"/>
      <c r="O1332" s="245"/>
      <c r="P1332" s="62"/>
      <c r="Q1332" s="58"/>
      <c r="R1332" s="88"/>
      <c r="S1332" s="88"/>
    </row>
    <row r="1333">
      <c r="A1333" s="58"/>
      <c r="B1333" s="58"/>
      <c r="C1333" s="58"/>
      <c r="D1333" s="58"/>
      <c r="E1333" s="58"/>
      <c r="F1333" s="88"/>
      <c r="G1333" s="58"/>
      <c r="H1333" s="88"/>
      <c r="I1333" s="91"/>
      <c r="J1333" s="58"/>
      <c r="K1333" s="244"/>
      <c r="L1333" s="93"/>
      <c r="M1333" s="58"/>
      <c r="N1333" s="62"/>
      <c r="O1333" s="245"/>
      <c r="P1333" s="62"/>
      <c r="Q1333" s="58"/>
      <c r="R1333" s="88"/>
      <c r="S1333" s="88"/>
    </row>
    <row r="1334">
      <c r="A1334" s="58"/>
      <c r="B1334" s="58"/>
      <c r="C1334" s="58"/>
      <c r="D1334" s="58"/>
      <c r="E1334" s="58"/>
      <c r="F1334" s="88"/>
      <c r="G1334" s="58"/>
      <c r="H1334" s="88"/>
      <c r="I1334" s="91"/>
      <c r="J1334" s="58"/>
      <c r="K1334" s="244"/>
      <c r="L1334" s="93"/>
      <c r="M1334" s="58"/>
      <c r="N1334" s="62"/>
      <c r="O1334" s="245"/>
      <c r="P1334" s="62"/>
      <c r="Q1334" s="58"/>
      <c r="R1334" s="88"/>
      <c r="S1334" s="88"/>
    </row>
    <row r="1335">
      <c r="A1335" s="58"/>
      <c r="B1335" s="58"/>
      <c r="C1335" s="58"/>
      <c r="D1335" s="58"/>
      <c r="E1335" s="58"/>
      <c r="F1335" s="88"/>
      <c r="G1335" s="58"/>
      <c r="H1335" s="88"/>
      <c r="I1335" s="91"/>
      <c r="J1335" s="58"/>
      <c r="K1335" s="244"/>
      <c r="L1335" s="93"/>
      <c r="M1335" s="58"/>
      <c r="N1335" s="62"/>
      <c r="O1335" s="245"/>
      <c r="P1335" s="62"/>
      <c r="Q1335" s="58"/>
      <c r="R1335" s="88"/>
      <c r="S1335" s="88"/>
    </row>
    <row r="1336">
      <c r="A1336" s="58"/>
      <c r="B1336" s="58"/>
      <c r="C1336" s="58"/>
      <c r="D1336" s="58"/>
      <c r="E1336" s="58"/>
      <c r="F1336" s="88"/>
      <c r="G1336" s="58"/>
      <c r="H1336" s="88"/>
      <c r="I1336" s="91"/>
      <c r="J1336" s="58"/>
      <c r="K1336" s="244"/>
      <c r="L1336" s="93"/>
      <c r="M1336" s="58"/>
      <c r="N1336" s="62"/>
      <c r="O1336" s="245"/>
      <c r="P1336" s="62"/>
      <c r="Q1336" s="58"/>
      <c r="R1336" s="88"/>
      <c r="S1336" s="88"/>
    </row>
    <row r="1337">
      <c r="A1337" s="58"/>
      <c r="B1337" s="58"/>
      <c r="C1337" s="58"/>
      <c r="D1337" s="58"/>
      <c r="E1337" s="58"/>
      <c r="F1337" s="88"/>
      <c r="G1337" s="58"/>
      <c r="H1337" s="88"/>
      <c r="I1337" s="91"/>
      <c r="J1337" s="58"/>
      <c r="K1337" s="244"/>
      <c r="L1337" s="93"/>
      <c r="M1337" s="58"/>
      <c r="N1337" s="62"/>
      <c r="O1337" s="245"/>
      <c r="P1337" s="62"/>
      <c r="Q1337" s="58"/>
      <c r="R1337" s="88"/>
      <c r="S1337" s="88"/>
    </row>
    <row r="1338">
      <c r="A1338" s="58"/>
      <c r="B1338" s="58"/>
      <c r="C1338" s="58"/>
      <c r="D1338" s="58"/>
      <c r="E1338" s="58"/>
      <c r="F1338" s="88"/>
      <c r="G1338" s="58"/>
      <c r="H1338" s="88"/>
      <c r="I1338" s="91"/>
      <c r="J1338" s="58"/>
      <c r="K1338" s="244"/>
      <c r="L1338" s="93"/>
      <c r="M1338" s="58"/>
      <c r="N1338" s="62"/>
      <c r="O1338" s="245"/>
      <c r="P1338" s="62"/>
      <c r="Q1338" s="58"/>
      <c r="R1338" s="88"/>
      <c r="S1338" s="88"/>
    </row>
    <row r="1339">
      <c r="A1339" s="58"/>
      <c r="B1339" s="58"/>
      <c r="C1339" s="58"/>
      <c r="D1339" s="58"/>
      <c r="E1339" s="58"/>
      <c r="F1339" s="88"/>
      <c r="G1339" s="58"/>
      <c r="H1339" s="88"/>
      <c r="I1339" s="91"/>
      <c r="J1339" s="58"/>
      <c r="K1339" s="244"/>
      <c r="L1339" s="93"/>
      <c r="M1339" s="58"/>
      <c r="N1339" s="62"/>
      <c r="O1339" s="245"/>
      <c r="P1339" s="62"/>
      <c r="Q1339" s="58"/>
      <c r="R1339" s="88"/>
      <c r="S1339" s="88"/>
    </row>
    <row r="1340">
      <c r="A1340" s="58"/>
      <c r="B1340" s="58"/>
      <c r="C1340" s="58"/>
      <c r="D1340" s="58"/>
      <c r="E1340" s="58"/>
      <c r="F1340" s="88"/>
      <c r="G1340" s="58"/>
      <c r="H1340" s="88"/>
      <c r="I1340" s="91"/>
      <c r="J1340" s="58"/>
      <c r="K1340" s="244"/>
      <c r="L1340" s="93"/>
      <c r="M1340" s="58"/>
      <c r="N1340" s="62"/>
      <c r="O1340" s="245"/>
      <c r="P1340" s="62"/>
      <c r="Q1340" s="58"/>
      <c r="R1340" s="88"/>
      <c r="S1340" s="88"/>
    </row>
    <row r="1341">
      <c r="A1341" s="58"/>
      <c r="B1341" s="58"/>
      <c r="C1341" s="58"/>
      <c r="D1341" s="58"/>
      <c r="E1341" s="58"/>
      <c r="F1341" s="88"/>
      <c r="G1341" s="58"/>
      <c r="H1341" s="88"/>
      <c r="I1341" s="91"/>
      <c r="J1341" s="58"/>
      <c r="K1341" s="244"/>
      <c r="L1341" s="93"/>
      <c r="M1341" s="58"/>
      <c r="N1341" s="62"/>
      <c r="O1341" s="245"/>
      <c r="P1341" s="62"/>
      <c r="Q1341" s="58"/>
      <c r="R1341" s="88"/>
      <c r="S1341" s="88"/>
    </row>
    <row r="1342">
      <c r="A1342" s="58"/>
      <c r="B1342" s="58"/>
      <c r="C1342" s="58"/>
      <c r="D1342" s="58"/>
      <c r="E1342" s="58"/>
      <c r="F1342" s="88"/>
      <c r="G1342" s="58"/>
      <c r="H1342" s="88"/>
      <c r="I1342" s="91"/>
      <c r="J1342" s="58"/>
      <c r="K1342" s="244"/>
      <c r="L1342" s="93"/>
      <c r="M1342" s="58"/>
      <c r="N1342" s="62"/>
      <c r="O1342" s="245"/>
      <c r="P1342" s="62"/>
      <c r="Q1342" s="58"/>
      <c r="R1342" s="88"/>
      <c r="S1342" s="88"/>
    </row>
    <row r="1343">
      <c r="A1343" s="58"/>
      <c r="B1343" s="58"/>
      <c r="C1343" s="58"/>
      <c r="D1343" s="58"/>
      <c r="E1343" s="58"/>
      <c r="F1343" s="88"/>
      <c r="G1343" s="58"/>
      <c r="H1343" s="88"/>
      <c r="I1343" s="91"/>
      <c r="J1343" s="58"/>
      <c r="K1343" s="244"/>
      <c r="L1343" s="93"/>
      <c r="M1343" s="58"/>
      <c r="N1343" s="62"/>
      <c r="O1343" s="245"/>
      <c r="P1343" s="62"/>
      <c r="Q1343" s="58"/>
      <c r="R1343" s="88"/>
      <c r="S1343" s="88"/>
    </row>
    <row r="1344">
      <c r="A1344" s="58"/>
      <c r="B1344" s="58"/>
      <c r="C1344" s="58"/>
      <c r="D1344" s="58"/>
      <c r="E1344" s="58"/>
      <c r="F1344" s="88"/>
      <c r="G1344" s="58"/>
      <c r="H1344" s="88"/>
      <c r="I1344" s="91"/>
      <c r="J1344" s="58"/>
      <c r="K1344" s="244"/>
      <c r="L1344" s="93"/>
      <c r="M1344" s="58"/>
      <c r="N1344" s="62"/>
      <c r="O1344" s="245"/>
      <c r="P1344" s="62"/>
      <c r="Q1344" s="58"/>
      <c r="R1344" s="88"/>
      <c r="S1344" s="88"/>
    </row>
    <row r="1345">
      <c r="A1345" s="58"/>
      <c r="B1345" s="58"/>
      <c r="C1345" s="58"/>
      <c r="D1345" s="58"/>
      <c r="E1345" s="58"/>
      <c r="F1345" s="88"/>
      <c r="G1345" s="58"/>
      <c r="H1345" s="88"/>
      <c r="I1345" s="91"/>
      <c r="J1345" s="58"/>
      <c r="K1345" s="244"/>
      <c r="L1345" s="93"/>
      <c r="M1345" s="58"/>
      <c r="N1345" s="62"/>
      <c r="O1345" s="245"/>
      <c r="P1345" s="62"/>
      <c r="Q1345" s="58"/>
      <c r="R1345" s="88"/>
      <c r="S1345" s="88"/>
    </row>
    <row r="1346">
      <c r="A1346" s="58"/>
      <c r="B1346" s="58"/>
      <c r="C1346" s="58"/>
      <c r="D1346" s="58"/>
      <c r="E1346" s="58"/>
      <c r="F1346" s="88"/>
      <c r="G1346" s="58"/>
      <c r="H1346" s="88"/>
      <c r="I1346" s="91"/>
      <c r="J1346" s="58"/>
      <c r="K1346" s="244"/>
      <c r="L1346" s="93"/>
      <c r="M1346" s="58"/>
      <c r="N1346" s="62"/>
      <c r="O1346" s="245"/>
      <c r="P1346" s="62"/>
      <c r="Q1346" s="58"/>
      <c r="R1346" s="88"/>
      <c r="S1346" s="88"/>
    </row>
    <row r="1347">
      <c r="A1347" s="58"/>
      <c r="B1347" s="58"/>
      <c r="C1347" s="58"/>
      <c r="D1347" s="58"/>
      <c r="E1347" s="58"/>
      <c r="F1347" s="88"/>
      <c r="G1347" s="58"/>
      <c r="H1347" s="88"/>
      <c r="I1347" s="91"/>
      <c r="J1347" s="58"/>
      <c r="K1347" s="244"/>
      <c r="L1347" s="93"/>
      <c r="M1347" s="58"/>
      <c r="N1347" s="62"/>
      <c r="O1347" s="245"/>
      <c r="P1347" s="62"/>
      <c r="Q1347" s="58"/>
      <c r="R1347" s="88"/>
      <c r="S1347" s="88"/>
    </row>
    <row r="1348">
      <c r="A1348" s="58"/>
      <c r="B1348" s="58"/>
      <c r="C1348" s="58"/>
      <c r="D1348" s="58"/>
      <c r="E1348" s="58"/>
      <c r="F1348" s="88"/>
      <c r="G1348" s="58"/>
      <c r="H1348" s="88"/>
      <c r="I1348" s="91"/>
      <c r="J1348" s="58"/>
      <c r="K1348" s="244"/>
      <c r="L1348" s="93"/>
      <c r="M1348" s="58"/>
      <c r="N1348" s="62"/>
      <c r="O1348" s="245"/>
      <c r="P1348" s="62"/>
      <c r="Q1348" s="58"/>
      <c r="R1348" s="88"/>
      <c r="S1348" s="88"/>
    </row>
    <row r="1349">
      <c r="A1349" s="58"/>
      <c r="B1349" s="58"/>
      <c r="C1349" s="58"/>
      <c r="D1349" s="58"/>
      <c r="E1349" s="58"/>
      <c r="F1349" s="88"/>
      <c r="G1349" s="58"/>
      <c r="H1349" s="88"/>
      <c r="I1349" s="91"/>
      <c r="J1349" s="58"/>
      <c r="K1349" s="244"/>
      <c r="L1349" s="93"/>
      <c r="M1349" s="58"/>
      <c r="N1349" s="62"/>
      <c r="O1349" s="245"/>
      <c r="P1349" s="62"/>
      <c r="Q1349" s="58"/>
      <c r="R1349" s="88"/>
      <c r="S1349" s="88"/>
    </row>
    <row r="1350">
      <c r="A1350" s="58"/>
      <c r="B1350" s="58"/>
      <c r="C1350" s="58"/>
      <c r="D1350" s="58"/>
      <c r="E1350" s="58"/>
      <c r="F1350" s="88"/>
      <c r="G1350" s="58"/>
      <c r="H1350" s="88"/>
      <c r="I1350" s="91"/>
      <c r="J1350" s="58"/>
      <c r="K1350" s="244"/>
      <c r="L1350" s="93"/>
      <c r="M1350" s="58"/>
      <c r="N1350" s="62"/>
      <c r="O1350" s="245"/>
      <c r="P1350" s="62"/>
      <c r="Q1350" s="58"/>
      <c r="R1350" s="88"/>
      <c r="S1350" s="88"/>
    </row>
    <row r="1351">
      <c r="A1351" s="58"/>
      <c r="B1351" s="58"/>
      <c r="C1351" s="58"/>
      <c r="D1351" s="58"/>
      <c r="E1351" s="58"/>
      <c r="F1351" s="88"/>
      <c r="G1351" s="58"/>
      <c r="H1351" s="88"/>
      <c r="I1351" s="91"/>
      <c r="J1351" s="58"/>
      <c r="K1351" s="244"/>
      <c r="L1351" s="93"/>
      <c r="M1351" s="58"/>
      <c r="N1351" s="62"/>
      <c r="O1351" s="245"/>
      <c r="P1351" s="62"/>
      <c r="Q1351" s="58"/>
      <c r="R1351" s="88"/>
      <c r="S1351" s="88"/>
    </row>
    <row r="1352">
      <c r="A1352" s="58"/>
      <c r="B1352" s="58"/>
      <c r="C1352" s="58"/>
      <c r="D1352" s="58"/>
      <c r="E1352" s="58"/>
      <c r="F1352" s="88"/>
      <c r="G1352" s="58"/>
      <c r="H1352" s="88"/>
      <c r="I1352" s="91"/>
      <c r="J1352" s="58"/>
      <c r="K1352" s="244"/>
      <c r="L1352" s="93"/>
      <c r="M1352" s="58"/>
      <c r="N1352" s="62"/>
      <c r="O1352" s="245"/>
      <c r="P1352" s="62"/>
      <c r="Q1352" s="58"/>
      <c r="R1352" s="88"/>
      <c r="S1352" s="88"/>
    </row>
    <row r="1353">
      <c r="A1353" s="58"/>
      <c r="B1353" s="58"/>
      <c r="C1353" s="58"/>
      <c r="D1353" s="58"/>
      <c r="E1353" s="58"/>
      <c r="F1353" s="88"/>
      <c r="G1353" s="58"/>
      <c r="H1353" s="88"/>
      <c r="I1353" s="91"/>
      <c r="J1353" s="58"/>
      <c r="K1353" s="244"/>
      <c r="L1353" s="93"/>
      <c r="M1353" s="58"/>
      <c r="N1353" s="62"/>
      <c r="O1353" s="245"/>
      <c r="P1353" s="62"/>
      <c r="Q1353" s="58"/>
      <c r="R1353" s="88"/>
      <c r="S1353" s="88"/>
    </row>
    <row r="1354">
      <c r="A1354" s="58"/>
      <c r="B1354" s="58"/>
      <c r="C1354" s="58"/>
      <c r="D1354" s="58"/>
      <c r="E1354" s="58"/>
      <c r="F1354" s="88"/>
      <c r="G1354" s="58"/>
      <c r="H1354" s="88"/>
      <c r="I1354" s="91"/>
      <c r="J1354" s="58"/>
      <c r="K1354" s="244"/>
      <c r="L1354" s="93"/>
      <c r="M1354" s="58"/>
      <c r="N1354" s="62"/>
      <c r="O1354" s="245"/>
      <c r="P1354" s="62"/>
      <c r="Q1354" s="58"/>
      <c r="R1354" s="88"/>
      <c r="S1354" s="88"/>
    </row>
    <row r="1355">
      <c r="A1355" s="58"/>
      <c r="B1355" s="58"/>
      <c r="C1355" s="58"/>
      <c r="D1355" s="58"/>
      <c r="E1355" s="58"/>
      <c r="F1355" s="88"/>
      <c r="G1355" s="58"/>
      <c r="H1355" s="88"/>
      <c r="I1355" s="91"/>
      <c r="J1355" s="58"/>
      <c r="K1355" s="244"/>
      <c r="L1355" s="93"/>
      <c r="M1355" s="58"/>
      <c r="N1355" s="62"/>
      <c r="O1355" s="245"/>
      <c r="P1355" s="62"/>
      <c r="Q1355" s="58"/>
      <c r="R1355" s="88"/>
      <c r="S1355" s="88"/>
    </row>
    <row r="1356">
      <c r="A1356" s="58"/>
      <c r="B1356" s="58"/>
      <c r="C1356" s="58"/>
      <c r="D1356" s="58"/>
      <c r="E1356" s="58"/>
      <c r="F1356" s="88"/>
      <c r="G1356" s="58"/>
      <c r="H1356" s="88"/>
      <c r="I1356" s="91"/>
      <c r="J1356" s="58"/>
      <c r="K1356" s="244"/>
      <c r="L1356" s="93"/>
      <c r="M1356" s="58"/>
      <c r="N1356" s="62"/>
      <c r="O1356" s="245"/>
      <c r="P1356" s="62"/>
      <c r="Q1356" s="58"/>
      <c r="R1356" s="88"/>
      <c r="S1356" s="88"/>
    </row>
    <row r="1357">
      <c r="A1357" s="58"/>
      <c r="B1357" s="58"/>
      <c r="C1357" s="58"/>
      <c r="D1357" s="58"/>
      <c r="E1357" s="58"/>
      <c r="F1357" s="88"/>
      <c r="G1357" s="58"/>
      <c r="H1357" s="88"/>
      <c r="I1357" s="91"/>
      <c r="J1357" s="58"/>
      <c r="K1357" s="244"/>
      <c r="L1357" s="93"/>
      <c r="M1357" s="58"/>
      <c r="N1357" s="62"/>
      <c r="O1357" s="245"/>
      <c r="P1357" s="62"/>
      <c r="Q1357" s="58"/>
      <c r="R1357" s="88"/>
      <c r="S1357" s="88"/>
    </row>
    <row r="1358">
      <c r="A1358" s="58"/>
      <c r="B1358" s="58"/>
      <c r="C1358" s="58"/>
      <c r="D1358" s="58"/>
      <c r="E1358" s="58"/>
      <c r="F1358" s="88"/>
      <c r="G1358" s="58"/>
      <c r="H1358" s="88"/>
      <c r="I1358" s="91"/>
      <c r="J1358" s="58"/>
      <c r="K1358" s="244"/>
      <c r="L1358" s="93"/>
      <c r="M1358" s="58"/>
      <c r="N1358" s="62"/>
      <c r="O1358" s="245"/>
      <c r="P1358" s="62"/>
      <c r="Q1358" s="58"/>
      <c r="R1358" s="88"/>
      <c r="S1358" s="88"/>
    </row>
    <row r="1359">
      <c r="A1359" s="58"/>
      <c r="B1359" s="58"/>
      <c r="C1359" s="58"/>
      <c r="D1359" s="58"/>
      <c r="E1359" s="58"/>
      <c r="F1359" s="88"/>
      <c r="G1359" s="58"/>
      <c r="H1359" s="88"/>
      <c r="I1359" s="91"/>
      <c r="J1359" s="58"/>
      <c r="K1359" s="244"/>
      <c r="L1359" s="93"/>
      <c r="M1359" s="58"/>
      <c r="N1359" s="62"/>
      <c r="O1359" s="245"/>
      <c r="P1359" s="62"/>
      <c r="Q1359" s="58"/>
      <c r="R1359" s="88"/>
      <c r="S1359" s="88"/>
    </row>
    <row r="1360">
      <c r="A1360" s="58"/>
      <c r="B1360" s="58"/>
      <c r="C1360" s="58"/>
      <c r="D1360" s="58"/>
      <c r="E1360" s="58"/>
      <c r="F1360" s="88"/>
      <c r="G1360" s="58"/>
      <c r="H1360" s="88"/>
      <c r="I1360" s="91"/>
      <c r="J1360" s="58"/>
      <c r="K1360" s="244"/>
      <c r="L1360" s="93"/>
      <c r="M1360" s="58"/>
      <c r="N1360" s="62"/>
      <c r="O1360" s="245"/>
      <c r="P1360" s="62"/>
      <c r="Q1360" s="58"/>
      <c r="R1360" s="88"/>
      <c r="S1360" s="88"/>
    </row>
    <row r="1361">
      <c r="A1361" s="58"/>
      <c r="B1361" s="58"/>
      <c r="C1361" s="58"/>
      <c r="D1361" s="58"/>
      <c r="E1361" s="58"/>
      <c r="F1361" s="88"/>
      <c r="G1361" s="58"/>
      <c r="H1361" s="88"/>
      <c r="I1361" s="91"/>
      <c r="J1361" s="58"/>
      <c r="K1361" s="244"/>
      <c r="L1361" s="93"/>
      <c r="M1361" s="58"/>
      <c r="N1361" s="62"/>
      <c r="O1361" s="245"/>
      <c r="P1361" s="62"/>
      <c r="Q1361" s="58"/>
      <c r="R1361" s="88"/>
      <c r="S1361" s="88"/>
    </row>
    <row r="1362">
      <c r="A1362" s="58"/>
      <c r="B1362" s="58"/>
      <c r="C1362" s="58"/>
      <c r="D1362" s="58"/>
      <c r="E1362" s="58"/>
      <c r="F1362" s="88"/>
      <c r="G1362" s="58"/>
      <c r="H1362" s="88"/>
      <c r="I1362" s="91"/>
      <c r="J1362" s="58"/>
      <c r="K1362" s="244"/>
      <c r="L1362" s="93"/>
      <c r="M1362" s="58"/>
      <c r="N1362" s="62"/>
      <c r="O1362" s="245"/>
      <c r="P1362" s="62"/>
      <c r="Q1362" s="58"/>
      <c r="R1362" s="88"/>
      <c r="S1362" s="88"/>
    </row>
    <row r="1363">
      <c r="A1363" s="58"/>
      <c r="B1363" s="58"/>
      <c r="C1363" s="58"/>
      <c r="D1363" s="58"/>
      <c r="E1363" s="58"/>
      <c r="F1363" s="88"/>
      <c r="G1363" s="58"/>
      <c r="H1363" s="88"/>
      <c r="I1363" s="91"/>
      <c r="J1363" s="58"/>
      <c r="K1363" s="244"/>
      <c r="L1363" s="93"/>
      <c r="M1363" s="58"/>
      <c r="N1363" s="62"/>
      <c r="O1363" s="245"/>
      <c r="P1363" s="62"/>
      <c r="Q1363" s="58"/>
      <c r="R1363" s="88"/>
      <c r="S1363" s="88"/>
    </row>
    <row r="1364">
      <c r="A1364" s="58"/>
      <c r="B1364" s="58"/>
      <c r="C1364" s="58"/>
      <c r="D1364" s="58"/>
      <c r="E1364" s="58"/>
      <c r="F1364" s="88"/>
      <c r="G1364" s="58"/>
      <c r="H1364" s="88"/>
      <c r="I1364" s="91"/>
      <c r="J1364" s="58"/>
      <c r="K1364" s="244"/>
      <c r="L1364" s="93"/>
      <c r="M1364" s="58"/>
      <c r="N1364" s="62"/>
      <c r="O1364" s="245"/>
      <c r="P1364" s="62"/>
      <c r="Q1364" s="58"/>
      <c r="R1364" s="88"/>
      <c r="S1364" s="88"/>
    </row>
    <row r="1365">
      <c r="A1365" s="58"/>
      <c r="B1365" s="58"/>
      <c r="C1365" s="58"/>
      <c r="D1365" s="58"/>
      <c r="E1365" s="58"/>
      <c r="F1365" s="88"/>
      <c r="G1365" s="58"/>
      <c r="H1365" s="88"/>
      <c r="I1365" s="91"/>
      <c r="J1365" s="58"/>
      <c r="K1365" s="244"/>
      <c r="L1365" s="93"/>
      <c r="M1365" s="58"/>
      <c r="N1365" s="62"/>
      <c r="O1365" s="245"/>
      <c r="P1365" s="62"/>
      <c r="Q1365" s="58"/>
      <c r="R1365" s="88"/>
      <c r="S1365" s="88"/>
    </row>
    <row r="1366">
      <c r="A1366" s="58"/>
      <c r="B1366" s="58"/>
      <c r="C1366" s="58"/>
      <c r="D1366" s="58"/>
      <c r="E1366" s="58"/>
      <c r="F1366" s="88"/>
      <c r="G1366" s="58"/>
      <c r="H1366" s="88"/>
      <c r="I1366" s="91"/>
      <c r="J1366" s="58"/>
      <c r="K1366" s="244"/>
      <c r="L1366" s="93"/>
      <c r="M1366" s="58"/>
      <c r="N1366" s="62"/>
      <c r="O1366" s="245"/>
      <c r="P1366" s="62"/>
      <c r="Q1366" s="58"/>
      <c r="R1366" s="88"/>
      <c r="S1366" s="88"/>
    </row>
    <row r="1367">
      <c r="A1367" s="58"/>
      <c r="B1367" s="58"/>
      <c r="C1367" s="58"/>
      <c r="D1367" s="58"/>
      <c r="E1367" s="58"/>
      <c r="F1367" s="88"/>
      <c r="G1367" s="58"/>
      <c r="H1367" s="88"/>
      <c r="I1367" s="91"/>
      <c r="J1367" s="58"/>
      <c r="K1367" s="244"/>
      <c r="L1367" s="93"/>
      <c r="M1367" s="58"/>
      <c r="N1367" s="62"/>
      <c r="O1367" s="245"/>
      <c r="P1367" s="62"/>
      <c r="Q1367" s="58"/>
      <c r="R1367" s="88"/>
      <c r="S1367" s="88"/>
    </row>
    <row r="1368">
      <c r="A1368" s="58"/>
      <c r="B1368" s="58"/>
      <c r="C1368" s="58"/>
      <c r="D1368" s="58"/>
      <c r="E1368" s="58"/>
      <c r="F1368" s="88"/>
      <c r="G1368" s="58"/>
      <c r="H1368" s="88"/>
      <c r="I1368" s="91"/>
      <c r="J1368" s="58"/>
      <c r="K1368" s="244"/>
      <c r="L1368" s="93"/>
      <c r="M1368" s="58"/>
      <c r="N1368" s="62"/>
      <c r="O1368" s="245"/>
      <c r="P1368" s="62"/>
      <c r="Q1368" s="58"/>
      <c r="R1368" s="88"/>
      <c r="S1368" s="88"/>
    </row>
    <row r="1369">
      <c r="A1369" s="58"/>
      <c r="B1369" s="58"/>
      <c r="C1369" s="58"/>
      <c r="D1369" s="58"/>
      <c r="E1369" s="58"/>
      <c r="F1369" s="88"/>
      <c r="G1369" s="58"/>
      <c r="H1369" s="88"/>
      <c r="I1369" s="91"/>
      <c r="J1369" s="58"/>
      <c r="K1369" s="244"/>
      <c r="L1369" s="93"/>
      <c r="M1369" s="58"/>
      <c r="N1369" s="62"/>
      <c r="O1369" s="245"/>
      <c r="P1369" s="62"/>
      <c r="Q1369" s="58"/>
      <c r="R1369" s="88"/>
      <c r="S1369" s="88"/>
    </row>
    <row r="1370">
      <c r="A1370" s="58"/>
      <c r="B1370" s="58"/>
      <c r="C1370" s="58"/>
      <c r="D1370" s="58"/>
      <c r="E1370" s="58"/>
      <c r="F1370" s="88"/>
      <c r="G1370" s="58"/>
      <c r="H1370" s="88"/>
      <c r="I1370" s="91"/>
      <c r="J1370" s="58"/>
      <c r="K1370" s="244"/>
      <c r="L1370" s="93"/>
      <c r="M1370" s="58"/>
      <c r="N1370" s="62"/>
      <c r="O1370" s="245"/>
      <c r="P1370" s="62"/>
      <c r="Q1370" s="58"/>
      <c r="R1370" s="88"/>
      <c r="S1370" s="88"/>
    </row>
    <row r="1371">
      <c r="A1371" s="58"/>
      <c r="B1371" s="58"/>
      <c r="C1371" s="58"/>
      <c r="D1371" s="58"/>
      <c r="E1371" s="58"/>
      <c r="F1371" s="88"/>
      <c r="G1371" s="58"/>
      <c r="H1371" s="88"/>
      <c r="I1371" s="91"/>
      <c r="J1371" s="58"/>
      <c r="K1371" s="244"/>
      <c r="L1371" s="93"/>
      <c r="M1371" s="58"/>
      <c r="N1371" s="62"/>
      <c r="O1371" s="245"/>
      <c r="P1371" s="62"/>
      <c r="Q1371" s="58"/>
      <c r="R1371" s="88"/>
      <c r="S1371" s="88"/>
    </row>
    <row r="1372">
      <c r="A1372" s="58"/>
      <c r="B1372" s="58"/>
      <c r="C1372" s="58"/>
      <c r="D1372" s="58"/>
      <c r="E1372" s="58"/>
      <c r="F1372" s="88"/>
      <c r="G1372" s="58"/>
      <c r="H1372" s="88"/>
      <c r="I1372" s="91"/>
      <c r="J1372" s="58"/>
      <c r="K1372" s="244"/>
      <c r="L1372" s="93"/>
      <c r="M1372" s="58"/>
      <c r="N1372" s="62"/>
      <c r="O1372" s="245"/>
      <c r="P1372" s="62"/>
      <c r="Q1372" s="58"/>
      <c r="R1372" s="88"/>
      <c r="S1372" s="88"/>
    </row>
    <row r="1373">
      <c r="A1373" s="58"/>
      <c r="B1373" s="58"/>
      <c r="C1373" s="58"/>
      <c r="D1373" s="58"/>
      <c r="E1373" s="58"/>
      <c r="F1373" s="88"/>
      <c r="G1373" s="58"/>
      <c r="H1373" s="88"/>
      <c r="I1373" s="91"/>
      <c r="J1373" s="58"/>
      <c r="K1373" s="244"/>
      <c r="L1373" s="93"/>
      <c r="M1373" s="58"/>
      <c r="N1373" s="62"/>
      <c r="O1373" s="245"/>
      <c r="P1373" s="62"/>
      <c r="Q1373" s="58"/>
      <c r="R1373" s="88"/>
      <c r="S1373" s="88"/>
    </row>
    <row r="1374">
      <c r="A1374" s="58"/>
      <c r="B1374" s="58"/>
      <c r="C1374" s="58"/>
      <c r="D1374" s="58"/>
      <c r="E1374" s="58"/>
      <c r="F1374" s="88"/>
      <c r="G1374" s="58"/>
      <c r="H1374" s="88"/>
      <c r="I1374" s="91"/>
      <c r="J1374" s="58"/>
      <c r="K1374" s="244"/>
      <c r="L1374" s="93"/>
      <c r="M1374" s="58"/>
      <c r="N1374" s="62"/>
      <c r="O1374" s="245"/>
      <c r="P1374" s="62"/>
      <c r="Q1374" s="58"/>
      <c r="R1374" s="88"/>
      <c r="S1374" s="88"/>
    </row>
    <row r="1375">
      <c r="A1375" s="58"/>
      <c r="B1375" s="58"/>
      <c r="C1375" s="58"/>
      <c r="D1375" s="58"/>
      <c r="E1375" s="58"/>
      <c r="F1375" s="88"/>
      <c r="G1375" s="58"/>
      <c r="H1375" s="88"/>
      <c r="I1375" s="91"/>
      <c r="J1375" s="58"/>
      <c r="K1375" s="244"/>
      <c r="L1375" s="93"/>
      <c r="M1375" s="58"/>
      <c r="N1375" s="62"/>
      <c r="O1375" s="245"/>
      <c r="P1375" s="62"/>
      <c r="Q1375" s="58"/>
      <c r="R1375" s="88"/>
      <c r="S1375" s="88"/>
    </row>
    <row r="1376">
      <c r="A1376" s="58"/>
      <c r="B1376" s="58"/>
      <c r="C1376" s="58"/>
      <c r="D1376" s="58"/>
      <c r="E1376" s="58"/>
      <c r="F1376" s="88"/>
      <c r="G1376" s="58"/>
      <c r="H1376" s="88"/>
      <c r="I1376" s="91"/>
      <c r="J1376" s="58"/>
      <c r="K1376" s="244"/>
      <c r="L1376" s="93"/>
      <c r="M1376" s="58"/>
      <c r="N1376" s="62"/>
      <c r="O1376" s="245"/>
      <c r="P1376" s="62"/>
      <c r="Q1376" s="58"/>
      <c r="R1376" s="88"/>
      <c r="S1376" s="88"/>
    </row>
    <row r="1377">
      <c r="A1377" s="58"/>
      <c r="B1377" s="58"/>
      <c r="C1377" s="58"/>
      <c r="D1377" s="58"/>
      <c r="E1377" s="58"/>
      <c r="F1377" s="88"/>
      <c r="G1377" s="58"/>
      <c r="H1377" s="88"/>
      <c r="I1377" s="91"/>
      <c r="J1377" s="58"/>
      <c r="K1377" s="244"/>
      <c r="L1377" s="93"/>
      <c r="M1377" s="58"/>
      <c r="N1377" s="62"/>
      <c r="O1377" s="245"/>
      <c r="P1377" s="62"/>
      <c r="Q1377" s="58"/>
      <c r="R1377" s="88"/>
      <c r="S1377" s="88"/>
    </row>
    <row r="1378">
      <c r="A1378" s="58"/>
      <c r="B1378" s="58"/>
      <c r="C1378" s="58"/>
      <c r="D1378" s="58"/>
      <c r="E1378" s="58"/>
      <c r="F1378" s="88"/>
      <c r="G1378" s="58"/>
      <c r="H1378" s="88"/>
      <c r="I1378" s="91"/>
      <c r="J1378" s="58"/>
      <c r="K1378" s="244"/>
      <c r="L1378" s="93"/>
      <c r="M1378" s="58"/>
      <c r="N1378" s="62"/>
      <c r="O1378" s="245"/>
      <c r="P1378" s="62"/>
      <c r="Q1378" s="58"/>
      <c r="R1378" s="88"/>
      <c r="S1378" s="88"/>
    </row>
    <row r="1379">
      <c r="A1379" s="58"/>
      <c r="B1379" s="58"/>
      <c r="C1379" s="58"/>
      <c r="D1379" s="58"/>
      <c r="E1379" s="58"/>
      <c r="F1379" s="88"/>
      <c r="G1379" s="58"/>
      <c r="H1379" s="88"/>
      <c r="I1379" s="91"/>
      <c r="J1379" s="58"/>
      <c r="K1379" s="244"/>
      <c r="L1379" s="93"/>
      <c r="M1379" s="58"/>
      <c r="N1379" s="62"/>
      <c r="O1379" s="245"/>
      <c r="P1379" s="62"/>
      <c r="Q1379" s="58"/>
      <c r="R1379" s="88"/>
      <c r="S1379" s="88"/>
    </row>
    <row r="1380">
      <c r="A1380" s="58"/>
      <c r="B1380" s="58"/>
      <c r="C1380" s="58"/>
      <c r="D1380" s="58"/>
      <c r="E1380" s="58"/>
      <c r="F1380" s="88"/>
      <c r="G1380" s="58"/>
      <c r="H1380" s="88"/>
      <c r="I1380" s="91"/>
      <c r="J1380" s="58"/>
      <c r="K1380" s="244"/>
      <c r="L1380" s="93"/>
      <c r="M1380" s="58"/>
      <c r="N1380" s="62"/>
      <c r="O1380" s="245"/>
      <c r="P1380" s="62"/>
      <c r="Q1380" s="58"/>
      <c r="R1380" s="88"/>
      <c r="S1380" s="88"/>
    </row>
    <row r="1381">
      <c r="A1381" s="58"/>
      <c r="B1381" s="58"/>
      <c r="C1381" s="58"/>
      <c r="D1381" s="58"/>
      <c r="E1381" s="58"/>
      <c r="F1381" s="88"/>
      <c r="G1381" s="58"/>
      <c r="H1381" s="88"/>
      <c r="I1381" s="91"/>
      <c r="J1381" s="58"/>
      <c r="K1381" s="244"/>
      <c r="L1381" s="93"/>
      <c r="M1381" s="58"/>
      <c r="N1381" s="62"/>
      <c r="O1381" s="245"/>
      <c r="P1381" s="62"/>
      <c r="Q1381" s="58"/>
      <c r="R1381" s="88"/>
      <c r="S1381" s="88"/>
    </row>
    <row r="1382">
      <c r="A1382" s="58"/>
      <c r="B1382" s="58"/>
      <c r="C1382" s="58"/>
      <c r="D1382" s="58"/>
      <c r="E1382" s="58"/>
      <c r="F1382" s="88"/>
      <c r="G1382" s="58"/>
      <c r="H1382" s="88"/>
      <c r="I1382" s="91"/>
      <c r="J1382" s="58"/>
      <c r="K1382" s="244"/>
      <c r="L1382" s="93"/>
      <c r="M1382" s="58"/>
      <c r="N1382" s="62"/>
      <c r="O1382" s="245"/>
      <c r="P1382" s="62"/>
      <c r="Q1382" s="58"/>
      <c r="R1382" s="88"/>
      <c r="S1382" s="88"/>
    </row>
    <row r="1383">
      <c r="A1383" s="58"/>
      <c r="B1383" s="58"/>
      <c r="C1383" s="58"/>
      <c r="D1383" s="58"/>
      <c r="E1383" s="58"/>
      <c r="F1383" s="88"/>
      <c r="G1383" s="58"/>
      <c r="H1383" s="88"/>
      <c r="I1383" s="91"/>
      <c r="J1383" s="58"/>
      <c r="K1383" s="244"/>
      <c r="L1383" s="93"/>
      <c r="M1383" s="58"/>
      <c r="N1383" s="62"/>
      <c r="O1383" s="245"/>
      <c r="P1383" s="62"/>
      <c r="Q1383" s="58"/>
      <c r="R1383" s="88"/>
      <c r="S1383" s="88"/>
    </row>
    <row r="1384">
      <c r="A1384" s="58"/>
      <c r="B1384" s="58"/>
      <c r="C1384" s="58"/>
      <c r="D1384" s="58"/>
      <c r="E1384" s="58"/>
      <c r="F1384" s="88"/>
      <c r="G1384" s="58"/>
      <c r="H1384" s="88"/>
      <c r="I1384" s="91"/>
      <c r="J1384" s="58"/>
      <c r="K1384" s="244"/>
      <c r="L1384" s="93"/>
      <c r="M1384" s="58"/>
      <c r="N1384" s="62"/>
      <c r="O1384" s="245"/>
      <c r="P1384" s="62"/>
      <c r="Q1384" s="58"/>
      <c r="R1384" s="88"/>
      <c r="S1384" s="88"/>
    </row>
    <row r="1385">
      <c r="A1385" s="58"/>
      <c r="B1385" s="58"/>
      <c r="C1385" s="58"/>
      <c r="D1385" s="58"/>
      <c r="E1385" s="58"/>
      <c r="F1385" s="88"/>
      <c r="G1385" s="58"/>
      <c r="H1385" s="88"/>
      <c r="I1385" s="91"/>
      <c r="J1385" s="58"/>
      <c r="K1385" s="244"/>
      <c r="L1385" s="93"/>
      <c r="M1385" s="58"/>
      <c r="N1385" s="62"/>
      <c r="O1385" s="245"/>
      <c r="P1385" s="62"/>
      <c r="Q1385" s="58"/>
      <c r="R1385" s="88"/>
      <c r="S1385" s="88"/>
    </row>
    <row r="1386">
      <c r="A1386" s="58"/>
      <c r="B1386" s="58"/>
      <c r="C1386" s="58"/>
      <c r="D1386" s="58"/>
      <c r="E1386" s="58"/>
      <c r="F1386" s="88"/>
      <c r="G1386" s="58"/>
      <c r="H1386" s="88"/>
      <c r="I1386" s="91"/>
      <c r="J1386" s="58"/>
      <c r="K1386" s="244"/>
      <c r="L1386" s="93"/>
      <c r="M1386" s="58"/>
      <c r="N1386" s="62"/>
      <c r="O1386" s="245"/>
      <c r="P1386" s="62"/>
      <c r="Q1386" s="58"/>
      <c r="R1386" s="88"/>
      <c r="S1386" s="88"/>
    </row>
    <row r="1387">
      <c r="A1387" s="58"/>
      <c r="B1387" s="58"/>
      <c r="C1387" s="58"/>
      <c r="D1387" s="58"/>
      <c r="E1387" s="58"/>
      <c r="F1387" s="88"/>
      <c r="G1387" s="58"/>
      <c r="H1387" s="88"/>
      <c r="I1387" s="91"/>
      <c r="J1387" s="58"/>
      <c r="K1387" s="244"/>
      <c r="L1387" s="93"/>
      <c r="M1387" s="58"/>
      <c r="N1387" s="62"/>
      <c r="O1387" s="245"/>
      <c r="P1387" s="62"/>
      <c r="Q1387" s="58"/>
      <c r="R1387" s="88"/>
      <c r="S1387" s="88"/>
    </row>
    <row r="1388">
      <c r="A1388" s="58"/>
      <c r="B1388" s="58"/>
      <c r="C1388" s="58"/>
      <c r="D1388" s="58"/>
      <c r="E1388" s="58"/>
      <c r="F1388" s="88"/>
      <c r="G1388" s="58"/>
      <c r="H1388" s="88"/>
      <c r="I1388" s="91"/>
      <c r="J1388" s="58"/>
      <c r="K1388" s="244"/>
      <c r="L1388" s="93"/>
      <c r="M1388" s="58"/>
      <c r="N1388" s="62"/>
      <c r="O1388" s="245"/>
      <c r="P1388" s="62"/>
      <c r="Q1388" s="58"/>
      <c r="R1388" s="88"/>
      <c r="S1388" s="88"/>
    </row>
    <row r="1389">
      <c r="A1389" s="58"/>
      <c r="B1389" s="58"/>
      <c r="C1389" s="58"/>
      <c r="D1389" s="58"/>
      <c r="E1389" s="58"/>
      <c r="F1389" s="88"/>
      <c r="G1389" s="58"/>
      <c r="H1389" s="88"/>
      <c r="I1389" s="91"/>
      <c r="J1389" s="58"/>
      <c r="K1389" s="244"/>
      <c r="L1389" s="93"/>
      <c r="M1389" s="58"/>
      <c r="N1389" s="62"/>
      <c r="O1389" s="245"/>
      <c r="P1389" s="62"/>
      <c r="Q1389" s="58"/>
      <c r="R1389" s="88"/>
      <c r="S1389" s="88"/>
    </row>
    <row r="1390">
      <c r="A1390" s="58"/>
      <c r="B1390" s="58"/>
      <c r="C1390" s="58"/>
      <c r="D1390" s="58"/>
      <c r="E1390" s="58"/>
      <c r="F1390" s="88"/>
      <c r="G1390" s="58"/>
      <c r="H1390" s="88"/>
      <c r="I1390" s="91"/>
      <c r="J1390" s="58"/>
      <c r="K1390" s="244"/>
      <c r="L1390" s="93"/>
      <c r="M1390" s="58"/>
      <c r="N1390" s="62"/>
      <c r="O1390" s="245"/>
      <c r="P1390" s="62"/>
      <c r="Q1390" s="58"/>
      <c r="R1390" s="88"/>
      <c r="S1390" s="88"/>
    </row>
    <row r="1391">
      <c r="A1391" s="58"/>
      <c r="B1391" s="58"/>
      <c r="C1391" s="58"/>
      <c r="D1391" s="58"/>
      <c r="E1391" s="58"/>
      <c r="F1391" s="88"/>
      <c r="G1391" s="58"/>
      <c r="H1391" s="88"/>
      <c r="I1391" s="91"/>
      <c r="J1391" s="58"/>
      <c r="K1391" s="244"/>
      <c r="L1391" s="93"/>
      <c r="M1391" s="58"/>
      <c r="N1391" s="62"/>
      <c r="O1391" s="245"/>
      <c r="P1391" s="62"/>
      <c r="Q1391" s="58"/>
      <c r="R1391" s="88"/>
      <c r="S1391" s="88"/>
    </row>
    <row r="1392">
      <c r="A1392" s="58"/>
      <c r="B1392" s="58"/>
      <c r="C1392" s="58"/>
      <c r="D1392" s="58"/>
      <c r="E1392" s="58"/>
      <c r="F1392" s="88"/>
      <c r="G1392" s="58"/>
      <c r="H1392" s="88"/>
      <c r="I1392" s="91"/>
      <c r="J1392" s="58"/>
      <c r="K1392" s="244"/>
      <c r="L1392" s="93"/>
      <c r="M1392" s="58"/>
      <c r="N1392" s="62"/>
      <c r="O1392" s="245"/>
      <c r="P1392" s="62"/>
      <c r="Q1392" s="58"/>
      <c r="R1392" s="88"/>
      <c r="S1392" s="88"/>
    </row>
    <row r="1393">
      <c r="A1393" s="58"/>
      <c r="B1393" s="58"/>
      <c r="C1393" s="58"/>
      <c r="D1393" s="58"/>
      <c r="E1393" s="58"/>
      <c r="F1393" s="88"/>
      <c r="G1393" s="58"/>
      <c r="H1393" s="88"/>
      <c r="I1393" s="91"/>
      <c r="J1393" s="58"/>
      <c r="K1393" s="244"/>
      <c r="L1393" s="93"/>
      <c r="M1393" s="58"/>
      <c r="N1393" s="62"/>
      <c r="O1393" s="245"/>
      <c r="P1393" s="62"/>
      <c r="Q1393" s="58"/>
      <c r="R1393" s="88"/>
      <c r="S1393" s="88"/>
    </row>
    <row r="1394">
      <c r="A1394" s="58"/>
      <c r="B1394" s="58"/>
      <c r="C1394" s="58"/>
      <c r="D1394" s="58"/>
      <c r="E1394" s="58"/>
      <c r="F1394" s="88"/>
      <c r="G1394" s="58"/>
      <c r="H1394" s="88"/>
      <c r="I1394" s="91"/>
      <c r="J1394" s="58"/>
      <c r="K1394" s="244"/>
      <c r="L1394" s="93"/>
      <c r="M1394" s="58"/>
      <c r="N1394" s="62"/>
      <c r="O1394" s="245"/>
      <c r="P1394" s="62"/>
      <c r="Q1394" s="58"/>
      <c r="R1394" s="88"/>
      <c r="S1394" s="88"/>
    </row>
    <row r="1395">
      <c r="A1395" s="58"/>
      <c r="B1395" s="58"/>
      <c r="C1395" s="58"/>
      <c r="D1395" s="58"/>
      <c r="E1395" s="58"/>
      <c r="F1395" s="88"/>
      <c r="G1395" s="58"/>
      <c r="H1395" s="88"/>
      <c r="I1395" s="91"/>
      <c r="J1395" s="58"/>
      <c r="K1395" s="244"/>
      <c r="L1395" s="93"/>
      <c r="M1395" s="58"/>
      <c r="N1395" s="62"/>
      <c r="O1395" s="245"/>
      <c r="P1395" s="62"/>
      <c r="Q1395" s="58"/>
      <c r="R1395" s="88"/>
      <c r="S1395" s="88"/>
    </row>
    <row r="1396">
      <c r="A1396" s="58"/>
      <c r="B1396" s="58"/>
      <c r="C1396" s="58"/>
      <c r="D1396" s="58"/>
      <c r="E1396" s="58"/>
      <c r="F1396" s="88"/>
      <c r="G1396" s="58"/>
      <c r="H1396" s="88"/>
      <c r="I1396" s="91"/>
      <c r="J1396" s="58"/>
      <c r="K1396" s="244"/>
      <c r="L1396" s="93"/>
      <c r="M1396" s="58"/>
      <c r="N1396" s="62"/>
      <c r="O1396" s="245"/>
      <c r="P1396" s="62"/>
      <c r="Q1396" s="58"/>
      <c r="R1396" s="88"/>
      <c r="S1396" s="88"/>
    </row>
    <row r="1397">
      <c r="A1397" s="58"/>
      <c r="B1397" s="58"/>
      <c r="C1397" s="58"/>
      <c r="D1397" s="58"/>
      <c r="E1397" s="58"/>
      <c r="F1397" s="88"/>
      <c r="G1397" s="58"/>
      <c r="H1397" s="88"/>
      <c r="I1397" s="91"/>
      <c r="J1397" s="58"/>
      <c r="K1397" s="244"/>
      <c r="L1397" s="93"/>
      <c r="M1397" s="58"/>
      <c r="N1397" s="62"/>
      <c r="O1397" s="245"/>
      <c r="P1397" s="62"/>
      <c r="Q1397" s="58"/>
      <c r="R1397" s="88"/>
      <c r="S1397" s="88"/>
    </row>
    <row r="1398">
      <c r="A1398" s="58"/>
      <c r="B1398" s="58"/>
      <c r="C1398" s="58"/>
      <c r="D1398" s="58"/>
      <c r="E1398" s="58"/>
      <c r="F1398" s="88"/>
      <c r="G1398" s="58"/>
      <c r="H1398" s="88"/>
      <c r="I1398" s="91"/>
      <c r="J1398" s="58"/>
      <c r="K1398" s="244"/>
      <c r="L1398" s="93"/>
      <c r="M1398" s="58"/>
      <c r="N1398" s="62"/>
      <c r="O1398" s="245"/>
      <c r="P1398" s="62"/>
      <c r="Q1398" s="58"/>
      <c r="R1398" s="88"/>
      <c r="S1398" s="88"/>
    </row>
    <row r="1399">
      <c r="A1399" s="58"/>
      <c r="B1399" s="58"/>
      <c r="C1399" s="58"/>
      <c r="D1399" s="58"/>
      <c r="E1399" s="58"/>
      <c r="F1399" s="88"/>
      <c r="G1399" s="58"/>
      <c r="H1399" s="88"/>
      <c r="I1399" s="91"/>
      <c r="J1399" s="58"/>
      <c r="K1399" s="244"/>
      <c r="L1399" s="93"/>
      <c r="M1399" s="58"/>
      <c r="N1399" s="62"/>
      <c r="O1399" s="245"/>
      <c r="P1399" s="62"/>
      <c r="Q1399" s="58"/>
      <c r="R1399" s="88"/>
      <c r="S1399" s="88"/>
    </row>
    <row r="1400">
      <c r="A1400" s="58"/>
      <c r="B1400" s="58"/>
      <c r="C1400" s="58"/>
      <c r="D1400" s="58"/>
      <c r="E1400" s="58"/>
      <c r="F1400" s="88"/>
      <c r="G1400" s="58"/>
      <c r="H1400" s="88"/>
      <c r="I1400" s="91"/>
      <c r="J1400" s="58"/>
      <c r="K1400" s="244"/>
      <c r="L1400" s="93"/>
      <c r="M1400" s="58"/>
      <c r="N1400" s="62"/>
      <c r="O1400" s="245"/>
      <c r="P1400" s="62"/>
      <c r="Q1400" s="58"/>
      <c r="R1400" s="88"/>
      <c r="S1400" s="88"/>
    </row>
    <row r="1401">
      <c r="A1401" s="58"/>
      <c r="B1401" s="58"/>
      <c r="C1401" s="58"/>
      <c r="D1401" s="58"/>
      <c r="E1401" s="58"/>
      <c r="F1401" s="88"/>
      <c r="G1401" s="58"/>
      <c r="H1401" s="88"/>
      <c r="I1401" s="91"/>
      <c r="J1401" s="58"/>
      <c r="K1401" s="244"/>
      <c r="L1401" s="93"/>
      <c r="M1401" s="58"/>
      <c r="N1401" s="62"/>
      <c r="O1401" s="245"/>
      <c r="P1401" s="62"/>
      <c r="Q1401" s="58"/>
      <c r="R1401" s="88"/>
      <c r="S1401" s="88"/>
    </row>
    <row r="1402">
      <c r="A1402" s="58"/>
      <c r="B1402" s="58"/>
      <c r="C1402" s="58"/>
      <c r="D1402" s="58"/>
      <c r="E1402" s="58"/>
      <c r="F1402" s="88"/>
      <c r="G1402" s="58"/>
      <c r="H1402" s="88"/>
      <c r="I1402" s="91"/>
      <c r="J1402" s="58"/>
      <c r="K1402" s="244"/>
      <c r="L1402" s="93"/>
      <c r="M1402" s="58"/>
      <c r="N1402" s="62"/>
      <c r="O1402" s="245"/>
      <c r="P1402" s="62"/>
      <c r="Q1402" s="58"/>
      <c r="R1402" s="88"/>
      <c r="S1402" s="88"/>
    </row>
    <row r="1403">
      <c r="A1403" s="58"/>
      <c r="B1403" s="58"/>
      <c r="C1403" s="58"/>
      <c r="D1403" s="58"/>
      <c r="E1403" s="58"/>
      <c r="F1403" s="88"/>
      <c r="G1403" s="58"/>
      <c r="H1403" s="88"/>
      <c r="I1403" s="91"/>
      <c r="J1403" s="58"/>
      <c r="K1403" s="244"/>
      <c r="L1403" s="93"/>
      <c r="M1403" s="58"/>
      <c r="N1403" s="62"/>
      <c r="O1403" s="245"/>
      <c r="P1403" s="62"/>
      <c r="Q1403" s="58"/>
      <c r="R1403" s="88"/>
      <c r="S1403" s="88"/>
    </row>
    <row r="1404">
      <c r="A1404" s="58"/>
      <c r="B1404" s="58"/>
      <c r="C1404" s="58"/>
      <c r="D1404" s="58"/>
      <c r="E1404" s="58"/>
      <c r="F1404" s="88"/>
      <c r="G1404" s="58"/>
      <c r="H1404" s="88"/>
      <c r="I1404" s="91"/>
      <c r="J1404" s="58"/>
      <c r="K1404" s="244"/>
      <c r="L1404" s="93"/>
      <c r="M1404" s="58"/>
      <c r="N1404" s="62"/>
      <c r="O1404" s="245"/>
      <c r="P1404" s="62"/>
      <c r="Q1404" s="58"/>
      <c r="R1404" s="88"/>
      <c r="S1404" s="88"/>
    </row>
    <row r="1405">
      <c r="A1405" s="58"/>
      <c r="B1405" s="58"/>
      <c r="C1405" s="58"/>
      <c r="D1405" s="58"/>
      <c r="E1405" s="58"/>
      <c r="F1405" s="88"/>
      <c r="G1405" s="58"/>
      <c r="H1405" s="88"/>
      <c r="I1405" s="91"/>
      <c r="J1405" s="58"/>
      <c r="K1405" s="244"/>
      <c r="L1405" s="93"/>
      <c r="M1405" s="58"/>
      <c r="N1405" s="62"/>
      <c r="O1405" s="245"/>
      <c r="P1405" s="62"/>
      <c r="Q1405" s="58"/>
      <c r="R1405" s="88"/>
      <c r="S1405" s="88"/>
    </row>
    <row r="1406">
      <c r="A1406" s="58"/>
      <c r="B1406" s="58"/>
      <c r="C1406" s="58"/>
      <c r="D1406" s="58"/>
      <c r="E1406" s="58"/>
      <c r="F1406" s="88"/>
      <c r="G1406" s="58"/>
      <c r="H1406" s="88"/>
      <c r="I1406" s="91"/>
      <c r="J1406" s="58"/>
      <c r="K1406" s="244"/>
      <c r="L1406" s="93"/>
      <c r="M1406" s="58"/>
      <c r="N1406" s="62"/>
      <c r="O1406" s="245"/>
      <c r="P1406" s="62"/>
      <c r="Q1406" s="58"/>
      <c r="R1406" s="88"/>
      <c r="S1406" s="88"/>
    </row>
    <row r="1407">
      <c r="A1407" s="58"/>
      <c r="B1407" s="58"/>
      <c r="C1407" s="58"/>
      <c r="D1407" s="58"/>
      <c r="E1407" s="58"/>
      <c r="F1407" s="88"/>
      <c r="G1407" s="58"/>
      <c r="H1407" s="88"/>
      <c r="I1407" s="91"/>
      <c r="J1407" s="58"/>
      <c r="K1407" s="244"/>
      <c r="L1407" s="93"/>
      <c r="M1407" s="58"/>
      <c r="N1407" s="62"/>
      <c r="O1407" s="245"/>
      <c r="P1407" s="62"/>
      <c r="Q1407" s="58"/>
      <c r="R1407" s="88"/>
      <c r="S1407" s="88"/>
    </row>
    <row r="1408">
      <c r="A1408" s="58"/>
      <c r="B1408" s="58"/>
      <c r="C1408" s="58"/>
      <c r="D1408" s="58"/>
      <c r="E1408" s="58"/>
      <c r="F1408" s="88"/>
      <c r="G1408" s="58"/>
      <c r="H1408" s="88"/>
      <c r="I1408" s="91"/>
      <c r="J1408" s="58"/>
      <c r="K1408" s="244"/>
      <c r="L1408" s="93"/>
      <c r="M1408" s="58"/>
      <c r="N1408" s="62"/>
      <c r="O1408" s="245"/>
      <c r="P1408" s="62"/>
      <c r="Q1408" s="58"/>
      <c r="R1408" s="88"/>
      <c r="S1408" s="88"/>
    </row>
    <row r="1409">
      <c r="A1409" s="58"/>
      <c r="B1409" s="58"/>
      <c r="C1409" s="58"/>
      <c r="D1409" s="58"/>
      <c r="E1409" s="58"/>
      <c r="F1409" s="88"/>
      <c r="G1409" s="58"/>
      <c r="H1409" s="88"/>
      <c r="I1409" s="91"/>
      <c r="J1409" s="58"/>
      <c r="K1409" s="244"/>
      <c r="L1409" s="93"/>
      <c r="M1409" s="58"/>
      <c r="N1409" s="62"/>
      <c r="O1409" s="245"/>
      <c r="P1409" s="62"/>
      <c r="Q1409" s="58"/>
      <c r="R1409" s="88"/>
      <c r="S1409" s="88"/>
    </row>
    <row r="1410">
      <c r="A1410" s="58"/>
      <c r="B1410" s="58"/>
      <c r="C1410" s="58"/>
      <c r="D1410" s="58"/>
      <c r="E1410" s="58"/>
      <c r="F1410" s="88"/>
      <c r="G1410" s="58"/>
      <c r="H1410" s="88"/>
      <c r="I1410" s="91"/>
      <c r="J1410" s="58"/>
      <c r="K1410" s="244"/>
      <c r="L1410" s="93"/>
      <c r="M1410" s="58"/>
      <c r="N1410" s="62"/>
      <c r="O1410" s="245"/>
      <c r="P1410" s="62"/>
      <c r="Q1410" s="58"/>
      <c r="R1410" s="88"/>
      <c r="S1410" s="88"/>
    </row>
    <row r="1411">
      <c r="A1411" s="58"/>
      <c r="B1411" s="58"/>
      <c r="C1411" s="58"/>
      <c r="D1411" s="58"/>
      <c r="E1411" s="58"/>
      <c r="F1411" s="88"/>
      <c r="G1411" s="58"/>
      <c r="H1411" s="88"/>
      <c r="I1411" s="91"/>
      <c r="J1411" s="58"/>
      <c r="K1411" s="244"/>
      <c r="L1411" s="93"/>
      <c r="M1411" s="58"/>
      <c r="N1411" s="62"/>
      <c r="O1411" s="245"/>
      <c r="P1411" s="62"/>
      <c r="Q1411" s="58"/>
      <c r="R1411" s="88"/>
      <c r="S1411" s="88"/>
    </row>
    <row r="1412">
      <c r="A1412" s="58"/>
      <c r="B1412" s="58"/>
      <c r="C1412" s="58"/>
      <c r="D1412" s="58"/>
      <c r="E1412" s="58"/>
      <c r="F1412" s="88"/>
      <c r="G1412" s="58"/>
      <c r="H1412" s="88"/>
      <c r="I1412" s="91"/>
      <c r="J1412" s="58"/>
      <c r="K1412" s="244"/>
      <c r="L1412" s="93"/>
      <c r="M1412" s="58"/>
      <c r="N1412" s="62"/>
      <c r="O1412" s="245"/>
      <c r="P1412" s="62"/>
      <c r="Q1412" s="58"/>
      <c r="R1412" s="88"/>
      <c r="S1412" s="88"/>
    </row>
    <row r="1413">
      <c r="A1413" s="58"/>
      <c r="B1413" s="58"/>
      <c r="C1413" s="58"/>
      <c r="D1413" s="58"/>
      <c r="E1413" s="58"/>
      <c r="F1413" s="88"/>
      <c r="G1413" s="58"/>
      <c r="H1413" s="88"/>
      <c r="I1413" s="91"/>
      <c r="J1413" s="58"/>
      <c r="K1413" s="244"/>
      <c r="L1413" s="93"/>
      <c r="M1413" s="58"/>
      <c r="N1413" s="62"/>
      <c r="O1413" s="245"/>
      <c r="P1413" s="62"/>
      <c r="Q1413" s="58"/>
      <c r="R1413" s="88"/>
      <c r="S1413" s="88"/>
    </row>
    <row r="1414">
      <c r="A1414" s="58"/>
      <c r="B1414" s="58"/>
      <c r="C1414" s="58"/>
      <c r="D1414" s="58"/>
      <c r="E1414" s="58"/>
      <c r="F1414" s="88"/>
      <c r="G1414" s="58"/>
      <c r="H1414" s="88"/>
      <c r="I1414" s="91"/>
      <c r="J1414" s="58"/>
      <c r="K1414" s="244"/>
      <c r="L1414" s="93"/>
      <c r="M1414" s="58"/>
      <c r="N1414" s="62"/>
      <c r="O1414" s="245"/>
      <c r="P1414" s="62"/>
      <c r="Q1414" s="58"/>
      <c r="R1414" s="88"/>
      <c r="S1414" s="88"/>
    </row>
    <row r="1415">
      <c r="A1415" s="58"/>
      <c r="B1415" s="58"/>
      <c r="C1415" s="58"/>
      <c r="D1415" s="58"/>
      <c r="E1415" s="58"/>
      <c r="F1415" s="88"/>
      <c r="G1415" s="58"/>
      <c r="H1415" s="88"/>
      <c r="I1415" s="91"/>
      <c r="J1415" s="58"/>
      <c r="K1415" s="244"/>
      <c r="L1415" s="93"/>
      <c r="M1415" s="58"/>
      <c r="N1415" s="62"/>
      <c r="O1415" s="245"/>
      <c r="P1415" s="62"/>
      <c r="Q1415" s="58"/>
      <c r="R1415" s="88"/>
      <c r="S1415" s="88"/>
    </row>
    <row r="1416">
      <c r="A1416" s="58"/>
      <c r="B1416" s="58"/>
      <c r="C1416" s="58"/>
      <c r="D1416" s="58"/>
      <c r="E1416" s="58"/>
      <c r="F1416" s="88"/>
      <c r="G1416" s="58"/>
      <c r="H1416" s="88"/>
      <c r="I1416" s="91"/>
      <c r="J1416" s="58"/>
      <c r="K1416" s="244"/>
      <c r="L1416" s="93"/>
      <c r="M1416" s="58"/>
      <c r="N1416" s="62"/>
      <c r="O1416" s="245"/>
      <c r="P1416" s="62"/>
      <c r="Q1416" s="58"/>
      <c r="R1416" s="88"/>
      <c r="S1416" s="88"/>
    </row>
    <row r="1417">
      <c r="A1417" s="58"/>
      <c r="B1417" s="58"/>
      <c r="C1417" s="58"/>
      <c r="D1417" s="58"/>
      <c r="E1417" s="58"/>
      <c r="F1417" s="88"/>
      <c r="G1417" s="58"/>
      <c r="H1417" s="88"/>
      <c r="I1417" s="91"/>
      <c r="J1417" s="58"/>
      <c r="K1417" s="244"/>
      <c r="L1417" s="93"/>
      <c r="M1417" s="58"/>
      <c r="N1417" s="62"/>
      <c r="O1417" s="245"/>
      <c r="P1417" s="62"/>
      <c r="Q1417" s="58"/>
      <c r="R1417" s="88"/>
      <c r="S1417" s="88"/>
    </row>
    <row r="1418">
      <c r="A1418" s="58"/>
      <c r="B1418" s="58"/>
      <c r="C1418" s="58"/>
      <c r="D1418" s="58"/>
      <c r="E1418" s="58"/>
      <c r="F1418" s="88"/>
      <c r="G1418" s="58"/>
      <c r="H1418" s="88"/>
      <c r="I1418" s="91"/>
      <c r="J1418" s="58"/>
      <c r="K1418" s="244"/>
      <c r="L1418" s="93"/>
      <c r="M1418" s="58"/>
      <c r="N1418" s="62"/>
      <c r="O1418" s="245"/>
      <c r="P1418" s="62"/>
      <c r="Q1418" s="58"/>
      <c r="R1418" s="88"/>
      <c r="S1418" s="88"/>
    </row>
    <row r="1419">
      <c r="A1419" s="58"/>
      <c r="B1419" s="58"/>
      <c r="C1419" s="58"/>
      <c r="D1419" s="58"/>
      <c r="E1419" s="58"/>
      <c r="F1419" s="88"/>
      <c r="G1419" s="58"/>
      <c r="H1419" s="88"/>
      <c r="I1419" s="91"/>
      <c r="J1419" s="58"/>
      <c r="K1419" s="244"/>
      <c r="L1419" s="93"/>
      <c r="M1419" s="58"/>
      <c r="N1419" s="62"/>
      <c r="O1419" s="245"/>
      <c r="P1419" s="62"/>
      <c r="Q1419" s="58"/>
      <c r="R1419" s="88"/>
      <c r="S1419" s="88"/>
    </row>
    <row r="1420">
      <c r="A1420" s="58"/>
      <c r="B1420" s="58"/>
      <c r="C1420" s="58"/>
      <c r="D1420" s="58"/>
      <c r="E1420" s="58"/>
      <c r="F1420" s="88"/>
      <c r="G1420" s="58"/>
      <c r="H1420" s="88"/>
      <c r="I1420" s="91"/>
      <c r="J1420" s="58"/>
      <c r="K1420" s="244"/>
      <c r="L1420" s="93"/>
      <c r="M1420" s="58"/>
      <c r="N1420" s="62"/>
      <c r="O1420" s="245"/>
      <c r="P1420" s="62"/>
      <c r="Q1420" s="58"/>
      <c r="R1420" s="88"/>
      <c r="S1420" s="88"/>
    </row>
    <row r="1421">
      <c r="A1421" s="58"/>
      <c r="B1421" s="58"/>
      <c r="C1421" s="58"/>
      <c r="D1421" s="58"/>
      <c r="E1421" s="58"/>
      <c r="F1421" s="88"/>
      <c r="G1421" s="58"/>
      <c r="H1421" s="88"/>
      <c r="I1421" s="91"/>
      <c r="J1421" s="58"/>
      <c r="K1421" s="244"/>
      <c r="L1421" s="93"/>
      <c r="M1421" s="58"/>
      <c r="N1421" s="62"/>
      <c r="O1421" s="245"/>
      <c r="P1421" s="62"/>
      <c r="Q1421" s="58"/>
      <c r="R1421" s="88"/>
      <c r="S1421" s="88"/>
    </row>
    <row r="1422">
      <c r="A1422" s="58"/>
      <c r="B1422" s="58"/>
      <c r="C1422" s="58"/>
      <c r="D1422" s="58"/>
      <c r="E1422" s="58"/>
      <c r="F1422" s="88"/>
      <c r="G1422" s="58"/>
      <c r="H1422" s="88"/>
      <c r="I1422" s="91"/>
      <c r="J1422" s="58"/>
      <c r="K1422" s="244"/>
      <c r="L1422" s="93"/>
      <c r="M1422" s="58"/>
      <c r="N1422" s="62"/>
      <c r="O1422" s="245"/>
      <c r="P1422" s="62"/>
      <c r="Q1422" s="58"/>
      <c r="R1422" s="88"/>
      <c r="S1422" s="88"/>
    </row>
    <row r="1423">
      <c r="A1423" s="58"/>
      <c r="B1423" s="58"/>
      <c r="C1423" s="58"/>
      <c r="D1423" s="58"/>
      <c r="E1423" s="58"/>
      <c r="F1423" s="88"/>
      <c r="G1423" s="58"/>
      <c r="H1423" s="88"/>
      <c r="I1423" s="91"/>
      <c r="J1423" s="58"/>
      <c r="K1423" s="244"/>
      <c r="L1423" s="93"/>
      <c r="M1423" s="58"/>
      <c r="N1423" s="62"/>
      <c r="O1423" s="245"/>
      <c r="P1423" s="62"/>
      <c r="Q1423" s="58"/>
      <c r="R1423" s="88"/>
      <c r="S1423" s="88"/>
    </row>
    <row r="1424">
      <c r="A1424" s="58"/>
      <c r="B1424" s="58"/>
      <c r="C1424" s="58"/>
      <c r="D1424" s="58"/>
      <c r="E1424" s="58"/>
      <c r="F1424" s="88"/>
      <c r="G1424" s="58"/>
      <c r="H1424" s="88"/>
      <c r="I1424" s="91"/>
      <c r="J1424" s="58"/>
      <c r="K1424" s="244"/>
      <c r="L1424" s="93"/>
      <c r="M1424" s="58"/>
      <c r="N1424" s="62"/>
      <c r="O1424" s="245"/>
      <c r="P1424" s="62"/>
      <c r="Q1424" s="58"/>
      <c r="R1424" s="88"/>
      <c r="S1424" s="88"/>
    </row>
    <row r="1425">
      <c r="A1425" s="58"/>
      <c r="B1425" s="58"/>
      <c r="C1425" s="58"/>
      <c r="D1425" s="58"/>
      <c r="E1425" s="58"/>
      <c r="F1425" s="88"/>
      <c r="G1425" s="58"/>
      <c r="H1425" s="88"/>
      <c r="I1425" s="91"/>
      <c r="J1425" s="58"/>
      <c r="K1425" s="244"/>
      <c r="L1425" s="93"/>
      <c r="M1425" s="58"/>
      <c r="N1425" s="62"/>
      <c r="O1425" s="245"/>
      <c r="P1425" s="62"/>
      <c r="Q1425" s="58"/>
      <c r="R1425" s="88"/>
      <c r="S1425" s="88"/>
    </row>
    <row r="1426">
      <c r="A1426" s="58"/>
      <c r="B1426" s="58"/>
      <c r="C1426" s="58"/>
      <c r="D1426" s="58"/>
      <c r="E1426" s="58"/>
      <c r="F1426" s="88"/>
      <c r="G1426" s="58"/>
      <c r="H1426" s="88"/>
      <c r="I1426" s="91"/>
      <c r="J1426" s="58"/>
      <c r="K1426" s="244"/>
      <c r="L1426" s="93"/>
      <c r="M1426" s="58"/>
      <c r="N1426" s="62"/>
      <c r="O1426" s="245"/>
      <c r="P1426" s="62"/>
      <c r="Q1426" s="58"/>
      <c r="R1426" s="88"/>
      <c r="S1426" s="88"/>
    </row>
    <row r="1427">
      <c r="A1427" s="58"/>
      <c r="B1427" s="58"/>
      <c r="C1427" s="58"/>
      <c r="D1427" s="58"/>
      <c r="E1427" s="58"/>
      <c r="F1427" s="88"/>
      <c r="G1427" s="58"/>
      <c r="H1427" s="88"/>
      <c r="I1427" s="91"/>
      <c r="J1427" s="58"/>
      <c r="K1427" s="244"/>
      <c r="L1427" s="93"/>
      <c r="M1427" s="58"/>
      <c r="N1427" s="62"/>
      <c r="O1427" s="245"/>
      <c r="P1427" s="62"/>
      <c r="Q1427" s="58"/>
      <c r="R1427" s="88"/>
      <c r="S1427" s="88"/>
    </row>
    <row r="1428">
      <c r="A1428" s="58"/>
      <c r="B1428" s="58"/>
      <c r="C1428" s="58"/>
      <c r="D1428" s="58"/>
      <c r="E1428" s="58"/>
      <c r="F1428" s="88"/>
      <c r="G1428" s="58"/>
      <c r="H1428" s="88"/>
      <c r="I1428" s="91"/>
      <c r="J1428" s="58"/>
      <c r="K1428" s="244"/>
      <c r="L1428" s="93"/>
      <c r="M1428" s="58"/>
      <c r="N1428" s="62"/>
      <c r="O1428" s="245"/>
      <c r="P1428" s="62"/>
      <c r="Q1428" s="58"/>
      <c r="R1428" s="88"/>
      <c r="S1428" s="88"/>
    </row>
    <row r="1429">
      <c r="A1429" s="58"/>
      <c r="B1429" s="58"/>
      <c r="C1429" s="58"/>
      <c r="D1429" s="58"/>
      <c r="E1429" s="58"/>
      <c r="F1429" s="88"/>
      <c r="G1429" s="58"/>
      <c r="H1429" s="88"/>
      <c r="I1429" s="91"/>
      <c r="J1429" s="58"/>
      <c r="K1429" s="244"/>
      <c r="L1429" s="93"/>
      <c r="M1429" s="58"/>
      <c r="N1429" s="62"/>
      <c r="O1429" s="245"/>
      <c r="P1429" s="62"/>
      <c r="Q1429" s="58"/>
      <c r="R1429" s="88"/>
      <c r="S1429" s="88"/>
    </row>
    <row r="1430">
      <c r="A1430" s="58"/>
      <c r="B1430" s="58"/>
      <c r="C1430" s="58"/>
      <c r="D1430" s="58"/>
      <c r="E1430" s="58"/>
      <c r="F1430" s="88"/>
      <c r="G1430" s="58"/>
      <c r="H1430" s="88"/>
      <c r="I1430" s="91"/>
      <c r="J1430" s="58"/>
      <c r="K1430" s="244"/>
      <c r="L1430" s="93"/>
      <c r="M1430" s="58"/>
      <c r="N1430" s="62"/>
      <c r="O1430" s="245"/>
      <c r="P1430" s="62"/>
      <c r="Q1430" s="58"/>
      <c r="R1430" s="88"/>
      <c r="S1430" s="88"/>
    </row>
    <row r="1431">
      <c r="A1431" s="58"/>
      <c r="B1431" s="58"/>
      <c r="C1431" s="58"/>
      <c r="D1431" s="58"/>
      <c r="E1431" s="58"/>
      <c r="F1431" s="88"/>
      <c r="G1431" s="58"/>
      <c r="H1431" s="88"/>
      <c r="I1431" s="91"/>
      <c r="J1431" s="58"/>
      <c r="K1431" s="244"/>
      <c r="L1431" s="93"/>
      <c r="M1431" s="58"/>
      <c r="N1431" s="62"/>
      <c r="O1431" s="245"/>
      <c r="P1431" s="62"/>
      <c r="Q1431" s="58"/>
      <c r="R1431" s="88"/>
      <c r="S1431" s="88"/>
    </row>
    <row r="1432">
      <c r="A1432" s="58"/>
      <c r="B1432" s="58"/>
      <c r="C1432" s="58"/>
      <c r="D1432" s="58"/>
      <c r="E1432" s="58"/>
      <c r="F1432" s="88"/>
      <c r="G1432" s="58"/>
      <c r="H1432" s="88"/>
      <c r="I1432" s="91"/>
      <c r="J1432" s="58"/>
      <c r="K1432" s="244"/>
      <c r="L1432" s="93"/>
      <c r="M1432" s="58"/>
      <c r="N1432" s="62"/>
      <c r="O1432" s="245"/>
      <c r="P1432" s="62"/>
      <c r="Q1432" s="58"/>
      <c r="R1432" s="88"/>
      <c r="S1432" s="88"/>
    </row>
    <row r="1433">
      <c r="A1433" s="58"/>
      <c r="B1433" s="58"/>
      <c r="C1433" s="58"/>
      <c r="D1433" s="58"/>
      <c r="E1433" s="58"/>
      <c r="F1433" s="88"/>
      <c r="G1433" s="58"/>
      <c r="H1433" s="88"/>
      <c r="I1433" s="91"/>
      <c r="J1433" s="58"/>
      <c r="K1433" s="244"/>
      <c r="L1433" s="93"/>
      <c r="M1433" s="58"/>
      <c r="N1433" s="62"/>
      <c r="O1433" s="245"/>
      <c r="P1433" s="62"/>
      <c r="Q1433" s="58"/>
      <c r="R1433" s="88"/>
      <c r="S1433" s="88"/>
    </row>
    <row r="1434">
      <c r="A1434" s="58"/>
      <c r="B1434" s="58"/>
      <c r="C1434" s="58"/>
      <c r="D1434" s="58"/>
      <c r="E1434" s="58"/>
      <c r="F1434" s="88"/>
      <c r="G1434" s="58"/>
      <c r="H1434" s="88"/>
      <c r="I1434" s="91"/>
      <c r="J1434" s="58"/>
      <c r="K1434" s="244"/>
      <c r="L1434" s="93"/>
      <c r="M1434" s="58"/>
      <c r="N1434" s="62"/>
      <c r="O1434" s="245"/>
      <c r="P1434" s="62"/>
      <c r="Q1434" s="58"/>
      <c r="R1434" s="88"/>
      <c r="S1434" s="88"/>
    </row>
    <row r="1435">
      <c r="A1435" s="58"/>
      <c r="B1435" s="58"/>
      <c r="C1435" s="58"/>
      <c r="D1435" s="58"/>
      <c r="E1435" s="58"/>
      <c r="F1435" s="88"/>
      <c r="G1435" s="58"/>
      <c r="H1435" s="88"/>
      <c r="I1435" s="91"/>
      <c r="J1435" s="58"/>
      <c r="K1435" s="244"/>
      <c r="L1435" s="93"/>
      <c r="M1435" s="58"/>
      <c r="N1435" s="62"/>
      <c r="O1435" s="245"/>
      <c r="P1435" s="62"/>
      <c r="Q1435" s="58"/>
      <c r="R1435" s="88"/>
      <c r="S1435" s="88"/>
    </row>
    <row r="1436">
      <c r="A1436" s="58"/>
      <c r="B1436" s="58"/>
      <c r="C1436" s="58"/>
      <c r="D1436" s="58"/>
      <c r="E1436" s="58"/>
      <c r="F1436" s="88"/>
      <c r="G1436" s="58"/>
      <c r="H1436" s="88"/>
      <c r="I1436" s="91"/>
      <c r="J1436" s="58"/>
      <c r="K1436" s="244"/>
      <c r="L1436" s="93"/>
      <c r="M1436" s="58"/>
      <c r="N1436" s="62"/>
      <c r="O1436" s="245"/>
      <c r="P1436" s="62"/>
      <c r="Q1436" s="58"/>
      <c r="R1436" s="88"/>
      <c r="S1436" s="88"/>
    </row>
    <row r="1437">
      <c r="A1437" s="58"/>
      <c r="B1437" s="58"/>
      <c r="C1437" s="58"/>
      <c r="D1437" s="58"/>
      <c r="E1437" s="58"/>
      <c r="F1437" s="88"/>
      <c r="G1437" s="58"/>
      <c r="H1437" s="88"/>
      <c r="I1437" s="91"/>
      <c r="J1437" s="58"/>
      <c r="K1437" s="244"/>
      <c r="L1437" s="93"/>
      <c r="M1437" s="58"/>
      <c r="N1437" s="62"/>
      <c r="O1437" s="245"/>
      <c r="P1437" s="62"/>
      <c r="Q1437" s="58"/>
      <c r="R1437" s="88"/>
      <c r="S1437" s="88"/>
    </row>
    <row r="1438">
      <c r="A1438" s="58"/>
      <c r="B1438" s="58"/>
      <c r="C1438" s="58"/>
      <c r="D1438" s="58"/>
      <c r="E1438" s="58"/>
      <c r="F1438" s="88"/>
      <c r="G1438" s="58"/>
      <c r="H1438" s="88"/>
      <c r="I1438" s="91"/>
      <c r="J1438" s="58"/>
      <c r="K1438" s="244"/>
      <c r="L1438" s="93"/>
      <c r="M1438" s="58"/>
      <c r="N1438" s="62"/>
      <c r="O1438" s="245"/>
      <c r="P1438" s="62"/>
      <c r="Q1438" s="58"/>
      <c r="R1438" s="88"/>
      <c r="S1438" s="88"/>
    </row>
    <row r="1439">
      <c r="A1439" s="58"/>
      <c r="B1439" s="58"/>
      <c r="C1439" s="58"/>
      <c r="D1439" s="58"/>
      <c r="E1439" s="58"/>
      <c r="F1439" s="88"/>
      <c r="G1439" s="58"/>
      <c r="H1439" s="88"/>
      <c r="I1439" s="91"/>
      <c r="J1439" s="58"/>
      <c r="K1439" s="244"/>
      <c r="L1439" s="93"/>
      <c r="M1439" s="58"/>
      <c r="N1439" s="62"/>
      <c r="O1439" s="245"/>
      <c r="P1439" s="62"/>
      <c r="Q1439" s="58"/>
      <c r="R1439" s="88"/>
      <c r="S1439" s="88"/>
    </row>
    <row r="1440">
      <c r="A1440" s="58"/>
      <c r="B1440" s="58"/>
      <c r="C1440" s="58"/>
      <c r="D1440" s="58"/>
      <c r="E1440" s="58"/>
      <c r="F1440" s="88"/>
      <c r="G1440" s="58"/>
      <c r="H1440" s="88"/>
      <c r="I1440" s="91"/>
      <c r="J1440" s="58"/>
      <c r="K1440" s="244"/>
      <c r="L1440" s="93"/>
      <c r="M1440" s="58"/>
      <c r="N1440" s="62"/>
      <c r="O1440" s="245"/>
      <c r="P1440" s="62"/>
      <c r="Q1440" s="58"/>
      <c r="R1440" s="88"/>
      <c r="S1440" s="88"/>
    </row>
    <row r="1441">
      <c r="A1441" s="58"/>
      <c r="B1441" s="58"/>
      <c r="C1441" s="58"/>
      <c r="D1441" s="58"/>
      <c r="E1441" s="58"/>
      <c r="F1441" s="88"/>
      <c r="G1441" s="58"/>
      <c r="H1441" s="88"/>
      <c r="I1441" s="91"/>
      <c r="J1441" s="58"/>
      <c r="K1441" s="244"/>
      <c r="L1441" s="93"/>
      <c r="M1441" s="58"/>
      <c r="N1441" s="62"/>
      <c r="O1441" s="245"/>
      <c r="P1441" s="62"/>
      <c r="Q1441" s="58"/>
      <c r="R1441" s="88"/>
      <c r="S1441" s="88"/>
    </row>
    <row r="1442">
      <c r="A1442" s="58"/>
      <c r="B1442" s="58"/>
      <c r="C1442" s="58"/>
      <c r="D1442" s="58"/>
      <c r="E1442" s="58"/>
      <c r="F1442" s="88"/>
      <c r="G1442" s="58"/>
      <c r="H1442" s="88"/>
      <c r="I1442" s="91"/>
      <c r="J1442" s="58"/>
      <c r="K1442" s="244"/>
      <c r="L1442" s="93"/>
      <c r="M1442" s="58"/>
      <c r="N1442" s="62"/>
      <c r="O1442" s="245"/>
      <c r="P1442" s="62"/>
      <c r="Q1442" s="58"/>
      <c r="R1442" s="88"/>
      <c r="S1442" s="88"/>
    </row>
    <row r="1443">
      <c r="A1443" s="58"/>
      <c r="B1443" s="58"/>
      <c r="C1443" s="58"/>
      <c r="D1443" s="58"/>
      <c r="E1443" s="58"/>
      <c r="F1443" s="88"/>
      <c r="G1443" s="58"/>
      <c r="H1443" s="88"/>
      <c r="I1443" s="91"/>
      <c r="J1443" s="58"/>
      <c r="K1443" s="244"/>
      <c r="L1443" s="93"/>
      <c r="M1443" s="58"/>
      <c r="N1443" s="62"/>
      <c r="O1443" s="245"/>
      <c r="P1443" s="62"/>
      <c r="Q1443" s="58"/>
      <c r="R1443" s="88"/>
      <c r="S1443" s="88"/>
    </row>
    <row r="1444">
      <c r="A1444" s="58"/>
      <c r="B1444" s="58"/>
      <c r="C1444" s="58"/>
      <c r="D1444" s="58"/>
      <c r="E1444" s="58"/>
      <c r="F1444" s="88"/>
      <c r="G1444" s="58"/>
      <c r="H1444" s="88"/>
      <c r="I1444" s="91"/>
      <c r="J1444" s="58"/>
      <c r="K1444" s="244"/>
      <c r="L1444" s="93"/>
      <c r="M1444" s="58"/>
      <c r="N1444" s="62"/>
      <c r="O1444" s="245"/>
      <c r="P1444" s="62"/>
      <c r="Q1444" s="58"/>
      <c r="R1444" s="88"/>
      <c r="S1444" s="88"/>
    </row>
    <row r="1445">
      <c r="A1445" s="58"/>
      <c r="B1445" s="58"/>
      <c r="C1445" s="58"/>
      <c r="D1445" s="58"/>
      <c r="E1445" s="58"/>
      <c r="F1445" s="88"/>
      <c r="G1445" s="58"/>
      <c r="H1445" s="88"/>
      <c r="I1445" s="91"/>
      <c r="J1445" s="58"/>
      <c r="K1445" s="244"/>
      <c r="L1445" s="93"/>
      <c r="M1445" s="58"/>
      <c r="N1445" s="62"/>
      <c r="O1445" s="245"/>
      <c r="P1445" s="62"/>
      <c r="Q1445" s="58"/>
      <c r="R1445" s="88"/>
      <c r="S1445" s="88"/>
    </row>
    <row r="1446">
      <c r="A1446" s="58"/>
      <c r="B1446" s="58"/>
      <c r="C1446" s="58"/>
      <c r="D1446" s="58"/>
      <c r="E1446" s="58"/>
      <c r="F1446" s="88"/>
      <c r="G1446" s="58"/>
      <c r="H1446" s="88"/>
      <c r="I1446" s="91"/>
      <c r="J1446" s="58"/>
      <c r="K1446" s="244"/>
      <c r="L1446" s="93"/>
      <c r="M1446" s="58"/>
      <c r="N1446" s="62"/>
      <c r="O1446" s="245"/>
      <c r="P1446" s="62"/>
      <c r="Q1446" s="58"/>
      <c r="R1446" s="88"/>
      <c r="S1446" s="88"/>
    </row>
    <row r="1447">
      <c r="A1447" s="58"/>
      <c r="B1447" s="58"/>
      <c r="C1447" s="58"/>
      <c r="D1447" s="58"/>
      <c r="E1447" s="58"/>
      <c r="F1447" s="88"/>
      <c r="G1447" s="58"/>
      <c r="H1447" s="88"/>
      <c r="I1447" s="91"/>
      <c r="J1447" s="58"/>
      <c r="K1447" s="244"/>
      <c r="L1447" s="93"/>
      <c r="M1447" s="58"/>
      <c r="N1447" s="62"/>
      <c r="O1447" s="245"/>
      <c r="P1447" s="62"/>
      <c r="Q1447" s="58"/>
      <c r="R1447" s="88"/>
      <c r="S1447" s="88"/>
    </row>
    <row r="1448">
      <c r="A1448" s="58"/>
      <c r="B1448" s="58"/>
      <c r="C1448" s="58"/>
      <c r="D1448" s="58"/>
      <c r="E1448" s="58"/>
      <c r="F1448" s="88"/>
      <c r="G1448" s="58"/>
      <c r="H1448" s="88"/>
      <c r="I1448" s="91"/>
      <c r="J1448" s="58"/>
      <c r="K1448" s="244"/>
      <c r="L1448" s="93"/>
      <c r="M1448" s="58"/>
      <c r="N1448" s="62"/>
      <c r="O1448" s="245"/>
      <c r="P1448" s="62"/>
      <c r="Q1448" s="58"/>
      <c r="R1448" s="88"/>
      <c r="S1448" s="88"/>
    </row>
    <row r="1449">
      <c r="A1449" s="58"/>
      <c r="B1449" s="58"/>
      <c r="C1449" s="58"/>
      <c r="D1449" s="58"/>
      <c r="E1449" s="58"/>
      <c r="F1449" s="88"/>
      <c r="G1449" s="58"/>
      <c r="H1449" s="88"/>
      <c r="I1449" s="91"/>
      <c r="J1449" s="58"/>
      <c r="K1449" s="244"/>
      <c r="L1449" s="93"/>
      <c r="M1449" s="58"/>
      <c r="N1449" s="62"/>
      <c r="O1449" s="245"/>
      <c r="P1449" s="62"/>
      <c r="Q1449" s="58"/>
      <c r="R1449" s="88"/>
      <c r="S1449" s="88"/>
    </row>
    <row r="1450">
      <c r="A1450" s="58"/>
      <c r="B1450" s="58"/>
      <c r="C1450" s="58"/>
      <c r="D1450" s="58"/>
      <c r="E1450" s="58"/>
      <c r="F1450" s="88"/>
      <c r="G1450" s="58"/>
      <c r="H1450" s="88"/>
      <c r="I1450" s="91"/>
      <c r="J1450" s="58"/>
      <c r="K1450" s="244"/>
      <c r="L1450" s="93"/>
      <c r="M1450" s="58"/>
      <c r="N1450" s="62"/>
      <c r="O1450" s="245"/>
      <c r="P1450" s="62"/>
      <c r="Q1450" s="58"/>
      <c r="R1450" s="88"/>
      <c r="S1450" s="88"/>
    </row>
    <row r="1451">
      <c r="A1451" s="58"/>
      <c r="B1451" s="58"/>
      <c r="C1451" s="58"/>
      <c r="D1451" s="58"/>
      <c r="E1451" s="58"/>
      <c r="F1451" s="88"/>
      <c r="G1451" s="58"/>
      <c r="H1451" s="88"/>
      <c r="I1451" s="91"/>
      <c r="J1451" s="58"/>
      <c r="K1451" s="244"/>
      <c r="L1451" s="93"/>
      <c r="M1451" s="58"/>
      <c r="N1451" s="62"/>
      <c r="O1451" s="245"/>
      <c r="P1451" s="62"/>
      <c r="Q1451" s="58"/>
      <c r="R1451" s="88"/>
      <c r="S1451" s="88"/>
    </row>
    <row r="1452">
      <c r="A1452" s="58"/>
      <c r="B1452" s="58"/>
      <c r="C1452" s="58"/>
      <c r="D1452" s="58"/>
      <c r="E1452" s="58"/>
      <c r="F1452" s="88"/>
      <c r="G1452" s="58"/>
      <c r="H1452" s="88"/>
      <c r="I1452" s="91"/>
      <c r="J1452" s="58"/>
      <c r="K1452" s="244"/>
      <c r="L1452" s="93"/>
      <c r="M1452" s="58"/>
      <c r="N1452" s="62"/>
      <c r="O1452" s="245"/>
      <c r="P1452" s="62"/>
      <c r="Q1452" s="58"/>
      <c r="R1452" s="88"/>
      <c r="S1452" s="88"/>
    </row>
    <row r="1453">
      <c r="A1453" s="58"/>
      <c r="B1453" s="58"/>
      <c r="C1453" s="58"/>
      <c r="D1453" s="58"/>
      <c r="E1453" s="58"/>
      <c r="F1453" s="88"/>
      <c r="G1453" s="58"/>
      <c r="H1453" s="88"/>
      <c r="I1453" s="91"/>
      <c r="J1453" s="58"/>
      <c r="K1453" s="244"/>
      <c r="L1453" s="93"/>
      <c r="M1453" s="58"/>
      <c r="N1453" s="62"/>
      <c r="O1453" s="245"/>
      <c r="P1453" s="62"/>
      <c r="Q1453" s="58"/>
      <c r="R1453" s="88"/>
      <c r="S1453" s="88"/>
    </row>
    <row r="1454">
      <c r="A1454" s="58"/>
      <c r="B1454" s="58"/>
      <c r="C1454" s="58"/>
      <c r="D1454" s="58"/>
      <c r="E1454" s="58"/>
      <c r="F1454" s="88"/>
      <c r="G1454" s="58"/>
      <c r="H1454" s="88"/>
      <c r="I1454" s="91"/>
      <c r="J1454" s="58"/>
      <c r="K1454" s="244"/>
      <c r="L1454" s="93"/>
      <c r="M1454" s="58"/>
      <c r="N1454" s="62"/>
      <c r="O1454" s="245"/>
      <c r="P1454" s="62"/>
      <c r="Q1454" s="58"/>
      <c r="R1454" s="88"/>
      <c r="S1454" s="88"/>
    </row>
    <row r="1455">
      <c r="A1455" s="58"/>
      <c r="B1455" s="58"/>
      <c r="C1455" s="58"/>
      <c r="D1455" s="58"/>
      <c r="E1455" s="58"/>
      <c r="F1455" s="88"/>
      <c r="G1455" s="58"/>
      <c r="H1455" s="88"/>
      <c r="I1455" s="91"/>
      <c r="J1455" s="58"/>
      <c r="K1455" s="244"/>
      <c r="L1455" s="93"/>
      <c r="M1455" s="58"/>
      <c r="N1455" s="62"/>
      <c r="O1455" s="245"/>
      <c r="P1455" s="62"/>
      <c r="Q1455" s="58"/>
      <c r="R1455" s="88"/>
      <c r="S1455" s="88"/>
    </row>
    <row r="1456">
      <c r="A1456" s="58"/>
      <c r="B1456" s="58"/>
      <c r="C1456" s="58"/>
      <c r="D1456" s="58"/>
      <c r="E1456" s="58"/>
      <c r="F1456" s="88"/>
      <c r="G1456" s="58"/>
      <c r="H1456" s="88"/>
      <c r="I1456" s="91"/>
      <c r="J1456" s="58"/>
      <c r="K1456" s="244"/>
      <c r="L1456" s="93"/>
      <c r="M1456" s="58"/>
      <c r="N1456" s="62"/>
      <c r="O1456" s="245"/>
      <c r="P1456" s="62"/>
      <c r="Q1456" s="58"/>
      <c r="R1456" s="88"/>
      <c r="S1456" s="88"/>
    </row>
    <row r="1457">
      <c r="A1457" s="58"/>
      <c r="B1457" s="58"/>
      <c r="C1457" s="58"/>
      <c r="D1457" s="58"/>
      <c r="E1457" s="58"/>
      <c r="F1457" s="88"/>
      <c r="G1457" s="58"/>
      <c r="H1457" s="88"/>
      <c r="I1457" s="91"/>
      <c r="J1457" s="58"/>
      <c r="K1457" s="244"/>
      <c r="L1457" s="93"/>
      <c r="M1457" s="58"/>
      <c r="N1457" s="62"/>
      <c r="O1457" s="245"/>
      <c r="P1457" s="62"/>
      <c r="Q1457" s="58"/>
      <c r="R1457" s="88"/>
      <c r="S1457" s="88"/>
    </row>
    <row r="1458">
      <c r="A1458" s="58"/>
      <c r="B1458" s="58"/>
      <c r="C1458" s="58"/>
      <c r="D1458" s="58"/>
      <c r="E1458" s="58"/>
      <c r="F1458" s="88"/>
      <c r="G1458" s="58"/>
      <c r="H1458" s="88"/>
      <c r="I1458" s="91"/>
      <c r="J1458" s="58"/>
      <c r="K1458" s="244"/>
      <c r="L1458" s="93"/>
      <c r="M1458" s="58"/>
      <c r="N1458" s="62"/>
      <c r="O1458" s="245"/>
      <c r="P1458" s="62"/>
      <c r="Q1458" s="58"/>
      <c r="R1458" s="88"/>
      <c r="S1458" s="88"/>
    </row>
    <row r="1459">
      <c r="A1459" s="58"/>
      <c r="B1459" s="58"/>
      <c r="C1459" s="58"/>
      <c r="D1459" s="58"/>
      <c r="E1459" s="58"/>
      <c r="F1459" s="88"/>
      <c r="G1459" s="58"/>
      <c r="H1459" s="88"/>
      <c r="I1459" s="91"/>
      <c r="J1459" s="58"/>
      <c r="K1459" s="244"/>
      <c r="L1459" s="93"/>
      <c r="M1459" s="58"/>
      <c r="N1459" s="62"/>
      <c r="O1459" s="245"/>
      <c r="P1459" s="62"/>
      <c r="Q1459" s="58"/>
      <c r="R1459" s="88"/>
      <c r="S1459" s="88"/>
    </row>
    <row r="1460">
      <c r="A1460" s="58"/>
      <c r="B1460" s="58"/>
      <c r="C1460" s="58"/>
      <c r="D1460" s="58"/>
      <c r="E1460" s="58"/>
      <c r="F1460" s="88"/>
      <c r="G1460" s="58"/>
      <c r="H1460" s="88"/>
      <c r="I1460" s="91"/>
      <c r="J1460" s="58"/>
      <c r="K1460" s="244"/>
      <c r="L1460" s="93"/>
      <c r="M1460" s="58"/>
      <c r="N1460" s="62"/>
      <c r="O1460" s="245"/>
      <c r="P1460" s="62"/>
      <c r="Q1460" s="58"/>
      <c r="R1460" s="88"/>
      <c r="S1460" s="88"/>
    </row>
    <row r="1461">
      <c r="A1461" s="58"/>
      <c r="B1461" s="58"/>
      <c r="C1461" s="58"/>
      <c r="D1461" s="58"/>
      <c r="E1461" s="58"/>
      <c r="F1461" s="88"/>
      <c r="G1461" s="58"/>
      <c r="H1461" s="88"/>
      <c r="I1461" s="91"/>
      <c r="J1461" s="58"/>
      <c r="K1461" s="244"/>
      <c r="L1461" s="93"/>
      <c r="M1461" s="58"/>
      <c r="N1461" s="62"/>
      <c r="O1461" s="245"/>
      <c r="P1461" s="62"/>
      <c r="Q1461" s="58"/>
      <c r="R1461" s="88"/>
      <c r="S1461" s="88"/>
    </row>
    <row r="1462">
      <c r="A1462" s="58"/>
      <c r="B1462" s="58"/>
      <c r="C1462" s="58"/>
      <c r="D1462" s="58"/>
      <c r="E1462" s="58"/>
      <c r="F1462" s="88"/>
      <c r="G1462" s="58"/>
      <c r="H1462" s="88"/>
      <c r="I1462" s="91"/>
      <c r="J1462" s="58"/>
      <c r="K1462" s="244"/>
      <c r="L1462" s="93"/>
      <c r="M1462" s="58"/>
      <c r="N1462" s="62"/>
      <c r="O1462" s="245"/>
      <c r="P1462" s="62"/>
      <c r="Q1462" s="58"/>
      <c r="R1462" s="88"/>
      <c r="S1462" s="88"/>
    </row>
    <row r="1463">
      <c r="A1463" s="58"/>
      <c r="B1463" s="58"/>
      <c r="C1463" s="58"/>
      <c r="D1463" s="58"/>
      <c r="E1463" s="58"/>
      <c r="F1463" s="88"/>
      <c r="G1463" s="58"/>
      <c r="H1463" s="88"/>
      <c r="I1463" s="91"/>
      <c r="J1463" s="58"/>
      <c r="K1463" s="244"/>
      <c r="L1463" s="93"/>
      <c r="M1463" s="58"/>
      <c r="N1463" s="62"/>
      <c r="O1463" s="245"/>
      <c r="P1463" s="62"/>
      <c r="Q1463" s="58"/>
      <c r="R1463" s="88"/>
      <c r="S1463" s="88"/>
    </row>
    <row r="1464">
      <c r="A1464" s="58"/>
      <c r="B1464" s="58"/>
      <c r="C1464" s="58"/>
      <c r="D1464" s="58"/>
      <c r="E1464" s="58"/>
      <c r="F1464" s="88"/>
      <c r="G1464" s="58"/>
      <c r="H1464" s="88"/>
      <c r="I1464" s="91"/>
      <c r="J1464" s="58"/>
      <c r="K1464" s="244"/>
      <c r="L1464" s="93"/>
      <c r="M1464" s="58"/>
      <c r="N1464" s="62"/>
      <c r="O1464" s="245"/>
      <c r="P1464" s="62"/>
      <c r="Q1464" s="58"/>
      <c r="R1464" s="88"/>
      <c r="S1464" s="88"/>
    </row>
    <row r="1465">
      <c r="A1465" s="58"/>
      <c r="B1465" s="58"/>
      <c r="C1465" s="58"/>
      <c r="D1465" s="58"/>
      <c r="E1465" s="58"/>
      <c r="F1465" s="88"/>
      <c r="G1465" s="58"/>
      <c r="H1465" s="88"/>
      <c r="I1465" s="91"/>
      <c r="J1465" s="58"/>
      <c r="K1465" s="244"/>
      <c r="L1465" s="93"/>
      <c r="M1465" s="58"/>
      <c r="N1465" s="62"/>
      <c r="O1465" s="245"/>
      <c r="P1465" s="62"/>
      <c r="Q1465" s="58"/>
      <c r="R1465" s="88"/>
      <c r="S1465" s="88"/>
    </row>
    <row r="1466">
      <c r="A1466" s="58"/>
      <c r="B1466" s="58"/>
      <c r="C1466" s="58"/>
      <c r="D1466" s="58"/>
      <c r="E1466" s="58"/>
      <c r="F1466" s="88"/>
      <c r="G1466" s="58"/>
      <c r="H1466" s="88"/>
      <c r="I1466" s="91"/>
      <c r="J1466" s="58"/>
      <c r="K1466" s="244"/>
      <c r="L1466" s="93"/>
      <c r="M1466" s="58"/>
      <c r="N1466" s="62"/>
      <c r="O1466" s="245"/>
      <c r="P1466" s="62"/>
      <c r="Q1466" s="58"/>
      <c r="R1466" s="88"/>
      <c r="S1466" s="88"/>
    </row>
    <row r="1467">
      <c r="A1467" s="58"/>
      <c r="B1467" s="58"/>
      <c r="C1467" s="58"/>
      <c r="D1467" s="58"/>
      <c r="E1467" s="58"/>
      <c r="F1467" s="88"/>
      <c r="G1467" s="58"/>
      <c r="H1467" s="88"/>
      <c r="I1467" s="91"/>
      <c r="J1467" s="58"/>
      <c r="K1467" s="244"/>
      <c r="L1467" s="93"/>
      <c r="M1467" s="58"/>
      <c r="N1467" s="62"/>
      <c r="O1467" s="245"/>
      <c r="P1467" s="62"/>
      <c r="Q1467" s="58"/>
      <c r="R1467" s="88"/>
      <c r="S1467" s="88"/>
    </row>
    <row r="1468">
      <c r="A1468" s="58"/>
      <c r="B1468" s="58"/>
      <c r="C1468" s="58"/>
      <c r="D1468" s="58"/>
      <c r="E1468" s="58"/>
      <c r="F1468" s="88"/>
      <c r="G1468" s="58"/>
      <c r="H1468" s="88"/>
      <c r="I1468" s="91"/>
      <c r="J1468" s="58"/>
      <c r="K1468" s="244"/>
      <c r="L1468" s="93"/>
      <c r="M1468" s="58"/>
      <c r="N1468" s="62"/>
      <c r="O1468" s="245"/>
      <c r="P1468" s="62"/>
      <c r="Q1468" s="58"/>
      <c r="R1468" s="88"/>
      <c r="S1468" s="88"/>
    </row>
    <row r="1469">
      <c r="A1469" s="58"/>
      <c r="B1469" s="58"/>
      <c r="C1469" s="58"/>
      <c r="D1469" s="58"/>
      <c r="E1469" s="58"/>
      <c r="F1469" s="88"/>
      <c r="G1469" s="58"/>
      <c r="H1469" s="88"/>
      <c r="I1469" s="91"/>
      <c r="J1469" s="58"/>
      <c r="K1469" s="244"/>
      <c r="L1469" s="93"/>
      <c r="M1469" s="58"/>
      <c r="N1469" s="62"/>
      <c r="O1469" s="245"/>
      <c r="P1469" s="62"/>
      <c r="Q1469" s="58"/>
      <c r="R1469" s="88"/>
      <c r="S1469" s="88"/>
    </row>
    <row r="1470">
      <c r="A1470" s="58"/>
      <c r="B1470" s="58"/>
      <c r="C1470" s="58"/>
      <c r="D1470" s="58"/>
      <c r="E1470" s="58"/>
      <c r="F1470" s="88"/>
      <c r="G1470" s="58"/>
      <c r="H1470" s="88"/>
      <c r="I1470" s="91"/>
      <c r="J1470" s="58"/>
      <c r="K1470" s="244"/>
      <c r="L1470" s="93"/>
      <c r="M1470" s="58"/>
      <c r="N1470" s="62"/>
      <c r="O1470" s="245"/>
      <c r="P1470" s="62"/>
      <c r="Q1470" s="58"/>
      <c r="R1470" s="88"/>
      <c r="S1470" s="88"/>
    </row>
    <row r="1471">
      <c r="A1471" s="58"/>
      <c r="B1471" s="58"/>
      <c r="C1471" s="58"/>
      <c r="D1471" s="58"/>
      <c r="E1471" s="58"/>
      <c r="F1471" s="88"/>
      <c r="G1471" s="58"/>
      <c r="H1471" s="88"/>
      <c r="I1471" s="91"/>
      <c r="J1471" s="58"/>
      <c r="K1471" s="244"/>
      <c r="L1471" s="93"/>
      <c r="M1471" s="58"/>
      <c r="N1471" s="62"/>
      <c r="O1471" s="245"/>
      <c r="P1471" s="62"/>
      <c r="Q1471" s="58"/>
      <c r="R1471" s="88"/>
      <c r="S1471" s="88"/>
    </row>
    <row r="1472">
      <c r="A1472" s="58"/>
      <c r="B1472" s="58"/>
      <c r="C1472" s="58"/>
      <c r="D1472" s="58"/>
      <c r="E1472" s="58"/>
      <c r="F1472" s="88"/>
      <c r="G1472" s="58"/>
      <c r="H1472" s="88"/>
      <c r="I1472" s="91"/>
      <c r="J1472" s="58"/>
      <c r="K1472" s="244"/>
      <c r="L1472" s="93"/>
      <c r="M1472" s="58"/>
      <c r="N1472" s="62"/>
      <c r="O1472" s="245"/>
      <c r="P1472" s="62"/>
      <c r="Q1472" s="58"/>
      <c r="R1472" s="88"/>
      <c r="S1472" s="88"/>
    </row>
    <row r="1473">
      <c r="A1473" s="58"/>
      <c r="B1473" s="58"/>
      <c r="C1473" s="58"/>
      <c r="D1473" s="58"/>
      <c r="E1473" s="58"/>
      <c r="F1473" s="88"/>
      <c r="G1473" s="58"/>
      <c r="H1473" s="88"/>
      <c r="I1473" s="91"/>
      <c r="J1473" s="58"/>
      <c r="K1473" s="244"/>
      <c r="L1473" s="93"/>
      <c r="M1473" s="58"/>
      <c r="N1473" s="62"/>
      <c r="O1473" s="245"/>
      <c r="P1473" s="62"/>
      <c r="Q1473" s="58"/>
      <c r="R1473" s="88"/>
      <c r="S1473" s="88"/>
    </row>
    <row r="1474">
      <c r="A1474" s="58"/>
      <c r="B1474" s="58"/>
      <c r="C1474" s="58"/>
      <c r="D1474" s="58"/>
      <c r="E1474" s="58"/>
      <c r="F1474" s="88"/>
      <c r="G1474" s="58"/>
      <c r="H1474" s="88"/>
      <c r="I1474" s="91"/>
      <c r="J1474" s="58"/>
      <c r="K1474" s="244"/>
      <c r="L1474" s="93"/>
      <c r="M1474" s="58"/>
      <c r="N1474" s="62"/>
      <c r="O1474" s="245"/>
      <c r="P1474" s="62"/>
      <c r="Q1474" s="58"/>
      <c r="R1474" s="88"/>
      <c r="S1474" s="88"/>
    </row>
    <row r="1475">
      <c r="A1475" s="58"/>
      <c r="B1475" s="58"/>
      <c r="C1475" s="58"/>
      <c r="D1475" s="58"/>
      <c r="E1475" s="58"/>
      <c r="F1475" s="88"/>
      <c r="G1475" s="58"/>
      <c r="H1475" s="88"/>
      <c r="I1475" s="91"/>
      <c r="J1475" s="58"/>
      <c r="K1475" s="244"/>
      <c r="L1475" s="93"/>
      <c r="M1475" s="58"/>
      <c r="N1475" s="62"/>
      <c r="O1475" s="245"/>
      <c r="P1475" s="62"/>
      <c r="Q1475" s="58"/>
      <c r="R1475" s="88"/>
      <c r="S1475" s="88"/>
    </row>
    <row r="1476">
      <c r="A1476" s="58"/>
      <c r="B1476" s="58"/>
      <c r="C1476" s="58"/>
      <c r="D1476" s="58"/>
      <c r="E1476" s="58"/>
      <c r="F1476" s="88"/>
      <c r="G1476" s="58"/>
      <c r="H1476" s="88"/>
      <c r="I1476" s="91"/>
      <c r="J1476" s="58"/>
      <c r="K1476" s="244"/>
      <c r="L1476" s="93"/>
      <c r="M1476" s="58"/>
      <c r="N1476" s="62"/>
      <c r="O1476" s="245"/>
      <c r="P1476" s="62"/>
      <c r="Q1476" s="58"/>
      <c r="R1476" s="88"/>
      <c r="S1476" s="88"/>
    </row>
    <row r="1477">
      <c r="A1477" s="58"/>
      <c r="B1477" s="58"/>
      <c r="C1477" s="58"/>
      <c r="D1477" s="58"/>
      <c r="E1477" s="58"/>
      <c r="F1477" s="88"/>
      <c r="G1477" s="58"/>
      <c r="H1477" s="88"/>
      <c r="I1477" s="91"/>
      <c r="J1477" s="58"/>
      <c r="K1477" s="244"/>
      <c r="L1477" s="93"/>
      <c r="M1477" s="58"/>
      <c r="N1477" s="62"/>
      <c r="O1477" s="245"/>
      <c r="P1477" s="62"/>
      <c r="Q1477" s="58"/>
      <c r="R1477" s="88"/>
      <c r="S1477" s="88"/>
    </row>
    <row r="1478">
      <c r="A1478" s="58"/>
      <c r="B1478" s="58"/>
      <c r="C1478" s="58"/>
      <c r="D1478" s="58"/>
      <c r="E1478" s="58"/>
      <c r="F1478" s="88"/>
      <c r="G1478" s="58"/>
      <c r="H1478" s="88"/>
      <c r="I1478" s="91"/>
      <c r="J1478" s="58"/>
      <c r="K1478" s="244"/>
      <c r="L1478" s="93"/>
      <c r="M1478" s="58"/>
      <c r="N1478" s="62"/>
      <c r="O1478" s="245"/>
      <c r="P1478" s="62"/>
      <c r="Q1478" s="58"/>
      <c r="R1478" s="88"/>
      <c r="S1478" s="88"/>
    </row>
    <row r="1479">
      <c r="A1479" s="58"/>
      <c r="B1479" s="58"/>
      <c r="C1479" s="58"/>
      <c r="D1479" s="58"/>
      <c r="E1479" s="58"/>
      <c r="F1479" s="88"/>
      <c r="G1479" s="58"/>
      <c r="H1479" s="88"/>
      <c r="I1479" s="91"/>
      <c r="J1479" s="58"/>
      <c r="K1479" s="244"/>
      <c r="L1479" s="93"/>
      <c r="M1479" s="58"/>
      <c r="N1479" s="62"/>
      <c r="O1479" s="245"/>
      <c r="P1479" s="62"/>
      <c r="Q1479" s="58"/>
      <c r="R1479" s="88"/>
      <c r="S1479" s="88"/>
    </row>
    <row r="1480">
      <c r="A1480" s="58"/>
      <c r="B1480" s="58"/>
      <c r="C1480" s="58"/>
      <c r="D1480" s="58"/>
      <c r="E1480" s="58"/>
      <c r="F1480" s="88"/>
      <c r="G1480" s="58"/>
      <c r="H1480" s="88"/>
      <c r="I1480" s="91"/>
      <c r="J1480" s="58"/>
      <c r="K1480" s="244"/>
      <c r="L1480" s="93"/>
      <c r="M1480" s="58"/>
      <c r="N1480" s="62"/>
      <c r="O1480" s="245"/>
      <c r="P1480" s="62"/>
      <c r="Q1480" s="58"/>
      <c r="R1480" s="88"/>
      <c r="S1480" s="88"/>
    </row>
    <row r="1481">
      <c r="A1481" s="58"/>
      <c r="B1481" s="58"/>
      <c r="C1481" s="58"/>
      <c r="D1481" s="58"/>
      <c r="E1481" s="58"/>
      <c r="F1481" s="88"/>
      <c r="G1481" s="58"/>
      <c r="H1481" s="88"/>
      <c r="I1481" s="91"/>
      <c r="J1481" s="58"/>
      <c r="K1481" s="244"/>
      <c r="L1481" s="93"/>
      <c r="M1481" s="58"/>
      <c r="N1481" s="62"/>
      <c r="O1481" s="245"/>
      <c r="P1481" s="62"/>
      <c r="Q1481" s="58"/>
      <c r="R1481" s="88"/>
      <c r="S1481" s="88"/>
    </row>
    <row r="1482">
      <c r="A1482" s="58"/>
      <c r="B1482" s="58"/>
      <c r="C1482" s="58"/>
      <c r="D1482" s="58"/>
      <c r="E1482" s="58"/>
      <c r="F1482" s="88"/>
      <c r="G1482" s="58"/>
      <c r="H1482" s="88"/>
      <c r="I1482" s="91"/>
      <c r="J1482" s="58"/>
      <c r="K1482" s="244"/>
      <c r="L1482" s="93"/>
      <c r="M1482" s="58"/>
      <c r="N1482" s="62"/>
      <c r="O1482" s="245"/>
      <c r="P1482" s="62"/>
      <c r="Q1482" s="58"/>
      <c r="R1482" s="88"/>
      <c r="S1482" s="88"/>
    </row>
    <row r="1483">
      <c r="A1483" s="58"/>
      <c r="B1483" s="58"/>
      <c r="C1483" s="58"/>
      <c r="D1483" s="58"/>
      <c r="E1483" s="58"/>
      <c r="F1483" s="88"/>
      <c r="G1483" s="58"/>
      <c r="H1483" s="88"/>
      <c r="I1483" s="91"/>
      <c r="J1483" s="58"/>
      <c r="K1483" s="244"/>
      <c r="L1483" s="93"/>
      <c r="M1483" s="58"/>
      <c r="N1483" s="62"/>
      <c r="O1483" s="245"/>
      <c r="P1483" s="62"/>
      <c r="Q1483" s="58"/>
      <c r="R1483" s="88"/>
      <c r="S1483" s="88"/>
    </row>
    <row r="1484">
      <c r="A1484" s="58"/>
      <c r="B1484" s="58"/>
      <c r="C1484" s="58"/>
      <c r="D1484" s="58"/>
      <c r="E1484" s="58"/>
      <c r="F1484" s="88"/>
      <c r="G1484" s="58"/>
      <c r="H1484" s="88"/>
      <c r="I1484" s="91"/>
      <c r="J1484" s="58"/>
      <c r="K1484" s="244"/>
      <c r="L1484" s="93"/>
      <c r="M1484" s="58"/>
      <c r="N1484" s="62"/>
      <c r="O1484" s="245"/>
      <c r="P1484" s="62"/>
      <c r="Q1484" s="58"/>
      <c r="R1484" s="88"/>
      <c r="S1484" s="88"/>
    </row>
    <row r="1485">
      <c r="A1485" s="58"/>
      <c r="B1485" s="58"/>
      <c r="C1485" s="58"/>
      <c r="D1485" s="58"/>
      <c r="E1485" s="58"/>
      <c r="F1485" s="88"/>
      <c r="G1485" s="58"/>
      <c r="H1485" s="88"/>
      <c r="I1485" s="91"/>
      <c r="J1485" s="58"/>
      <c r="K1485" s="244"/>
      <c r="L1485" s="93"/>
      <c r="M1485" s="58"/>
      <c r="N1485" s="62"/>
      <c r="O1485" s="245"/>
      <c r="P1485" s="62"/>
      <c r="Q1485" s="58"/>
      <c r="R1485" s="88"/>
      <c r="S1485" s="88"/>
    </row>
    <row r="1486">
      <c r="A1486" s="58"/>
      <c r="B1486" s="58"/>
      <c r="C1486" s="58"/>
      <c r="D1486" s="58"/>
      <c r="E1486" s="58"/>
      <c r="F1486" s="88"/>
      <c r="G1486" s="58"/>
      <c r="H1486" s="88"/>
      <c r="I1486" s="91"/>
      <c r="J1486" s="58"/>
      <c r="K1486" s="244"/>
      <c r="L1486" s="93"/>
      <c r="M1486" s="58"/>
      <c r="N1486" s="62"/>
      <c r="O1486" s="245"/>
      <c r="P1486" s="62"/>
      <c r="Q1486" s="58"/>
      <c r="R1486" s="88"/>
      <c r="S1486" s="88"/>
    </row>
    <row r="1487">
      <c r="A1487" s="58"/>
      <c r="B1487" s="58"/>
      <c r="C1487" s="58"/>
      <c r="D1487" s="58"/>
      <c r="E1487" s="58"/>
      <c r="F1487" s="88"/>
      <c r="G1487" s="58"/>
      <c r="H1487" s="88"/>
      <c r="I1487" s="91"/>
      <c r="J1487" s="58"/>
      <c r="K1487" s="244"/>
      <c r="L1487" s="93"/>
      <c r="M1487" s="58"/>
      <c r="N1487" s="62"/>
      <c r="O1487" s="245"/>
      <c r="P1487" s="62"/>
      <c r="Q1487" s="58"/>
      <c r="R1487" s="88"/>
      <c r="S1487" s="88"/>
    </row>
    <row r="1488">
      <c r="A1488" s="58"/>
      <c r="B1488" s="58"/>
      <c r="C1488" s="58"/>
      <c r="D1488" s="58"/>
      <c r="E1488" s="58"/>
      <c r="F1488" s="88"/>
      <c r="G1488" s="58"/>
      <c r="H1488" s="88"/>
      <c r="I1488" s="91"/>
      <c r="J1488" s="58"/>
      <c r="K1488" s="244"/>
      <c r="L1488" s="93"/>
      <c r="M1488" s="58"/>
      <c r="N1488" s="62"/>
      <c r="O1488" s="245"/>
      <c r="P1488" s="62"/>
      <c r="Q1488" s="58"/>
      <c r="R1488" s="88"/>
      <c r="S1488" s="88"/>
    </row>
    <row r="1489">
      <c r="A1489" s="58"/>
      <c r="B1489" s="58"/>
      <c r="C1489" s="58"/>
      <c r="D1489" s="58"/>
      <c r="E1489" s="58"/>
      <c r="F1489" s="88"/>
      <c r="G1489" s="58"/>
      <c r="H1489" s="88"/>
      <c r="I1489" s="91"/>
      <c r="J1489" s="58"/>
      <c r="K1489" s="244"/>
      <c r="L1489" s="93"/>
      <c r="M1489" s="58"/>
      <c r="N1489" s="62"/>
      <c r="O1489" s="245"/>
      <c r="P1489" s="62"/>
      <c r="Q1489" s="58"/>
      <c r="R1489" s="88"/>
      <c r="S1489" s="88"/>
    </row>
    <row r="1490">
      <c r="A1490" s="58"/>
      <c r="B1490" s="58"/>
      <c r="C1490" s="58"/>
      <c r="D1490" s="58"/>
      <c r="E1490" s="58"/>
      <c r="F1490" s="88"/>
      <c r="G1490" s="58"/>
      <c r="H1490" s="88"/>
      <c r="I1490" s="91"/>
      <c r="J1490" s="58"/>
      <c r="K1490" s="244"/>
      <c r="L1490" s="93"/>
      <c r="M1490" s="58"/>
      <c r="N1490" s="62"/>
      <c r="O1490" s="245"/>
      <c r="P1490" s="62"/>
      <c r="Q1490" s="58"/>
      <c r="R1490" s="88"/>
      <c r="S1490" s="88"/>
    </row>
    <row r="1491">
      <c r="A1491" s="58"/>
      <c r="B1491" s="58"/>
      <c r="C1491" s="58"/>
      <c r="D1491" s="58"/>
      <c r="E1491" s="58"/>
      <c r="F1491" s="88"/>
      <c r="G1491" s="58"/>
      <c r="H1491" s="88"/>
      <c r="I1491" s="91"/>
      <c r="J1491" s="58"/>
      <c r="K1491" s="244"/>
      <c r="L1491" s="93"/>
      <c r="M1491" s="58"/>
      <c r="N1491" s="62"/>
      <c r="O1491" s="245"/>
      <c r="P1491" s="62"/>
      <c r="Q1491" s="58"/>
      <c r="R1491" s="88"/>
      <c r="S1491" s="88"/>
    </row>
    <row r="1492">
      <c r="A1492" s="58"/>
      <c r="B1492" s="58"/>
      <c r="C1492" s="58"/>
      <c r="D1492" s="58"/>
      <c r="E1492" s="58"/>
      <c r="F1492" s="88"/>
      <c r="G1492" s="58"/>
      <c r="H1492" s="88"/>
      <c r="I1492" s="91"/>
      <c r="J1492" s="58"/>
      <c r="K1492" s="244"/>
      <c r="L1492" s="93"/>
      <c r="M1492" s="58"/>
      <c r="N1492" s="62"/>
      <c r="O1492" s="245"/>
      <c r="P1492" s="62"/>
      <c r="Q1492" s="58"/>
      <c r="R1492" s="88"/>
      <c r="S1492" s="88"/>
    </row>
    <row r="1493">
      <c r="A1493" s="58"/>
      <c r="B1493" s="58"/>
      <c r="C1493" s="58"/>
      <c r="D1493" s="58"/>
      <c r="E1493" s="58"/>
      <c r="F1493" s="88"/>
      <c r="G1493" s="58"/>
      <c r="H1493" s="88"/>
      <c r="I1493" s="91"/>
      <c r="J1493" s="58"/>
      <c r="K1493" s="244"/>
      <c r="L1493" s="93"/>
      <c r="M1493" s="58"/>
      <c r="N1493" s="62"/>
      <c r="O1493" s="245"/>
      <c r="P1493" s="62"/>
      <c r="Q1493" s="58"/>
      <c r="R1493" s="88"/>
      <c r="S1493" s="88"/>
    </row>
    <row r="1494">
      <c r="A1494" s="58"/>
      <c r="B1494" s="58"/>
      <c r="C1494" s="58"/>
      <c r="D1494" s="58"/>
      <c r="E1494" s="58"/>
      <c r="F1494" s="88"/>
      <c r="G1494" s="58"/>
      <c r="H1494" s="88"/>
      <c r="I1494" s="91"/>
      <c r="J1494" s="58"/>
      <c r="K1494" s="244"/>
      <c r="L1494" s="93"/>
      <c r="M1494" s="58"/>
      <c r="N1494" s="62"/>
      <c r="O1494" s="245"/>
      <c r="P1494" s="62"/>
      <c r="Q1494" s="58"/>
      <c r="R1494" s="88"/>
      <c r="S1494" s="88"/>
    </row>
    <row r="1495">
      <c r="A1495" s="58"/>
      <c r="B1495" s="58"/>
      <c r="C1495" s="58"/>
      <c r="D1495" s="58"/>
      <c r="E1495" s="58"/>
      <c r="F1495" s="88"/>
      <c r="G1495" s="58"/>
      <c r="H1495" s="88"/>
      <c r="I1495" s="91"/>
      <c r="J1495" s="58"/>
      <c r="K1495" s="244"/>
      <c r="L1495" s="93"/>
      <c r="M1495" s="58"/>
      <c r="N1495" s="62"/>
      <c r="O1495" s="245"/>
      <c r="P1495" s="62"/>
      <c r="Q1495" s="58"/>
      <c r="R1495" s="88"/>
      <c r="S1495" s="88"/>
    </row>
    <row r="1496">
      <c r="A1496" s="58"/>
      <c r="B1496" s="58"/>
      <c r="C1496" s="58"/>
      <c r="D1496" s="58"/>
      <c r="E1496" s="58"/>
      <c r="F1496" s="88"/>
      <c r="G1496" s="58"/>
      <c r="H1496" s="88"/>
      <c r="I1496" s="91"/>
      <c r="J1496" s="58"/>
      <c r="K1496" s="244"/>
      <c r="L1496" s="93"/>
      <c r="M1496" s="58"/>
      <c r="N1496" s="62"/>
      <c r="O1496" s="245"/>
      <c r="P1496" s="62"/>
      <c r="Q1496" s="58"/>
      <c r="R1496" s="88"/>
      <c r="S1496" s="88"/>
    </row>
    <row r="1497">
      <c r="A1497" s="58"/>
      <c r="B1497" s="58"/>
      <c r="C1497" s="58"/>
      <c r="D1497" s="58"/>
      <c r="E1497" s="58"/>
      <c r="F1497" s="88"/>
      <c r="G1497" s="58"/>
      <c r="H1497" s="88"/>
      <c r="I1497" s="91"/>
      <c r="J1497" s="58"/>
      <c r="K1497" s="244"/>
      <c r="L1497" s="93"/>
      <c r="M1497" s="58"/>
      <c r="N1497" s="62"/>
      <c r="O1497" s="245"/>
      <c r="P1497" s="62"/>
      <c r="Q1497" s="58"/>
      <c r="R1497" s="88"/>
      <c r="S1497" s="88"/>
    </row>
    <row r="1498">
      <c r="A1498" s="58"/>
      <c r="B1498" s="58"/>
      <c r="C1498" s="58"/>
      <c r="D1498" s="58"/>
      <c r="E1498" s="58"/>
      <c r="F1498" s="88"/>
      <c r="G1498" s="58"/>
      <c r="H1498" s="88"/>
      <c r="I1498" s="91"/>
      <c r="J1498" s="58"/>
      <c r="K1498" s="244"/>
      <c r="L1498" s="93"/>
      <c r="M1498" s="58"/>
      <c r="N1498" s="62"/>
      <c r="O1498" s="245"/>
      <c r="P1498" s="62"/>
      <c r="Q1498" s="58"/>
      <c r="R1498" s="88"/>
      <c r="S1498" s="88"/>
    </row>
    <row r="1499">
      <c r="A1499" s="58"/>
      <c r="B1499" s="58"/>
      <c r="C1499" s="58"/>
      <c r="D1499" s="58"/>
      <c r="E1499" s="58"/>
      <c r="F1499" s="88"/>
      <c r="G1499" s="58"/>
      <c r="H1499" s="88"/>
      <c r="I1499" s="91"/>
      <c r="J1499" s="58"/>
      <c r="K1499" s="244"/>
      <c r="L1499" s="93"/>
      <c r="M1499" s="58"/>
      <c r="N1499" s="62"/>
      <c r="O1499" s="245"/>
      <c r="P1499" s="62"/>
      <c r="Q1499" s="58"/>
      <c r="R1499" s="88"/>
      <c r="S1499" s="88"/>
    </row>
    <row r="1500">
      <c r="A1500" s="58"/>
      <c r="B1500" s="58"/>
      <c r="C1500" s="58"/>
      <c r="D1500" s="58"/>
      <c r="E1500" s="58"/>
      <c r="F1500" s="88"/>
      <c r="G1500" s="58"/>
      <c r="H1500" s="88"/>
      <c r="I1500" s="91"/>
      <c r="J1500" s="58"/>
      <c r="K1500" s="244"/>
      <c r="L1500" s="93"/>
      <c r="M1500" s="58"/>
      <c r="N1500" s="62"/>
      <c r="O1500" s="245"/>
      <c r="P1500" s="62"/>
      <c r="Q1500" s="58"/>
      <c r="R1500" s="88"/>
      <c r="S1500" s="88"/>
    </row>
    <row r="1501">
      <c r="A1501" s="58"/>
      <c r="B1501" s="58"/>
      <c r="C1501" s="58"/>
      <c r="D1501" s="58"/>
      <c r="E1501" s="58"/>
      <c r="F1501" s="88"/>
      <c r="G1501" s="58"/>
      <c r="H1501" s="88"/>
      <c r="I1501" s="91"/>
      <c r="J1501" s="58"/>
      <c r="K1501" s="244"/>
      <c r="L1501" s="93"/>
      <c r="M1501" s="58"/>
      <c r="N1501" s="62"/>
      <c r="O1501" s="245"/>
      <c r="P1501" s="62"/>
      <c r="Q1501" s="58"/>
      <c r="R1501" s="88"/>
      <c r="S1501" s="88"/>
    </row>
    <row r="1502">
      <c r="A1502" s="58"/>
      <c r="B1502" s="58"/>
      <c r="C1502" s="58"/>
      <c r="D1502" s="58"/>
      <c r="E1502" s="58"/>
      <c r="F1502" s="88"/>
      <c r="G1502" s="58"/>
      <c r="H1502" s="88"/>
      <c r="I1502" s="91"/>
      <c r="J1502" s="58"/>
      <c r="K1502" s="244"/>
      <c r="L1502" s="93"/>
      <c r="M1502" s="58"/>
      <c r="N1502" s="62"/>
      <c r="O1502" s="245"/>
      <c r="P1502" s="62"/>
      <c r="Q1502" s="58"/>
      <c r="R1502" s="88"/>
      <c r="S1502" s="88"/>
    </row>
    <row r="1503">
      <c r="A1503" s="58"/>
      <c r="B1503" s="58"/>
      <c r="C1503" s="58"/>
      <c r="D1503" s="58"/>
      <c r="E1503" s="58"/>
      <c r="F1503" s="88"/>
      <c r="G1503" s="58"/>
      <c r="H1503" s="88"/>
      <c r="I1503" s="91"/>
      <c r="J1503" s="58"/>
      <c r="K1503" s="244"/>
      <c r="L1503" s="93"/>
      <c r="M1503" s="58"/>
      <c r="N1503" s="62"/>
      <c r="O1503" s="245"/>
      <c r="P1503" s="62"/>
      <c r="Q1503" s="58"/>
      <c r="R1503" s="88"/>
      <c r="S1503" s="88"/>
    </row>
    <row r="1504">
      <c r="A1504" s="58"/>
      <c r="B1504" s="58"/>
      <c r="C1504" s="58"/>
      <c r="D1504" s="58"/>
      <c r="E1504" s="58"/>
      <c r="F1504" s="88"/>
      <c r="G1504" s="58"/>
      <c r="H1504" s="88"/>
      <c r="I1504" s="91"/>
      <c r="J1504" s="58"/>
      <c r="K1504" s="244"/>
      <c r="L1504" s="93"/>
      <c r="M1504" s="58"/>
      <c r="N1504" s="62"/>
      <c r="O1504" s="245"/>
      <c r="P1504" s="62"/>
      <c r="Q1504" s="58"/>
      <c r="R1504" s="88"/>
      <c r="S1504" s="88"/>
    </row>
    <row r="1505">
      <c r="A1505" s="58"/>
      <c r="B1505" s="58"/>
      <c r="C1505" s="58"/>
      <c r="D1505" s="58"/>
      <c r="E1505" s="58"/>
      <c r="F1505" s="88"/>
      <c r="G1505" s="58"/>
      <c r="H1505" s="88"/>
      <c r="I1505" s="91"/>
      <c r="J1505" s="58"/>
      <c r="K1505" s="244"/>
      <c r="L1505" s="93"/>
      <c r="M1505" s="58"/>
      <c r="N1505" s="62"/>
      <c r="O1505" s="245"/>
      <c r="P1505" s="62"/>
      <c r="Q1505" s="58"/>
      <c r="R1505" s="88"/>
      <c r="S1505" s="88"/>
    </row>
    <row r="1506">
      <c r="A1506" s="58"/>
      <c r="B1506" s="58"/>
      <c r="C1506" s="58"/>
      <c r="D1506" s="58"/>
      <c r="E1506" s="58"/>
      <c r="F1506" s="88"/>
      <c r="G1506" s="58"/>
      <c r="H1506" s="88"/>
      <c r="I1506" s="91"/>
      <c r="J1506" s="58"/>
      <c r="K1506" s="244"/>
      <c r="L1506" s="93"/>
      <c r="M1506" s="58"/>
      <c r="N1506" s="62"/>
      <c r="O1506" s="245"/>
      <c r="P1506" s="62"/>
      <c r="Q1506" s="58"/>
      <c r="R1506" s="88"/>
      <c r="S1506" s="88"/>
    </row>
    <row r="1507">
      <c r="A1507" s="58"/>
      <c r="B1507" s="58"/>
      <c r="C1507" s="58"/>
      <c r="D1507" s="58"/>
      <c r="E1507" s="58"/>
      <c r="F1507" s="88"/>
      <c r="G1507" s="58"/>
      <c r="H1507" s="88"/>
      <c r="I1507" s="91"/>
      <c r="J1507" s="58"/>
      <c r="K1507" s="244"/>
      <c r="L1507" s="93"/>
      <c r="M1507" s="58"/>
      <c r="N1507" s="62"/>
      <c r="O1507" s="245"/>
      <c r="P1507" s="62"/>
      <c r="Q1507" s="58"/>
      <c r="R1507" s="88"/>
      <c r="S1507" s="88"/>
    </row>
    <row r="1508">
      <c r="A1508" s="58"/>
      <c r="B1508" s="58"/>
      <c r="C1508" s="58"/>
      <c r="D1508" s="58"/>
      <c r="E1508" s="58"/>
      <c r="F1508" s="88"/>
      <c r="G1508" s="58"/>
      <c r="H1508" s="88"/>
      <c r="I1508" s="91"/>
      <c r="J1508" s="58"/>
      <c r="K1508" s="244"/>
      <c r="L1508" s="93"/>
      <c r="M1508" s="58"/>
      <c r="N1508" s="62"/>
      <c r="O1508" s="245"/>
      <c r="P1508" s="62"/>
      <c r="Q1508" s="58"/>
      <c r="R1508" s="88"/>
      <c r="S1508" s="88"/>
    </row>
    <row r="1509">
      <c r="A1509" s="58"/>
      <c r="B1509" s="58"/>
      <c r="C1509" s="58"/>
      <c r="D1509" s="58"/>
      <c r="E1509" s="58"/>
      <c r="F1509" s="88"/>
      <c r="G1509" s="58"/>
      <c r="H1509" s="88"/>
      <c r="I1509" s="91"/>
      <c r="J1509" s="58"/>
      <c r="K1509" s="244"/>
      <c r="L1509" s="93"/>
      <c r="M1509" s="58"/>
      <c r="N1509" s="62"/>
      <c r="O1509" s="245"/>
      <c r="P1509" s="62"/>
      <c r="Q1509" s="58"/>
      <c r="R1509" s="88"/>
      <c r="S1509" s="88"/>
    </row>
    <row r="1510">
      <c r="A1510" s="58"/>
      <c r="B1510" s="58"/>
      <c r="C1510" s="58"/>
      <c r="D1510" s="58"/>
      <c r="E1510" s="58"/>
      <c r="F1510" s="88"/>
      <c r="G1510" s="58"/>
      <c r="H1510" s="88"/>
      <c r="I1510" s="91"/>
      <c r="J1510" s="58"/>
      <c r="K1510" s="244"/>
      <c r="L1510" s="93"/>
      <c r="M1510" s="58"/>
      <c r="N1510" s="62"/>
      <c r="O1510" s="245"/>
      <c r="P1510" s="62"/>
      <c r="Q1510" s="58"/>
      <c r="R1510" s="88"/>
      <c r="S1510" s="88"/>
    </row>
    <row r="1511">
      <c r="A1511" s="58"/>
      <c r="B1511" s="58"/>
      <c r="C1511" s="58"/>
      <c r="D1511" s="58"/>
      <c r="E1511" s="58"/>
      <c r="F1511" s="88"/>
      <c r="G1511" s="58"/>
      <c r="H1511" s="88"/>
      <c r="I1511" s="91"/>
      <c r="J1511" s="58"/>
      <c r="K1511" s="244"/>
      <c r="L1511" s="93"/>
      <c r="M1511" s="58"/>
      <c r="N1511" s="62"/>
      <c r="O1511" s="245"/>
      <c r="P1511" s="62"/>
      <c r="Q1511" s="58"/>
      <c r="R1511" s="88"/>
      <c r="S1511" s="88"/>
    </row>
    <row r="1512">
      <c r="A1512" s="58"/>
      <c r="B1512" s="58"/>
      <c r="C1512" s="58"/>
      <c r="D1512" s="58"/>
      <c r="E1512" s="58"/>
      <c r="F1512" s="88"/>
      <c r="G1512" s="58"/>
      <c r="H1512" s="88"/>
      <c r="I1512" s="91"/>
      <c r="J1512" s="58"/>
      <c r="K1512" s="244"/>
      <c r="L1512" s="93"/>
      <c r="M1512" s="58"/>
      <c r="N1512" s="62"/>
      <c r="O1512" s="245"/>
      <c r="P1512" s="62"/>
      <c r="Q1512" s="58"/>
      <c r="R1512" s="88"/>
      <c r="S1512" s="88"/>
    </row>
    <row r="1513">
      <c r="A1513" s="58"/>
      <c r="B1513" s="58"/>
      <c r="C1513" s="58"/>
      <c r="D1513" s="58"/>
      <c r="E1513" s="58"/>
      <c r="F1513" s="88"/>
      <c r="G1513" s="58"/>
      <c r="H1513" s="88"/>
      <c r="I1513" s="91"/>
      <c r="J1513" s="58"/>
      <c r="K1513" s="244"/>
      <c r="L1513" s="93"/>
      <c r="M1513" s="58"/>
      <c r="N1513" s="62"/>
      <c r="O1513" s="245"/>
      <c r="P1513" s="62"/>
      <c r="Q1513" s="58"/>
      <c r="R1513" s="88"/>
      <c r="S1513" s="88"/>
    </row>
    <row r="1514">
      <c r="A1514" s="58"/>
      <c r="B1514" s="58"/>
      <c r="C1514" s="58"/>
      <c r="D1514" s="58"/>
      <c r="E1514" s="58"/>
      <c r="F1514" s="88"/>
      <c r="G1514" s="58"/>
      <c r="H1514" s="88"/>
      <c r="I1514" s="91"/>
      <c r="J1514" s="58"/>
      <c r="K1514" s="244"/>
      <c r="L1514" s="93"/>
      <c r="M1514" s="58"/>
      <c r="N1514" s="62"/>
      <c r="O1514" s="245"/>
      <c r="P1514" s="62"/>
      <c r="Q1514" s="58"/>
      <c r="R1514" s="88"/>
      <c r="S1514" s="88"/>
    </row>
    <row r="1515">
      <c r="A1515" s="58"/>
      <c r="B1515" s="58"/>
      <c r="C1515" s="58"/>
      <c r="D1515" s="58"/>
      <c r="E1515" s="58"/>
      <c r="F1515" s="88"/>
      <c r="G1515" s="58"/>
      <c r="H1515" s="88"/>
      <c r="I1515" s="91"/>
      <c r="J1515" s="58"/>
      <c r="K1515" s="244"/>
      <c r="L1515" s="93"/>
      <c r="M1515" s="58"/>
      <c r="N1515" s="62"/>
      <c r="O1515" s="245"/>
      <c r="P1515" s="62"/>
      <c r="Q1515" s="58"/>
      <c r="R1515" s="88"/>
      <c r="S1515" s="88"/>
    </row>
    <row r="1516">
      <c r="A1516" s="58"/>
      <c r="B1516" s="58"/>
      <c r="C1516" s="58"/>
      <c r="D1516" s="58"/>
      <c r="E1516" s="58"/>
      <c r="F1516" s="88"/>
      <c r="G1516" s="58"/>
      <c r="H1516" s="88"/>
      <c r="I1516" s="91"/>
      <c r="J1516" s="58"/>
      <c r="K1516" s="244"/>
      <c r="L1516" s="93"/>
      <c r="M1516" s="58"/>
      <c r="N1516" s="62"/>
      <c r="O1516" s="245"/>
      <c r="P1516" s="62"/>
      <c r="Q1516" s="58"/>
      <c r="R1516" s="88"/>
      <c r="S1516" s="88"/>
    </row>
    <row r="1517">
      <c r="A1517" s="58"/>
      <c r="B1517" s="58"/>
      <c r="C1517" s="58"/>
      <c r="D1517" s="58"/>
      <c r="E1517" s="58"/>
      <c r="F1517" s="88"/>
      <c r="G1517" s="58"/>
      <c r="H1517" s="88"/>
      <c r="I1517" s="91"/>
      <c r="J1517" s="58"/>
      <c r="K1517" s="244"/>
      <c r="L1517" s="93"/>
      <c r="M1517" s="58"/>
      <c r="N1517" s="62"/>
      <c r="O1517" s="245"/>
      <c r="P1517" s="62"/>
      <c r="Q1517" s="58"/>
      <c r="R1517" s="88"/>
      <c r="S1517" s="88"/>
    </row>
    <row r="1518">
      <c r="A1518" s="58"/>
      <c r="B1518" s="58"/>
      <c r="C1518" s="58"/>
      <c r="D1518" s="58"/>
      <c r="E1518" s="58"/>
      <c r="F1518" s="88"/>
      <c r="G1518" s="58"/>
      <c r="H1518" s="88"/>
      <c r="I1518" s="91"/>
      <c r="J1518" s="58"/>
      <c r="K1518" s="244"/>
      <c r="L1518" s="93"/>
      <c r="M1518" s="58"/>
      <c r="N1518" s="62"/>
      <c r="O1518" s="245"/>
      <c r="P1518" s="62"/>
      <c r="Q1518" s="58"/>
      <c r="R1518" s="88"/>
      <c r="S1518" s="88"/>
    </row>
    <row r="1519">
      <c r="A1519" s="58"/>
      <c r="B1519" s="58"/>
      <c r="C1519" s="58"/>
      <c r="D1519" s="58"/>
      <c r="E1519" s="58"/>
      <c r="F1519" s="88"/>
      <c r="G1519" s="58"/>
      <c r="H1519" s="88"/>
      <c r="I1519" s="91"/>
      <c r="J1519" s="58"/>
      <c r="K1519" s="244"/>
      <c r="L1519" s="93"/>
      <c r="M1519" s="58"/>
      <c r="N1519" s="62"/>
      <c r="O1519" s="245"/>
      <c r="P1519" s="62"/>
      <c r="Q1519" s="58"/>
      <c r="R1519" s="88"/>
      <c r="S1519" s="88"/>
    </row>
    <row r="1520">
      <c r="A1520" s="58"/>
      <c r="B1520" s="58"/>
      <c r="C1520" s="58"/>
      <c r="D1520" s="58"/>
      <c r="E1520" s="58"/>
      <c r="F1520" s="88"/>
      <c r="G1520" s="58"/>
      <c r="H1520" s="88"/>
      <c r="I1520" s="91"/>
      <c r="J1520" s="58"/>
      <c r="K1520" s="244"/>
      <c r="L1520" s="93"/>
      <c r="M1520" s="58"/>
      <c r="N1520" s="62"/>
      <c r="O1520" s="245"/>
      <c r="P1520" s="62"/>
      <c r="Q1520" s="58"/>
      <c r="R1520" s="88"/>
      <c r="S1520" s="88"/>
    </row>
    <row r="1521">
      <c r="A1521" s="58"/>
      <c r="B1521" s="58"/>
      <c r="C1521" s="58"/>
      <c r="D1521" s="58"/>
      <c r="E1521" s="58"/>
      <c r="F1521" s="88"/>
      <c r="G1521" s="58"/>
      <c r="H1521" s="88"/>
      <c r="I1521" s="91"/>
      <c r="J1521" s="58"/>
      <c r="K1521" s="244"/>
      <c r="L1521" s="93"/>
      <c r="M1521" s="58"/>
      <c r="N1521" s="62"/>
      <c r="O1521" s="245"/>
      <c r="P1521" s="62"/>
      <c r="Q1521" s="58"/>
      <c r="R1521" s="88"/>
      <c r="S1521" s="88"/>
    </row>
    <row r="1522">
      <c r="A1522" s="58"/>
      <c r="B1522" s="58"/>
      <c r="C1522" s="58"/>
      <c r="D1522" s="58"/>
      <c r="E1522" s="58"/>
      <c r="F1522" s="88"/>
      <c r="G1522" s="58"/>
      <c r="H1522" s="88"/>
      <c r="I1522" s="91"/>
      <c r="J1522" s="58"/>
      <c r="K1522" s="244"/>
      <c r="L1522" s="93"/>
      <c r="M1522" s="58"/>
      <c r="N1522" s="62"/>
      <c r="O1522" s="245"/>
      <c r="P1522" s="62"/>
      <c r="Q1522" s="58"/>
      <c r="R1522" s="88"/>
      <c r="S1522" s="88"/>
    </row>
    <row r="1523">
      <c r="A1523" s="58"/>
      <c r="B1523" s="58"/>
      <c r="C1523" s="58"/>
      <c r="D1523" s="58"/>
      <c r="E1523" s="58"/>
      <c r="F1523" s="88"/>
      <c r="G1523" s="58"/>
      <c r="H1523" s="88"/>
      <c r="I1523" s="91"/>
      <c r="J1523" s="58"/>
      <c r="K1523" s="244"/>
      <c r="L1523" s="93"/>
      <c r="M1523" s="58"/>
      <c r="N1523" s="62"/>
      <c r="O1523" s="245"/>
      <c r="P1523" s="62"/>
      <c r="Q1523" s="58"/>
      <c r="R1523" s="88"/>
      <c r="S1523" s="88"/>
    </row>
    <row r="1524">
      <c r="A1524" s="58"/>
      <c r="B1524" s="58"/>
      <c r="C1524" s="58"/>
      <c r="D1524" s="58"/>
      <c r="E1524" s="58"/>
      <c r="F1524" s="88"/>
      <c r="G1524" s="58"/>
      <c r="H1524" s="88"/>
      <c r="I1524" s="91"/>
      <c r="J1524" s="58"/>
      <c r="K1524" s="244"/>
      <c r="L1524" s="93"/>
      <c r="M1524" s="58"/>
      <c r="N1524" s="62"/>
      <c r="O1524" s="245"/>
      <c r="P1524" s="62"/>
      <c r="Q1524" s="58"/>
      <c r="R1524" s="88"/>
      <c r="S1524" s="88"/>
    </row>
    <row r="1525">
      <c r="A1525" s="58"/>
      <c r="B1525" s="58"/>
      <c r="C1525" s="58"/>
      <c r="D1525" s="58"/>
      <c r="E1525" s="58"/>
      <c r="F1525" s="88"/>
      <c r="G1525" s="58"/>
      <c r="H1525" s="88"/>
      <c r="I1525" s="91"/>
      <c r="J1525" s="58"/>
      <c r="K1525" s="244"/>
      <c r="L1525" s="93"/>
      <c r="M1525" s="58"/>
      <c r="N1525" s="62"/>
      <c r="O1525" s="245"/>
      <c r="P1525" s="62"/>
      <c r="Q1525" s="58"/>
      <c r="R1525" s="88"/>
      <c r="S1525" s="88"/>
    </row>
    <row r="1526">
      <c r="A1526" s="58"/>
      <c r="B1526" s="58"/>
      <c r="C1526" s="58"/>
      <c r="D1526" s="58"/>
      <c r="E1526" s="58"/>
      <c r="F1526" s="88"/>
      <c r="G1526" s="58"/>
      <c r="H1526" s="88"/>
      <c r="I1526" s="91"/>
      <c r="J1526" s="58"/>
      <c r="K1526" s="244"/>
      <c r="L1526" s="93"/>
      <c r="M1526" s="58"/>
      <c r="N1526" s="62"/>
      <c r="O1526" s="245"/>
      <c r="P1526" s="62"/>
      <c r="Q1526" s="58"/>
      <c r="R1526" s="88"/>
      <c r="S1526" s="88"/>
    </row>
    <row r="1527">
      <c r="A1527" s="58"/>
      <c r="B1527" s="58"/>
      <c r="C1527" s="58"/>
      <c r="D1527" s="58"/>
      <c r="E1527" s="58"/>
      <c r="F1527" s="88"/>
      <c r="G1527" s="58"/>
      <c r="H1527" s="88"/>
      <c r="I1527" s="91"/>
      <c r="J1527" s="58"/>
      <c r="K1527" s="244"/>
      <c r="L1527" s="93"/>
      <c r="M1527" s="58"/>
      <c r="N1527" s="62"/>
      <c r="O1527" s="245"/>
      <c r="P1527" s="62"/>
      <c r="Q1527" s="58"/>
      <c r="R1527" s="88"/>
      <c r="S1527" s="88"/>
    </row>
    <row r="1528">
      <c r="A1528" s="58"/>
      <c r="B1528" s="58"/>
      <c r="C1528" s="58"/>
      <c r="D1528" s="58"/>
      <c r="E1528" s="58"/>
      <c r="F1528" s="88"/>
      <c r="G1528" s="58"/>
      <c r="H1528" s="88"/>
      <c r="I1528" s="91"/>
      <c r="J1528" s="58"/>
      <c r="K1528" s="244"/>
      <c r="L1528" s="93"/>
      <c r="M1528" s="58"/>
      <c r="N1528" s="62"/>
      <c r="O1528" s="245"/>
      <c r="P1528" s="62"/>
      <c r="Q1528" s="58"/>
      <c r="R1528" s="88"/>
      <c r="S1528" s="88"/>
    </row>
    <row r="1529">
      <c r="A1529" s="58"/>
      <c r="B1529" s="58"/>
      <c r="C1529" s="58"/>
      <c r="D1529" s="58"/>
      <c r="E1529" s="58"/>
      <c r="F1529" s="88"/>
      <c r="G1529" s="58"/>
      <c r="H1529" s="88"/>
      <c r="I1529" s="91"/>
      <c r="J1529" s="58"/>
      <c r="K1529" s="244"/>
      <c r="L1529" s="93"/>
      <c r="M1529" s="58"/>
      <c r="N1529" s="62"/>
      <c r="O1529" s="245"/>
      <c r="P1529" s="62"/>
      <c r="Q1529" s="58"/>
      <c r="R1529" s="88"/>
      <c r="S1529" s="88"/>
    </row>
    <row r="1530">
      <c r="A1530" s="58"/>
      <c r="B1530" s="58"/>
      <c r="C1530" s="58"/>
      <c r="D1530" s="58"/>
      <c r="E1530" s="58"/>
      <c r="F1530" s="88"/>
      <c r="G1530" s="58"/>
      <c r="H1530" s="88"/>
      <c r="I1530" s="91"/>
      <c r="J1530" s="58"/>
      <c r="K1530" s="244"/>
      <c r="L1530" s="93"/>
      <c r="M1530" s="58"/>
      <c r="N1530" s="62"/>
      <c r="O1530" s="245"/>
      <c r="P1530" s="62"/>
      <c r="Q1530" s="58"/>
      <c r="R1530" s="88"/>
      <c r="S1530" s="88"/>
    </row>
    <row r="1531">
      <c r="A1531" s="58"/>
      <c r="B1531" s="58"/>
      <c r="C1531" s="58"/>
      <c r="D1531" s="58"/>
      <c r="E1531" s="58"/>
      <c r="F1531" s="88"/>
      <c r="G1531" s="58"/>
      <c r="H1531" s="88"/>
      <c r="I1531" s="91"/>
      <c r="J1531" s="58"/>
      <c r="K1531" s="244"/>
      <c r="L1531" s="93"/>
      <c r="M1531" s="58"/>
      <c r="N1531" s="62"/>
      <c r="O1531" s="245"/>
      <c r="P1531" s="62"/>
      <c r="Q1531" s="58"/>
      <c r="R1531" s="88"/>
      <c r="S1531" s="88"/>
    </row>
    <row r="1532">
      <c r="A1532" s="58"/>
      <c r="B1532" s="58"/>
      <c r="C1532" s="58"/>
      <c r="D1532" s="58"/>
      <c r="E1532" s="58"/>
      <c r="F1532" s="88"/>
      <c r="G1532" s="58"/>
      <c r="H1532" s="88"/>
      <c r="I1532" s="91"/>
      <c r="J1532" s="58"/>
      <c r="K1532" s="244"/>
      <c r="L1532" s="93"/>
      <c r="M1532" s="58"/>
      <c r="N1532" s="62"/>
      <c r="O1532" s="245"/>
      <c r="P1532" s="62"/>
      <c r="Q1532" s="58"/>
      <c r="R1532" s="88"/>
      <c r="S1532" s="88"/>
    </row>
    <row r="1533">
      <c r="A1533" s="58"/>
      <c r="B1533" s="58"/>
      <c r="C1533" s="58"/>
      <c r="D1533" s="58"/>
      <c r="E1533" s="58"/>
      <c r="F1533" s="88"/>
      <c r="G1533" s="58"/>
      <c r="H1533" s="88"/>
      <c r="I1533" s="91"/>
      <c r="J1533" s="58"/>
      <c r="K1533" s="244"/>
      <c r="L1533" s="93"/>
      <c r="M1533" s="58"/>
      <c r="N1533" s="62"/>
      <c r="O1533" s="245"/>
      <c r="P1533" s="62"/>
      <c r="Q1533" s="58"/>
      <c r="R1533" s="88"/>
      <c r="S1533" s="88"/>
    </row>
    <row r="1534">
      <c r="A1534" s="58"/>
      <c r="B1534" s="58"/>
      <c r="C1534" s="58"/>
      <c r="D1534" s="58"/>
      <c r="E1534" s="58"/>
      <c r="F1534" s="88"/>
      <c r="G1534" s="58"/>
      <c r="H1534" s="88"/>
      <c r="I1534" s="91"/>
      <c r="J1534" s="58"/>
      <c r="K1534" s="244"/>
      <c r="L1534" s="93"/>
      <c r="M1534" s="58"/>
      <c r="N1534" s="62"/>
      <c r="O1534" s="245"/>
      <c r="P1534" s="62"/>
      <c r="Q1534" s="58"/>
      <c r="R1534" s="88"/>
      <c r="S1534" s="88"/>
    </row>
    <row r="1535">
      <c r="A1535" s="58"/>
      <c r="B1535" s="58"/>
      <c r="C1535" s="58"/>
      <c r="D1535" s="58"/>
      <c r="E1535" s="58"/>
      <c r="F1535" s="88"/>
      <c r="G1535" s="58"/>
      <c r="H1535" s="88"/>
      <c r="I1535" s="91"/>
      <c r="J1535" s="58"/>
      <c r="K1535" s="244"/>
      <c r="L1535" s="93"/>
      <c r="M1535" s="58"/>
      <c r="N1535" s="62"/>
      <c r="O1535" s="245"/>
      <c r="P1535" s="62"/>
      <c r="Q1535" s="58"/>
      <c r="R1535" s="88"/>
      <c r="S1535" s="88"/>
    </row>
    <row r="1536">
      <c r="A1536" s="58"/>
      <c r="B1536" s="58"/>
      <c r="C1536" s="58"/>
      <c r="D1536" s="58"/>
      <c r="E1536" s="58"/>
      <c r="F1536" s="88"/>
      <c r="G1536" s="58"/>
      <c r="H1536" s="88"/>
      <c r="I1536" s="91"/>
      <c r="J1536" s="58"/>
      <c r="K1536" s="244"/>
      <c r="L1536" s="93"/>
      <c r="M1536" s="58"/>
      <c r="N1536" s="62"/>
      <c r="O1536" s="245"/>
      <c r="P1536" s="62"/>
      <c r="Q1536" s="58"/>
      <c r="R1536" s="88"/>
      <c r="S1536" s="88"/>
    </row>
    <row r="1537">
      <c r="A1537" s="58"/>
      <c r="B1537" s="58"/>
      <c r="C1537" s="58"/>
      <c r="D1537" s="58"/>
      <c r="E1537" s="58"/>
      <c r="F1537" s="88"/>
      <c r="G1537" s="58"/>
      <c r="H1537" s="88"/>
      <c r="I1537" s="91"/>
      <c r="J1537" s="58"/>
      <c r="K1537" s="244"/>
      <c r="L1537" s="93"/>
      <c r="M1537" s="58"/>
      <c r="N1537" s="62"/>
      <c r="O1537" s="245"/>
      <c r="P1537" s="62"/>
      <c r="Q1537" s="58"/>
      <c r="R1537" s="88"/>
      <c r="S1537" s="88"/>
    </row>
    <row r="1538">
      <c r="A1538" s="58"/>
      <c r="B1538" s="58"/>
      <c r="C1538" s="58"/>
      <c r="D1538" s="58"/>
      <c r="E1538" s="58"/>
      <c r="F1538" s="88"/>
      <c r="G1538" s="58"/>
      <c r="H1538" s="88"/>
      <c r="I1538" s="91"/>
      <c r="J1538" s="58"/>
      <c r="K1538" s="244"/>
      <c r="L1538" s="93"/>
      <c r="M1538" s="58"/>
      <c r="N1538" s="62"/>
      <c r="O1538" s="245"/>
      <c r="P1538" s="62"/>
      <c r="Q1538" s="58"/>
      <c r="R1538" s="88"/>
      <c r="S1538" s="88"/>
    </row>
    <row r="1539">
      <c r="A1539" s="58"/>
      <c r="B1539" s="58"/>
      <c r="C1539" s="58"/>
      <c r="D1539" s="58"/>
      <c r="E1539" s="58"/>
      <c r="F1539" s="88"/>
      <c r="G1539" s="58"/>
      <c r="H1539" s="88"/>
      <c r="I1539" s="91"/>
      <c r="J1539" s="58"/>
      <c r="K1539" s="244"/>
      <c r="L1539" s="93"/>
      <c r="M1539" s="58"/>
      <c r="N1539" s="62"/>
      <c r="O1539" s="245"/>
      <c r="P1539" s="62"/>
      <c r="Q1539" s="58"/>
      <c r="R1539" s="88"/>
      <c r="S1539" s="88"/>
    </row>
    <row r="1540">
      <c r="A1540" s="58"/>
      <c r="B1540" s="58"/>
      <c r="C1540" s="58"/>
      <c r="D1540" s="58"/>
      <c r="E1540" s="58"/>
      <c r="F1540" s="88"/>
      <c r="G1540" s="58"/>
      <c r="H1540" s="88"/>
      <c r="I1540" s="91"/>
      <c r="J1540" s="58"/>
      <c r="K1540" s="244"/>
      <c r="L1540" s="93"/>
      <c r="M1540" s="58"/>
      <c r="N1540" s="62"/>
      <c r="O1540" s="245"/>
      <c r="P1540" s="62"/>
      <c r="Q1540" s="58"/>
      <c r="R1540" s="88"/>
      <c r="S1540" s="88"/>
    </row>
    <row r="1541">
      <c r="A1541" s="58"/>
      <c r="B1541" s="58"/>
      <c r="C1541" s="58"/>
      <c r="D1541" s="58"/>
      <c r="E1541" s="58"/>
      <c r="F1541" s="88"/>
      <c r="G1541" s="58"/>
      <c r="H1541" s="88"/>
      <c r="I1541" s="91"/>
      <c r="J1541" s="58"/>
      <c r="K1541" s="244"/>
      <c r="L1541" s="93"/>
      <c r="M1541" s="58"/>
      <c r="N1541" s="62"/>
      <c r="O1541" s="245"/>
      <c r="P1541" s="62"/>
      <c r="Q1541" s="58"/>
      <c r="R1541" s="88"/>
      <c r="S1541" s="88"/>
    </row>
    <row r="1542">
      <c r="A1542" s="58"/>
      <c r="B1542" s="58"/>
      <c r="C1542" s="58"/>
      <c r="D1542" s="58"/>
      <c r="E1542" s="58"/>
      <c r="F1542" s="88"/>
      <c r="G1542" s="58"/>
      <c r="H1542" s="88"/>
      <c r="I1542" s="91"/>
      <c r="J1542" s="58"/>
      <c r="K1542" s="244"/>
      <c r="L1542" s="93"/>
      <c r="M1542" s="58"/>
      <c r="N1542" s="62"/>
      <c r="O1542" s="245"/>
      <c r="P1542" s="62"/>
      <c r="Q1542" s="58"/>
      <c r="R1542" s="88"/>
      <c r="S1542" s="88"/>
    </row>
    <row r="1543">
      <c r="A1543" s="58"/>
      <c r="B1543" s="58"/>
      <c r="C1543" s="58"/>
      <c r="D1543" s="58"/>
      <c r="E1543" s="58"/>
      <c r="F1543" s="88"/>
      <c r="G1543" s="58"/>
      <c r="H1543" s="88"/>
      <c r="I1543" s="91"/>
      <c r="J1543" s="58"/>
      <c r="K1543" s="244"/>
      <c r="L1543" s="93"/>
      <c r="M1543" s="58"/>
      <c r="N1543" s="62"/>
      <c r="O1543" s="245"/>
      <c r="P1543" s="62"/>
      <c r="Q1543" s="58"/>
      <c r="R1543" s="88"/>
      <c r="S1543" s="88"/>
    </row>
    <row r="1544">
      <c r="A1544" s="58"/>
      <c r="B1544" s="58"/>
      <c r="C1544" s="58"/>
      <c r="D1544" s="58"/>
      <c r="E1544" s="58"/>
      <c r="F1544" s="88"/>
      <c r="G1544" s="58"/>
      <c r="H1544" s="88"/>
      <c r="I1544" s="91"/>
      <c r="J1544" s="58"/>
      <c r="K1544" s="244"/>
      <c r="L1544" s="93"/>
      <c r="M1544" s="58"/>
      <c r="N1544" s="62"/>
      <c r="O1544" s="245"/>
      <c r="P1544" s="62"/>
      <c r="Q1544" s="58"/>
      <c r="R1544" s="88"/>
      <c r="S1544" s="88"/>
    </row>
    <row r="1545">
      <c r="A1545" s="58"/>
      <c r="B1545" s="58"/>
      <c r="C1545" s="58"/>
      <c r="D1545" s="58"/>
      <c r="E1545" s="58"/>
      <c r="F1545" s="88"/>
      <c r="G1545" s="58"/>
      <c r="H1545" s="88"/>
      <c r="I1545" s="91"/>
      <c r="J1545" s="58"/>
      <c r="K1545" s="244"/>
      <c r="L1545" s="93"/>
      <c r="M1545" s="58"/>
      <c r="N1545" s="62"/>
      <c r="O1545" s="245"/>
      <c r="P1545" s="62"/>
      <c r="Q1545" s="58"/>
      <c r="R1545" s="88"/>
      <c r="S1545" s="88"/>
    </row>
    <row r="1546">
      <c r="A1546" s="58"/>
      <c r="B1546" s="58"/>
      <c r="C1546" s="58"/>
      <c r="D1546" s="58"/>
      <c r="E1546" s="58"/>
      <c r="F1546" s="88"/>
      <c r="G1546" s="58"/>
      <c r="H1546" s="88"/>
      <c r="I1546" s="91"/>
      <c r="J1546" s="58"/>
      <c r="K1546" s="244"/>
      <c r="L1546" s="93"/>
      <c r="M1546" s="58"/>
      <c r="N1546" s="62"/>
      <c r="O1546" s="245"/>
      <c r="P1546" s="62"/>
      <c r="Q1546" s="58"/>
      <c r="R1546" s="88"/>
      <c r="S1546" s="88"/>
    </row>
    <row r="1547">
      <c r="A1547" s="58"/>
      <c r="B1547" s="58"/>
      <c r="C1547" s="58"/>
      <c r="D1547" s="58"/>
      <c r="E1547" s="58"/>
      <c r="F1547" s="88"/>
      <c r="G1547" s="58"/>
      <c r="H1547" s="88"/>
      <c r="I1547" s="91"/>
      <c r="J1547" s="58"/>
      <c r="K1547" s="244"/>
      <c r="L1547" s="93"/>
      <c r="M1547" s="58"/>
      <c r="N1547" s="62"/>
      <c r="O1547" s="245"/>
      <c r="P1547" s="62"/>
      <c r="Q1547" s="58"/>
      <c r="R1547" s="88"/>
      <c r="S1547" s="88"/>
    </row>
    <row r="1548">
      <c r="A1548" s="58"/>
      <c r="B1548" s="58"/>
      <c r="C1548" s="58"/>
      <c r="D1548" s="58"/>
      <c r="E1548" s="58"/>
      <c r="F1548" s="88"/>
      <c r="G1548" s="58"/>
      <c r="H1548" s="88"/>
      <c r="I1548" s="91"/>
      <c r="J1548" s="58"/>
      <c r="K1548" s="244"/>
      <c r="L1548" s="93"/>
      <c r="M1548" s="58"/>
      <c r="N1548" s="62"/>
      <c r="O1548" s="245"/>
      <c r="P1548" s="62"/>
      <c r="Q1548" s="58"/>
      <c r="R1548" s="88"/>
      <c r="S1548" s="88"/>
    </row>
    <row r="1549">
      <c r="A1549" s="58"/>
      <c r="B1549" s="58"/>
      <c r="C1549" s="58"/>
      <c r="D1549" s="58"/>
      <c r="E1549" s="58"/>
      <c r="F1549" s="88"/>
      <c r="G1549" s="58"/>
      <c r="H1549" s="88"/>
      <c r="I1549" s="91"/>
      <c r="J1549" s="58"/>
      <c r="K1549" s="244"/>
      <c r="L1549" s="93"/>
      <c r="M1549" s="58"/>
      <c r="N1549" s="62"/>
      <c r="O1549" s="245"/>
      <c r="P1549" s="62"/>
      <c r="Q1549" s="58"/>
      <c r="R1549" s="88"/>
      <c r="S1549" s="88"/>
    </row>
    <row r="1550">
      <c r="A1550" s="58"/>
      <c r="B1550" s="58"/>
      <c r="C1550" s="58"/>
      <c r="D1550" s="58"/>
      <c r="E1550" s="58"/>
      <c r="F1550" s="88"/>
      <c r="G1550" s="58"/>
      <c r="H1550" s="88"/>
      <c r="I1550" s="91"/>
      <c r="J1550" s="58"/>
      <c r="K1550" s="244"/>
      <c r="L1550" s="93"/>
      <c r="M1550" s="58"/>
      <c r="N1550" s="62"/>
      <c r="O1550" s="245"/>
      <c r="P1550" s="62"/>
      <c r="Q1550" s="58"/>
      <c r="R1550" s="88"/>
      <c r="S1550" s="88"/>
    </row>
    <row r="1551">
      <c r="A1551" s="58"/>
      <c r="B1551" s="58"/>
      <c r="C1551" s="58"/>
      <c r="D1551" s="58"/>
      <c r="E1551" s="58"/>
      <c r="F1551" s="88"/>
      <c r="G1551" s="58"/>
      <c r="H1551" s="88"/>
      <c r="I1551" s="91"/>
      <c r="J1551" s="58"/>
      <c r="K1551" s="244"/>
      <c r="L1551" s="93"/>
      <c r="M1551" s="58"/>
      <c r="N1551" s="62"/>
      <c r="O1551" s="245"/>
      <c r="P1551" s="62"/>
      <c r="Q1551" s="58"/>
      <c r="R1551" s="88"/>
      <c r="S1551" s="88"/>
    </row>
    <row r="1552">
      <c r="A1552" s="58"/>
      <c r="B1552" s="58"/>
      <c r="C1552" s="58"/>
      <c r="D1552" s="58"/>
      <c r="E1552" s="58"/>
      <c r="F1552" s="88"/>
      <c r="G1552" s="58"/>
      <c r="H1552" s="88"/>
      <c r="I1552" s="91"/>
      <c r="J1552" s="58"/>
      <c r="K1552" s="244"/>
      <c r="L1552" s="93"/>
      <c r="M1552" s="58"/>
      <c r="N1552" s="62"/>
      <c r="O1552" s="245"/>
      <c r="P1552" s="62"/>
      <c r="Q1552" s="58"/>
      <c r="R1552" s="88"/>
      <c r="S1552" s="88"/>
    </row>
    <row r="1553">
      <c r="A1553" s="58"/>
      <c r="B1553" s="58"/>
      <c r="C1553" s="58"/>
      <c r="D1553" s="58"/>
      <c r="E1553" s="58"/>
      <c r="F1553" s="88"/>
      <c r="G1553" s="58"/>
      <c r="H1553" s="88"/>
      <c r="I1553" s="91"/>
      <c r="J1553" s="58"/>
      <c r="K1553" s="244"/>
      <c r="L1553" s="93"/>
      <c r="M1553" s="58"/>
      <c r="N1553" s="62"/>
      <c r="O1553" s="245"/>
      <c r="P1553" s="62"/>
      <c r="Q1553" s="58"/>
      <c r="R1553" s="88"/>
      <c r="S1553" s="88"/>
    </row>
    <row r="1554">
      <c r="A1554" s="58"/>
      <c r="B1554" s="58"/>
      <c r="C1554" s="58"/>
      <c r="D1554" s="58"/>
      <c r="E1554" s="58"/>
      <c r="F1554" s="88"/>
      <c r="G1554" s="58"/>
      <c r="H1554" s="88"/>
      <c r="I1554" s="91"/>
      <c r="J1554" s="58"/>
      <c r="K1554" s="244"/>
      <c r="L1554" s="93"/>
      <c r="M1554" s="58"/>
      <c r="N1554" s="62"/>
      <c r="O1554" s="245"/>
      <c r="P1554" s="62"/>
      <c r="Q1554" s="58"/>
      <c r="R1554" s="88"/>
      <c r="S1554" s="88"/>
    </row>
    <row r="1555">
      <c r="A1555" s="58"/>
      <c r="B1555" s="58"/>
      <c r="C1555" s="58"/>
      <c r="D1555" s="58"/>
      <c r="E1555" s="58"/>
      <c r="F1555" s="88"/>
      <c r="G1555" s="58"/>
      <c r="H1555" s="88"/>
      <c r="I1555" s="91"/>
      <c r="J1555" s="58"/>
      <c r="K1555" s="244"/>
      <c r="L1555" s="93"/>
      <c r="M1555" s="58"/>
      <c r="N1555" s="62"/>
      <c r="O1555" s="245"/>
      <c r="P1555" s="62"/>
      <c r="Q1555" s="58"/>
      <c r="R1555" s="88"/>
      <c r="S1555" s="88"/>
    </row>
    <row r="1556">
      <c r="A1556" s="58"/>
      <c r="B1556" s="58"/>
      <c r="C1556" s="58"/>
      <c r="D1556" s="58"/>
      <c r="E1556" s="58"/>
      <c r="F1556" s="88"/>
      <c r="G1556" s="58"/>
      <c r="H1556" s="88"/>
      <c r="I1556" s="91"/>
      <c r="J1556" s="58"/>
      <c r="K1556" s="244"/>
      <c r="L1556" s="93"/>
      <c r="M1556" s="58"/>
      <c r="N1556" s="62"/>
      <c r="O1556" s="245"/>
      <c r="P1556" s="62"/>
      <c r="Q1556" s="58"/>
      <c r="R1556" s="88"/>
      <c r="S1556" s="88"/>
    </row>
    <row r="1557">
      <c r="A1557" s="58"/>
      <c r="B1557" s="58"/>
      <c r="C1557" s="58"/>
      <c r="D1557" s="58"/>
      <c r="E1557" s="58"/>
      <c r="F1557" s="88"/>
      <c r="G1557" s="58"/>
      <c r="H1557" s="88"/>
      <c r="I1557" s="91"/>
      <c r="J1557" s="58"/>
      <c r="K1557" s="244"/>
      <c r="L1557" s="93"/>
      <c r="M1557" s="58"/>
      <c r="N1557" s="62"/>
      <c r="O1557" s="245"/>
      <c r="P1557" s="62"/>
      <c r="Q1557" s="58"/>
      <c r="R1557" s="88"/>
      <c r="S1557" s="88"/>
    </row>
    <row r="1558">
      <c r="A1558" s="58"/>
      <c r="B1558" s="58"/>
      <c r="C1558" s="58"/>
      <c r="D1558" s="58"/>
      <c r="E1558" s="58"/>
      <c r="F1558" s="88"/>
      <c r="G1558" s="58"/>
      <c r="H1558" s="88"/>
      <c r="I1558" s="91"/>
      <c r="J1558" s="58"/>
      <c r="K1558" s="244"/>
      <c r="L1558" s="93"/>
      <c r="M1558" s="58"/>
      <c r="N1558" s="62"/>
      <c r="O1558" s="245"/>
      <c r="P1558" s="62"/>
      <c r="Q1558" s="58"/>
      <c r="R1558" s="88"/>
      <c r="S1558" s="88"/>
    </row>
    <row r="1559">
      <c r="A1559" s="58"/>
      <c r="B1559" s="58"/>
      <c r="C1559" s="58"/>
      <c r="D1559" s="58"/>
      <c r="E1559" s="58"/>
      <c r="F1559" s="88"/>
      <c r="G1559" s="58"/>
      <c r="H1559" s="88"/>
      <c r="I1559" s="91"/>
      <c r="J1559" s="58"/>
      <c r="K1559" s="244"/>
      <c r="L1559" s="93"/>
      <c r="M1559" s="58"/>
      <c r="N1559" s="62"/>
      <c r="O1559" s="245"/>
      <c r="P1559" s="62"/>
      <c r="Q1559" s="58"/>
      <c r="R1559" s="88"/>
      <c r="S1559" s="88"/>
    </row>
    <row r="1560">
      <c r="A1560" s="58"/>
      <c r="B1560" s="58"/>
      <c r="C1560" s="58"/>
      <c r="D1560" s="58"/>
      <c r="E1560" s="58"/>
      <c r="F1560" s="88"/>
      <c r="G1560" s="58"/>
      <c r="H1560" s="88"/>
      <c r="I1560" s="91"/>
      <c r="J1560" s="58"/>
      <c r="K1560" s="244"/>
      <c r="L1560" s="93"/>
      <c r="M1560" s="58"/>
      <c r="N1560" s="62"/>
      <c r="O1560" s="245"/>
      <c r="P1560" s="62"/>
      <c r="Q1560" s="58"/>
      <c r="R1560" s="88"/>
      <c r="S1560" s="88"/>
    </row>
    <row r="1561">
      <c r="A1561" s="58"/>
      <c r="B1561" s="58"/>
      <c r="C1561" s="58"/>
      <c r="D1561" s="58"/>
      <c r="E1561" s="58"/>
      <c r="F1561" s="88"/>
      <c r="G1561" s="58"/>
      <c r="H1561" s="88"/>
      <c r="I1561" s="91"/>
      <c r="J1561" s="58"/>
      <c r="K1561" s="244"/>
      <c r="L1561" s="93"/>
      <c r="M1561" s="58"/>
      <c r="N1561" s="62"/>
      <c r="O1561" s="245"/>
      <c r="P1561" s="62"/>
      <c r="Q1561" s="58"/>
      <c r="R1561" s="88"/>
      <c r="S1561" s="88"/>
    </row>
    <row r="1562">
      <c r="A1562" s="58"/>
      <c r="B1562" s="58"/>
      <c r="C1562" s="58"/>
      <c r="D1562" s="58"/>
      <c r="E1562" s="58"/>
      <c r="F1562" s="88"/>
      <c r="G1562" s="58"/>
      <c r="H1562" s="88"/>
      <c r="I1562" s="91"/>
      <c r="J1562" s="58"/>
      <c r="K1562" s="244"/>
      <c r="L1562" s="93"/>
      <c r="M1562" s="58"/>
      <c r="N1562" s="62"/>
      <c r="O1562" s="245"/>
      <c r="P1562" s="62"/>
      <c r="Q1562" s="58"/>
      <c r="R1562" s="88"/>
      <c r="S1562" s="88"/>
    </row>
    <row r="1563">
      <c r="A1563" s="58"/>
      <c r="B1563" s="58"/>
      <c r="C1563" s="58"/>
      <c r="D1563" s="58"/>
      <c r="E1563" s="58"/>
      <c r="F1563" s="88"/>
      <c r="G1563" s="58"/>
      <c r="H1563" s="88"/>
      <c r="I1563" s="91"/>
      <c r="J1563" s="58"/>
      <c r="K1563" s="244"/>
      <c r="L1563" s="93"/>
      <c r="M1563" s="58"/>
      <c r="N1563" s="62"/>
      <c r="O1563" s="245"/>
      <c r="P1563" s="62"/>
      <c r="Q1563" s="58"/>
      <c r="R1563" s="88"/>
      <c r="S1563" s="88"/>
    </row>
    <row r="1564">
      <c r="A1564" s="58"/>
      <c r="B1564" s="58"/>
      <c r="C1564" s="58"/>
      <c r="D1564" s="58"/>
      <c r="E1564" s="58"/>
      <c r="F1564" s="88"/>
      <c r="G1564" s="58"/>
      <c r="H1564" s="88"/>
      <c r="I1564" s="91"/>
      <c r="J1564" s="58"/>
      <c r="K1564" s="244"/>
      <c r="L1564" s="93"/>
      <c r="M1564" s="58"/>
      <c r="N1564" s="62"/>
      <c r="O1564" s="245"/>
      <c r="P1564" s="62"/>
      <c r="Q1564" s="58"/>
      <c r="R1564" s="88"/>
      <c r="S1564" s="88"/>
    </row>
    <row r="1565">
      <c r="A1565" s="58"/>
      <c r="B1565" s="58"/>
      <c r="C1565" s="58"/>
      <c r="D1565" s="58"/>
      <c r="E1565" s="58"/>
      <c r="F1565" s="88"/>
      <c r="G1565" s="58"/>
      <c r="H1565" s="88"/>
      <c r="I1565" s="91"/>
      <c r="J1565" s="58"/>
      <c r="K1565" s="244"/>
      <c r="L1565" s="93"/>
      <c r="M1565" s="58"/>
      <c r="N1565" s="62"/>
      <c r="O1565" s="245"/>
      <c r="P1565" s="62"/>
      <c r="Q1565" s="58"/>
      <c r="R1565" s="88"/>
      <c r="S1565" s="88"/>
    </row>
    <row r="1566">
      <c r="A1566" s="58"/>
      <c r="B1566" s="58"/>
      <c r="C1566" s="58"/>
      <c r="D1566" s="58"/>
      <c r="E1566" s="58"/>
      <c r="F1566" s="88"/>
      <c r="G1566" s="58"/>
      <c r="H1566" s="88"/>
      <c r="I1566" s="91"/>
      <c r="J1566" s="58"/>
      <c r="K1566" s="244"/>
      <c r="L1566" s="93"/>
      <c r="M1566" s="58"/>
      <c r="N1566" s="62"/>
      <c r="O1566" s="245"/>
      <c r="P1566" s="62"/>
      <c r="Q1566" s="58"/>
      <c r="R1566" s="88"/>
      <c r="S1566" s="88"/>
    </row>
    <row r="1567">
      <c r="A1567" s="58"/>
      <c r="B1567" s="58"/>
      <c r="C1567" s="58"/>
      <c r="D1567" s="58"/>
      <c r="E1567" s="58"/>
      <c r="F1567" s="88"/>
      <c r="G1567" s="58"/>
      <c r="H1567" s="88"/>
      <c r="I1567" s="91"/>
      <c r="J1567" s="58"/>
      <c r="K1567" s="244"/>
      <c r="L1567" s="93"/>
      <c r="M1567" s="58"/>
      <c r="N1567" s="62"/>
      <c r="O1567" s="245"/>
      <c r="P1567" s="62"/>
      <c r="Q1567" s="58"/>
      <c r="R1567" s="88"/>
      <c r="S1567" s="88"/>
    </row>
    <row r="1568">
      <c r="A1568" s="58"/>
      <c r="B1568" s="58"/>
      <c r="C1568" s="58"/>
      <c r="D1568" s="58"/>
      <c r="E1568" s="58"/>
      <c r="F1568" s="88"/>
      <c r="G1568" s="58"/>
      <c r="H1568" s="88"/>
      <c r="I1568" s="91"/>
      <c r="J1568" s="58"/>
      <c r="K1568" s="244"/>
      <c r="L1568" s="93"/>
      <c r="M1568" s="58"/>
      <c r="N1568" s="62"/>
      <c r="O1568" s="245"/>
      <c r="P1568" s="62"/>
      <c r="Q1568" s="58"/>
      <c r="R1568" s="88"/>
      <c r="S1568" s="88"/>
    </row>
    <row r="1569">
      <c r="A1569" s="58"/>
      <c r="B1569" s="58"/>
      <c r="C1569" s="58"/>
      <c r="D1569" s="58"/>
      <c r="E1569" s="58"/>
      <c r="F1569" s="88"/>
      <c r="G1569" s="58"/>
      <c r="H1569" s="88"/>
      <c r="I1569" s="91"/>
      <c r="J1569" s="58"/>
      <c r="K1569" s="244"/>
      <c r="L1569" s="93"/>
      <c r="M1569" s="58"/>
      <c r="N1569" s="62"/>
      <c r="O1569" s="245"/>
      <c r="P1569" s="62"/>
      <c r="Q1569" s="58"/>
      <c r="R1569" s="88"/>
      <c r="S1569" s="88"/>
    </row>
    <row r="1570">
      <c r="A1570" s="58"/>
      <c r="B1570" s="58"/>
      <c r="C1570" s="58"/>
      <c r="D1570" s="58"/>
      <c r="E1570" s="58"/>
      <c r="F1570" s="88"/>
      <c r="G1570" s="58"/>
      <c r="H1570" s="88"/>
      <c r="I1570" s="91"/>
      <c r="J1570" s="58"/>
      <c r="K1570" s="244"/>
      <c r="L1570" s="93"/>
      <c r="M1570" s="58"/>
      <c r="N1570" s="62"/>
      <c r="O1570" s="245"/>
      <c r="P1570" s="62"/>
      <c r="Q1570" s="58"/>
      <c r="R1570" s="88"/>
      <c r="S1570" s="88"/>
    </row>
    <row r="1571">
      <c r="A1571" s="58"/>
      <c r="B1571" s="58"/>
      <c r="C1571" s="58"/>
      <c r="D1571" s="58"/>
      <c r="E1571" s="58"/>
      <c r="F1571" s="88"/>
      <c r="G1571" s="58"/>
      <c r="H1571" s="88"/>
      <c r="I1571" s="91"/>
      <c r="J1571" s="58"/>
      <c r="K1571" s="244"/>
      <c r="L1571" s="93"/>
      <c r="M1571" s="58"/>
      <c r="N1571" s="62"/>
      <c r="O1571" s="245"/>
      <c r="P1571" s="62"/>
      <c r="Q1571" s="58"/>
      <c r="R1571" s="88"/>
      <c r="S1571" s="88"/>
    </row>
    <row r="1572">
      <c r="A1572" s="58"/>
      <c r="B1572" s="58"/>
      <c r="C1572" s="58"/>
      <c r="D1572" s="58"/>
      <c r="E1572" s="58"/>
      <c r="F1572" s="88"/>
      <c r="G1572" s="58"/>
      <c r="H1572" s="88"/>
      <c r="I1572" s="91"/>
      <c r="J1572" s="58"/>
      <c r="K1572" s="244"/>
      <c r="L1572" s="93"/>
      <c r="M1572" s="58"/>
      <c r="N1572" s="62"/>
      <c r="O1572" s="245"/>
      <c r="P1572" s="62"/>
      <c r="Q1572" s="58"/>
      <c r="R1572" s="88"/>
      <c r="S1572" s="88"/>
    </row>
    <row r="1573">
      <c r="A1573" s="58"/>
      <c r="B1573" s="58"/>
      <c r="C1573" s="58"/>
      <c r="D1573" s="58"/>
      <c r="E1573" s="58"/>
      <c r="F1573" s="88"/>
      <c r="G1573" s="58"/>
      <c r="H1573" s="88"/>
      <c r="I1573" s="91"/>
      <c r="J1573" s="58"/>
      <c r="K1573" s="244"/>
      <c r="L1573" s="93"/>
      <c r="M1573" s="58"/>
      <c r="N1573" s="62"/>
      <c r="O1573" s="245"/>
      <c r="P1573" s="62"/>
      <c r="Q1573" s="58"/>
      <c r="R1573" s="88"/>
      <c r="S1573" s="88"/>
    </row>
    <row r="1574">
      <c r="A1574" s="58"/>
      <c r="B1574" s="58"/>
      <c r="C1574" s="58"/>
      <c r="D1574" s="58"/>
      <c r="E1574" s="58"/>
      <c r="F1574" s="88"/>
      <c r="G1574" s="58"/>
      <c r="H1574" s="88"/>
      <c r="I1574" s="91"/>
      <c r="J1574" s="58"/>
      <c r="K1574" s="244"/>
      <c r="L1574" s="93"/>
      <c r="M1574" s="58"/>
      <c r="N1574" s="62"/>
      <c r="O1574" s="245"/>
      <c r="P1574" s="62"/>
      <c r="Q1574" s="58"/>
      <c r="R1574" s="88"/>
      <c r="S1574" s="88"/>
    </row>
    <row r="1575">
      <c r="A1575" s="58"/>
      <c r="B1575" s="58"/>
      <c r="C1575" s="58"/>
      <c r="D1575" s="58"/>
      <c r="E1575" s="58"/>
      <c r="F1575" s="88"/>
      <c r="G1575" s="58"/>
      <c r="H1575" s="88"/>
      <c r="I1575" s="91"/>
      <c r="J1575" s="58"/>
      <c r="K1575" s="244"/>
      <c r="L1575" s="93"/>
      <c r="M1575" s="58"/>
      <c r="N1575" s="62"/>
      <c r="O1575" s="245"/>
      <c r="P1575" s="62"/>
      <c r="Q1575" s="58"/>
      <c r="R1575" s="88"/>
      <c r="S1575" s="88"/>
    </row>
    <row r="1576">
      <c r="A1576" s="58"/>
      <c r="B1576" s="58"/>
      <c r="C1576" s="58"/>
      <c r="D1576" s="58"/>
      <c r="E1576" s="58"/>
      <c r="F1576" s="88"/>
      <c r="G1576" s="58"/>
      <c r="H1576" s="88"/>
      <c r="I1576" s="91"/>
      <c r="J1576" s="58"/>
      <c r="K1576" s="244"/>
      <c r="L1576" s="93"/>
      <c r="M1576" s="58"/>
      <c r="N1576" s="62"/>
      <c r="O1576" s="245"/>
      <c r="P1576" s="62"/>
      <c r="Q1576" s="58"/>
      <c r="R1576" s="88"/>
      <c r="S1576" s="88"/>
    </row>
    <row r="1577">
      <c r="A1577" s="58"/>
      <c r="B1577" s="58"/>
      <c r="C1577" s="58"/>
      <c r="D1577" s="58"/>
      <c r="E1577" s="58"/>
      <c r="F1577" s="88"/>
      <c r="G1577" s="58"/>
      <c r="H1577" s="88"/>
      <c r="I1577" s="91"/>
      <c r="J1577" s="58"/>
      <c r="K1577" s="244"/>
      <c r="L1577" s="93"/>
      <c r="M1577" s="58"/>
      <c r="N1577" s="62"/>
      <c r="O1577" s="245"/>
      <c r="P1577" s="62"/>
      <c r="Q1577" s="58"/>
      <c r="R1577" s="88"/>
      <c r="S1577" s="88"/>
    </row>
    <row r="1578">
      <c r="A1578" s="58"/>
      <c r="B1578" s="58"/>
      <c r="C1578" s="58"/>
      <c r="D1578" s="58"/>
      <c r="E1578" s="58"/>
      <c r="F1578" s="88"/>
      <c r="G1578" s="58"/>
      <c r="H1578" s="88"/>
      <c r="I1578" s="91"/>
      <c r="J1578" s="58"/>
      <c r="K1578" s="244"/>
      <c r="L1578" s="93"/>
      <c r="M1578" s="58"/>
      <c r="N1578" s="62"/>
      <c r="O1578" s="245"/>
      <c r="P1578" s="62"/>
      <c r="Q1578" s="58"/>
      <c r="R1578" s="88"/>
      <c r="S1578" s="88"/>
    </row>
    <row r="1579">
      <c r="A1579" s="58"/>
      <c r="B1579" s="58"/>
      <c r="C1579" s="58"/>
      <c r="D1579" s="58"/>
      <c r="E1579" s="58"/>
      <c r="F1579" s="88"/>
      <c r="G1579" s="58"/>
      <c r="H1579" s="88"/>
      <c r="I1579" s="91"/>
      <c r="J1579" s="58"/>
      <c r="K1579" s="244"/>
      <c r="L1579" s="93"/>
      <c r="M1579" s="58"/>
      <c r="N1579" s="62"/>
      <c r="O1579" s="245"/>
      <c r="P1579" s="62"/>
      <c r="Q1579" s="58"/>
      <c r="R1579" s="88"/>
      <c r="S1579" s="88"/>
    </row>
    <row r="1580">
      <c r="A1580" s="58"/>
      <c r="B1580" s="58"/>
      <c r="C1580" s="58"/>
      <c r="D1580" s="58"/>
      <c r="E1580" s="58"/>
      <c r="F1580" s="88"/>
      <c r="G1580" s="58"/>
      <c r="H1580" s="88"/>
      <c r="I1580" s="91"/>
      <c r="J1580" s="58"/>
      <c r="K1580" s="244"/>
      <c r="L1580" s="93"/>
      <c r="M1580" s="58"/>
      <c r="N1580" s="62"/>
      <c r="O1580" s="245"/>
      <c r="P1580" s="62"/>
      <c r="Q1580" s="58"/>
      <c r="R1580" s="88"/>
      <c r="S1580" s="88"/>
    </row>
    <row r="1581">
      <c r="A1581" s="58"/>
      <c r="B1581" s="58"/>
      <c r="C1581" s="58"/>
      <c r="D1581" s="58"/>
      <c r="E1581" s="58"/>
      <c r="F1581" s="88"/>
      <c r="G1581" s="58"/>
      <c r="H1581" s="88"/>
      <c r="I1581" s="91"/>
      <c r="J1581" s="58"/>
      <c r="K1581" s="244"/>
      <c r="L1581" s="93"/>
      <c r="M1581" s="58"/>
      <c r="N1581" s="62"/>
      <c r="O1581" s="245"/>
      <c r="P1581" s="62"/>
      <c r="Q1581" s="58"/>
      <c r="R1581" s="88"/>
      <c r="S1581" s="88"/>
    </row>
    <row r="1582">
      <c r="A1582" s="58"/>
      <c r="B1582" s="58"/>
      <c r="C1582" s="58"/>
      <c r="D1582" s="58"/>
      <c r="E1582" s="58"/>
      <c r="F1582" s="88"/>
      <c r="G1582" s="58"/>
      <c r="H1582" s="88"/>
      <c r="I1582" s="91"/>
      <c r="J1582" s="58"/>
      <c r="K1582" s="244"/>
      <c r="L1582" s="93"/>
      <c r="M1582" s="58"/>
      <c r="N1582" s="62"/>
      <c r="O1582" s="245"/>
      <c r="P1582" s="62"/>
      <c r="Q1582" s="58"/>
      <c r="R1582" s="88"/>
      <c r="S1582" s="88"/>
    </row>
    <row r="1583">
      <c r="A1583" s="58"/>
      <c r="B1583" s="58"/>
      <c r="C1583" s="58"/>
      <c r="D1583" s="58"/>
      <c r="E1583" s="58"/>
      <c r="F1583" s="88"/>
      <c r="G1583" s="58"/>
      <c r="H1583" s="88"/>
      <c r="I1583" s="91"/>
      <c r="J1583" s="58"/>
      <c r="K1583" s="244"/>
      <c r="L1583" s="93"/>
      <c r="M1583" s="58"/>
      <c r="N1583" s="62"/>
      <c r="O1583" s="245"/>
      <c r="P1583" s="62"/>
      <c r="Q1583" s="58"/>
      <c r="R1583" s="88"/>
      <c r="S1583" s="88"/>
    </row>
    <row r="1584">
      <c r="A1584" s="58"/>
      <c r="B1584" s="58"/>
      <c r="C1584" s="58"/>
      <c r="D1584" s="58"/>
      <c r="E1584" s="58"/>
      <c r="F1584" s="88"/>
      <c r="G1584" s="58"/>
      <c r="H1584" s="88"/>
      <c r="I1584" s="91"/>
      <c r="J1584" s="58"/>
      <c r="K1584" s="244"/>
      <c r="L1584" s="93"/>
      <c r="M1584" s="58"/>
      <c r="N1584" s="62"/>
      <c r="O1584" s="245"/>
      <c r="P1584" s="62"/>
      <c r="Q1584" s="58"/>
      <c r="R1584" s="88"/>
      <c r="S1584" s="88"/>
    </row>
    <row r="1585">
      <c r="A1585" s="58"/>
      <c r="B1585" s="58"/>
      <c r="C1585" s="58"/>
      <c r="D1585" s="58"/>
      <c r="E1585" s="58"/>
      <c r="F1585" s="88"/>
      <c r="G1585" s="58"/>
      <c r="H1585" s="88"/>
      <c r="I1585" s="91"/>
      <c r="J1585" s="58"/>
      <c r="K1585" s="244"/>
      <c r="L1585" s="93"/>
      <c r="M1585" s="58"/>
      <c r="N1585" s="62"/>
      <c r="O1585" s="245"/>
      <c r="P1585" s="62"/>
      <c r="Q1585" s="58"/>
      <c r="R1585" s="88"/>
      <c r="S1585" s="88"/>
    </row>
    <row r="1586">
      <c r="A1586" s="58"/>
      <c r="B1586" s="58"/>
      <c r="C1586" s="58"/>
      <c r="D1586" s="58"/>
      <c r="E1586" s="58"/>
      <c r="F1586" s="88"/>
      <c r="G1586" s="58"/>
      <c r="H1586" s="88"/>
      <c r="I1586" s="91"/>
      <c r="J1586" s="58"/>
      <c r="K1586" s="244"/>
      <c r="L1586" s="93"/>
      <c r="M1586" s="58"/>
      <c r="N1586" s="62"/>
      <c r="O1586" s="245"/>
      <c r="P1586" s="62"/>
      <c r="Q1586" s="58"/>
      <c r="R1586" s="88"/>
      <c r="S1586" s="88"/>
    </row>
    <row r="1587">
      <c r="A1587" s="58"/>
      <c r="B1587" s="58"/>
      <c r="C1587" s="58"/>
      <c r="D1587" s="58"/>
      <c r="E1587" s="58"/>
      <c r="F1587" s="88"/>
      <c r="G1587" s="58"/>
      <c r="H1587" s="88"/>
      <c r="I1587" s="91"/>
      <c r="J1587" s="58"/>
      <c r="K1587" s="244"/>
      <c r="L1587" s="93"/>
      <c r="M1587" s="58"/>
      <c r="N1587" s="62"/>
      <c r="O1587" s="245"/>
      <c r="P1587" s="62"/>
      <c r="Q1587" s="58"/>
      <c r="R1587" s="88"/>
      <c r="S1587" s="88"/>
    </row>
    <row r="1588">
      <c r="A1588" s="58"/>
      <c r="B1588" s="58"/>
      <c r="C1588" s="58"/>
      <c r="D1588" s="58"/>
      <c r="E1588" s="58"/>
      <c r="F1588" s="88"/>
      <c r="G1588" s="58"/>
      <c r="H1588" s="88"/>
      <c r="I1588" s="91"/>
      <c r="J1588" s="58"/>
      <c r="K1588" s="244"/>
      <c r="L1588" s="93"/>
      <c r="M1588" s="58"/>
      <c r="N1588" s="62"/>
      <c r="O1588" s="245"/>
      <c r="P1588" s="62"/>
      <c r="Q1588" s="58"/>
      <c r="R1588" s="88"/>
      <c r="S1588" s="88"/>
    </row>
    <row r="1589">
      <c r="A1589" s="58"/>
      <c r="B1589" s="58"/>
      <c r="C1589" s="58"/>
      <c r="D1589" s="58"/>
      <c r="E1589" s="58"/>
      <c r="F1589" s="88"/>
      <c r="G1589" s="58"/>
      <c r="H1589" s="88"/>
      <c r="I1589" s="91"/>
      <c r="J1589" s="58"/>
      <c r="K1589" s="244"/>
      <c r="L1589" s="93"/>
      <c r="M1589" s="58"/>
      <c r="N1589" s="62"/>
      <c r="O1589" s="245"/>
      <c r="P1589" s="62"/>
      <c r="Q1589" s="58"/>
      <c r="R1589" s="88"/>
      <c r="S1589" s="88"/>
    </row>
    <row r="1590">
      <c r="A1590" s="58"/>
      <c r="B1590" s="58"/>
      <c r="C1590" s="58"/>
      <c r="D1590" s="58"/>
      <c r="E1590" s="58"/>
      <c r="F1590" s="88"/>
      <c r="G1590" s="58"/>
      <c r="H1590" s="88"/>
      <c r="I1590" s="91"/>
      <c r="J1590" s="58"/>
      <c r="K1590" s="244"/>
      <c r="L1590" s="93"/>
      <c r="M1590" s="58"/>
      <c r="N1590" s="62"/>
      <c r="O1590" s="245"/>
      <c r="P1590" s="62"/>
      <c r="Q1590" s="58"/>
      <c r="R1590" s="88"/>
      <c r="S1590" s="88"/>
    </row>
    <row r="1591">
      <c r="A1591" s="58"/>
      <c r="B1591" s="58"/>
      <c r="C1591" s="58"/>
      <c r="D1591" s="58"/>
      <c r="E1591" s="58"/>
      <c r="F1591" s="88"/>
      <c r="G1591" s="58"/>
      <c r="H1591" s="88"/>
      <c r="I1591" s="91"/>
      <c r="J1591" s="58"/>
      <c r="K1591" s="244"/>
      <c r="L1591" s="93"/>
      <c r="M1591" s="58"/>
      <c r="N1591" s="62"/>
      <c r="O1591" s="245"/>
      <c r="P1591" s="62"/>
      <c r="Q1591" s="58"/>
      <c r="R1591" s="88"/>
      <c r="S1591" s="88"/>
    </row>
    <row r="1592">
      <c r="A1592" s="58"/>
      <c r="B1592" s="58"/>
      <c r="C1592" s="58"/>
      <c r="D1592" s="58"/>
      <c r="E1592" s="58"/>
      <c r="F1592" s="88"/>
      <c r="G1592" s="58"/>
      <c r="H1592" s="88"/>
      <c r="I1592" s="91"/>
      <c r="J1592" s="58"/>
      <c r="K1592" s="244"/>
      <c r="L1592" s="93"/>
      <c r="M1592" s="58"/>
      <c r="N1592" s="62"/>
      <c r="O1592" s="245"/>
      <c r="P1592" s="62"/>
      <c r="Q1592" s="58"/>
      <c r="R1592" s="88"/>
      <c r="S1592" s="88"/>
    </row>
    <row r="1593">
      <c r="A1593" s="58"/>
      <c r="B1593" s="58"/>
      <c r="C1593" s="58"/>
      <c r="D1593" s="58"/>
      <c r="E1593" s="58"/>
      <c r="F1593" s="88"/>
      <c r="G1593" s="58"/>
      <c r="H1593" s="88"/>
      <c r="I1593" s="91"/>
      <c r="J1593" s="58"/>
      <c r="K1593" s="244"/>
      <c r="L1593" s="93"/>
      <c r="M1593" s="58"/>
      <c r="N1593" s="62"/>
      <c r="O1593" s="245"/>
      <c r="P1593" s="62"/>
      <c r="Q1593" s="58"/>
      <c r="R1593" s="88"/>
      <c r="S1593" s="88"/>
    </row>
    <row r="1594">
      <c r="A1594" s="58"/>
      <c r="B1594" s="58"/>
      <c r="C1594" s="58"/>
      <c r="D1594" s="58"/>
      <c r="E1594" s="58"/>
      <c r="F1594" s="88"/>
      <c r="G1594" s="58"/>
      <c r="H1594" s="88"/>
      <c r="I1594" s="91"/>
      <c r="J1594" s="58"/>
      <c r="K1594" s="244"/>
      <c r="L1594" s="93"/>
      <c r="M1594" s="58"/>
      <c r="N1594" s="62"/>
      <c r="O1594" s="245"/>
      <c r="P1594" s="62"/>
      <c r="Q1594" s="58"/>
      <c r="R1594" s="88"/>
      <c r="S1594" s="88"/>
    </row>
    <row r="1595">
      <c r="A1595" s="58"/>
      <c r="B1595" s="58"/>
      <c r="C1595" s="58"/>
      <c r="D1595" s="58"/>
      <c r="E1595" s="58"/>
      <c r="F1595" s="88"/>
      <c r="G1595" s="58"/>
      <c r="H1595" s="88"/>
      <c r="I1595" s="91"/>
      <c r="J1595" s="58"/>
      <c r="K1595" s="244"/>
      <c r="L1595" s="93"/>
      <c r="M1595" s="58"/>
      <c r="N1595" s="62"/>
      <c r="O1595" s="245"/>
      <c r="P1595" s="62"/>
      <c r="Q1595" s="58"/>
      <c r="R1595" s="88"/>
      <c r="S1595" s="88"/>
    </row>
    <row r="1596">
      <c r="A1596" s="58"/>
      <c r="B1596" s="58"/>
      <c r="C1596" s="58"/>
      <c r="D1596" s="58"/>
      <c r="E1596" s="58"/>
      <c r="F1596" s="88"/>
      <c r="G1596" s="58"/>
      <c r="H1596" s="88"/>
      <c r="I1596" s="91"/>
      <c r="J1596" s="58"/>
      <c r="K1596" s="244"/>
      <c r="L1596" s="93"/>
      <c r="M1596" s="58"/>
      <c r="N1596" s="62"/>
      <c r="O1596" s="245"/>
      <c r="P1596" s="62"/>
      <c r="Q1596" s="58"/>
      <c r="R1596" s="88"/>
      <c r="S1596" s="88"/>
    </row>
    <row r="1597">
      <c r="A1597" s="58"/>
      <c r="B1597" s="58"/>
      <c r="C1597" s="58"/>
      <c r="D1597" s="58"/>
      <c r="E1597" s="58"/>
      <c r="F1597" s="88"/>
      <c r="G1597" s="58"/>
      <c r="H1597" s="88"/>
      <c r="I1597" s="91"/>
      <c r="J1597" s="58"/>
      <c r="K1597" s="244"/>
      <c r="L1597" s="93"/>
      <c r="M1597" s="58"/>
      <c r="N1597" s="62"/>
      <c r="O1597" s="245"/>
      <c r="P1597" s="62"/>
      <c r="Q1597" s="58"/>
      <c r="R1597" s="88"/>
      <c r="S1597" s="88"/>
    </row>
    <row r="1598">
      <c r="A1598" s="58"/>
      <c r="B1598" s="58"/>
      <c r="C1598" s="58"/>
      <c r="D1598" s="58"/>
      <c r="E1598" s="58"/>
      <c r="F1598" s="88"/>
      <c r="G1598" s="58"/>
      <c r="H1598" s="88"/>
      <c r="I1598" s="91"/>
      <c r="J1598" s="58"/>
      <c r="K1598" s="244"/>
      <c r="L1598" s="93"/>
      <c r="M1598" s="58"/>
      <c r="N1598" s="62"/>
      <c r="O1598" s="245"/>
      <c r="P1598" s="62"/>
      <c r="Q1598" s="58"/>
      <c r="R1598" s="88"/>
      <c r="S1598" s="88"/>
    </row>
    <row r="1599">
      <c r="A1599" s="58"/>
      <c r="B1599" s="58"/>
      <c r="C1599" s="58"/>
      <c r="D1599" s="58"/>
      <c r="E1599" s="58"/>
      <c r="F1599" s="88"/>
      <c r="G1599" s="58"/>
      <c r="H1599" s="88"/>
      <c r="I1599" s="91"/>
      <c r="J1599" s="58"/>
      <c r="K1599" s="244"/>
      <c r="L1599" s="93"/>
      <c r="M1599" s="58"/>
      <c r="N1599" s="62"/>
      <c r="O1599" s="245"/>
      <c r="P1599" s="62"/>
      <c r="Q1599" s="58"/>
      <c r="R1599" s="88"/>
      <c r="S1599" s="88"/>
    </row>
    <row r="1600">
      <c r="A1600" s="58"/>
      <c r="B1600" s="58"/>
      <c r="C1600" s="58"/>
      <c r="D1600" s="58"/>
      <c r="E1600" s="58"/>
      <c r="F1600" s="88"/>
      <c r="G1600" s="58"/>
      <c r="H1600" s="88"/>
      <c r="I1600" s="91"/>
      <c r="J1600" s="58"/>
      <c r="K1600" s="244"/>
      <c r="L1600" s="93"/>
      <c r="M1600" s="58"/>
      <c r="N1600" s="62"/>
      <c r="O1600" s="245"/>
      <c r="P1600" s="62"/>
      <c r="Q1600" s="58"/>
      <c r="R1600" s="88"/>
      <c r="S1600" s="88"/>
    </row>
    <row r="1601">
      <c r="A1601" s="58"/>
      <c r="B1601" s="58"/>
      <c r="C1601" s="58"/>
      <c r="D1601" s="58"/>
      <c r="E1601" s="58"/>
      <c r="F1601" s="88"/>
      <c r="G1601" s="58"/>
      <c r="H1601" s="88"/>
      <c r="I1601" s="91"/>
      <c r="J1601" s="58"/>
      <c r="K1601" s="244"/>
      <c r="L1601" s="93"/>
      <c r="M1601" s="58"/>
      <c r="N1601" s="62"/>
      <c r="O1601" s="245"/>
      <c r="P1601" s="62"/>
      <c r="Q1601" s="58"/>
      <c r="R1601" s="88"/>
      <c r="S1601" s="88"/>
    </row>
    <row r="1602">
      <c r="A1602" s="58"/>
      <c r="B1602" s="58"/>
      <c r="C1602" s="58"/>
      <c r="D1602" s="58"/>
      <c r="E1602" s="58"/>
      <c r="F1602" s="88"/>
      <c r="G1602" s="58"/>
      <c r="H1602" s="88"/>
      <c r="I1602" s="91"/>
      <c r="J1602" s="58"/>
      <c r="K1602" s="244"/>
      <c r="L1602" s="93"/>
      <c r="M1602" s="58"/>
      <c r="N1602" s="62"/>
      <c r="O1602" s="245"/>
      <c r="P1602" s="62"/>
      <c r="Q1602" s="58"/>
      <c r="R1602" s="88"/>
      <c r="S1602" s="88"/>
    </row>
    <row r="1603">
      <c r="A1603" s="58"/>
      <c r="B1603" s="58"/>
      <c r="C1603" s="58"/>
      <c r="D1603" s="58"/>
      <c r="E1603" s="58"/>
      <c r="F1603" s="88"/>
      <c r="G1603" s="58"/>
      <c r="H1603" s="88"/>
      <c r="I1603" s="91"/>
      <c r="J1603" s="58"/>
      <c r="K1603" s="244"/>
      <c r="L1603" s="93"/>
      <c r="M1603" s="58"/>
      <c r="N1603" s="62"/>
      <c r="O1603" s="245"/>
      <c r="P1603" s="62"/>
      <c r="Q1603" s="58"/>
      <c r="R1603" s="88"/>
      <c r="S1603" s="88"/>
    </row>
    <row r="1604">
      <c r="A1604" s="58"/>
      <c r="B1604" s="58"/>
      <c r="C1604" s="58"/>
      <c r="D1604" s="58"/>
      <c r="E1604" s="58"/>
      <c r="F1604" s="88"/>
      <c r="G1604" s="58"/>
      <c r="H1604" s="88"/>
      <c r="I1604" s="91"/>
      <c r="J1604" s="58"/>
      <c r="K1604" s="244"/>
      <c r="L1604" s="93"/>
      <c r="M1604" s="58"/>
      <c r="N1604" s="62"/>
      <c r="O1604" s="245"/>
      <c r="P1604" s="62"/>
      <c r="Q1604" s="58"/>
      <c r="R1604" s="88"/>
      <c r="S1604" s="88"/>
    </row>
    <row r="1605">
      <c r="A1605" s="58"/>
      <c r="B1605" s="58"/>
      <c r="C1605" s="58"/>
      <c r="D1605" s="58"/>
      <c r="E1605" s="58"/>
      <c r="F1605" s="88"/>
      <c r="G1605" s="58"/>
      <c r="H1605" s="88"/>
      <c r="I1605" s="91"/>
      <c r="J1605" s="58"/>
      <c r="K1605" s="244"/>
      <c r="L1605" s="93"/>
      <c r="M1605" s="58"/>
      <c r="N1605" s="62"/>
      <c r="O1605" s="245"/>
      <c r="P1605" s="62"/>
      <c r="Q1605" s="58"/>
      <c r="R1605" s="88"/>
      <c r="S1605" s="88"/>
    </row>
    <row r="1606">
      <c r="A1606" s="58"/>
      <c r="B1606" s="58"/>
      <c r="C1606" s="58"/>
      <c r="D1606" s="58"/>
      <c r="E1606" s="58"/>
      <c r="F1606" s="88"/>
      <c r="G1606" s="58"/>
      <c r="H1606" s="88"/>
      <c r="I1606" s="91"/>
      <c r="J1606" s="58"/>
      <c r="K1606" s="244"/>
      <c r="L1606" s="93"/>
      <c r="M1606" s="58"/>
      <c r="N1606" s="62"/>
      <c r="O1606" s="245"/>
      <c r="P1606" s="62"/>
      <c r="Q1606" s="58"/>
      <c r="R1606" s="88"/>
      <c r="S1606" s="88"/>
    </row>
    <row r="1607">
      <c r="A1607" s="58"/>
      <c r="B1607" s="58"/>
      <c r="C1607" s="58"/>
      <c r="D1607" s="58"/>
      <c r="E1607" s="58"/>
      <c r="F1607" s="88"/>
      <c r="G1607" s="58"/>
      <c r="H1607" s="88"/>
      <c r="I1607" s="91"/>
      <c r="J1607" s="58"/>
      <c r="K1607" s="244"/>
      <c r="L1607" s="93"/>
      <c r="M1607" s="58"/>
      <c r="N1607" s="62"/>
      <c r="O1607" s="245"/>
      <c r="P1607" s="62"/>
      <c r="Q1607" s="58"/>
      <c r="R1607" s="88"/>
      <c r="S1607" s="88"/>
    </row>
    <row r="1608">
      <c r="A1608" s="58"/>
      <c r="B1608" s="58"/>
      <c r="C1608" s="58"/>
      <c r="D1608" s="58"/>
      <c r="E1608" s="58"/>
      <c r="F1608" s="88"/>
      <c r="G1608" s="58"/>
      <c r="H1608" s="88"/>
      <c r="I1608" s="91"/>
      <c r="J1608" s="58"/>
      <c r="K1608" s="244"/>
      <c r="L1608" s="93"/>
      <c r="M1608" s="58"/>
      <c r="N1608" s="62"/>
      <c r="O1608" s="245"/>
      <c r="P1608" s="62"/>
      <c r="Q1608" s="58"/>
      <c r="R1608" s="88"/>
      <c r="S1608" s="88"/>
    </row>
    <row r="1609">
      <c r="A1609" s="58"/>
      <c r="B1609" s="58"/>
      <c r="C1609" s="58"/>
      <c r="D1609" s="58"/>
      <c r="E1609" s="58"/>
      <c r="F1609" s="88"/>
      <c r="G1609" s="58"/>
      <c r="H1609" s="88"/>
      <c r="I1609" s="91"/>
      <c r="J1609" s="58"/>
      <c r="K1609" s="244"/>
      <c r="L1609" s="93"/>
      <c r="M1609" s="58"/>
      <c r="N1609" s="62"/>
      <c r="O1609" s="245"/>
      <c r="P1609" s="62"/>
      <c r="Q1609" s="58"/>
      <c r="R1609" s="88"/>
      <c r="S1609" s="88"/>
    </row>
    <row r="1610">
      <c r="A1610" s="58"/>
      <c r="B1610" s="58"/>
      <c r="C1610" s="58"/>
      <c r="D1610" s="58"/>
      <c r="E1610" s="58"/>
      <c r="F1610" s="88"/>
      <c r="G1610" s="58"/>
      <c r="H1610" s="88"/>
      <c r="I1610" s="91"/>
      <c r="J1610" s="58"/>
      <c r="K1610" s="244"/>
      <c r="L1610" s="93"/>
      <c r="M1610" s="58"/>
      <c r="N1610" s="62"/>
      <c r="O1610" s="245"/>
      <c r="P1610" s="62"/>
      <c r="Q1610" s="58"/>
      <c r="R1610" s="88"/>
      <c r="S1610" s="88"/>
    </row>
    <row r="1611">
      <c r="A1611" s="58"/>
      <c r="B1611" s="58"/>
      <c r="C1611" s="58"/>
      <c r="D1611" s="58"/>
      <c r="E1611" s="58"/>
      <c r="F1611" s="88"/>
      <c r="G1611" s="58"/>
      <c r="H1611" s="88"/>
      <c r="I1611" s="91"/>
      <c r="J1611" s="58"/>
      <c r="K1611" s="244"/>
      <c r="L1611" s="93"/>
      <c r="M1611" s="58"/>
      <c r="N1611" s="62"/>
      <c r="O1611" s="245"/>
      <c r="P1611" s="62"/>
      <c r="Q1611" s="58"/>
      <c r="R1611" s="88"/>
      <c r="S1611" s="88"/>
    </row>
    <row r="1612">
      <c r="A1612" s="58"/>
      <c r="B1612" s="58"/>
      <c r="C1612" s="58"/>
      <c r="D1612" s="58"/>
      <c r="E1612" s="58"/>
      <c r="F1612" s="88"/>
      <c r="G1612" s="58"/>
      <c r="H1612" s="88"/>
      <c r="I1612" s="91"/>
      <c r="J1612" s="58"/>
      <c r="K1612" s="244"/>
      <c r="L1612" s="93"/>
      <c r="M1612" s="58"/>
      <c r="N1612" s="62"/>
      <c r="O1612" s="245"/>
      <c r="P1612" s="62"/>
      <c r="Q1612" s="58"/>
      <c r="R1612" s="88"/>
      <c r="S1612" s="88"/>
    </row>
    <row r="1613">
      <c r="A1613" s="58"/>
      <c r="B1613" s="58"/>
      <c r="C1613" s="58"/>
      <c r="D1613" s="58"/>
      <c r="E1613" s="58"/>
      <c r="F1613" s="88"/>
      <c r="G1613" s="58"/>
      <c r="H1613" s="88"/>
      <c r="I1613" s="91"/>
      <c r="J1613" s="58"/>
      <c r="K1613" s="244"/>
      <c r="L1613" s="93"/>
      <c r="M1613" s="58"/>
      <c r="N1613" s="62"/>
      <c r="O1613" s="245"/>
      <c r="P1613" s="62"/>
      <c r="Q1613" s="58"/>
      <c r="R1613" s="88"/>
      <c r="S1613" s="88"/>
    </row>
    <row r="1614">
      <c r="A1614" s="58"/>
      <c r="B1614" s="58"/>
      <c r="C1614" s="58"/>
      <c r="D1614" s="58"/>
      <c r="E1614" s="58"/>
      <c r="F1614" s="88"/>
      <c r="G1614" s="58"/>
      <c r="H1614" s="88"/>
      <c r="I1614" s="91"/>
      <c r="J1614" s="58"/>
      <c r="K1614" s="244"/>
      <c r="L1614" s="93"/>
      <c r="M1614" s="58"/>
      <c r="N1614" s="62"/>
      <c r="O1614" s="245"/>
      <c r="P1614" s="62"/>
      <c r="Q1614" s="58"/>
      <c r="R1614" s="88"/>
      <c r="S1614" s="88"/>
    </row>
    <row r="1615">
      <c r="A1615" s="58"/>
      <c r="B1615" s="58"/>
      <c r="C1615" s="58"/>
      <c r="D1615" s="58"/>
      <c r="E1615" s="58"/>
      <c r="F1615" s="88"/>
      <c r="G1615" s="58"/>
      <c r="H1615" s="88"/>
      <c r="I1615" s="91"/>
      <c r="J1615" s="58"/>
      <c r="K1615" s="244"/>
      <c r="L1615" s="93"/>
      <c r="M1615" s="58"/>
      <c r="N1615" s="62"/>
      <c r="O1615" s="245"/>
      <c r="P1615" s="62"/>
      <c r="Q1615" s="58"/>
      <c r="R1615" s="88"/>
      <c r="S1615" s="88"/>
    </row>
    <row r="1616">
      <c r="A1616" s="58"/>
      <c r="B1616" s="58"/>
      <c r="C1616" s="58"/>
      <c r="D1616" s="58"/>
      <c r="E1616" s="58"/>
      <c r="F1616" s="88"/>
      <c r="G1616" s="58"/>
      <c r="H1616" s="88"/>
      <c r="I1616" s="91"/>
      <c r="J1616" s="58"/>
      <c r="K1616" s="244"/>
      <c r="L1616" s="93"/>
      <c r="M1616" s="58"/>
      <c r="N1616" s="62"/>
      <c r="O1616" s="245"/>
      <c r="P1616" s="62"/>
      <c r="Q1616" s="58"/>
      <c r="R1616" s="88"/>
      <c r="S1616" s="88"/>
    </row>
    <row r="1617">
      <c r="A1617" s="58"/>
      <c r="B1617" s="58"/>
      <c r="C1617" s="58"/>
      <c r="D1617" s="58"/>
      <c r="E1617" s="58"/>
      <c r="F1617" s="88"/>
      <c r="G1617" s="58"/>
      <c r="H1617" s="88"/>
      <c r="I1617" s="91"/>
      <c r="J1617" s="58"/>
      <c r="K1617" s="244"/>
      <c r="L1617" s="93"/>
      <c r="M1617" s="58"/>
      <c r="N1617" s="62"/>
      <c r="O1617" s="245"/>
      <c r="P1617" s="62"/>
      <c r="Q1617" s="58"/>
      <c r="R1617" s="88"/>
      <c r="S1617" s="88"/>
    </row>
    <row r="1618">
      <c r="A1618" s="58"/>
      <c r="B1618" s="58"/>
      <c r="C1618" s="58"/>
      <c r="D1618" s="58"/>
      <c r="E1618" s="58"/>
      <c r="F1618" s="88"/>
      <c r="G1618" s="58"/>
      <c r="H1618" s="88"/>
      <c r="I1618" s="91"/>
      <c r="J1618" s="58"/>
      <c r="K1618" s="244"/>
      <c r="L1618" s="93"/>
      <c r="M1618" s="58"/>
      <c r="N1618" s="62"/>
      <c r="O1618" s="245"/>
      <c r="P1618" s="62"/>
      <c r="Q1618" s="58"/>
      <c r="R1618" s="88"/>
      <c r="S1618" s="88"/>
    </row>
    <row r="1619">
      <c r="A1619" s="58"/>
      <c r="B1619" s="58"/>
      <c r="C1619" s="58"/>
      <c r="D1619" s="58"/>
      <c r="E1619" s="58"/>
      <c r="F1619" s="88"/>
      <c r="G1619" s="58"/>
      <c r="H1619" s="88"/>
      <c r="I1619" s="91"/>
      <c r="J1619" s="58"/>
      <c r="K1619" s="244"/>
      <c r="L1619" s="93"/>
      <c r="M1619" s="58"/>
      <c r="N1619" s="62"/>
      <c r="O1619" s="245"/>
      <c r="P1619" s="62"/>
      <c r="Q1619" s="58"/>
      <c r="R1619" s="88"/>
      <c r="S1619" s="88"/>
    </row>
    <row r="1620">
      <c r="A1620" s="58"/>
      <c r="B1620" s="58"/>
      <c r="C1620" s="58"/>
      <c r="D1620" s="58"/>
      <c r="E1620" s="58"/>
      <c r="F1620" s="88"/>
      <c r="G1620" s="58"/>
      <c r="H1620" s="88"/>
      <c r="I1620" s="91"/>
      <c r="J1620" s="58"/>
      <c r="K1620" s="244"/>
      <c r="L1620" s="93"/>
      <c r="M1620" s="58"/>
      <c r="N1620" s="62"/>
      <c r="O1620" s="245"/>
      <c r="P1620" s="62"/>
      <c r="Q1620" s="58"/>
      <c r="R1620" s="88"/>
      <c r="S1620" s="88"/>
    </row>
    <row r="1621">
      <c r="A1621" s="58"/>
      <c r="B1621" s="58"/>
      <c r="C1621" s="58"/>
      <c r="D1621" s="58"/>
      <c r="E1621" s="58"/>
      <c r="F1621" s="88"/>
      <c r="G1621" s="58"/>
      <c r="H1621" s="88"/>
      <c r="I1621" s="91"/>
      <c r="J1621" s="58"/>
      <c r="K1621" s="244"/>
      <c r="L1621" s="93"/>
      <c r="M1621" s="58"/>
      <c r="N1621" s="62"/>
      <c r="O1621" s="245"/>
      <c r="P1621" s="62"/>
      <c r="Q1621" s="58"/>
      <c r="R1621" s="88"/>
      <c r="S1621" s="88"/>
    </row>
    <row r="1622">
      <c r="A1622" s="58"/>
      <c r="B1622" s="58"/>
      <c r="C1622" s="58"/>
      <c r="D1622" s="58"/>
      <c r="E1622" s="58"/>
      <c r="F1622" s="88"/>
      <c r="G1622" s="58"/>
      <c r="H1622" s="88"/>
      <c r="I1622" s="91"/>
      <c r="J1622" s="58"/>
      <c r="K1622" s="244"/>
      <c r="L1622" s="93"/>
      <c r="M1622" s="58"/>
      <c r="N1622" s="62"/>
      <c r="O1622" s="245"/>
      <c r="P1622" s="62"/>
      <c r="Q1622" s="58"/>
      <c r="R1622" s="88"/>
      <c r="S1622" s="88"/>
    </row>
    <row r="1623">
      <c r="A1623" s="58"/>
      <c r="B1623" s="58"/>
      <c r="C1623" s="58"/>
      <c r="D1623" s="58"/>
      <c r="E1623" s="58"/>
      <c r="F1623" s="88"/>
      <c r="G1623" s="58"/>
      <c r="H1623" s="88"/>
      <c r="I1623" s="91"/>
      <c r="J1623" s="58"/>
      <c r="K1623" s="244"/>
      <c r="L1623" s="93"/>
      <c r="M1623" s="58"/>
      <c r="N1623" s="62"/>
      <c r="O1623" s="245"/>
      <c r="P1623" s="62"/>
      <c r="Q1623" s="58"/>
      <c r="R1623" s="88"/>
      <c r="S1623" s="88"/>
    </row>
    <row r="1624">
      <c r="A1624" s="58"/>
      <c r="B1624" s="58"/>
      <c r="C1624" s="58"/>
      <c r="D1624" s="58"/>
      <c r="E1624" s="58"/>
      <c r="F1624" s="88"/>
      <c r="G1624" s="58"/>
      <c r="H1624" s="88"/>
      <c r="I1624" s="91"/>
      <c r="J1624" s="58"/>
      <c r="K1624" s="244"/>
      <c r="L1624" s="93"/>
      <c r="M1624" s="58"/>
      <c r="N1624" s="62"/>
      <c r="O1624" s="245"/>
      <c r="P1624" s="62"/>
      <c r="Q1624" s="58"/>
      <c r="R1624" s="88"/>
      <c r="S1624" s="88"/>
    </row>
    <row r="1625">
      <c r="A1625" s="58"/>
      <c r="B1625" s="58"/>
      <c r="C1625" s="58"/>
      <c r="D1625" s="58"/>
      <c r="E1625" s="58"/>
      <c r="F1625" s="88"/>
      <c r="G1625" s="58"/>
      <c r="H1625" s="88"/>
      <c r="I1625" s="91"/>
      <c r="J1625" s="58"/>
      <c r="K1625" s="244"/>
      <c r="L1625" s="93"/>
      <c r="M1625" s="58"/>
      <c r="N1625" s="62"/>
      <c r="O1625" s="245"/>
      <c r="P1625" s="62"/>
      <c r="Q1625" s="58"/>
      <c r="R1625" s="88"/>
      <c r="S1625" s="88"/>
    </row>
    <row r="1626">
      <c r="A1626" s="58"/>
      <c r="B1626" s="58"/>
      <c r="C1626" s="58"/>
      <c r="D1626" s="58"/>
      <c r="E1626" s="58"/>
      <c r="F1626" s="88"/>
      <c r="G1626" s="58"/>
      <c r="H1626" s="88"/>
      <c r="I1626" s="91"/>
      <c r="J1626" s="58"/>
      <c r="K1626" s="244"/>
      <c r="L1626" s="93"/>
      <c r="M1626" s="58"/>
      <c r="N1626" s="62"/>
      <c r="O1626" s="245"/>
      <c r="P1626" s="62"/>
      <c r="Q1626" s="58"/>
      <c r="R1626" s="88"/>
      <c r="S1626" s="88"/>
    </row>
    <row r="1627">
      <c r="A1627" s="58"/>
      <c r="B1627" s="58"/>
      <c r="C1627" s="58"/>
      <c r="D1627" s="58"/>
      <c r="E1627" s="58"/>
      <c r="F1627" s="88"/>
      <c r="G1627" s="58"/>
      <c r="H1627" s="88"/>
      <c r="I1627" s="91"/>
      <c r="J1627" s="58"/>
      <c r="K1627" s="244"/>
      <c r="L1627" s="93"/>
      <c r="M1627" s="58"/>
      <c r="N1627" s="62"/>
      <c r="O1627" s="245"/>
      <c r="P1627" s="62"/>
      <c r="Q1627" s="58"/>
      <c r="R1627" s="88"/>
      <c r="S1627" s="88"/>
    </row>
    <row r="1628">
      <c r="A1628" s="58"/>
      <c r="B1628" s="58"/>
      <c r="C1628" s="58"/>
      <c r="D1628" s="58"/>
      <c r="E1628" s="58"/>
      <c r="F1628" s="88"/>
      <c r="G1628" s="58"/>
      <c r="H1628" s="88"/>
      <c r="I1628" s="91"/>
      <c r="J1628" s="58"/>
      <c r="K1628" s="244"/>
      <c r="L1628" s="93"/>
      <c r="M1628" s="58"/>
      <c r="N1628" s="62"/>
      <c r="O1628" s="245"/>
      <c r="P1628" s="62"/>
      <c r="Q1628" s="58"/>
      <c r="R1628" s="88"/>
      <c r="S1628" s="88"/>
    </row>
    <row r="1629">
      <c r="A1629" s="58"/>
      <c r="B1629" s="58"/>
      <c r="C1629" s="58"/>
      <c r="D1629" s="58"/>
      <c r="E1629" s="58"/>
      <c r="F1629" s="88"/>
      <c r="G1629" s="58"/>
      <c r="H1629" s="88"/>
      <c r="I1629" s="91"/>
      <c r="J1629" s="58"/>
      <c r="K1629" s="244"/>
      <c r="L1629" s="93"/>
      <c r="M1629" s="58"/>
      <c r="N1629" s="62"/>
      <c r="O1629" s="245"/>
      <c r="P1629" s="62"/>
      <c r="Q1629" s="58"/>
      <c r="R1629" s="88"/>
      <c r="S1629" s="88"/>
    </row>
    <row r="1630">
      <c r="A1630" s="58"/>
      <c r="B1630" s="58"/>
      <c r="C1630" s="58"/>
      <c r="D1630" s="58"/>
      <c r="E1630" s="58"/>
      <c r="F1630" s="88"/>
      <c r="G1630" s="58"/>
      <c r="H1630" s="88"/>
      <c r="I1630" s="91"/>
      <c r="J1630" s="58"/>
      <c r="K1630" s="244"/>
      <c r="L1630" s="93"/>
      <c r="M1630" s="58"/>
      <c r="N1630" s="62"/>
      <c r="O1630" s="245"/>
      <c r="P1630" s="62"/>
      <c r="Q1630" s="58"/>
      <c r="R1630" s="88"/>
      <c r="S1630" s="88"/>
    </row>
    <row r="1631">
      <c r="A1631" s="58"/>
      <c r="B1631" s="58"/>
      <c r="C1631" s="58"/>
      <c r="D1631" s="58"/>
      <c r="E1631" s="58"/>
      <c r="F1631" s="88"/>
      <c r="G1631" s="58"/>
      <c r="H1631" s="88"/>
      <c r="I1631" s="91"/>
      <c r="J1631" s="58"/>
      <c r="K1631" s="244"/>
      <c r="L1631" s="93"/>
      <c r="M1631" s="58"/>
      <c r="N1631" s="62"/>
      <c r="O1631" s="245"/>
      <c r="P1631" s="62"/>
      <c r="Q1631" s="58"/>
      <c r="R1631" s="88"/>
      <c r="S1631" s="88"/>
    </row>
    <row r="1632">
      <c r="A1632" s="58"/>
      <c r="B1632" s="58"/>
      <c r="C1632" s="58"/>
      <c r="D1632" s="58"/>
      <c r="E1632" s="58"/>
      <c r="F1632" s="88"/>
      <c r="G1632" s="58"/>
      <c r="H1632" s="88"/>
      <c r="I1632" s="91"/>
      <c r="J1632" s="58"/>
      <c r="K1632" s="244"/>
      <c r="L1632" s="93"/>
      <c r="M1632" s="58"/>
      <c r="N1632" s="62"/>
      <c r="O1632" s="245"/>
      <c r="P1632" s="62"/>
      <c r="Q1632" s="58"/>
      <c r="R1632" s="88"/>
      <c r="S1632" s="88"/>
    </row>
    <row r="1633">
      <c r="A1633" s="58"/>
      <c r="B1633" s="58"/>
      <c r="C1633" s="58"/>
      <c r="D1633" s="58"/>
      <c r="E1633" s="58"/>
      <c r="F1633" s="88"/>
      <c r="G1633" s="58"/>
      <c r="H1633" s="88"/>
      <c r="I1633" s="91"/>
      <c r="J1633" s="58"/>
      <c r="K1633" s="244"/>
      <c r="L1633" s="93"/>
      <c r="M1633" s="58"/>
      <c r="N1633" s="62"/>
      <c r="O1633" s="245"/>
      <c r="P1633" s="62"/>
      <c r="Q1633" s="58"/>
      <c r="R1633" s="88"/>
      <c r="S1633" s="88"/>
    </row>
    <row r="1634">
      <c r="A1634" s="58"/>
      <c r="B1634" s="58"/>
      <c r="C1634" s="58"/>
      <c r="D1634" s="58"/>
      <c r="E1634" s="58"/>
      <c r="F1634" s="88"/>
      <c r="G1634" s="58"/>
      <c r="H1634" s="88"/>
      <c r="I1634" s="91"/>
      <c r="J1634" s="58"/>
      <c r="K1634" s="244"/>
      <c r="L1634" s="93"/>
      <c r="M1634" s="58"/>
      <c r="N1634" s="62"/>
      <c r="O1634" s="245"/>
      <c r="P1634" s="62"/>
      <c r="Q1634" s="58"/>
      <c r="R1634" s="88"/>
      <c r="S1634" s="88"/>
    </row>
    <row r="1635">
      <c r="A1635" s="58"/>
      <c r="B1635" s="58"/>
      <c r="C1635" s="58"/>
      <c r="D1635" s="58"/>
      <c r="E1635" s="58"/>
      <c r="F1635" s="88"/>
      <c r="G1635" s="58"/>
      <c r="H1635" s="88"/>
      <c r="I1635" s="91"/>
      <c r="J1635" s="58"/>
      <c r="K1635" s="244"/>
      <c r="L1635" s="93"/>
      <c r="M1635" s="58"/>
      <c r="N1635" s="62"/>
      <c r="O1635" s="245"/>
      <c r="P1635" s="62"/>
      <c r="Q1635" s="58"/>
      <c r="R1635" s="88"/>
      <c r="S1635" s="88"/>
    </row>
    <row r="1636">
      <c r="A1636" s="58"/>
      <c r="B1636" s="58"/>
      <c r="C1636" s="58"/>
      <c r="D1636" s="58"/>
      <c r="E1636" s="58"/>
      <c r="F1636" s="88"/>
      <c r="G1636" s="58"/>
      <c r="H1636" s="88"/>
      <c r="I1636" s="91"/>
      <c r="J1636" s="58"/>
      <c r="K1636" s="244"/>
      <c r="L1636" s="93"/>
      <c r="M1636" s="58"/>
      <c r="N1636" s="62"/>
      <c r="O1636" s="245"/>
      <c r="P1636" s="62"/>
      <c r="Q1636" s="58"/>
      <c r="R1636" s="88"/>
      <c r="S1636" s="88"/>
    </row>
    <row r="1637">
      <c r="A1637" s="58"/>
      <c r="B1637" s="58"/>
      <c r="C1637" s="58"/>
      <c r="D1637" s="58"/>
      <c r="E1637" s="58"/>
      <c r="F1637" s="88"/>
      <c r="G1637" s="58"/>
      <c r="H1637" s="88"/>
      <c r="I1637" s="91"/>
      <c r="J1637" s="58"/>
      <c r="K1637" s="244"/>
      <c r="L1637" s="93"/>
      <c r="M1637" s="58"/>
      <c r="N1637" s="62"/>
      <c r="O1637" s="245"/>
      <c r="P1637" s="62"/>
      <c r="Q1637" s="58"/>
      <c r="R1637" s="88"/>
      <c r="S1637" s="88"/>
    </row>
    <row r="1638">
      <c r="A1638" s="58"/>
      <c r="B1638" s="58"/>
      <c r="C1638" s="58"/>
      <c r="D1638" s="58"/>
      <c r="E1638" s="58"/>
      <c r="F1638" s="88"/>
      <c r="G1638" s="58"/>
      <c r="H1638" s="88"/>
      <c r="I1638" s="91"/>
      <c r="J1638" s="58"/>
      <c r="K1638" s="244"/>
      <c r="L1638" s="93"/>
      <c r="M1638" s="58"/>
      <c r="N1638" s="62"/>
      <c r="O1638" s="245"/>
      <c r="P1638" s="62"/>
      <c r="Q1638" s="58"/>
      <c r="R1638" s="88"/>
      <c r="S1638" s="88"/>
    </row>
    <row r="1639">
      <c r="A1639" s="58"/>
      <c r="B1639" s="58"/>
      <c r="C1639" s="58"/>
      <c r="D1639" s="58"/>
      <c r="E1639" s="58"/>
      <c r="F1639" s="88"/>
      <c r="G1639" s="58"/>
      <c r="H1639" s="88"/>
      <c r="I1639" s="91"/>
      <c r="J1639" s="58"/>
      <c r="K1639" s="244"/>
      <c r="L1639" s="93"/>
      <c r="M1639" s="58"/>
      <c r="N1639" s="62"/>
      <c r="O1639" s="245"/>
      <c r="P1639" s="62"/>
      <c r="Q1639" s="58"/>
      <c r="R1639" s="88"/>
      <c r="S1639" s="88"/>
    </row>
    <row r="1640">
      <c r="A1640" s="58"/>
      <c r="B1640" s="58"/>
      <c r="C1640" s="58"/>
      <c r="D1640" s="58"/>
      <c r="E1640" s="58"/>
      <c r="F1640" s="88"/>
      <c r="G1640" s="58"/>
      <c r="H1640" s="88"/>
      <c r="I1640" s="91"/>
      <c r="J1640" s="58"/>
      <c r="K1640" s="244"/>
      <c r="L1640" s="93"/>
      <c r="M1640" s="58"/>
      <c r="N1640" s="62"/>
      <c r="O1640" s="245"/>
      <c r="P1640" s="62"/>
      <c r="Q1640" s="58"/>
      <c r="R1640" s="88"/>
      <c r="S1640" s="88"/>
    </row>
    <row r="1641">
      <c r="A1641" s="58"/>
      <c r="B1641" s="58"/>
      <c r="C1641" s="58"/>
      <c r="D1641" s="58"/>
      <c r="E1641" s="58"/>
      <c r="F1641" s="88"/>
      <c r="G1641" s="58"/>
      <c r="H1641" s="88"/>
      <c r="I1641" s="91"/>
      <c r="J1641" s="58"/>
      <c r="K1641" s="244"/>
      <c r="L1641" s="93"/>
      <c r="M1641" s="58"/>
      <c r="N1641" s="62"/>
      <c r="O1641" s="245"/>
      <c r="P1641" s="62"/>
      <c r="Q1641" s="58"/>
      <c r="R1641" s="88"/>
      <c r="S1641" s="88"/>
    </row>
    <row r="1642">
      <c r="A1642" s="58"/>
      <c r="B1642" s="58"/>
      <c r="C1642" s="58"/>
      <c r="D1642" s="58"/>
      <c r="E1642" s="58"/>
      <c r="F1642" s="88"/>
      <c r="G1642" s="58"/>
      <c r="H1642" s="88"/>
      <c r="I1642" s="91"/>
      <c r="J1642" s="58"/>
      <c r="K1642" s="244"/>
      <c r="L1642" s="93"/>
      <c r="M1642" s="58"/>
      <c r="N1642" s="62"/>
      <c r="O1642" s="245"/>
      <c r="P1642" s="62"/>
      <c r="Q1642" s="58"/>
      <c r="R1642" s="88"/>
      <c r="S1642" s="88"/>
    </row>
    <row r="1643">
      <c r="A1643" s="58"/>
      <c r="B1643" s="58"/>
      <c r="C1643" s="58"/>
      <c r="D1643" s="58"/>
      <c r="E1643" s="58"/>
      <c r="F1643" s="88"/>
      <c r="G1643" s="58"/>
      <c r="H1643" s="88"/>
      <c r="I1643" s="91"/>
      <c r="J1643" s="58"/>
      <c r="K1643" s="244"/>
      <c r="L1643" s="93"/>
      <c r="M1643" s="58"/>
      <c r="N1643" s="62"/>
      <c r="O1643" s="245"/>
      <c r="P1643" s="62"/>
      <c r="Q1643" s="58"/>
      <c r="R1643" s="88"/>
      <c r="S1643" s="88"/>
    </row>
    <row r="1644">
      <c r="A1644" s="58"/>
      <c r="B1644" s="58"/>
      <c r="C1644" s="58"/>
      <c r="D1644" s="58"/>
      <c r="E1644" s="58"/>
      <c r="F1644" s="88"/>
      <c r="G1644" s="58"/>
      <c r="H1644" s="88"/>
      <c r="I1644" s="91"/>
      <c r="J1644" s="58"/>
      <c r="K1644" s="244"/>
      <c r="L1644" s="93"/>
      <c r="M1644" s="58"/>
      <c r="N1644" s="62"/>
      <c r="O1644" s="245"/>
      <c r="P1644" s="62"/>
      <c r="Q1644" s="58"/>
      <c r="R1644" s="88"/>
      <c r="S1644" s="88"/>
    </row>
    <row r="1645">
      <c r="A1645" s="58"/>
      <c r="B1645" s="58"/>
      <c r="C1645" s="58"/>
      <c r="D1645" s="58"/>
      <c r="E1645" s="58"/>
      <c r="F1645" s="88"/>
      <c r="G1645" s="58"/>
      <c r="H1645" s="88"/>
      <c r="I1645" s="91"/>
      <c r="J1645" s="58"/>
      <c r="K1645" s="244"/>
      <c r="L1645" s="93"/>
      <c r="M1645" s="58"/>
      <c r="N1645" s="62"/>
      <c r="O1645" s="245"/>
      <c r="P1645" s="62"/>
      <c r="Q1645" s="58"/>
      <c r="R1645" s="88"/>
      <c r="S1645" s="88"/>
    </row>
    <row r="1646">
      <c r="A1646" s="58"/>
      <c r="B1646" s="58"/>
      <c r="C1646" s="58"/>
      <c r="D1646" s="58"/>
      <c r="E1646" s="58"/>
      <c r="F1646" s="88"/>
      <c r="G1646" s="58"/>
      <c r="H1646" s="88"/>
      <c r="I1646" s="91"/>
      <c r="J1646" s="58"/>
      <c r="K1646" s="244"/>
      <c r="L1646" s="93"/>
      <c r="M1646" s="58"/>
      <c r="N1646" s="62"/>
      <c r="O1646" s="245"/>
      <c r="P1646" s="62"/>
      <c r="Q1646" s="58"/>
      <c r="R1646" s="88"/>
      <c r="S1646" s="88"/>
    </row>
    <row r="1647">
      <c r="A1647" s="58"/>
      <c r="B1647" s="58"/>
      <c r="C1647" s="58"/>
      <c r="D1647" s="58"/>
      <c r="E1647" s="58"/>
      <c r="F1647" s="88"/>
      <c r="G1647" s="58"/>
      <c r="H1647" s="88"/>
      <c r="I1647" s="91"/>
      <c r="J1647" s="58"/>
      <c r="K1647" s="244"/>
      <c r="L1647" s="93"/>
      <c r="M1647" s="58"/>
      <c r="N1647" s="62"/>
      <c r="O1647" s="245"/>
      <c r="P1647" s="62"/>
      <c r="Q1647" s="58"/>
      <c r="R1647" s="88"/>
      <c r="S1647" s="88"/>
    </row>
    <row r="1648">
      <c r="A1648" s="58"/>
      <c r="B1648" s="58"/>
      <c r="C1648" s="58"/>
      <c r="D1648" s="58"/>
      <c r="E1648" s="58"/>
      <c r="F1648" s="88"/>
      <c r="G1648" s="58"/>
      <c r="H1648" s="88"/>
      <c r="I1648" s="91"/>
      <c r="J1648" s="58"/>
      <c r="K1648" s="244"/>
      <c r="L1648" s="93"/>
      <c r="M1648" s="58"/>
      <c r="N1648" s="62"/>
      <c r="O1648" s="245"/>
      <c r="P1648" s="62"/>
      <c r="Q1648" s="58"/>
      <c r="R1648" s="88"/>
      <c r="S1648" s="88"/>
    </row>
    <row r="1649">
      <c r="A1649" s="58"/>
      <c r="B1649" s="58"/>
      <c r="C1649" s="58"/>
      <c r="D1649" s="58"/>
      <c r="E1649" s="58"/>
      <c r="F1649" s="88"/>
      <c r="G1649" s="58"/>
      <c r="H1649" s="88"/>
      <c r="I1649" s="91"/>
      <c r="J1649" s="58"/>
      <c r="K1649" s="244"/>
      <c r="L1649" s="93"/>
      <c r="M1649" s="58"/>
      <c r="N1649" s="62"/>
      <c r="O1649" s="245"/>
      <c r="P1649" s="62"/>
      <c r="Q1649" s="58"/>
      <c r="R1649" s="88"/>
      <c r="S1649" s="88"/>
    </row>
    <row r="1650">
      <c r="A1650" s="58"/>
      <c r="B1650" s="58"/>
      <c r="C1650" s="58"/>
      <c r="D1650" s="58"/>
      <c r="E1650" s="58"/>
      <c r="F1650" s="88"/>
      <c r="G1650" s="58"/>
      <c r="H1650" s="88"/>
      <c r="I1650" s="91"/>
      <c r="J1650" s="58"/>
      <c r="K1650" s="244"/>
      <c r="L1650" s="93"/>
      <c r="M1650" s="58"/>
      <c r="N1650" s="62"/>
      <c r="O1650" s="245"/>
      <c r="P1650" s="62"/>
      <c r="Q1650" s="58"/>
      <c r="R1650" s="88"/>
      <c r="S1650" s="88"/>
    </row>
    <row r="1651">
      <c r="A1651" s="58"/>
      <c r="B1651" s="58"/>
      <c r="C1651" s="58"/>
      <c r="D1651" s="58"/>
      <c r="E1651" s="58"/>
      <c r="F1651" s="88"/>
      <c r="G1651" s="58"/>
      <c r="H1651" s="88"/>
      <c r="I1651" s="91"/>
      <c r="J1651" s="58"/>
      <c r="K1651" s="244"/>
      <c r="L1651" s="93"/>
      <c r="M1651" s="58"/>
      <c r="N1651" s="62"/>
      <c r="O1651" s="245"/>
      <c r="P1651" s="62"/>
      <c r="Q1651" s="58"/>
      <c r="R1651" s="88"/>
      <c r="S1651" s="88"/>
    </row>
    <row r="1652">
      <c r="A1652" s="58"/>
      <c r="B1652" s="58"/>
      <c r="C1652" s="58"/>
      <c r="D1652" s="58"/>
      <c r="E1652" s="58"/>
      <c r="F1652" s="88"/>
      <c r="G1652" s="58"/>
      <c r="H1652" s="88"/>
      <c r="I1652" s="91"/>
      <c r="J1652" s="58"/>
      <c r="K1652" s="244"/>
      <c r="L1652" s="93"/>
      <c r="M1652" s="58"/>
      <c r="N1652" s="62"/>
      <c r="O1652" s="245"/>
      <c r="P1652" s="62"/>
      <c r="Q1652" s="58"/>
      <c r="R1652" s="88"/>
      <c r="S1652" s="88"/>
    </row>
    <row r="1653">
      <c r="A1653" s="58"/>
      <c r="B1653" s="58"/>
      <c r="C1653" s="58"/>
      <c r="D1653" s="58"/>
      <c r="E1653" s="58"/>
      <c r="F1653" s="88"/>
      <c r="G1653" s="58"/>
      <c r="H1653" s="88"/>
      <c r="I1653" s="91"/>
      <c r="J1653" s="58"/>
      <c r="K1653" s="244"/>
      <c r="L1653" s="93"/>
      <c r="M1653" s="58"/>
      <c r="N1653" s="62"/>
      <c r="O1653" s="245"/>
      <c r="P1653" s="62"/>
      <c r="Q1653" s="58"/>
      <c r="R1653" s="88"/>
      <c r="S1653" s="88"/>
    </row>
    <row r="1654">
      <c r="A1654" s="58"/>
      <c r="B1654" s="58"/>
      <c r="C1654" s="58"/>
      <c r="D1654" s="58"/>
      <c r="E1654" s="58"/>
      <c r="F1654" s="88"/>
      <c r="G1654" s="58"/>
      <c r="H1654" s="88"/>
      <c r="I1654" s="91"/>
      <c r="J1654" s="58"/>
      <c r="K1654" s="244"/>
      <c r="L1654" s="93"/>
      <c r="M1654" s="58"/>
      <c r="N1654" s="62"/>
      <c r="O1654" s="245"/>
      <c r="P1654" s="62"/>
      <c r="Q1654" s="58"/>
      <c r="R1654" s="88"/>
      <c r="S1654" s="88"/>
    </row>
    <row r="1655">
      <c r="A1655" s="58"/>
      <c r="B1655" s="58"/>
      <c r="C1655" s="58"/>
      <c r="D1655" s="58"/>
      <c r="E1655" s="58"/>
      <c r="F1655" s="88"/>
      <c r="G1655" s="58"/>
      <c r="H1655" s="88"/>
      <c r="I1655" s="91"/>
      <c r="J1655" s="58"/>
      <c r="K1655" s="244"/>
      <c r="L1655" s="93"/>
      <c r="M1655" s="58"/>
      <c r="N1655" s="62"/>
      <c r="O1655" s="245"/>
      <c r="P1655" s="62"/>
      <c r="Q1655" s="58"/>
      <c r="R1655" s="88"/>
      <c r="S1655" s="88"/>
    </row>
    <row r="1656">
      <c r="A1656" s="58"/>
      <c r="B1656" s="58"/>
      <c r="C1656" s="58"/>
      <c r="D1656" s="58"/>
      <c r="E1656" s="58"/>
      <c r="F1656" s="88"/>
      <c r="G1656" s="58"/>
      <c r="H1656" s="88"/>
      <c r="I1656" s="91"/>
      <c r="J1656" s="58"/>
      <c r="K1656" s="244"/>
      <c r="L1656" s="93"/>
      <c r="M1656" s="58"/>
      <c r="N1656" s="62"/>
      <c r="O1656" s="245"/>
      <c r="P1656" s="62"/>
      <c r="Q1656" s="58"/>
      <c r="R1656" s="88"/>
      <c r="S1656" s="88"/>
    </row>
    <row r="1657">
      <c r="A1657" s="58"/>
      <c r="B1657" s="58"/>
      <c r="C1657" s="58"/>
      <c r="D1657" s="58"/>
      <c r="E1657" s="58"/>
      <c r="F1657" s="88"/>
      <c r="G1657" s="58"/>
      <c r="H1657" s="88"/>
      <c r="I1657" s="91"/>
      <c r="J1657" s="58"/>
      <c r="K1657" s="244"/>
      <c r="L1657" s="93"/>
      <c r="M1657" s="58"/>
      <c r="N1657" s="62"/>
      <c r="O1657" s="245"/>
      <c r="P1657" s="62"/>
      <c r="Q1657" s="58"/>
      <c r="R1657" s="88"/>
      <c r="S1657" s="88"/>
    </row>
    <row r="1658">
      <c r="A1658" s="58"/>
      <c r="B1658" s="58"/>
      <c r="C1658" s="58"/>
      <c r="D1658" s="58"/>
      <c r="E1658" s="58"/>
      <c r="F1658" s="88"/>
      <c r="G1658" s="58"/>
      <c r="H1658" s="88"/>
      <c r="I1658" s="91"/>
      <c r="J1658" s="58"/>
      <c r="K1658" s="244"/>
      <c r="L1658" s="93"/>
      <c r="M1658" s="58"/>
      <c r="N1658" s="62"/>
      <c r="O1658" s="245"/>
      <c r="P1658" s="62"/>
      <c r="Q1658" s="58"/>
      <c r="R1658" s="88"/>
      <c r="S1658" s="88"/>
    </row>
    <row r="1659">
      <c r="A1659" s="58"/>
      <c r="B1659" s="58"/>
      <c r="C1659" s="58"/>
      <c r="D1659" s="58"/>
      <c r="E1659" s="58"/>
      <c r="F1659" s="88"/>
      <c r="G1659" s="58"/>
      <c r="H1659" s="88"/>
      <c r="I1659" s="91"/>
      <c r="J1659" s="58"/>
      <c r="K1659" s="244"/>
      <c r="L1659" s="93"/>
      <c r="M1659" s="58"/>
      <c r="N1659" s="62"/>
      <c r="O1659" s="245"/>
      <c r="P1659" s="62"/>
      <c r="Q1659" s="58"/>
      <c r="R1659" s="88"/>
      <c r="S1659" s="88"/>
    </row>
    <row r="1660">
      <c r="A1660" s="58"/>
      <c r="B1660" s="58"/>
      <c r="C1660" s="58"/>
      <c r="D1660" s="58"/>
      <c r="E1660" s="58"/>
      <c r="F1660" s="88"/>
      <c r="G1660" s="58"/>
      <c r="H1660" s="88"/>
      <c r="I1660" s="91"/>
      <c r="J1660" s="58"/>
      <c r="K1660" s="244"/>
      <c r="L1660" s="93"/>
      <c r="M1660" s="58"/>
      <c r="N1660" s="62"/>
      <c r="O1660" s="245"/>
      <c r="P1660" s="62"/>
      <c r="Q1660" s="58"/>
      <c r="R1660" s="88"/>
      <c r="S1660" s="88"/>
    </row>
    <row r="1661">
      <c r="A1661" s="58"/>
      <c r="B1661" s="58"/>
      <c r="C1661" s="58"/>
      <c r="D1661" s="58"/>
      <c r="E1661" s="58"/>
      <c r="F1661" s="88"/>
      <c r="G1661" s="58"/>
      <c r="H1661" s="88"/>
      <c r="I1661" s="91"/>
      <c r="J1661" s="58"/>
      <c r="K1661" s="244"/>
      <c r="L1661" s="93"/>
      <c r="M1661" s="58"/>
      <c r="N1661" s="62"/>
      <c r="O1661" s="245"/>
      <c r="P1661" s="62"/>
      <c r="Q1661" s="58"/>
      <c r="R1661" s="88"/>
      <c r="S1661" s="88"/>
    </row>
    <row r="1662">
      <c r="A1662" s="58"/>
      <c r="B1662" s="58"/>
      <c r="C1662" s="58"/>
      <c r="D1662" s="58"/>
      <c r="E1662" s="58"/>
      <c r="F1662" s="88"/>
      <c r="G1662" s="58"/>
      <c r="H1662" s="88"/>
      <c r="I1662" s="91"/>
      <c r="J1662" s="58"/>
      <c r="K1662" s="244"/>
      <c r="L1662" s="93"/>
      <c r="M1662" s="58"/>
      <c r="N1662" s="62"/>
      <c r="O1662" s="245"/>
      <c r="P1662" s="62"/>
      <c r="Q1662" s="58"/>
      <c r="R1662" s="88"/>
      <c r="S1662" s="88"/>
    </row>
    <row r="1663">
      <c r="A1663" s="58"/>
      <c r="B1663" s="58"/>
      <c r="C1663" s="58"/>
      <c r="D1663" s="58"/>
      <c r="E1663" s="58"/>
      <c r="F1663" s="88"/>
      <c r="G1663" s="58"/>
      <c r="H1663" s="88"/>
      <c r="I1663" s="91"/>
      <c r="J1663" s="58"/>
      <c r="K1663" s="244"/>
      <c r="L1663" s="93"/>
      <c r="M1663" s="58"/>
      <c r="N1663" s="62"/>
      <c r="O1663" s="245"/>
      <c r="P1663" s="62"/>
      <c r="Q1663" s="58"/>
      <c r="R1663" s="88"/>
      <c r="S1663" s="88"/>
    </row>
    <row r="1664">
      <c r="A1664" s="58"/>
      <c r="B1664" s="58"/>
      <c r="C1664" s="58"/>
      <c r="D1664" s="58"/>
      <c r="E1664" s="58"/>
      <c r="F1664" s="88"/>
      <c r="G1664" s="58"/>
      <c r="H1664" s="88"/>
      <c r="I1664" s="91"/>
      <c r="J1664" s="58"/>
      <c r="K1664" s="244"/>
      <c r="L1664" s="93"/>
      <c r="M1664" s="58"/>
      <c r="N1664" s="62"/>
      <c r="O1664" s="245"/>
      <c r="P1664" s="62"/>
      <c r="Q1664" s="58"/>
      <c r="R1664" s="88"/>
      <c r="S1664" s="88"/>
    </row>
    <row r="1665">
      <c r="A1665" s="58"/>
      <c r="B1665" s="58"/>
      <c r="C1665" s="58"/>
      <c r="D1665" s="58"/>
      <c r="E1665" s="58"/>
      <c r="F1665" s="88"/>
      <c r="G1665" s="58"/>
      <c r="H1665" s="88"/>
      <c r="I1665" s="91"/>
      <c r="J1665" s="58"/>
      <c r="K1665" s="244"/>
      <c r="L1665" s="93"/>
      <c r="M1665" s="58"/>
      <c r="N1665" s="62"/>
      <c r="O1665" s="245"/>
      <c r="P1665" s="62"/>
      <c r="Q1665" s="58"/>
      <c r="R1665" s="88"/>
      <c r="S1665" s="88"/>
    </row>
    <row r="1666">
      <c r="A1666" s="58"/>
      <c r="B1666" s="58"/>
      <c r="C1666" s="58"/>
      <c r="D1666" s="58"/>
      <c r="E1666" s="58"/>
      <c r="F1666" s="88"/>
      <c r="G1666" s="58"/>
      <c r="H1666" s="88"/>
      <c r="I1666" s="91"/>
      <c r="J1666" s="58"/>
      <c r="K1666" s="244"/>
      <c r="L1666" s="93"/>
      <c r="M1666" s="58"/>
      <c r="N1666" s="62"/>
      <c r="O1666" s="245"/>
      <c r="P1666" s="62"/>
      <c r="Q1666" s="58"/>
      <c r="R1666" s="88"/>
      <c r="S1666" s="88"/>
    </row>
    <row r="1667">
      <c r="A1667" s="58"/>
      <c r="B1667" s="58"/>
      <c r="C1667" s="58"/>
      <c r="D1667" s="58"/>
      <c r="E1667" s="58"/>
      <c r="F1667" s="88"/>
      <c r="G1667" s="58"/>
      <c r="H1667" s="88"/>
      <c r="I1667" s="91"/>
      <c r="J1667" s="58"/>
      <c r="K1667" s="244"/>
      <c r="L1667" s="93"/>
      <c r="M1667" s="58"/>
      <c r="N1667" s="62"/>
      <c r="O1667" s="245"/>
      <c r="P1667" s="62"/>
      <c r="Q1667" s="58"/>
      <c r="R1667" s="88"/>
      <c r="S1667" s="88"/>
    </row>
    <row r="1668">
      <c r="A1668" s="58"/>
      <c r="B1668" s="58"/>
      <c r="C1668" s="58"/>
      <c r="D1668" s="58"/>
      <c r="E1668" s="58"/>
      <c r="F1668" s="88"/>
      <c r="G1668" s="58"/>
      <c r="H1668" s="88"/>
      <c r="I1668" s="91"/>
      <c r="J1668" s="58"/>
      <c r="K1668" s="244"/>
      <c r="L1668" s="93"/>
      <c r="M1668" s="58"/>
      <c r="N1668" s="62"/>
      <c r="O1668" s="245"/>
      <c r="P1668" s="62"/>
      <c r="Q1668" s="58"/>
      <c r="R1668" s="88"/>
      <c r="S1668" s="88"/>
    </row>
    <row r="1669">
      <c r="A1669" s="58"/>
      <c r="B1669" s="58"/>
      <c r="C1669" s="58"/>
      <c r="D1669" s="58"/>
      <c r="E1669" s="58"/>
      <c r="F1669" s="88"/>
      <c r="G1669" s="58"/>
      <c r="H1669" s="88"/>
      <c r="I1669" s="91"/>
      <c r="J1669" s="58"/>
      <c r="K1669" s="244"/>
      <c r="L1669" s="93"/>
      <c r="M1669" s="58"/>
      <c r="N1669" s="62"/>
      <c r="O1669" s="245"/>
      <c r="P1669" s="62"/>
      <c r="Q1669" s="58"/>
      <c r="R1669" s="88"/>
      <c r="S1669" s="88"/>
    </row>
    <row r="1670">
      <c r="A1670" s="58"/>
      <c r="B1670" s="58"/>
      <c r="C1670" s="58"/>
      <c r="D1670" s="58"/>
      <c r="E1670" s="58"/>
      <c r="F1670" s="88"/>
      <c r="G1670" s="58"/>
      <c r="H1670" s="88"/>
      <c r="I1670" s="91"/>
      <c r="J1670" s="58"/>
      <c r="K1670" s="244"/>
      <c r="L1670" s="93"/>
      <c r="M1670" s="58"/>
      <c r="N1670" s="62"/>
      <c r="O1670" s="245"/>
      <c r="P1670" s="62"/>
      <c r="Q1670" s="58"/>
      <c r="R1670" s="88"/>
      <c r="S1670" s="88"/>
    </row>
    <row r="1671">
      <c r="A1671" s="58"/>
      <c r="B1671" s="58"/>
      <c r="C1671" s="58"/>
      <c r="D1671" s="58"/>
      <c r="E1671" s="58"/>
      <c r="F1671" s="88"/>
      <c r="G1671" s="58"/>
      <c r="H1671" s="88"/>
      <c r="I1671" s="91"/>
      <c r="J1671" s="58"/>
      <c r="K1671" s="244"/>
      <c r="L1671" s="93"/>
      <c r="M1671" s="58"/>
      <c r="N1671" s="62"/>
      <c r="O1671" s="245"/>
      <c r="P1671" s="62"/>
      <c r="Q1671" s="58"/>
      <c r="R1671" s="88"/>
      <c r="S1671" s="88"/>
    </row>
    <row r="1672">
      <c r="A1672" s="58"/>
      <c r="B1672" s="58"/>
      <c r="C1672" s="58"/>
      <c r="D1672" s="58"/>
      <c r="E1672" s="58"/>
      <c r="F1672" s="88"/>
      <c r="G1672" s="58"/>
      <c r="H1672" s="88"/>
      <c r="I1672" s="91"/>
      <c r="J1672" s="58"/>
      <c r="K1672" s="244"/>
      <c r="L1672" s="93"/>
      <c r="M1672" s="58"/>
      <c r="N1672" s="62"/>
      <c r="O1672" s="245"/>
      <c r="P1672" s="62"/>
      <c r="Q1672" s="58"/>
      <c r="R1672" s="88"/>
      <c r="S1672" s="88"/>
    </row>
    <row r="1673">
      <c r="A1673" s="58"/>
      <c r="B1673" s="58"/>
      <c r="C1673" s="58"/>
      <c r="D1673" s="58"/>
      <c r="E1673" s="58"/>
      <c r="F1673" s="88"/>
      <c r="G1673" s="58"/>
      <c r="H1673" s="88"/>
      <c r="I1673" s="91"/>
      <c r="J1673" s="58"/>
      <c r="K1673" s="244"/>
      <c r="L1673" s="93"/>
      <c r="M1673" s="58"/>
      <c r="N1673" s="62"/>
      <c r="O1673" s="245"/>
      <c r="P1673" s="62"/>
      <c r="Q1673" s="58"/>
      <c r="R1673" s="88"/>
      <c r="S1673" s="88"/>
    </row>
    <row r="1674">
      <c r="A1674" s="58"/>
      <c r="B1674" s="58"/>
      <c r="C1674" s="58"/>
      <c r="D1674" s="58"/>
      <c r="E1674" s="58"/>
      <c r="F1674" s="88"/>
      <c r="G1674" s="58"/>
      <c r="H1674" s="88"/>
      <c r="I1674" s="91"/>
      <c r="J1674" s="58"/>
      <c r="K1674" s="244"/>
      <c r="L1674" s="93"/>
      <c r="M1674" s="58"/>
      <c r="N1674" s="62"/>
      <c r="O1674" s="245"/>
      <c r="P1674" s="62"/>
      <c r="Q1674" s="58"/>
      <c r="R1674" s="88"/>
      <c r="S1674" s="88"/>
    </row>
    <row r="1675">
      <c r="A1675" s="58"/>
      <c r="B1675" s="58"/>
      <c r="C1675" s="58"/>
      <c r="D1675" s="58"/>
      <c r="E1675" s="58"/>
      <c r="F1675" s="88"/>
      <c r="G1675" s="58"/>
      <c r="H1675" s="88"/>
      <c r="I1675" s="91"/>
      <c r="J1675" s="58"/>
      <c r="K1675" s="244"/>
      <c r="L1675" s="93"/>
      <c r="M1675" s="58"/>
      <c r="N1675" s="62"/>
      <c r="O1675" s="245"/>
      <c r="P1675" s="62"/>
      <c r="Q1675" s="58"/>
      <c r="R1675" s="88"/>
      <c r="S1675" s="88"/>
    </row>
    <row r="1676">
      <c r="A1676" s="58"/>
      <c r="B1676" s="58"/>
      <c r="C1676" s="58"/>
      <c r="D1676" s="58"/>
      <c r="E1676" s="58"/>
      <c r="F1676" s="88"/>
      <c r="G1676" s="58"/>
      <c r="H1676" s="88"/>
      <c r="I1676" s="91"/>
      <c r="J1676" s="58"/>
      <c r="K1676" s="244"/>
      <c r="L1676" s="93"/>
      <c r="M1676" s="58"/>
      <c r="N1676" s="62"/>
      <c r="O1676" s="245"/>
      <c r="P1676" s="62"/>
      <c r="Q1676" s="58"/>
      <c r="R1676" s="88"/>
      <c r="S1676" s="88"/>
    </row>
    <row r="1677">
      <c r="A1677" s="58"/>
      <c r="B1677" s="58"/>
      <c r="C1677" s="58"/>
      <c r="D1677" s="58"/>
      <c r="E1677" s="58"/>
      <c r="F1677" s="88"/>
      <c r="G1677" s="58"/>
      <c r="H1677" s="88"/>
      <c r="I1677" s="91"/>
      <c r="J1677" s="58"/>
      <c r="K1677" s="244"/>
      <c r="L1677" s="93"/>
      <c r="M1677" s="58"/>
      <c r="N1677" s="62"/>
      <c r="O1677" s="245"/>
      <c r="P1677" s="62"/>
      <c r="Q1677" s="58"/>
      <c r="R1677" s="88"/>
      <c r="S1677" s="88"/>
    </row>
    <row r="1678">
      <c r="A1678" s="58"/>
      <c r="B1678" s="58"/>
      <c r="C1678" s="58"/>
      <c r="D1678" s="58"/>
      <c r="E1678" s="58"/>
      <c r="F1678" s="88"/>
      <c r="G1678" s="58"/>
      <c r="H1678" s="88"/>
      <c r="I1678" s="91"/>
      <c r="J1678" s="58"/>
      <c r="K1678" s="244"/>
      <c r="L1678" s="93"/>
      <c r="M1678" s="58"/>
      <c r="N1678" s="62"/>
      <c r="O1678" s="245"/>
      <c r="P1678" s="62"/>
      <c r="Q1678" s="58"/>
      <c r="R1678" s="88"/>
      <c r="S1678" s="88"/>
    </row>
    <row r="1679">
      <c r="A1679" s="58"/>
      <c r="B1679" s="58"/>
      <c r="C1679" s="58"/>
      <c r="D1679" s="58"/>
      <c r="E1679" s="58"/>
      <c r="F1679" s="88"/>
      <c r="G1679" s="58"/>
      <c r="H1679" s="88"/>
      <c r="I1679" s="91"/>
      <c r="J1679" s="58"/>
      <c r="K1679" s="244"/>
      <c r="L1679" s="93"/>
      <c r="M1679" s="58"/>
      <c r="N1679" s="62"/>
      <c r="O1679" s="245"/>
      <c r="P1679" s="62"/>
      <c r="Q1679" s="58"/>
      <c r="R1679" s="88"/>
      <c r="S1679" s="88"/>
    </row>
    <row r="1680">
      <c r="A1680" s="58"/>
      <c r="B1680" s="58"/>
      <c r="C1680" s="58"/>
      <c r="D1680" s="58"/>
      <c r="E1680" s="58"/>
      <c r="F1680" s="88"/>
      <c r="G1680" s="58"/>
      <c r="H1680" s="88"/>
      <c r="I1680" s="91"/>
      <c r="J1680" s="58"/>
      <c r="K1680" s="244"/>
      <c r="L1680" s="93"/>
      <c r="M1680" s="58"/>
      <c r="N1680" s="62"/>
      <c r="O1680" s="245"/>
      <c r="P1680" s="62"/>
      <c r="Q1680" s="58"/>
      <c r="R1680" s="88"/>
      <c r="S1680" s="88"/>
    </row>
    <row r="1681">
      <c r="A1681" s="58"/>
      <c r="B1681" s="58"/>
      <c r="C1681" s="58"/>
      <c r="D1681" s="58"/>
      <c r="E1681" s="58"/>
      <c r="F1681" s="88"/>
      <c r="G1681" s="58"/>
      <c r="H1681" s="88"/>
      <c r="I1681" s="91"/>
      <c r="J1681" s="58"/>
      <c r="K1681" s="244"/>
      <c r="L1681" s="93"/>
      <c r="M1681" s="58"/>
      <c r="N1681" s="62"/>
      <c r="O1681" s="245"/>
      <c r="P1681" s="62"/>
      <c r="Q1681" s="58"/>
      <c r="R1681" s="88"/>
      <c r="S1681" s="88"/>
    </row>
    <row r="1682">
      <c r="A1682" s="58"/>
      <c r="B1682" s="58"/>
      <c r="C1682" s="58"/>
      <c r="D1682" s="58"/>
      <c r="E1682" s="58"/>
      <c r="F1682" s="88"/>
      <c r="G1682" s="58"/>
      <c r="H1682" s="88"/>
      <c r="I1682" s="91"/>
      <c r="J1682" s="58"/>
      <c r="K1682" s="244"/>
      <c r="L1682" s="93"/>
      <c r="M1682" s="58"/>
      <c r="N1682" s="62"/>
      <c r="O1682" s="245"/>
      <c r="P1682" s="62"/>
      <c r="Q1682" s="58"/>
      <c r="R1682" s="88"/>
      <c r="S1682" s="88"/>
    </row>
    <row r="1683">
      <c r="A1683" s="58"/>
      <c r="B1683" s="58"/>
      <c r="C1683" s="58"/>
      <c r="D1683" s="58"/>
      <c r="E1683" s="58"/>
      <c r="F1683" s="88"/>
      <c r="G1683" s="58"/>
      <c r="H1683" s="88"/>
      <c r="I1683" s="91"/>
      <c r="J1683" s="58"/>
      <c r="K1683" s="244"/>
      <c r="L1683" s="93"/>
      <c r="M1683" s="58"/>
      <c r="N1683" s="62"/>
      <c r="O1683" s="245"/>
      <c r="P1683" s="62"/>
      <c r="Q1683" s="58"/>
      <c r="R1683" s="88"/>
      <c r="S1683" s="88"/>
    </row>
    <row r="1684">
      <c r="A1684" s="58"/>
      <c r="B1684" s="58"/>
      <c r="C1684" s="58"/>
      <c r="D1684" s="58"/>
      <c r="E1684" s="58"/>
      <c r="F1684" s="88"/>
      <c r="G1684" s="58"/>
      <c r="H1684" s="88"/>
      <c r="I1684" s="91"/>
      <c r="J1684" s="58"/>
      <c r="K1684" s="244"/>
      <c r="L1684" s="93"/>
      <c r="M1684" s="58"/>
      <c r="N1684" s="62"/>
      <c r="O1684" s="245"/>
      <c r="P1684" s="62"/>
      <c r="Q1684" s="58"/>
      <c r="R1684" s="88"/>
      <c r="S1684" s="88"/>
    </row>
    <row r="1685">
      <c r="A1685" s="58"/>
      <c r="B1685" s="58"/>
      <c r="C1685" s="58"/>
      <c r="D1685" s="58"/>
      <c r="E1685" s="58"/>
      <c r="F1685" s="88"/>
      <c r="G1685" s="58"/>
      <c r="H1685" s="88"/>
      <c r="I1685" s="91"/>
      <c r="J1685" s="58"/>
      <c r="K1685" s="244"/>
      <c r="L1685" s="93"/>
      <c r="M1685" s="58"/>
      <c r="N1685" s="62"/>
      <c r="O1685" s="245"/>
      <c r="P1685" s="62"/>
      <c r="Q1685" s="58"/>
      <c r="R1685" s="88"/>
      <c r="S1685" s="88"/>
    </row>
    <row r="1686">
      <c r="A1686" s="58"/>
      <c r="B1686" s="58"/>
      <c r="C1686" s="58"/>
      <c r="D1686" s="58"/>
      <c r="E1686" s="58"/>
      <c r="F1686" s="88"/>
      <c r="G1686" s="58"/>
      <c r="H1686" s="88"/>
      <c r="I1686" s="91"/>
      <c r="J1686" s="58"/>
      <c r="K1686" s="244"/>
      <c r="L1686" s="93"/>
      <c r="M1686" s="58"/>
      <c r="N1686" s="62"/>
      <c r="O1686" s="245"/>
      <c r="P1686" s="62"/>
      <c r="Q1686" s="58"/>
      <c r="R1686" s="88"/>
      <c r="S1686" s="88"/>
    </row>
    <row r="1687">
      <c r="A1687" s="58"/>
      <c r="B1687" s="58"/>
      <c r="C1687" s="58"/>
      <c r="D1687" s="58"/>
      <c r="E1687" s="58"/>
      <c r="F1687" s="88"/>
      <c r="G1687" s="58"/>
      <c r="H1687" s="88"/>
      <c r="I1687" s="91"/>
      <c r="J1687" s="58"/>
      <c r="K1687" s="244"/>
      <c r="L1687" s="93"/>
      <c r="M1687" s="58"/>
      <c r="N1687" s="62"/>
      <c r="O1687" s="245"/>
      <c r="P1687" s="62"/>
      <c r="Q1687" s="58"/>
      <c r="R1687" s="88"/>
      <c r="S1687" s="88"/>
    </row>
    <row r="1688">
      <c r="A1688" s="58"/>
      <c r="B1688" s="58"/>
      <c r="C1688" s="58"/>
      <c r="D1688" s="58"/>
      <c r="E1688" s="58"/>
      <c r="F1688" s="88"/>
      <c r="G1688" s="58"/>
      <c r="H1688" s="88"/>
      <c r="I1688" s="91"/>
      <c r="J1688" s="58"/>
      <c r="K1688" s="244"/>
      <c r="L1688" s="93"/>
      <c r="M1688" s="58"/>
      <c r="N1688" s="62"/>
      <c r="O1688" s="245"/>
      <c r="P1688" s="62"/>
      <c r="Q1688" s="58"/>
      <c r="R1688" s="88"/>
      <c r="S1688" s="88"/>
    </row>
    <row r="1689">
      <c r="A1689" s="58"/>
      <c r="B1689" s="58"/>
      <c r="C1689" s="58"/>
      <c r="D1689" s="58"/>
      <c r="E1689" s="58"/>
      <c r="F1689" s="88"/>
      <c r="G1689" s="58"/>
      <c r="H1689" s="88"/>
      <c r="I1689" s="91"/>
      <c r="J1689" s="58"/>
      <c r="K1689" s="244"/>
      <c r="L1689" s="93"/>
      <c r="M1689" s="58"/>
      <c r="N1689" s="62"/>
      <c r="O1689" s="245"/>
      <c r="P1689" s="62"/>
      <c r="Q1689" s="58"/>
      <c r="R1689" s="88"/>
      <c r="S1689" s="88"/>
    </row>
    <row r="1690">
      <c r="A1690" s="58"/>
      <c r="B1690" s="58"/>
      <c r="C1690" s="58"/>
      <c r="D1690" s="58"/>
      <c r="E1690" s="58"/>
      <c r="F1690" s="88"/>
      <c r="G1690" s="58"/>
      <c r="H1690" s="88"/>
      <c r="I1690" s="91"/>
      <c r="J1690" s="58"/>
      <c r="K1690" s="244"/>
      <c r="L1690" s="93"/>
      <c r="M1690" s="58"/>
      <c r="N1690" s="62"/>
      <c r="O1690" s="245"/>
      <c r="P1690" s="62"/>
      <c r="Q1690" s="58"/>
      <c r="R1690" s="88"/>
      <c r="S1690" s="88"/>
    </row>
    <row r="1691">
      <c r="A1691" s="58"/>
      <c r="B1691" s="58"/>
      <c r="C1691" s="58"/>
      <c r="D1691" s="58"/>
      <c r="E1691" s="58"/>
      <c r="F1691" s="88"/>
      <c r="G1691" s="58"/>
      <c r="H1691" s="88"/>
      <c r="I1691" s="91"/>
      <c r="J1691" s="58"/>
      <c r="K1691" s="244"/>
      <c r="L1691" s="93"/>
      <c r="M1691" s="58"/>
      <c r="N1691" s="62"/>
      <c r="O1691" s="245"/>
      <c r="P1691" s="62"/>
      <c r="Q1691" s="58"/>
      <c r="R1691" s="88"/>
      <c r="S1691" s="88"/>
    </row>
    <row r="1692">
      <c r="A1692" s="58"/>
      <c r="B1692" s="58"/>
      <c r="C1692" s="58"/>
      <c r="D1692" s="58"/>
      <c r="E1692" s="58"/>
      <c r="F1692" s="88"/>
      <c r="G1692" s="58"/>
      <c r="H1692" s="88"/>
      <c r="I1692" s="91"/>
      <c r="J1692" s="58"/>
      <c r="K1692" s="244"/>
      <c r="L1692" s="93"/>
      <c r="M1692" s="58"/>
      <c r="N1692" s="62"/>
      <c r="O1692" s="245"/>
      <c r="P1692" s="62"/>
      <c r="Q1692" s="58"/>
      <c r="R1692" s="88"/>
      <c r="S1692" s="88"/>
    </row>
    <row r="1693">
      <c r="A1693" s="58"/>
      <c r="B1693" s="58"/>
      <c r="C1693" s="58"/>
      <c r="D1693" s="58"/>
      <c r="E1693" s="58"/>
      <c r="F1693" s="88"/>
      <c r="G1693" s="58"/>
      <c r="H1693" s="88"/>
      <c r="I1693" s="91"/>
      <c r="J1693" s="58"/>
      <c r="K1693" s="244"/>
      <c r="L1693" s="93"/>
      <c r="M1693" s="58"/>
      <c r="N1693" s="62"/>
      <c r="O1693" s="245"/>
      <c r="P1693" s="62"/>
      <c r="Q1693" s="58"/>
      <c r="R1693" s="88"/>
      <c r="S1693" s="88"/>
    </row>
    <row r="1694">
      <c r="A1694" s="58"/>
      <c r="B1694" s="58"/>
      <c r="C1694" s="58"/>
      <c r="D1694" s="58"/>
      <c r="E1694" s="58"/>
      <c r="F1694" s="88"/>
      <c r="G1694" s="58"/>
      <c r="H1694" s="88"/>
      <c r="I1694" s="91"/>
      <c r="J1694" s="58"/>
      <c r="K1694" s="244"/>
      <c r="L1694" s="93"/>
      <c r="M1694" s="58"/>
      <c r="N1694" s="62"/>
      <c r="O1694" s="245"/>
      <c r="P1694" s="62"/>
      <c r="Q1694" s="58"/>
      <c r="R1694" s="88"/>
      <c r="S1694" s="88"/>
    </row>
    <row r="1695">
      <c r="A1695" s="58"/>
      <c r="B1695" s="58"/>
      <c r="C1695" s="58"/>
      <c r="D1695" s="58"/>
      <c r="E1695" s="58"/>
      <c r="F1695" s="88"/>
      <c r="G1695" s="58"/>
      <c r="H1695" s="88"/>
      <c r="I1695" s="91"/>
      <c r="J1695" s="58"/>
      <c r="K1695" s="244"/>
      <c r="L1695" s="93"/>
      <c r="M1695" s="58"/>
      <c r="N1695" s="62"/>
      <c r="O1695" s="245"/>
      <c r="P1695" s="62"/>
      <c r="Q1695" s="58"/>
      <c r="R1695" s="88"/>
      <c r="S1695" s="88"/>
    </row>
    <row r="1696">
      <c r="A1696" s="58"/>
      <c r="B1696" s="58"/>
      <c r="C1696" s="58"/>
      <c r="D1696" s="58"/>
      <c r="E1696" s="58"/>
      <c r="F1696" s="88"/>
      <c r="G1696" s="58"/>
      <c r="H1696" s="88"/>
      <c r="I1696" s="91"/>
      <c r="J1696" s="58"/>
      <c r="K1696" s="244"/>
      <c r="L1696" s="93"/>
      <c r="M1696" s="58"/>
      <c r="N1696" s="62"/>
      <c r="O1696" s="245"/>
      <c r="P1696" s="62"/>
      <c r="Q1696" s="58"/>
      <c r="R1696" s="88"/>
      <c r="S1696" s="88"/>
    </row>
    <row r="1697">
      <c r="A1697" s="58"/>
      <c r="B1697" s="58"/>
      <c r="C1697" s="58"/>
      <c r="D1697" s="58"/>
      <c r="E1697" s="58"/>
      <c r="F1697" s="88"/>
      <c r="G1697" s="58"/>
      <c r="H1697" s="88"/>
      <c r="I1697" s="91"/>
      <c r="J1697" s="58"/>
      <c r="K1697" s="244"/>
      <c r="L1697" s="93"/>
      <c r="M1697" s="58"/>
      <c r="N1697" s="62"/>
      <c r="O1697" s="245"/>
      <c r="P1697" s="62"/>
      <c r="Q1697" s="58"/>
      <c r="R1697" s="88"/>
      <c r="S1697" s="88"/>
    </row>
    <row r="1698">
      <c r="A1698" s="58"/>
      <c r="B1698" s="58"/>
      <c r="C1698" s="58"/>
      <c r="D1698" s="58"/>
      <c r="E1698" s="58"/>
      <c r="F1698" s="88"/>
      <c r="G1698" s="58"/>
      <c r="H1698" s="88"/>
      <c r="I1698" s="91"/>
      <c r="J1698" s="58"/>
      <c r="K1698" s="244"/>
      <c r="L1698" s="93"/>
      <c r="M1698" s="58"/>
      <c r="N1698" s="62"/>
      <c r="O1698" s="245"/>
      <c r="P1698" s="62"/>
      <c r="Q1698" s="58"/>
      <c r="R1698" s="88"/>
      <c r="S1698" s="88"/>
    </row>
    <row r="1699">
      <c r="A1699" s="58"/>
      <c r="B1699" s="58"/>
      <c r="C1699" s="58"/>
      <c r="D1699" s="58"/>
      <c r="E1699" s="58"/>
      <c r="F1699" s="88"/>
      <c r="G1699" s="58"/>
      <c r="H1699" s="88"/>
      <c r="I1699" s="91"/>
      <c r="J1699" s="58"/>
      <c r="K1699" s="244"/>
      <c r="L1699" s="93"/>
      <c r="M1699" s="58"/>
      <c r="N1699" s="62"/>
      <c r="O1699" s="245"/>
      <c r="P1699" s="62"/>
      <c r="Q1699" s="58"/>
      <c r="R1699" s="88"/>
      <c r="S1699" s="88"/>
    </row>
    <row r="1700">
      <c r="A1700" s="58"/>
      <c r="B1700" s="58"/>
      <c r="C1700" s="58"/>
      <c r="D1700" s="58"/>
      <c r="E1700" s="58"/>
      <c r="F1700" s="88"/>
      <c r="G1700" s="58"/>
      <c r="H1700" s="88"/>
      <c r="I1700" s="91"/>
      <c r="J1700" s="58"/>
      <c r="K1700" s="244"/>
      <c r="L1700" s="93"/>
      <c r="M1700" s="58"/>
      <c r="N1700" s="62"/>
      <c r="O1700" s="245"/>
      <c r="P1700" s="62"/>
      <c r="Q1700" s="58"/>
      <c r="R1700" s="88"/>
      <c r="S1700" s="88"/>
    </row>
    <row r="1701">
      <c r="A1701" s="58"/>
      <c r="B1701" s="58"/>
      <c r="C1701" s="58"/>
      <c r="D1701" s="58"/>
      <c r="E1701" s="58"/>
      <c r="F1701" s="88"/>
      <c r="G1701" s="58"/>
      <c r="H1701" s="88"/>
      <c r="I1701" s="91"/>
      <c r="J1701" s="58"/>
      <c r="K1701" s="244"/>
      <c r="L1701" s="93"/>
      <c r="M1701" s="58"/>
      <c r="N1701" s="62"/>
      <c r="O1701" s="245"/>
      <c r="P1701" s="62"/>
      <c r="Q1701" s="58"/>
      <c r="R1701" s="88"/>
      <c r="S1701" s="88"/>
    </row>
    <row r="1702">
      <c r="A1702" s="58"/>
      <c r="B1702" s="58"/>
      <c r="C1702" s="58"/>
      <c r="D1702" s="58"/>
      <c r="E1702" s="58"/>
      <c r="F1702" s="88"/>
      <c r="G1702" s="58"/>
      <c r="H1702" s="88"/>
      <c r="I1702" s="91"/>
      <c r="J1702" s="58"/>
      <c r="K1702" s="244"/>
      <c r="L1702" s="93"/>
      <c r="M1702" s="58"/>
      <c r="N1702" s="62"/>
      <c r="O1702" s="245"/>
      <c r="P1702" s="62"/>
      <c r="Q1702" s="58"/>
      <c r="R1702" s="88"/>
      <c r="S1702" s="88"/>
    </row>
    <row r="1703">
      <c r="A1703" s="58"/>
      <c r="B1703" s="58"/>
      <c r="C1703" s="58"/>
      <c r="D1703" s="58"/>
      <c r="E1703" s="58"/>
      <c r="F1703" s="88"/>
      <c r="G1703" s="58"/>
      <c r="H1703" s="88"/>
      <c r="I1703" s="91"/>
      <c r="J1703" s="58"/>
      <c r="K1703" s="244"/>
      <c r="L1703" s="93"/>
      <c r="M1703" s="58"/>
      <c r="N1703" s="62"/>
      <c r="O1703" s="245"/>
      <c r="P1703" s="62"/>
      <c r="Q1703" s="58"/>
      <c r="R1703" s="88"/>
      <c r="S1703" s="88"/>
    </row>
    <row r="1704">
      <c r="A1704" s="58"/>
      <c r="B1704" s="58"/>
      <c r="C1704" s="58"/>
      <c r="D1704" s="58"/>
      <c r="E1704" s="58"/>
      <c r="F1704" s="88"/>
      <c r="G1704" s="58"/>
      <c r="H1704" s="88"/>
      <c r="I1704" s="91"/>
      <c r="J1704" s="58"/>
      <c r="K1704" s="244"/>
      <c r="L1704" s="93"/>
      <c r="M1704" s="58"/>
      <c r="N1704" s="62"/>
      <c r="O1704" s="245"/>
      <c r="P1704" s="62"/>
      <c r="Q1704" s="58"/>
      <c r="R1704" s="88"/>
      <c r="S1704" s="88"/>
    </row>
    <row r="1705">
      <c r="A1705" s="58"/>
      <c r="B1705" s="58"/>
      <c r="C1705" s="58"/>
      <c r="D1705" s="58"/>
      <c r="E1705" s="58"/>
      <c r="F1705" s="88"/>
      <c r="G1705" s="58"/>
      <c r="H1705" s="88"/>
      <c r="I1705" s="91"/>
      <c r="J1705" s="58"/>
      <c r="K1705" s="244"/>
      <c r="L1705" s="93"/>
      <c r="M1705" s="58"/>
      <c r="N1705" s="62"/>
      <c r="O1705" s="245"/>
      <c r="P1705" s="62"/>
      <c r="Q1705" s="58"/>
      <c r="R1705" s="88"/>
      <c r="S1705" s="88"/>
    </row>
    <row r="1706">
      <c r="A1706" s="58"/>
      <c r="B1706" s="58"/>
      <c r="C1706" s="58"/>
      <c r="D1706" s="58"/>
      <c r="E1706" s="58"/>
      <c r="F1706" s="88"/>
      <c r="G1706" s="58"/>
      <c r="H1706" s="88"/>
      <c r="I1706" s="91"/>
      <c r="J1706" s="58"/>
      <c r="K1706" s="244"/>
      <c r="L1706" s="93"/>
      <c r="M1706" s="58"/>
      <c r="N1706" s="62"/>
      <c r="O1706" s="245"/>
      <c r="P1706" s="62"/>
      <c r="Q1706" s="58"/>
      <c r="R1706" s="88"/>
      <c r="S1706" s="88"/>
    </row>
    <row r="1707">
      <c r="A1707" s="58"/>
      <c r="B1707" s="58"/>
      <c r="C1707" s="58"/>
      <c r="D1707" s="58"/>
      <c r="E1707" s="58"/>
      <c r="F1707" s="88"/>
      <c r="G1707" s="58"/>
      <c r="H1707" s="88"/>
      <c r="I1707" s="91"/>
      <c r="J1707" s="58"/>
      <c r="K1707" s="244"/>
      <c r="L1707" s="93"/>
      <c r="M1707" s="58"/>
      <c r="N1707" s="62"/>
      <c r="O1707" s="245"/>
      <c r="P1707" s="62"/>
      <c r="Q1707" s="58"/>
      <c r="R1707" s="88"/>
      <c r="S1707" s="88"/>
    </row>
    <row r="1708">
      <c r="A1708" s="58"/>
      <c r="B1708" s="58"/>
      <c r="C1708" s="58"/>
      <c r="D1708" s="58"/>
      <c r="E1708" s="58"/>
      <c r="F1708" s="88"/>
      <c r="G1708" s="58"/>
      <c r="H1708" s="88"/>
      <c r="I1708" s="91"/>
      <c r="J1708" s="58"/>
      <c r="K1708" s="244"/>
      <c r="L1708" s="93"/>
      <c r="M1708" s="58"/>
      <c r="N1708" s="62"/>
      <c r="O1708" s="245"/>
      <c r="P1708" s="62"/>
      <c r="Q1708" s="58"/>
      <c r="R1708" s="88"/>
      <c r="S1708" s="88"/>
    </row>
    <row r="1709">
      <c r="A1709" s="58"/>
      <c r="B1709" s="58"/>
      <c r="C1709" s="58"/>
      <c r="D1709" s="58"/>
      <c r="E1709" s="58"/>
      <c r="F1709" s="88"/>
      <c r="G1709" s="58"/>
      <c r="H1709" s="88"/>
      <c r="I1709" s="91"/>
      <c r="J1709" s="58"/>
      <c r="K1709" s="244"/>
      <c r="L1709" s="93"/>
      <c r="M1709" s="58"/>
      <c r="N1709" s="62"/>
      <c r="O1709" s="245"/>
      <c r="P1709" s="62"/>
      <c r="Q1709" s="58"/>
      <c r="R1709" s="88"/>
      <c r="S1709" s="88"/>
    </row>
    <row r="1710">
      <c r="A1710" s="58"/>
      <c r="B1710" s="58"/>
      <c r="C1710" s="58"/>
      <c r="D1710" s="58"/>
      <c r="E1710" s="58"/>
      <c r="F1710" s="88"/>
      <c r="G1710" s="58"/>
      <c r="H1710" s="88"/>
      <c r="I1710" s="91"/>
      <c r="J1710" s="58"/>
      <c r="K1710" s="244"/>
      <c r="L1710" s="93"/>
      <c r="M1710" s="58"/>
      <c r="N1710" s="62"/>
      <c r="O1710" s="245"/>
      <c r="P1710" s="62"/>
      <c r="Q1710" s="58"/>
      <c r="R1710" s="88"/>
      <c r="S1710" s="88"/>
    </row>
    <row r="1711">
      <c r="A1711" s="58"/>
      <c r="B1711" s="58"/>
      <c r="C1711" s="58"/>
      <c r="D1711" s="58"/>
      <c r="E1711" s="58"/>
      <c r="F1711" s="88"/>
      <c r="G1711" s="58"/>
      <c r="H1711" s="88"/>
      <c r="I1711" s="91"/>
      <c r="J1711" s="58"/>
      <c r="K1711" s="244"/>
      <c r="L1711" s="93"/>
      <c r="M1711" s="58"/>
      <c r="N1711" s="62"/>
      <c r="O1711" s="245"/>
      <c r="P1711" s="62"/>
      <c r="Q1711" s="58"/>
      <c r="R1711" s="88"/>
      <c r="S1711" s="88"/>
    </row>
    <row r="1712">
      <c r="A1712" s="58"/>
      <c r="B1712" s="58"/>
      <c r="C1712" s="58"/>
      <c r="D1712" s="58"/>
      <c r="E1712" s="58"/>
      <c r="F1712" s="88"/>
      <c r="G1712" s="58"/>
      <c r="H1712" s="88"/>
      <c r="I1712" s="91"/>
      <c r="J1712" s="58"/>
      <c r="K1712" s="244"/>
      <c r="L1712" s="93"/>
      <c r="M1712" s="58"/>
      <c r="N1712" s="62"/>
      <c r="O1712" s="245"/>
      <c r="P1712" s="62"/>
      <c r="Q1712" s="58"/>
      <c r="R1712" s="88"/>
      <c r="S1712" s="88"/>
    </row>
    <row r="1713">
      <c r="A1713" s="58"/>
      <c r="B1713" s="58"/>
      <c r="C1713" s="58"/>
      <c r="D1713" s="58"/>
      <c r="E1713" s="58"/>
      <c r="F1713" s="88"/>
      <c r="G1713" s="58"/>
      <c r="H1713" s="88"/>
      <c r="I1713" s="91"/>
      <c r="J1713" s="58"/>
      <c r="K1713" s="244"/>
      <c r="L1713" s="93"/>
      <c r="M1713" s="58"/>
      <c r="N1713" s="62"/>
      <c r="O1713" s="245"/>
      <c r="P1713" s="62"/>
      <c r="Q1713" s="58"/>
      <c r="R1713" s="88"/>
      <c r="S1713" s="88"/>
    </row>
    <row r="1714">
      <c r="A1714" s="58"/>
      <c r="B1714" s="58"/>
      <c r="C1714" s="58"/>
      <c r="D1714" s="58"/>
      <c r="E1714" s="58"/>
      <c r="F1714" s="88"/>
      <c r="G1714" s="58"/>
      <c r="H1714" s="88"/>
      <c r="I1714" s="91"/>
      <c r="J1714" s="58"/>
      <c r="K1714" s="244"/>
      <c r="L1714" s="93"/>
      <c r="M1714" s="58"/>
      <c r="N1714" s="62"/>
      <c r="O1714" s="245"/>
      <c r="P1714" s="62"/>
      <c r="Q1714" s="58"/>
      <c r="R1714" s="88"/>
      <c r="S1714" s="88"/>
    </row>
    <row r="1715">
      <c r="A1715" s="58"/>
      <c r="B1715" s="58"/>
      <c r="C1715" s="58"/>
      <c r="D1715" s="58"/>
      <c r="E1715" s="58"/>
      <c r="F1715" s="88"/>
      <c r="G1715" s="58"/>
      <c r="H1715" s="88"/>
      <c r="I1715" s="91"/>
      <c r="J1715" s="58"/>
      <c r="K1715" s="244"/>
      <c r="L1715" s="93"/>
      <c r="M1715" s="58"/>
      <c r="N1715" s="62"/>
      <c r="O1715" s="245"/>
      <c r="P1715" s="62"/>
      <c r="Q1715" s="58"/>
      <c r="R1715" s="88"/>
      <c r="S1715" s="88"/>
    </row>
    <row r="1716">
      <c r="A1716" s="58"/>
      <c r="B1716" s="58"/>
      <c r="C1716" s="58"/>
      <c r="D1716" s="58"/>
      <c r="E1716" s="58"/>
      <c r="F1716" s="88"/>
      <c r="G1716" s="58"/>
      <c r="H1716" s="88"/>
      <c r="I1716" s="91"/>
      <c r="J1716" s="58"/>
      <c r="K1716" s="244"/>
      <c r="L1716" s="93"/>
      <c r="M1716" s="58"/>
      <c r="N1716" s="62"/>
      <c r="O1716" s="245"/>
      <c r="P1716" s="62"/>
      <c r="Q1716" s="58"/>
      <c r="R1716" s="88"/>
      <c r="S1716" s="88"/>
    </row>
    <row r="1717">
      <c r="A1717" s="58"/>
      <c r="B1717" s="58"/>
      <c r="C1717" s="58"/>
      <c r="D1717" s="58"/>
      <c r="E1717" s="58"/>
      <c r="F1717" s="88"/>
      <c r="G1717" s="58"/>
      <c r="H1717" s="88"/>
      <c r="I1717" s="91"/>
      <c r="J1717" s="58"/>
      <c r="K1717" s="244"/>
      <c r="L1717" s="93"/>
      <c r="M1717" s="58"/>
      <c r="N1717" s="62"/>
      <c r="O1717" s="245"/>
      <c r="P1717" s="62"/>
      <c r="Q1717" s="58"/>
      <c r="R1717" s="88"/>
      <c r="S1717" s="88"/>
    </row>
    <row r="1718">
      <c r="A1718" s="58"/>
      <c r="B1718" s="58"/>
      <c r="C1718" s="58"/>
      <c r="D1718" s="58"/>
      <c r="E1718" s="58"/>
      <c r="F1718" s="88"/>
      <c r="G1718" s="58"/>
      <c r="H1718" s="88"/>
      <c r="I1718" s="91"/>
      <c r="J1718" s="58"/>
      <c r="K1718" s="244"/>
      <c r="L1718" s="93"/>
      <c r="M1718" s="58"/>
      <c r="N1718" s="62"/>
      <c r="O1718" s="245"/>
      <c r="P1718" s="62"/>
      <c r="Q1718" s="58"/>
      <c r="R1718" s="88"/>
      <c r="S1718" s="88"/>
    </row>
    <row r="1719">
      <c r="A1719" s="58"/>
      <c r="B1719" s="58"/>
      <c r="C1719" s="58"/>
      <c r="D1719" s="58"/>
      <c r="E1719" s="58"/>
      <c r="F1719" s="88"/>
      <c r="G1719" s="58"/>
      <c r="H1719" s="88"/>
      <c r="I1719" s="91"/>
      <c r="J1719" s="58"/>
      <c r="K1719" s="244"/>
      <c r="L1719" s="93"/>
      <c r="M1719" s="58"/>
      <c r="N1719" s="62"/>
      <c r="O1719" s="245"/>
      <c r="P1719" s="62"/>
      <c r="Q1719" s="58"/>
      <c r="R1719" s="88"/>
      <c r="S1719" s="88"/>
    </row>
    <row r="1720">
      <c r="A1720" s="58"/>
      <c r="B1720" s="58"/>
      <c r="C1720" s="58"/>
      <c r="D1720" s="58"/>
      <c r="E1720" s="58"/>
      <c r="F1720" s="88"/>
      <c r="G1720" s="58"/>
      <c r="H1720" s="88"/>
      <c r="I1720" s="91"/>
      <c r="J1720" s="58"/>
      <c r="K1720" s="244"/>
      <c r="L1720" s="93"/>
      <c r="M1720" s="58"/>
      <c r="N1720" s="62"/>
      <c r="O1720" s="245"/>
      <c r="P1720" s="62"/>
      <c r="Q1720" s="58"/>
      <c r="R1720" s="88"/>
      <c r="S1720" s="88"/>
    </row>
    <row r="1721">
      <c r="A1721" s="58"/>
      <c r="B1721" s="58"/>
      <c r="C1721" s="58"/>
      <c r="D1721" s="58"/>
      <c r="E1721" s="58"/>
      <c r="F1721" s="88"/>
      <c r="G1721" s="58"/>
      <c r="H1721" s="88"/>
      <c r="I1721" s="91"/>
      <c r="J1721" s="58"/>
      <c r="K1721" s="244"/>
      <c r="L1721" s="93"/>
      <c r="M1721" s="58"/>
      <c r="N1721" s="62"/>
      <c r="O1721" s="245"/>
      <c r="P1721" s="62"/>
      <c r="Q1721" s="58"/>
      <c r="R1721" s="88"/>
      <c r="S1721" s="88"/>
    </row>
    <row r="1722">
      <c r="A1722" s="58"/>
      <c r="B1722" s="58"/>
      <c r="C1722" s="58"/>
      <c r="D1722" s="58"/>
      <c r="E1722" s="58"/>
      <c r="F1722" s="88"/>
      <c r="G1722" s="58"/>
      <c r="H1722" s="88"/>
      <c r="I1722" s="91"/>
      <c r="J1722" s="58"/>
      <c r="K1722" s="244"/>
      <c r="L1722" s="93"/>
      <c r="M1722" s="58"/>
      <c r="N1722" s="62"/>
      <c r="O1722" s="245"/>
      <c r="P1722" s="62"/>
      <c r="Q1722" s="58"/>
      <c r="R1722" s="88"/>
      <c r="S1722" s="88"/>
    </row>
    <row r="1723">
      <c r="A1723" s="58"/>
      <c r="B1723" s="58"/>
      <c r="C1723" s="58"/>
      <c r="D1723" s="58"/>
      <c r="E1723" s="58"/>
      <c r="F1723" s="88"/>
      <c r="G1723" s="58"/>
      <c r="H1723" s="88"/>
      <c r="I1723" s="91"/>
      <c r="J1723" s="58"/>
      <c r="K1723" s="244"/>
      <c r="L1723" s="93"/>
      <c r="M1723" s="58"/>
      <c r="N1723" s="62"/>
      <c r="O1723" s="245"/>
      <c r="P1723" s="62"/>
      <c r="Q1723" s="58"/>
      <c r="R1723" s="88"/>
      <c r="S1723" s="88"/>
    </row>
    <row r="1724">
      <c r="A1724" s="58"/>
      <c r="B1724" s="58"/>
      <c r="C1724" s="58"/>
      <c r="D1724" s="58"/>
      <c r="E1724" s="58"/>
      <c r="F1724" s="88"/>
      <c r="G1724" s="58"/>
      <c r="H1724" s="88"/>
      <c r="I1724" s="91"/>
      <c r="J1724" s="58"/>
      <c r="K1724" s="244"/>
      <c r="L1724" s="93"/>
      <c r="M1724" s="58"/>
      <c r="N1724" s="62"/>
      <c r="O1724" s="245"/>
      <c r="P1724" s="62"/>
      <c r="Q1724" s="58"/>
      <c r="R1724" s="88"/>
      <c r="S1724" s="88"/>
    </row>
    <row r="1725">
      <c r="A1725" s="58"/>
      <c r="B1725" s="58"/>
      <c r="C1725" s="58"/>
      <c r="D1725" s="58"/>
      <c r="E1725" s="58"/>
      <c r="F1725" s="88"/>
      <c r="G1725" s="58"/>
      <c r="H1725" s="88"/>
      <c r="I1725" s="91"/>
      <c r="J1725" s="58"/>
      <c r="K1725" s="244"/>
      <c r="L1725" s="93"/>
      <c r="M1725" s="58"/>
      <c r="N1725" s="62"/>
      <c r="O1725" s="245"/>
      <c r="P1725" s="62"/>
      <c r="Q1725" s="58"/>
      <c r="R1725" s="88"/>
      <c r="S1725" s="88"/>
    </row>
    <row r="1726">
      <c r="A1726" s="58"/>
      <c r="B1726" s="58"/>
      <c r="C1726" s="58"/>
      <c r="D1726" s="58"/>
      <c r="E1726" s="58"/>
      <c r="F1726" s="88"/>
      <c r="G1726" s="58"/>
      <c r="H1726" s="88"/>
      <c r="I1726" s="91"/>
      <c r="J1726" s="58"/>
      <c r="K1726" s="244"/>
      <c r="L1726" s="93"/>
      <c r="M1726" s="58"/>
      <c r="N1726" s="62"/>
      <c r="O1726" s="245"/>
      <c r="P1726" s="62"/>
      <c r="Q1726" s="58"/>
      <c r="R1726" s="88"/>
      <c r="S1726" s="88"/>
    </row>
    <row r="1727">
      <c r="A1727" s="58"/>
      <c r="B1727" s="58"/>
      <c r="C1727" s="58"/>
      <c r="D1727" s="58"/>
      <c r="E1727" s="58"/>
      <c r="F1727" s="88"/>
      <c r="G1727" s="58"/>
      <c r="H1727" s="88"/>
      <c r="I1727" s="91"/>
      <c r="J1727" s="58"/>
      <c r="K1727" s="244"/>
      <c r="L1727" s="93"/>
      <c r="M1727" s="58"/>
      <c r="N1727" s="62"/>
      <c r="O1727" s="245"/>
      <c r="P1727" s="62"/>
      <c r="Q1727" s="58"/>
      <c r="R1727" s="88"/>
      <c r="S1727" s="88"/>
    </row>
    <row r="1728">
      <c r="A1728" s="58"/>
      <c r="B1728" s="58"/>
      <c r="C1728" s="58"/>
      <c r="D1728" s="58"/>
      <c r="E1728" s="58"/>
      <c r="F1728" s="88"/>
      <c r="G1728" s="58"/>
      <c r="H1728" s="88"/>
      <c r="I1728" s="91"/>
      <c r="J1728" s="58"/>
      <c r="K1728" s="244"/>
      <c r="L1728" s="93"/>
      <c r="M1728" s="58"/>
      <c r="N1728" s="62"/>
      <c r="O1728" s="245"/>
      <c r="P1728" s="62"/>
      <c r="Q1728" s="58"/>
      <c r="R1728" s="88"/>
      <c r="S1728" s="88"/>
    </row>
    <row r="1729">
      <c r="A1729" s="58"/>
      <c r="B1729" s="58"/>
      <c r="C1729" s="58"/>
      <c r="D1729" s="58"/>
      <c r="E1729" s="58"/>
      <c r="F1729" s="88"/>
      <c r="G1729" s="58"/>
      <c r="H1729" s="88"/>
      <c r="I1729" s="91"/>
      <c r="J1729" s="58"/>
      <c r="K1729" s="244"/>
      <c r="L1729" s="93"/>
      <c r="M1729" s="58"/>
      <c r="N1729" s="62"/>
      <c r="O1729" s="245"/>
      <c r="P1729" s="62"/>
      <c r="Q1729" s="58"/>
      <c r="R1729" s="88"/>
      <c r="S1729" s="88"/>
    </row>
    <row r="1730">
      <c r="A1730" s="58"/>
      <c r="B1730" s="58"/>
      <c r="C1730" s="58"/>
      <c r="D1730" s="58"/>
      <c r="E1730" s="58"/>
      <c r="F1730" s="88"/>
      <c r="G1730" s="58"/>
      <c r="H1730" s="88"/>
      <c r="I1730" s="91"/>
      <c r="J1730" s="58"/>
      <c r="K1730" s="244"/>
      <c r="L1730" s="93"/>
      <c r="M1730" s="58"/>
      <c r="N1730" s="62"/>
      <c r="O1730" s="245"/>
      <c r="P1730" s="62"/>
      <c r="Q1730" s="58"/>
      <c r="R1730" s="88"/>
      <c r="S1730" s="88"/>
    </row>
    <row r="1731">
      <c r="A1731" s="58"/>
      <c r="B1731" s="58"/>
      <c r="C1731" s="58"/>
      <c r="D1731" s="58"/>
      <c r="E1731" s="58"/>
      <c r="F1731" s="88"/>
      <c r="G1731" s="58"/>
      <c r="H1731" s="88"/>
      <c r="I1731" s="91"/>
      <c r="J1731" s="58"/>
      <c r="K1731" s="244"/>
      <c r="L1731" s="93"/>
      <c r="M1731" s="58"/>
      <c r="N1731" s="62"/>
      <c r="O1731" s="245"/>
      <c r="P1731" s="62"/>
      <c r="Q1731" s="58"/>
      <c r="R1731" s="88"/>
      <c r="S1731" s="88"/>
    </row>
    <row r="1732">
      <c r="A1732" s="58"/>
      <c r="B1732" s="58"/>
      <c r="C1732" s="58"/>
      <c r="D1732" s="58"/>
      <c r="E1732" s="58"/>
      <c r="F1732" s="88"/>
      <c r="G1732" s="58"/>
      <c r="H1732" s="88"/>
      <c r="I1732" s="91"/>
      <c r="J1732" s="58"/>
      <c r="K1732" s="244"/>
      <c r="L1732" s="93"/>
      <c r="M1732" s="58"/>
      <c r="N1732" s="62"/>
      <c r="O1732" s="245"/>
      <c r="P1732" s="62"/>
      <c r="Q1732" s="58"/>
      <c r="R1732" s="88"/>
      <c r="S1732" s="88"/>
    </row>
    <row r="1733">
      <c r="A1733" s="58"/>
      <c r="B1733" s="58"/>
      <c r="C1733" s="58"/>
      <c r="D1733" s="58"/>
      <c r="E1733" s="58"/>
      <c r="F1733" s="88"/>
      <c r="G1733" s="58"/>
      <c r="H1733" s="88"/>
      <c r="I1733" s="91"/>
      <c r="J1733" s="58"/>
      <c r="K1733" s="244"/>
      <c r="L1733" s="93"/>
      <c r="M1733" s="58"/>
      <c r="N1733" s="62"/>
      <c r="O1733" s="245"/>
      <c r="P1733" s="62"/>
      <c r="Q1733" s="58"/>
      <c r="R1733" s="88"/>
      <c r="S1733" s="88"/>
    </row>
    <row r="1734">
      <c r="A1734" s="58"/>
      <c r="B1734" s="58"/>
      <c r="C1734" s="58"/>
      <c r="D1734" s="58"/>
      <c r="E1734" s="58"/>
      <c r="F1734" s="88"/>
      <c r="G1734" s="58"/>
      <c r="H1734" s="88"/>
      <c r="I1734" s="91"/>
      <c r="J1734" s="58"/>
      <c r="K1734" s="244"/>
      <c r="L1734" s="93"/>
      <c r="M1734" s="58"/>
      <c r="N1734" s="62"/>
      <c r="O1734" s="245"/>
      <c r="P1734" s="62"/>
      <c r="Q1734" s="58"/>
      <c r="R1734" s="88"/>
      <c r="S1734" s="88"/>
    </row>
    <row r="1735">
      <c r="A1735" s="58"/>
      <c r="B1735" s="58"/>
      <c r="C1735" s="58"/>
      <c r="D1735" s="58"/>
      <c r="E1735" s="58"/>
      <c r="F1735" s="88"/>
      <c r="G1735" s="58"/>
      <c r="H1735" s="88"/>
      <c r="I1735" s="91"/>
      <c r="J1735" s="58"/>
      <c r="K1735" s="244"/>
      <c r="L1735" s="93"/>
      <c r="M1735" s="58"/>
      <c r="N1735" s="62"/>
      <c r="O1735" s="245"/>
      <c r="P1735" s="62"/>
      <c r="Q1735" s="58"/>
      <c r="R1735" s="88"/>
      <c r="S1735" s="88"/>
    </row>
    <row r="1736">
      <c r="A1736" s="58"/>
      <c r="B1736" s="58"/>
      <c r="C1736" s="58"/>
      <c r="D1736" s="58"/>
      <c r="E1736" s="58"/>
      <c r="F1736" s="88"/>
      <c r="G1736" s="58"/>
      <c r="H1736" s="88"/>
      <c r="I1736" s="91"/>
      <c r="J1736" s="58"/>
      <c r="K1736" s="244"/>
      <c r="L1736" s="93"/>
      <c r="M1736" s="58"/>
      <c r="N1736" s="62"/>
      <c r="O1736" s="245"/>
      <c r="P1736" s="62"/>
      <c r="Q1736" s="58"/>
      <c r="R1736" s="88"/>
      <c r="S1736" s="88"/>
    </row>
    <row r="1737">
      <c r="A1737" s="58"/>
      <c r="B1737" s="58"/>
      <c r="C1737" s="58"/>
      <c r="D1737" s="58"/>
      <c r="E1737" s="58"/>
      <c r="F1737" s="88"/>
      <c r="G1737" s="58"/>
      <c r="H1737" s="88"/>
      <c r="I1737" s="91"/>
      <c r="J1737" s="58"/>
      <c r="K1737" s="244"/>
      <c r="L1737" s="93"/>
      <c r="M1737" s="58"/>
      <c r="N1737" s="62"/>
      <c r="O1737" s="245"/>
      <c r="P1737" s="62"/>
      <c r="Q1737" s="58"/>
      <c r="R1737" s="88"/>
      <c r="S1737" s="88"/>
    </row>
    <row r="1738">
      <c r="A1738" s="58"/>
      <c r="B1738" s="58"/>
      <c r="C1738" s="58"/>
      <c r="D1738" s="58"/>
      <c r="E1738" s="58"/>
      <c r="F1738" s="88"/>
      <c r="G1738" s="58"/>
      <c r="H1738" s="88"/>
      <c r="I1738" s="91"/>
      <c r="J1738" s="58"/>
      <c r="K1738" s="244"/>
      <c r="L1738" s="93"/>
      <c r="M1738" s="58"/>
      <c r="N1738" s="62"/>
      <c r="O1738" s="245"/>
      <c r="P1738" s="62"/>
      <c r="Q1738" s="58"/>
      <c r="R1738" s="88"/>
      <c r="S1738" s="88"/>
    </row>
    <row r="1739">
      <c r="A1739" s="58"/>
      <c r="B1739" s="58"/>
      <c r="C1739" s="58"/>
      <c r="D1739" s="58"/>
      <c r="E1739" s="58"/>
      <c r="F1739" s="88"/>
      <c r="G1739" s="58"/>
      <c r="H1739" s="88"/>
      <c r="I1739" s="91"/>
      <c r="J1739" s="58"/>
      <c r="K1739" s="244"/>
      <c r="L1739" s="93"/>
      <c r="M1739" s="58"/>
      <c r="N1739" s="62"/>
      <c r="O1739" s="245"/>
      <c r="P1739" s="62"/>
      <c r="Q1739" s="58"/>
      <c r="R1739" s="88"/>
      <c r="S1739" s="88"/>
    </row>
    <row r="1740">
      <c r="A1740" s="58"/>
      <c r="B1740" s="58"/>
      <c r="C1740" s="58"/>
      <c r="D1740" s="58"/>
      <c r="E1740" s="58"/>
      <c r="F1740" s="88"/>
      <c r="G1740" s="58"/>
      <c r="H1740" s="88"/>
      <c r="I1740" s="91"/>
      <c r="J1740" s="58"/>
      <c r="K1740" s="244"/>
      <c r="L1740" s="93"/>
      <c r="M1740" s="58"/>
      <c r="N1740" s="62"/>
      <c r="O1740" s="245"/>
      <c r="P1740" s="62"/>
      <c r="Q1740" s="58"/>
      <c r="R1740" s="88"/>
      <c r="S1740" s="88"/>
    </row>
    <row r="1741">
      <c r="A1741" s="58"/>
      <c r="B1741" s="58"/>
      <c r="C1741" s="58"/>
      <c r="D1741" s="58"/>
      <c r="E1741" s="58"/>
      <c r="F1741" s="88"/>
      <c r="G1741" s="58"/>
      <c r="H1741" s="88"/>
      <c r="I1741" s="91"/>
      <c r="J1741" s="58"/>
      <c r="K1741" s="244"/>
      <c r="L1741" s="93"/>
      <c r="M1741" s="58"/>
      <c r="N1741" s="62"/>
      <c r="O1741" s="245"/>
      <c r="P1741" s="62"/>
      <c r="Q1741" s="58"/>
      <c r="R1741" s="88"/>
      <c r="S1741" s="88"/>
    </row>
    <row r="1742">
      <c r="A1742" s="58"/>
      <c r="B1742" s="58"/>
      <c r="C1742" s="58"/>
      <c r="D1742" s="58"/>
      <c r="E1742" s="58"/>
      <c r="F1742" s="88"/>
      <c r="G1742" s="58"/>
      <c r="H1742" s="88"/>
      <c r="I1742" s="91"/>
      <c r="J1742" s="58"/>
      <c r="K1742" s="244"/>
      <c r="L1742" s="93"/>
      <c r="M1742" s="58"/>
      <c r="N1742" s="62"/>
      <c r="O1742" s="245"/>
      <c r="P1742" s="62"/>
      <c r="Q1742" s="58"/>
      <c r="R1742" s="88"/>
      <c r="S1742" s="88"/>
    </row>
    <row r="1743">
      <c r="A1743" s="58"/>
      <c r="B1743" s="58"/>
      <c r="C1743" s="58"/>
      <c r="D1743" s="58"/>
      <c r="E1743" s="58"/>
      <c r="F1743" s="88"/>
      <c r="G1743" s="58"/>
      <c r="H1743" s="88"/>
      <c r="I1743" s="91"/>
      <c r="J1743" s="58"/>
      <c r="K1743" s="244"/>
      <c r="L1743" s="93"/>
      <c r="M1743" s="58"/>
      <c r="N1743" s="62"/>
      <c r="O1743" s="245"/>
      <c r="P1743" s="62"/>
      <c r="Q1743" s="58"/>
      <c r="R1743" s="88"/>
      <c r="S1743" s="88"/>
    </row>
    <row r="1744">
      <c r="A1744" s="58"/>
      <c r="B1744" s="58"/>
      <c r="C1744" s="58"/>
      <c r="D1744" s="58"/>
      <c r="E1744" s="58"/>
      <c r="F1744" s="88"/>
      <c r="G1744" s="58"/>
      <c r="H1744" s="88"/>
      <c r="I1744" s="91"/>
      <c r="J1744" s="58"/>
      <c r="K1744" s="244"/>
      <c r="L1744" s="93"/>
      <c r="M1744" s="58"/>
      <c r="N1744" s="62"/>
      <c r="O1744" s="245"/>
      <c r="P1744" s="62"/>
      <c r="Q1744" s="58"/>
      <c r="R1744" s="88"/>
      <c r="S1744" s="88"/>
    </row>
    <row r="1745">
      <c r="A1745" s="58"/>
      <c r="B1745" s="58"/>
      <c r="C1745" s="58"/>
      <c r="D1745" s="58"/>
      <c r="E1745" s="58"/>
      <c r="F1745" s="88"/>
      <c r="G1745" s="58"/>
      <c r="H1745" s="88"/>
      <c r="I1745" s="91"/>
      <c r="J1745" s="58"/>
      <c r="K1745" s="244"/>
      <c r="L1745" s="93"/>
      <c r="M1745" s="58"/>
      <c r="N1745" s="62"/>
      <c r="O1745" s="245"/>
      <c r="P1745" s="62"/>
      <c r="Q1745" s="58"/>
      <c r="R1745" s="88"/>
      <c r="S1745" s="88"/>
    </row>
    <row r="1746">
      <c r="A1746" s="58"/>
      <c r="B1746" s="58"/>
      <c r="C1746" s="58"/>
      <c r="D1746" s="58"/>
      <c r="E1746" s="58"/>
      <c r="F1746" s="88"/>
      <c r="G1746" s="58"/>
      <c r="H1746" s="88"/>
      <c r="I1746" s="91"/>
      <c r="J1746" s="58"/>
      <c r="K1746" s="244"/>
      <c r="L1746" s="93"/>
      <c r="M1746" s="58"/>
      <c r="N1746" s="62"/>
      <c r="O1746" s="245"/>
      <c r="P1746" s="62"/>
      <c r="Q1746" s="58"/>
      <c r="R1746" s="88"/>
      <c r="S1746" s="88"/>
    </row>
    <row r="1747">
      <c r="A1747" s="58"/>
      <c r="B1747" s="58"/>
      <c r="C1747" s="58"/>
      <c r="D1747" s="58"/>
      <c r="E1747" s="58"/>
      <c r="F1747" s="88"/>
      <c r="G1747" s="58"/>
      <c r="H1747" s="88"/>
      <c r="I1747" s="91"/>
      <c r="J1747" s="58"/>
      <c r="K1747" s="244"/>
      <c r="L1747" s="93"/>
      <c r="M1747" s="58"/>
      <c r="N1747" s="62"/>
      <c r="O1747" s="245"/>
      <c r="P1747" s="62"/>
      <c r="Q1747" s="58"/>
      <c r="R1747" s="88"/>
      <c r="S1747" s="88"/>
    </row>
    <row r="1748">
      <c r="A1748" s="58"/>
      <c r="B1748" s="58"/>
      <c r="C1748" s="58"/>
      <c r="D1748" s="58"/>
      <c r="E1748" s="58"/>
      <c r="F1748" s="88"/>
      <c r="G1748" s="58"/>
      <c r="H1748" s="88"/>
      <c r="I1748" s="91"/>
      <c r="J1748" s="58"/>
      <c r="K1748" s="244"/>
      <c r="L1748" s="93"/>
      <c r="M1748" s="58"/>
      <c r="N1748" s="62"/>
      <c r="O1748" s="245"/>
      <c r="P1748" s="62"/>
      <c r="Q1748" s="58"/>
      <c r="R1748" s="88"/>
      <c r="S1748" s="88"/>
    </row>
    <row r="1749">
      <c r="A1749" s="58"/>
      <c r="B1749" s="58"/>
      <c r="C1749" s="58"/>
      <c r="D1749" s="58"/>
      <c r="E1749" s="58"/>
      <c r="F1749" s="88"/>
      <c r="G1749" s="58"/>
      <c r="H1749" s="88"/>
      <c r="I1749" s="91"/>
      <c r="J1749" s="58"/>
      <c r="K1749" s="244"/>
      <c r="L1749" s="93"/>
      <c r="M1749" s="58"/>
      <c r="N1749" s="62"/>
      <c r="O1749" s="245"/>
      <c r="P1749" s="62"/>
      <c r="Q1749" s="58"/>
      <c r="R1749" s="88"/>
      <c r="S1749" s="88"/>
    </row>
    <row r="1750">
      <c r="A1750" s="58"/>
      <c r="B1750" s="58"/>
      <c r="C1750" s="58"/>
      <c r="D1750" s="58"/>
      <c r="E1750" s="58"/>
      <c r="F1750" s="88"/>
      <c r="G1750" s="58"/>
      <c r="H1750" s="88"/>
      <c r="I1750" s="91"/>
      <c r="J1750" s="58"/>
      <c r="K1750" s="244"/>
      <c r="L1750" s="93"/>
      <c r="M1750" s="58"/>
      <c r="N1750" s="62"/>
      <c r="O1750" s="245"/>
      <c r="P1750" s="62"/>
      <c r="Q1750" s="58"/>
      <c r="R1750" s="88"/>
      <c r="S1750" s="88"/>
    </row>
    <row r="1751">
      <c r="A1751" s="58"/>
      <c r="B1751" s="58"/>
      <c r="C1751" s="58"/>
      <c r="D1751" s="58"/>
      <c r="E1751" s="58"/>
      <c r="F1751" s="88"/>
      <c r="G1751" s="58"/>
      <c r="H1751" s="88"/>
      <c r="I1751" s="91"/>
      <c r="J1751" s="58"/>
      <c r="K1751" s="244"/>
      <c r="L1751" s="93"/>
      <c r="M1751" s="58"/>
      <c r="N1751" s="62"/>
      <c r="O1751" s="245"/>
      <c r="P1751" s="62"/>
      <c r="Q1751" s="58"/>
      <c r="R1751" s="88"/>
      <c r="S1751" s="88"/>
    </row>
    <row r="1752">
      <c r="A1752" s="58"/>
      <c r="B1752" s="58"/>
      <c r="C1752" s="58"/>
      <c r="D1752" s="58"/>
      <c r="E1752" s="58"/>
      <c r="F1752" s="88"/>
      <c r="G1752" s="58"/>
      <c r="H1752" s="88"/>
      <c r="I1752" s="91"/>
      <c r="J1752" s="58"/>
      <c r="K1752" s="244"/>
      <c r="L1752" s="93"/>
      <c r="M1752" s="58"/>
      <c r="N1752" s="62"/>
      <c r="O1752" s="245"/>
      <c r="P1752" s="62"/>
      <c r="Q1752" s="58"/>
      <c r="R1752" s="88"/>
      <c r="S1752" s="88"/>
    </row>
    <row r="1753">
      <c r="A1753" s="58"/>
      <c r="B1753" s="58"/>
      <c r="C1753" s="58"/>
      <c r="D1753" s="58"/>
      <c r="E1753" s="58"/>
      <c r="F1753" s="88"/>
      <c r="G1753" s="58"/>
      <c r="H1753" s="88"/>
      <c r="I1753" s="91"/>
      <c r="J1753" s="58"/>
      <c r="K1753" s="244"/>
      <c r="L1753" s="93"/>
      <c r="M1753" s="58"/>
      <c r="N1753" s="62"/>
      <c r="O1753" s="245"/>
      <c r="P1753" s="62"/>
      <c r="Q1753" s="58"/>
      <c r="R1753" s="88"/>
      <c r="S1753" s="88"/>
    </row>
    <row r="1754">
      <c r="A1754" s="58"/>
      <c r="B1754" s="58"/>
      <c r="C1754" s="58"/>
      <c r="D1754" s="58"/>
      <c r="E1754" s="58"/>
      <c r="F1754" s="88"/>
      <c r="G1754" s="58"/>
      <c r="H1754" s="88"/>
      <c r="I1754" s="91"/>
      <c r="J1754" s="58"/>
      <c r="K1754" s="244"/>
      <c r="L1754" s="93"/>
      <c r="M1754" s="58"/>
      <c r="N1754" s="62"/>
      <c r="O1754" s="245"/>
      <c r="P1754" s="62"/>
      <c r="Q1754" s="58"/>
      <c r="R1754" s="88"/>
      <c r="S1754" s="88"/>
    </row>
    <row r="1755">
      <c r="A1755" s="58"/>
      <c r="B1755" s="58"/>
      <c r="C1755" s="58"/>
      <c r="D1755" s="58"/>
      <c r="E1755" s="58"/>
      <c r="F1755" s="88"/>
      <c r="G1755" s="58"/>
      <c r="H1755" s="88"/>
      <c r="I1755" s="91"/>
      <c r="J1755" s="58"/>
      <c r="K1755" s="244"/>
      <c r="L1755" s="93"/>
      <c r="M1755" s="58"/>
      <c r="N1755" s="62"/>
      <c r="O1755" s="245"/>
      <c r="P1755" s="62"/>
      <c r="Q1755" s="58"/>
      <c r="R1755" s="88"/>
      <c r="S1755" s="88"/>
    </row>
    <row r="1756">
      <c r="A1756" s="58"/>
      <c r="B1756" s="58"/>
      <c r="C1756" s="58"/>
      <c r="D1756" s="58"/>
      <c r="E1756" s="58"/>
      <c r="F1756" s="88"/>
      <c r="G1756" s="58"/>
      <c r="H1756" s="88"/>
      <c r="I1756" s="91"/>
      <c r="J1756" s="58"/>
      <c r="K1756" s="244"/>
      <c r="L1756" s="93"/>
      <c r="M1756" s="58"/>
      <c r="N1756" s="62"/>
      <c r="O1756" s="245"/>
      <c r="P1756" s="62"/>
      <c r="Q1756" s="58"/>
      <c r="R1756" s="88"/>
      <c r="S1756" s="88"/>
    </row>
    <row r="1757">
      <c r="A1757" s="58"/>
      <c r="B1757" s="58"/>
      <c r="C1757" s="58"/>
      <c r="D1757" s="58"/>
      <c r="E1757" s="58"/>
      <c r="F1757" s="88"/>
      <c r="G1757" s="58"/>
      <c r="H1757" s="88"/>
      <c r="I1757" s="91"/>
      <c r="J1757" s="58"/>
      <c r="K1757" s="244"/>
      <c r="L1757" s="93"/>
      <c r="M1757" s="58"/>
      <c r="N1757" s="62"/>
      <c r="O1757" s="245"/>
      <c r="P1757" s="62"/>
      <c r="Q1757" s="58"/>
      <c r="R1757" s="88"/>
      <c r="S1757" s="88"/>
    </row>
    <row r="1758">
      <c r="A1758" s="58"/>
      <c r="B1758" s="58"/>
      <c r="C1758" s="58"/>
      <c r="D1758" s="58"/>
      <c r="E1758" s="58"/>
      <c r="F1758" s="88"/>
      <c r="G1758" s="58"/>
      <c r="H1758" s="88"/>
      <c r="I1758" s="91"/>
      <c r="J1758" s="58"/>
      <c r="K1758" s="244"/>
      <c r="L1758" s="93"/>
      <c r="M1758" s="58"/>
      <c r="N1758" s="62"/>
      <c r="O1758" s="245"/>
      <c r="P1758" s="62"/>
      <c r="Q1758" s="58"/>
      <c r="R1758" s="88"/>
      <c r="S1758" s="88"/>
    </row>
    <row r="1759">
      <c r="A1759" s="58"/>
      <c r="B1759" s="58"/>
      <c r="C1759" s="58"/>
      <c r="D1759" s="58"/>
      <c r="E1759" s="58"/>
      <c r="F1759" s="88"/>
      <c r="G1759" s="58"/>
      <c r="H1759" s="88"/>
      <c r="I1759" s="91"/>
      <c r="J1759" s="58"/>
      <c r="K1759" s="244"/>
      <c r="L1759" s="93"/>
      <c r="M1759" s="58"/>
      <c r="N1759" s="62"/>
      <c r="O1759" s="245"/>
      <c r="P1759" s="62"/>
      <c r="Q1759" s="58"/>
      <c r="R1759" s="88"/>
      <c r="S1759" s="88"/>
    </row>
    <row r="1760">
      <c r="A1760" s="58"/>
      <c r="B1760" s="58"/>
      <c r="C1760" s="58"/>
      <c r="D1760" s="58"/>
      <c r="E1760" s="58"/>
      <c r="F1760" s="88"/>
      <c r="G1760" s="58"/>
      <c r="H1760" s="88"/>
      <c r="I1760" s="91"/>
      <c r="J1760" s="58"/>
      <c r="K1760" s="244"/>
      <c r="L1760" s="93"/>
      <c r="M1760" s="58"/>
      <c r="N1760" s="62"/>
      <c r="O1760" s="245"/>
      <c r="P1760" s="62"/>
      <c r="Q1760" s="58"/>
      <c r="R1760" s="88"/>
      <c r="S1760" s="88"/>
    </row>
    <row r="1761">
      <c r="A1761" s="58"/>
      <c r="B1761" s="58"/>
      <c r="C1761" s="58"/>
      <c r="D1761" s="58"/>
      <c r="E1761" s="58"/>
      <c r="F1761" s="88"/>
      <c r="G1761" s="58"/>
      <c r="H1761" s="88"/>
      <c r="I1761" s="91"/>
      <c r="J1761" s="58"/>
      <c r="K1761" s="244"/>
      <c r="L1761" s="93"/>
      <c r="M1761" s="58"/>
      <c r="N1761" s="62"/>
      <c r="O1761" s="245"/>
      <c r="P1761" s="62"/>
      <c r="Q1761" s="58"/>
      <c r="R1761" s="88"/>
      <c r="S1761" s="88"/>
    </row>
    <row r="1762">
      <c r="A1762" s="58"/>
      <c r="B1762" s="58"/>
      <c r="C1762" s="58"/>
      <c r="D1762" s="58"/>
      <c r="E1762" s="58"/>
      <c r="F1762" s="88"/>
      <c r="G1762" s="58"/>
      <c r="H1762" s="88"/>
      <c r="I1762" s="91"/>
      <c r="J1762" s="58"/>
      <c r="K1762" s="244"/>
      <c r="L1762" s="93"/>
      <c r="M1762" s="58"/>
      <c r="N1762" s="62"/>
      <c r="O1762" s="245"/>
      <c r="P1762" s="62"/>
      <c r="Q1762" s="58"/>
      <c r="R1762" s="88"/>
      <c r="S1762" s="88"/>
    </row>
    <row r="1763">
      <c r="A1763" s="58"/>
      <c r="B1763" s="58"/>
      <c r="C1763" s="58"/>
      <c r="D1763" s="58"/>
      <c r="E1763" s="58"/>
      <c r="F1763" s="88"/>
      <c r="G1763" s="58"/>
      <c r="H1763" s="88"/>
      <c r="I1763" s="91"/>
      <c r="J1763" s="58"/>
      <c r="K1763" s="244"/>
      <c r="L1763" s="93"/>
      <c r="M1763" s="58"/>
      <c r="N1763" s="62"/>
      <c r="O1763" s="245"/>
      <c r="P1763" s="62"/>
      <c r="Q1763" s="58"/>
      <c r="R1763" s="88"/>
      <c r="S1763" s="88"/>
    </row>
    <row r="1764">
      <c r="A1764" s="58"/>
      <c r="B1764" s="58"/>
      <c r="C1764" s="58"/>
      <c r="D1764" s="58"/>
      <c r="E1764" s="58"/>
      <c r="F1764" s="88"/>
      <c r="G1764" s="58"/>
      <c r="H1764" s="88"/>
      <c r="I1764" s="91"/>
      <c r="J1764" s="58"/>
      <c r="K1764" s="244"/>
      <c r="L1764" s="93"/>
      <c r="M1764" s="58"/>
      <c r="N1764" s="62"/>
      <c r="O1764" s="245"/>
      <c r="P1764" s="62"/>
      <c r="Q1764" s="58"/>
      <c r="R1764" s="88"/>
      <c r="S1764" s="88"/>
    </row>
    <row r="1765">
      <c r="A1765" s="58"/>
      <c r="B1765" s="58"/>
      <c r="C1765" s="58"/>
      <c r="D1765" s="58"/>
      <c r="E1765" s="58"/>
      <c r="F1765" s="88"/>
      <c r="G1765" s="58"/>
      <c r="H1765" s="88"/>
      <c r="I1765" s="91"/>
      <c r="J1765" s="58"/>
      <c r="K1765" s="244"/>
      <c r="L1765" s="93"/>
      <c r="M1765" s="58"/>
      <c r="N1765" s="62"/>
      <c r="O1765" s="245"/>
      <c r="P1765" s="62"/>
      <c r="Q1765" s="58"/>
      <c r="R1765" s="88"/>
      <c r="S1765" s="88"/>
    </row>
    <row r="1766">
      <c r="A1766" s="58"/>
      <c r="B1766" s="58"/>
      <c r="C1766" s="58"/>
      <c r="D1766" s="58"/>
      <c r="E1766" s="58"/>
      <c r="F1766" s="88"/>
      <c r="G1766" s="58"/>
      <c r="H1766" s="88"/>
      <c r="I1766" s="91"/>
      <c r="J1766" s="58"/>
      <c r="K1766" s="244"/>
      <c r="L1766" s="93"/>
      <c r="M1766" s="58"/>
      <c r="N1766" s="62"/>
      <c r="O1766" s="245"/>
      <c r="P1766" s="62"/>
      <c r="Q1766" s="58"/>
      <c r="R1766" s="88"/>
      <c r="S1766" s="88"/>
    </row>
    <row r="1767">
      <c r="A1767" s="58"/>
      <c r="B1767" s="58"/>
      <c r="C1767" s="58"/>
      <c r="D1767" s="58"/>
      <c r="E1767" s="58"/>
      <c r="F1767" s="88"/>
      <c r="G1767" s="58"/>
      <c r="H1767" s="88"/>
      <c r="I1767" s="91"/>
      <c r="J1767" s="58"/>
      <c r="K1767" s="244"/>
      <c r="L1767" s="93"/>
      <c r="M1767" s="58"/>
      <c r="N1767" s="62"/>
      <c r="O1767" s="245"/>
      <c r="P1767" s="62"/>
      <c r="Q1767" s="58"/>
      <c r="R1767" s="88"/>
      <c r="S1767" s="88"/>
    </row>
    <row r="1768">
      <c r="A1768" s="58"/>
      <c r="B1768" s="58"/>
      <c r="C1768" s="58"/>
      <c r="D1768" s="58"/>
      <c r="E1768" s="58"/>
      <c r="F1768" s="88"/>
      <c r="G1768" s="58"/>
      <c r="H1768" s="88"/>
      <c r="I1768" s="91"/>
      <c r="J1768" s="58"/>
      <c r="K1768" s="244"/>
      <c r="L1768" s="93"/>
      <c r="M1768" s="58"/>
      <c r="N1768" s="62"/>
      <c r="O1768" s="245"/>
      <c r="P1768" s="62"/>
      <c r="Q1768" s="58"/>
      <c r="R1768" s="88"/>
      <c r="S1768" s="88"/>
    </row>
    <row r="1769">
      <c r="A1769" s="58"/>
      <c r="B1769" s="58"/>
      <c r="C1769" s="58"/>
      <c r="D1769" s="58"/>
      <c r="E1769" s="58"/>
      <c r="F1769" s="88"/>
      <c r="G1769" s="58"/>
      <c r="H1769" s="88"/>
      <c r="I1769" s="91"/>
      <c r="J1769" s="58"/>
      <c r="K1769" s="244"/>
      <c r="L1769" s="93"/>
      <c r="M1769" s="58"/>
      <c r="N1769" s="62"/>
      <c r="O1769" s="245"/>
      <c r="P1769" s="62"/>
      <c r="Q1769" s="58"/>
      <c r="R1769" s="88"/>
      <c r="S1769" s="88"/>
    </row>
    <row r="1770">
      <c r="A1770" s="58"/>
      <c r="B1770" s="58"/>
      <c r="C1770" s="58"/>
      <c r="D1770" s="58"/>
      <c r="E1770" s="58"/>
      <c r="F1770" s="88"/>
      <c r="G1770" s="58"/>
      <c r="H1770" s="88"/>
      <c r="I1770" s="91"/>
      <c r="J1770" s="58"/>
      <c r="K1770" s="244"/>
      <c r="L1770" s="93"/>
      <c r="M1770" s="58"/>
      <c r="N1770" s="62"/>
      <c r="O1770" s="245"/>
      <c r="P1770" s="62"/>
      <c r="Q1770" s="58"/>
      <c r="R1770" s="88"/>
      <c r="S1770" s="88"/>
    </row>
    <row r="1771">
      <c r="A1771" s="58"/>
      <c r="B1771" s="58"/>
      <c r="C1771" s="58"/>
      <c r="D1771" s="58"/>
      <c r="E1771" s="58"/>
      <c r="F1771" s="88"/>
      <c r="G1771" s="58"/>
      <c r="H1771" s="88"/>
      <c r="I1771" s="91"/>
      <c r="J1771" s="58"/>
      <c r="K1771" s="244"/>
      <c r="L1771" s="93"/>
      <c r="M1771" s="58"/>
      <c r="N1771" s="62"/>
      <c r="O1771" s="245"/>
      <c r="P1771" s="62"/>
      <c r="Q1771" s="58"/>
      <c r="R1771" s="88"/>
      <c r="S1771" s="88"/>
    </row>
    <row r="1772">
      <c r="A1772" s="58"/>
      <c r="B1772" s="58"/>
      <c r="C1772" s="58"/>
      <c r="D1772" s="58"/>
      <c r="E1772" s="58"/>
      <c r="F1772" s="88"/>
      <c r="G1772" s="58"/>
      <c r="H1772" s="88"/>
      <c r="I1772" s="91"/>
      <c r="J1772" s="58"/>
      <c r="K1772" s="244"/>
      <c r="L1772" s="93"/>
      <c r="M1772" s="58"/>
      <c r="N1772" s="62"/>
      <c r="O1772" s="245"/>
      <c r="P1772" s="62"/>
      <c r="Q1772" s="58"/>
      <c r="R1772" s="88"/>
      <c r="S1772" s="88"/>
    </row>
    <row r="1773">
      <c r="A1773" s="58"/>
      <c r="B1773" s="58"/>
      <c r="C1773" s="58"/>
      <c r="D1773" s="58"/>
      <c r="E1773" s="58"/>
      <c r="F1773" s="88"/>
      <c r="G1773" s="58"/>
      <c r="H1773" s="88"/>
      <c r="I1773" s="91"/>
      <c r="J1773" s="58"/>
      <c r="K1773" s="244"/>
      <c r="L1773" s="93"/>
      <c r="M1773" s="58"/>
      <c r="N1773" s="62"/>
      <c r="O1773" s="245"/>
      <c r="P1773" s="62"/>
      <c r="Q1773" s="58"/>
      <c r="R1773" s="88"/>
      <c r="S1773" s="88"/>
    </row>
    <row r="1774">
      <c r="A1774" s="58"/>
      <c r="B1774" s="58"/>
      <c r="C1774" s="58"/>
      <c r="D1774" s="58"/>
      <c r="E1774" s="58"/>
      <c r="F1774" s="88"/>
      <c r="G1774" s="58"/>
      <c r="H1774" s="88"/>
      <c r="I1774" s="91"/>
      <c r="J1774" s="58"/>
      <c r="K1774" s="244"/>
      <c r="L1774" s="93"/>
      <c r="M1774" s="58"/>
      <c r="N1774" s="62"/>
      <c r="O1774" s="245"/>
      <c r="P1774" s="62"/>
      <c r="Q1774" s="58"/>
      <c r="R1774" s="88"/>
      <c r="S1774" s="88"/>
    </row>
    <row r="1775">
      <c r="A1775" s="58"/>
      <c r="B1775" s="58"/>
      <c r="C1775" s="58"/>
      <c r="D1775" s="58"/>
      <c r="E1775" s="58"/>
      <c r="F1775" s="88"/>
      <c r="G1775" s="58"/>
      <c r="H1775" s="88"/>
      <c r="I1775" s="91"/>
      <c r="J1775" s="58"/>
      <c r="K1775" s="244"/>
      <c r="L1775" s="93"/>
      <c r="M1775" s="58"/>
      <c r="N1775" s="62"/>
      <c r="O1775" s="245"/>
      <c r="P1775" s="62"/>
      <c r="Q1775" s="58"/>
      <c r="R1775" s="88"/>
      <c r="S1775" s="88"/>
    </row>
    <row r="1776">
      <c r="A1776" s="58"/>
      <c r="B1776" s="58"/>
      <c r="C1776" s="58"/>
      <c r="D1776" s="58"/>
      <c r="E1776" s="58"/>
      <c r="F1776" s="88"/>
      <c r="G1776" s="58"/>
      <c r="H1776" s="88"/>
      <c r="I1776" s="91"/>
      <c r="J1776" s="58"/>
      <c r="K1776" s="244"/>
      <c r="L1776" s="93"/>
      <c r="M1776" s="58"/>
      <c r="N1776" s="62"/>
      <c r="O1776" s="245"/>
      <c r="P1776" s="62"/>
      <c r="Q1776" s="58"/>
      <c r="R1776" s="88"/>
      <c r="S1776" s="88"/>
    </row>
    <row r="1777">
      <c r="A1777" s="58"/>
      <c r="B1777" s="58"/>
      <c r="C1777" s="58"/>
      <c r="D1777" s="58"/>
      <c r="E1777" s="58"/>
      <c r="F1777" s="88"/>
      <c r="G1777" s="58"/>
      <c r="H1777" s="88"/>
      <c r="I1777" s="91"/>
      <c r="J1777" s="58"/>
      <c r="K1777" s="244"/>
      <c r="L1777" s="93"/>
      <c r="M1777" s="58"/>
      <c r="N1777" s="62"/>
      <c r="O1777" s="245"/>
      <c r="P1777" s="62"/>
      <c r="Q1777" s="58"/>
      <c r="R1777" s="88"/>
      <c r="S1777" s="88"/>
    </row>
    <row r="1778">
      <c r="A1778" s="58"/>
      <c r="B1778" s="58"/>
      <c r="C1778" s="58"/>
      <c r="D1778" s="58"/>
      <c r="E1778" s="58"/>
      <c r="F1778" s="88"/>
      <c r="G1778" s="58"/>
      <c r="H1778" s="88"/>
      <c r="I1778" s="91"/>
      <c r="J1778" s="58"/>
      <c r="K1778" s="244"/>
      <c r="L1778" s="93"/>
      <c r="M1778" s="58"/>
      <c r="N1778" s="62"/>
      <c r="O1778" s="245"/>
      <c r="P1778" s="62"/>
      <c r="Q1778" s="58"/>
      <c r="R1778" s="88"/>
      <c r="S1778" s="88"/>
    </row>
    <row r="1779">
      <c r="A1779" s="58"/>
      <c r="B1779" s="58"/>
      <c r="C1779" s="58"/>
      <c r="D1779" s="58"/>
      <c r="E1779" s="58"/>
      <c r="F1779" s="88"/>
      <c r="G1779" s="58"/>
      <c r="H1779" s="88"/>
      <c r="I1779" s="91"/>
      <c r="J1779" s="58"/>
      <c r="K1779" s="244"/>
      <c r="L1779" s="93"/>
      <c r="M1779" s="58"/>
      <c r="N1779" s="62"/>
      <c r="O1779" s="245"/>
      <c r="P1779" s="62"/>
      <c r="Q1779" s="58"/>
      <c r="R1779" s="88"/>
      <c r="S1779" s="88"/>
    </row>
    <row r="1780">
      <c r="A1780" s="58"/>
      <c r="B1780" s="58"/>
      <c r="C1780" s="58"/>
      <c r="D1780" s="58"/>
      <c r="E1780" s="58"/>
      <c r="F1780" s="88"/>
      <c r="G1780" s="58"/>
      <c r="H1780" s="88"/>
      <c r="I1780" s="91"/>
      <c r="J1780" s="58"/>
      <c r="K1780" s="244"/>
      <c r="L1780" s="93"/>
      <c r="M1780" s="58"/>
      <c r="N1780" s="62"/>
      <c r="O1780" s="245"/>
      <c r="P1780" s="62"/>
      <c r="Q1780" s="58"/>
      <c r="R1780" s="88"/>
      <c r="S1780" s="88"/>
    </row>
    <row r="1781">
      <c r="A1781" s="58"/>
      <c r="B1781" s="58"/>
      <c r="C1781" s="58"/>
      <c r="D1781" s="58"/>
      <c r="E1781" s="58"/>
      <c r="F1781" s="88"/>
      <c r="G1781" s="58"/>
      <c r="H1781" s="88"/>
      <c r="I1781" s="91"/>
      <c r="J1781" s="58"/>
      <c r="K1781" s="244"/>
      <c r="L1781" s="93"/>
      <c r="M1781" s="58"/>
      <c r="N1781" s="62"/>
      <c r="O1781" s="245"/>
      <c r="P1781" s="62"/>
      <c r="Q1781" s="58"/>
      <c r="R1781" s="88"/>
      <c r="S1781" s="88"/>
    </row>
    <row r="1782">
      <c r="A1782" s="58"/>
      <c r="B1782" s="58"/>
      <c r="C1782" s="58"/>
      <c r="D1782" s="58"/>
      <c r="E1782" s="58"/>
      <c r="F1782" s="88"/>
      <c r="G1782" s="58"/>
      <c r="H1782" s="88"/>
      <c r="I1782" s="91"/>
      <c r="J1782" s="58"/>
      <c r="K1782" s="244"/>
      <c r="L1782" s="93"/>
      <c r="M1782" s="58"/>
      <c r="N1782" s="62"/>
      <c r="O1782" s="245"/>
      <c r="P1782" s="62"/>
      <c r="Q1782" s="58"/>
      <c r="R1782" s="88"/>
      <c r="S1782" s="88"/>
    </row>
    <row r="1783">
      <c r="A1783" s="58"/>
      <c r="B1783" s="58"/>
      <c r="C1783" s="58"/>
      <c r="D1783" s="58"/>
      <c r="E1783" s="58"/>
      <c r="F1783" s="88"/>
      <c r="G1783" s="58"/>
      <c r="H1783" s="88"/>
      <c r="I1783" s="91"/>
      <c r="J1783" s="58"/>
      <c r="K1783" s="244"/>
      <c r="L1783" s="93"/>
      <c r="M1783" s="58"/>
      <c r="N1783" s="62"/>
      <c r="O1783" s="245"/>
      <c r="P1783" s="62"/>
      <c r="Q1783" s="58"/>
      <c r="R1783" s="88"/>
      <c r="S1783" s="88"/>
    </row>
    <row r="1784">
      <c r="A1784" s="58"/>
      <c r="B1784" s="58"/>
      <c r="C1784" s="58"/>
      <c r="D1784" s="58"/>
      <c r="E1784" s="58"/>
      <c r="F1784" s="88"/>
      <c r="G1784" s="58"/>
      <c r="H1784" s="88"/>
      <c r="I1784" s="91"/>
      <c r="J1784" s="58"/>
      <c r="K1784" s="244"/>
      <c r="L1784" s="93"/>
      <c r="M1784" s="58"/>
      <c r="N1784" s="62"/>
      <c r="O1784" s="245"/>
      <c r="P1784" s="62"/>
      <c r="Q1784" s="58"/>
      <c r="R1784" s="88"/>
      <c r="S1784" s="88"/>
    </row>
    <row r="1785">
      <c r="A1785" s="58"/>
      <c r="B1785" s="58"/>
      <c r="C1785" s="58"/>
      <c r="D1785" s="58"/>
      <c r="E1785" s="58"/>
      <c r="F1785" s="88"/>
      <c r="G1785" s="58"/>
      <c r="H1785" s="88"/>
      <c r="I1785" s="91"/>
      <c r="J1785" s="58"/>
      <c r="K1785" s="244"/>
      <c r="L1785" s="93"/>
      <c r="M1785" s="58"/>
      <c r="N1785" s="62"/>
      <c r="O1785" s="245"/>
      <c r="P1785" s="62"/>
      <c r="Q1785" s="58"/>
      <c r="R1785" s="88"/>
      <c r="S1785" s="88"/>
    </row>
    <row r="1786">
      <c r="A1786" s="58"/>
      <c r="B1786" s="58"/>
      <c r="C1786" s="58"/>
      <c r="D1786" s="58"/>
      <c r="E1786" s="58"/>
      <c r="F1786" s="88"/>
      <c r="G1786" s="58"/>
      <c r="H1786" s="88"/>
      <c r="I1786" s="91"/>
      <c r="J1786" s="58"/>
      <c r="K1786" s="244"/>
      <c r="L1786" s="93"/>
      <c r="M1786" s="58"/>
      <c r="N1786" s="62"/>
      <c r="O1786" s="245"/>
      <c r="P1786" s="62"/>
      <c r="Q1786" s="58"/>
      <c r="R1786" s="88"/>
      <c r="S1786" s="88"/>
    </row>
    <row r="1787">
      <c r="A1787" s="58"/>
      <c r="B1787" s="58"/>
      <c r="C1787" s="58"/>
      <c r="D1787" s="58"/>
      <c r="E1787" s="58"/>
      <c r="F1787" s="88"/>
      <c r="G1787" s="58"/>
      <c r="H1787" s="88"/>
      <c r="I1787" s="91"/>
      <c r="J1787" s="58"/>
      <c r="K1787" s="244"/>
      <c r="L1787" s="93"/>
      <c r="M1787" s="58"/>
      <c r="N1787" s="62"/>
      <c r="O1787" s="245"/>
      <c r="P1787" s="62"/>
      <c r="Q1787" s="58"/>
      <c r="R1787" s="88"/>
      <c r="S1787" s="88"/>
    </row>
    <row r="1788">
      <c r="A1788" s="58"/>
      <c r="B1788" s="58"/>
      <c r="C1788" s="58"/>
      <c r="D1788" s="58"/>
      <c r="E1788" s="58"/>
      <c r="F1788" s="88"/>
      <c r="G1788" s="58"/>
      <c r="H1788" s="88"/>
      <c r="I1788" s="91"/>
      <c r="J1788" s="58"/>
      <c r="K1788" s="244"/>
      <c r="L1788" s="93"/>
      <c r="M1788" s="58"/>
      <c r="N1788" s="62"/>
      <c r="O1788" s="245"/>
      <c r="P1788" s="62"/>
      <c r="Q1788" s="58"/>
      <c r="R1788" s="88"/>
      <c r="S1788" s="88"/>
    </row>
    <row r="1789">
      <c r="A1789" s="58"/>
      <c r="B1789" s="58"/>
      <c r="C1789" s="58"/>
      <c r="D1789" s="58"/>
      <c r="E1789" s="58"/>
      <c r="F1789" s="88"/>
      <c r="G1789" s="58"/>
      <c r="H1789" s="88"/>
      <c r="I1789" s="91"/>
      <c r="J1789" s="58"/>
      <c r="K1789" s="244"/>
      <c r="L1789" s="93"/>
      <c r="M1789" s="58"/>
      <c r="N1789" s="62"/>
      <c r="O1789" s="245"/>
      <c r="P1789" s="62"/>
      <c r="Q1789" s="58"/>
      <c r="R1789" s="88"/>
      <c r="S1789" s="88"/>
    </row>
    <row r="1790">
      <c r="A1790" s="58"/>
      <c r="B1790" s="58"/>
      <c r="C1790" s="58"/>
      <c r="D1790" s="58"/>
      <c r="E1790" s="58"/>
      <c r="F1790" s="88"/>
      <c r="G1790" s="58"/>
      <c r="H1790" s="88"/>
      <c r="I1790" s="91"/>
      <c r="J1790" s="58"/>
      <c r="K1790" s="244"/>
      <c r="L1790" s="93"/>
      <c r="M1790" s="58"/>
      <c r="N1790" s="62"/>
      <c r="O1790" s="245"/>
      <c r="P1790" s="62"/>
      <c r="Q1790" s="58"/>
      <c r="R1790" s="88"/>
      <c r="S1790" s="88"/>
    </row>
    <row r="1791">
      <c r="A1791" s="58"/>
      <c r="B1791" s="58"/>
      <c r="C1791" s="58"/>
      <c r="D1791" s="58"/>
      <c r="E1791" s="58"/>
      <c r="F1791" s="88"/>
      <c r="G1791" s="58"/>
      <c r="H1791" s="88"/>
      <c r="I1791" s="91"/>
      <c r="J1791" s="58"/>
      <c r="K1791" s="244"/>
      <c r="L1791" s="93"/>
      <c r="M1791" s="58"/>
      <c r="N1791" s="62"/>
      <c r="O1791" s="245"/>
      <c r="P1791" s="62"/>
      <c r="Q1791" s="58"/>
      <c r="R1791" s="88"/>
      <c r="S1791" s="88"/>
    </row>
    <row r="1792">
      <c r="A1792" s="58"/>
      <c r="B1792" s="58"/>
      <c r="C1792" s="58"/>
      <c r="D1792" s="58"/>
      <c r="E1792" s="58"/>
      <c r="F1792" s="88"/>
      <c r="G1792" s="58"/>
      <c r="H1792" s="88"/>
      <c r="I1792" s="91"/>
      <c r="J1792" s="58"/>
      <c r="K1792" s="244"/>
      <c r="L1792" s="93"/>
      <c r="M1792" s="58"/>
      <c r="N1792" s="62"/>
      <c r="O1792" s="245"/>
      <c r="P1792" s="62"/>
      <c r="Q1792" s="58"/>
      <c r="R1792" s="88"/>
      <c r="S1792" s="88"/>
    </row>
    <row r="1793">
      <c r="A1793" s="58"/>
      <c r="B1793" s="58"/>
      <c r="C1793" s="58"/>
      <c r="D1793" s="58"/>
      <c r="E1793" s="58"/>
      <c r="F1793" s="88"/>
      <c r="G1793" s="58"/>
      <c r="H1793" s="88"/>
      <c r="I1793" s="91"/>
      <c r="J1793" s="58"/>
      <c r="K1793" s="244"/>
      <c r="L1793" s="93"/>
      <c r="M1793" s="58"/>
      <c r="N1793" s="62"/>
      <c r="O1793" s="245"/>
      <c r="P1793" s="62"/>
      <c r="Q1793" s="58"/>
      <c r="R1793" s="88"/>
      <c r="S1793" s="88"/>
    </row>
    <row r="1794">
      <c r="A1794" s="58"/>
      <c r="B1794" s="58"/>
      <c r="C1794" s="58"/>
      <c r="D1794" s="58"/>
      <c r="E1794" s="58"/>
      <c r="F1794" s="88"/>
      <c r="G1794" s="58"/>
      <c r="H1794" s="88"/>
      <c r="I1794" s="91"/>
      <c r="J1794" s="58"/>
      <c r="K1794" s="244"/>
      <c r="L1794" s="93"/>
      <c r="M1794" s="58"/>
      <c r="N1794" s="62"/>
      <c r="O1794" s="245"/>
      <c r="P1794" s="62"/>
      <c r="Q1794" s="58"/>
      <c r="R1794" s="88"/>
      <c r="S1794" s="88"/>
    </row>
    <row r="1795">
      <c r="A1795" s="58"/>
      <c r="B1795" s="58"/>
      <c r="C1795" s="58"/>
      <c r="D1795" s="58"/>
      <c r="E1795" s="58"/>
      <c r="F1795" s="88"/>
      <c r="G1795" s="58"/>
      <c r="H1795" s="88"/>
      <c r="I1795" s="91"/>
      <c r="J1795" s="58"/>
      <c r="K1795" s="244"/>
      <c r="L1795" s="93"/>
      <c r="M1795" s="58"/>
      <c r="N1795" s="62"/>
      <c r="O1795" s="245"/>
      <c r="P1795" s="62"/>
      <c r="Q1795" s="58"/>
      <c r="R1795" s="88"/>
      <c r="S1795" s="88"/>
    </row>
    <row r="1796">
      <c r="A1796" s="58"/>
      <c r="B1796" s="58"/>
      <c r="C1796" s="58"/>
      <c r="D1796" s="58"/>
      <c r="E1796" s="58"/>
      <c r="F1796" s="88"/>
      <c r="G1796" s="58"/>
      <c r="H1796" s="88"/>
      <c r="I1796" s="91"/>
      <c r="J1796" s="58"/>
      <c r="K1796" s="244"/>
      <c r="L1796" s="93"/>
      <c r="M1796" s="58"/>
      <c r="N1796" s="62"/>
      <c r="O1796" s="245"/>
      <c r="P1796" s="62"/>
      <c r="Q1796" s="58"/>
      <c r="R1796" s="88"/>
      <c r="S1796" s="88"/>
    </row>
    <row r="1797">
      <c r="A1797" s="58"/>
      <c r="B1797" s="58"/>
      <c r="C1797" s="58"/>
      <c r="D1797" s="58"/>
      <c r="E1797" s="58"/>
      <c r="F1797" s="88"/>
      <c r="G1797" s="58"/>
      <c r="H1797" s="88"/>
      <c r="I1797" s="91"/>
      <c r="J1797" s="58"/>
      <c r="K1797" s="244"/>
      <c r="L1797" s="93"/>
      <c r="M1797" s="58"/>
      <c r="N1797" s="62"/>
      <c r="O1797" s="245"/>
      <c r="P1797" s="62"/>
      <c r="Q1797" s="58"/>
      <c r="R1797" s="88"/>
      <c r="S1797" s="88"/>
    </row>
    <row r="1798">
      <c r="A1798" s="58"/>
      <c r="B1798" s="58"/>
      <c r="C1798" s="58"/>
      <c r="D1798" s="58"/>
      <c r="E1798" s="58"/>
      <c r="F1798" s="88"/>
      <c r="G1798" s="58"/>
      <c r="H1798" s="88"/>
      <c r="I1798" s="91"/>
      <c r="J1798" s="58"/>
      <c r="K1798" s="244"/>
      <c r="L1798" s="93"/>
      <c r="M1798" s="58"/>
      <c r="N1798" s="62"/>
      <c r="O1798" s="245"/>
      <c r="P1798" s="62"/>
      <c r="Q1798" s="58"/>
      <c r="R1798" s="88"/>
      <c r="S1798" s="88"/>
    </row>
    <row r="1799">
      <c r="A1799" s="58"/>
      <c r="B1799" s="58"/>
      <c r="C1799" s="58"/>
      <c r="D1799" s="58"/>
      <c r="E1799" s="58"/>
      <c r="F1799" s="88"/>
      <c r="G1799" s="58"/>
      <c r="H1799" s="88"/>
      <c r="I1799" s="91"/>
      <c r="J1799" s="58"/>
      <c r="K1799" s="244"/>
      <c r="L1799" s="93"/>
      <c r="M1799" s="58"/>
      <c r="N1799" s="62"/>
      <c r="O1799" s="245"/>
      <c r="P1799" s="62"/>
      <c r="Q1799" s="58"/>
      <c r="R1799" s="88"/>
      <c r="S1799" s="88"/>
    </row>
    <row r="1800">
      <c r="A1800" s="58"/>
      <c r="B1800" s="58"/>
      <c r="C1800" s="58"/>
      <c r="D1800" s="58"/>
      <c r="E1800" s="58"/>
      <c r="F1800" s="88"/>
      <c r="G1800" s="58"/>
      <c r="H1800" s="88"/>
      <c r="I1800" s="91"/>
      <c r="J1800" s="58"/>
      <c r="K1800" s="244"/>
      <c r="L1800" s="93"/>
      <c r="M1800" s="58"/>
      <c r="N1800" s="62"/>
      <c r="O1800" s="245"/>
      <c r="P1800" s="62"/>
      <c r="Q1800" s="58"/>
      <c r="R1800" s="88"/>
      <c r="S1800" s="88"/>
    </row>
    <row r="1801">
      <c r="A1801" s="58"/>
      <c r="B1801" s="58"/>
      <c r="C1801" s="58"/>
      <c r="D1801" s="58"/>
      <c r="E1801" s="58"/>
      <c r="F1801" s="88"/>
      <c r="G1801" s="58"/>
      <c r="H1801" s="88"/>
      <c r="I1801" s="91"/>
      <c r="J1801" s="58"/>
      <c r="K1801" s="244"/>
      <c r="L1801" s="93"/>
      <c r="M1801" s="58"/>
      <c r="N1801" s="62"/>
      <c r="O1801" s="245"/>
      <c r="P1801" s="62"/>
      <c r="Q1801" s="58"/>
      <c r="R1801" s="88"/>
      <c r="S1801" s="88"/>
    </row>
    <row r="1802">
      <c r="A1802" s="58"/>
      <c r="B1802" s="58"/>
      <c r="C1802" s="58"/>
      <c r="D1802" s="58"/>
      <c r="E1802" s="58"/>
      <c r="F1802" s="88"/>
      <c r="G1802" s="58"/>
      <c r="H1802" s="88"/>
      <c r="I1802" s="91"/>
      <c r="J1802" s="58"/>
      <c r="K1802" s="244"/>
      <c r="L1802" s="93"/>
      <c r="M1802" s="58"/>
      <c r="N1802" s="62"/>
      <c r="O1802" s="245"/>
      <c r="P1802" s="62"/>
      <c r="Q1802" s="58"/>
      <c r="R1802" s="88"/>
      <c r="S1802" s="88"/>
    </row>
    <row r="1803">
      <c r="A1803" s="58"/>
      <c r="B1803" s="58"/>
      <c r="C1803" s="58"/>
      <c r="D1803" s="58"/>
      <c r="E1803" s="58"/>
      <c r="F1803" s="88"/>
      <c r="G1803" s="58"/>
      <c r="H1803" s="88"/>
      <c r="I1803" s="91"/>
      <c r="J1803" s="58"/>
      <c r="K1803" s="244"/>
      <c r="L1803" s="93"/>
      <c r="M1803" s="58"/>
      <c r="N1803" s="62"/>
      <c r="O1803" s="245"/>
      <c r="P1803" s="62"/>
      <c r="Q1803" s="58"/>
      <c r="R1803" s="88"/>
      <c r="S1803" s="88"/>
    </row>
    <row r="1804">
      <c r="A1804" s="58"/>
      <c r="B1804" s="58"/>
      <c r="C1804" s="58"/>
      <c r="D1804" s="58"/>
      <c r="E1804" s="58"/>
      <c r="F1804" s="88"/>
      <c r="G1804" s="58"/>
      <c r="H1804" s="88"/>
      <c r="I1804" s="91"/>
      <c r="J1804" s="58"/>
      <c r="K1804" s="244"/>
      <c r="L1804" s="93"/>
      <c r="M1804" s="58"/>
      <c r="N1804" s="62"/>
      <c r="O1804" s="245"/>
      <c r="P1804" s="62"/>
      <c r="Q1804" s="58"/>
      <c r="R1804" s="88"/>
      <c r="S1804" s="88"/>
    </row>
    <row r="1805">
      <c r="A1805" s="58"/>
      <c r="B1805" s="58"/>
      <c r="C1805" s="58"/>
      <c r="D1805" s="58"/>
      <c r="E1805" s="58"/>
      <c r="F1805" s="88"/>
      <c r="G1805" s="58"/>
      <c r="H1805" s="88"/>
      <c r="I1805" s="91"/>
      <c r="J1805" s="58"/>
      <c r="K1805" s="244"/>
      <c r="L1805" s="93"/>
      <c r="M1805" s="58"/>
      <c r="N1805" s="62"/>
      <c r="O1805" s="245"/>
      <c r="P1805" s="62"/>
      <c r="Q1805" s="58"/>
      <c r="R1805" s="88"/>
      <c r="S1805" s="88"/>
    </row>
    <row r="1806">
      <c r="A1806" s="58"/>
      <c r="B1806" s="58"/>
      <c r="C1806" s="58"/>
      <c r="D1806" s="58"/>
      <c r="E1806" s="58"/>
      <c r="F1806" s="88"/>
      <c r="G1806" s="58"/>
      <c r="H1806" s="88"/>
      <c r="I1806" s="91"/>
      <c r="J1806" s="58"/>
      <c r="K1806" s="244"/>
      <c r="L1806" s="93"/>
      <c r="M1806" s="58"/>
      <c r="N1806" s="62"/>
      <c r="O1806" s="245"/>
      <c r="P1806" s="62"/>
      <c r="Q1806" s="58"/>
      <c r="R1806" s="88"/>
      <c r="S1806" s="88"/>
    </row>
    <row r="1807">
      <c r="A1807" s="58"/>
      <c r="B1807" s="58"/>
      <c r="C1807" s="58"/>
      <c r="D1807" s="58"/>
      <c r="E1807" s="58"/>
      <c r="F1807" s="88"/>
      <c r="G1807" s="58"/>
      <c r="H1807" s="88"/>
      <c r="I1807" s="91"/>
      <c r="J1807" s="58"/>
      <c r="K1807" s="244"/>
      <c r="L1807" s="93"/>
      <c r="M1807" s="58"/>
      <c r="N1807" s="62"/>
      <c r="O1807" s="245"/>
      <c r="P1807" s="62"/>
      <c r="Q1807" s="58"/>
      <c r="R1807" s="88"/>
      <c r="S1807" s="88"/>
    </row>
    <row r="1808">
      <c r="A1808" s="58"/>
      <c r="B1808" s="58"/>
      <c r="C1808" s="58"/>
      <c r="D1808" s="58"/>
      <c r="E1808" s="58"/>
      <c r="F1808" s="88"/>
      <c r="G1808" s="58"/>
      <c r="H1808" s="88"/>
      <c r="I1808" s="91"/>
      <c r="J1808" s="58"/>
      <c r="K1808" s="244"/>
      <c r="L1808" s="93"/>
      <c r="M1808" s="58"/>
      <c r="N1808" s="62"/>
      <c r="O1808" s="245"/>
      <c r="P1808" s="62"/>
      <c r="Q1808" s="58"/>
      <c r="R1808" s="88"/>
      <c r="S1808" s="88"/>
    </row>
    <row r="1809">
      <c r="A1809" s="58"/>
      <c r="B1809" s="58"/>
      <c r="C1809" s="58"/>
      <c r="D1809" s="58"/>
      <c r="E1809" s="58"/>
      <c r="F1809" s="88"/>
      <c r="G1809" s="58"/>
      <c r="H1809" s="88"/>
      <c r="I1809" s="91"/>
      <c r="J1809" s="58"/>
      <c r="K1809" s="244"/>
      <c r="L1809" s="93"/>
      <c r="M1809" s="58"/>
      <c r="N1809" s="62"/>
      <c r="O1809" s="245"/>
      <c r="P1809" s="62"/>
      <c r="Q1809" s="58"/>
      <c r="R1809" s="88"/>
      <c r="S1809" s="88"/>
    </row>
    <row r="1810">
      <c r="A1810" s="58"/>
      <c r="B1810" s="58"/>
      <c r="C1810" s="58"/>
      <c r="D1810" s="58"/>
      <c r="E1810" s="58"/>
      <c r="F1810" s="88"/>
      <c r="G1810" s="58"/>
      <c r="H1810" s="88"/>
      <c r="I1810" s="91"/>
      <c r="J1810" s="58"/>
      <c r="K1810" s="244"/>
      <c r="L1810" s="93"/>
      <c r="M1810" s="58"/>
      <c r="N1810" s="62"/>
      <c r="O1810" s="245"/>
      <c r="P1810" s="62"/>
      <c r="Q1810" s="58"/>
      <c r="R1810" s="88"/>
      <c r="S1810" s="88"/>
    </row>
    <row r="1811">
      <c r="A1811" s="58"/>
      <c r="B1811" s="58"/>
      <c r="C1811" s="58"/>
      <c r="D1811" s="58"/>
      <c r="E1811" s="58"/>
      <c r="F1811" s="88"/>
      <c r="G1811" s="58"/>
      <c r="H1811" s="88"/>
      <c r="I1811" s="91"/>
      <c r="J1811" s="58"/>
      <c r="K1811" s="244"/>
      <c r="L1811" s="93"/>
      <c r="M1811" s="58"/>
      <c r="N1811" s="62"/>
      <c r="O1811" s="245"/>
      <c r="P1811" s="62"/>
      <c r="Q1811" s="58"/>
      <c r="R1811" s="88"/>
      <c r="S1811" s="88"/>
    </row>
    <row r="1812">
      <c r="A1812" s="58"/>
      <c r="B1812" s="58"/>
      <c r="C1812" s="58"/>
      <c r="D1812" s="58"/>
      <c r="E1812" s="58"/>
      <c r="F1812" s="88"/>
      <c r="G1812" s="58"/>
      <c r="H1812" s="88"/>
      <c r="I1812" s="91"/>
      <c r="J1812" s="58"/>
      <c r="K1812" s="244"/>
      <c r="L1812" s="93"/>
      <c r="M1812" s="58"/>
      <c r="N1812" s="62"/>
      <c r="O1812" s="245"/>
      <c r="P1812" s="62"/>
      <c r="Q1812" s="58"/>
      <c r="R1812" s="88"/>
      <c r="S1812" s="88"/>
    </row>
    <row r="1813">
      <c r="A1813" s="58"/>
      <c r="B1813" s="58"/>
      <c r="C1813" s="58"/>
      <c r="D1813" s="58"/>
      <c r="E1813" s="58"/>
      <c r="F1813" s="88"/>
      <c r="G1813" s="58"/>
      <c r="H1813" s="88"/>
      <c r="I1813" s="91"/>
      <c r="J1813" s="58"/>
      <c r="K1813" s="244"/>
      <c r="L1813" s="93"/>
      <c r="M1813" s="58"/>
      <c r="N1813" s="62"/>
      <c r="O1813" s="245"/>
      <c r="P1813" s="62"/>
      <c r="Q1813" s="58"/>
      <c r="R1813" s="88"/>
      <c r="S1813" s="88"/>
    </row>
    <row r="1814">
      <c r="A1814" s="58"/>
      <c r="B1814" s="58"/>
      <c r="C1814" s="58"/>
      <c r="D1814" s="58"/>
      <c r="E1814" s="58"/>
      <c r="F1814" s="88"/>
      <c r="G1814" s="58"/>
      <c r="H1814" s="88"/>
      <c r="I1814" s="91"/>
      <c r="J1814" s="58"/>
      <c r="K1814" s="244"/>
      <c r="L1814" s="93"/>
      <c r="M1814" s="58"/>
      <c r="N1814" s="62"/>
      <c r="O1814" s="245"/>
      <c r="P1814" s="62"/>
      <c r="Q1814" s="58"/>
      <c r="R1814" s="88"/>
      <c r="S1814" s="88"/>
    </row>
    <row r="1815">
      <c r="A1815" s="58"/>
      <c r="B1815" s="58"/>
      <c r="C1815" s="58"/>
      <c r="D1815" s="58"/>
      <c r="E1815" s="58"/>
      <c r="F1815" s="88"/>
      <c r="G1815" s="58"/>
      <c r="H1815" s="88"/>
      <c r="I1815" s="91"/>
      <c r="J1815" s="58"/>
      <c r="K1815" s="244"/>
      <c r="L1815" s="93"/>
      <c r="M1815" s="58"/>
      <c r="N1815" s="62"/>
      <c r="O1815" s="245"/>
      <c r="P1815" s="62"/>
      <c r="Q1815" s="58"/>
      <c r="R1815" s="88"/>
      <c r="S1815" s="88"/>
    </row>
    <row r="1816">
      <c r="A1816" s="58"/>
      <c r="B1816" s="58"/>
      <c r="C1816" s="58"/>
      <c r="D1816" s="58"/>
      <c r="E1816" s="58"/>
      <c r="F1816" s="88"/>
      <c r="G1816" s="58"/>
      <c r="H1816" s="88"/>
      <c r="I1816" s="91"/>
      <c r="J1816" s="58"/>
      <c r="K1816" s="244"/>
      <c r="L1816" s="93"/>
      <c r="M1816" s="58"/>
      <c r="N1816" s="62"/>
      <c r="O1816" s="245"/>
      <c r="P1816" s="62"/>
      <c r="Q1816" s="58"/>
      <c r="R1816" s="88"/>
      <c r="S1816" s="88"/>
    </row>
    <row r="1817">
      <c r="A1817" s="58"/>
      <c r="B1817" s="58"/>
      <c r="C1817" s="58"/>
      <c r="D1817" s="58"/>
      <c r="E1817" s="58"/>
      <c r="F1817" s="88"/>
      <c r="G1817" s="58"/>
      <c r="H1817" s="88"/>
      <c r="I1817" s="91"/>
      <c r="J1817" s="58"/>
      <c r="K1817" s="244"/>
      <c r="L1817" s="93"/>
      <c r="M1817" s="58"/>
      <c r="N1817" s="62"/>
      <c r="O1817" s="245"/>
      <c r="P1817" s="62"/>
      <c r="Q1817" s="58"/>
      <c r="R1817" s="88"/>
      <c r="S1817" s="88"/>
    </row>
    <row r="1818">
      <c r="A1818" s="58"/>
      <c r="B1818" s="58"/>
      <c r="C1818" s="58"/>
      <c r="D1818" s="58"/>
      <c r="E1818" s="58"/>
      <c r="F1818" s="88"/>
      <c r="G1818" s="58"/>
      <c r="H1818" s="88"/>
      <c r="I1818" s="91"/>
      <c r="J1818" s="58"/>
      <c r="K1818" s="244"/>
      <c r="L1818" s="93"/>
      <c r="M1818" s="58"/>
      <c r="N1818" s="62"/>
      <c r="O1818" s="245"/>
      <c r="P1818" s="62"/>
      <c r="Q1818" s="58"/>
      <c r="R1818" s="88"/>
      <c r="S1818" s="88"/>
    </row>
    <row r="1819">
      <c r="A1819" s="58"/>
      <c r="B1819" s="58"/>
      <c r="C1819" s="58"/>
      <c r="D1819" s="58"/>
      <c r="E1819" s="58"/>
      <c r="F1819" s="88"/>
      <c r="G1819" s="58"/>
      <c r="H1819" s="88"/>
      <c r="I1819" s="91"/>
      <c r="J1819" s="58"/>
      <c r="K1819" s="244"/>
      <c r="L1819" s="93"/>
      <c r="M1819" s="58"/>
      <c r="N1819" s="62"/>
      <c r="O1819" s="245"/>
      <c r="P1819" s="62"/>
      <c r="Q1819" s="58"/>
      <c r="R1819" s="88"/>
      <c r="S1819" s="88"/>
    </row>
    <row r="1820">
      <c r="A1820" s="58"/>
      <c r="B1820" s="58"/>
      <c r="C1820" s="58"/>
      <c r="D1820" s="58"/>
      <c r="E1820" s="58"/>
      <c r="F1820" s="88"/>
      <c r="G1820" s="58"/>
      <c r="H1820" s="88"/>
      <c r="I1820" s="91"/>
      <c r="J1820" s="58"/>
      <c r="K1820" s="244"/>
      <c r="L1820" s="93"/>
      <c r="M1820" s="58"/>
      <c r="N1820" s="62"/>
      <c r="O1820" s="245"/>
      <c r="P1820" s="62"/>
      <c r="Q1820" s="58"/>
      <c r="R1820" s="88"/>
      <c r="S1820" s="88"/>
    </row>
    <row r="1821">
      <c r="A1821" s="58"/>
      <c r="B1821" s="58"/>
      <c r="C1821" s="58"/>
      <c r="D1821" s="58"/>
      <c r="E1821" s="58"/>
      <c r="F1821" s="88"/>
      <c r="G1821" s="58"/>
      <c r="H1821" s="88"/>
      <c r="I1821" s="91"/>
      <c r="J1821" s="58"/>
      <c r="K1821" s="244"/>
      <c r="L1821" s="93"/>
      <c r="M1821" s="58"/>
      <c r="N1821" s="62"/>
      <c r="O1821" s="245"/>
      <c r="P1821" s="62"/>
      <c r="Q1821" s="58"/>
      <c r="R1821" s="88"/>
      <c r="S1821" s="88"/>
    </row>
    <row r="1822">
      <c r="A1822" s="58"/>
      <c r="B1822" s="58"/>
      <c r="C1822" s="58"/>
      <c r="D1822" s="58"/>
      <c r="E1822" s="58"/>
      <c r="F1822" s="88"/>
      <c r="G1822" s="58"/>
      <c r="H1822" s="88"/>
      <c r="I1822" s="91"/>
      <c r="J1822" s="58"/>
      <c r="K1822" s="244"/>
      <c r="L1822" s="93"/>
      <c r="M1822" s="58"/>
      <c r="N1822" s="62"/>
      <c r="O1822" s="245"/>
      <c r="P1822" s="62"/>
      <c r="Q1822" s="58"/>
      <c r="R1822" s="88"/>
      <c r="S1822" s="88"/>
    </row>
    <row r="1823">
      <c r="A1823" s="58"/>
      <c r="B1823" s="58"/>
      <c r="C1823" s="58"/>
      <c r="D1823" s="58"/>
      <c r="E1823" s="58"/>
      <c r="F1823" s="88"/>
      <c r="G1823" s="58"/>
      <c r="H1823" s="88"/>
      <c r="I1823" s="91"/>
      <c r="J1823" s="58"/>
      <c r="K1823" s="244"/>
      <c r="L1823" s="93"/>
      <c r="M1823" s="58"/>
      <c r="N1823" s="62"/>
      <c r="O1823" s="245"/>
      <c r="P1823" s="62"/>
      <c r="Q1823" s="58"/>
      <c r="R1823" s="88"/>
      <c r="S1823" s="88"/>
    </row>
    <row r="1824">
      <c r="A1824" s="58"/>
      <c r="B1824" s="58"/>
      <c r="C1824" s="58"/>
      <c r="D1824" s="58"/>
      <c r="E1824" s="58"/>
      <c r="F1824" s="88"/>
      <c r="G1824" s="58"/>
      <c r="H1824" s="88"/>
      <c r="I1824" s="91"/>
      <c r="J1824" s="58"/>
      <c r="K1824" s="244"/>
      <c r="L1824" s="93"/>
      <c r="M1824" s="58"/>
      <c r="N1824" s="62"/>
      <c r="O1824" s="245"/>
      <c r="P1824" s="62"/>
      <c r="Q1824" s="58"/>
      <c r="R1824" s="88"/>
      <c r="S1824" s="88"/>
    </row>
    <row r="1825">
      <c r="A1825" s="58"/>
      <c r="B1825" s="58"/>
      <c r="C1825" s="58"/>
      <c r="D1825" s="58"/>
      <c r="E1825" s="58"/>
      <c r="F1825" s="88"/>
      <c r="G1825" s="58"/>
      <c r="H1825" s="88"/>
      <c r="I1825" s="91"/>
      <c r="J1825" s="58"/>
      <c r="K1825" s="244"/>
      <c r="L1825" s="93"/>
      <c r="M1825" s="58"/>
      <c r="N1825" s="62"/>
      <c r="O1825" s="245"/>
      <c r="P1825" s="62"/>
      <c r="Q1825" s="58"/>
      <c r="R1825" s="88"/>
      <c r="S1825" s="88"/>
    </row>
    <row r="1826">
      <c r="A1826" s="58"/>
      <c r="B1826" s="58"/>
      <c r="C1826" s="58"/>
      <c r="D1826" s="58"/>
      <c r="E1826" s="58"/>
      <c r="F1826" s="88"/>
      <c r="G1826" s="58"/>
      <c r="H1826" s="88"/>
      <c r="I1826" s="91"/>
      <c r="J1826" s="58"/>
      <c r="K1826" s="244"/>
      <c r="L1826" s="93"/>
      <c r="M1826" s="58"/>
      <c r="N1826" s="62"/>
      <c r="O1826" s="245"/>
      <c r="P1826" s="62"/>
      <c r="Q1826" s="58"/>
      <c r="R1826" s="88"/>
      <c r="S1826" s="88"/>
    </row>
    <row r="1827">
      <c r="A1827" s="58"/>
      <c r="B1827" s="58"/>
      <c r="C1827" s="58"/>
      <c r="D1827" s="58"/>
      <c r="E1827" s="58"/>
      <c r="F1827" s="88"/>
      <c r="G1827" s="58"/>
      <c r="H1827" s="88"/>
      <c r="I1827" s="91"/>
      <c r="J1827" s="58"/>
      <c r="K1827" s="244"/>
      <c r="L1827" s="93"/>
      <c r="M1827" s="58"/>
      <c r="N1827" s="62"/>
      <c r="O1827" s="245"/>
      <c r="P1827" s="62"/>
      <c r="Q1827" s="58"/>
      <c r="R1827" s="88"/>
      <c r="S1827" s="88"/>
    </row>
    <row r="1828">
      <c r="A1828" s="58"/>
      <c r="B1828" s="58"/>
      <c r="C1828" s="58"/>
      <c r="D1828" s="58"/>
      <c r="E1828" s="58"/>
      <c r="F1828" s="88"/>
      <c r="G1828" s="58"/>
      <c r="H1828" s="88"/>
      <c r="I1828" s="91"/>
      <c r="J1828" s="58"/>
      <c r="K1828" s="244"/>
      <c r="L1828" s="93"/>
      <c r="M1828" s="58"/>
      <c r="N1828" s="62"/>
      <c r="O1828" s="245"/>
      <c r="P1828" s="62"/>
      <c r="Q1828" s="58"/>
      <c r="R1828" s="88"/>
      <c r="S1828" s="88"/>
    </row>
    <row r="1829">
      <c r="A1829" s="58"/>
      <c r="B1829" s="58"/>
      <c r="C1829" s="58"/>
      <c r="D1829" s="58"/>
      <c r="E1829" s="58"/>
      <c r="F1829" s="88"/>
      <c r="G1829" s="58"/>
      <c r="H1829" s="88"/>
      <c r="I1829" s="91"/>
      <c r="J1829" s="58"/>
      <c r="K1829" s="244"/>
      <c r="L1829" s="93"/>
      <c r="M1829" s="58"/>
      <c r="N1829" s="62"/>
      <c r="O1829" s="245"/>
      <c r="P1829" s="62"/>
      <c r="Q1829" s="58"/>
      <c r="R1829" s="88"/>
      <c r="S1829" s="88"/>
    </row>
    <row r="1830">
      <c r="A1830" s="58"/>
      <c r="B1830" s="58"/>
      <c r="C1830" s="58"/>
      <c r="D1830" s="58"/>
      <c r="E1830" s="58"/>
      <c r="F1830" s="88"/>
      <c r="G1830" s="58"/>
      <c r="H1830" s="88"/>
      <c r="I1830" s="91"/>
      <c r="J1830" s="58"/>
      <c r="K1830" s="244"/>
      <c r="L1830" s="93"/>
      <c r="M1830" s="58"/>
      <c r="N1830" s="62"/>
      <c r="O1830" s="245"/>
      <c r="P1830" s="62"/>
      <c r="Q1830" s="58"/>
      <c r="R1830" s="88"/>
      <c r="S1830" s="88"/>
    </row>
    <row r="1831">
      <c r="A1831" s="58"/>
      <c r="B1831" s="58"/>
      <c r="C1831" s="58"/>
      <c r="D1831" s="58"/>
      <c r="E1831" s="58"/>
      <c r="F1831" s="88"/>
      <c r="G1831" s="58"/>
      <c r="H1831" s="88"/>
      <c r="I1831" s="91"/>
      <c r="J1831" s="58"/>
      <c r="K1831" s="244"/>
      <c r="L1831" s="93"/>
      <c r="M1831" s="58"/>
      <c r="N1831" s="62"/>
      <c r="O1831" s="245"/>
      <c r="P1831" s="62"/>
      <c r="Q1831" s="58"/>
      <c r="R1831" s="88"/>
      <c r="S1831" s="88"/>
    </row>
    <row r="1832">
      <c r="A1832" s="58"/>
      <c r="B1832" s="58"/>
      <c r="C1832" s="58"/>
      <c r="D1832" s="58"/>
      <c r="E1832" s="58"/>
      <c r="F1832" s="88"/>
      <c r="G1832" s="58"/>
      <c r="H1832" s="88"/>
      <c r="I1832" s="91"/>
      <c r="J1832" s="58"/>
      <c r="K1832" s="244"/>
      <c r="L1832" s="93"/>
      <c r="M1832" s="58"/>
      <c r="N1832" s="62"/>
      <c r="O1832" s="245"/>
      <c r="P1832" s="62"/>
      <c r="Q1832" s="58"/>
      <c r="R1832" s="88"/>
      <c r="S1832" s="88"/>
    </row>
    <row r="1833">
      <c r="A1833" s="58"/>
      <c r="B1833" s="58"/>
      <c r="C1833" s="58"/>
      <c r="D1833" s="58"/>
      <c r="E1833" s="58"/>
      <c r="F1833" s="88"/>
      <c r="G1833" s="58"/>
      <c r="H1833" s="88"/>
      <c r="I1833" s="91"/>
      <c r="J1833" s="58"/>
      <c r="K1833" s="244"/>
      <c r="L1833" s="93"/>
      <c r="M1833" s="58"/>
      <c r="N1833" s="62"/>
      <c r="O1833" s="245"/>
      <c r="P1833" s="62"/>
      <c r="Q1833" s="58"/>
      <c r="R1833" s="88"/>
      <c r="S1833" s="88"/>
    </row>
    <row r="1834">
      <c r="A1834" s="58"/>
      <c r="B1834" s="58"/>
      <c r="C1834" s="58"/>
      <c r="D1834" s="58"/>
      <c r="E1834" s="58"/>
      <c r="F1834" s="88"/>
      <c r="G1834" s="58"/>
      <c r="H1834" s="88"/>
      <c r="I1834" s="91"/>
      <c r="J1834" s="58"/>
      <c r="K1834" s="244"/>
      <c r="L1834" s="93"/>
      <c r="M1834" s="58"/>
      <c r="N1834" s="62"/>
      <c r="O1834" s="245"/>
      <c r="P1834" s="62"/>
      <c r="Q1834" s="58"/>
      <c r="R1834" s="88"/>
      <c r="S1834" s="88"/>
    </row>
    <row r="1835">
      <c r="A1835" s="58"/>
      <c r="B1835" s="58"/>
      <c r="C1835" s="58"/>
      <c r="D1835" s="58"/>
      <c r="E1835" s="58"/>
      <c r="F1835" s="88"/>
      <c r="G1835" s="58"/>
      <c r="H1835" s="88"/>
      <c r="I1835" s="91"/>
      <c r="J1835" s="58"/>
      <c r="K1835" s="244"/>
      <c r="L1835" s="93"/>
      <c r="M1835" s="58"/>
      <c r="N1835" s="62"/>
      <c r="O1835" s="245"/>
      <c r="P1835" s="62"/>
      <c r="Q1835" s="58"/>
      <c r="R1835" s="88"/>
      <c r="S1835" s="88"/>
    </row>
    <row r="1836">
      <c r="A1836" s="58"/>
      <c r="B1836" s="58"/>
      <c r="C1836" s="58"/>
      <c r="D1836" s="58"/>
      <c r="E1836" s="58"/>
      <c r="F1836" s="88"/>
      <c r="G1836" s="58"/>
      <c r="H1836" s="88"/>
      <c r="I1836" s="91"/>
      <c r="J1836" s="58"/>
      <c r="K1836" s="244"/>
      <c r="L1836" s="93"/>
      <c r="M1836" s="58"/>
      <c r="N1836" s="62"/>
      <c r="O1836" s="245"/>
      <c r="P1836" s="62"/>
      <c r="Q1836" s="58"/>
      <c r="R1836" s="88"/>
      <c r="S1836" s="88"/>
    </row>
    <row r="1837">
      <c r="A1837" s="58"/>
      <c r="B1837" s="58"/>
      <c r="C1837" s="58"/>
      <c r="D1837" s="58"/>
      <c r="E1837" s="58"/>
      <c r="F1837" s="88"/>
      <c r="G1837" s="58"/>
      <c r="H1837" s="88"/>
      <c r="I1837" s="91"/>
      <c r="J1837" s="58"/>
      <c r="K1837" s="244"/>
      <c r="L1837" s="93"/>
      <c r="M1837" s="58"/>
      <c r="N1837" s="62"/>
      <c r="O1837" s="245"/>
      <c r="P1837" s="62"/>
      <c r="Q1837" s="58"/>
      <c r="R1837" s="88"/>
      <c r="S1837" s="88"/>
    </row>
    <row r="1838">
      <c r="A1838" s="58"/>
      <c r="B1838" s="58"/>
      <c r="C1838" s="58"/>
      <c r="D1838" s="58"/>
      <c r="E1838" s="58"/>
      <c r="F1838" s="88"/>
      <c r="G1838" s="58"/>
      <c r="H1838" s="88"/>
      <c r="I1838" s="91"/>
      <c r="J1838" s="58"/>
      <c r="K1838" s="244"/>
      <c r="L1838" s="93"/>
      <c r="M1838" s="58"/>
      <c r="N1838" s="62"/>
      <c r="O1838" s="245"/>
      <c r="P1838" s="62"/>
      <c r="Q1838" s="58"/>
      <c r="R1838" s="88"/>
      <c r="S1838" s="88"/>
    </row>
    <row r="1839">
      <c r="A1839" s="58"/>
      <c r="B1839" s="58"/>
      <c r="C1839" s="58"/>
      <c r="D1839" s="58"/>
      <c r="E1839" s="58"/>
      <c r="F1839" s="88"/>
      <c r="G1839" s="58"/>
      <c r="H1839" s="88"/>
      <c r="I1839" s="91"/>
      <c r="J1839" s="58"/>
      <c r="K1839" s="244"/>
      <c r="L1839" s="93"/>
      <c r="M1839" s="58"/>
      <c r="N1839" s="62"/>
      <c r="O1839" s="245"/>
      <c r="P1839" s="62"/>
      <c r="Q1839" s="58"/>
      <c r="R1839" s="88"/>
      <c r="S1839" s="88"/>
    </row>
    <row r="1840">
      <c r="A1840" s="58"/>
      <c r="B1840" s="58"/>
      <c r="C1840" s="58"/>
      <c r="D1840" s="58"/>
      <c r="E1840" s="58"/>
      <c r="F1840" s="88"/>
      <c r="G1840" s="58"/>
      <c r="H1840" s="88"/>
      <c r="I1840" s="91"/>
      <c r="J1840" s="58"/>
      <c r="K1840" s="244"/>
      <c r="L1840" s="93"/>
      <c r="M1840" s="58"/>
      <c r="N1840" s="62"/>
      <c r="O1840" s="245"/>
      <c r="P1840" s="62"/>
      <c r="Q1840" s="58"/>
      <c r="R1840" s="88"/>
      <c r="S1840" s="88"/>
    </row>
    <row r="1841">
      <c r="A1841" s="58"/>
      <c r="B1841" s="58"/>
      <c r="C1841" s="58"/>
      <c r="D1841" s="58"/>
      <c r="E1841" s="58"/>
      <c r="F1841" s="88"/>
      <c r="G1841" s="58"/>
      <c r="H1841" s="88"/>
      <c r="I1841" s="91"/>
      <c r="J1841" s="58"/>
      <c r="K1841" s="244"/>
      <c r="L1841" s="93"/>
      <c r="M1841" s="58"/>
      <c r="N1841" s="62"/>
      <c r="O1841" s="245"/>
      <c r="P1841" s="62"/>
      <c r="Q1841" s="58"/>
      <c r="R1841" s="88"/>
      <c r="S1841" s="88"/>
    </row>
    <row r="1842">
      <c r="A1842" s="58"/>
      <c r="B1842" s="58"/>
      <c r="C1842" s="58"/>
      <c r="D1842" s="58"/>
      <c r="E1842" s="58"/>
      <c r="F1842" s="88"/>
      <c r="G1842" s="58"/>
      <c r="H1842" s="88"/>
      <c r="I1842" s="91"/>
      <c r="J1842" s="58"/>
      <c r="K1842" s="244"/>
      <c r="L1842" s="93"/>
      <c r="M1842" s="58"/>
      <c r="N1842" s="62"/>
      <c r="O1842" s="245"/>
      <c r="P1842" s="62"/>
      <c r="Q1842" s="58"/>
      <c r="R1842" s="88"/>
      <c r="S1842" s="88"/>
    </row>
    <row r="1843">
      <c r="A1843" s="58"/>
      <c r="B1843" s="58"/>
      <c r="C1843" s="58"/>
      <c r="D1843" s="58"/>
      <c r="E1843" s="58"/>
      <c r="F1843" s="88"/>
      <c r="G1843" s="58"/>
      <c r="H1843" s="88"/>
      <c r="I1843" s="91"/>
      <c r="J1843" s="58"/>
      <c r="K1843" s="244"/>
      <c r="L1843" s="93"/>
      <c r="M1843" s="58"/>
      <c r="N1843" s="62"/>
      <c r="O1843" s="245"/>
      <c r="P1843" s="62"/>
      <c r="Q1843" s="58"/>
      <c r="R1843" s="88"/>
      <c r="S1843" s="88"/>
    </row>
    <row r="1844">
      <c r="A1844" s="58"/>
      <c r="B1844" s="58"/>
      <c r="C1844" s="58"/>
      <c r="D1844" s="58"/>
      <c r="E1844" s="58"/>
      <c r="F1844" s="88"/>
      <c r="G1844" s="58"/>
      <c r="H1844" s="88"/>
      <c r="I1844" s="91"/>
      <c r="J1844" s="58"/>
      <c r="K1844" s="244"/>
      <c r="L1844" s="93"/>
      <c r="M1844" s="58"/>
      <c r="N1844" s="62"/>
      <c r="O1844" s="245"/>
      <c r="P1844" s="62"/>
      <c r="Q1844" s="58"/>
      <c r="R1844" s="88"/>
      <c r="S1844" s="88"/>
    </row>
    <row r="1845">
      <c r="A1845" s="58"/>
      <c r="B1845" s="58"/>
      <c r="C1845" s="58"/>
      <c r="D1845" s="58"/>
      <c r="E1845" s="58"/>
      <c r="F1845" s="88"/>
      <c r="G1845" s="58"/>
      <c r="H1845" s="88"/>
      <c r="I1845" s="91"/>
      <c r="J1845" s="58"/>
      <c r="K1845" s="244"/>
      <c r="L1845" s="93"/>
      <c r="M1845" s="58"/>
      <c r="N1845" s="62"/>
      <c r="O1845" s="245"/>
      <c r="P1845" s="62"/>
      <c r="Q1845" s="58"/>
      <c r="R1845" s="88"/>
      <c r="S1845" s="88"/>
    </row>
    <row r="1846">
      <c r="A1846" s="58"/>
      <c r="B1846" s="58"/>
      <c r="C1846" s="58"/>
      <c r="D1846" s="58"/>
      <c r="E1846" s="58"/>
      <c r="F1846" s="88"/>
      <c r="G1846" s="58"/>
      <c r="H1846" s="88"/>
      <c r="I1846" s="91"/>
      <c r="J1846" s="58"/>
      <c r="K1846" s="244"/>
      <c r="L1846" s="93"/>
      <c r="M1846" s="58"/>
      <c r="N1846" s="62"/>
      <c r="O1846" s="245"/>
      <c r="P1846" s="62"/>
      <c r="Q1846" s="58"/>
      <c r="R1846" s="88"/>
      <c r="S1846" s="88"/>
    </row>
    <row r="1847">
      <c r="A1847" s="58"/>
      <c r="B1847" s="58"/>
      <c r="C1847" s="58"/>
      <c r="D1847" s="58"/>
      <c r="E1847" s="58"/>
      <c r="F1847" s="88"/>
      <c r="G1847" s="58"/>
      <c r="H1847" s="88"/>
      <c r="I1847" s="91"/>
      <c r="J1847" s="58"/>
      <c r="K1847" s="244"/>
      <c r="L1847" s="93"/>
      <c r="M1847" s="58"/>
      <c r="N1847" s="62"/>
      <c r="O1847" s="245"/>
      <c r="P1847" s="62"/>
      <c r="Q1847" s="58"/>
      <c r="R1847" s="88"/>
      <c r="S1847" s="88"/>
    </row>
    <row r="1848">
      <c r="A1848" s="58"/>
      <c r="B1848" s="58"/>
      <c r="C1848" s="58"/>
      <c r="D1848" s="58"/>
      <c r="E1848" s="58"/>
      <c r="F1848" s="88"/>
      <c r="G1848" s="58"/>
      <c r="H1848" s="88"/>
      <c r="I1848" s="91"/>
      <c r="J1848" s="58"/>
      <c r="K1848" s="244"/>
      <c r="L1848" s="93"/>
      <c r="M1848" s="58"/>
      <c r="N1848" s="62"/>
      <c r="O1848" s="245"/>
      <c r="P1848" s="62"/>
      <c r="Q1848" s="58"/>
      <c r="R1848" s="88"/>
      <c r="S1848" s="88"/>
    </row>
    <row r="1849">
      <c r="A1849" s="58"/>
      <c r="B1849" s="58"/>
      <c r="C1849" s="58"/>
      <c r="D1849" s="58"/>
      <c r="E1849" s="58"/>
      <c r="F1849" s="88"/>
      <c r="G1849" s="58"/>
      <c r="H1849" s="88"/>
      <c r="I1849" s="91"/>
      <c r="J1849" s="58"/>
      <c r="K1849" s="244"/>
      <c r="L1849" s="93"/>
      <c r="M1849" s="58"/>
      <c r="N1849" s="62"/>
      <c r="O1849" s="245"/>
      <c r="P1849" s="62"/>
      <c r="Q1849" s="58"/>
      <c r="R1849" s="88"/>
      <c r="S1849" s="88"/>
    </row>
    <row r="1850">
      <c r="A1850" s="58"/>
      <c r="B1850" s="58"/>
      <c r="C1850" s="58"/>
      <c r="D1850" s="58"/>
      <c r="E1850" s="58"/>
      <c r="F1850" s="88"/>
      <c r="G1850" s="58"/>
      <c r="H1850" s="88"/>
      <c r="I1850" s="91"/>
      <c r="J1850" s="58"/>
      <c r="K1850" s="244"/>
      <c r="L1850" s="93"/>
      <c r="M1850" s="58"/>
      <c r="N1850" s="62"/>
      <c r="O1850" s="245"/>
      <c r="P1850" s="62"/>
      <c r="Q1850" s="58"/>
      <c r="R1850" s="88"/>
      <c r="S1850" s="88"/>
    </row>
    <row r="1851">
      <c r="A1851" s="58"/>
      <c r="B1851" s="58"/>
      <c r="C1851" s="58"/>
      <c r="D1851" s="58"/>
      <c r="E1851" s="58"/>
      <c r="F1851" s="88"/>
      <c r="G1851" s="58"/>
      <c r="H1851" s="88"/>
      <c r="I1851" s="91"/>
      <c r="J1851" s="58"/>
      <c r="K1851" s="244"/>
      <c r="L1851" s="93"/>
      <c r="M1851" s="58"/>
      <c r="N1851" s="62"/>
      <c r="O1851" s="245"/>
      <c r="P1851" s="62"/>
      <c r="Q1851" s="58"/>
      <c r="R1851" s="88"/>
      <c r="S1851" s="88"/>
    </row>
    <row r="1852">
      <c r="A1852" s="58"/>
      <c r="B1852" s="58"/>
      <c r="C1852" s="58"/>
      <c r="D1852" s="58"/>
      <c r="E1852" s="58"/>
      <c r="F1852" s="88"/>
      <c r="G1852" s="58"/>
      <c r="H1852" s="88"/>
      <c r="I1852" s="91"/>
      <c r="J1852" s="58"/>
      <c r="K1852" s="244"/>
      <c r="L1852" s="93"/>
      <c r="M1852" s="58"/>
      <c r="N1852" s="62"/>
      <c r="O1852" s="245"/>
      <c r="P1852" s="62"/>
      <c r="Q1852" s="58"/>
      <c r="R1852" s="88"/>
      <c r="S1852" s="88"/>
    </row>
    <row r="1853">
      <c r="A1853" s="58"/>
      <c r="B1853" s="58"/>
      <c r="C1853" s="58"/>
      <c r="D1853" s="58"/>
      <c r="E1853" s="58"/>
      <c r="F1853" s="88"/>
      <c r="G1853" s="58"/>
      <c r="H1853" s="88"/>
      <c r="I1853" s="91"/>
      <c r="J1853" s="58"/>
      <c r="K1853" s="244"/>
      <c r="L1853" s="93"/>
      <c r="M1853" s="58"/>
      <c r="N1853" s="62"/>
      <c r="O1853" s="245"/>
      <c r="P1853" s="62"/>
      <c r="Q1853" s="58"/>
      <c r="R1853" s="88"/>
      <c r="S1853" s="88"/>
    </row>
    <row r="1854">
      <c r="A1854" s="58"/>
      <c r="B1854" s="58"/>
      <c r="C1854" s="58"/>
      <c r="D1854" s="58"/>
      <c r="E1854" s="58"/>
      <c r="F1854" s="88"/>
      <c r="G1854" s="58"/>
      <c r="H1854" s="88"/>
      <c r="I1854" s="91"/>
      <c r="J1854" s="58"/>
      <c r="K1854" s="244"/>
      <c r="L1854" s="93"/>
      <c r="M1854" s="58"/>
      <c r="N1854" s="62"/>
      <c r="O1854" s="245"/>
      <c r="P1854" s="62"/>
      <c r="Q1854" s="58"/>
      <c r="R1854" s="88"/>
      <c r="S1854" s="88"/>
    </row>
    <row r="1855">
      <c r="A1855" s="58"/>
      <c r="B1855" s="58"/>
      <c r="C1855" s="58"/>
      <c r="D1855" s="58"/>
      <c r="E1855" s="58"/>
      <c r="F1855" s="88"/>
      <c r="G1855" s="58"/>
      <c r="H1855" s="88"/>
      <c r="I1855" s="91"/>
      <c r="J1855" s="58"/>
      <c r="K1855" s="244"/>
      <c r="L1855" s="93"/>
      <c r="M1855" s="58"/>
      <c r="N1855" s="62"/>
      <c r="O1855" s="245"/>
      <c r="P1855" s="62"/>
      <c r="Q1855" s="58"/>
      <c r="R1855" s="88"/>
      <c r="S1855" s="88"/>
    </row>
    <row r="1856">
      <c r="A1856" s="58"/>
      <c r="B1856" s="58"/>
      <c r="C1856" s="58"/>
      <c r="D1856" s="58"/>
      <c r="E1856" s="58"/>
      <c r="F1856" s="88"/>
      <c r="G1856" s="58"/>
      <c r="H1856" s="88"/>
      <c r="I1856" s="91"/>
      <c r="J1856" s="58"/>
      <c r="K1856" s="244"/>
      <c r="L1856" s="93"/>
      <c r="M1856" s="58"/>
      <c r="N1856" s="62"/>
      <c r="O1856" s="245"/>
      <c r="P1856" s="62"/>
      <c r="Q1856" s="58"/>
      <c r="R1856" s="88"/>
      <c r="S1856" s="88"/>
    </row>
    <row r="1857">
      <c r="A1857" s="58"/>
      <c r="B1857" s="58"/>
      <c r="C1857" s="58"/>
      <c r="D1857" s="58"/>
      <c r="E1857" s="58"/>
      <c r="F1857" s="88"/>
      <c r="G1857" s="58"/>
      <c r="H1857" s="88"/>
      <c r="I1857" s="91"/>
      <c r="J1857" s="58"/>
      <c r="K1857" s="244"/>
      <c r="L1857" s="93"/>
      <c r="M1857" s="58"/>
      <c r="N1857" s="62"/>
      <c r="O1857" s="245"/>
      <c r="P1857" s="62"/>
      <c r="Q1857" s="58"/>
      <c r="R1857" s="88"/>
      <c r="S1857" s="88"/>
    </row>
    <row r="1858">
      <c r="A1858" s="58"/>
      <c r="B1858" s="58"/>
      <c r="C1858" s="58"/>
      <c r="D1858" s="58"/>
      <c r="E1858" s="58"/>
      <c r="F1858" s="88"/>
      <c r="G1858" s="58"/>
      <c r="H1858" s="88"/>
      <c r="I1858" s="91"/>
      <c r="J1858" s="58"/>
      <c r="K1858" s="244"/>
      <c r="L1858" s="93"/>
      <c r="M1858" s="58"/>
      <c r="N1858" s="62"/>
      <c r="O1858" s="245"/>
      <c r="P1858" s="62"/>
      <c r="Q1858" s="58"/>
      <c r="R1858" s="88"/>
      <c r="S1858" s="88"/>
    </row>
    <row r="1859">
      <c r="A1859" s="58"/>
      <c r="B1859" s="58"/>
      <c r="C1859" s="58"/>
      <c r="D1859" s="58"/>
      <c r="E1859" s="58"/>
      <c r="F1859" s="88"/>
      <c r="G1859" s="58"/>
      <c r="H1859" s="88"/>
      <c r="I1859" s="91"/>
      <c r="J1859" s="58"/>
      <c r="K1859" s="244"/>
      <c r="L1859" s="93"/>
      <c r="M1859" s="58"/>
      <c r="N1859" s="62"/>
      <c r="O1859" s="245"/>
      <c r="P1859" s="62"/>
      <c r="Q1859" s="58"/>
      <c r="R1859" s="88"/>
      <c r="S1859" s="88"/>
    </row>
    <row r="1860">
      <c r="A1860" s="58"/>
      <c r="B1860" s="58"/>
      <c r="C1860" s="58"/>
      <c r="D1860" s="58"/>
      <c r="E1860" s="58"/>
      <c r="F1860" s="88"/>
      <c r="G1860" s="58"/>
      <c r="H1860" s="88"/>
      <c r="I1860" s="91"/>
      <c r="J1860" s="58"/>
      <c r="K1860" s="244"/>
      <c r="L1860" s="93"/>
      <c r="M1860" s="58"/>
      <c r="N1860" s="62"/>
      <c r="O1860" s="245"/>
      <c r="P1860" s="62"/>
      <c r="Q1860" s="58"/>
      <c r="R1860" s="88"/>
      <c r="S1860" s="88"/>
    </row>
    <row r="1861">
      <c r="A1861" s="58"/>
      <c r="B1861" s="58"/>
      <c r="C1861" s="58"/>
      <c r="D1861" s="58"/>
      <c r="E1861" s="58"/>
      <c r="F1861" s="88"/>
      <c r="G1861" s="58"/>
      <c r="H1861" s="88"/>
      <c r="I1861" s="91"/>
      <c r="J1861" s="58"/>
      <c r="K1861" s="244"/>
      <c r="L1861" s="93"/>
      <c r="M1861" s="58"/>
      <c r="N1861" s="62"/>
      <c r="O1861" s="245"/>
      <c r="P1861" s="62"/>
      <c r="Q1861" s="58"/>
      <c r="R1861" s="88"/>
      <c r="S1861" s="88"/>
    </row>
    <row r="1862">
      <c r="A1862" s="58"/>
      <c r="B1862" s="58"/>
      <c r="C1862" s="58"/>
      <c r="D1862" s="58"/>
      <c r="E1862" s="58"/>
      <c r="F1862" s="88"/>
      <c r="G1862" s="58"/>
      <c r="H1862" s="88"/>
      <c r="I1862" s="91"/>
      <c r="J1862" s="58"/>
      <c r="K1862" s="244"/>
      <c r="L1862" s="93"/>
      <c r="M1862" s="58"/>
      <c r="N1862" s="62"/>
      <c r="O1862" s="245"/>
      <c r="P1862" s="62"/>
      <c r="Q1862" s="58"/>
      <c r="R1862" s="88"/>
      <c r="S1862" s="88"/>
    </row>
    <row r="1863">
      <c r="A1863" s="58"/>
      <c r="B1863" s="58"/>
      <c r="C1863" s="58"/>
      <c r="D1863" s="58"/>
      <c r="E1863" s="58"/>
      <c r="F1863" s="88"/>
      <c r="G1863" s="58"/>
      <c r="H1863" s="88"/>
      <c r="I1863" s="91"/>
      <c r="J1863" s="58"/>
      <c r="K1863" s="244"/>
      <c r="L1863" s="93"/>
      <c r="M1863" s="58"/>
      <c r="N1863" s="62"/>
      <c r="O1863" s="245"/>
      <c r="P1863" s="62"/>
      <c r="Q1863" s="58"/>
      <c r="R1863" s="88"/>
      <c r="S1863" s="88"/>
    </row>
    <row r="1864">
      <c r="A1864" s="58"/>
      <c r="B1864" s="58"/>
      <c r="C1864" s="58"/>
      <c r="D1864" s="58"/>
      <c r="E1864" s="58"/>
      <c r="F1864" s="88"/>
      <c r="G1864" s="58"/>
      <c r="H1864" s="88"/>
      <c r="I1864" s="91"/>
      <c r="J1864" s="58"/>
      <c r="K1864" s="244"/>
      <c r="L1864" s="93"/>
      <c r="M1864" s="58"/>
      <c r="N1864" s="62"/>
      <c r="O1864" s="245"/>
      <c r="P1864" s="62"/>
      <c r="Q1864" s="58"/>
      <c r="R1864" s="88"/>
      <c r="S1864" s="88"/>
    </row>
    <row r="1865">
      <c r="A1865" s="58"/>
      <c r="B1865" s="58"/>
      <c r="C1865" s="58"/>
      <c r="D1865" s="58"/>
      <c r="E1865" s="58"/>
      <c r="F1865" s="88"/>
      <c r="G1865" s="58"/>
      <c r="H1865" s="88"/>
      <c r="I1865" s="91"/>
      <c r="J1865" s="58"/>
      <c r="K1865" s="244"/>
      <c r="L1865" s="93"/>
      <c r="M1865" s="58"/>
      <c r="N1865" s="62"/>
      <c r="O1865" s="245"/>
      <c r="P1865" s="62"/>
      <c r="Q1865" s="58"/>
      <c r="R1865" s="88"/>
      <c r="S1865" s="88"/>
    </row>
    <row r="1866">
      <c r="A1866" s="58"/>
      <c r="B1866" s="58"/>
      <c r="C1866" s="58"/>
      <c r="D1866" s="58"/>
      <c r="E1866" s="58"/>
      <c r="F1866" s="88"/>
      <c r="G1866" s="58"/>
      <c r="H1866" s="88"/>
      <c r="I1866" s="91"/>
      <c r="J1866" s="58"/>
      <c r="K1866" s="244"/>
      <c r="L1866" s="93"/>
      <c r="M1866" s="58"/>
      <c r="N1866" s="62"/>
      <c r="O1866" s="245"/>
      <c r="P1866" s="62"/>
      <c r="Q1866" s="58"/>
      <c r="R1866" s="88"/>
      <c r="S1866" s="88"/>
    </row>
    <row r="1867">
      <c r="A1867" s="58"/>
      <c r="B1867" s="58"/>
      <c r="C1867" s="58"/>
      <c r="D1867" s="58"/>
      <c r="E1867" s="58"/>
      <c r="F1867" s="88"/>
      <c r="G1867" s="58"/>
      <c r="H1867" s="88"/>
      <c r="I1867" s="91"/>
      <c r="J1867" s="58"/>
      <c r="K1867" s="244"/>
      <c r="L1867" s="93"/>
      <c r="M1867" s="58"/>
      <c r="N1867" s="62"/>
      <c r="O1867" s="245"/>
      <c r="P1867" s="62"/>
      <c r="Q1867" s="58"/>
      <c r="R1867" s="88"/>
      <c r="S1867" s="88"/>
    </row>
    <row r="1868">
      <c r="A1868" s="58"/>
      <c r="B1868" s="58"/>
      <c r="C1868" s="58"/>
      <c r="D1868" s="58"/>
      <c r="E1868" s="58"/>
      <c r="F1868" s="88"/>
      <c r="G1868" s="58"/>
      <c r="H1868" s="88"/>
      <c r="I1868" s="91"/>
      <c r="J1868" s="58"/>
      <c r="K1868" s="244"/>
      <c r="L1868" s="93"/>
      <c r="M1868" s="58"/>
      <c r="N1868" s="62"/>
      <c r="O1868" s="245"/>
      <c r="P1868" s="62"/>
      <c r="Q1868" s="58"/>
      <c r="R1868" s="88"/>
      <c r="S1868" s="88"/>
    </row>
    <row r="1869">
      <c r="A1869" s="58"/>
      <c r="B1869" s="58"/>
      <c r="C1869" s="58"/>
      <c r="D1869" s="58"/>
      <c r="E1869" s="58"/>
      <c r="F1869" s="88"/>
      <c r="G1869" s="58"/>
      <c r="H1869" s="88"/>
      <c r="I1869" s="91"/>
      <c r="J1869" s="58"/>
      <c r="K1869" s="244"/>
      <c r="L1869" s="93"/>
      <c r="M1869" s="58"/>
      <c r="N1869" s="62"/>
      <c r="O1869" s="245"/>
      <c r="P1869" s="62"/>
      <c r="Q1869" s="58"/>
      <c r="R1869" s="88"/>
      <c r="S1869" s="88"/>
    </row>
    <row r="1870">
      <c r="A1870" s="58"/>
      <c r="B1870" s="58"/>
      <c r="C1870" s="58"/>
      <c r="D1870" s="58"/>
      <c r="E1870" s="58"/>
      <c r="F1870" s="88"/>
      <c r="G1870" s="58"/>
      <c r="H1870" s="88"/>
      <c r="I1870" s="91"/>
      <c r="J1870" s="58"/>
      <c r="K1870" s="244"/>
      <c r="L1870" s="93"/>
      <c r="M1870" s="58"/>
      <c r="N1870" s="62"/>
      <c r="O1870" s="245"/>
      <c r="P1870" s="62"/>
      <c r="Q1870" s="58"/>
      <c r="R1870" s="88"/>
      <c r="S1870" s="88"/>
    </row>
    <row r="1871">
      <c r="A1871" s="58"/>
      <c r="B1871" s="58"/>
      <c r="C1871" s="58"/>
      <c r="D1871" s="58"/>
      <c r="E1871" s="58"/>
      <c r="F1871" s="88"/>
      <c r="G1871" s="58"/>
      <c r="H1871" s="88"/>
      <c r="I1871" s="91"/>
      <c r="J1871" s="58"/>
      <c r="K1871" s="244"/>
      <c r="L1871" s="93"/>
      <c r="M1871" s="58"/>
      <c r="N1871" s="62"/>
      <c r="O1871" s="245"/>
      <c r="P1871" s="62"/>
      <c r="Q1871" s="58"/>
      <c r="R1871" s="88"/>
      <c r="S1871" s="88"/>
    </row>
    <row r="1872">
      <c r="A1872" s="58"/>
      <c r="B1872" s="58"/>
      <c r="C1872" s="58"/>
      <c r="D1872" s="58"/>
      <c r="E1872" s="58"/>
      <c r="F1872" s="88"/>
      <c r="G1872" s="58"/>
      <c r="H1872" s="88"/>
      <c r="I1872" s="91"/>
      <c r="J1872" s="58"/>
      <c r="K1872" s="244"/>
      <c r="L1872" s="93"/>
      <c r="M1872" s="58"/>
      <c r="N1872" s="62"/>
      <c r="O1872" s="245"/>
      <c r="P1872" s="62"/>
      <c r="Q1872" s="58"/>
      <c r="R1872" s="88"/>
      <c r="S1872" s="88"/>
    </row>
    <row r="1873">
      <c r="A1873" s="58"/>
      <c r="B1873" s="58"/>
      <c r="C1873" s="58"/>
      <c r="D1873" s="58"/>
      <c r="E1873" s="58"/>
      <c r="F1873" s="88"/>
      <c r="G1873" s="58"/>
      <c r="H1873" s="88"/>
      <c r="I1873" s="91"/>
      <c r="J1873" s="58"/>
      <c r="K1873" s="244"/>
      <c r="L1873" s="93"/>
      <c r="M1873" s="58"/>
      <c r="N1873" s="62"/>
      <c r="O1873" s="245"/>
      <c r="P1873" s="62"/>
      <c r="Q1873" s="58"/>
      <c r="R1873" s="88"/>
      <c r="S1873" s="88"/>
    </row>
    <row r="1874">
      <c r="A1874" s="58"/>
      <c r="B1874" s="58"/>
      <c r="C1874" s="58"/>
      <c r="D1874" s="58"/>
      <c r="E1874" s="58"/>
      <c r="F1874" s="88"/>
      <c r="G1874" s="58"/>
      <c r="H1874" s="88"/>
      <c r="I1874" s="91"/>
      <c r="J1874" s="58"/>
      <c r="K1874" s="244"/>
      <c r="L1874" s="93"/>
      <c r="M1874" s="58"/>
      <c r="N1874" s="62"/>
      <c r="O1874" s="245"/>
      <c r="P1874" s="62"/>
      <c r="Q1874" s="58"/>
      <c r="R1874" s="88"/>
      <c r="S1874" s="88"/>
    </row>
    <row r="1875">
      <c r="A1875" s="58"/>
      <c r="B1875" s="58"/>
      <c r="C1875" s="58"/>
      <c r="D1875" s="58"/>
      <c r="E1875" s="58"/>
      <c r="F1875" s="88"/>
      <c r="G1875" s="58"/>
      <c r="H1875" s="88"/>
      <c r="I1875" s="91"/>
      <c r="J1875" s="58"/>
      <c r="K1875" s="244"/>
      <c r="L1875" s="93"/>
      <c r="M1875" s="58"/>
      <c r="N1875" s="62"/>
      <c r="O1875" s="245"/>
      <c r="P1875" s="62"/>
      <c r="Q1875" s="58"/>
      <c r="R1875" s="88"/>
      <c r="S1875" s="88"/>
    </row>
    <row r="1876">
      <c r="A1876" s="58"/>
      <c r="B1876" s="58"/>
      <c r="C1876" s="58"/>
      <c r="D1876" s="58"/>
      <c r="E1876" s="58"/>
      <c r="F1876" s="88"/>
      <c r="G1876" s="58"/>
      <c r="H1876" s="88"/>
      <c r="I1876" s="91"/>
      <c r="J1876" s="58"/>
      <c r="K1876" s="244"/>
      <c r="L1876" s="93"/>
      <c r="M1876" s="58"/>
      <c r="N1876" s="62"/>
      <c r="O1876" s="245"/>
      <c r="P1876" s="62"/>
      <c r="Q1876" s="58"/>
      <c r="R1876" s="88"/>
      <c r="S1876" s="88"/>
    </row>
    <row r="1877">
      <c r="A1877" s="58"/>
      <c r="B1877" s="58"/>
      <c r="C1877" s="58"/>
      <c r="D1877" s="58"/>
      <c r="E1877" s="58"/>
      <c r="F1877" s="88"/>
      <c r="G1877" s="58"/>
      <c r="H1877" s="88"/>
      <c r="I1877" s="91"/>
      <c r="J1877" s="58"/>
      <c r="K1877" s="244"/>
      <c r="L1877" s="93"/>
      <c r="M1877" s="58"/>
      <c r="N1877" s="62"/>
      <c r="O1877" s="245"/>
      <c r="P1877" s="62"/>
      <c r="Q1877" s="58"/>
      <c r="R1877" s="88"/>
      <c r="S1877" s="88"/>
    </row>
    <row r="1878">
      <c r="A1878" s="58"/>
      <c r="B1878" s="58"/>
      <c r="C1878" s="58"/>
      <c r="D1878" s="58"/>
      <c r="E1878" s="58"/>
      <c r="F1878" s="88"/>
      <c r="G1878" s="58"/>
      <c r="H1878" s="88"/>
      <c r="I1878" s="91"/>
      <c r="J1878" s="58"/>
      <c r="K1878" s="244"/>
      <c r="L1878" s="93"/>
      <c r="M1878" s="58"/>
      <c r="N1878" s="62"/>
      <c r="O1878" s="245"/>
      <c r="P1878" s="62"/>
      <c r="Q1878" s="58"/>
      <c r="R1878" s="88"/>
      <c r="S1878" s="88"/>
    </row>
    <row r="1879">
      <c r="A1879" s="58"/>
      <c r="B1879" s="58"/>
      <c r="C1879" s="58"/>
      <c r="D1879" s="58"/>
      <c r="E1879" s="58"/>
      <c r="F1879" s="88"/>
      <c r="G1879" s="58"/>
      <c r="H1879" s="88"/>
      <c r="I1879" s="91"/>
      <c r="J1879" s="58"/>
      <c r="K1879" s="244"/>
      <c r="L1879" s="93"/>
      <c r="M1879" s="58"/>
      <c r="N1879" s="62"/>
      <c r="O1879" s="245"/>
      <c r="P1879" s="62"/>
      <c r="Q1879" s="58"/>
      <c r="R1879" s="88"/>
      <c r="S1879" s="88"/>
    </row>
    <row r="1880">
      <c r="A1880" s="58"/>
      <c r="B1880" s="58"/>
      <c r="C1880" s="58"/>
      <c r="D1880" s="58"/>
      <c r="E1880" s="58"/>
      <c r="F1880" s="88"/>
      <c r="G1880" s="58"/>
      <c r="H1880" s="88"/>
      <c r="I1880" s="91"/>
      <c r="J1880" s="58"/>
      <c r="K1880" s="244"/>
      <c r="L1880" s="93"/>
      <c r="M1880" s="58"/>
      <c r="N1880" s="62"/>
      <c r="O1880" s="245"/>
      <c r="P1880" s="62"/>
      <c r="Q1880" s="58"/>
      <c r="R1880" s="88"/>
      <c r="S1880" s="88"/>
    </row>
    <row r="1881">
      <c r="A1881" s="58"/>
      <c r="B1881" s="58"/>
      <c r="C1881" s="58"/>
      <c r="D1881" s="58"/>
      <c r="E1881" s="58"/>
      <c r="F1881" s="88"/>
      <c r="G1881" s="58"/>
      <c r="H1881" s="88"/>
      <c r="I1881" s="91"/>
      <c r="J1881" s="58"/>
      <c r="K1881" s="244"/>
      <c r="L1881" s="93"/>
      <c r="M1881" s="58"/>
      <c r="N1881" s="62"/>
      <c r="O1881" s="245"/>
      <c r="P1881" s="62"/>
      <c r="Q1881" s="58"/>
      <c r="R1881" s="88"/>
      <c r="S1881" s="88"/>
    </row>
    <row r="1882">
      <c r="A1882" s="58"/>
      <c r="B1882" s="58"/>
      <c r="C1882" s="58"/>
      <c r="D1882" s="58"/>
      <c r="E1882" s="58"/>
      <c r="F1882" s="88"/>
      <c r="G1882" s="58"/>
      <c r="H1882" s="88"/>
      <c r="I1882" s="91"/>
      <c r="J1882" s="58"/>
      <c r="K1882" s="244"/>
      <c r="L1882" s="93"/>
      <c r="M1882" s="58"/>
      <c r="N1882" s="62"/>
      <c r="O1882" s="245"/>
      <c r="P1882" s="62"/>
      <c r="Q1882" s="58"/>
      <c r="R1882" s="88"/>
      <c r="S1882" s="88"/>
    </row>
    <row r="1883">
      <c r="A1883" s="58"/>
      <c r="B1883" s="58"/>
      <c r="C1883" s="58"/>
      <c r="D1883" s="58"/>
      <c r="E1883" s="58"/>
      <c r="F1883" s="88"/>
      <c r="G1883" s="58"/>
      <c r="H1883" s="88"/>
      <c r="I1883" s="91"/>
      <c r="J1883" s="58"/>
      <c r="K1883" s="244"/>
      <c r="L1883" s="93"/>
      <c r="M1883" s="58"/>
      <c r="N1883" s="62"/>
      <c r="O1883" s="245"/>
      <c r="P1883" s="62"/>
      <c r="Q1883" s="58"/>
      <c r="R1883" s="88"/>
      <c r="S1883" s="88"/>
    </row>
    <row r="1884">
      <c r="A1884" s="58"/>
      <c r="B1884" s="58"/>
      <c r="C1884" s="58"/>
      <c r="D1884" s="58"/>
      <c r="E1884" s="58"/>
      <c r="F1884" s="88"/>
      <c r="G1884" s="58"/>
      <c r="H1884" s="88"/>
      <c r="I1884" s="91"/>
      <c r="J1884" s="58"/>
      <c r="K1884" s="244"/>
      <c r="L1884" s="93"/>
      <c r="M1884" s="58"/>
      <c r="N1884" s="62"/>
      <c r="O1884" s="245"/>
      <c r="P1884" s="62"/>
      <c r="Q1884" s="58"/>
      <c r="R1884" s="88"/>
      <c r="S1884" s="88"/>
    </row>
    <row r="1885">
      <c r="A1885" s="58"/>
      <c r="B1885" s="58"/>
      <c r="C1885" s="58"/>
      <c r="D1885" s="58"/>
      <c r="E1885" s="58"/>
      <c r="F1885" s="88"/>
      <c r="G1885" s="58"/>
      <c r="H1885" s="88"/>
      <c r="I1885" s="91"/>
      <c r="J1885" s="58"/>
      <c r="K1885" s="244"/>
      <c r="L1885" s="93"/>
      <c r="M1885" s="58"/>
      <c r="N1885" s="62"/>
      <c r="O1885" s="245"/>
      <c r="P1885" s="62"/>
      <c r="Q1885" s="58"/>
      <c r="R1885" s="88"/>
      <c r="S1885" s="88"/>
    </row>
    <row r="1886">
      <c r="A1886" s="58"/>
      <c r="B1886" s="58"/>
      <c r="C1886" s="58"/>
      <c r="D1886" s="58"/>
      <c r="E1886" s="58"/>
      <c r="F1886" s="88"/>
      <c r="G1886" s="58"/>
      <c r="H1886" s="88"/>
      <c r="I1886" s="91"/>
      <c r="J1886" s="58"/>
      <c r="K1886" s="244"/>
      <c r="L1886" s="93"/>
      <c r="M1886" s="58"/>
      <c r="N1886" s="62"/>
      <c r="O1886" s="245"/>
      <c r="P1886" s="62"/>
      <c r="Q1886" s="58"/>
      <c r="R1886" s="88"/>
      <c r="S1886" s="88"/>
    </row>
    <row r="1887">
      <c r="A1887" s="58"/>
      <c r="B1887" s="58"/>
      <c r="C1887" s="58"/>
      <c r="D1887" s="58"/>
      <c r="E1887" s="58"/>
      <c r="F1887" s="88"/>
      <c r="G1887" s="58"/>
      <c r="H1887" s="88"/>
      <c r="I1887" s="91"/>
      <c r="J1887" s="58"/>
      <c r="K1887" s="244"/>
      <c r="L1887" s="93"/>
      <c r="M1887" s="58"/>
      <c r="N1887" s="62"/>
      <c r="O1887" s="245"/>
      <c r="P1887" s="62"/>
      <c r="Q1887" s="58"/>
      <c r="R1887" s="88"/>
      <c r="S1887" s="88"/>
    </row>
    <row r="1888">
      <c r="A1888" s="58"/>
      <c r="B1888" s="58"/>
      <c r="C1888" s="58"/>
      <c r="D1888" s="58"/>
      <c r="E1888" s="58"/>
      <c r="F1888" s="88"/>
      <c r="G1888" s="58"/>
      <c r="H1888" s="88"/>
      <c r="I1888" s="91"/>
      <c r="J1888" s="58"/>
      <c r="K1888" s="244"/>
      <c r="L1888" s="93"/>
      <c r="M1888" s="58"/>
      <c r="N1888" s="62"/>
      <c r="O1888" s="245"/>
      <c r="P1888" s="62"/>
      <c r="Q1888" s="58"/>
      <c r="R1888" s="88"/>
      <c r="S1888" s="88"/>
    </row>
    <row r="1889">
      <c r="A1889" s="58"/>
      <c r="B1889" s="58"/>
      <c r="C1889" s="58"/>
      <c r="D1889" s="58"/>
      <c r="E1889" s="58"/>
      <c r="F1889" s="88"/>
      <c r="G1889" s="58"/>
      <c r="H1889" s="88"/>
      <c r="I1889" s="91"/>
      <c r="J1889" s="58"/>
      <c r="K1889" s="244"/>
      <c r="L1889" s="93"/>
      <c r="M1889" s="58"/>
      <c r="N1889" s="62"/>
      <c r="O1889" s="245"/>
      <c r="P1889" s="62"/>
      <c r="Q1889" s="58"/>
      <c r="R1889" s="88"/>
      <c r="S1889" s="88"/>
    </row>
    <row r="1890">
      <c r="A1890" s="58"/>
      <c r="B1890" s="58"/>
      <c r="C1890" s="58"/>
      <c r="D1890" s="58"/>
      <c r="E1890" s="58"/>
      <c r="F1890" s="88"/>
      <c r="G1890" s="58"/>
      <c r="H1890" s="88"/>
      <c r="I1890" s="91"/>
      <c r="J1890" s="58"/>
      <c r="K1890" s="244"/>
      <c r="L1890" s="93"/>
      <c r="M1890" s="58"/>
      <c r="N1890" s="62"/>
      <c r="O1890" s="245"/>
      <c r="P1890" s="62"/>
      <c r="Q1890" s="58"/>
      <c r="R1890" s="88"/>
      <c r="S1890" s="88"/>
    </row>
    <row r="1891">
      <c r="A1891" s="58"/>
      <c r="B1891" s="58"/>
      <c r="C1891" s="58"/>
      <c r="D1891" s="58"/>
      <c r="E1891" s="58"/>
      <c r="F1891" s="88"/>
      <c r="G1891" s="58"/>
      <c r="H1891" s="88"/>
      <c r="I1891" s="91"/>
      <c r="J1891" s="58"/>
      <c r="K1891" s="244"/>
      <c r="L1891" s="93"/>
      <c r="M1891" s="58"/>
      <c r="N1891" s="62"/>
      <c r="O1891" s="245"/>
      <c r="P1891" s="62"/>
      <c r="Q1891" s="58"/>
      <c r="R1891" s="88"/>
      <c r="S1891" s="88"/>
    </row>
    <row r="1892">
      <c r="A1892" s="58"/>
      <c r="B1892" s="58"/>
      <c r="C1892" s="58"/>
      <c r="D1892" s="58"/>
      <c r="E1892" s="58"/>
      <c r="F1892" s="88"/>
      <c r="G1892" s="58"/>
      <c r="H1892" s="88"/>
      <c r="I1892" s="91"/>
      <c r="J1892" s="58"/>
      <c r="K1892" s="244"/>
      <c r="L1892" s="93"/>
      <c r="M1892" s="58"/>
      <c r="N1892" s="62"/>
      <c r="O1892" s="245"/>
      <c r="P1892" s="62"/>
      <c r="Q1892" s="58"/>
      <c r="R1892" s="88"/>
      <c r="S1892" s="88"/>
    </row>
    <row r="1893">
      <c r="A1893" s="58"/>
      <c r="B1893" s="58"/>
      <c r="C1893" s="58"/>
      <c r="D1893" s="58"/>
      <c r="E1893" s="58"/>
      <c r="F1893" s="88"/>
      <c r="G1893" s="58"/>
      <c r="H1893" s="88"/>
      <c r="I1893" s="91"/>
      <c r="J1893" s="58"/>
      <c r="K1893" s="244"/>
      <c r="L1893" s="93"/>
      <c r="M1893" s="58"/>
      <c r="N1893" s="62"/>
      <c r="O1893" s="245"/>
      <c r="P1893" s="62"/>
      <c r="Q1893" s="58"/>
      <c r="R1893" s="88"/>
      <c r="S1893" s="88"/>
    </row>
    <row r="1894">
      <c r="A1894" s="58"/>
      <c r="B1894" s="58"/>
      <c r="C1894" s="58"/>
      <c r="D1894" s="58"/>
      <c r="E1894" s="58"/>
      <c r="F1894" s="88"/>
      <c r="G1894" s="58"/>
      <c r="H1894" s="88"/>
      <c r="I1894" s="91"/>
      <c r="J1894" s="58"/>
      <c r="K1894" s="244"/>
      <c r="L1894" s="93"/>
      <c r="M1894" s="58"/>
      <c r="N1894" s="62"/>
      <c r="O1894" s="245"/>
      <c r="P1894" s="62"/>
      <c r="Q1894" s="58"/>
      <c r="R1894" s="88"/>
      <c r="S1894" s="88"/>
    </row>
    <row r="1895">
      <c r="A1895" s="58"/>
      <c r="B1895" s="58"/>
      <c r="C1895" s="58"/>
      <c r="D1895" s="58"/>
      <c r="E1895" s="58"/>
      <c r="F1895" s="88"/>
      <c r="G1895" s="58"/>
      <c r="H1895" s="88"/>
      <c r="I1895" s="91"/>
      <c r="J1895" s="58"/>
      <c r="K1895" s="244"/>
      <c r="L1895" s="93"/>
      <c r="M1895" s="58"/>
      <c r="N1895" s="62"/>
      <c r="O1895" s="245"/>
      <c r="P1895" s="62"/>
      <c r="Q1895" s="58"/>
      <c r="R1895" s="88"/>
      <c r="S1895" s="88"/>
    </row>
    <row r="1896">
      <c r="A1896" s="58"/>
      <c r="B1896" s="58"/>
      <c r="C1896" s="58"/>
      <c r="D1896" s="58"/>
      <c r="E1896" s="58"/>
      <c r="F1896" s="88"/>
      <c r="G1896" s="58"/>
      <c r="H1896" s="88"/>
      <c r="I1896" s="91"/>
      <c r="J1896" s="58"/>
      <c r="K1896" s="244"/>
      <c r="L1896" s="93"/>
      <c r="M1896" s="58"/>
      <c r="N1896" s="62"/>
      <c r="O1896" s="245"/>
      <c r="P1896" s="62"/>
      <c r="Q1896" s="58"/>
      <c r="R1896" s="88"/>
      <c r="S1896" s="88"/>
    </row>
    <row r="1897">
      <c r="A1897" s="58"/>
      <c r="B1897" s="58"/>
      <c r="C1897" s="58"/>
      <c r="D1897" s="58"/>
      <c r="E1897" s="58"/>
      <c r="F1897" s="88"/>
      <c r="G1897" s="58"/>
      <c r="H1897" s="88"/>
      <c r="I1897" s="91"/>
      <c r="J1897" s="58"/>
      <c r="K1897" s="244"/>
      <c r="L1897" s="93"/>
      <c r="M1897" s="58"/>
      <c r="N1897" s="62"/>
      <c r="O1897" s="245"/>
      <c r="P1897" s="62"/>
      <c r="Q1897" s="58"/>
      <c r="R1897" s="88"/>
      <c r="S1897" s="88"/>
    </row>
    <row r="1898">
      <c r="A1898" s="58"/>
      <c r="B1898" s="58"/>
      <c r="C1898" s="58"/>
      <c r="D1898" s="58"/>
      <c r="E1898" s="58"/>
      <c r="F1898" s="88"/>
      <c r="G1898" s="58"/>
      <c r="H1898" s="88"/>
      <c r="I1898" s="91"/>
      <c r="J1898" s="58"/>
      <c r="K1898" s="244"/>
      <c r="L1898" s="93"/>
      <c r="M1898" s="58"/>
      <c r="N1898" s="62"/>
      <c r="O1898" s="245"/>
      <c r="P1898" s="62"/>
      <c r="Q1898" s="58"/>
      <c r="R1898" s="88"/>
      <c r="S1898" s="88"/>
    </row>
    <row r="1899">
      <c r="A1899" s="58"/>
      <c r="B1899" s="58"/>
      <c r="C1899" s="58"/>
      <c r="D1899" s="58"/>
      <c r="E1899" s="58"/>
      <c r="F1899" s="88"/>
      <c r="G1899" s="58"/>
      <c r="H1899" s="88"/>
      <c r="I1899" s="91"/>
      <c r="J1899" s="58"/>
      <c r="K1899" s="244"/>
      <c r="L1899" s="93"/>
      <c r="M1899" s="58"/>
      <c r="N1899" s="62"/>
      <c r="O1899" s="245"/>
      <c r="P1899" s="62"/>
      <c r="Q1899" s="58"/>
      <c r="R1899" s="88"/>
      <c r="S1899" s="88"/>
    </row>
    <row r="1900">
      <c r="A1900" s="58"/>
      <c r="B1900" s="58"/>
      <c r="C1900" s="58"/>
      <c r="D1900" s="58"/>
      <c r="E1900" s="58"/>
      <c r="F1900" s="88"/>
      <c r="G1900" s="58"/>
      <c r="H1900" s="88"/>
      <c r="I1900" s="91"/>
      <c r="J1900" s="58"/>
      <c r="K1900" s="244"/>
      <c r="L1900" s="93"/>
      <c r="M1900" s="58"/>
      <c r="N1900" s="62"/>
      <c r="O1900" s="245"/>
      <c r="P1900" s="62"/>
      <c r="Q1900" s="58"/>
      <c r="R1900" s="88"/>
      <c r="S1900" s="88"/>
    </row>
    <row r="1901">
      <c r="A1901" s="58"/>
      <c r="B1901" s="58"/>
      <c r="C1901" s="58"/>
      <c r="D1901" s="58"/>
      <c r="E1901" s="58"/>
      <c r="F1901" s="88"/>
      <c r="G1901" s="58"/>
      <c r="H1901" s="88"/>
      <c r="I1901" s="91"/>
      <c r="J1901" s="58"/>
      <c r="K1901" s="244"/>
      <c r="L1901" s="93"/>
      <c r="M1901" s="58"/>
      <c r="N1901" s="62"/>
      <c r="O1901" s="245"/>
      <c r="P1901" s="62"/>
      <c r="Q1901" s="58"/>
      <c r="R1901" s="88"/>
      <c r="S1901" s="88"/>
    </row>
    <row r="1902">
      <c r="A1902" s="58"/>
      <c r="B1902" s="58"/>
      <c r="C1902" s="58"/>
      <c r="D1902" s="58"/>
      <c r="E1902" s="58"/>
      <c r="F1902" s="88"/>
      <c r="G1902" s="58"/>
      <c r="H1902" s="88"/>
      <c r="I1902" s="91"/>
      <c r="J1902" s="58"/>
      <c r="K1902" s="244"/>
      <c r="L1902" s="93"/>
      <c r="M1902" s="58"/>
      <c r="N1902" s="62"/>
      <c r="O1902" s="245"/>
      <c r="P1902" s="62"/>
      <c r="Q1902" s="58"/>
      <c r="R1902" s="88"/>
      <c r="S1902" s="88"/>
    </row>
    <row r="1903">
      <c r="A1903" s="58"/>
      <c r="B1903" s="58"/>
      <c r="C1903" s="58"/>
      <c r="D1903" s="58"/>
      <c r="E1903" s="58"/>
      <c r="F1903" s="88"/>
      <c r="G1903" s="58"/>
      <c r="H1903" s="88"/>
      <c r="I1903" s="91"/>
      <c r="J1903" s="58"/>
      <c r="K1903" s="244"/>
      <c r="L1903" s="93"/>
      <c r="M1903" s="58"/>
      <c r="N1903" s="62"/>
      <c r="O1903" s="245"/>
      <c r="P1903" s="62"/>
      <c r="Q1903" s="58"/>
      <c r="R1903" s="88"/>
      <c r="S1903" s="88"/>
    </row>
    <row r="1904">
      <c r="A1904" s="58"/>
      <c r="B1904" s="58"/>
      <c r="C1904" s="58"/>
      <c r="D1904" s="58"/>
      <c r="E1904" s="58"/>
      <c r="F1904" s="88"/>
      <c r="G1904" s="58"/>
      <c r="H1904" s="88"/>
      <c r="I1904" s="91"/>
      <c r="J1904" s="58"/>
      <c r="K1904" s="244"/>
      <c r="L1904" s="93"/>
      <c r="M1904" s="58"/>
      <c r="N1904" s="62"/>
      <c r="O1904" s="245"/>
      <c r="P1904" s="62"/>
      <c r="Q1904" s="58"/>
      <c r="R1904" s="88"/>
      <c r="S1904" s="88"/>
    </row>
    <row r="1905">
      <c r="A1905" s="58"/>
      <c r="B1905" s="58"/>
      <c r="C1905" s="58"/>
      <c r="D1905" s="58"/>
      <c r="E1905" s="58"/>
      <c r="F1905" s="88"/>
      <c r="G1905" s="58"/>
      <c r="H1905" s="88"/>
      <c r="I1905" s="91"/>
      <c r="J1905" s="58"/>
      <c r="K1905" s="244"/>
      <c r="L1905" s="93"/>
      <c r="M1905" s="58"/>
      <c r="N1905" s="62"/>
      <c r="O1905" s="245"/>
      <c r="P1905" s="62"/>
      <c r="Q1905" s="58"/>
      <c r="R1905" s="88"/>
      <c r="S1905" s="88"/>
    </row>
    <row r="1906">
      <c r="A1906" s="58"/>
      <c r="B1906" s="58"/>
      <c r="C1906" s="58"/>
      <c r="D1906" s="58"/>
      <c r="E1906" s="58"/>
      <c r="F1906" s="88"/>
      <c r="G1906" s="58"/>
      <c r="H1906" s="88"/>
      <c r="I1906" s="91"/>
      <c r="J1906" s="58"/>
      <c r="K1906" s="244"/>
      <c r="L1906" s="93"/>
      <c r="M1906" s="58"/>
      <c r="N1906" s="62"/>
      <c r="O1906" s="245"/>
      <c r="P1906" s="62"/>
      <c r="Q1906" s="58"/>
      <c r="R1906" s="88"/>
      <c r="S1906" s="88"/>
    </row>
    <row r="1907">
      <c r="A1907" s="58"/>
      <c r="B1907" s="58"/>
      <c r="C1907" s="58"/>
      <c r="D1907" s="58"/>
      <c r="E1907" s="58"/>
      <c r="F1907" s="88"/>
      <c r="G1907" s="58"/>
      <c r="H1907" s="88"/>
      <c r="I1907" s="91"/>
      <c r="J1907" s="58"/>
      <c r="K1907" s="244"/>
      <c r="L1907" s="93"/>
      <c r="M1907" s="58"/>
      <c r="N1907" s="62"/>
      <c r="O1907" s="245"/>
      <c r="P1907" s="62"/>
      <c r="Q1907" s="58"/>
      <c r="R1907" s="88"/>
      <c r="S1907" s="88"/>
    </row>
    <row r="1908">
      <c r="A1908" s="58"/>
      <c r="B1908" s="58"/>
      <c r="C1908" s="58"/>
      <c r="D1908" s="58"/>
      <c r="E1908" s="58"/>
      <c r="F1908" s="88"/>
      <c r="G1908" s="58"/>
      <c r="H1908" s="88"/>
      <c r="I1908" s="91"/>
      <c r="J1908" s="58"/>
      <c r="K1908" s="244"/>
      <c r="L1908" s="93"/>
      <c r="M1908" s="58"/>
      <c r="N1908" s="62"/>
      <c r="O1908" s="245"/>
      <c r="P1908" s="62"/>
      <c r="Q1908" s="58"/>
      <c r="R1908" s="88"/>
      <c r="S1908" s="88"/>
    </row>
    <row r="1909">
      <c r="A1909" s="58"/>
      <c r="B1909" s="58"/>
      <c r="C1909" s="58"/>
      <c r="D1909" s="58"/>
      <c r="E1909" s="58"/>
      <c r="F1909" s="88"/>
      <c r="G1909" s="58"/>
      <c r="H1909" s="88"/>
      <c r="I1909" s="91"/>
      <c r="J1909" s="58"/>
      <c r="K1909" s="244"/>
      <c r="L1909" s="93"/>
      <c r="M1909" s="58"/>
      <c r="N1909" s="62"/>
      <c r="O1909" s="245"/>
      <c r="P1909" s="62"/>
      <c r="Q1909" s="58"/>
      <c r="R1909" s="88"/>
      <c r="S1909" s="88"/>
    </row>
    <row r="1910">
      <c r="A1910" s="58"/>
      <c r="B1910" s="58"/>
      <c r="C1910" s="58"/>
      <c r="D1910" s="58"/>
      <c r="E1910" s="58"/>
      <c r="F1910" s="88"/>
      <c r="G1910" s="58"/>
      <c r="H1910" s="88"/>
      <c r="I1910" s="91"/>
      <c r="J1910" s="58"/>
      <c r="K1910" s="244"/>
      <c r="L1910" s="93"/>
      <c r="M1910" s="58"/>
      <c r="N1910" s="62"/>
      <c r="O1910" s="245"/>
      <c r="P1910" s="62"/>
      <c r="Q1910" s="58"/>
      <c r="R1910" s="88"/>
      <c r="S1910" s="88"/>
    </row>
    <row r="1911">
      <c r="A1911" s="58"/>
      <c r="B1911" s="58"/>
      <c r="C1911" s="58"/>
      <c r="D1911" s="58"/>
      <c r="E1911" s="58"/>
      <c r="F1911" s="88"/>
      <c r="G1911" s="58"/>
      <c r="H1911" s="88"/>
      <c r="I1911" s="91"/>
      <c r="J1911" s="58"/>
      <c r="K1911" s="244"/>
      <c r="L1911" s="93"/>
      <c r="M1911" s="58"/>
      <c r="N1911" s="62"/>
      <c r="O1911" s="245"/>
      <c r="P1911" s="62"/>
      <c r="Q1911" s="58"/>
      <c r="R1911" s="88"/>
      <c r="S1911" s="88"/>
    </row>
    <row r="1912">
      <c r="A1912" s="58"/>
      <c r="B1912" s="58"/>
      <c r="C1912" s="58"/>
      <c r="D1912" s="58"/>
      <c r="E1912" s="58"/>
      <c r="F1912" s="88"/>
      <c r="G1912" s="58"/>
      <c r="H1912" s="88"/>
      <c r="I1912" s="91"/>
      <c r="J1912" s="58"/>
      <c r="K1912" s="244"/>
      <c r="L1912" s="93"/>
      <c r="M1912" s="58"/>
      <c r="N1912" s="62"/>
      <c r="O1912" s="245"/>
      <c r="P1912" s="62"/>
      <c r="Q1912" s="58"/>
      <c r="R1912" s="88"/>
      <c r="S1912" s="88"/>
    </row>
    <row r="1913">
      <c r="A1913" s="58"/>
      <c r="B1913" s="58"/>
      <c r="C1913" s="58"/>
      <c r="D1913" s="58"/>
      <c r="E1913" s="58"/>
      <c r="F1913" s="88"/>
      <c r="G1913" s="58"/>
      <c r="H1913" s="88"/>
      <c r="I1913" s="91"/>
      <c r="J1913" s="58"/>
      <c r="K1913" s="244"/>
      <c r="L1913" s="93"/>
      <c r="M1913" s="58"/>
      <c r="N1913" s="62"/>
      <c r="O1913" s="245"/>
      <c r="P1913" s="62"/>
      <c r="Q1913" s="58"/>
      <c r="R1913" s="88"/>
      <c r="S1913" s="88"/>
    </row>
    <row r="1914">
      <c r="A1914" s="58"/>
      <c r="B1914" s="58"/>
      <c r="C1914" s="58"/>
      <c r="D1914" s="58"/>
      <c r="E1914" s="58"/>
      <c r="F1914" s="88"/>
      <c r="G1914" s="58"/>
      <c r="H1914" s="88"/>
      <c r="I1914" s="91"/>
      <c r="J1914" s="58"/>
      <c r="K1914" s="244"/>
      <c r="L1914" s="93"/>
      <c r="M1914" s="58"/>
      <c r="N1914" s="62"/>
      <c r="O1914" s="245"/>
      <c r="P1914" s="62"/>
      <c r="Q1914" s="58"/>
      <c r="R1914" s="88"/>
      <c r="S1914" s="88"/>
    </row>
    <row r="1915">
      <c r="A1915" s="58"/>
      <c r="B1915" s="58"/>
      <c r="C1915" s="58"/>
      <c r="D1915" s="58"/>
      <c r="E1915" s="58"/>
      <c r="F1915" s="88"/>
      <c r="G1915" s="58"/>
      <c r="H1915" s="88"/>
      <c r="I1915" s="91"/>
      <c r="J1915" s="58"/>
      <c r="K1915" s="244"/>
      <c r="L1915" s="93"/>
      <c r="M1915" s="58"/>
      <c r="N1915" s="62"/>
      <c r="O1915" s="245"/>
      <c r="P1915" s="62"/>
      <c r="Q1915" s="58"/>
      <c r="R1915" s="88"/>
      <c r="S1915" s="88"/>
    </row>
    <row r="1916">
      <c r="A1916" s="58"/>
      <c r="B1916" s="58"/>
      <c r="C1916" s="58"/>
      <c r="D1916" s="58"/>
      <c r="E1916" s="58"/>
      <c r="F1916" s="88"/>
      <c r="G1916" s="58"/>
      <c r="H1916" s="88"/>
      <c r="I1916" s="91"/>
      <c r="J1916" s="58"/>
      <c r="K1916" s="244"/>
      <c r="L1916" s="93"/>
      <c r="M1916" s="58"/>
      <c r="N1916" s="62"/>
      <c r="O1916" s="245"/>
      <c r="P1916" s="62"/>
      <c r="Q1916" s="58"/>
      <c r="R1916" s="88"/>
      <c r="S1916" s="88"/>
    </row>
    <row r="1917">
      <c r="A1917" s="58"/>
      <c r="B1917" s="58"/>
      <c r="C1917" s="58"/>
      <c r="D1917" s="58"/>
      <c r="E1917" s="58"/>
      <c r="F1917" s="88"/>
      <c r="G1917" s="58"/>
      <c r="H1917" s="88"/>
      <c r="I1917" s="91"/>
      <c r="J1917" s="58"/>
      <c r="K1917" s="244"/>
      <c r="L1917" s="93"/>
      <c r="M1917" s="58"/>
      <c r="N1917" s="62"/>
      <c r="O1917" s="245"/>
      <c r="P1917" s="62"/>
      <c r="Q1917" s="58"/>
      <c r="R1917" s="88"/>
      <c r="S1917" s="88"/>
    </row>
    <row r="1918">
      <c r="A1918" s="58"/>
      <c r="B1918" s="58"/>
      <c r="C1918" s="58"/>
      <c r="D1918" s="58"/>
      <c r="E1918" s="58"/>
      <c r="F1918" s="88"/>
      <c r="G1918" s="58"/>
      <c r="H1918" s="88"/>
      <c r="I1918" s="91"/>
      <c r="J1918" s="58"/>
      <c r="K1918" s="244"/>
      <c r="L1918" s="93"/>
      <c r="M1918" s="58"/>
      <c r="N1918" s="62"/>
      <c r="O1918" s="245"/>
      <c r="P1918" s="62"/>
      <c r="Q1918" s="58"/>
      <c r="R1918" s="88"/>
      <c r="S1918" s="88"/>
    </row>
    <row r="1919">
      <c r="A1919" s="58"/>
      <c r="B1919" s="58"/>
      <c r="C1919" s="58"/>
      <c r="D1919" s="58"/>
      <c r="E1919" s="58"/>
      <c r="F1919" s="88"/>
      <c r="G1919" s="58"/>
      <c r="H1919" s="88"/>
      <c r="I1919" s="91"/>
      <c r="J1919" s="58"/>
      <c r="K1919" s="244"/>
      <c r="L1919" s="93"/>
      <c r="M1919" s="58"/>
      <c r="N1919" s="62"/>
      <c r="O1919" s="245"/>
      <c r="P1919" s="62"/>
      <c r="Q1919" s="58"/>
      <c r="R1919" s="88"/>
      <c r="S1919" s="88"/>
    </row>
    <row r="1920">
      <c r="A1920" s="58"/>
      <c r="B1920" s="58"/>
      <c r="C1920" s="58"/>
      <c r="D1920" s="58"/>
      <c r="E1920" s="58"/>
      <c r="F1920" s="88"/>
      <c r="G1920" s="58"/>
      <c r="H1920" s="88"/>
      <c r="I1920" s="91"/>
      <c r="J1920" s="58"/>
      <c r="K1920" s="244"/>
      <c r="L1920" s="93"/>
      <c r="M1920" s="58"/>
      <c r="N1920" s="62"/>
      <c r="O1920" s="245"/>
      <c r="P1920" s="62"/>
      <c r="Q1920" s="58"/>
      <c r="R1920" s="88"/>
      <c r="S1920" s="88"/>
    </row>
    <row r="1921">
      <c r="A1921" s="58"/>
      <c r="B1921" s="58"/>
      <c r="C1921" s="58"/>
      <c r="D1921" s="58"/>
      <c r="E1921" s="58"/>
      <c r="F1921" s="88"/>
      <c r="G1921" s="58"/>
      <c r="H1921" s="88"/>
      <c r="I1921" s="91"/>
      <c r="J1921" s="58"/>
      <c r="K1921" s="244"/>
      <c r="L1921" s="93"/>
      <c r="M1921" s="58"/>
      <c r="N1921" s="62"/>
      <c r="O1921" s="245"/>
      <c r="P1921" s="62"/>
      <c r="Q1921" s="58"/>
      <c r="R1921" s="88"/>
      <c r="S1921" s="88"/>
    </row>
    <row r="1922">
      <c r="A1922" s="58"/>
      <c r="B1922" s="58"/>
      <c r="C1922" s="58"/>
      <c r="D1922" s="58"/>
      <c r="E1922" s="58"/>
      <c r="F1922" s="88"/>
      <c r="G1922" s="58"/>
      <c r="H1922" s="88"/>
      <c r="I1922" s="91"/>
      <c r="J1922" s="58"/>
      <c r="K1922" s="244"/>
      <c r="L1922" s="93"/>
      <c r="M1922" s="58"/>
      <c r="N1922" s="62"/>
      <c r="O1922" s="245"/>
      <c r="P1922" s="62"/>
      <c r="Q1922" s="58"/>
      <c r="R1922" s="88"/>
      <c r="S1922" s="88"/>
    </row>
    <row r="1923">
      <c r="A1923" s="58"/>
      <c r="B1923" s="58"/>
      <c r="C1923" s="58"/>
      <c r="D1923" s="58"/>
      <c r="E1923" s="58"/>
      <c r="F1923" s="88"/>
      <c r="G1923" s="58"/>
      <c r="H1923" s="88"/>
      <c r="I1923" s="91"/>
      <c r="J1923" s="58"/>
      <c r="K1923" s="244"/>
      <c r="L1923" s="93"/>
      <c r="M1923" s="58"/>
      <c r="N1923" s="62"/>
      <c r="O1923" s="245"/>
      <c r="P1923" s="62"/>
      <c r="Q1923" s="58"/>
      <c r="R1923" s="88"/>
      <c r="S1923" s="88"/>
    </row>
    <row r="1924">
      <c r="A1924" s="58"/>
      <c r="B1924" s="58"/>
      <c r="C1924" s="58"/>
      <c r="D1924" s="58"/>
      <c r="E1924" s="58"/>
      <c r="F1924" s="88"/>
      <c r="G1924" s="58"/>
      <c r="H1924" s="88"/>
      <c r="I1924" s="91"/>
      <c r="J1924" s="58"/>
      <c r="K1924" s="244"/>
      <c r="L1924" s="93"/>
      <c r="M1924" s="58"/>
      <c r="N1924" s="62"/>
      <c r="O1924" s="245"/>
      <c r="P1924" s="62"/>
      <c r="Q1924" s="58"/>
      <c r="R1924" s="88"/>
      <c r="S1924" s="88"/>
    </row>
    <row r="1925">
      <c r="A1925" s="58"/>
      <c r="B1925" s="58"/>
      <c r="C1925" s="58"/>
      <c r="D1925" s="58"/>
      <c r="E1925" s="58"/>
      <c r="F1925" s="88"/>
      <c r="G1925" s="58"/>
      <c r="H1925" s="88"/>
      <c r="I1925" s="91"/>
      <c r="J1925" s="58"/>
      <c r="K1925" s="244"/>
      <c r="L1925" s="93"/>
      <c r="M1925" s="58"/>
      <c r="N1925" s="62"/>
      <c r="O1925" s="245"/>
      <c r="P1925" s="62"/>
      <c r="Q1925" s="58"/>
      <c r="R1925" s="88"/>
      <c r="S1925" s="88"/>
    </row>
    <row r="1926">
      <c r="A1926" s="58"/>
      <c r="B1926" s="58"/>
      <c r="C1926" s="58"/>
      <c r="D1926" s="58"/>
      <c r="E1926" s="58"/>
      <c r="F1926" s="88"/>
      <c r="G1926" s="58"/>
      <c r="H1926" s="88"/>
      <c r="I1926" s="91"/>
      <c r="J1926" s="58"/>
      <c r="K1926" s="244"/>
      <c r="L1926" s="93"/>
      <c r="M1926" s="58"/>
      <c r="N1926" s="62"/>
      <c r="O1926" s="245"/>
      <c r="P1926" s="62"/>
      <c r="Q1926" s="58"/>
      <c r="R1926" s="88"/>
      <c r="S1926" s="88"/>
    </row>
    <row r="1927">
      <c r="A1927" s="58"/>
      <c r="B1927" s="58"/>
      <c r="C1927" s="58"/>
      <c r="D1927" s="58"/>
      <c r="E1927" s="58"/>
      <c r="F1927" s="88"/>
      <c r="G1927" s="58"/>
      <c r="H1927" s="88"/>
      <c r="I1927" s="91"/>
      <c r="J1927" s="58"/>
      <c r="K1927" s="244"/>
      <c r="L1927" s="93"/>
      <c r="M1927" s="58"/>
      <c r="N1927" s="62"/>
      <c r="O1927" s="245"/>
      <c r="P1927" s="62"/>
      <c r="Q1927" s="58"/>
      <c r="R1927" s="88"/>
      <c r="S1927" s="88"/>
    </row>
    <row r="1928">
      <c r="A1928" s="58"/>
      <c r="B1928" s="58"/>
      <c r="C1928" s="58"/>
      <c r="D1928" s="58"/>
      <c r="E1928" s="58"/>
      <c r="F1928" s="88"/>
      <c r="G1928" s="58"/>
      <c r="H1928" s="88"/>
      <c r="I1928" s="91"/>
      <c r="J1928" s="58"/>
      <c r="K1928" s="244"/>
      <c r="L1928" s="93"/>
      <c r="M1928" s="58"/>
      <c r="N1928" s="62"/>
      <c r="O1928" s="245"/>
      <c r="P1928" s="62"/>
      <c r="Q1928" s="58"/>
      <c r="R1928" s="88"/>
      <c r="S1928" s="88"/>
    </row>
    <row r="1929">
      <c r="A1929" s="58"/>
      <c r="B1929" s="58"/>
      <c r="C1929" s="58"/>
      <c r="D1929" s="58"/>
      <c r="E1929" s="58"/>
      <c r="F1929" s="88"/>
      <c r="G1929" s="58"/>
      <c r="H1929" s="88"/>
      <c r="I1929" s="91"/>
      <c r="J1929" s="58"/>
      <c r="K1929" s="244"/>
      <c r="L1929" s="93"/>
      <c r="M1929" s="58"/>
      <c r="N1929" s="62"/>
      <c r="O1929" s="245"/>
      <c r="P1929" s="62"/>
      <c r="Q1929" s="58"/>
      <c r="R1929" s="88"/>
      <c r="S1929" s="88"/>
    </row>
    <row r="1930">
      <c r="A1930" s="58"/>
      <c r="B1930" s="58"/>
      <c r="C1930" s="58"/>
      <c r="D1930" s="58"/>
      <c r="E1930" s="58"/>
      <c r="F1930" s="88"/>
      <c r="G1930" s="58"/>
      <c r="H1930" s="88"/>
      <c r="I1930" s="91"/>
      <c r="J1930" s="58"/>
      <c r="K1930" s="244"/>
      <c r="L1930" s="93"/>
      <c r="M1930" s="58"/>
      <c r="N1930" s="62"/>
      <c r="O1930" s="245"/>
      <c r="P1930" s="62"/>
      <c r="Q1930" s="58"/>
      <c r="R1930" s="88"/>
      <c r="S1930" s="88"/>
    </row>
    <row r="1931">
      <c r="A1931" s="58"/>
      <c r="B1931" s="58"/>
      <c r="C1931" s="58"/>
      <c r="D1931" s="58"/>
      <c r="E1931" s="58"/>
      <c r="F1931" s="88"/>
      <c r="G1931" s="58"/>
      <c r="H1931" s="88"/>
      <c r="I1931" s="91"/>
      <c r="J1931" s="58"/>
      <c r="K1931" s="244"/>
      <c r="L1931" s="93"/>
      <c r="M1931" s="58"/>
      <c r="N1931" s="62"/>
      <c r="O1931" s="245"/>
      <c r="P1931" s="62"/>
      <c r="Q1931" s="58"/>
      <c r="R1931" s="88"/>
      <c r="S1931" s="88"/>
    </row>
    <row r="1932">
      <c r="A1932" s="58"/>
      <c r="B1932" s="58"/>
      <c r="C1932" s="58"/>
      <c r="D1932" s="58"/>
      <c r="E1932" s="58"/>
      <c r="F1932" s="88"/>
      <c r="G1932" s="58"/>
      <c r="H1932" s="88"/>
      <c r="I1932" s="91"/>
      <c r="J1932" s="58"/>
      <c r="K1932" s="244"/>
      <c r="L1932" s="93"/>
      <c r="M1932" s="58"/>
      <c r="N1932" s="62"/>
      <c r="O1932" s="245"/>
      <c r="P1932" s="62"/>
      <c r="Q1932" s="58"/>
      <c r="R1932" s="88"/>
      <c r="S1932" s="88"/>
    </row>
    <row r="1933">
      <c r="A1933" s="58"/>
      <c r="B1933" s="58"/>
      <c r="C1933" s="58"/>
      <c r="D1933" s="58"/>
      <c r="E1933" s="58"/>
      <c r="F1933" s="88"/>
      <c r="G1933" s="58"/>
      <c r="H1933" s="88"/>
      <c r="I1933" s="91"/>
      <c r="J1933" s="58"/>
      <c r="K1933" s="244"/>
      <c r="L1933" s="93"/>
      <c r="M1933" s="58"/>
      <c r="N1933" s="62"/>
      <c r="O1933" s="245"/>
      <c r="P1933" s="62"/>
      <c r="Q1933" s="58"/>
      <c r="R1933" s="88"/>
      <c r="S1933" s="88"/>
    </row>
    <row r="1934">
      <c r="A1934" s="58"/>
      <c r="B1934" s="58"/>
      <c r="C1934" s="58"/>
      <c r="D1934" s="58"/>
      <c r="E1934" s="58"/>
      <c r="F1934" s="88"/>
      <c r="G1934" s="58"/>
      <c r="H1934" s="88"/>
      <c r="I1934" s="91"/>
      <c r="J1934" s="58"/>
      <c r="K1934" s="244"/>
      <c r="L1934" s="93"/>
      <c r="M1934" s="58"/>
      <c r="N1934" s="62"/>
      <c r="O1934" s="245"/>
      <c r="P1934" s="62"/>
      <c r="Q1934" s="58"/>
      <c r="R1934" s="88"/>
      <c r="S1934" s="88"/>
    </row>
    <row r="1935">
      <c r="A1935" s="58"/>
      <c r="B1935" s="58"/>
      <c r="C1935" s="58"/>
      <c r="D1935" s="58"/>
      <c r="E1935" s="58"/>
      <c r="F1935" s="88"/>
      <c r="G1935" s="58"/>
      <c r="H1935" s="88"/>
      <c r="I1935" s="91"/>
      <c r="J1935" s="58"/>
      <c r="K1935" s="244"/>
      <c r="L1935" s="93"/>
      <c r="M1935" s="58"/>
      <c r="N1935" s="62"/>
      <c r="O1935" s="245"/>
      <c r="P1935" s="62"/>
      <c r="Q1935" s="58"/>
      <c r="R1935" s="88"/>
      <c r="S1935" s="88"/>
    </row>
    <row r="1936">
      <c r="A1936" s="58"/>
      <c r="B1936" s="58"/>
      <c r="C1936" s="58"/>
      <c r="D1936" s="58"/>
      <c r="E1936" s="58"/>
      <c r="F1936" s="88"/>
      <c r="G1936" s="58"/>
      <c r="H1936" s="88"/>
      <c r="I1936" s="91"/>
      <c r="J1936" s="58"/>
      <c r="K1936" s="244"/>
      <c r="L1936" s="93"/>
      <c r="M1936" s="58"/>
      <c r="N1936" s="62"/>
      <c r="O1936" s="245"/>
      <c r="P1936" s="62"/>
      <c r="Q1936" s="58"/>
      <c r="R1936" s="88"/>
      <c r="S1936" s="88"/>
    </row>
    <row r="1937">
      <c r="A1937" s="58"/>
      <c r="B1937" s="58"/>
      <c r="C1937" s="58"/>
      <c r="D1937" s="58"/>
      <c r="E1937" s="58"/>
      <c r="F1937" s="88"/>
      <c r="G1937" s="58"/>
      <c r="H1937" s="88"/>
      <c r="I1937" s="91"/>
      <c r="J1937" s="58"/>
      <c r="K1937" s="244"/>
      <c r="L1937" s="93"/>
      <c r="M1937" s="58"/>
      <c r="N1937" s="62"/>
      <c r="O1937" s="245"/>
      <c r="P1937" s="62"/>
      <c r="Q1937" s="58"/>
      <c r="R1937" s="88"/>
      <c r="S1937" s="88"/>
    </row>
    <row r="1938">
      <c r="A1938" s="58"/>
      <c r="B1938" s="58"/>
      <c r="C1938" s="58"/>
      <c r="D1938" s="58"/>
      <c r="E1938" s="58"/>
      <c r="F1938" s="88"/>
      <c r="G1938" s="58"/>
      <c r="H1938" s="88"/>
      <c r="I1938" s="91"/>
      <c r="J1938" s="58"/>
      <c r="K1938" s="244"/>
      <c r="L1938" s="93"/>
      <c r="M1938" s="58"/>
      <c r="N1938" s="62"/>
      <c r="O1938" s="245"/>
      <c r="P1938" s="62"/>
      <c r="Q1938" s="58"/>
      <c r="R1938" s="88"/>
      <c r="S1938" s="88"/>
    </row>
    <row r="1939">
      <c r="A1939" s="58"/>
      <c r="B1939" s="58"/>
      <c r="C1939" s="58"/>
      <c r="D1939" s="58"/>
      <c r="E1939" s="58"/>
      <c r="F1939" s="88"/>
      <c r="G1939" s="58"/>
      <c r="H1939" s="88"/>
      <c r="I1939" s="91"/>
      <c r="J1939" s="58"/>
      <c r="K1939" s="244"/>
      <c r="L1939" s="93"/>
      <c r="M1939" s="58"/>
      <c r="N1939" s="62"/>
      <c r="O1939" s="245"/>
      <c r="P1939" s="62"/>
      <c r="Q1939" s="58"/>
      <c r="R1939" s="88"/>
      <c r="S1939" s="88"/>
    </row>
    <row r="1940">
      <c r="A1940" s="58"/>
      <c r="B1940" s="58"/>
      <c r="C1940" s="58"/>
      <c r="D1940" s="58"/>
      <c r="E1940" s="58"/>
      <c r="F1940" s="88"/>
      <c r="G1940" s="58"/>
      <c r="H1940" s="88"/>
      <c r="I1940" s="91"/>
      <c r="J1940" s="58"/>
      <c r="K1940" s="244"/>
      <c r="L1940" s="93"/>
      <c r="M1940" s="58"/>
      <c r="N1940" s="62"/>
      <c r="O1940" s="245"/>
      <c r="P1940" s="62"/>
      <c r="Q1940" s="58"/>
      <c r="R1940" s="88"/>
      <c r="S1940" s="88"/>
    </row>
    <row r="1941">
      <c r="A1941" s="58"/>
      <c r="B1941" s="58"/>
      <c r="C1941" s="58"/>
      <c r="D1941" s="58"/>
      <c r="E1941" s="58"/>
      <c r="F1941" s="88"/>
      <c r="G1941" s="58"/>
      <c r="H1941" s="88"/>
      <c r="I1941" s="91"/>
      <c r="J1941" s="58"/>
      <c r="K1941" s="244"/>
      <c r="L1941" s="93"/>
      <c r="M1941" s="58"/>
      <c r="N1941" s="62"/>
      <c r="O1941" s="245"/>
      <c r="P1941" s="62"/>
      <c r="Q1941" s="58"/>
      <c r="R1941" s="88"/>
      <c r="S1941" s="88"/>
    </row>
    <row r="1942">
      <c r="A1942" s="58"/>
      <c r="B1942" s="58"/>
      <c r="C1942" s="58"/>
      <c r="D1942" s="58"/>
      <c r="E1942" s="58"/>
      <c r="F1942" s="88"/>
      <c r="G1942" s="58"/>
      <c r="H1942" s="88"/>
      <c r="I1942" s="91"/>
      <c r="J1942" s="58"/>
      <c r="K1942" s="244"/>
      <c r="L1942" s="93"/>
      <c r="M1942" s="58"/>
      <c r="N1942" s="62"/>
      <c r="O1942" s="245"/>
      <c r="P1942" s="62"/>
      <c r="Q1942" s="58"/>
      <c r="R1942" s="88"/>
      <c r="S1942" s="88"/>
    </row>
    <row r="1943">
      <c r="A1943" s="58"/>
      <c r="B1943" s="58"/>
      <c r="C1943" s="58"/>
      <c r="D1943" s="58"/>
      <c r="E1943" s="58"/>
      <c r="F1943" s="88"/>
      <c r="G1943" s="58"/>
      <c r="H1943" s="88"/>
      <c r="I1943" s="91"/>
      <c r="J1943" s="58"/>
      <c r="K1943" s="244"/>
      <c r="L1943" s="93"/>
      <c r="M1943" s="58"/>
      <c r="N1943" s="62"/>
      <c r="O1943" s="245"/>
      <c r="P1943" s="62"/>
      <c r="Q1943" s="58"/>
      <c r="R1943" s="88"/>
      <c r="S1943" s="88"/>
    </row>
    <row r="1944">
      <c r="A1944" s="58"/>
      <c r="B1944" s="58"/>
      <c r="C1944" s="58"/>
      <c r="D1944" s="58"/>
      <c r="E1944" s="58"/>
      <c r="F1944" s="88"/>
      <c r="G1944" s="58"/>
      <c r="H1944" s="88"/>
      <c r="I1944" s="91"/>
      <c r="J1944" s="58"/>
      <c r="K1944" s="244"/>
      <c r="L1944" s="93"/>
      <c r="M1944" s="58"/>
      <c r="N1944" s="62"/>
      <c r="O1944" s="245"/>
      <c r="P1944" s="62"/>
      <c r="Q1944" s="58"/>
      <c r="R1944" s="88"/>
      <c r="S1944" s="88"/>
    </row>
    <row r="1945">
      <c r="A1945" s="58"/>
      <c r="B1945" s="58"/>
      <c r="C1945" s="58"/>
      <c r="D1945" s="58"/>
      <c r="E1945" s="58"/>
      <c r="F1945" s="88"/>
      <c r="G1945" s="58"/>
      <c r="H1945" s="88"/>
      <c r="I1945" s="91"/>
      <c r="J1945" s="58"/>
      <c r="K1945" s="244"/>
      <c r="L1945" s="93"/>
      <c r="M1945" s="58"/>
      <c r="N1945" s="62"/>
      <c r="O1945" s="245"/>
      <c r="P1945" s="62"/>
      <c r="Q1945" s="58"/>
      <c r="R1945" s="88"/>
      <c r="S1945" s="88"/>
    </row>
    <row r="1946">
      <c r="A1946" s="58"/>
      <c r="B1946" s="58"/>
      <c r="C1946" s="58"/>
      <c r="D1946" s="58"/>
      <c r="E1946" s="58"/>
      <c r="F1946" s="88"/>
      <c r="G1946" s="58"/>
      <c r="H1946" s="88"/>
      <c r="I1946" s="91"/>
      <c r="J1946" s="58"/>
      <c r="K1946" s="244"/>
      <c r="L1946" s="93"/>
      <c r="M1946" s="58"/>
      <c r="N1946" s="62"/>
      <c r="O1946" s="245"/>
      <c r="P1946" s="62"/>
      <c r="Q1946" s="58"/>
      <c r="R1946" s="88"/>
      <c r="S1946" s="88"/>
    </row>
    <row r="1947">
      <c r="A1947" s="58"/>
      <c r="B1947" s="58"/>
      <c r="C1947" s="58"/>
      <c r="D1947" s="58"/>
      <c r="E1947" s="58"/>
      <c r="F1947" s="88"/>
      <c r="G1947" s="58"/>
      <c r="H1947" s="88"/>
      <c r="I1947" s="91"/>
      <c r="J1947" s="58"/>
      <c r="K1947" s="244"/>
      <c r="L1947" s="93"/>
      <c r="M1947" s="58"/>
      <c r="N1947" s="62"/>
      <c r="O1947" s="245"/>
      <c r="P1947" s="62"/>
      <c r="Q1947" s="58"/>
      <c r="R1947" s="88"/>
      <c r="S1947" s="88"/>
    </row>
    <row r="1948">
      <c r="A1948" s="58"/>
      <c r="B1948" s="58"/>
      <c r="C1948" s="58"/>
      <c r="D1948" s="58"/>
      <c r="E1948" s="58"/>
      <c r="F1948" s="88"/>
      <c r="G1948" s="58"/>
      <c r="H1948" s="88"/>
      <c r="I1948" s="91"/>
      <c r="J1948" s="58"/>
      <c r="K1948" s="244"/>
      <c r="L1948" s="93"/>
      <c r="M1948" s="58"/>
      <c r="N1948" s="62"/>
      <c r="O1948" s="245"/>
      <c r="P1948" s="62"/>
      <c r="Q1948" s="58"/>
      <c r="R1948" s="88"/>
      <c r="S1948" s="88"/>
    </row>
    <row r="1949">
      <c r="A1949" s="58"/>
      <c r="B1949" s="58"/>
      <c r="C1949" s="58"/>
      <c r="D1949" s="58"/>
      <c r="E1949" s="58"/>
      <c r="F1949" s="88"/>
      <c r="G1949" s="58"/>
      <c r="H1949" s="88"/>
      <c r="I1949" s="91"/>
      <c r="J1949" s="58"/>
      <c r="K1949" s="244"/>
      <c r="L1949" s="93"/>
      <c r="M1949" s="58"/>
      <c r="N1949" s="62"/>
      <c r="O1949" s="245"/>
      <c r="P1949" s="62"/>
      <c r="Q1949" s="58"/>
      <c r="R1949" s="88"/>
      <c r="S1949" s="88"/>
    </row>
    <row r="1950">
      <c r="A1950" s="58"/>
      <c r="B1950" s="58"/>
      <c r="C1950" s="58"/>
      <c r="D1950" s="58"/>
      <c r="E1950" s="58"/>
      <c r="F1950" s="88"/>
      <c r="G1950" s="58"/>
      <c r="H1950" s="88"/>
      <c r="I1950" s="91"/>
      <c r="J1950" s="58"/>
      <c r="K1950" s="244"/>
      <c r="L1950" s="93"/>
      <c r="M1950" s="58"/>
      <c r="N1950" s="62"/>
      <c r="O1950" s="245"/>
      <c r="P1950" s="62"/>
      <c r="Q1950" s="58"/>
      <c r="R1950" s="88"/>
      <c r="S1950" s="88"/>
    </row>
    <row r="1951">
      <c r="A1951" s="58"/>
      <c r="B1951" s="58"/>
      <c r="C1951" s="58"/>
      <c r="D1951" s="58"/>
      <c r="E1951" s="58"/>
      <c r="F1951" s="88"/>
      <c r="G1951" s="58"/>
      <c r="H1951" s="88"/>
      <c r="I1951" s="91"/>
      <c r="J1951" s="58"/>
      <c r="K1951" s="244"/>
      <c r="L1951" s="93"/>
      <c r="M1951" s="58"/>
      <c r="N1951" s="62"/>
      <c r="O1951" s="245"/>
      <c r="P1951" s="62"/>
      <c r="Q1951" s="58"/>
      <c r="R1951" s="88"/>
      <c r="S1951" s="88"/>
    </row>
    <row r="1952">
      <c r="A1952" s="58"/>
      <c r="B1952" s="58"/>
      <c r="C1952" s="58"/>
      <c r="D1952" s="58"/>
      <c r="E1952" s="58"/>
      <c r="F1952" s="88"/>
      <c r="G1952" s="58"/>
      <c r="H1952" s="88"/>
      <c r="I1952" s="91"/>
      <c r="J1952" s="58"/>
      <c r="K1952" s="244"/>
      <c r="L1952" s="93"/>
      <c r="M1952" s="58"/>
      <c r="N1952" s="62"/>
      <c r="O1952" s="245"/>
      <c r="P1952" s="62"/>
      <c r="Q1952" s="58"/>
      <c r="R1952" s="88"/>
      <c r="S1952" s="88"/>
    </row>
    <row r="1953">
      <c r="A1953" s="58"/>
      <c r="B1953" s="58"/>
      <c r="C1953" s="58"/>
      <c r="D1953" s="58"/>
      <c r="E1953" s="58"/>
      <c r="F1953" s="88"/>
      <c r="G1953" s="58"/>
      <c r="H1953" s="88"/>
      <c r="I1953" s="91"/>
      <c r="J1953" s="58"/>
      <c r="K1953" s="244"/>
      <c r="L1953" s="93"/>
      <c r="M1953" s="58"/>
      <c r="N1953" s="62"/>
      <c r="O1953" s="245"/>
      <c r="P1953" s="62"/>
      <c r="Q1953" s="58"/>
      <c r="R1953" s="88"/>
      <c r="S1953" s="88"/>
    </row>
    <row r="1954">
      <c r="A1954" s="58"/>
      <c r="B1954" s="58"/>
      <c r="C1954" s="58"/>
      <c r="D1954" s="58"/>
      <c r="E1954" s="58"/>
      <c r="F1954" s="88"/>
      <c r="G1954" s="58"/>
      <c r="H1954" s="88"/>
      <c r="I1954" s="91"/>
      <c r="J1954" s="58"/>
      <c r="K1954" s="244"/>
      <c r="L1954" s="93"/>
      <c r="M1954" s="58"/>
      <c r="N1954" s="62"/>
      <c r="O1954" s="245"/>
      <c r="P1954" s="62"/>
      <c r="Q1954" s="58"/>
      <c r="R1954" s="88"/>
      <c r="S1954" s="88"/>
    </row>
    <row r="1955">
      <c r="A1955" s="58"/>
      <c r="B1955" s="58"/>
      <c r="C1955" s="58"/>
      <c r="D1955" s="58"/>
      <c r="E1955" s="58"/>
      <c r="F1955" s="88"/>
      <c r="G1955" s="58"/>
      <c r="H1955" s="88"/>
      <c r="I1955" s="91"/>
      <c r="J1955" s="58"/>
      <c r="K1955" s="244"/>
      <c r="L1955" s="93"/>
      <c r="M1955" s="58"/>
      <c r="N1955" s="62"/>
      <c r="O1955" s="245"/>
      <c r="P1955" s="62"/>
      <c r="Q1955" s="58"/>
      <c r="R1955" s="88"/>
      <c r="S1955" s="88"/>
    </row>
    <row r="1956">
      <c r="A1956" s="58"/>
      <c r="B1956" s="58"/>
      <c r="C1956" s="58"/>
      <c r="D1956" s="58"/>
      <c r="E1956" s="58"/>
      <c r="F1956" s="88"/>
      <c r="G1956" s="58"/>
      <c r="H1956" s="88"/>
      <c r="I1956" s="91"/>
      <c r="J1956" s="58"/>
      <c r="K1956" s="244"/>
      <c r="L1956" s="93"/>
      <c r="M1956" s="58"/>
      <c r="N1956" s="62"/>
      <c r="O1956" s="245"/>
      <c r="P1956" s="62"/>
      <c r="Q1956" s="58"/>
      <c r="R1956" s="88"/>
      <c r="S1956" s="88"/>
    </row>
    <row r="1957">
      <c r="A1957" s="58"/>
      <c r="B1957" s="58"/>
      <c r="C1957" s="58"/>
      <c r="D1957" s="58"/>
      <c r="E1957" s="58"/>
      <c r="F1957" s="88"/>
      <c r="G1957" s="58"/>
      <c r="H1957" s="88"/>
      <c r="I1957" s="91"/>
      <c r="J1957" s="58"/>
      <c r="K1957" s="244"/>
      <c r="L1957" s="93"/>
      <c r="M1957" s="58"/>
      <c r="N1957" s="62"/>
      <c r="O1957" s="245"/>
      <c r="P1957" s="62"/>
      <c r="Q1957" s="58"/>
      <c r="R1957" s="88"/>
      <c r="S1957" s="88"/>
    </row>
    <row r="1958">
      <c r="A1958" s="58"/>
      <c r="B1958" s="58"/>
      <c r="C1958" s="58"/>
      <c r="D1958" s="58"/>
      <c r="E1958" s="58"/>
      <c r="F1958" s="88"/>
      <c r="G1958" s="58"/>
      <c r="H1958" s="88"/>
      <c r="I1958" s="91"/>
      <c r="J1958" s="58"/>
      <c r="K1958" s="244"/>
      <c r="L1958" s="93"/>
      <c r="M1958" s="58"/>
      <c r="N1958" s="62"/>
      <c r="O1958" s="245"/>
      <c r="P1958" s="62"/>
      <c r="Q1958" s="58"/>
      <c r="R1958" s="88"/>
      <c r="S1958" s="88"/>
    </row>
    <row r="1959">
      <c r="A1959" s="58"/>
      <c r="B1959" s="58"/>
      <c r="C1959" s="58"/>
      <c r="D1959" s="58"/>
      <c r="E1959" s="58"/>
      <c r="F1959" s="88"/>
      <c r="G1959" s="58"/>
      <c r="H1959" s="88"/>
      <c r="I1959" s="91"/>
      <c r="J1959" s="58"/>
      <c r="K1959" s="244"/>
      <c r="L1959" s="93"/>
      <c r="M1959" s="58"/>
      <c r="N1959" s="62"/>
      <c r="O1959" s="245"/>
      <c r="P1959" s="62"/>
      <c r="Q1959" s="58"/>
      <c r="R1959" s="88"/>
      <c r="S1959" s="88"/>
    </row>
    <row r="1960">
      <c r="A1960" s="58"/>
      <c r="B1960" s="58"/>
      <c r="C1960" s="58"/>
      <c r="D1960" s="58"/>
      <c r="E1960" s="58"/>
      <c r="F1960" s="88"/>
      <c r="G1960" s="58"/>
      <c r="H1960" s="88"/>
      <c r="I1960" s="91"/>
      <c r="J1960" s="58"/>
      <c r="K1960" s="244"/>
      <c r="L1960" s="93"/>
      <c r="M1960" s="58"/>
      <c r="N1960" s="62"/>
      <c r="O1960" s="245"/>
      <c r="P1960" s="62"/>
      <c r="Q1960" s="58"/>
      <c r="R1960" s="88"/>
      <c r="S1960" s="88"/>
    </row>
    <row r="1961">
      <c r="A1961" s="58"/>
      <c r="B1961" s="58"/>
      <c r="C1961" s="58"/>
      <c r="D1961" s="58"/>
      <c r="E1961" s="58"/>
      <c r="F1961" s="88"/>
      <c r="G1961" s="58"/>
      <c r="H1961" s="88"/>
      <c r="I1961" s="91"/>
      <c r="J1961" s="58"/>
      <c r="K1961" s="244"/>
      <c r="L1961" s="93"/>
      <c r="M1961" s="58"/>
      <c r="N1961" s="62"/>
      <c r="O1961" s="245"/>
      <c r="P1961" s="62"/>
      <c r="Q1961" s="58"/>
      <c r="R1961" s="88"/>
      <c r="S1961" s="88"/>
    </row>
    <row r="1962">
      <c r="A1962" s="58"/>
      <c r="B1962" s="58"/>
      <c r="C1962" s="58"/>
      <c r="D1962" s="58"/>
      <c r="E1962" s="58"/>
      <c r="F1962" s="88"/>
      <c r="G1962" s="58"/>
      <c r="H1962" s="88"/>
      <c r="I1962" s="91"/>
      <c r="J1962" s="58"/>
      <c r="K1962" s="244"/>
      <c r="L1962" s="93"/>
      <c r="M1962" s="58"/>
      <c r="N1962" s="62"/>
      <c r="O1962" s="245"/>
      <c r="P1962" s="62"/>
      <c r="Q1962" s="58"/>
      <c r="R1962" s="88"/>
      <c r="S1962" s="88"/>
    </row>
    <row r="1963">
      <c r="A1963" s="58"/>
      <c r="B1963" s="58"/>
      <c r="C1963" s="58"/>
      <c r="D1963" s="58"/>
      <c r="E1963" s="58"/>
      <c r="F1963" s="88"/>
      <c r="G1963" s="58"/>
      <c r="H1963" s="88"/>
      <c r="I1963" s="91"/>
      <c r="J1963" s="58"/>
      <c r="K1963" s="244"/>
      <c r="L1963" s="93"/>
      <c r="M1963" s="58"/>
      <c r="N1963" s="62"/>
      <c r="O1963" s="245"/>
      <c r="P1963" s="62"/>
      <c r="Q1963" s="58"/>
      <c r="R1963" s="88"/>
      <c r="S1963" s="88"/>
    </row>
    <row r="1964">
      <c r="A1964" s="58"/>
      <c r="B1964" s="58"/>
      <c r="C1964" s="58"/>
      <c r="D1964" s="58"/>
      <c r="E1964" s="58"/>
      <c r="F1964" s="88"/>
      <c r="G1964" s="58"/>
      <c r="H1964" s="88"/>
      <c r="I1964" s="91"/>
      <c r="J1964" s="58"/>
      <c r="K1964" s="244"/>
      <c r="L1964" s="93"/>
      <c r="M1964" s="58"/>
      <c r="N1964" s="62"/>
      <c r="O1964" s="245"/>
      <c r="P1964" s="62"/>
      <c r="Q1964" s="58"/>
      <c r="R1964" s="88"/>
      <c r="S1964" s="88"/>
    </row>
    <row r="1965">
      <c r="A1965" s="58"/>
      <c r="B1965" s="58"/>
      <c r="C1965" s="58"/>
      <c r="D1965" s="58"/>
      <c r="E1965" s="58"/>
      <c r="F1965" s="88"/>
      <c r="G1965" s="58"/>
      <c r="H1965" s="88"/>
      <c r="I1965" s="91"/>
      <c r="J1965" s="58"/>
      <c r="K1965" s="244"/>
      <c r="L1965" s="93"/>
      <c r="M1965" s="58"/>
      <c r="N1965" s="62"/>
      <c r="O1965" s="245"/>
      <c r="P1965" s="62"/>
      <c r="Q1965" s="58"/>
      <c r="R1965" s="88"/>
      <c r="S1965" s="88"/>
    </row>
    <row r="1966">
      <c r="A1966" s="58"/>
      <c r="B1966" s="58"/>
      <c r="C1966" s="58"/>
      <c r="D1966" s="58"/>
      <c r="E1966" s="58"/>
      <c r="F1966" s="88"/>
      <c r="G1966" s="58"/>
      <c r="H1966" s="88"/>
      <c r="I1966" s="91"/>
      <c r="J1966" s="58"/>
      <c r="K1966" s="244"/>
      <c r="L1966" s="93"/>
      <c r="M1966" s="58"/>
      <c r="N1966" s="62"/>
      <c r="O1966" s="245"/>
      <c r="P1966" s="62"/>
      <c r="Q1966" s="58"/>
      <c r="R1966" s="88"/>
      <c r="S1966" s="88"/>
    </row>
    <row r="1967">
      <c r="A1967" s="58"/>
      <c r="B1967" s="58"/>
      <c r="C1967" s="58"/>
      <c r="D1967" s="58"/>
      <c r="E1967" s="58"/>
      <c r="F1967" s="88"/>
      <c r="G1967" s="58"/>
      <c r="H1967" s="88"/>
      <c r="I1967" s="91"/>
      <c r="J1967" s="58"/>
      <c r="K1967" s="244"/>
      <c r="L1967" s="93"/>
      <c r="M1967" s="58"/>
      <c r="N1967" s="62"/>
      <c r="O1967" s="245"/>
      <c r="P1967" s="62"/>
      <c r="Q1967" s="58"/>
      <c r="R1967" s="88"/>
      <c r="S1967" s="88"/>
    </row>
    <row r="1968">
      <c r="A1968" s="58"/>
      <c r="B1968" s="58"/>
      <c r="C1968" s="58"/>
      <c r="D1968" s="58"/>
      <c r="E1968" s="58"/>
      <c r="F1968" s="88"/>
      <c r="G1968" s="58"/>
      <c r="H1968" s="88"/>
      <c r="I1968" s="91"/>
      <c r="J1968" s="58"/>
      <c r="K1968" s="244"/>
      <c r="L1968" s="93"/>
      <c r="M1968" s="58"/>
      <c r="N1968" s="62"/>
      <c r="O1968" s="245"/>
      <c r="P1968" s="62"/>
      <c r="Q1968" s="58"/>
      <c r="R1968" s="88"/>
      <c r="S1968" s="88"/>
    </row>
    <row r="1969">
      <c r="A1969" s="58"/>
      <c r="B1969" s="58"/>
      <c r="C1969" s="58"/>
      <c r="D1969" s="58"/>
      <c r="E1969" s="58"/>
      <c r="F1969" s="88"/>
      <c r="G1969" s="58"/>
      <c r="H1969" s="88"/>
      <c r="I1969" s="91"/>
      <c r="J1969" s="58"/>
      <c r="K1969" s="244"/>
      <c r="L1969" s="93"/>
      <c r="M1969" s="58"/>
      <c r="N1969" s="62"/>
      <c r="O1969" s="245"/>
      <c r="P1969" s="62"/>
      <c r="Q1969" s="58"/>
      <c r="R1969" s="88"/>
      <c r="S1969" s="88"/>
    </row>
    <row r="1970">
      <c r="A1970" s="58"/>
      <c r="B1970" s="58"/>
      <c r="C1970" s="58"/>
      <c r="D1970" s="58"/>
      <c r="E1970" s="58"/>
      <c r="F1970" s="88"/>
      <c r="G1970" s="58"/>
      <c r="H1970" s="88"/>
      <c r="I1970" s="91"/>
      <c r="J1970" s="58"/>
      <c r="K1970" s="244"/>
      <c r="L1970" s="93"/>
      <c r="M1970" s="58"/>
      <c r="N1970" s="62"/>
      <c r="O1970" s="245"/>
      <c r="P1970" s="62"/>
      <c r="Q1970" s="58"/>
      <c r="R1970" s="88"/>
      <c r="S1970" s="88"/>
    </row>
    <row r="1971">
      <c r="A1971" s="58"/>
      <c r="B1971" s="58"/>
      <c r="C1971" s="58"/>
      <c r="D1971" s="58"/>
      <c r="E1971" s="58"/>
      <c r="F1971" s="88"/>
      <c r="G1971" s="58"/>
      <c r="H1971" s="88"/>
      <c r="I1971" s="91"/>
      <c r="J1971" s="58"/>
      <c r="K1971" s="244"/>
      <c r="L1971" s="93"/>
      <c r="M1971" s="58"/>
      <c r="N1971" s="62"/>
      <c r="O1971" s="245"/>
      <c r="P1971" s="62"/>
      <c r="Q1971" s="58"/>
      <c r="R1971" s="88"/>
      <c r="S1971" s="88"/>
    </row>
    <row r="1972">
      <c r="A1972" s="58"/>
      <c r="B1972" s="58"/>
      <c r="C1972" s="58"/>
      <c r="D1972" s="58"/>
      <c r="E1972" s="58"/>
      <c r="F1972" s="88"/>
      <c r="G1972" s="58"/>
      <c r="H1972" s="88"/>
      <c r="I1972" s="91"/>
      <c r="J1972" s="58"/>
      <c r="K1972" s="244"/>
      <c r="L1972" s="93"/>
      <c r="M1972" s="58"/>
      <c r="N1972" s="62"/>
      <c r="O1972" s="245"/>
      <c r="P1972" s="62"/>
      <c r="Q1972" s="58"/>
      <c r="R1972" s="88"/>
      <c r="S1972" s="88"/>
    </row>
    <row r="1973">
      <c r="A1973" s="58"/>
      <c r="B1973" s="58"/>
      <c r="C1973" s="58"/>
      <c r="D1973" s="58"/>
      <c r="E1973" s="58"/>
      <c r="F1973" s="88"/>
      <c r="G1973" s="58"/>
      <c r="H1973" s="88"/>
      <c r="I1973" s="91"/>
      <c r="J1973" s="58"/>
      <c r="K1973" s="244"/>
      <c r="L1973" s="93"/>
      <c r="M1973" s="58"/>
      <c r="N1973" s="62"/>
      <c r="O1973" s="245"/>
      <c r="P1973" s="62"/>
      <c r="Q1973" s="58"/>
      <c r="R1973" s="88"/>
      <c r="S1973" s="88"/>
    </row>
    <row r="1974">
      <c r="A1974" s="58"/>
      <c r="B1974" s="58"/>
      <c r="C1974" s="58"/>
      <c r="D1974" s="58"/>
      <c r="E1974" s="58"/>
      <c r="F1974" s="88"/>
      <c r="G1974" s="58"/>
      <c r="H1974" s="88"/>
      <c r="I1974" s="91"/>
      <c r="J1974" s="58"/>
      <c r="K1974" s="244"/>
      <c r="L1974" s="93"/>
      <c r="M1974" s="58"/>
      <c r="N1974" s="62"/>
      <c r="O1974" s="245"/>
      <c r="P1974" s="62"/>
      <c r="Q1974" s="58"/>
      <c r="R1974" s="88"/>
      <c r="S1974" s="88"/>
    </row>
    <row r="1975">
      <c r="A1975" s="58"/>
      <c r="B1975" s="58"/>
      <c r="C1975" s="58"/>
      <c r="D1975" s="58"/>
      <c r="E1975" s="58"/>
      <c r="F1975" s="88"/>
      <c r="G1975" s="58"/>
      <c r="H1975" s="88"/>
      <c r="I1975" s="91"/>
      <c r="J1975" s="58"/>
      <c r="K1975" s="244"/>
      <c r="L1975" s="93"/>
      <c r="M1975" s="58"/>
      <c r="N1975" s="62"/>
      <c r="O1975" s="245"/>
      <c r="P1975" s="62"/>
      <c r="Q1975" s="58"/>
      <c r="R1975" s="88"/>
      <c r="S1975" s="88"/>
    </row>
    <row r="1976">
      <c r="A1976" s="58"/>
      <c r="B1976" s="58"/>
      <c r="C1976" s="58"/>
      <c r="D1976" s="58"/>
      <c r="E1976" s="58"/>
      <c r="F1976" s="88"/>
      <c r="G1976" s="58"/>
      <c r="H1976" s="88"/>
      <c r="I1976" s="91"/>
      <c r="J1976" s="58"/>
      <c r="K1976" s="244"/>
      <c r="L1976" s="93"/>
      <c r="M1976" s="58"/>
      <c r="N1976" s="62"/>
      <c r="O1976" s="245"/>
      <c r="P1976" s="62"/>
      <c r="Q1976" s="58"/>
      <c r="R1976" s="88"/>
      <c r="S1976" s="88"/>
    </row>
    <row r="1977">
      <c r="A1977" s="58"/>
      <c r="B1977" s="58"/>
      <c r="C1977" s="58"/>
      <c r="D1977" s="58"/>
      <c r="E1977" s="58"/>
      <c r="F1977" s="88"/>
      <c r="G1977" s="58"/>
      <c r="H1977" s="88"/>
      <c r="I1977" s="91"/>
      <c r="J1977" s="58"/>
      <c r="K1977" s="244"/>
      <c r="L1977" s="93"/>
      <c r="M1977" s="58"/>
      <c r="N1977" s="62"/>
      <c r="O1977" s="245"/>
      <c r="P1977" s="62"/>
      <c r="Q1977" s="58"/>
      <c r="R1977" s="88"/>
      <c r="S1977" s="88"/>
    </row>
    <row r="1978">
      <c r="A1978" s="58"/>
      <c r="B1978" s="58"/>
      <c r="C1978" s="58"/>
      <c r="D1978" s="58"/>
      <c r="E1978" s="58"/>
      <c r="F1978" s="88"/>
      <c r="G1978" s="58"/>
      <c r="H1978" s="88"/>
      <c r="I1978" s="91"/>
      <c r="J1978" s="58"/>
      <c r="K1978" s="244"/>
      <c r="L1978" s="93"/>
      <c r="M1978" s="58"/>
      <c r="N1978" s="62"/>
      <c r="O1978" s="245"/>
      <c r="P1978" s="62"/>
      <c r="Q1978" s="58"/>
      <c r="R1978" s="88"/>
      <c r="S1978" s="88"/>
    </row>
    <row r="1979">
      <c r="A1979" s="58"/>
      <c r="B1979" s="58"/>
      <c r="C1979" s="58"/>
      <c r="D1979" s="58"/>
      <c r="E1979" s="58"/>
      <c r="F1979" s="88"/>
      <c r="G1979" s="58"/>
      <c r="H1979" s="88"/>
      <c r="I1979" s="91"/>
      <c r="J1979" s="58"/>
      <c r="K1979" s="244"/>
      <c r="L1979" s="93"/>
      <c r="M1979" s="58"/>
      <c r="N1979" s="62"/>
      <c r="O1979" s="245"/>
      <c r="P1979" s="62"/>
      <c r="Q1979" s="58"/>
      <c r="R1979" s="88"/>
      <c r="S1979" s="88"/>
    </row>
    <row r="1980">
      <c r="A1980" s="58"/>
      <c r="B1980" s="58"/>
      <c r="C1980" s="58"/>
      <c r="D1980" s="58"/>
      <c r="E1980" s="58"/>
      <c r="F1980" s="88"/>
      <c r="G1980" s="58"/>
      <c r="H1980" s="88"/>
      <c r="I1980" s="91"/>
      <c r="J1980" s="58"/>
      <c r="K1980" s="244"/>
      <c r="L1980" s="93"/>
      <c r="M1980" s="58"/>
      <c r="N1980" s="62"/>
      <c r="O1980" s="245"/>
      <c r="P1980" s="62"/>
      <c r="Q1980" s="58"/>
      <c r="R1980" s="88"/>
      <c r="S1980" s="88"/>
    </row>
    <row r="1981">
      <c r="A1981" s="58"/>
      <c r="B1981" s="58"/>
      <c r="C1981" s="58"/>
      <c r="D1981" s="58"/>
      <c r="E1981" s="58"/>
      <c r="F1981" s="88"/>
      <c r="G1981" s="58"/>
      <c r="H1981" s="88"/>
      <c r="I1981" s="91"/>
      <c r="J1981" s="58"/>
      <c r="K1981" s="244"/>
      <c r="L1981" s="93"/>
      <c r="M1981" s="58"/>
      <c r="N1981" s="62"/>
      <c r="O1981" s="245"/>
      <c r="P1981" s="62"/>
      <c r="Q1981" s="58"/>
      <c r="R1981" s="88"/>
      <c r="S1981" s="88"/>
    </row>
    <row r="1982">
      <c r="A1982" s="58"/>
      <c r="B1982" s="58"/>
      <c r="C1982" s="58"/>
      <c r="D1982" s="58"/>
      <c r="E1982" s="58"/>
      <c r="F1982" s="88"/>
      <c r="G1982" s="58"/>
      <c r="H1982" s="88"/>
      <c r="I1982" s="91"/>
      <c r="J1982" s="58"/>
      <c r="K1982" s="244"/>
      <c r="L1982" s="93"/>
      <c r="M1982" s="58"/>
      <c r="N1982" s="62"/>
      <c r="O1982" s="245"/>
      <c r="P1982" s="62"/>
      <c r="Q1982" s="58"/>
      <c r="R1982" s="88"/>
      <c r="S1982" s="88"/>
    </row>
    <row r="1983">
      <c r="A1983" s="58"/>
      <c r="B1983" s="58"/>
      <c r="C1983" s="58"/>
      <c r="D1983" s="58"/>
      <c r="E1983" s="58"/>
      <c r="F1983" s="88"/>
      <c r="G1983" s="58"/>
      <c r="H1983" s="88"/>
      <c r="I1983" s="91"/>
      <c r="J1983" s="58"/>
      <c r="K1983" s="244"/>
      <c r="L1983" s="93"/>
      <c r="M1983" s="58"/>
      <c r="N1983" s="62"/>
      <c r="O1983" s="245"/>
      <c r="P1983" s="62"/>
      <c r="Q1983" s="58"/>
      <c r="R1983" s="88"/>
      <c r="S1983" s="88"/>
    </row>
    <row r="1984">
      <c r="A1984" s="58"/>
      <c r="B1984" s="58"/>
      <c r="C1984" s="58"/>
      <c r="D1984" s="58"/>
      <c r="E1984" s="58"/>
      <c r="F1984" s="88"/>
      <c r="G1984" s="58"/>
      <c r="H1984" s="88"/>
      <c r="I1984" s="91"/>
      <c r="J1984" s="58"/>
      <c r="K1984" s="244"/>
      <c r="L1984" s="93"/>
      <c r="M1984" s="58"/>
      <c r="N1984" s="62"/>
      <c r="O1984" s="245"/>
      <c r="P1984" s="62"/>
      <c r="Q1984" s="58"/>
      <c r="R1984" s="88"/>
      <c r="S1984" s="88"/>
    </row>
    <row r="1985">
      <c r="A1985" s="58"/>
      <c r="B1985" s="58"/>
      <c r="C1985" s="58"/>
      <c r="D1985" s="58"/>
      <c r="E1985" s="58"/>
      <c r="F1985" s="88"/>
      <c r="G1985" s="58"/>
      <c r="H1985" s="88"/>
      <c r="I1985" s="91"/>
      <c r="J1985" s="58"/>
      <c r="K1985" s="244"/>
      <c r="L1985" s="93"/>
      <c r="M1985" s="58"/>
      <c r="N1985" s="62"/>
      <c r="O1985" s="245"/>
      <c r="P1985" s="62"/>
      <c r="Q1985" s="58"/>
      <c r="R1985" s="88"/>
      <c r="S1985" s="88"/>
    </row>
    <row r="1986">
      <c r="A1986" s="58"/>
      <c r="B1986" s="58"/>
      <c r="C1986" s="58"/>
      <c r="D1986" s="58"/>
      <c r="E1986" s="58"/>
      <c r="F1986" s="88"/>
      <c r="G1986" s="58"/>
      <c r="H1986" s="88"/>
      <c r="I1986" s="91"/>
      <c r="J1986" s="58"/>
      <c r="K1986" s="244"/>
      <c r="L1986" s="93"/>
      <c r="M1986" s="58"/>
      <c r="N1986" s="62"/>
      <c r="O1986" s="245"/>
      <c r="P1986" s="62"/>
      <c r="Q1986" s="58"/>
      <c r="R1986" s="88"/>
      <c r="S1986" s="88"/>
    </row>
    <row r="1987">
      <c r="A1987" s="58"/>
      <c r="B1987" s="58"/>
      <c r="C1987" s="58"/>
      <c r="D1987" s="58"/>
      <c r="E1987" s="58"/>
      <c r="F1987" s="88"/>
      <c r="G1987" s="58"/>
      <c r="H1987" s="88"/>
      <c r="I1987" s="91"/>
      <c r="J1987" s="58"/>
      <c r="K1987" s="244"/>
      <c r="L1987" s="93"/>
      <c r="M1987" s="58"/>
      <c r="N1987" s="62"/>
      <c r="O1987" s="245"/>
      <c r="P1987" s="62"/>
      <c r="Q1987" s="58"/>
      <c r="R1987" s="88"/>
      <c r="S1987" s="88"/>
    </row>
    <row r="1988">
      <c r="A1988" s="58"/>
      <c r="B1988" s="58"/>
      <c r="C1988" s="58"/>
      <c r="D1988" s="58"/>
      <c r="E1988" s="58"/>
      <c r="F1988" s="88"/>
      <c r="G1988" s="58"/>
      <c r="H1988" s="88"/>
      <c r="I1988" s="91"/>
      <c r="J1988" s="58"/>
      <c r="K1988" s="244"/>
      <c r="L1988" s="93"/>
      <c r="M1988" s="58"/>
      <c r="N1988" s="62"/>
      <c r="O1988" s="245"/>
      <c r="P1988" s="62"/>
      <c r="Q1988" s="58"/>
      <c r="R1988" s="88"/>
      <c r="S1988" s="88"/>
    </row>
    <row r="1989">
      <c r="A1989" s="58"/>
      <c r="B1989" s="58"/>
      <c r="C1989" s="58"/>
      <c r="D1989" s="58"/>
      <c r="E1989" s="58"/>
      <c r="F1989" s="88"/>
      <c r="G1989" s="58"/>
      <c r="H1989" s="88"/>
      <c r="I1989" s="91"/>
      <c r="J1989" s="58"/>
      <c r="K1989" s="244"/>
      <c r="L1989" s="93"/>
      <c r="M1989" s="58"/>
      <c r="N1989" s="62"/>
      <c r="O1989" s="245"/>
      <c r="P1989" s="62"/>
      <c r="Q1989" s="58"/>
      <c r="R1989" s="88"/>
      <c r="S1989" s="88"/>
    </row>
    <row r="1990">
      <c r="A1990" s="58"/>
      <c r="B1990" s="58"/>
      <c r="C1990" s="58"/>
      <c r="D1990" s="58"/>
      <c r="E1990" s="58"/>
      <c r="F1990" s="88"/>
      <c r="G1990" s="58"/>
      <c r="H1990" s="88"/>
      <c r="I1990" s="91"/>
      <c r="J1990" s="58"/>
      <c r="K1990" s="244"/>
      <c r="L1990" s="93"/>
      <c r="M1990" s="58"/>
      <c r="N1990" s="62"/>
      <c r="O1990" s="245"/>
      <c r="P1990" s="62"/>
      <c r="Q1990" s="58"/>
      <c r="R1990" s="88"/>
      <c r="S1990" s="88"/>
    </row>
    <row r="1991">
      <c r="A1991" s="58"/>
      <c r="B1991" s="58"/>
      <c r="C1991" s="58"/>
      <c r="D1991" s="58"/>
      <c r="E1991" s="58"/>
      <c r="F1991" s="88"/>
      <c r="G1991" s="58"/>
      <c r="H1991" s="88"/>
      <c r="I1991" s="91"/>
      <c r="J1991" s="58"/>
      <c r="K1991" s="244"/>
      <c r="L1991" s="93"/>
      <c r="M1991" s="58"/>
      <c r="N1991" s="62"/>
      <c r="O1991" s="245"/>
      <c r="P1991" s="62"/>
      <c r="Q1991" s="58"/>
      <c r="R1991" s="88"/>
      <c r="S1991" s="88"/>
    </row>
    <row r="1992">
      <c r="A1992" s="58"/>
      <c r="B1992" s="58"/>
      <c r="C1992" s="58"/>
      <c r="D1992" s="58"/>
      <c r="E1992" s="58"/>
      <c r="F1992" s="88"/>
      <c r="G1992" s="58"/>
      <c r="H1992" s="88"/>
      <c r="I1992" s="91"/>
      <c r="J1992" s="58"/>
      <c r="K1992" s="244"/>
      <c r="L1992" s="93"/>
      <c r="M1992" s="58"/>
      <c r="N1992" s="62"/>
      <c r="O1992" s="245"/>
      <c r="P1992" s="62"/>
      <c r="Q1992" s="58"/>
      <c r="R1992" s="88"/>
      <c r="S1992" s="88"/>
    </row>
    <row r="1993">
      <c r="A1993" s="58"/>
      <c r="B1993" s="58"/>
      <c r="C1993" s="58"/>
      <c r="D1993" s="58"/>
      <c r="E1993" s="58"/>
      <c r="F1993" s="88"/>
      <c r="G1993" s="58"/>
      <c r="H1993" s="88"/>
      <c r="I1993" s="91"/>
      <c r="J1993" s="58"/>
      <c r="K1993" s="244"/>
      <c r="L1993" s="93"/>
      <c r="M1993" s="58"/>
      <c r="N1993" s="62"/>
      <c r="O1993" s="245"/>
      <c r="P1993" s="62"/>
      <c r="Q1993" s="58"/>
      <c r="R1993" s="88"/>
      <c r="S1993" s="88"/>
    </row>
    <row r="1994">
      <c r="A1994" s="58"/>
      <c r="B1994" s="58"/>
      <c r="C1994" s="58"/>
      <c r="D1994" s="58"/>
      <c r="E1994" s="58"/>
      <c r="F1994" s="88"/>
      <c r="G1994" s="58"/>
      <c r="H1994" s="88"/>
      <c r="I1994" s="91"/>
      <c r="J1994" s="58"/>
      <c r="K1994" s="244"/>
      <c r="L1994" s="93"/>
      <c r="M1994" s="58"/>
      <c r="N1994" s="62"/>
      <c r="O1994" s="245"/>
      <c r="P1994" s="62"/>
      <c r="Q1994" s="58"/>
      <c r="R1994" s="88"/>
      <c r="S1994" s="88"/>
    </row>
    <row r="1995">
      <c r="A1995" s="58"/>
      <c r="B1995" s="58"/>
      <c r="C1995" s="58"/>
      <c r="D1995" s="58"/>
      <c r="E1995" s="58"/>
      <c r="F1995" s="88"/>
      <c r="G1995" s="58"/>
      <c r="H1995" s="88"/>
      <c r="I1995" s="91"/>
      <c r="J1995" s="58"/>
      <c r="K1995" s="244"/>
      <c r="L1995" s="93"/>
      <c r="M1995" s="58"/>
      <c r="N1995" s="62"/>
      <c r="O1995" s="245"/>
      <c r="P1995" s="62"/>
      <c r="Q1995" s="58"/>
      <c r="R1995" s="88"/>
      <c r="S1995" s="88"/>
    </row>
    <row r="1996">
      <c r="A1996" s="58"/>
      <c r="B1996" s="58"/>
      <c r="C1996" s="58"/>
      <c r="D1996" s="58"/>
      <c r="E1996" s="58"/>
      <c r="F1996" s="88"/>
      <c r="G1996" s="58"/>
      <c r="H1996" s="88"/>
      <c r="I1996" s="91"/>
      <c r="J1996" s="58"/>
      <c r="K1996" s="244"/>
      <c r="L1996" s="93"/>
      <c r="M1996" s="58"/>
      <c r="N1996" s="62"/>
      <c r="O1996" s="245"/>
      <c r="P1996" s="62"/>
      <c r="Q1996" s="58"/>
      <c r="R1996" s="88"/>
      <c r="S1996" s="88"/>
    </row>
    <row r="1997">
      <c r="A1997" s="58"/>
      <c r="B1997" s="58"/>
      <c r="C1997" s="58"/>
      <c r="D1997" s="58"/>
      <c r="E1997" s="58"/>
      <c r="F1997" s="88"/>
      <c r="G1997" s="58"/>
      <c r="H1997" s="88"/>
      <c r="I1997" s="91"/>
      <c r="J1997" s="58"/>
      <c r="K1997" s="244"/>
      <c r="L1997" s="93"/>
      <c r="M1997" s="58"/>
      <c r="N1997" s="62"/>
      <c r="O1997" s="245"/>
      <c r="P1997" s="62"/>
      <c r="Q1997" s="58"/>
      <c r="R1997" s="88"/>
      <c r="S1997" s="88"/>
    </row>
    <row r="1998">
      <c r="A1998" s="58"/>
      <c r="B1998" s="58"/>
      <c r="C1998" s="58"/>
      <c r="D1998" s="58"/>
      <c r="E1998" s="58"/>
      <c r="F1998" s="88"/>
      <c r="G1998" s="58"/>
      <c r="H1998" s="88"/>
      <c r="I1998" s="91"/>
      <c r="J1998" s="58"/>
      <c r="K1998" s="244"/>
      <c r="L1998" s="93"/>
      <c r="M1998" s="58"/>
      <c r="N1998" s="62"/>
      <c r="O1998" s="245"/>
      <c r="P1998" s="62"/>
      <c r="Q1998" s="58"/>
      <c r="R1998" s="88"/>
      <c r="S1998" s="88"/>
    </row>
    <row r="1999">
      <c r="A1999" s="58"/>
      <c r="B1999" s="58"/>
      <c r="C1999" s="58"/>
      <c r="D1999" s="58"/>
      <c r="E1999" s="58"/>
      <c r="F1999" s="88"/>
      <c r="G1999" s="58"/>
      <c r="H1999" s="88"/>
      <c r="I1999" s="91"/>
      <c r="J1999" s="58"/>
      <c r="K1999" s="244"/>
      <c r="L1999" s="93"/>
      <c r="M1999" s="58"/>
      <c r="N1999" s="62"/>
      <c r="O1999" s="245"/>
      <c r="P1999" s="62"/>
      <c r="Q1999" s="58"/>
      <c r="R1999" s="88"/>
      <c r="S1999" s="88"/>
    </row>
    <row r="2000">
      <c r="A2000" s="58"/>
      <c r="B2000" s="58"/>
      <c r="C2000" s="58"/>
      <c r="D2000" s="58"/>
      <c r="E2000" s="58"/>
      <c r="F2000" s="88"/>
      <c r="G2000" s="58"/>
      <c r="H2000" s="88"/>
      <c r="I2000" s="91"/>
      <c r="J2000" s="58"/>
      <c r="K2000" s="244"/>
      <c r="L2000" s="93"/>
      <c r="M2000" s="58"/>
      <c r="N2000" s="62"/>
      <c r="O2000" s="245"/>
      <c r="P2000" s="62"/>
      <c r="Q2000" s="58"/>
      <c r="R2000" s="88"/>
      <c r="S2000" s="88"/>
    </row>
    <row r="2001">
      <c r="A2001" s="58"/>
      <c r="B2001" s="58"/>
      <c r="C2001" s="58"/>
      <c r="D2001" s="58"/>
      <c r="E2001" s="58"/>
      <c r="F2001" s="88"/>
      <c r="G2001" s="58"/>
      <c r="H2001" s="88"/>
      <c r="I2001" s="91"/>
      <c r="J2001" s="58"/>
      <c r="K2001" s="244"/>
      <c r="L2001" s="93"/>
      <c r="M2001" s="58"/>
      <c r="N2001" s="62"/>
      <c r="O2001" s="245"/>
      <c r="P2001" s="62"/>
      <c r="Q2001" s="58"/>
      <c r="R2001" s="88"/>
      <c r="S2001" s="88"/>
    </row>
    <row r="2002">
      <c r="A2002" s="58"/>
      <c r="B2002" s="58"/>
      <c r="C2002" s="58"/>
      <c r="D2002" s="58"/>
      <c r="E2002" s="58"/>
      <c r="F2002" s="88"/>
      <c r="G2002" s="58"/>
      <c r="H2002" s="88"/>
      <c r="I2002" s="91"/>
      <c r="J2002" s="58"/>
      <c r="K2002" s="244"/>
      <c r="L2002" s="93"/>
      <c r="M2002" s="58"/>
      <c r="N2002" s="62"/>
      <c r="O2002" s="245"/>
      <c r="P2002" s="62"/>
      <c r="Q2002" s="58"/>
      <c r="R2002" s="88"/>
      <c r="S2002" s="88"/>
    </row>
    <row r="2003">
      <c r="A2003" s="58"/>
      <c r="B2003" s="58"/>
      <c r="C2003" s="58"/>
      <c r="D2003" s="58"/>
      <c r="E2003" s="58"/>
      <c r="F2003" s="88"/>
      <c r="G2003" s="58"/>
      <c r="H2003" s="88"/>
      <c r="I2003" s="91"/>
      <c r="J2003" s="58"/>
      <c r="K2003" s="244"/>
      <c r="L2003" s="93"/>
      <c r="M2003" s="58"/>
      <c r="N2003" s="62"/>
      <c r="O2003" s="245"/>
      <c r="P2003" s="62"/>
      <c r="Q2003" s="58"/>
      <c r="R2003" s="88"/>
      <c r="S2003" s="88"/>
    </row>
    <row r="2004">
      <c r="A2004" s="58"/>
      <c r="B2004" s="58"/>
      <c r="C2004" s="58"/>
      <c r="D2004" s="58"/>
      <c r="E2004" s="58"/>
      <c r="F2004" s="88"/>
      <c r="G2004" s="58"/>
      <c r="H2004" s="88"/>
      <c r="I2004" s="91"/>
      <c r="J2004" s="58"/>
      <c r="K2004" s="244"/>
      <c r="L2004" s="93"/>
      <c r="M2004" s="58"/>
      <c r="N2004" s="62"/>
      <c r="O2004" s="245"/>
      <c r="P2004" s="62"/>
      <c r="Q2004" s="58"/>
      <c r="R2004" s="88"/>
      <c r="S2004" s="88"/>
    </row>
  </sheetData>
  <autoFilter ref="$A$1217:$AI$1285"/>
  <mergeCells count="5">
    <mergeCell ref="S653:T653"/>
    <mergeCell ref="C654:Q654"/>
    <mergeCell ref="C655:Q655"/>
    <mergeCell ref="S798:S812"/>
    <mergeCell ref="S1078:T1079"/>
  </mergeCells>
  <dataValidations>
    <dataValidation type="list" allowBlank="1" showErrorMessage="1" sqref="L1072:L1083 L1086:L1118 L1121:L1214 L1218:L1285">
      <formula1>"TP,FULL,SAOD"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2" max="2" width="12.0"/>
    <col customWidth="1" min="3" max="3" width="20.0"/>
  </cols>
  <sheetData>
    <row r="1">
      <c r="A1" s="60"/>
      <c r="B1" s="58"/>
      <c r="C1" s="58"/>
      <c r="D1" s="62"/>
      <c r="E1" s="58"/>
      <c r="F1" s="58"/>
      <c r="G1" s="62"/>
      <c r="H1" s="62"/>
      <c r="I1" s="62"/>
      <c r="J1" s="62"/>
      <c r="K1" s="60"/>
      <c r="L1" s="62"/>
      <c r="M1" s="244"/>
      <c r="N1" s="62"/>
      <c r="O1" s="62"/>
      <c r="P1" s="58"/>
      <c r="Q1" s="62"/>
      <c r="R1" s="245"/>
      <c r="S1" s="62"/>
      <c r="T1" s="62"/>
      <c r="U1" s="70"/>
      <c r="V1" s="70"/>
      <c r="W1" s="70"/>
      <c r="Z1" s="6" t="s">
        <v>5986</v>
      </c>
    </row>
    <row r="2">
      <c r="A2" s="14">
        <v>45700.0</v>
      </c>
      <c r="B2" s="160" t="s">
        <v>5987</v>
      </c>
      <c r="C2" s="8" t="s">
        <v>5988</v>
      </c>
      <c r="D2" s="7" t="s">
        <v>44</v>
      </c>
      <c r="E2" s="8" t="s">
        <v>5989</v>
      </c>
      <c r="F2" s="8" t="s">
        <v>5990</v>
      </c>
      <c r="G2" s="7" t="s">
        <v>5991</v>
      </c>
      <c r="H2" s="7" t="s">
        <v>63</v>
      </c>
      <c r="I2" s="7" t="s">
        <v>63</v>
      </c>
      <c r="J2" s="7">
        <v>2295.0</v>
      </c>
      <c r="K2" s="14">
        <v>46034.0</v>
      </c>
      <c r="L2" s="7" t="s">
        <v>78</v>
      </c>
      <c r="M2" s="9" t="s">
        <v>49</v>
      </c>
      <c r="N2" s="7" t="s">
        <v>27</v>
      </c>
      <c r="O2" s="7" t="s">
        <v>5992</v>
      </c>
      <c r="P2" s="8" t="s">
        <v>5993</v>
      </c>
      <c r="Q2" s="7" t="s">
        <v>5994</v>
      </c>
      <c r="R2" s="217">
        <v>46034.0</v>
      </c>
      <c r="S2" s="7" t="s">
        <v>63</v>
      </c>
      <c r="T2" s="7" t="s">
        <v>63</v>
      </c>
      <c r="U2" s="295">
        <v>21359.97</v>
      </c>
      <c r="V2" s="11">
        <v>21359.97</v>
      </c>
      <c r="W2" s="11">
        <v>23118.0</v>
      </c>
      <c r="X2" s="6">
        <v>65.0</v>
      </c>
      <c r="Y2" s="8">
        <f t="shared" ref="Y2:Y27" si="1">V2*X2%</f>
        <v>13883.9805</v>
      </c>
      <c r="Z2" s="296">
        <f t="shared" ref="Z2:Z27" si="2">(Y2-Y2*2%)</f>
        <v>13606.30089</v>
      </c>
    </row>
    <row r="3">
      <c r="A3" s="14">
        <v>45789.0</v>
      </c>
      <c r="B3" s="8" t="s">
        <v>5995</v>
      </c>
      <c r="C3" s="8" t="s">
        <v>5996</v>
      </c>
      <c r="D3" s="7" t="s">
        <v>21</v>
      </c>
      <c r="E3" s="8" t="s">
        <v>5997</v>
      </c>
      <c r="F3" s="8" t="s">
        <v>5998</v>
      </c>
      <c r="G3" s="7" t="s">
        <v>5999</v>
      </c>
      <c r="H3" s="7" t="s">
        <v>6000</v>
      </c>
      <c r="I3" s="7" t="s">
        <v>63</v>
      </c>
      <c r="J3" s="7">
        <v>12990.0</v>
      </c>
      <c r="K3" s="14">
        <v>46368.0</v>
      </c>
      <c r="L3" s="7" t="s">
        <v>78</v>
      </c>
      <c r="M3" s="9" t="s">
        <v>49</v>
      </c>
      <c r="N3" s="7" t="s">
        <v>101</v>
      </c>
      <c r="O3" s="7" t="s">
        <v>5992</v>
      </c>
      <c r="P3" s="8" t="s">
        <v>5993</v>
      </c>
      <c r="Q3" s="217">
        <v>46204.0</v>
      </c>
      <c r="R3" s="8"/>
      <c r="S3" s="8"/>
      <c r="T3" s="8"/>
      <c r="U3" s="295">
        <v>36442.56</v>
      </c>
      <c r="V3" s="11">
        <v>36442.56</v>
      </c>
      <c r="W3" s="11">
        <v>38411.54</v>
      </c>
      <c r="X3" s="6">
        <v>33.5</v>
      </c>
      <c r="Y3" s="8">
        <f t="shared" si="1"/>
        <v>12208.2576</v>
      </c>
      <c r="Z3" s="296">
        <f t="shared" si="2"/>
        <v>11964.09245</v>
      </c>
    </row>
    <row r="4">
      <c r="A4" s="14">
        <v>45789.0</v>
      </c>
      <c r="B4" s="8" t="s">
        <v>6001</v>
      </c>
      <c r="C4" s="8" t="s">
        <v>6002</v>
      </c>
      <c r="D4" s="7" t="s">
        <v>44</v>
      </c>
      <c r="E4" s="8" t="s">
        <v>188</v>
      </c>
      <c r="F4" s="8" t="s">
        <v>6003</v>
      </c>
      <c r="G4" s="7">
        <v>9.68752095E9</v>
      </c>
      <c r="H4" s="7">
        <v>8.511761765E9</v>
      </c>
      <c r="I4" s="7" t="s">
        <v>63</v>
      </c>
      <c r="J4" s="7">
        <v>1600.0</v>
      </c>
      <c r="K4" s="14">
        <v>46124.0</v>
      </c>
      <c r="L4" s="7" t="s">
        <v>78</v>
      </c>
      <c r="M4" s="9" t="s">
        <v>49</v>
      </c>
      <c r="N4" s="7" t="s">
        <v>340</v>
      </c>
      <c r="O4" s="7" t="s">
        <v>5992</v>
      </c>
      <c r="P4" s="8" t="s">
        <v>5993</v>
      </c>
      <c r="Q4" s="297">
        <v>45728.0</v>
      </c>
      <c r="R4" s="223"/>
      <c r="S4" s="223"/>
      <c r="T4" s="8"/>
      <c r="U4" s="298">
        <v>19705.33</v>
      </c>
      <c r="V4" s="7">
        <v>19705.33</v>
      </c>
      <c r="W4" s="7">
        <v>21165.93</v>
      </c>
      <c r="X4" s="6">
        <v>65.0</v>
      </c>
      <c r="Y4" s="8">
        <f t="shared" si="1"/>
        <v>12808.4645</v>
      </c>
      <c r="Z4" s="296">
        <f t="shared" si="2"/>
        <v>12552.29521</v>
      </c>
    </row>
    <row r="5">
      <c r="A5" s="14">
        <v>45820.0</v>
      </c>
      <c r="B5" s="58" t="s">
        <v>6004</v>
      </c>
      <c r="C5" s="58" t="s">
        <v>6005</v>
      </c>
      <c r="D5" s="7" t="s">
        <v>75</v>
      </c>
      <c r="E5" s="58" t="s">
        <v>81</v>
      </c>
      <c r="F5" s="58" t="s">
        <v>6006</v>
      </c>
      <c r="G5" s="7">
        <v>9.725331238E9</v>
      </c>
      <c r="H5" s="7">
        <v>8.866800092E9</v>
      </c>
      <c r="I5" s="7" t="s">
        <v>6007</v>
      </c>
      <c r="J5" s="7">
        <v>1250.0</v>
      </c>
      <c r="K5" s="60">
        <v>46154.0</v>
      </c>
      <c r="L5" s="7" t="s">
        <v>78</v>
      </c>
      <c r="M5" s="34" t="s">
        <v>49</v>
      </c>
      <c r="N5" s="7" t="s">
        <v>27</v>
      </c>
      <c r="O5" s="7" t="s">
        <v>5992</v>
      </c>
      <c r="P5" s="8" t="s">
        <v>5993</v>
      </c>
      <c r="Q5" s="217">
        <v>46519.0</v>
      </c>
      <c r="R5" s="7" t="s">
        <v>6008</v>
      </c>
      <c r="S5" s="7" t="s">
        <v>63</v>
      </c>
      <c r="T5" s="7" t="s">
        <v>63</v>
      </c>
      <c r="U5" s="295">
        <v>5219.85</v>
      </c>
      <c r="V5" s="70">
        <v>5219.85</v>
      </c>
      <c r="W5" s="62">
        <v>5575.0</v>
      </c>
      <c r="X5" s="6">
        <v>52.5</v>
      </c>
      <c r="Y5" s="8">
        <f t="shared" si="1"/>
        <v>2740.42125</v>
      </c>
      <c r="Z5" s="296">
        <f t="shared" si="2"/>
        <v>2685.612825</v>
      </c>
    </row>
    <row r="6">
      <c r="A6" s="14">
        <v>45881.0</v>
      </c>
      <c r="B6" s="58" t="s">
        <v>6009</v>
      </c>
      <c r="C6" s="58" t="s">
        <v>6010</v>
      </c>
      <c r="D6" s="7" t="s">
        <v>44</v>
      </c>
      <c r="E6" s="58" t="s">
        <v>6011</v>
      </c>
      <c r="F6" s="58" t="s">
        <v>6012</v>
      </c>
      <c r="G6" s="7">
        <v>9.016583756E9</v>
      </c>
      <c r="H6" s="7">
        <v>9.328020739E9</v>
      </c>
      <c r="I6" s="7" t="s">
        <v>63</v>
      </c>
      <c r="J6" s="7">
        <v>2750.0</v>
      </c>
      <c r="K6" s="60">
        <v>46246.0</v>
      </c>
      <c r="L6" s="7" t="s">
        <v>78</v>
      </c>
      <c r="M6" s="9" t="s">
        <v>49</v>
      </c>
      <c r="N6" s="7" t="s">
        <v>84</v>
      </c>
      <c r="O6" s="7" t="s">
        <v>5992</v>
      </c>
      <c r="P6" s="8" t="s">
        <v>5993</v>
      </c>
      <c r="Q6" s="7" t="s">
        <v>6013</v>
      </c>
      <c r="R6" s="217">
        <v>45997.0</v>
      </c>
      <c r="S6" s="7" t="s">
        <v>63</v>
      </c>
      <c r="T6" s="7" t="s">
        <v>63</v>
      </c>
      <c r="U6" s="295">
        <v>17674.27</v>
      </c>
      <c r="V6" s="70">
        <v>17674.27</v>
      </c>
      <c r="W6" s="62">
        <v>18769.0</v>
      </c>
      <c r="X6" s="6">
        <v>54.0</v>
      </c>
      <c r="Y6" s="8">
        <f t="shared" si="1"/>
        <v>9544.1058</v>
      </c>
      <c r="Z6" s="296">
        <f t="shared" si="2"/>
        <v>9353.223684</v>
      </c>
    </row>
    <row r="7">
      <c r="A7" s="19">
        <v>45912.0</v>
      </c>
      <c r="B7" s="58" t="s">
        <v>6014</v>
      </c>
      <c r="C7" s="58" t="s">
        <v>6015</v>
      </c>
      <c r="D7" s="7" t="s">
        <v>75</v>
      </c>
      <c r="E7" s="58" t="s">
        <v>81</v>
      </c>
      <c r="F7" s="58" t="s">
        <v>6016</v>
      </c>
      <c r="G7" s="7">
        <v>9.909064963E9</v>
      </c>
      <c r="H7" s="7" t="s">
        <v>63</v>
      </c>
      <c r="I7" s="7" t="s">
        <v>63</v>
      </c>
      <c r="J7" s="7">
        <v>995.0</v>
      </c>
      <c r="K7" s="60">
        <v>46246.0</v>
      </c>
      <c r="L7" s="7" t="s">
        <v>78</v>
      </c>
      <c r="M7" s="9" t="s">
        <v>49</v>
      </c>
      <c r="N7" s="7" t="s">
        <v>111</v>
      </c>
      <c r="O7" s="7" t="s">
        <v>5992</v>
      </c>
      <c r="P7" s="8" t="s">
        <v>5993</v>
      </c>
      <c r="Q7" s="7" t="s">
        <v>6017</v>
      </c>
      <c r="R7" s="7" t="s">
        <v>6018</v>
      </c>
      <c r="S7" s="7" t="s">
        <v>63</v>
      </c>
      <c r="T7" s="7" t="s">
        <v>63</v>
      </c>
      <c r="U7" s="295">
        <v>5639.91</v>
      </c>
      <c r="V7" s="70">
        <v>5639.91</v>
      </c>
      <c r="W7" s="62">
        <v>6071.0</v>
      </c>
      <c r="X7" s="6">
        <v>52.5</v>
      </c>
      <c r="Y7" s="8">
        <f t="shared" si="1"/>
        <v>2960.95275</v>
      </c>
      <c r="Z7" s="296">
        <f t="shared" si="2"/>
        <v>2901.733695</v>
      </c>
    </row>
    <row r="8">
      <c r="A8" s="19">
        <v>45912.0</v>
      </c>
      <c r="B8" s="58" t="s">
        <v>6019</v>
      </c>
      <c r="C8" s="58" t="s">
        <v>6020</v>
      </c>
      <c r="D8" s="7" t="s">
        <v>44</v>
      </c>
      <c r="E8" s="58" t="s">
        <v>4310</v>
      </c>
      <c r="F8" s="58" t="s">
        <v>6021</v>
      </c>
      <c r="G8" s="7">
        <v>7.990018112E9</v>
      </c>
      <c r="H8" s="7" t="s">
        <v>63</v>
      </c>
      <c r="I8" s="7" t="s">
        <v>63</v>
      </c>
      <c r="J8" s="7">
        <v>1600.0</v>
      </c>
      <c r="K8" s="61">
        <v>46277.0</v>
      </c>
      <c r="L8" s="7" t="s">
        <v>78</v>
      </c>
      <c r="M8" s="9" t="s">
        <v>49</v>
      </c>
      <c r="N8" s="7" t="s">
        <v>71</v>
      </c>
      <c r="O8" s="7" t="s">
        <v>5992</v>
      </c>
      <c r="P8" s="8" t="s">
        <v>5993</v>
      </c>
      <c r="Q8" s="7" t="s">
        <v>6022</v>
      </c>
      <c r="R8" s="7" t="s">
        <v>6023</v>
      </c>
      <c r="S8" s="7" t="s">
        <v>63</v>
      </c>
      <c r="T8" s="7" t="s">
        <v>63</v>
      </c>
      <c r="U8" s="295">
        <v>19236.15</v>
      </c>
      <c r="V8" s="70">
        <v>19236.15</v>
      </c>
      <c r="W8" s="70">
        <v>20612.0</v>
      </c>
      <c r="X8" s="6">
        <v>65.0</v>
      </c>
      <c r="Y8" s="8">
        <f t="shared" si="1"/>
        <v>12503.4975</v>
      </c>
      <c r="Z8" s="296">
        <f t="shared" si="2"/>
        <v>12253.42755</v>
      </c>
    </row>
    <row r="9">
      <c r="A9" s="19">
        <v>45942.0</v>
      </c>
      <c r="B9" s="58" t="s">
        <v>6024</v>
      </c>
      <c r="C9" s="58" t="s">
        <v>6025</v>
      </c>
      <c r="D9" s="7" t="s">
        <v>21</v>
      </c>
      <c r="E9" s="58" t="s">
        <v>6026</v>
      </c>
      <c r="F9" s="58" t="s">
        <v>6027</v>
      </c>
      <c r="G9" s="7">
        <v>9.825790488E9</v>
      </c>
      <c r="H9" s="7">
        <v>8.530398405E9</v>
      </c>
      <c r="I9" s="7" t="s">
        <v>63</v>
      </c>
      <c r="J9" s="7">
        <v>35000.0</v>
      </c>
      <c r="K9" s="61">
        <v>46277.0</v>
      </c>
      <c r="L9" s="7" t="s">
        <v>78</v>
      </c>
      <c r="M9" s="9" t="s">
        <v>49</v>
      </c>
      <c r="N9" s="7" t="s">
        <v>71</v>
      </c>
      <c r="O9" s="7" t="s">
        <v>5992</v>
      </c>
      <c r="P9" s="8" t="s">
        <v>5993</v>
      </c>
      <c r="Q9" s="7" t="s">
        <v>6028</v>
      </c>
      <c r="R9" s="7" t="s">
        <v>6029</v>
      </c>
      <c r="S9" s="7" t="s">
        <v>6030</v>
      </c>
      <c r="T9" s="7" t="s">
        <v>63</v>
      </c>
      <c r="U9" s="295">
        <v>47944.19</v>
      </c>
      <c r="V9" s="70">
        <v>47944.19</v>
      </c>
      <c r="W9" s="62">
        <v>50861.0</v>
      </c>
      <c r="X9" s="6">
        <v>35.5</v>
      </c>
      <c r="Y9" s="8">
        <f t="shared" si="1"/>
        <v>17020.18745</v>
      </c>
      <c r="Z9" s="296">
        <f t="shared" si="2"/>
        <v>16679.7837</v>
      </c>
    </row>
    <row r="10">
      <c r="A10" s="19">
        <v>45942.0</v>
      </c>
      <c r="B10" s="58" t="s">
        <v>6031</v>
      </c>
      <c r="C10" s="58" t="s">
        <v>6032</v>
      </c>
      <c r="D10" s="7" t="s">
        <v>44</v>
      </c>
      <c r="E10" s="58" t="s">
        <v>6033</v>
      </c>
      <c r="F10" s="58" t="s">
        <v>6034</v>
      </c>
      <c r="G10" s="7">
        <v>7.819804479E9</v>
      </c>
      <c r="H10" s="7" t="s">
        <v>63</v>
      </c>
      <c r="I10" s="7" t="s">
        <v>63</v>
      </c>
      <c r="J10" s="7">
        <v>1630.0</v>
      </c>
      <c r="K10" s="19">
        <v>46277.0</v>
      </c>
      <c r="L10" s="7" t="s">
        <v>78</v>
      </c>
      <c r="M10" s="9" t="s">
        <v>49</v>
      </c>
      <c r="N10" s="7" t="s">
        <v>185</v>
      </c>
      <c r="O10" s="7" t="s">
        <v>5992</v>
      </c>
      <c r="P10" s="8" t="s">
        <v>5993</v>
      </c>
      <c r="Q10" s="7" t="s">
        <v>6035</v>
      </c>
      <c r="R10" s="7" t="s">
        <v>6036</v>
      </c>
      <c r="S10" s="7" t="s">
        <v>63</v>
      </c>
      <c r="T10" s="7" t="s">
        <v>63</v>
      </c>
      <c r="U10" s="298">
        <v>19640.11</v>
      </c>
      <c r="V10" s="62">
        <v>19640.11</v>
      </c>
      <c r="W10" s="62">
        <v>21088.97</v>
      </c>
      <c r="X10" s="6">
        <v>65.0</v>
      </c>
      <c r="Y10" s="8">
        <f t="shared" si="1"/>
        <v>12766.0715</v>
      </c>
      <c r="Z10" s="296">
        <f t="shared" si="2"/>
        <v>12510.75007</v>
      </c>
    </row>
    <row r="11">
      <c r="A11" s="19">
        <v>45973.0</v>
      </c>
      <c r="B11" s="58" t="s">
        <v>1559</v>
      </c>
      <c r="C11" s="58" t="s">
        <v>6037</v>
      </c>
      <c r="D11" s="7" t="s">
        <v>21</v>
      </c>
      <c r="E11" s="58" t="s">
        <v>6038</v>
      </c>
      <c r="F11" s="58" t="s">
        <v>6039</v>
      </c>
      <c r="G11" s="7">
        <v>9.106288126E9</v>
      </c>
      <c r="H11" s="7">
        <v>9.106198843E9</v>
      </c>
      <c r="I11" s="7" t="s">
        <v>63</v>
      </c>
      <c r="J11" s="7">
        <v>12990.0</v>
      </c>
      <c r="K11" s="61">
        <v>46338.0</v>
      </c>
      <c r="L11" s="7" t="s">
        <v>78</v>
      </c>
      <c r="M11" s="9" t="s">
        <v>49</v>
      </c>
      <c r="N11" s="7" t="s">
        <v>71</v>
      </c>
      <c r="O11" s="7" t="s">
        <v>5992</v>
      </c>
      <c r="P11" s="8" t="s">
        <v>5993</v>
      </c>
      <c r="Q11" s="7" t="s">
        <v>6040</v>
      </c>
      <c r="R11" s="217">
        <v>46277.0</v>
      </c>
      <c r="S11" s="7" t="s">
        <v>6041</v>
      </c>
      <c r="T11" s="7" t="s">
        <v>63</v>
      </c>
      <c r="U11" s="295">
        <v>37679.69</v>
      </c>
      <c r="V11" s="70">
        <v>37679.69</v>
      </c>
      <c r="W11" s="70">
        <v>39871.35</v>
      </c>
      <c r="X11" s="6">
        <v>33.5</v>
      </c>
      <c r="Y11" s="8">
        <f t="shared" si="1"/>
        <v>12622.69615</v>
      </c>
      <c r="Z11" s="296">
        <f t="shared" si="2"/>
        <v>12370.24223</v>
      </c>
    </row>
    <row r="12">
      <c r="A12" s="19">
        <v>45973.0</v>
      </c>
      <c r="B12" s="58" t="s">
        <v>6042</v>
      </c>
      <c r="C12" s="58" t="s">
        <v>6043</v>
      </c>
      <c r="D12" s="7" t="s">
        <v>75</v>
      </c>
      <c r="E12" s="58" t="s">
        <v>119</v>
      </c>
      <c r="F12" s="58" t="s">
        <v>6044</v>
      </c>
      <c r="G12" s="7">
        <v>8.758921315E9</v>
      </c>
      <c r="H12" s="7">
        <v>6.356216645E9</v>
      </c>
      <c r="I12" s="7" t="s">
        <v>63</v>
      </c>
      <c r="J12" s="7">
        <v>995.0</v>
      </c>
      <c r="K12" s="61">
        <v>46307.0</v>
      </c>
      <c r="L12" s="7" t="s">
        <v>78</v>
      </c>
      <c r="M12" s="9" t="s">
        <v>49</v>
      </c>
      <c r="N12" s="7" t="s">
        <v>71</v>
      </c>
      <c r="O12" s="7" t="s">
        <v>5992</v>
      </c>
      <c r="P12" s="8" t="s">
        <v>5993</v>
      </c>
      <c r="Q12" s="7" t="s">
        <v>6045</v>
      </c>
      <c r="R12" s="7" t="s">
        <v>6046</v>
      </c>
      <c r="S12" s="7" t="s">
        <v>63</v>
      </c>
      <c r="T12" s="7" t="s">
        <v>63</v>
      </c>
      <c r="U12" s="295">
        <v>5219.85</v>
      </c>
      <c r="V12" s="70">
        <v>5219.85</v>
      </c>
      <c r="W12" s="62">
        <v>5575.0</v>
      </c>
      <c r="X12" s="6">
        <v>52.5</v>
      </c>
      <c r="Y12" s="8">
        <f t="shared" si="1"/>
        <v>2740.42125</v>
      </c>
      <c r="Z12" s="296">
        <f t="shared" si="2"/>
        <v>2685.612825</v>
      </c>
    </row>
    <row r="13">
      <c r="A13" s="299">
        <v>46003.0</v>
      </c>
      <c r="B13" s="64" t="s">
        <v>6047</v>
      </c>
      <c r="C13" s="64" t="s">
        <v>6048</v>
      </c>
      <c r="D13" s="63" t="s">
        <v>21</v>
      </c>
      <c r="E13" s="64" t="s">
        <v>691</v>
      </c>
      <c r="F13" s="64" t="s">
        <v>6049</v>
      </c>
      <c r="G13" s="63">
        <v>9.712654111E9</v>
      </c>
      <c r="H13" s="63" t="s">
        <v>63</v>
      </c>
      <c r="I13" s="63" t="s">
        <v>63</v>
      </c>
      <c r="J13" s="65">
        <v>16140.0</v>
      </c>
      <c r="K13" s="300">
        <v>46338.0</v>
      </c>
      <c r="L13" s="63" t="s">
        <v>78</v>
      </c>
      <c r="M13" s="26" t="s">
        <v>49</v>
      </c>
      <c r="N13" s="63" t="s">
        <v>71</v>
      </c>
      <c r="O13" s="63" t="s">
        <v>5992</v>
      </c>
      <c r="P13" s="108" t="s">
        <v>5993</v>
      </c>
      <c r="Q13" s="63" t="s">
        <v>6050</v>
      </c>
      <c r="R13" s="63" t="s">
        <v>4530</v>
      </c>
      <c r="S13" s="260">
        <v>46885.0</v>
      </c>
      <c r="T13" s="63" t="s">
        <v>63</v>
      </c>
      <c r="U13" s="301">
        <v>52557.24</v>
      </c>
      <c r="V13" s="73">
        <v>52557.24</v>
      </c>
      <c r="W13" s="65">
        <v>57427.0</v>
      </c>
      <c r="X13" s="6">
        <v>26.0</v>
      </c>
      <c r="Y13" s="8">
        <f t="shared" si="1"/>
        <v>13664.8824</v>
      </c>
      <c r="Z13" s="296">
        <f t="shared" si="2"/>
        <v>13391.58475</v>
      </c>
    </row>
    <row r="14">
      <c r="A14" s="63" t="s">
        <v>5860</v>
      </c>
      <c r="B14" s="64" t="s">
        <v>1548</v>
      </c>
      <c r="C14" s="64" t="s">
        <v>6051</v>
      </c>
      <c r="D14" s="63" t="s">
        <v>21</v>
      </c>
      <c r="E14" s="64" t="s">
        <v>330</v>
      </c>
      <c r="F14" s="64" t="s">
        <v>6052</v>
      </c>
      <c r="G14" s="63">
        <v>6.351736412E9</v>
      </c>
      <c r="H14" s="63">
        <v>7.203922986E9</v>
      </c>
      <c r="I14" s="63" t="s">
        <v>63</v>
      </c>
      <c r="J14" s="63">
        <v>12990.0</v>
      </c>
      <c r="K14" s="300">
        <v>46368.0</v>
      </c>
      <c r="L14" s="63" t="s">
        <v>78</v>
      </c>
      <c r="M14" s="26" t="s">
        <v>49</v>
      </c>
      <c r="N14" s="63" t="s">
        <v>71</v>
      </c>
      <c r="O14" s="63" t="s">
        <v>5992</v>
      </c>
      <c r="P14" s="108" t="s">
        <v>5993</v>
      </c>
      <c r="Q14" s="63" t="s">
        <v>6053</v>
      </c>
      <c r="R14" s="302">
        <v>46178.0</v>
      </c>
      <c r="S14" s="260">
        <v>47094.0</v>
      </c>
      <c r="T14" s="63" t="s">
        <v>63</v>
      </c>
      <c r="U14" s="295">
        <v>37429.63</v>
      </c>
      <c r="V14" s="73">
        <v>37429.63</v>
      </c>
      <c r="W14" s="65">
        <v>39576.0</v>
      </c>
      <c r="X14" s="6">
        <v>33.5</v>
      </c>
      <c r="Y14" s="8">
        <f t="shared" si="1"/>
        <v>12538.92605</v>
      </c>
      <c r="Z14" s="296">
        <f t="shared" si="2"/>
        <v>12288.14753</v>
      </c>
    </row>
    <row r="15">
      <c r="A15" s="63" t="s">
        <v>5860</v>
      </c>
      <c r="B15" s="64" t="s">
        <v>6054</v>
      </c>
      <c r="C15" s="64" t="s">
        <v>6055</v>
      </c>
      <c r="D15" s="63" t="s">
        <v>21</v>
      </c>
      <c r="E15" s="64" t="s">
        <v>649</v>
      </c>
      <c r="F15" s="64" t="s">
        <v>6056</v>
      </c>
      <c r="G15" s="63">
        <v>9.979078037E9</v>
      </c>
      <c r="H15" s="63" t="s">
        <v>63</v>
      </c>
      <c r="I15" s="63" t="s">
        <v>63</v>
      </c>
      <c r="J15" s="63">
        <v>35000.0</v>
      </c>
      <c r="K15" s="300">
        <v>46368.0</v>
      </c>
      <c r="L15" s="63" t="s">
        <v>78</v>
      </c>
      <c r="M15" s="26" t="s">
        <v>49</v>
      </c>
      <c r="N15" s="63" t="s">
        <v>71</v>
      </c>
      <c r="O15" s="63" t="s">
        <v>5992</v>
      </c>
      <c r="P15" s="108" t="s">
        <v>5993</v>
      </c>
      <c r="Q15" s="63" t="s">
        <v>6057</v>
      </c>
      <c r="R15" s="63" t="s">
        <v>6058</v>
      </c>
      <c r="S15" s="63" t="s">
        <v>6059</v>
      </c>
      <c r="T15" s="63" t="s">
        <v>63</v>
      </c>
      <c r="U15" s="295">
        <v>48530.46</v>
      </c>
      <c r="V15" s="73">
        <v>48530.46</v>
      </c>
      <c r="W15" s="73">
        <v>51552.0</v>
      </c>
      <c r="X15" s="6">
        <v>35.5</v>
      </c>
      <c r="Y15" s="8">
        <f t="shared" si="1"/>
        <v>17228.3133</v>
      </c>
      <c r="Z15" s="296">
        <f t="shared" si="2"/>
        <v>16883.74703</v>
      </c>
    </row>
    <row r="16">
      <c r="A16" s="63" t="s">
        <v>1934</v>
      </c>
      <c r="B16" s="64" t="s">
        <v>6060</v>
      </c>
      <c r="C16" s="64" t="s">
        <v>6061</v>
      </c>
      <c r="D16" s="63" t="s">
        <v>21</v>
      </c>
      <c r="E16" s="64" t="s">
        <v>594</v>
      </c>
      <c r="F16" s="64" t="s">
        <v>6062</v>
      </c>
      <c r="G16" s="63">
        <v>9.82502478E9</v>
      </c>
      <c r="H16" s="63" t="s">
        <v>6063</v>
      </c>
      <c r="I16" s="63" t="s">
        <v>63</v>
      </c>
      <c r="J16" s="63">
        <v>12990.0</v>
      </c>
      <c r="K16" s="65" t="s">
        <v>5856</v>
      </c>
      <c r="L16" s="63" t="s">
        <v>78</v>
      </c>
      <c r="M16" s="26" t="s">
        <v>49</v>
      </c>
      <c r="N16" s="63" t="s">
        <v>340</v>
      </c>
      <c r="O16" s="63" t="s">
        <v>5992</v>
      </c>
      <c r="P16" s="108" t="s">
        <v>5993</v>
      </c>
      <c r="Q16" s="260">
        <v>46184.0</v>
      </c>
      <c r="R16" s="260">
        <v>46338.0</v>
      </c>
      <c r="S16" s="260">
        <v>46822.0</v>
      </c>
      <c r="T16" s="63" t="s">
        <v>63</v>
      </c>
      <c r="U16" s="295">
        <v>37214.51</v>
      </c>
      <c r="V16" s="73">
        <v>37214.51</v>
      </c>
      <c r="W16" s="65">
        <v>39322.0</v>
      </c>
      <c r="X16" s="6">
        <v>33.5</v>
      </c>
      <c r="Y16" s="8">
        <f t="shared" si="1"/>
        <v>12466.86085</v>
      </c>
      <c r="Z16" s="296">
        <f t="shared" si="2"/>
        <v>12217.52363</v>
      </c>
    </row>
    <row r="17">
      <c r="A17" s="7" t="s">
        <v>1943</v>
      </c>
      <c r="B17" s="58" t="s">
        <v>6064</v>
      </c>
      <c r="C17" s="58" t="s">
        <v>6065</v>
      </c>
      <c r="D17" s="7" t="s">
        <v>75</v>
      </c>
      <c r="E17" s="58" t="s">
        <v>81</v>
      </c>
      <c r="F17" s="58" t="s">
        <v>6066</v>
      </c>
      <c r="G17" s="7">
        <v>9.714496567E9</v>
      </c>
      <c r="H17" s="7">
        <v>9.316600154E9</v>
      </c>
      <c r="I17" s="7" t="s">
        <v>6007</v>
      </c>
      <c r="J17" s="7">
        <v>990.0</v>
      </c>
      <c r="K17" s="62" t="s">
        <v>6067</v>
      </c>
      <c r="L17" s="7" t="s">
        <v>78</v>
      </c>
      <c r="M17" s="9" t="s">
        <v>49</v>
      </c>
      <c r="N17" s="7" t="s">
        <v>27</v>
      </c>
      <c r="O17" s="7" t="s">
        <v>5992</v>
      </c>
      <c r="P17" s="8" t="s">
        <v>5993</v>
      </c>
      <c r="Q17" s="7" t="s">
        <v>6058</v>
      </c>
      <c r="R17" s="7" t="s">
        <v>6068</v>
      </c>
      <c r="S17" s="7" t="s">
        <v>63</v>
      </c>
      <c r="T17" s="7" t="s">
        <v>63</v>
      </c>
      <c r="U17" s="295">
        <v>5314.91</v>
      </c>
      <c r="V17" s="70">
        <v>5314.91</v>
      </c>
      <c r="W17" s="70">
        <v>5688.0</v>
      </c>
      <c r="X17" s="6">
        <v>52.5</v>
      </c>
      <c r="Y17" s="8">
        <f t="shared" si="1"/>
        <v>2790.32775</v>
      </c>
      <c r="Z17" s="296">
        <f t="shared" si="2"/>
        <v>2734.521195</v>
      </c>
    </row>
    <row r="18">
      <c r="A18" s="63" t="s">
        <v>1943</v>
      </c>
      <c r="B18" s="64" t="s">
        <v>6069</v>
      </c>
      <c r="C18" s="64" t="s">
        <v>6070</v>
      </c>
      <c r="D18" s="63" t="s">
        <v>21</v>
      </c>
      <c r="E18" s="64" t="s">
        <v>6071</v>
      </c>
      <c r="F18" s="64" t="s">
        <v>6072</v>
      </c>
      <c r="G18" s="63">
        <v>9.687075363E9</v>
      </c>
      <c r="H18" s="63">
        <v>9.974483623E9</v>
      </c>
      <c r="I18" s="63" t="s">
        <v>63</v>
      </c>
      <c r="J18" s="63">
        <v>16020.0</v>
      </c>
      <c r="K18" s="65" t="s">
        <v>6067</v>
      </c>
      <c r="L18" s="63" t="s">
        <v>78</v>
      </c>
      <c r="M18" s="26" t="s">
        <v>49</v>
      </c>
      <c r="N18" s="63" t="s">
        <v>340</v>
      </c>
      <c r="O18" s="63" t="s">
        <v>5992</v>
      </c>
      <c r="P18" s="108" t="s">
        <v>5993</v>
      </c>
      <c r="Q18" s="260">
        <v>46057.0</v>
      </c>
      <c r="R18" s="63" t="s">
        <v>4240</v>
      </c>
      <c r="S18" s="63" t="s">
        <v>6073</v>
      </c>
      <c r="T18" s="63" t="s">
        <v>63</v>
      </c>
      <c r="U18" s="301">
        <v>39931.87</v>
      </c>
      <c r="V18" s="73">
        <v>39931.87</v>
      </c>
      <c r="W18" s="73">
        <v>42529.0</v>
      </c>
      <c r="X18" s="6">
        <v>26.0</v>
      </c>
      <c r="Y18" s="8">
        <f t="shared" si="1"/>
        <v>10382.2862</v>
      </c>
      <c r="Z18" s="296">
        <f t="shared" si="2"/>
        <v>10174.64048</v>
      </c>
    </row>
    <row r="19">
      <c r="A19" s="7" t="s">
        <v>1947</v>
      </c>
      <c r="B19" s="58" t="s">
        <v>6074</v>
      </c>
      <c r="C19" s="58" t="s">
        <v>6075</v>
      </c>
      <c r="D19" s="7" t="s">
        <v>21</v>
      </c>
      <c r="E19" s="58" t="s">
        <v>6026</v>
      </c>
      <c r="F19" s="58" t="s">
        <v>6076</v>
      </c>
      <c r="G19" s="7">
        <v>7.98467355E9</v>
      </c>
      <c r="H19" s="7" t="s">
        <v>63</v>
      </c>
      <c r="I19" s="7" t="s">
        <v>63</v>
      </c>
      <c r="J19" s="7">
        <v>35000.0</v>
      </c>
      <c r="K19" s="62" t="s">
        <v>5905</v>
      </c>
      <c r="L19" s="7" t="s">
        <v>78</v>
      </c>
      <c r="M19" s="9" t="s">
        <v>49</v>
      </c>
      <c r="N19" s="7" t="s">
        <v>27</v>
      </c>
      <c r="O19" s="7" t="s">
        <v>5992</v>
      </c>
      <c r="P19" s="8" t="s">
        <v>5993</v>
      </c>
      <c r="Q19" s="217">
        <v>46065.0</v>
      </c>
      <c r="R19" s="7" t="s">
        <v>6077</v>
      </c>
      <c r="S19" s="217">
        <v>47585.0</v>
      </c>
      <c r="T19" s="8"/>
      <c r="U19" s="295">
        <v>48035.45</v>
      </c>
      <c r="V19" s="70">
        <v>48035.45</v>
      </c>
      <c r="W19" s="62">
        <v>50968.0</v>
      </c>
      <c r="X19" s="6">
        <v>35.5</v>
      </c>
      <c r="Y19" s="8">
        <f t="shared" si="1"/>
        <v>17052.58475</v>
      </c>
      <c r="Z19" s="296">
        <f t="shared" si="2"/>
        <v>16711.53306</v>
      </c>
    </row>
    <row r="20">
      <c r="A20" s="7" t="s">
        <v>1567</v>
      </c>
      <c r="B20" s="8" t="s">
        <v>6078</v>
      </c>
      <c r="C20" s="8" t="s">
        <v>6079</v>
      </c>
      <c r="D20" s="7" t="s">
        <v>75</v>
      </c>
      <c r="E20" s="8" t="s">
        <v>81</v>
      </c>
      <c r="F20" s="8" t="s">
        <v>6080</v>
      </c>
      <c r="G20" s="7">
        <v>9.726809934E9</v>
      </c>
      <c r="H20" s="7">
        <v>9.712340647E9</v>
      </c>
      <c r="I20" s="7" t="s">
        <v>63</v>
      </c>
      <c r="J20" s="7">
        <v>990.0</v>
      </c>
      <c r="K20" s="13" t="s">
        <v>5911</v>
      </c>
      <c r="L20" s="7" t="s">
        <v>78</v>
      </c>
      <c r="M20" s="9" t="s">
        <v>49</v>
      </c>
      <c r="N20" s="7" t="s">
        <v>71</v>
      </c>
      <c r="O20" s="7" t="s">
        <v>5992</v>
      </c>
      <c r="P20" s="8" t="s">
        <v>5993</v>
      </c>
      <c r="Q20" s="297">
        <v>46419.0</v>
      </c>
      <c r="R20" s="7" t="s">
        <v>2495</v>
      </c>
      <c r="S20" s="7" t="s">
        <v>63</v>
      </c>
      <c r="T20" s="7" t="s">
        <v>63</v>
      </c>
      <c r="U20" s="295">
        <v>5065.39</v>
      </c>
      <c r="V20" s="11">
        <v>5065.39</v>
      </c>
      <c r="W20" s="11">
        <v>5393.0</v>
      </c>
      <c r="X20" s="6">
        <v>52.5</v>
      </c>
      <c r="Y20" s="8">
        <f t="shared" si="1"/>
        <v>2659.32975</v>
      </c>
      <c r="Z20" s="296">
        <f t="shared" si="2"/>
        <v>2606.143155</v>
      </c>
    </row>
    <row r="21">
      <c r="A21" s="13" t="s">
        <v>1921</v>
      </c>
      <c r="B21" s="131" t="s">
        <v>6081</v>
      </c>
      <c r="C21" s="131" t="s">
        <v>6082</v>
      </c>
      <c r="D21" s="13" t="s">
        <v>44</v>
      </c>
      <c r="E21" s="131" t="s">
        <v>4310</v>
      </c>
      <c r="F21" s="131" t="s">
        <v>6083</v>
      </c>
      <c r="G21" s="13">
        <v>9.429875143E9</v>
      </c>
      <c r="H21" s="13">
        <v>8.320229019E9</v>
      </c>
      <c r="I21" s="13" t="s">
        <v>63</v>
      </c>
      <c r="J21" s="13">
        <v>1600.0</v>
      </c>
      <c r="K21" s="13" t="s">
        <v>5911</v>
      </c>
      <c r="L21" s="13" t="s">
        <v>78</v>
      </c>
      <c r="M21" s="258" t="s">
        <v>49</v>
      </c>
      <c r="N21" s="13" t="s">
        <v>27</v>
      </c>
      <c r="O21" s="13" t="s">
        <v>5992</v>
      </c>
      <c r="P21" s="131" t="s">
        <v>5993</v>
      </c>
      <c r="Q21" s="303">
        <v>46338.0</v>
      </c>
      <c r="R21" s="13" t="s">
        <v>6084</v>
      </c>
      <c r="S21" s="13" t="s">
        <v>63</v>
      </c>
      <c r="T21" s="13" t="s">
        <v>63</v>
      </c>
      <c r="U21" s="295">
        <v>20131.12</v>
      </c>
      <c r="V21" s="304">
        <v>20131.12</v>
      </c>
      <c r="W21" s="304">
        <v>21668.0</v>
      </c>
      <c r="X21" s="6">
        <v>65.0</v>
      </c>
      <c r="Y21" s="8">
        <f t="shared" si="1"/>
        <v>13085.228</v>
      </c>
      <c r="Z21" s="296">
        <f t="shared" si="2"/>
        <v>12823.52344</v>
      </c>
    </row>
    <row r="22">
      <c r="A22" s="7" t="s">
        <v>18</v>
      </c>
      <c r="B22" s="8" t="s">
        <v>6085</v>
      </c>
      <c r="C22" s="8" t="s">
        <v>6086</v>
      </c>
      <c r="D22" s="7" t="s">
        <v>21</v>
      </c>
      <c r="E22" s="8" t="s">
        <v>4467</v>
      </c>
      <c r="F22" s="8" t="s">
        <v>6087</v>
      </c>
      <c r="G22" s="7">
        <v>9.978511211E9</v>
      </c>
      <c r="H22" s="7" t="s">
        <v>63</v>
      </c>
      <c r="I22" s="7" t="s">
        <v>63</v>
      </c>
      <c r="J22" s="7">
        <v>28000.0</v>
      </c>
      <c r="K22" s="7" t="s">
        <v>5833</v>
      </c>
      <c r="L22" s="7" t="s">
        <v>78</v>
      </c>
      <c r="M22" s="9" t="s">
        <v>49</v>
      </c>
      <c r="N22" s="7" t="s">
        <v>84</v>
      </c>
      <c r="O22" s="7" t="s">
        <v>5992</v>
      </c>
      <c r="P22" s="8" t="s">
        <v>5993</v>
      </c>
      <c r="Q22" s="7" t="s">
        <v>6088</v>
      </c>
      <c r="R22" s="217">
        <v>46175.0</v>
      </c>
      <c r="S22" s="7" t="s">
        <v>6089</v>
      </c>
      <c r="T22" s="7" t="s">
        <v>63</v>
      </c>
      <c r="U22" s="295">
        <v>45822.84</v>
      </c>
      <c r="V22" s="11">
        <v>45822.84</v>
      </c>
      <c r="W22" s="11">
        <v>48357.0</v>
      </c>
      <c r="X22" s="6">
        <v>35.5</v>
      </c>
      <c r="Y22" s="8">
        <f t="shared" si="1"/>
        <v>16267.1082</v>
      </c>
      <c r="Z22" s="296">
        <f t="shared" si="2"/>
        <v>15941.76604</v>
      </c>
    </row>
    <row r="23">
      <c r="A23" s="7" t="s">
        <v>1590</v>
      </c>
      <c r="B23" s="8" t="s">
        <v>6090</v>
      </c>
      <c r="C23" s="8" t="s">
        <v>6091</v>
      </c>
      <c r="D23" s="7" t="s">
        <v>21</v>
      </c>
      <c r="E23" s="8" t="s">
        <v>6092</v>
      </c>
      <c r="F23" s="8" t="s">
        <v>6093</v>
      </c>
      <c r="G23" s="7">
        <v>7.98467355E9</v>
      </c>
      <c r="H23" s="7" t="s">
        <v>63</v>
      </c>
      <c r="I23" s="7" t="s">
        <v>63</v>
      </c>
      <c r="J23" s="7">
        <v>35000.0</v>
      </c>
      <c r="K23" s="7" t="s">
        <v>5962</v>
      </c>
      <c r="L23" s="7" t="s">
        <v>78</v>
      </c>
      <c r="M23" s="9" t="s">
        <v>49</v>
      </c>
      <c r="N23" s="7" t="s">
        <v>27</v>
      </c>
      <c r="O23" s="7" t="s">
        <v>5992</v>
      </c>
      <c r="P23" s="8" t="s">
        <v>5993</v>
      </c>
      <c r="Q23" s="217">
        <v>46269.0</v>
      </c>
      <c r="R23" s="7" t="s">
        <v>6094</v>
      </c>
      <c r="S23" s="7" t="s">
        <v>6095</v>
      </c>
      <c r="T23" s="7" t="s">
        <v>63</v>
      </c>
      <c r="U23" s="295">
        <v>45999.83</v>
      </c>
      <c r="V23" s="11">
        <v>45999.83</v>
      </c>
      <c r="W23" s="11">
        <v>48566.0</v>
      </c>
      <c r="X23" s="6">
        <v>35.5</v>
      </c>
      <c r="Y23" s="8">
        <f t="shared" si="1"/>
        <v>16329.93965</v>
      </c>
      <c r="Z23" s="296">
        <f t="shared" si="2"/>
        <v>16003.34086</v>
      </c>
    </row>
    <row r="24">
      <c r="A24" s="7" t="s">
        <v>1590</v>
      </c>
      <c r="B24" s="8" t="s">
        <v>6096</v>
      </c>
      <c r="C24" s="8" t="s">
        <v>6097</v>
      </c>
      <c r="D24" s="7" t="s">
        <v>75</v>
      </c>
      <c r="E24" s="8" t="s">
        <v>119</v>
      </c>
      <c r="F24" s="8" t="s">
        <v>6098</v>
      </c>
      <c r="G24" s="7">
        <v>9.89818041E9</v>
      </c>
      <c r="H24" s="7">
        <v>9.825998408E9</v>
      </c>
      <c r="I24" s="7" t="s">
        <v>63</v>
      </c>
      <c r="J24" s="7">
        <v>995.0</v>
      </c>
      <c r="K24" s="7" t="s">
        <v>5962</v>
      </c>
      <c r="L24" s="7" t="s">
        <v>78</v>
      </c>
      <c r="M24" s="9" t="s">
        <v>49</v>
      </c>
      <c r="N24" s="7" t="s">
        <v>71</v>
      </c>
      <c r="O24" s="7" t="s">
        <v>5992</v>
      </c>
      <c r="P24" s="8" t="s">
        <v>5993</v>
      </c>
      <c r="Q24" s="7" t="s">
        <v>6099</v>
      </c>
      <c r="R24" s="7" t="s">
        <v>6100</v>
      </c>
      <c r="S24" s="7" t="s">
        <v>63</v>
      </c>
      <c r="T24" s="7" t="s">
        <v>63</v>
      </c>
      <c r="U24" s="295">
        <v>5235.7</v>
      </c>
      <c r="V24" s="11">
        <v>5235.7</v>
      </c>
      <c r="W24" s="11">
        <v>5594.0</v>
      </c>
      <c r="X24" s="6">
        <v>52.5</v>
      </c>
      <c r="Y24" s="8">
        <f t="shared" si="1"/>
        <v>2748.7425</v>
      </c>
      <c r="Z24" s="296">
        <f t="shared" si="2"/>
        <v>2693.76765</v>
      </c>
    </row>
    <row r="25">
      <c r="A25" s="7" t="s">
        <v>1590</v>
      </c>
      <c r="B25" s="8" t="s">
        <v>6101</v>
      </c>
      <c r="C25" s="8" t="s">
        <v>6102</v>
      </c>
      <c r="D25" s="7" t="s">
        <v>44</v>
      </c>
      <c r="E25" s="8" t="s">
        <v>4310</v>
      </c>
      <c r="F25" s="8" t="s">
        <v>6103</v>
      </c>
      <c r="G25" s="7">
        <v>9.974086395E9</v>
      </c>
      <c r="H25" s="7">
        <v>8.200138795E9</v>
      </c>
      <c r="I25" s="7" t="s">
        <v>63</v>
      </c>
      <c r="J25" s="7">
        <v>1600.0</v>
      </c>
      <c r="K25" s="7" t="s">
        <v>5955</v>
      </c>
      <c r="L25" s="7" t="s">
        <v>78</v>
      </c>
      <c r="M25" s="9" t="s">
        <v>49</v>
      </c>
      <c r="N25" s="7" t="s">
        <v>71</v>
      </c>
      <c r="O25" s="7" t="s">
        <v>5992</v>
      </c>
      <c r="P25" s="8" t="s">
        <v>5993</v>
      </c>
      <c r="Q25" s="7" t="s">
        <v>6104</v>
      </c>
      <c r="R25" s="217">
        <v>46236.0</v>
      </c>
      <c r="S25" s="7" t="s">
        <v>63</v>
      </c>
      <c r="T25" s="7" t="s">
        <v>63</v>
      </c>
      <c r="U25" s="295">
        <v>21056.59</v>
      </c>
      <c r="V25" s="11">
        <v>21056.59</v>
      </c>
      <c r="W25" s="7">
        <v>22760.0</v>
      </c>
      <c r="X25" s="6">
        <v>65.0</v>
      </c>
      <c r="Y25" s="8">
        <f t="shared" si="1"/>
        <v>13686.7835</v>
      </c>
      <c r="Z25" s="296">
        <f t="shared" si="2"/>
        <v>13413.04783</v>
      </c>
    </row>
    <row r="26">
      <c r="A26" s="7" t="s">
        <v>51</v>
      </c>
      <c r="B26" s="8" t="s">
        <v>6105</v>
      </c>
      <c r="C26" s="8" t="s">
        <v>6106</v>
      </c>
      <c r="D26" s="7" t="s">
        <v>21</v>
      </c>
      <c r="E26" s="8" t="s">
        <v>6107</v>
      </c>
      <c r="F26" s="8" t="s">
        <v>6108</v>
      </c>
      <c r="G26" s="7">
        <v>7.98467355E9</v>
      </c>
      <c r="H26" s="7" t="s">
        <v>63</v>
      </c>
      <c r="I26" s="7" t="s">
        <v>63</v>
      </c>
      <c r="J26" s="7">
        <v>35000.0</v>
      </c>
      <c r="K26" s="7" t="s">
        <v>47</v>
      </c>
      <c r="L26" s="7" t="s">
        <v>78</v>
      </c>
      <c r="M26" s="9" t="s">
        <v>49</v>
      </c>
      <c r="N26" s="7" t="s">
        <v>27</v>
      </c>
      <c r="O26" s="7" t="s">
        <v>5992</v>
      </c>
      <c r="P26" s="131" t="s">
        <v>5993</v>
      </c>
      <c r="Q26" s="217">
        <v>46093.0</v>
      </c>
      <c r="R26" s="217">
        <v>46023.0</v>
      </c>
      <c r="S26" s="7" t="s">
        <v>6109</v>
      </c>
      <c r="T26" s="7" t="s">
        <v>63</v>
      </c>
      <c r="U26" s="295">
        <v>48371.14</v>
      </c>
      <c r="V26" s="11">
        <v>48371.14</v>
      </c>
      <c r="W26" s="11">
        <v>51364.44</v>
      </c>
      <c r="X26" s="6">
        <v>35.5</v>
      </c>
      <c r="Y26" s="8">
        <f t="shared" si="1"/>
        <v>17171.7547</v>
      </c>
      <c r="Z26" s="296">
        <f t="shared" si="2"/>
        <v>16828.31961</v>
      </c>
    </row>
    <row r="27">
      <c r="A27" s="7" t="s">
        <v>57</v>
      </c>
      <c r="B27" s="8" t="s">
        <v>6110</v>
      </c>
      <c r="C27" s="8" t="s">
        <v>6111</v>
      </c>
      <c r="D27" s="7" t="s">
        <v>37</v>
      </c>
      <c r="E27" s="8" t="s">
        <v>6112</v>
      </c>
      <c r="F27" s="8" t="s">
        <v>6113</v>
      </c>
      <c r="G27" s="7">
        <v>9.909433337E9</v>
      </c>
      <c r="H27" s="7" t="s">
        <v>63</v>
      </c>
      <c r="I27" s="7" t="s">
        <v>63</v>
      </c>
      <c r="J27" s="8"/>
      <c r="K27" s="7" t="s">
        <v>106</v>
      </c>
      <c r="L27" s="7" t="s">
        <v>78</v>
      </c>
      <c r="M27" s="34" t="s">
        <v>26</v>
      </c>
      <c r="N27" s="7" t="s">
        <v>185</v>
      </c>
      <c r="O27" s="7" t="s">
        <v>5992</v>
      </c>
      <c r="P27" s="131" t="s">
        <v>5993</v>
      </c>
      <c r="Q27" s="217">
        <v>46695.0</v>
      </c>
      <c r="R27" s="7" t="s">
        <v>63</v>
      </c>
      <c r="S27" s="7" t="s">
        <v>63</v>
      </c>
      <c r="T27" s="7" t="s">
        <v>63</v>
      </c>
      <c r="U27" s="295">
        <v>7317.0</v>
      </c>
      <c r="V27" s="11">
        <v>7317.0</v>
      </c>
      <c r="W27" s="11">
        <v>8634.0</v>
      </c>
      <c r="X27" s="6">
        <v>58.0</v>
      </c>
      <c r="Y27" s="8">
        <f t="shared" si="1"/>
        <v>4243.86</v>
      </c>
      <c r="Z27" s="296">
        <f t="shared" si="2"/>
        <v>4158.9828</v>
      </c>
    </row>
    <row r="29">
      <c r="Y29" s="6" t="s">
        <v>6114</v>
      </c>
    </row>
    <row r="32">
      <c r="A32" s="63" t="s">
        <v>1943</v>
      </c>
      <c r="B32" s="64" t="s">
        <v>1939</v>
      </c>
      <c r="C32" s="64" t="s">
        <v>6115</v>
      </c>
      <c r="D32" s="63" t="s">
        <v>21</v>
      </c>
      <c r="E32" s="64" t="s">
        <v>6026</v>
      </c>
      <c r="F32" s="64" t="s">
        <v>6116</v>
      </c>
      <c r="G32" s="63">
        <v>9.979078037E9</v>
      </c>
      <c r="H32" s="63" t="s">
        <v>63</v>
      </c>
      <c r="I32" s="63" t="s">
        <v>63</v>
      </c>
      <c r="J32" s="65">
        <v>31000.0</v>
      </c>
      <c r="K32" s="65" t="s">
        <v>5905</v>
      </c>
      <c r="L32" s="63" t="s">
        <v>78</v>
      </c>
      <c r="M32" s="26" t="s">
        <v>49</v>
      </c>
      <c r="N32" s="63" t="s">
        <v>71</v>
      </c>
      <c r="O32" s="63" t="s">
        <v>5992</v>
      </c>
      <c r="P32" s="108" t="s">
        <v>5993</v>
      </c>
      <c r="Q32" s="260">
        <v>46606.0</v>
      </c>
      <c r="R32" s="63" t="s">
        <v>6117</v>
      </c>
      <c r="S32" s="63" t="s">
        <v>6118</v>
      </c>
      <c r="T32" s="63" t="s">
        <v>63</v>
      </c>
      <c r="U32" s="73">
        <v>48764.5</v>
      </c>
      <c r="V32" s="65">
        <v>51829.0</v>
      </c>
      <c r="W32" s="6">
        <v>38.5</v>
      </c>
      <c r="X32" s="8">
        <f t="shared" ref="X32:X61" si="3">U32*W32%</f>
        <v>18774.3325</v>
      </c>
    </row>
    <row r="33">
      <c r="A33" s="63" t="s">
        <v>1947</v>
      </c>
      <c r="B33" s="64" t="s">
        <v>6119</v>
      </c>
      <c r="C33" s="64" t="s">
        <v>6120</v>
      </c>
      <c r="D33" s="63" t="s">
        <v>21</v>
      </c>
      <c r="E33" s="64" t="s">
        <v>6121</v>
      </c>
      <c r="F33" s="64" t="s">
        <v>6122</v>
      </c>
      <c r="G33" s="63">
        <v>9.726920399E9</v>
      </c>
      <c r="H33" s="63" t="s">
        <v>63</v>
      </c>
      <c r="I33" s="63" t="s">
        <v>63</v>
      </c>
      <c r="J33" s="63">
        <v>18500.0</v>
      </c>
      <c r="K33" s="65" t="s">
        <v>5905</v>
      </c>
      <c r="L33" s="63" t="s">
        <v>78</v>
      </c>
      <c r="M33" s="26" t="s">
        <v>49</v>
      </c>
      <c r="N33" s="63" t="s">
        <v>27</v>
      </c>
      <c r="O33" s="63" t="s">
        <v>5992</v>
      </c>
      <c r="P33" s="108" t="s">
        <v>5993</v>
      </c>
      <c r="Q33" s="302">
        <v>46368.0</v>
      </c>
      <c r="R33" s="63" t="s">
        <v>6123</v>
      </c>
      <c r="S33" s="63" t="s">
        <v>6124</v>
      </c>
      <c r="T33" s="63" t="s">
        <v>63</v>
      </c>
      <c r="U33" s="73">
        <v>53442.62</v>
      </c>
      <c r="V33" s="65">
        <v>58472.0</v>
      </c>
      <c r="W33" s="6">
        <v>26.0</v>
      </c>
      <c r="X33" s="8">
        <f t="shared" si="3"/>
        <v>13895.0812</v>
      </c>
    </row>
    <row r="34">
      <c r="A34" s="63" t="s">
        <v>1921</v>
      </c>
      <c r="B34" s="64" t="s">
        <v>1953</v>
      </c>
      <c r="C34" s="64" t="s">
        <v>6125</v>
      </c>
      <c r="D34" s="63" t="s">
        <v>21</v>
      </c>
      <c r="E34" s="64" t="s">
        <v>6126</v>
      </c>
      <c r="F34" s="64" t="s">
        <v>6127</v>
      </c>
      <c r="G34" s="63">
        <v>6.352100183E9</v>
      </c>
      <c r="H34" s="63">
        <v>9.726920399E9</v>
      </c>
      <c r="I34" s="63" t="s">
        <v>63</v>
      </c>
      <c r="J34" s="63">
        <v>35000.0</v>
      </c>
      <c r="K34" s="63" t="s">
        <v>5833</v>
      </c>
      <c r="L34" s="63" t="s">
        <v>78</v>
      </c>
      <c r="M34" s="26" t="s">
        <v>49</v>
      </c>
      <c r="N34" s="63" t="s">
        <v>71</v>
      </c>
      <c r="O34" s="63" t="s">
        <v>5992</v>
      </c>
      <c r="P34" s="108" t="s">
        <v>5993</v>
      </c>
      <c r="Q34" s="63" t="s">
        <v>6128</v>
      </c>
      <c r="R34" s="63" t="s">
        <v>1999</v>
      </c>
      <c r="S34" s="63" t="s">
        <v>6129</v>
      </c>
      <c r="T34" s="63" t="s">
        <v>63</v>
      </c>
      <c r="U34" s="73">
        <v>47954.48</v>
      </c>
      <c r="V34" s="65">
        <v>50873.0</v>
      </c>
      <c r="W34" s="6">
        <v>38.5</v>
      </c>
      <c r="X34" s="8">
        <f t="shared" si="3"/>
        <v>18462.4748</v>
      </c>
    </row>
    <row r="35">
      <c r="A35" s="7" t="s">
        <v>436</v>
      </c>
      <c r="B35" s="8" t="s">
        <v>6130</v>
      </c>
      <c r="C35" s="8" t="s">
        <v>6131</v>
      </c>
      <c r="D35" s="7" t="s">
        <v>966</v>
      </c>
      <c r="E35" s="8" t="s">
        <v>6132</v>
      </c>
      <c r="F35" s="8" t="s">
        <v>6133</v>
      </c>
      <c r="G35" s="7">
        <v>7.990130795E9</v>
      </c>
      <c r="H35" s="7">
        <v>8.160669515E9</v>
      </c>
      <c r="I35" s="7" t="s">
        <v>63</v>
      </c>
      <c r="J35" s="7">
        <v>2048.0</v>
      </c>
      <c r="K35" s="7" t="s">
        <v>452</v>
      </c>
      <c r="L35" s="7" t="s">
        <v>78</v>
      </c>
      <c r="M35" s="9" t="s">
        <v>26</v>
      </c>
      <c r="N35" s="7" t="s">
        <v>96</v>
      </c>
      <c r="O35" s="7" t="s">
        <v>5992</v>
      </c>
      <c r="P35" s="8" t="s">
        <v>5993</v>
      </c>
      <c r="Q35" s="7" t="s">
        <v>6134</v>
      </c>
      <c r="R35" s="7" t="s">
        <v>63</v>
      </c>
      <c r="S35" s="7" t="s">
        <v>63</v>
      </c>
      <c r="T35" s="7" t="s">
        <v>63</v>
      </c>
      <c r="U35" s="11">
        <v>7317.0</v>
      </c>
      <c r="V35" s="11">
        <v>8634.0</v>
      </c>
      <c r="W35" s="6">
        <v>48.0</v>
      </c>
      <c r="X35" s="8">
        <f t="shared" si="3"/>
        <v>3512.16</v>
      </c>
    </row>
    <row r="36">
      <c r="A36" s="7" t="s">
        <v>458</v>
      </c>
      <c r="B36" s="8" t="s">
        <v>6135</v>
      </c>
      <c r="C36" s="8" t="s">
        <v>6136</v>
      </c>
      <c r="D36" s="7" t="s">
        <v>75</v>
      </c>
      <c r="E36" s="8" t="s">
        <v>76</v>
      </c>
      <c r="F36" s="8" t="s">
        <v>6137</v>
      </c>
      <c r="G36" s="7">
        <v>8.469427364E9</v>
      </c>
      <c r="H36" s="7" t="s">
        <v>6138</v>
      </c>
      <c r="I36" s="7" t="s">
        <v>6139</v>
      </c>
      <c r="J36" s="7">
        <v>870.0</v>
      </c>
      <c r="K36" s="7" t="s">
        <v>462</v>
      </c>
      <c r="L36" s="7" t="s">
        <v>78</v>
      </c>
      <c r="M36" s="9" t="s">
        <v>49</v>
      </c>
      <c r="N36" s="7" t="s">
        <v>144</v>
      </c>
      <c r="O36" s="7" t="s">
        <v>5992</v>
      </c>
      <c r="P36" s="8" t="s">
        <v>5993</v>
      </c>
      <c r="Q36" s="217">
        <v>43376.0</v>
      </c>
      <c r="R36" s="297">
        <v>45577.0</v>
      </c>
      <c r="S36" s="7" t="s">
        <v>63</v>
      </c>
      <c r="T36" s="7" t="s">
        <v>63</v>
      </c>
      <c r="U36" s="11">
        <v>5302.67</v>
      </c>
      <c r="V36" s="11">
        <v>5673.0</v>
      </c>
      <c r="W36" s="6">
        <v>52.5</v>
      </c>
      <c r="X36" s="8">
        <f t="shared" si="3"/>
        <v>2783.90175</v>
      </c>
    </row>
    <row r="37">
      <c r="A37" s="7" t="s">
        <v>458</v>
      </c>
      <c r="B37" s="8" t="s">
        <v>6140</v>
      </c>
      <c r="C37" s="8" t="s">
        <v>6141</v>
      </c>
      <c r="D37" s="7" t="s">
        <v>75</v>
      </c>
      <c r="E37" s="8" t="s">
        <v>119</v>
      </c>
      <c r="F37" s="8" t="s">
        <v>6142</v>
      </c>
      <c r="G37" s="7">
        <v>9.870073364E9</v>
      </c>
      <c r="H37" s="7">
        <v>6.351227051E9</v>
      </c>
      <c r="I37" s="7" t="s">
        <v>63</v>
      </c>
      <c r="J37" s="7">
        <v>995.0</v>
      </c>
      <c r="K37" s="7" t="s">
        <v>462</v>
      </c>
      <c r="L37" s="7" t="s">
        <v>78</v>
      </c>
      <c r="M37" s="9" t="s">
        <v>49</v>
      </c>
      <c r="N37" s="7" t="s">
        <v>340</v>
      </c>
      <c r="O37" s="7" t="s">
        <v>5992</v>
      </c>
      <c r="P37" s="8" t="s">
        <v>5993</v>
      </c>
      <c r="Q37" s="7" t="s">
        <v>6143</v>
      </c>
      <c r="R37" s="7" t="s">
        <v>1685</v>
      </c>
      <c r="S37" s="7" t="s">
        <v>63</v>
      </c>
      <c r="T37" s="7" t="s">
        <v>63</v>
      </c>
      <c r="U37" s="11">
        <v>5117.11</v>
      </c>
      <c r="V37" s="11">
        <v>5454.0</v>
      </c>
      <c r="W37" s="6">
        <v>52.5</v>
      </c>
      <c r="X37" s="8">
        <f t="shared" si="3"/>
        <v>2686.48275</v>
      </c>
    </row>
    <row r="38">
      <c r="A38" s="7" t="s">
        <v>458</v>
      </c>
      <c r="B38" s="8" t="s">
        <v>6144</v>
      </c>
      <c r="C38" s="8" t="s">
        <v>6145</v>
      </c>
      <c r="D38" s="7" t="s">
        <v>75</v>
      </c>
      <c r="E38" s="8" t="s">
        <v>81</v>
      </c>
      <c r="F38" s="8" t="s">
        <v>6146</v>
      </c>
      <c r="G38" s="7">
        <v>9.537307732E9</v>
      </c>
      <c r="H38" s="7">
        <v>9.898265132E9</v>
      </c>
      <c r="I38" s="7" t="s">
        <v>63</v>
      </c>
      <c r="J38" s="7">
        <v>990.0</v>
      </c>
      <c r="K38" s="7" t="s">
        <v>483</v>
      </c>
      <c r="L38" s="7" t="s">
        <v>78</v>
      </c>
      <c r="M38" s="9" t="s">
        <v>49</v>
      </c>
      <c r="N38" s="7" t="s">
        <v>170</v>
      </c>
      <c r="O38" s="7" t="s">
        <v>5992</v>
      </c>
      <c r="P38" s="8" t="s">
        <v>5993</v>
      </c>
      <c r="Q38" s="7" t="s">
        <v>6147</v>
      </c>
      <c r="R38" s="217">
        <v>46478.0</v>
      </c>
      <c r="S38" s="7" t="s">
        <v>63</v>
      </c>
      <c r="T38" s="7" t="s">
        <v>63</v>
      </c>
      <c r="U38" s="11">
        <v>6505.93</v>
      </c>
      <c r="V38" s="11">
        <v>7093.0</v>
      </c>
      <c r="W38" s="6">
        <v>52.5</v>
      </c>
      <c r="X38" s="8">
        <f t="shared" si="3"/>
        <v>3415.61325</v>
      </c>
    </row>
    <row r="39">
      <c r="A39" s="7" t="s">
        <v>491</v>
      </c>
      <c r="B39" s="8" t="s">
        <v>6148</v>
      </c>
      <c r="C39" s="8" t="s">
        <v>6149</v>
      </c>
      <c r="D39" s="7" t="s">
        <v>21</v>
      </c>
      <c r="E39" s="8" t="s">
        <v>6150</v>
      </c>
      <c r="F39" s="8" t="s">
        <v>6151</v>
      </c>
      <c r="G39" s="7" t="s">
        <v>6152</v>
      </c>
      <c r="H39" s="7" t="s">
        <v>6153</v>
      </c>
      <c r="I39" s="7" t="s">
        <v>63</v>
      </c>
      <c r="J39" s="7">
        <v>35000.0</v>
      </c>
      <c r="K39" s="7" t="s">
        <v>483</v>
      </c>
      <c r="L39" s="7" t="s">
        <v>78</v>
      </c>
      <c r="M39" s="9" t="s">
        <v>49</v>
      </c>
      <c r="N39" s="7" t="s">
        <v>27</v>
      </c>
      <c r="O39" s="7" t="s">
        <v>5992</v>
      </c>
      <c r="P39" s="8" t="s">
        <v>5993</v>
      </c>
      <c r="Q39" s="7" t="s">
        <v>6154</v>
      </c>
      <c r="R39" s="7" t="s">
        <v>6155</v>
      </c>
      <c r="S39" s="217">
        <v>47093.0</v>
      </c>
      <c r="T39" s="7" t="s">
        <v>63</v>
      </c>
      <c r="U39" s="11">
        <v>48835.15</v>
      </c>
      <c r="V39" s="11">
        <v>51912.0</v>
      </c>
      <c r="W39" s="6">
        <v>38.5</v>
      </c>
      <c r="X39" s="8">
        <f t="shared" si="3"/>
        <v>18801.53275</v>
      </c>
    </row>
    <row r="40">
      <c r="A40" s="7" t="s">
        <v>491</v>
      </c>
      <c r="B40" s="8" t="s">
        <v>6156</v>
      </c>
      <c r="C40" s="8" t="s">
        <v>6157</v>
      </c>
      <c r="D40" s="7" t="s">
        <v>21</v>
      </c>
      <c r="E40" s="8" t="s">
        <v>6158</v>
      </c>
      <c r="F40" s="8" t="s">
        <v>6159</v>
      </c>
      <c r="G40" s="7">
        <v>9.879883614E9</v>
      </c>
      <c r="H40" s="7">
        <v>7.573883614E9</v>
      </c>
      <c r="I40" s="7" t="s">
        <v>6007</v>
      </c>
      <c r="J40" s="7">
        <v>35000.0</v>
      </c>
      <c r="K40" s="7" t="s">
        <v>483</v>
      </c>
      <c r="L40" s="7" t="s">
        <v>78</v>
      </c>
      <c r="M40" s="9" t="s">
        <v>49</v>
      </c>
      <c r="N40" s="7" t="s">
        <v>144</v>
      </c>
      <c r="O40" s="7" t="s">
        <v>5992</v>
      </c>
      <c r="P40" s="8" t="s">
        <v>5993</v>
      </c>
      <c r="Q40" s="7" t="s">
        <v>6160</v>
      </c>
      <c r="R40" s="217">
        <v>46365.0</v>
      </c>
      <c r="S40" s="7" t="s">
        <v>6161</v>
      </c>
      <c r="T40" s="7" t="s">
        <v>63</v>
      </c>
      <c r="U40" s="11">
        <v>49256.75</v>
      </c>
      <c r="V40" s="11">
        <v>52409.0</v>
      </c>
      <c r="W40" s="6">
        <v>38.5</v>
      </c>
      <c r="X40" s="8">
        <f t="shared" si="3"/>
        <v>18963.84875</v>
      </c>
    </row>
    <row r="41">
      <c r="A41" s="7" t="s">
        <v>491</v>
      </c>
      <c r="B41" s="8" t="s">
        <v>6162</v>
      </c>
      <c r="C41" s="8" t="s">
        <v>6163</v>
      </c>
      <c r="D41" s="7" t="s">
        <v>44</v>
      </c>
      <c r="E41" s="8" t="s">
        <v>6164</v>
      </c>
      <c r="F41" s="8" t="s">
        <v>6165</v>
      </c>
      <c r="G41" s="7" t="s">
        <v>6166</v>
      </c>
      <c r="H41" s="8"/>
      <c r="I41" s="7" t="s">
        <v>63</v>
      </c>
      <c r="J41" s="7">
        <v>2145.0</v>
      </c>
      <c r="K41" s="7" t="s">
        <v>467</v>
      </c>
      <c r="L41" s="7" t="s">
        <v>78</v>
      </c>
      <c r="M41" s="9" t="s">
        <v>49</v>
      </c>
      <c r="N41" s="7" t="s">
        <v>219</v>
      </c>
      <c r="O41" s="7" t="s">
        <v>5992</v>
      </c>
      <c r="P41" s="8" t="s">
        <v>5993</v>
      </c>
      <c r="Q41" s="7" t="s">
        <v>6167</v>
      </c>
      <c r="R41" s="7" t="s">
        <v>6168</v>
      </c>
      <c r="S41" s="7" t="s">
        <v>63</v>
      </c>
      <c r="T41" s="7" t="s">
        <v>63</v>
      </c>
      <c r="U41" s="11">
        <v>16970.23</v>
      </c>
      <c r="V41" s="11">
        <v>17939.0</v>
      </c>
      <c r="W41" s="6">
        <v>65.0</v>
      </c>
      <c r="X41" s="8">
        <f t="shared" si="3"/>
        <v>11030.6495</v>
      </c>
    </row>
    <row r="42">
      <c r="A42" s="7" t="s">
        <v>491</v>
      </c>
      <c r="B42" s="8" t="s">
        <v>6169</v>
      </c>
      <c r="C42" s="8" t="s">
        <v>6170</v>
      </c>
      <c r="D42" s="7" t="s">
        <v>44</v>
      </c>
      <c r="E42" s="8" t="s">
        <v>4310</v>
      </c>
      <c r="F42" s="8" t="s">
        <v>6171</v>
      </c>
      <c r="G42" s="7">
        <v>8.758782225E9</v>
      </c>
      <c r="H42" s="7">
        <v>9.512095118E9</v>
      </c>
      <c r="I42" s="7" t="s">
        <v>63</v>
      </c>
      <c r="J42" s="7">
        <v>1600.0</v>
      </c>
      <c r="K42" s="7" t="s">
        <v>483</v>
      </c>
      <c r="L42" s="7" t="s">
        <v>78</v>
      </c>
      <c r="M42" s="9" t="s">
        <v>49</v>
      </c>
      <c r="N42" s="7" t="s">
        <v>96</v>
      </c>
      <c r="O42" s="7" t="s">
        <v>5992</v>
      </c>
      <c r="P42" s="8" t="s">
        <v>5993</v>
      </c>
      <c r="Q42" s="7" t="s">
        <v>6172</v>
      </c>
      <c r="R42" s="7" t="s">
        <v>6173</v>
      </c>
      <c r="S42" s="7" t="s">
        <v>63</v>
      </c>
      <c r="T42" s="7" t="s">
        <v>63</v>
      </c>
      <c r="U42" s="11">
        <v>19716.68</v>
      </c>
      <c r="V42" s="11">
        <v>21179.0</v>
      </c>
      <c r="W42" s="6">
        <v>65.0</v>
      </c>
      <c r="X42" s="8">
        <f t="shared" si="3"/>
        <v>12815.842</v>
      </c>
    </row>
    <row r="43">
      <c r="A43" s="7" t="s">
        <v>491</v>
      </c>
      <c r="B43" s="8" t="s">
        <v>6174</v>
      </c>
      <c r="C43" s="8" t="s">
        <v>6175</v>
      </c>
      <c r="D43" s="7" t="s">
        <v>21</v>
      </c>
      <c r="E43" s="8" t="s">
        <v>5652</v>
      </c>
      <c r="F43" s="8" t="s">
        <v>6176</v>
      </c>
      <c r="G43" s="7">
        <v>7.984709982E9</v>
      </c>
      <c r="H43" s="7">
        <v>9.925732873E9</v>
      </c>
      <c r="I43" s="7" t="s">
        <v>63</v>
      </c>
      <c r="J43" s="7">
        <v>18500.0</v>
      </c>
      <c r="K43" s="7" t="s">
        <v>483</v>
      </c>
      <c r="L43" s="7" t="s">
        <v>78</v>
      </c>
      <c r="M43" s="9" t="s">
        <v>49</v>
      </c>
      <c r="N43" s="7" t="s">
        <v>340</v>
      </c>
      <c r="O43" s="7" t="s">
        <v>5992</v>
      </c>
      <c r="P43" s="8" t="s">
        <v>5993</v>
      </c>
      <c r="Q43" s="217">
        <v>45937.0</v>
      </c>
      <c r="R43" s="217">
        <v>45299.0</v>
      </c>
      <c r="S43" s="7" t="s">
        <v>6177</v>
      </c>
      <c r="T43" s="7" t="s">
        <v>63</v>
      </c>
      <c r="U43" s="15">
        <v>37202.53</v>
      </c>
      <c r="V43" s="11">
        <v>39308.0</v>
      </c>
      <c r="W43" s="6">
        <v>35.0</v>
      </c>
      <c r="X43" s="8">
        <f t="shared" si="3"/>
        <v>13020.8855</v>
      </c>
    </row>
    <row r="44">
      <c r="A44" s="7" t="s">
        <v>516</v>
      </c>
      <c r="B44" s="8" t="s">
        <v>6178</v>
      </c>
      <c r="C44" s="8" t="s">
        <v>6179</v>
      </c>
      <c r="D44" s="7" t="s">
        <v>75</v>
      </c>
      <c r="E44" s="8" t="s">
        <v>119</v>
      </c>
      <c r="F44" s="8" t="s">
        <v>6180</v>
      </c>
      <c r="G44" s="7">
        <v>9.925288627E9</v>
      </c>
      <c r="H44" s="7">
        <v>9.601910575E9</v>
      </c>
      <c r="I44" s="7" t="s">
        <v>6007</v>
      </c>
      <c r="J44" s="7">
        <v>995.0</v>
      </c>
      <c r="K44" s="7" t="s">
        <v>498</v>
      </c>
      <c r="L44" s="7" t="s">
        <v>78</v>
      </c>
      <c r="M44" s="9" t="s">
        <v>49</v>
      </c>
      <c r="N44" s="7" t="s">
        <v>33</v>
      </c>
      <c r="O44" s="7" t="s">
        <v>5992</v>
      </c>
      <c r="P44" s="8" t="s">
        <v>5993</v>
      </c>
      <c r="Q44" s="7" t="s">
        <v>6181</v>
      </c>
      <c r="R44" s="7" t="s">
        <v>6182</v>
      </c>
      <c r="S44" s="7" t="s">
        <v>63</v>
      </c>
      <c r="T44" s="7" t="s">
        <v>63</v>
      </c>
      <c r="U44" s="11">
        <v>5144.83</v>
      </c>
      <c r="V44" s="11">
        <v>5487.0</v>
      </c>
      <c r="W44" s="6">
        <v>52.5</v>
      </c>
      <c r="X44" s="8">
        <f t="shared" si="3"/>
        <v>2701.03575</v>
      </c>
    </row>
    <row r="45">
      <c r="A45" s="7" t="s">
        <v>516</v>
      </c>
      <c r="B45" s="8" t="s">
        <v>6183</v>
      </c>
      <c r="C45" s="8" t="s">
        <v>6184</v>
      </c>
      <c r="D45" s="7" t="s">
        <v>44</v>
      </c>
      <c r="E45" s="8" t="s">
        <v>6185</v>
      </c>
      <c r="F45" s="8" t="s">
        <v>6186</v>
      </c>
      <c r="G45" s="7" t="s">
        <v>6187</v>
      </c>
      <c r="H45" s="7">
        <v>7.575811774E9</v>
      </c>
      <c r="I45" s="7" t="s">
        <v>6007</v>
      </c>
      <c r="J45" s="7">
        <v>1870.0</v>
      </c>
      <c r="K45" s="7" t="s">
        <v>498</v>
      </c>
      <c r="L45" s="7" t="s">
        <v>78</v>
      </c>
      <c r="M45" s="9" t="s">
        <v>49</v>
      </c>
      <c r="N45" s="7" t="s">
        <v>101</v>
      </c>
      <c r="O45" s="7" t="s">
        <v>5992</v>
      </c>
      <c r="P45" s="8" t="s">
        <v>5993</v>
      </c>
      <c r="Q45" s="7" t="s">
        <v>6188</v>
      </c>
      <c r="R45" s="7" t="s">
        <v>6147</v>
      </c>
      <c r="S45" s="7" t="s">
        <v>63</v>
      </c>
      <c r="T45" s="7" t="s">
        <v>63</v>
      </c>
      <c r="U45" s="11">
        <v>16931.99</v>
      </c>
      <c r="V45" s="11">
        <v>17893.0</v>
      </c>
      <c r="W45" s="6">
        <v>65.0</v>
      </c>
      <c r="X45" s="8">
        <f t="shared" si="3"/>
        <v>11005.7935</v>
      </c>
    </row>
    <row r="46">
      <c r="A46" s="7" t="s">
        <v>521</v>
      </c>
      <c r="B46" s="8" t="s">
        <v>1860</v>
      </c>
      <c r="C46" s="8">
        <v>2.0260052478E14</v>
      </c>
      <c r="D46" s="7" t="s">
        <v>21</v>
      </c>
      <c r="E46" s="8" t="s">
        <v>6189</v>
      </c>
      <c r="F46" s="8" t="s">
        <v>6190</v>
      </c>
      <c r="G46" s="7">
        <v>9.974110744E9</v>
      </c>
      <c r="H46" s="7">
        <v>9.726139261E9</v>
      </c>
      <c r="I46" s="7" t="s">
        <v>63</v>
      </c>
      <c r="J46" s="7">
        <v>16020.0</v>
      </c>
      <c r="K46" s="7" t="s">
        <v>259</v>
      </c>
      <c r="L46" s="7" t="s">
        <v>78</v>
      </c>
      <c r="M46" s="9" t="s">
        <v>49</v>
      </c>
      <c r="N46" s="7" t="s">
        <v>71</v>
      </c>
      <c r="O46" s="7" t="s">
        <v>5992</v>
      </c>
      <c r="P46" s="8" t="s">
        <v>5993</v>
      </c>
      <c r="Q46" s="217">
        <v>46509.0</v>
      </c>
      <c r="R46" s="217">
        <v>46144.0</v>
      </c>
      <c r="S46" s="217">
        <v>46906.0</v>
      </c>
      <c r="T46" s="7" t="s">
        <v>63</v>
      </c>
      <c r="U46" s="11">
        <v>54036.74</v>
      </c>
      <c r="V46" s="7">
        <v>59172.68</v>
      </c>
      <c r="W46" s="6">
        <v>26.0</v>
      </c>
      <c r="X46" s="8">
        <f t="shared" si="3"/>
        <v>14049.5524</v>
      </c>
    </row>
    <row r="47">
      <c r="A47" s="7" t="s">
        <v>540</v>
      </c>
      <c r="B47" s="8" t="s">
        <v>6191</v>
      </c>
      <c r="C47" s="8" t="s">
        <v>6192</v>
      </c>
      <c r="D47" s="7" t="s">
        <v>21</v>
      </c>
      <c r="E47" s="8" t="s">
        <v>6193</v>
      </c>
      <c r="F47" s="8" t="s">
        <v>6194</v>
      </c>
      <c r="G47" s="7">
        <v>9.0994348E9</v>
      </c>
      <c r="H47" s="7">
        <v>6.353248051E9</v>
      </c>
      <c r="I47" s="7" t="s">
        <v>63</v>
      </c>
      <c r="J47" s="7">
        <v>16200.0</v>
      </c>
      <c r="K47" s="7" t="s">
        <v>536</v>
      </c>
      <c r="L47" s="7" t="s">
        <v>78</v>
      </c>
      <c r="M47" s="9" t="s">
        <v>49</v>
      </c>
      <c r="N47" s="7" t="s">
        <v>340</v>
      </c>
      <c r="O47" s="7" t="s">
        <v>5992</v>
      </c>
      <c r="P47" s="8" t="s">
        <v>5993</v>
      </c>
      <c r="Q47" s="217">
        <v>46425.0</v>
      </c>
      <c r="R47" s="7" t="s">
        <v>63</v>
      </c>
      <c r="S47" s="217">
        <v>47641.0</v>
      </c>
      <c r="T47" s="7" t="s">
        <v>63</v>
      </c>
      <c r="U47" s="11">
        <v>38577.35</v>
      </c>
      <c r="V47" s="11">
        <v>40931.0</v>
      </c>
      <c r="W47" s="6">
        <v>35.0</v>
      </c>
      <c r="X47" s="8">
        <f t="shared" si="3"/>
        <v>13502.0725</v>
      </c>
    </row>
    <row r="48">
      <c r="A48" s="7" t="s">
        <v>540</v>
      </c>
      <c r="B48" s="8" t="s">
        <v>6195</v>
      </c>
      <c r="C48" s="8" t="s">
        <v>6196</v>
      </c>
      <c r="D48" s="7" t="s">
        <v>75</v>
      </c>
      <c r="E48" s="8" t="s">
        <v>119</v>
      </c>
      <c r="F48" s="8" t="s">
        <v>6197</v>
      </c>
      <c r="G48" s="7">
        <v>9.601058407E9</v>
      </c>
      <c r="H48" s="7">
        <v>8.98026814E9</v>
      </c>
      <c r="I48" s="7" t="s">
        <v>63</v>
      </c>
      <c r="J48" s="7">
        <v>995.0</v>
      </c>
      <c r="K48" s="7" t="s">
        <v>259</v>
      </c>
      <c r="L48" s="7" t="s">
        <v>78</v>
      </c>
      <c r="M48" s="9" t="s">
        <v>49</v>
      </c>
      <c r="N48" s="7" t="s">
        <v>89</v>
      </c>
      <c r="O48" s="7" t="s">
        <v>5992</v>
      </c>
      <c r="P48" s="8" t="s">
        <v>5993</v>
      </c>
      <c r="Q48" s="7" t="s">
        <v>6198</v>
      </c>
      <c r="R48" s="7" t="s">
        <v>6147</v>
      </c>
      <c r="S48" s="7" t="s">
        <v>63</v>
      </c>
      <c r="T48" s="7" t="s">
        <v>63</v>
      </c>
      <c r="U48" s="11">
        <v>5184.44</v>
      </c>
      <c r="V48" s="11">
        <v>5534.0</v>
      </c>
      <c r="W48" s="6">
        <v>52.5</v>
      </c>
      <c r="X48" s="8">
        <f t="shared" si="3"/>
        <v>2721.831</v>
      </c>
    </row>
    <row r="49">
      <c r="A49" s="7" t="s">
        <v>557</v>
      </c>
      <c r="B49" s="8" t="s">
        <v>1780</v>
      </c>
      <c r="C49" s="8" t="s">
        <v>6199</v>
      </c>
      <c r="D49" s="7" t="s">
        <v>44</v>
      </c>
      <c r="E49" s="8" t="s">
        <v>6200</v>
      </c>
      <c r="F49" s="8" t="s">
        <v>6201</v>
      </c>
      <c r="G49" s="7">
        <v>9.979313884E9</v>
      </c>
      <c r="H49" s="7">
        <v>9.313769516E9</v>
      </c>
      <c r="I49" s="7" t="s">
        <v>63</v>
      </c>
      <c r="J49" s="7">
        <v>1850.0</v>
      </c>
      <c r="K49" s="7" t="s">
        <v>553</v>
      </c>
      <c r="L49" s="7" t="s">
        <v>78</v>
      </c>
      <c r="M49" s="9" t="s">
        <v>49</v>
      </c>
      <c r="N49" s="7" t="s">
        <v>71</v>
      </c>
      <c r="O49" s="7" t="s">
        <v>5992</v>
      </c>
      <c r="P49" s="8" t="s">
        <v>5993</v>
      </c>
      <c r="Q49" s="7" t="s">
        <v>6202</v>
      </c>
      <c r="R49" s="217">
        <v>46569.0</v>
      </c>
      <c r="S49" s="7" t="s">
        <v>63</v>
      </c>
      <c r="T49" s="7" t="s">
        <v>63</v>
      </c>
      <c r="U49" s="11">
        <v>19977.19</v>
      </c>
      <c r="V49" s="11">
        <v>21487.0</v>
      </c>
      <c r="W49" s="6">
        <v>65.0</v>
      </c>
      <c r="X49" s="8">
        <f t="shared" si="3"/>
        <v>12985.1735</v>
      </c>
    </row>
    <row r="50">
      <c r="A50" s="7" t="s">
        <v>557</v>
      </c>
      <c r="B50" s="8" t="s">
        <v>6203</v>
      </c>
      <c r="C50" s="8" t="s">
        <v>6204</v>
      </c>
      <c r="D50" s="7" t="s">
        <v>75</v>
      </c>
      <c r="E50" s="8" t="s">
        <v>6205</v>
      </c>
      <c r="F50" s="8" t="s">
        <v>6206</v>
      </c>
      <c r="G50" s="7">
        <v>9.778611021E9</v>
      </c>
      <c r="H50" s="7" t="s">
        <v>63</v>
      </c>
      <c r="I50" s="7" t="s">
        <v>63</v>
      </c>
      <c r="J50" s="7">
        <v>520.0</v>
      </c>
      <c r="K50" s="7" t="s">
        <v>553</v>
      </c>
      <c r="L50" s="7" t="s">
        <v>78</v>
      </c>
      <c r="M50" s="9" t="s">
        <v>26</v>
      </c>
      <c r="N50" s="7" t="s">
        <v>278</v>
      </c>
      <c r="O50" s="7" t="s">
        <v>5992</v>
      </c>
      <c r="P50" s="8" t="s">
        <v>5993</v>
      </c>
      <c r="Q50" s="217">
        <v>44806.0</v>
      </c>
      <c r="R50" s="7" t="s">
        <v>6207</v>
      </c>
      <c r="S50" s="7" t="s">
        <v>63</v>
      </c>
      <c r="T50" s="7" t="s">
        <v>63</v>
      </c>
      <c r="U50" s="11">
        <v>4542.0</v>
      </c>
      <c r="V50" s="11">
        <v>4776.0</v>
      </c>
      <c r="W50" s="6">
        <v>53.5</v>
      </c>
      <c r="X50" s="8">
        <f t="shared" si="3"/>
        <v>2429.97</v>
      </c>
    </row>
    <row r="51">
      <c r="A51" s="7" t="s">
        <v>557</v>
      </c>
      <c r="B51" s="8" t="s">
        <v>6208</v>
      </c>
      <c r="C51" s="8" t="s">
        <v>6209</v>
      </c>
      <c r="D51" s="7" t="s">
        <v>44</v>
      </c>
      <c r="E51" s="8" t="s">
        <v>4310</v>
      </c>
      <c r="F51" s="8" t="s">
        <v>6210</v>
      </c>
      <c r="G51" s="7">
        <v>7.99002828E9</v>
      </c>
      <c r="H51" s="7">
        <v>6.353312139E9</v>
      </c>
      <c r="I51" s="7" t="s">
        <v>63</v>
      </c>
      <c r="J51" s="7">
        <v>1600.0</v>
      </c>
      <c r="K51" s="14">
        <v>46632.0</v>
      </c>
      <c r="L51" s="7" t="s">
        <v>78</v>
      </c>
      <c r="M51" s="9" t="s">
        <v>49</v>
      </c>
      <c r="N51" s="7" t="s">
        <v>365</v>
      </c>
      <c r="O51" s="7" t="s">
        <v>5992</v>
      </c>
      <c r="P51" s="8" t="s">
        <v>5993</v>
      </c>
      <c r="Q51" s="217">
        <v>46693.0</v>
      </c>
      <c r="R51" s="217">
        <v>46328.0</v>
      </c>
      <c r="S51" s="7" t="s">
        <v>63</v>
      </c>
      <c r="T51" s="7" t="s">
        <v>63</v>
      </c>
      <c r="U51" s="11">
        <v>19331.61</v>
      </c>
      <c r="V51" s="11">
        <v>20725.0</v>
      </c>
      <c r="W51" s="6">
        <v>65.0</v>
      </c>
      <c r="X51" s="8">
        <f t="shared" si="3"/>
        <v>12565.5465</v>
      </c>
    </row>
    <row r="52">
      <c r="A52" s="63" t="s">
        <v>562</v>
      </c>
      <c r="B52" s="108" t="s">
        <v>6211</v>
      </c>
      <c r="C52" s="108" t="s">
        <v>6212</v>
      </c>
      <c r="D52" s="63" t="s">
        <v>21</v>
      </c>
      <c r="E52" s="108" t="s">
        <v>6092</v>
      </c>
      <c r="F52" s="108" t="s">
        <v>6213</v>
      </c>
      <c r="G52" s="63">
        <v>9.825494657E9</v>
      </c>
      <c r="H52" s="63" t="s">
        <v>63</v>
      </c>
      <c r="I52" s="63" t="s">
        <v>63</v>
      </c>
      <c r="J52" s="63">
        <v>35000.0</v>
      </c>
      <c r="K52" s="63" t="s">
        <v>553</v>
      </c>
      <c r="L52" s="63" t="s">
        <v>78</v>
      </c>
      <c r="M52" s="26" t="s">
        <v>49</v>
      </c>
      <c r="N52" s="63" t="s">
        <v>278</v>
      </c>
      <c r="O52" s="63" t="s">
        <v>5992</v>
      </c>
      <c r="P52" s="108" t="s">
        <v>5993</v>
      </c>
      <c r="Q52" s="260">
        <v>46056.0</v>
      </c>
      <c r="R52" s="260">
        <v>46357.0</v>
      </c>
      <c r="S52" s="63" t="s">
        <v>6214</v>
      </c>
      <c r="T52" s="63" t="s">
        <v>63</v>
      </c>
      <c r="U52" s="68">
        <v>47204.21</v>
      </c>
      <c r="V52" s="68">
        <v>49987.0</v>
      </c>
      <c r="W52" s="6">
        <v>38.5</v>
      </c>
      <c r="X52" s="8">
        <f t="shared" si="3"/>
        <v>18173.62085</v>
      </c>
    </row>
    <row r="53">
      <c r="A53" s="63" t="s">
        <v>562</v>
      </c>
      <c r="B53" s="108" t="s">
        <v>1903</v>
      </c>
      <c r="C53" s="108" t="s">
        <v>6215</v>
      </c>
      <c r="D53" s="63" t="s">
        <v>44</v>
      </c>
      <c r="E53" s="108" t="s">
        <v>4310</v>
      </c>
      <c r="F53" s="108" t="s">
        <v>1904</v>
      </c>
      <c r="G53" s="63">
        <v>8.98000089E9</v>
      </c>
      <c r="H53" s="63">
        <v>8.980000982E9</v>
      </c>
      <c r="I53" s="63" t="s">
        <v>63</v>
      </c>
      <c r="J53" s="63">
        <v>1600.0</v>
      </c>
      <c r="K53" s="234">
        <v>46389.0</v>
      </c>
      <c r="L53" s="63" t="s">
        <v>78</v>
      </c>
      <c r="M53" s="26" t="s">
        <v>49</v>
      </c>
      <c r="N53" s="63" t="s">
        <v>71</v>
      </c>
      <c r="O53" s="63" t="s">
        <v>5992</v>
      </c>
      <c r="P53" s="108" t="s">
        <v>5993</v>
      </c>
      <c r="Q53" s="63" t="s">
        <v>6216</v>
      </c>
      <c r="R53" s="260">
        <v>46144.0</v>
      </c>
      <c r="S53" s="63" t="s">
        <v>63</v>
      </c>
      <c r="T53" s="63" t="s">
        <v>63</v>
      </c>
      <c r="U53" s="68">
        <v>19442.68</v>
      </c>
      <c r="V53" s="68">
        <v>20856.0</v>
      </c>
      <c r="W53" s="6">
        <v>65.0</v>
      </c>
      <c r="X53" s="8">
        <f t="shared" si="3"/>
        <v>12637.742</v>
      </c>
    </row>
    <row r="54">
      <c r="A54" s="13" t="s">
        <v>562</v>
      </c>
      <c r="B54" s="8" t="s">
        <v>6217</v>
      </c>
      <c r="C54" s="8" t="s">
        <v>6218</v>
      </c>
      <c r="D54" s="7" t="s">
        <v>44</v>
      </c>
      <c r="E54" s="8" t="s">
        <v>4310</v>
      </c>
      <c r="F54" s="8" t="s">
        <v>6219</v>
      </c>
      <c r="G54" s="7">
        <v>9.638427444E9</v>
      </c>
      <c r="H54" s="7">
        <v>7.739426198E9</v>
      </c>
      <c r="I54" s="7" t="s">
        <v>63</v>
      </c>
      <c r="J54" s="7">
        <v>1600.0</v>
      </c>
      <c r="K54" s="7" t="s">
        <v>505</v>
      </c>
      <c r="L54" s="7" t="s">
        <v>78</v>
      </c>
      <c r="M54" s="9" t="s">
        <v>26</v>
      </c>
      <c r="N54" s="7" t="s">
        <v>27</v>
      </c>
      <c r="O54" s="7" t="s">
        <v>5992</v>
      </c>
      <c r="P54" s="8" t="s">
        <v>5993</v>
      </c>
      <c r="Q54" s="217">
        <v>45881.0</v>
      </c>
      <c r="R54" s="7" t="s">
        <v>6220</v>
      </c>
      <c r="S54" s="7" t="s">
        <v>63</v>
      </c>
      <c r="T54" s="7" t="s">
        <v>63</v>
      </c>
      <c r="U54" s="11">
        <v>16534.0</v>
      </c>
      <c r="V54" s="11">
        <v>17424.0</v>
      </c>
      <c r="W54" s="6">
        <v>65.0</v>
      </c>
      <c r="X54" s="8">
        <f t="shared" si="3"/>
        <v>10747.1</v>
      </c>
    </row>
    <row r="55">
      <c r="A55" s="7" t="s">
        <v>568</v>
      </c>
      <c r="B55" s="8" t="s">
        <v>6221</v>
      </c>
      <c r="C55" s="8" t="s">
        <v>6222</v>
      </c>
      <c r="D55" s="7" t="s">
        <v>21</v>
      </c>
      <c r="E55" s="8" t="s">
        <v>4467</v>
      </c>
      <c r="F55" s="8" t="s">
        <v>6223</v>
      </c>
      <c r="G55" s="7">
        <v>9.979311617E9</v>
      </c>
      <c r="H55" s="21">
        <v>7.862834248E9</v>
      </c>
      <c r="I55" s="7" t="s">
        <v>63</v>
      </c>
      <c r="J55" s="7">
        <v>28000.0</v>
      </c>
      <c r="K55" s="7" t="s">
        <v>505</v>
      </c>
      <c r="L55" s="7" t="s">
        <v>78</v>
      </c>
      <c r="M55" s="9" t="s">
        <v>49</v>
      </c>
      <c r="N55" s="7" t="s">
        <v>219</v>
      </c>
      <c r="O55" s="7" t="s">
        <v>5992</v>
      </c>
      <c r="P55" s="7" t="s">
        <v>5993</v>
      </c>
      <c r="Q55" s="7" t="s">
        <v>6035</v>
      </c>
      <c r="R55" s="7" t="s">
        <v>6224</v>
      </c>
      <c r="S55" s="7" t="s">
        <v>6225</v>
      </c>
      <c r="T55" s="7" t="s">
        <v>63</v>
      </c>
      <c r="U55" s="11">
        <v>47268.17</v>
      </c>
      <c r="V55" s="11">
        <v>50063.0</v>
      </c>
      <c r="W55" s="6">
        <v>38.5</v>
      </c>
      <c r="X55" s="8">
        <f t="shared" si="3"/>
        <v>18198.24545</v>
      </c>
    </row>
    <row r="56">
      <c r="A56" s="7" t="s">
        <v>568</v>
      </c>
      <c r="B56" s="8" t="s">
        <v>6226</v>
      </c>
      <c r="C56" s="8" t="s">
        <v>6227</v>
      </c>
      <c r="D56" s="7" t="s">
        <v>44</v>
      </c>
      <c r="E56" s="8" t="s">
        <v>6228</v>
      </c>
      <c r="F56" s="8" t="s">
        <v>6229</v>
      </c>
      <c r="G56" s="7">
        <v>9.586897533E9</v>
      </c>
      <c r="H56" s="7">
        <v>9.104577244E9</v>
      </c>
      <c r="I56" s="7" t="s">
        <v>6230</v>
      </c>
      <c r="J56" s="7">
        <v>1630.0</v>
      </c>
      <c r="K56" s="7" t="s">
        <v>572</v>
      </c>
      <c r="L56" s="7" t="s">
        <v>78</v>
      </c>
      <c r="M56" s="9" t="s">
        <v>49</v>
      </c>
      <c r="N56" s="7" t="s">
        <v>27</v>
      </c>
      <c r="O56" s="7" t="s">
        <v>5992</v>
      </c>
      <c r="P56" s="7" t="s">
        <v>5993</v>
      </c>
      <c r="Q56" s="217">
        <v>45421.0</v>
      </c>
      <c r="R56" s="7" t="s">
        <v>6231</v>
      </c>
      <c r="S56" s="7" t="s">
        <v>63</v>
      </c>
      <c r="T56" s="7" t="s">
        <v>63</v>
      </c>
      <c r="U56" s="11">
        <v>18094.26</v>
      </c>
      <c r="V56" s="11">
        <v>19265.0</v>
      </c>
      <c r="W56" s="6">
        <v>65.0</v>
      </c>
      <c r="X56" s="8">
        <f t="shared" si="3"/>
        <v>11761.269</v>
      </c>
    </row>
    <row r="57">
      <c r="A57" s="7" t="s">
        <v>568</v>
      </c>
      <c r="B57" s="8" t="s">
        <v>1785</v>
      </c>
      <c r="C57" s="8" t="s">
        <v>6232</v>
      </c>
      <c r="D57" s="7" t="s">
        <v>75</v>
      </c>
      <c r="E57" s="8" t="s">
        <v>119</v>
      </c>
      <c r="F57" s="8" t="s">
        <v>6233</v>
      </c>
      <c r="G57" s="7" t="s">
        <v>6234</v>
      </c>
      <c r="H57" s="7">
        <v>9.97469557E9</v>
      </c>
      <c r="I57" s="7" t="s">
        <v>63</v>
      </c>
      <c r="J57" s="7">
        <v>995.0</v>
      </c>
      <c r="K57" s="7" t="s">
        <v>572</v>
      </c>
      <c r="L57" s="7" t="s">
        <v>78</v>
      </c>
      <c r="M57" s="9" t="s">
        <v>49</v>
      </c>
      <c r="N57" s="7" t="s">
        <v>71</v>
      </c>
      <c r="O57" s="7" t="s">
        <v>5992</v>
      </c>
      <c r="P57" s="7" t="s">
        <v>5993</v>
      </c>
      <c r="Q57" s="7" t="s">
        <v>6235</v>
      </c>
      <c r="R57" s="7" t="s">
        <v>6236</v>
      </c>
      <c r="S57" s="7" t="s">
        <v>63</v>
      </c>
      <c r="T57" s="7" t="s">
        <v>63</v>
      </c>
      <c r="U57" s="11">
        <v>5097.8</v>
      </c>
      <c r="V57" s="11">
        <v>5431.0</v>
      </c>
      <c r="W57" s="6">
        <v>52.5</v>
      </c>
      <c r="X57" s="8">
        <f t="shared" si="3"/>
        <v>2676.345</v>
      </c>
    </row>
    <row r="58">
      <c r="A58" s="262" t="s">
        <v>568</v>
      </c>
      <c r="B58" s="160" t="s">
        <v>6237</v>
      </c>
      <c r="C58" s="160" t="s">
        <v>6238</v>
      </c>
      <c r="D58" s="262" t="s">
        <v>966</v>
      </c>
      <c r="E58" s="160" t="s">
        <v>6239</v>
      </c>
      <c r="F58" s="160" t="s">
        <v>6240</v>
      </c>
      <c r="G58" s="262" t="s">
        <v>1154</v>
      </c>
      <c r="H58" s="262">
        <v>8.769098233E9</v>
      </c>
      <c r="I58" s="262" t="s">
        <v>6241</v>
      </c>
      <c r="J58" s="262">
        <v>1396.0</v>
      </c>
      <c r="K58" s="262" t="s">
        <v>572</v>
      </c>
      <c r="L58" s="262" t="s">
        <v>78</v>
      </c>
      <c r="M58" s="305" t="s">
        <v>26</v>
      </c>
      <c r="N58" s="262" t="s">
        <v>101</v>
      </c>
      <c r="O58" s="262" t="s">
        <v>5992</v>
      </c>
      <c r="P58" s="262" t="s">
        <v>5993</v>
      </c>
      <c r="Q58" s="262" t="s">
        <v>6143</v>
      </c>
      <c r="R58" s="262" t="s">
        <v>6242</v>
      </c>
      <c r="S58" s="262" t="s">
        <v>63</v>
      </c>
      <c r="T58" s="262" t="s">
        <v>63</v>
      </c>
      <c r="U58" s="262">
        <v>4041.0</v>
      </c>
      <c r="V58" s="262">
        <v>4768.0</v>
      </c>
      <c r="W58" s="265">
        <v>30.5</v>
      </c>
      <c r="X58" s="8">
        <f t="shared" si="3"/>
        <v>1232.505</v>
      </c>
      <c r="Y58" s="267"/>
      <c r="Z58" s="267"/>
      <c r="AA58" s="267"/>
      <c r="AB58" s="267"/>
      <c r="AC58" s="267"/>
      <c r="AD58" s="267"/>
      <c r="AE58" s="267"/>
      <c r="AF58" s="267"/>
      <c r="AG58" s="267"/>
    </row>
    <row r="59">
      <c r="A59" s="262" t="s">
        <v>568</v>
      </c>
      <c r="B59" s="160" t="s">
        <v>6243</v>
      </c>
      <c r="C59" s="160" t="s">
        <v>6244</v>
      </c>
      <c r="D59" s="262" t="s">
        <v>966</v>
      </c>
      <c r="E59" s="160" t="s">
        <v>6245</v>
      </c>
      <c r="F59" s="160" t="s">
        <v>6246</v>
      </c>
      <c r="G59" s="262" t="s">
        <v>6247</v>
      </c>
      <c r="H59" s="262" t="s">
        <v>6248</v>
      </c>
      <c r="I59" s="262" t="s">
        <v>63</v>
      </c>
      <c r="J59" s="262">
        <v>2197.0</v>
      </c>
      <c r="K59" s="262" t="s">
        <v>572</v>
      </c>
      <c r="L59" s="262" t="s">
        <v>78</v>
      </c>
      <c r="M59" s="305" t="s">
        <v>26</v>
      </c>
      <c r="N59" s="262" t="s">
        <v>27</v>
      </c>
      <c r="O59" s="262" t="s">
        <v>5992</v>
      </c>
      <c r="P59" s="262" t="s">
        <v>5993</v>
      </c>
      <c r="Q59" s="263">
        <v>49280.0</v>
      </c>
      <c r="R59" s="306">
        <v>45972.0</v>
      </c>
      <c r="S59" s="262" t="s">
        <v>63</v>
      </c>
      <c r="T59" s="262" t="s">
        <v>63</v>
      </c>
      <c r="U59" s="262">
        <v>7947.0</v>
      </c>
      <c r="V59" s="262">
        <v>9377.0</v>
      </c>
      <c r="W59" s="265">
        <v>44.5</v>
      </c>
      <c r="X59" s="8">
        <f t="shared" si="3"/>
        <v>3536.415</v>
      </c>
      <c r="Y59" s="267"/>
      <c r="Z59" s="267"/>
      <c r="AA59" s="267"/>
      <c r="AB59" s="267"/>
      <c r="AC59" s="267"/>
      <c r="AD59" s="267"/>
      <c r="AE59" s="267"/>
      <c r="AF59" s="267"/>
      <c r="AG59" s="267"/>
    </row>
    <row r="60">
      <c r="A60" s="7" t="s">
        <v>579</v>
      </c>
      <c r="B60" s="8" t="s">
        <v>6249</v>
      </c>
      <c r="C60" s="8" t="s">
        <v>6250</v>
      </c>
      <c r="D60" s="7" t="s">
        <v>966</v>
      </c>
      <c r="E60" s="8" t="s">
        <v>6251</v>
      </c>
      <c r="F60" s="8" t="s">
        <v>6252</v>
      </c>
      <c r="G60" s="7">
        <v>9.978278035E9</v>
      </c>
      <c r="H60" s="7">
        <v>9.909008343E9</v>
      </c>
      <c r="I60" s="7" t="s">
        <v>63</v>
      </c>
      <c r="J60" s="7">
        <v>1582.0</v>
      </c>
      <c r="K60" s="7" t="s">
        <v>584</v>
      </c>
      <c r="L60" s="7" t="s">
        <v>78</v>
      </c>
      <c r="M60" s="9" t="s">
        <v>26</v>
      </c>
      <c r="N60" s="7" t="s">
        <v>170</v>
      </c>
      <c r="O60" s="7" t="s">
        <v>5992</v>
      </c>
      <c r="P60" s="7" t="s">
        <v>5993</v>
      </c>
      <c r="Q60" s="7" t="s">
        <v>6253</v>
      </c>
      <c r="R60" s="7" t="s">
        <v>6224</v>
      </c>
      <c r="S60" s="7" t="s">
        <v>63</v>
      </c>
      <c r="T60" s="7" t="s">
        <v>63</v>
      </c>
      <c r="U60" s="7">
        <v>8522.0</v>
      </c>
      <c r="V60" s="7">
        <v>10056.0</v>
      </c>
      <c r="W60" s="6">
        <v>44.5</v>
      </c>
      <c r="X60" s="8">
        <f t="shared" si="3"/>
        <v>3792.29</v>
      </c>
    </row>
    <row r="61">
      <c r="A61" s="7" t="s">
        <v>579</v>
      </c>
      <c r="B61" s="8" t="s">
        <v>6254</v>
      </c>
      <c r="C61" s="8" t="s">
        <v>6255</v>
      </c>
      <c r="D61" s="7" t="s">
        <v>21</v>
      </c>
      <c r="E61" s="8" t="s">
        <v>158</v>
      </c>
      <c r="F61" s="8" t="s">
        <v>6256</v>
      </c>
      <c r="G61" s="7">
        <v>7.98467355E9</v>
      </c>
      <c r="H61" s="7" t="s">
        <v>63</v>
      </c>
      <c r="I61" s="7" t="s">
        <v>63</v>
      </c>
      <c r="J61" s="7">
        <v>35000.0</v>
      </c>
      <c r="K61" s="7" t="s">
        <v>572</v>
      </c>
      <c r="L61" s="7" t="s">
        <v>78</v>
      </c>
      <c r="M61" s="9" t="s">
        <v>49</v>
      </c>
      <c r="N61" s="7" t="s">
        <v>219</v>
      </c>
      <c r="O61" s="7" t="s">
        <v>5992</v>
      </c>
      <c r="P61" s="7" t="s">
        <v>5993</v>
      </c>
      <c r="Q61" s="7" t="s">
        <v>6257</v>
      </c>
      <c r="R61" s="7" t="s">
        <v>6258</v>
      </c>
      <c r="S61" s="7" t="s">
        <v>6259</v>
      </c>
      <c r="T61" s="7" t="s">
        <v>63</v>
      </c>
      <c r="U61" s="11">
        <v>48214.85</v>
      </c>
      <c r="V61" s="11">
        <v>51180.0</v>
      </c>
      <c r="W61" s="6">
        <v>38.5</v>
      </c>
      <c r="X61" s="8">
        <f t="shared" si="3"/>
        <v>18562.71725</v>
      </c>
    </row>
  </sheetData>
  <dataValidations>
    <dataValidation type="list" allowBlank="1" showErrorMessage="1" sqref="M1:M27 M32:M61">
      <formula1>"TP,FULL,SAOD"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9" max="19" width="18.7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14"/>
      <c r="B2" s="8"/>
      <c r="C2" s="8"/>
      <c r="D2" s="8"/>
      <c r="E2" s="8"/>
      <c r="F2" s="8"/>
      <c r="G2" s="21"/>
      <c r="H2" s="21"/>
      <c r="I2" s="21"/>
      <c r="J2" s="22"/>
      <c r="K2" s="8"/>
      <c r="L2" s="9"/>
      <c r="M2" s="8"/>
      <c r="N2" s="8"/>
      <c r="O2" s="97"/>
      <c r="P2" s="97"/>
    </row>
    <row r="3">
      <c r="A3" s="14">
        <v>45910.0</v>
      </c>
      <c r="B3" s="8" t="s">
        <v>6260</v>
      </c>
      <c r="C3" s="8" t="s">
        <v>6261</v>
      </c>
      <c r="D3" s="8" t="s">
        <v>1395</v>
      </c>
      <c r="E3" s="8" t="s">
        <v>6262</v>
      </c>
      <c r="F3" s="8" t="s">
        <v>6263</v>
      </c>
      <c r="G3" s="21" t="s">
        <v>6264</v>
      </c>
      <c r="H3" s="21" t="s">
        <v>6265</v>
      </c>
      <c r="I3" s="21">
        <v>1600.0</v>
      </c>
      <c r="J3" s="22">
        <v>46244.0</v>
      </c>
      <c r="K3" s="8" t="s">
        <v>70</v>
      </c>
      <c r="L3" s="9" t="s">
        <v>49</v>
      </c>
      <c r="M3" s="8" t="s">
        <v>340</v>
      </c>
      <c r="N3" s="8" t="s">
        <v>6266</v>
      </c>
      <c r="O3" s="97">
        <v>17325.0</v>
      </c>
      <c r="P3" s="97">
        <v>18357.0</v>
      </c>
      <c r="Q3" s="6">
        <v>62.0</v>
      </c>
      <c r="R3" s="8">
        <f t="shared" ref="R3:R13" si="1">O3*Q3%</f>
        <v>10741.5</v>
      </c>
    </row>
    <row r="4">
      <c r="A4" s="19">
        <v>45940.0</v>
      </c>
      <c r="B4" s="8" t="s">
        <v>6267</v>
      </c>
      <c r="C4" s="8" t="s">
        <v>6268</v>
      </c>
      <c r="D4" s="8" t="s">
        <v>1395</v>
      </c>
      <c r="E4" s="8" t="s">
        <v>6269</v>
      </c>
      <c r="F4" s="8" t="s">
        <v>6270</v>
      </c>
      <c r="G4" s="21">
        <v>9.714707407E9</v>
      </c>
      <c r="H4" s="21">
        <v>8.460611126E9</v>
      </c>
      <c r="I4" s="21">
        <v>1550.0</v>
      </c>
      <c r="J4" s="22">
        <v>46123.0</v>
      </c>
      <c r="K4" s="8" t="s">
        <v>70</v>
      </c>
      <c r="L4" s="9" t="s">
        <v>49</v>
      </c>
      <c r="M4" s="8" t="s">
        <v>340</v>
      </c>
      <c r="N4" s="8" t="s">
        <v>6266</v>
      </c>
      <c r="O4" s="97">
        <v>17220.0</v>
      </c>
      <c r="P4" s="97">
        <v>18233.0</v>
      </c>
      <c r="Q4" s="6">
        <v>62.0</v>
      </c>
      <c r="R4" s="8">
        <f t="shared" si="1"/>
        <v>10676.4</v>
      </c>
    </row>
    <row r="5">
      <c r="A5" s="19">
        <v>46001.0</v>
      </c>
      <c r="B5" s="8" t="s">
        <v>6271</v>
      </c>
      <c r="C5" s="8" t="s">
        <v>6272</v>
      </c>
      <c r="D5" s="8" t="s">
        <v>1395</v>
      </c>
      <c r="E5" s="8" t="s">
        <v>2182</v>
      </c>
      <c r="F5" s="8" t="s">
        <v>6273</v>
      </c>
      <c r="G5" s="21">
        <v>9.998925072E9</v>
      </c>
      <c r="H5" s="21">
        <v>7.043925072E9</v>
      </c>
      <c r="I5" s="21">
        <v>1600.0</v>
      </c>
      <c r="J5" s="249">
        <v>46305.0</v>
      </c>
      <c r="K5" s="8" t="s">
        <v>70</v>
      </c>
      <c r="L5" s="9" t="s">
        <v>49</v>
      </c>
      <c r="M5" s="8" t="s">
        <v>71</v>
      </c>
      <c r="N5" s="8" t="s">
        <v>6266</v>
      </c>
      <c r="O5" s="97">
        <v>19598.0</v>
      </c>
      <c r="P5" s="97">
        <v>21039.0</v>
      </c>
      <c r="Q5" s="6">
        <v>62.0</v>
      </c>
      <c r="R5" s="8">
        <f t="shared" si="1"/>
        <v>12150.76</v>
      </c>
    </row>
    <row r="6">
      <c r="A6" s="19">
        <v>46001.0</v>
      </c>
      <c r="B6" s="8" t="s">
        <v>6274</v>
      </c>
      <c r="C6" s="8" t="s">
        <v>6275</v>
      </c>
      <c r="D6" s="8" t="s">
        <v>21</v>
      </c>
      <c r="E6" s="8" t="s">
        <v>6276</v>
      </c>
      <c r="F6" s="8" t="s">
        <v>6277</v>
      </c>
      <c r="G6" s="21">
        <v>7.98417462E9</v>
      </c>
      <c r="H6" s="21">
        <v>9.558949865E9</v>
      </c>
      <c r="I6" s="21">
        <v>28000.0</v>
      </c>
      <c r="J6" s="307">
        <v>46305.0</v>
      </c>
      <c r="K6" s="8" t="s">
        <v>65</v>
      </c>
      <c r="L6" s="9" t="s">
        <v>26</v>
      </c>
      <c r="M6" s="8" t="s">
        <v>71</v>
      </c>
      <c r="N6" s="8" t="s">
        <v>6266</v>
      </c>
      <c r="O6" s="21">
        <v>44050.0</v>
      </c>
      <c r="P6" s="21">
        <v>46266.0</v>
      </c>
      <c r="Q6" s="6">
        <v>52.0</v>
      </c>
      <c r="R6" s="8">
        <f t="shared" si="1"/>
        <v>22906</v>
      </c>
    </row>
    <row r="7">
      <c r="A7" s="7" t="s">
        <v>6278</v>
      </c>
      <c r="B7" s="8" t="s">
        <v>6279</v>
      </c>
      <c r="C7" s="241" t="s">
        <v>6280</v>
      </c>
      <c r="D7" s="8" t="s">
        <v>21</v>
      </c>
      <c r="E7" s="8" t="s">
        <v>6281</v>
      </c>
      <c r="F7" s="8" t="s">
        <v>6282</v>
      </c>
      <c r="G7" s="21">
        <v>7.98417462E9</v>
      </c>
      <c r="H7" s="21">
        <v>9.558949865E9</v>
      </c>
      <c r="I7" s="21">
        <v>25000.0</v>
      </c>
      <c r="J7" s="21" t="s">
        <v>5249</v>
      </c>
      <c r="K7" s="8" t="s">
        <v>65</v>
      </c>
      <c r="L7" s="9" t="s">
        <v>26</v>
      </c>
      <c r="M7" s="8" t="s">
        <v>71</v>
      </c>
      <c r="N7" s="8" t="s">
        <v>6266</v>
      </c>
      <c r="O7" s="21">
        <v>44050.0</v>
      </c>
      <c r="P7" s="21">
        <v>46266.0</v>
      </c>
      <c r="Q7" s="6">
        <v>52.0</v>
      </c>
      <c r="R7" s="8">
        <f t="shared" si="1"/>
        <v>22906</v>
      </c>
    </row>
    <row r="8">
      <c r="A8" s="7" t="s">
        <v>5307</v>
      </c>
      <c r="B8" s="8" t="s">
        <v>6283</v>
      </c>
      <c r="C8" s="241" t="s">
        <v>6284</v>
      </c>
      <c r="D8" s="8" t="s">
        <v>21</v>
      </c>
      <c r="E8" s="8" t="s">
        <v>6285</v>
      </c>
      <c r="F8" s="8" t="s">
        <v>6286</v>
      </c>
      <c r="G8" s="21">
        <v>9.228713665E9</v>
      </c>
      <c r="H8" s="21">
        <v>7.069769869E9</v>
      </c>
      <c r="I8" s="21">
        <v>16200.0</v>
      </c>
      <c r="J8" s="21" t="s">
        <v>6287</v>
      </c>
      <c r="K8" s="8" t="s">
        <v>65</v>
      </c>
      <c r="L8" s="9" t="s">
        <v>26</v>
      </c>
      <c r="M8" s="8" t="s">
        <v>71</v>
      </c>
      <c r="N8" s="8" t="s">
        <v>6266</v>
      </c>
      <c r="O8" s="21">
        <v>35413.0</v>
      </c>
      <c r="P8" s="21">
        <v>37197.0</v>
      </c>
      <c r="Q8" s="6">
        <v>49.0</v>
      </c>
      <c r="R8" s="8">
        <f t="shared" si="1"/>
        <v>17352.37</v>
      </c>
    </row>
    <row r="9">
      <c r="A9" s="7" t="s">
        <v>5315</v>
      </c>
      <c r="B9" s="8" t="s">
        <v>6288</v>
      </c>
      <c r="C9" s="8" t="s">
        <v>6289</v>
      </c>
      <c r="D9" s="8" t="s">
        <v>1395</v>
      </c>
      <c r="E9" s="8" t="s">
        <v>1303</v>
      </c>
      <c r="F9" s="8" t="s">
        <v>6290</v>
      </c>
      <c r="G9" s="21">
        <v>9.925474077E9</v>
      </c>
      <c r="H9" s="21">
        <v>9.90499531E9</v>
      </c>
      <c r="I9" s="21">
        <v>2825.0</v>
      </c>
      <c r="J9" s="21" t="s">
        <v>5318</v>
      </c>
      <c r="K9" s="8" t="s">
        <v>116</v>
      </c>
      <c r="L9" s="9" t="s">
        <v>49</v>
      </c>
      <c r="M9" s="8" t="s">
        <v>71</v>
      </c>
      <c r="N9" s="8" t="s">
        <v>6266</v>
      </c>
      <c r="O9" s="97">
        <v>19832.0</v>
      </c>
      <c r="P9" s="97">
        <v>21304.0</v>
      </c>
      <c r="Q9" s="6">
        <v>56.0</v>
      </c>
      <c r="R9" s="8">
        <f t="shared" si="1"/>
        <v>11105.92</v>
      </c>
    </row>
    <row r="10">
      <c r="A10" s="7" t="s">
        <v>5315</v>
      </c>
      <c r="B10" s="8" t="s">
        <v>6291</v>
      </c>
      <c r="C10" s="8" t="s">
        <v>6292</v>
      </c>
      <c r="D10" s="8" t="s">
        <v>44</v>
      </c>
      <c r="E10" s="8" t="s">
        <v>6293</v>
      </c>
      <c r="F10" s="8" t="s">
        <v>6294</v>
      </c>
      <c r="G10" s="21">
        <v>9.89899104E9</v>
      </c>
      <c r="H10" s="21">
        <v>9.104801929E9</v>
      </c>
      <c r="I10" s="21">
        <v>3460.0</v>
      </c>
      <c r="J10" s="21" t="s">
        <v>5318</v>
      </c>
      <c r="K10" s="8" t="s">
        <v>116</v>
      </c>
      <c r="L10" s="9" t="s">
        <v>49</v>
      </c>
      <c r="M10" s="8" t="s">
        <v>71</v>
      </c>
      <c r="N10" s="8" t="s">
        <v>6266</v>
      </c>
      <c r="O10" s="97">
        <v>20710.0</v>
      </c>
      <c r="P10" s="97">
        <v>22340.0</v>
      </c>
      <c r="Q10" s="6">
        <v>56.0</v>
      </c>
      <c r="R10" s="8">
        <f t="shared" si="1"/>
        <v>11597.6</v>
      </c>
    </row>
    <row r="11">
      <c r="A11" s="7" t="s">
        <v>5356</v>
      </c>
      <c r="B11" s="8" t="s">
        <v>3488</v>
      </c>
      <c r="C11" s="8" t="s">
        <v>6295</v>
      </c>
      <c r="D11" s="8" t="s">
        <v>21</v>
      </c>
      <c r="E11" s="8" t="s">
        <v>6296</v>
      </c>
      <c r="F11" s="8" t="s">
        <v>6297</v>
      </c>
      <c r="G11" s="21">
        <v>9.979130611E9</v>
      </c>
      <c r="H11" s="8"/>
      <c r="I11" s="21">
        <v>35000.0</v>
      </c>
      <c r="J11" s="21" t="s">
        <v>5364</v>
      </c>
      <c r="K11" s="8" t="s">
        <v>297</v>
      </c>
      <c r="L11" s="9" t="s">
        <v>49</v>
      </c>
      <c r="M11" s="8" t="s">
        <v>185</v>
      </c>
      <c r="N11" s="8" t="s">
        <v>6266</v>
      </c>
      <c r="O11" s="97">
        <v>80738.0</v>
      </c>
      <c r="P11" s="97">
        <v>89557.34</v>
      </c>
      <c r="Q11" s="6">
        <v>21.0</v>
      </c>
      <c r="R11" s="8">
        <f t="shared" si="1"/>
        <v>16954.98</v>
      </c>
    </row>
    <row r="12">
      <c r="A12" s="7" t="s">
        <v>5383</v>
      </c>
      <c r="B12" s="256" t="s">
        <v>6298</v>
      </c>
      <c r="C12" s="8" t="s">
        <v>6299</v>
      </c>
      <c r="D12" s="8" t="s">
        <v>21</v>
      </c>
      <c r="E12" s="8" t="s">
        <v>4608</v>
      </c>
      <c r="F12" s="8" t="s">
        <v>6300</v>
      </c>
      <c r="G12" s="21">
        <v>9.979703331E9</v>
      </c>
      <c r="H12" s="21">
        <v>9.979633033E9</v>
      </c>
      <c r="I12" s="21">
        <v>25000.0</v>
      </c>
      <c r="J12" s="21" t="s">
        <v>5364</v>
      </c>
      <c r="K12" s="8" t="s">
        <v>65</v>
      </c>
      <c r="L12" s="9" t="s">
        <v>26</v>
      </c>
      <c r="M12" s="8" t="s">
        <v>6301</v>
      </c>
      <c r="N12" s="8" t="s">
        <v>6266</v>
      </c>
      <c r="O12" s="21">
        <v>44381.0</v>
      </c>
      <c r="P12" s="21">
        <v>46657.0</v>
      </c>
      <c r="Q12" s="6">
        <v>52.0</v>
      </c>
      <c r="R12" s="8">
        <f t="shared" si="1"/>
        <v>23078.12</v>
      </c>
    </row>
    <row r="13">
      <c r="A13" s="14">
        <v>45910.0</v>
      </c>
      <c r="B13" s="62" t="s">
        <v>6302</v>
      </c>
      <c r="C13" s="58" t="s">
        <v>6303</v>
      </c>
      <c r="D13" s="7" t="s">
        <v>21</v>
      </c>
      <c r="E13" s="8" t="s">
        <v>6304</v>
      </c>
      <c r="F13" s="58" t="s">
        <v>6305</v>
      </c>
      <c r="G13" s="7" t="s">
        <v>150</v>
      </c>
      <c r="H13" s="7" t="s">
        <v>149</v>
      </c>
      <c r="I13" s="88">
        <v>35000.0</v>
      </c>
      <c r="J13" s="14">
        <v>46213.0</v>
      </c>
      <c r="K13" s="7" t="s">
        <v>65</v>
      </c>
      <c r="L13" s="252" t="s">
        <v>26</v>
      </c>
      <c r="M13" s="7" t="s">
        <v>151</v>
      </c>
      <c r="N13" s="308" t="s">
        <v>6266</v>
      </c>
      <c r="O13" s="134">
        <v>44050.0</v>
      </c>
      <c r="P13" s="134">
        <v>46266.0</v>
      </c>
      <c r="Q13" s="86">
        <v>49.0</v>
      </c>
      <c r="R13" s="8">
        <f t="shared" si="1"/>
        <v>21584.5</v>
      </c>
    </row>
    <row r="14">
      <c r="R14" s="309">
        <f>SUM(R3:R13)</f>
        <v>181054.15</v>
      </c>
    </row>
    <row r="15">
      <c r="R15" s="6">
        <v>-61454.0</v>
      </c>
      <c r="S15" s="6" t="s">
        <v>6306</v>
      </c>
    </row>
    <row r="16">
      <c r="R16" s="6">
        <v>-33658.0</v>
      </c>
      <c r="S16" s="6" t="s">
        <v>6307</v>
      </c>
    </row>
    <row r="17">
      <c r="R17" s="6">
        <v>-67305.0</v>
      </c>
      <c r="S17" s="6" t="s">
        <v>6308</v>
      </c>
    </row>
    <row r="22">
      <c r="A22" s="7" t="s">
        <v>5402</v>
      </c>
      <c r="B22" s="131" t="s">
        <v>6309</v>
      </c>
      <c r="C22" s="8" t="s">
        <v>6310</v>
      </c>
      <c r="D22" s="7" t="s">
        <v>21</v>
      </c>
      <c r="E22" s="8" t="s">
        <v>4608</v>
      </c>
      <c r="F22" s="8" t="s">
        <v>6300</v>
      </c>
      <c r="G22" s="7">
        <v>9.979703331E9</v>
      </c>
      <c r="H22" s="7">
        <v>9.979633033E9</v>
      </c>
      <c r="I22" s="7">
        <v>25000.0</v>
      </c>
      <c r="J22" s="7" t="s">
        <v>5368</v>
      </c>
      <c r="K22" s="7" t="s">
        <v>65</v>
      </c>
      <c r="L22" s="9" t="s">
        <v>26</v>
      </c>
      <c r="M22" s="7" t="s">
        <v>6301</v>
      </c>
      <c r="N22" s="7" t="s">
        <v>6266</v>
      </c>
      <c r="O22" s="7">
        <v>44050.0</v>
      </c>
      <c r="P22" s="7">
        <v>46266.0</v>
      </c>
      <c r="Q22" s="6">
        <v>52.0</v>
      </c>
      <c r="R22" s="8">
        <f t="shared" ref="R22:R34" si="2">O22*Q22%</f>
        <v>22906</v>
      </c>
    </row>
    <row r="23">
      <c r="A23" s="7" t="s">
        <v>5402</v>
      </c>
      <c r="B23" s="131" t="s">
        <v>6311</v>
      </c>
      <c r="C23" s="8" t="s">
        <v>6312</v>
      </c>
      <c r="D23" s="7" t="s">
        <v>21</v>
      </c>
      <c r="E23" s="8" t="s">
        <v>6313</v>
      </c>
      <c r="F23" s="8" t="s">
        <v>6314</v>
      </c>
      <c r="G23" s="7">
        <v>9.586738034E9</v>
      </c>
      <c r="H23" s="7">
        <v>9.723299909E9</v>
      </c>
      <c r="I23" s="7">
        <v>28000.0</v>
      </c>
      <c r="J23" s="7" t="s">
        <v>5368</v>
      </c>
      <c r="K23" s="7" t="s">
        <v>65</v>
      </c>
      <c r="L23" s="9" t="s">
        <v>26</v>
      </c>
      <c r="M23" s="7" t="s">
        <v>89</v>
      </c>
      <c r="N23" s="7" t="s">
        <v>6266</v>
      </c>
      <c r="O23" s="7">
        <v>44050.0</v>
      </c>
      <c r="P23" s="7">
        <v>46266.0</v>
      </c>
      <c r="Q23" s="6">
        <v>52.0</v>
      </c>
      <c r="R23" s="8">
        <f t="shared" si="2"/>
        <v>22906</v>
      </c>
    </row>
    <row r="24">
      <c r="A24" s="14">
        <v>45668.0</v>
      </c>
      <c r="B24" s="8" t="s">
        <v>6315</v>
      </c>
      <c r="C24" s="8" t="s">
        <v>6316</v>
      </c>
      <c r="D24" s="7" t="s">
        <v>1395</v>
      </c>
      <c r="E24" s="8" t="s">
        <v>741</v>
      </c>
      <c r="F24" s="8" t="s">
        <v>6317</v>
      </c>
      <c r="G24" s="7">
        <v>9.979431258E9</v>
      </c>
      <c r="H24" s="7">
        <v>9.925172441E9</v>
      </c>
      <c r="I24" s="7">
        <v>3490.0</v>
      </c>
      <c r="J24" s="7" t="s">
        <v>5401</v>
      </c>
      <c r="K24" s="7" t="s">
        <v>116</v>
      </c>
      <c r="L24" s="9" t="s">
        <v>49</v>
      </c>
      <c r="M24" s="7" t="s">
        <v>71</v>
      </c>
      <c r="N24" s="7" t="s">
        <v>6266</v>
      </c>
      <c r="O24" s="11">
        <v>20388.0</v>
      </c>
      <c r="P24" s="11">
        <v>21961.0</v>
      </c>
      <c r="Q24" s="6">
        <v>56.0</v>
      </c>
      <c r="R24" s="8">
        <f t="shared" si="2"/>
        <v>11417.28</v>
      </c>
    </row>
    <row r="25">
      <c r="A25" s="14">
        <v>45788.0</v>
      </c>
      <c r="B25" s="58" t="s">
        <v>6318</v>
      </c>
      <c r="C25" s="58" t="s">
        <v>6319</v>
      </c>
      <c r="D25" s="7" t="s">
        <v>21</v>
      </c>
      <c r="E25" s="58" t="s">
        <v>6320</v>
      </c>
      <c r="F25" s="58" t="s">
        <v>6321</v>
      </c>
      <c r="G25" s="7">
        <v>9.913052068E9</v>
      </c>
      <c r="H25" s="8"/>
      <c r="I25" s="7">
        <v>28000.0</v>
      </c>
      <c r="J25" s="310">
        <v>46123.0</v>
      </c>
      <c r="K25" s="7" t="s">
        <v>25</v>
      </c>
      <c r="L25" s="9" t="s">
        <v>26</v>
      </c>
      <c r="M25" s="7" t="s">
        <v>27</v>
      </c>
      <c r="N25" s="7" t="s">
        <v>6266</v>
      </c>
      <c r="O25" s="62">
        <v>44100.0</v>
      </c>
      <c r="P25" s="62">
        <v>46325.0</v>
      </c>
      <c r="Q25" s="6">
        <v>51.0</v>
      </c>
      <c r="R25" s="8">
        <f t="shared" si="2"/>
        <v>22491</v>
      </c>
    </row>
    <row r="26">
      <c r="A26" s="14">
        <v>45788.0</v>
      </c>
      <c r="B26" s="58" t="s">
        <v>6322</v>
      </c>
      <c r="C26" s="58" t="s">
        <v>6323</v>
      </c>
      <c r="D26" s="7" t="s">
        <v>21</v>
      </c>
      <c r="E26" s="58" t="s">
        <v>6324</v>
      </c>
      <c r="F26" s="58" t="s">
        <v>6325</v>
      </c>
      <c r="G26" s="7">
        <v>9.913052068E9</v>
      </c>
      <c r="H26" s="8"/>
      <c r="I26" s="62">
        <v>16200.0</v>
      </c>
      <c r="J26" s="60">
        <v>46153.0</v>
      </c>
      <c r="K26" s="7" t="s">
        <v>25</v>
      </c>
      <c r="L26" s="9" t="s">
        <v>26</v>
      </c>
      <c r="M26" s="7" t="s">
        <v>27</v>
      </c>
      <c r="N26" s="7" t="s">
        <v>6266</v>
      </c>
      <c r="O26" s="62">
        <v>35463.0</v>
      </c>
      <c r="P26" s="62">
        <v>37256.0</v>
      </c>
      <c r="Q26" s="6">
        <v>51.0</v>
      </c>
      <c r="R26" s="8">
        <f t="shared" si="2"/>
        <v>18086.13</v>
      </c>
    </row>
    <row r="27">
      <c r="A27" s="14">
        <v>45788.0</v>
      </c>
      <c r="B27" s="58" t="s">
        <v>6326</v>
      </c>
      <c r="C27" s="58" t="s">
        <v>6327</v>
      </c>
      <c r="D27" s="7" t="s">
        <v>21</v>
      </c>
      <c r="E27" s="58" t="s">
        <v>6328</v>
      </c>
      <c r="F27" s="58" t="s">
        <v>6329</v>
      </c>
      <c r="G27" s="7">
        <v>9.824486786E9</v>
      </c>
      <c r="H27" s="7">
        <v>9.979450492E9</v>
      </c>
      <c r="I27" s="7">
        <v>35000.0</v>
      </c>
      <c r="J27" s="14">
        <v>46184.0</v>
      </c>
      <c r="K27" s="7" t="s">
        <v>25</v>
      </c>
      <c r="L27" s="9" t="s">
        <v>26</v>
      </c>
      <c r="M27" s="7" t="s">
        <v>151</v>
      </c>
      <c r="N27" s="7" t="s">
        <v>6266</v>
      </c>
      <c r="O27" s="62">
        <v>44100.0</v>
      </c>
      <c r="P27" s="62">
        <v>46325.0</v>
      </c>
      <c r="Q27" s="6">
        <v>51.0</v>
      </c>
      <c r="R27" s="8">
        <f t="shared" si="2"/>
        <v>22491</v>
      </c>
    </row>
    <row r="28">
      <c r="A28" s="7" t="s">
        <v>5568</v>
      </c>
      <c r="B28" s="58" t="s">
        <v>6330</v>
      </c>
      <c r="C28" s="58" t="s">
        <v>6331</v>
      </c>
      <c r="D28" s="7" t="s">
        <v>21</v>
      </c>
      <c r="E28" s="58" t="s">
        <v>1055</v>
      </c>
      <c r="F28" s="58" t="s">
        <v>6332</v>
      </c>
      <c r="G28" s="7">
        <v>7.98467355E9</v>
      </c>
      <c r="H28" s="8"/>
      <c r="I28" s="7">
        <v>12500.0</v>
      </c>
      <c r="J28" s="62" t="s">
        <v>5572</v>
      </c>
      <c r="K28" s="7" t="s">
        <v>25</v>
      </c>
      <c r="L28" s="9" t="s">
        <v>26</v>
      </c>
      <c r="M28" s="7" t="s">
        <v>28</v>
      </c>
      <c r="N28" s="7" t="s">
        <v>6266</v>
      </c>
      <c r="O28" s="62">
        <v>36012.0</v>
      </c>
      <c r="P28" s="62">
        <v>37903.0</v>
      </c>
      <c r="Q28" s="6">
        <v>51.0</v>
      </c>
      <c r="R28" s="8">
        <f t="shared" si="2"/>
        <v>18366.12</v>
      </c>
    </row>
    <row r="29">
      <c r="A29" s="7" t="s">
        <v>5573</v>
      </c>
      <c r="B29" s="58" t="s">
        <v>6333</v>
      </c>
      <c r="C29" s="58" t="s">
        <v>6334</v>
      </c>
      <c r="D29" s="7" t="s">
        <v>21</v>
      </c>
      <c r="E29" s="58" t="s">
        <v>147</v>
      </c>
      <c r="F29" s="58" t="s">
        <v>1042</v>
      </c>
      <c r="G29" s="7">
        <v>8.980805252E9</v>
      </c>
      <c r="H29" s="7">
        <v>8.404000099E9</v>
      </c>
      <c r="I29" s="7">
        <v>25000.0</v>
      </c>
      <c r="J29" s="7" t="s">
        <v>5590</v>
      </c>
      <c r="K29" s="7" t="s">
        <v>25</v>
      </c>
      <c r="L29" s="9" t="s">
        <v>26</v>
      </c>
      <c r="M29" s="7" t="s">
        <v>71</v>
      </c>
      <c r="N29" s="7" t="s">
        <v>6266</v>
      </c>
      <c r="O29" s="62">
        <v>44050.0</v>
      </c>
      <c r="P29" s="62">
        <v>46266.0</v>
      </c>
      <c r="Q29" s="6">
        <v>51.0</v>
      </c>
      <c r="R29" s="8">
        <f t="shared" si="2"/>
        <v>22465.5</v>
      </c>
    </row>
    <row r="30">
      <c r="A30" s="7" t="s">
        <v>5582</v>
      </c>
      <c r="B30" s="58" t="s">
        <v>6335</v>
      </c>
      <c r="C30" s="58" t="s">
        <v>6336</v>
      </c>
      <c r="D30" s="7" t="s">
        <v>21</v>
      </c>
      <c r="E30" s="58" t="s">
        <v>6337</v>
      </c>
      <c r="F30" s="58" t="s">
        <v>6338</v>
      </c>
      <c r="G30" s="7" t="s">
        <v>6339</v>
      </c>
      <c r="H30" s="7" t="s">
        <v>6340</v>
      </c>
      <c r="I30" s="7">
        <v>28000.0</v>
      </c>
      <c r="J30" s="62" t="s">
        <v>5590</v>
      </c>
      <c r="K30" s="7" t="s">
        <v>25</v>
      </c>
      <c r="L30" s="9" t="s">
        <v>26</v>
      </c>
      <c r="M30" s="7" t="s">
        <v>340</v>
      </c>
      <c r="N30" s="7" t="s">
        <v>6266</v>
      </c>
      <c r="O30" s="62">
        <v>44050.0</v>
      </c>
      <c r="P30" s="62">
        <v>46266.0</v>
      </c>
      <c r="Q30" s="6">
        <v>51.0</v>
      </c>
      <c r="R30" s="8">
        <f t="shared" si="2"/>
        <v>22465.5</v>
      </c>
    </row>
    <row r="31">
      <c r="A31" s="7" t="s">
        <v>5582</v>
      </c>
      <c r="B31" s="58" t="s">
        <v>6341</v>
      </c>
      <c r="C31" s="58" t="s">
        <v>6342</v>
      </c>
      <c r="D31" s="7" t="s">
        <v>21</v>
      </c>
      <c r="E31" s="58" t="s">
        <v>6343</v>
      </c>
      <c r="F31" s="58" t="s">
        <v>6344</v>
      </c>
      <c r="G31" s="7" t="s">
        <v>6345</v>
      </c>
      <c r="H31" s="7">
        <v>9.913528185E9</v>
      </c>
      <c r="I31" s="7">
        <v>28000.0</v>
      </c>
      <c r="J31" s="62" t="s">
        <v>5590</v>
      </c>
      <c r="K31" s="7" t="s">
        <v>25</v>
      </c>
      <c r="L31" s="9" t="s">
        <v>26</v>
      </c>
      <c r="M31" s="7" t="s">
        <v>340</v>
      </c>
      <c r="N31" s="7" t="s">
        <v>6266</v>
      </c>
      <c r="O31" s="62">
        <v>44050.0</v>
      </c>
      <c r="P31" s="62">
        <v>46266.0</v>
      </c>
      <c r="Q31" s="6">
        <v>51.0</v>
      </c>
      <c r="R31" s="8">
        <f t="shared" si="2"/>
        <v>22465.5</v>
      </c>
    </row>
    <row r="32">
      <c r="A32" s="7" t="s">
        <v>5661</v>
      </c>
      <c r="B32" s="58" t="s">
        <v>6346</v>
      </c>
      <c r="C32" s="58" t="s">
        <v>6347</v>
      </c>
      <c r="D32" s="7" t="s">
        <v>44</v>
      </c>
      <c r="E32" s="58" t="s">
        <v>6348</v>
      </c>
      <c r="F32" s="58" t="s">
        <v>6349</v>
      </c>
      <c r="G32" s="7">
        <v>9.723139472E9</v>
      </c>
      <c r="H32" s="7">
        <v>9.824822243E9</v>
      </c>
      <c r="I32" s="7">
        <v>3490.0</v>
      </c>
      <c r="J32" s="62" t="s">
        <v>5614</v>
      </c>
      <c r="K32" s="7" t="s">
        <v>116</v>
      </c>
      <c r="L32" s="9" t="s">
        <v>49</v>
      </c>
      <c r="M32" s="7" t="s">
        <v>71</v>
      </c>
      <c r="N32" s="7" t="s">
        <v>6266</v>
      </c>
      <c r="O32" s="70">
        <v>21383.0</v>
      </c>
      <c r="P32" s="70">
        <v>23136.0</v>
      </c>
      <c r="Q32" s="6">
        <v>56.0</v>
      </c>
      <c r="R32" s="8">
        <f t="shared" si="2"/>
        <v>11974.48</v>
      </c>
    </row>
    <row r="33">
      <c r="A33" s="7" t="s">
        <v>5661</v>
      </c>
      <c r="B33" s="58" t="s">
        <v>6350</v>
      </c>
      <c r="C33" s="58" t="s">
        <v>6351</v>
      </c>
      <c r="D33" s="7" t="s">
        <v>44</v>
      </c>
      <c r="E33" s="58" t="s">
        <v>2091</v>
      </c>
      <c r="F33" s="58" t="s">
        <v>6352</v>
      </c>
      <c r="G33" s="7">
        <v>9.574850735E9</v>
      </c>
      <c r="H33" s="7">
        <v>9.904630495E9</v>
      </c>
      <c r="I33" s="7">
        <v>2825.0</v>
      </c>
      <c r="J33" s="62" t="s">
        <v>5586</v>
      </c>
      <c r="K33" s="7" t="s">
        <v>116</v>
      </c>
      <c r="L33" s="9" t="s">
        <v>49</v>
      </c>
      <c r="M33" s="7" t="s">
        <v>71</v>
      </c>
      <c r="N33" s="7" t="s">
        <v>6266</v>
      </c>
      <c r="O33" s="70">
        <v>19832.0</v>
      </c>
      <c r="P33" s="70">
        <v>21304.0</v>
      </c>
      <c r="Q33" s="6">
        <v>56.0</v>
      </c>
      <c r="R33" s="8">
        <f t="shared" si="2"/>
        <v>11105.92</v>
      </c>
    </row>
    <row r="34">
      <c r="A34" s="7" t="s">
        <v>5673</v>
      </c>
      <c r="B34" s="58" t="s">
        <v>6353</v>
      </c>
      <c r="C34" s="58" t="s">
        <v>6354</v>
      </c>
      <c r="D34" s="7" t="s">
        <v>21</v>
      </c>
      <c r="E34" s="58" t="s">
        <v>748</v>
      </c>
      <c r="F34" s="58" t="s">
        <v>6355</v>
      </c>
      <c r="G34" s="7">
        <v>9.825278653E9</v>
      </c>
      <c r="H34" s="7">
        <v>7.01658661E9</v>
      </c>
      <c r="I34" s="7">
        <v>18500.0</v>
      </c>
      <c r="J34" s="62" t="s">
        <v>5681</v>
      </c>
      <c r="K34" s="7" t="s">
        <v>25</v>
      </c>
      <c r="L34" s="9" t="s">
        <v>26</v>
      </c>
      <c r="M34" s="7" t="s">
        <v>71</v>
      </c>
      <c r="N34" s="7" t="s">
        <v>6266</v>
      </c>
      <c r="O34" s="62">
        <v>35413.0</v>
      </c>
      <c r="P34" s="62">
        <v>37197.0</v>
      </c>
      <c r="Q34" s="6">
        <v>51.0</v>
      </c>
      <c r="R34" s="8">
        <f t="shared" si="2"/>
        <v>18060.63</v>
      </c>
    </row>
    <row r="35">
      <c r="R35" s="311">
        <f>SUM(R22:R34)</f>
        <v>247201.06</v>
      </c>
    </row>
    <row r="39">
      <c r="R39" s="6">
        <v>-18228.0</v>
      </c>
      <c r="S39" s="6" t="s">
        <v>6356</v>
      </c>
    </row>
    <row r="40">
      <c r="R40" s="6">
        <v>-50000.0</v>
      </c>
      <c r="S40" s="6" t="s">
        <v>6357</v>
      </c>
    </row>
    <row r="41">
      <c r="R41" s="6">
        <v>-50000.0</v>
      </c>
      <c r="S41" s="6" t="s">
        <v>6358</v>
      </c>
    </row>
    <row r="42">
      <c r="R42" s="6">
        <v>-10000.0</v>
      </c>
      <c r="S42" s="6" t="s">
        <v>6359</v>
      </c>
    </row>
    <row r="43">
      <c r="R43" s="6">
        <v>-19000.0</v>
      </c>
      <c r="S43" s="6" t="s">
        <v>6360</v>
      </c>
    </row>
    <row r="44">
      <c r="R44" s="6">
        <v>-39820.0</v>
      </c>
      <c r="S44" s="6" t="s">
        <v>6361</v>
      </c>
    </row>
    <row r="45">
      <c r="R45" s="6">
        <v>-40132.0</v>
      </c>
      <c r="S45" s="6" t="s">
        <v>6362</v>
      </c>
    </row>
    <row r="50">
      <c r="A50" s="14">
        <v>45728.0</v>
      </c>
      <c r="B50" s="8" t="s">
        <v>6363</v>
      </c>
      <c r="C50" s="8" t="s">
        <v>6364</v>
      </c>
      <c r="D50" s="7" t="s">
        <v>21</v>
      </c>
      <c r="E50" s="8" t="s">
        <v>1360</v>
      </c>
      <c r="F50" s="8" t="s">
        <v>6365</v>
      </c>
      <c r="G50" s="7">
        <v>9.723356621E9</v>
      </c>
      <c r="H50" s="7" t="s">
        <v>63</v>
      </c>
      <c r="I50" s="7">
        <v>16200.0</v>
      </c>
      <c r="J50" s="14">
        <v>46093.0</v>
      </c>
      <c r="K50" s="7" t="s">
        <v>25</v>
      </c>
      <c r="L50" s="9" t="s">
        <v>26</v>
      </c>
      <c r="M50" s="7" t="s">
        <v>89</v>
      </c>
      <c r="N50" s="7" t="s">
        <v>6266</v>
      </c>
      <c r="O50" s="11">
        <v>35413.0</v>
      </c>
      <c r="P50" s="11">
        <v>37197.0</v>
      </c>
      <c r="Q50" s="6">
        <v>51.0</v>
      </c>
      <c r="R50" s="8">
        <f t="shared" ref="R50:R74" si="3">O50*Q50%</f>
        <v>18060.63</v>
      </c>
    </row>
    <row r="51">
      <c r="A51" s="14">
        <v>45728.0</v>
      </c>
      <c r="B51" s="8" t="s">
        <v>6366</v>
      </c>
      <c r="C51" s="8" t="s">
        <v>6367</v>
      </c>
      <c r="D51" s="7" t="s">
        <v>21</v>
      </c>
      <c r="E51" s="8" t="s">
        <v>1360</v>
      </c>
      <c r="F51" s="8" t="s">
        <v>6368</v>
      </c>
      <c r="G51" s="7" t="s">
        <v>5792</v>
      </c>
      <c r="H51" s="7">
        <v>8.320805775E9</v>
      </c>
      <c r="I51" s="7">
        <v>25000.0</v>
      </c>
      <c r="J51" s="14">
        <v>46065.0</v>
      </c>
      <c r="K51" s="7" t="s">
        <v>25</v>
      </c>
      <c r="L51" s="9" t="s">
        <v>26</v>
      </c>
      <c r="M51" s="7" t="s">
        <v>389</v>
      </c>
      <c r="N51" s="7" t="s">
        <v>6266</v>
      </c>
      <c r="O51" s="11">
        <v>44100.0</v>
      </c>
      <c r="P51" s="11">
        <v>46325.0</v>
      </c>
      <c r="Q51" s="6">
        <v>51.0</v>
      </c>
      <c r="R51" s="8">
        <f t="shared" si="3"/>
        <v>22491</v>
      </c>
    </row>
    <row r="52">
      <c r="A52" s="14">
        <v>45759.0</v>
      </c>
      <c r="B52" s="8" t="s">
        <v>6369</v>
      </c>
      <c r="C52" s="8" t="s">
        <v>6370</v>
      </c>
      <c r="D52" s="7" t="s">
        <v>21</v>
      </c>
      <c r="E52" s="8" t="s">
        <v>434</v>
      </c>
      <c r="F52" s="8" t="s">
        <v>6371</v>
      </c>
      <c r="G52" s="7">
        <v>9.879125633E9</v>
      </c>
      <c r="H52" s="7">
        <v>8.0002224E9</v>
      </c>
      <c r="I52" s="7">
        <v>28000.0</v>
      </c>
      <c r="J52" s="14">
        <v>46093.0</v>
      </c>
      <c r="K52" s="7" t="s">
        <v>25</v>
      </c>
      <c r="L52" s="9" t="s">
        <v>26</v>
      </c>
      <c r="M52" s="7" t="s">
        <v>71</v>
      </c>
      <c r="N52" s="7" t="s">
        <v>6266</v>
      </c>
      <c r="O52" s="11">
        <v>44050.0</v>
      </c>
      <c r="P52" s="7">
        <v>46266.0</v>
      </c>
      <c r="Q52" s="6">
        <v>51.0</v>
      </c>
      <c r="R52" s="8">
        <f t="shared" si="3"/>
        <v>22465.5</v>
      </c>
    </row>
    <row r="53">
      <c r="A53" s="19">
        <v>45912.0</v>
      </c>
      <c r="B53" s="58" t="s">
        <v>6372</v>
      </c>
      <c r="C53" s="58" t="s">
        <v>6373</v>
      </c>
      <c r="D53" s="7" t="s">
        <v>44</v>
      </c>
      <c r="E53" s="58" t="s">
        <v>6348</v>
      </c>
      <c r="F53" s="58" t="s">
        <v>6374</v>
      </c>
      <c r="G53" s="7">
        <v>8.460059828E9</v>
      </c>
      <c r="H53" s="7">
        <v>9.512998999E9</v>
      </c>
      <c r="I53" s="7">
        <v>3490.0</v>
      </c>
      <c r="J53" s="14">
        <v>46246.0</v>
      </c>
      <c r="K53" s="7" t="s">
        <v>116</v>
      </c>
      <c r="L53" s="9" t="s">
        <v>49</v>
      </c>
      <c r="M53" s="7" t="s">
        <v>71</v>
      </c>
      <c r="N53" s="7" t="s">
        <v>6266</v>
      </c>
      <c r="O53" s="11">
        <v>19577.0</v>
      </c>
      <c r="P53" s="11">
        <v>21003.0</v>
      </c>
      <c r="Q53" s="6">
        <v>56.0</v>
      </c>
      <c r="R53" s="8">
        <f t="shared" si="3"/>
        <v>10963.12</v>
      </c>
    </row>
    <row r="54">
      <c r="A54" s="7" t="s">
        <v>5860</v>
      </c>
      <c r="B54" s="58" t="s">
        <v>6375</v>
      </c>
      <c r="C54" s="58" t="s">
        <v>6376</v>
      </c>
      <c r="D54" s="7" t="s">
        <v>44</v>
      </c>
      <c r="E54" s="58" t="s">
        <v>1247</v>
      </c>
      <c r="F54" s="58" t="s">
        <v>6377</v>
      </c>
      <c r="G54" s="7">
        <v>9.924836734E9</v>
      </c>
      <c r="H54" s="7">
        <v>8.866272093E9</v>
      </c>
      <c r="I54" s="7">
        <v>2825.0</v>
      </c>
      <c r="J54" s="61">
        <v>46368.0</v>
      </c>
      <c r="K54" s="7" t="s">
        <v>116</v>
      </c>
      <c r="L54" s="9" t="s">
        <v>49</v>
      </c>
      <c r="M54" s="7" t="s">
        <v>89</v>
      </c>
      <c r="N54" s="7" t="s">
        <v>6266</v>
      </c>
      <c r="O54" s="11">
        <v>20262.0</v>
      </c>
      <c r="P54" s="11">
        <v>21812.0</v>
      </c>
      <c r="Q54" s="6">
        <v>56.0</v>
      </c>
      <c r="R54" s="8">
        <f t="shared" si="3"/>
        <v>11346.72</v>
      </c>
    </row>
    <row r="55">
      <c r="A55" s="7" t="s">
        <v>6378</v>
      </c>
      <c r="B55" s="58" t="s">
        <v>6379</v>
      </c>
      <c r="C55" s="58" t="s">
        <v>6380</v>
      </c>
      <c r="D55" s="7" t="s">
        <v>44</v>
      </c>
      <c r="E55" s="58" t="s">
        <v>45</v>
      </c>
      <c r="F55" s="58" t="s">
        <v>6381</v>
      </c>
      <c r="G55" s="7">
        <v>9.724567552E9</v>
      </c>
      <c r="H55" s="7">
        <v>9.925590661E9</v>
      </c>
      <c r="I55" s="7">
        <v>1600.0</v>
      </c>
      <c r="J55" s="61">
        <v>46368.0</v>
      </c>
      <c r="K55" s="7" t="s">
        <v>48</v>
      </c>
      <c r="L55" s="9" t="s">
        <v>49</v>
      </c>
      <c r="M55" s="7" t="s">
        <v>71</v>
      </c>
      <c r="N55" s="7" t="s">
        <v>6266</v>
      </c>
      <c r="O55" s="7">
        <v>21202.0</v>
      </c>
      <c r="P55" s="7">
        <v>22932.0</v>
      </c>
      <c r="Q55" s="6">
        <v>65.0</v>
      </c>
      <c r="R55" s="8">
        <f t="shared" si="3"/>
        <v>13781.3</v>
      </c>
    </row>
    <row r="56">
      <c r="A56" s="7" t="s">
        <v>2317</v>
      </c>
      <c r="B56" s="58" t="s">
        <v>6382</v>
      </c>
      <c r="C56" s="58" t="s">
        <v>6383</v>
      </c>
      <c r="D56" s="7" t="s">
        <v>44</v>
      </c>
      <c r="E56" s="58" t="s">
        <v>2846</v>
      </c>
      <c r="F56" s="58" t="s">
        <v>6384</v>
      </c>
      <c r="G56" s="7">
        <v>7.046924786E9</v>
      </c>
      <c r="H56" s="7">
        <v>9.586478938E9</v>
      </c>
      <c r="I56" s="7">
        <v>2880.0</v>
      </c>
      <c r="J56" s="7" t="s">
        <v>5955</v>
      </c>
      <c r="K56" s="7" t="s">
        <v>668</v>
      </c>
      <c r="L56" s="9" t="s">
        <v>26</v>
      </c>
      <c r="M56" s="7" t="s">
        <v>185</v>
      </c>
      <c r="N56" s="7" t="s">
        <v>6266</v>
      </c>
      <c r="O56" s="7">
        <v>16049.0</v>
      </c>
      <c r="P56" s="7">
        <v>16851.0</v>
      </c>
      <c r="Q56" s="6">
        <v>65.0</v>
      </c>
      <c r="R56" s="8">
        <f t="shared" si="3"/>
        <v>10431.85</v>
      </c>
    </row>
    <row r="57">
      <c r="A57" s="7" t="s">
        <v>57</v>
      </c>
      <c r="B57" s="58" t="s">
        <v>6385</v>
      </c>
      <c r="C57" s="58" t="s">
        <v>6386</v>
      </c>
      <c r="D57" s="7" t="s">
        <v>44</v>
      </c>
      <c r="E57" s="58" t="s">
        <v>6348</v>
      </c>
      <c r="F57" s="58" t="s">
        <v>6387</v>
      </c>
      <c r="G57" s="7">
        <v>8.758810727E9</v>
      </c>
      <c r="H57" s="7">
        <v>9.913914827E9</v>
      </c>
      <c r="I57" s="7">
        <v>3490.0</v>
      </c>
      <c r="J57" s="62" t="s">
        <v>64</v>
      </c>
      <c r="K57" s="7" t="s">
        <v>116</v>
      </c>
      <c r="L57" s="9" t="s">
        <v>49</v>
      </c>
      <c r="M57" s="7" t="s">
        <v>71</v>
      </c>
      <c r="N57" s="7" t="s">
        <v>6266</v>
      </c>
      <c r="O57" s="11">
        <v>19993.0</v>
      </c>
      <c r="P57" s="11">
        <v>21496.0</v>
      </c>
      <c r="Q57" s="6">
        <v>56.0</v>
      </c>
      <c r="R57" s="8">
        <f t="shared" si="3"/>
        <v>11196.08</v>
      </c>
    </row>
    <row r="58">
      <c r="A58" s="7" t="s">
        <v>90</v>
      </c>
      <c r="B58" s="58" t="s">
        <v>6388</v>
      </c>
      <c r="C58" s="58" t="s">
        <v>6389</v>
      </c>
      <c r="D58" s="7" t="s">
        <v>21</v>
      </c>
      <c r="E58" s="58" t="s">
        <v>6390</v>
      </c>
      <c r="F58" s="58" t="s">
        <v>6391</v>
      </c>
      <c r="G58" s="7">
        <v>9.925762672E9</v>
      </c>
      <c r="H58" s="7">
        <v>9.428034592E9</v>
      </c>
      <c r="I58" s="7">
        <v>16200.0</v>
      </c>
      <c r="J58" s="62" t="s">
        <v>106</v>
      </c>
      <c r="K58" s="7" t="s">
        <v>668</v>
      </c>
      <c r="L58" s="9" t="s">
        <v>26</v>
      </c>
      <c r="M58" s="7" t="s">
        <v>4961</v>
      </c>
      <c r="N58" s="7" t="s">
        <v>6266</v>
      </c>
      <c r="O58" s="7">
        <v>35413.0</v>
      </c>
      <c r="P58" s="7">
        <v>37197.0</v>
      </c>
      <c r="Q58" s="6">
        <v>47.0</v>
      </c>
      <c r="R58" s="8">
        <f t="shared" si="3"/>
        <v>16644.11</v>
      </c>
      <c r="W58" s="6">
        <v>588934.0</v>
      </c>
    </row>
    <row r="59">
      <c r="A59" s="14">
        <v>46023.0</v>
      </c>
      <c r="B59" s="58" t="s">
        <v>6392</v>
      </c>
      <c r="C59" s="58" t="s">
        <v>6393</v>
      </c>
      <c r="D59" s="7" t="s">
        <v>44</v>
      </c>
      <c r="E59" s="58" t="s">
        <v>6394</v>
      </c>
      <c r="F59" s="58" t="s">
        <v>6395</v>
      </c>
      <c r="G59" s="7">
        <v>6.35183807E9</v>
      </c>
      <c r="H59" s="7">
        <v>8.320397638E9</v>
      </c>
      <c r="I59" s="7">
        <v>2880.0</v>
      </c>
      <c r="J59" s="62" t="s">
        <v>126</v>
      </c>
      <c r="K59" s="7" t="s">
        <v>116</v>
      </c>
      <c r="L59" s="9" t="s">
        <v>49</v>
      </c>
      <c r="M59" s="7" t="s">
        <v>101</v>
      </c>
      <c r="N59" s="7" t="s">
        <v>6266</v>
      </c>
      <c r="O59" s="11">
        <v>20983.0</v>
      </c>
      <c r="P59" s="11">
        <v>22663.0</v>
      </c>
      <c r="Q59" s="6">
        <v>56.0</v>
      </c>
      <c r="R59" s="8">
        <f t="shared" si="3"/>
        <v>11750.48</v>
      </c>
      <c r="W59" s="6">
        <v>389597.0</v>
      </c>
    </row>
    <row r="60">
      <c r="A60" s="14">
        <v>46082.0</v>
      </c>
      <c r="B60" s="58" t="s">
        <v>6396</v>
      </c>
      <c r="C60" s="58" t="s">
        <v>6397</v>
      </c>
      <c r="D60" s="7" t="s">
        <v>44</v>
      </c>
      <c r="E60" s="58" t="s">
        <v>1303</v>
      </c>
      <c r="F60" s="58" t="s">
        <v>6398</v>
      </c>
      <c r="G60" s="7">
        <v>9.773423934E9</v>
      </c>
      <c r="H60" s="7">
        <v>9.773029603E9</v>
      </c>
      <c r="I60" s="7">
        <v>2825.0</v>
      </c>
      <c r="J60" s="60">
        <v>46388.0</v>
      </c>
      <c r="K60" s="7" t="s">
        <v>116</v>
      </c>
      <c r="L60" s="9" t="s">
        <v>49</v>
      </c>
      <c r="M60" s="7" t="s">
        <v>389</v>
      </c>
      <c r="N60" s="7" t="s">
        <v>6266</v>
      </c>
      <c r="O60" s="11">
        <v>20622.0</v>
      </c>
      <c r="P60" s="11">
        <v>22268.0</v>
      </c>
      <c r="Q60" s="6">
        <v>56.0</v>
      </c>
      <c r="R60" s="8">
        <f t="shared" si="3"/>
        <v>11548.32</v>
      </c>
      <c r="W60" s="6">
        <v>189982.0</v>
      </c>
    </row>
    <row r="61">
      <c r="A61" s="7" t="s">
        <v>370</v>
      </c>
      <c r="B61" s="8" t="s">
        <v>6399</v>
      </c>
      <c r="C61" s="8" t="s">
        <v>6400</v>
      </c>
      <c r="D61" s="7" t="s">
        <v>93</v>
      </c>
      <c r="E61" s="8" t="s">
        <v>2076</v>
      </c>
      <c r="F61" s="8" t="s">
        <v>6401</v>
      </c>
      <c r="G61" s="7">
        <v>9.723754448E9</v>
      </c>
      <c r="H61" s="7" t="s">
        <v>63</v>
      </c>
      <c r="I61" s="7">
        <v>11990.0</v>
      </c>
      <c r="J61" s="7" t="s">
        <v>383</v>
      </c>
      <c r="K61" s="7" t="s">
        <v>668</v>
      </c>
      <c r="L61" s="9" t="s">
        <v>26</v>
      </c>
      <c r="M61" s="7" t="s">
        <v>285</v>
      </c>
      <c r="N61" s="7" t="s">
        <v>6266</v>
      </c>
      <c r="O61" s="7">
        <v>27561.0</v>
      </c>
      <c r="P61" s="7">
        <v>28989.0</v>
      </c>
      <c r="Q61" s="6">
        <v>43.0</v>
      </c>
      <c r="R61" s="8">
        <f t="shared" si="3"/>
        <v>11851.23</v>
      </c>
    </row>
    <row r="62">
      <c r="A62" s="7" t="s">
        <v>568</v>
      </c>
      <c r="B62" s="8" t="s">
        <v>6402</v>
      </c>
      <c r="C62" s="8" t="s">
        <v>6403</v>
      </c>
      <c r="D62" s="7" t="s">
        <v>21</v>
      </c>
      <c r="E62" s="8" t="s">
        <v>31</v>
      </c>
      <c r="F62" s="8" t="s">
        <v>6404</v>
      </c>
      <c r="G62" s="7">
        <v>8.181838381E9</v>
      </c>
      <c r="H62" s="7">
        <v>8.15408343E9</v>
      </c>
      <c r="I62" s="7">
        <v>28000.0</v>
      </c>
      <c r="J62" s="7" t="s">
        <v>572</v>
      </c>
      <c r="K62" s="7" t="s">
        <v>25</v>
      </c>
      <c r="L62" s="9" t="s">
        <v>26</v>
      </c>
      <c r="M62" s="7" t="s">
        <v>144</v>
      </c>
      <c r="N62" s="7" t="s">
        <v>6266</v>
      </c>
      <c r="O62" s="7">
        <v>44649.0</v>
      </c>
      <c r="P62" s="7">
        <v>46972.0</v>
      </c>
      <c r="Q62" s="6">
        <v>50.0</v>
      </c>
      <c r="R62" s="8">
        <f t="shared" si="3"/>
        <v>22324.5</v>
      </c>
    </row>
    <row r="63">
      <c r="A63" s="14">
        <v>46114.0</v>
      </c>
      <c r="B63" s="58" t="s">
        <v>2188</v>
      </c>
      <c r="C63" s="58" t="s">
        <v>6405</v>
      </c>
      <c r="D63" s="7" t="s">
        <v>21</v>
      </c>
      <c r="E63" s="58" t="s">
        <v>6406</v>
      </c>
      <c r="F63" s="58" t="s">
        <v>6407</v>
      </c>
      <c r="G63" s="7">
        <v>9.978460453E9</v>
      </c>
      <c r="H63" s="7">
        <v>9.71408091E9</v>
      </c>
      <c r="I63" s="7">
        <v>16200.0</v>
      </c>
      <c r="J63" s="91">
        <v>46448.0</v>
      </c>
      <c r="K63" s="7" t="s">
        <v>25</v>
      </c>
      <c r="L63" s="9" t="s">
        <v>26</v>
      </c>
      <c r="M63" s="7" t="s">
        <v>71</v>
      </c>
      <c r="N63" s="7" t="s">
        <v>6266</v>
      </c>
      <c r="O63" s="70">
        <v>36012.0</v>
      </c>
      <c r="P63" s="70">
        <v>37903.0</v>
      </c>
      <c r="Q63" s="6">
        <v>50.0</v>
      </c>
      <c r="R63" s="8">
        <f t="shared" si="3"/>
        <v>18006</v>
      </c>
    </row>
    <row r="64">
      <c r="A64" s="14">
        <v>46205.0</v>
      </c>
      <c r="B64" s="8" t="s">
        <v>6408</v>
      </c>
      <c r="C64" s="8" t="s">
        <v>6409</v>
      </c>
      <c r="D64" s="7" t="s">
        <v>21</v>
      </c>
      <c r="E64" s="8" t="s">
        <v>381</v>
      </c>
      <c r="F64" s="8" t="s">
        <v>6410</v>
      </c>
      <c r="G64" s="7">
        <v>9.925851972E9</v>
      </c>
      <c r="H64" s="7">
        <v>9.979044686E9</v>
      </c>
      <c r="I64" s="7">
        <v>28000.0</v>
      </c>
      <c r="J64" s="14">
        <v>46540.0</v>
      </c>
      <c r="K64" s="7" t="s">
        <v>25</v>
      </c>
      <c r="L64" s="9" t="s">
        <v>26</v>
      </c>
      <c r="M64" s="7" t="s">
        <v>340</v>
      </c>
      <c r="N64" s="7" t="s">
        <v>6266</v>
      </c>
      <c r="O64" s="7">
        <v>44699.0</v>
      </c>
      <c r="P64" s="7">
        <v>47031.0</v>
      </c>
      <c r="Q64" s="6">
        <v>50.0</v>
      </c>
      <c r="R64" s="8">
        <f t="shared" si="3"/>
        <v>22349.5</v>
      </c>
    </row>
    <row r="65">
      <c r="A65" s="14">
        <v>46205.0</v>
      </c>
      <c r="B65" s="8" t="s">
        <v>6411</v>
      </c>
      <c r="C65" s="8" t="s">
        <v>6412</v>
      </c>
      <c r="D65" s="7" t="s">
        <v>93</v>
      </c>
      <c r="E65" s="8" t="s">
        <v>6413</v>
      </c>
      <c r="F65" s="8" t="s">
        <v>6414</v>
      </c>
      <c r="G65" s="7">
        <v>9.909100161E9</v>
      </c>
      <c r="H65" s="7" t="s">
        <v>6415</v>
      </c>
      <c r="I65" s="7">
        <v>9600.0</v>
      </c>
      <c r="J65" s="14">
        <v>46540.0</v>
      </c>
      <c r="K65" s="7" t="s">
        <v>668</v>
      </c>
      <c r="L65" s="9" t="s">
        <v>26</v>
      </c>
      <c r="M65" s="7" t="s">
        <v>340</v>
      </c>
      <c r="N65" s="7" t="s">
        <v>6266</v>
      </c>
      <c r="O65" s="15">
        <v>27661.0</v>
      </c>
      <c r="P65" s="11">
        <v>29107.0</v>
      </c>
      <c r="Q65" s="6">
        <v>45.0</v>
      </c>
      <c r="R65" s="8">
        <f t="shared" si="3"/>
        <v>12447.45</v>
      </c>
    </row>
    <row r="66">
      <c r="A66" s="14">
        <v>46267.0</v>
      </c>
      <c r="B66" s="8" t="s">
        <v>6416</v>
      </c>
      <c r="C66" s="8" t="s">
        <v>6417</v>
      </c>
      <c r="D66" s="7" t="s">
        <v>21</v>
      </c>
      <c r="E66" s="8" t="s">
        <v>1055</v>
      </c>
      <c r="F66" s="8" t="s">
        <v>6418</v>
      </c>
      <c r="G66" s="7">
        <v>9.428888322E9</v>
      </c>
      <c r="H66" s="7">
        <v>9.03332831E9</v>
      </c>
      <c r="I66" s="7">
        <v>12990.0</v>
      </c>
      <c r="J66" s="14">
        <v>46570.0</v>
      </c>
      <c r="K66" s="7" t="s">
        <v>25</v>
      </c>
      <c r="L66" s="9" t="s">
        <v>26</v>
      </c>
      <c r="M66" s="7" t="s">
        <v>33</v>
      </c>
      <c r="N66" s="7" t="s">
        <v>6266</v>
      </c>
      <c r="O66" s="15">
        <v>35463.0</v>
      </c>
      <c r="P66" s="11">
        <v>37256.0</v>
      </c>
      <c r="Q66" s="6">
        <v>50.0</v>
      </c>
      <c r="R66" s="8">
        <f t="shared" si="3"/>
        <v>17731.5</v>
      </c>
    </row>
    <row r="67">
      <c r="A67" s="19">
        <v>46358.0</v>
      </c>
      <c r="B67" s="58" t="s">
        <v>6419</v>
      </c>
      <c r="C67" s="58" t="s">
        <v>6420</v>
      </c>
      <c r="D67" s="7" t="s">
        <v>44</v>
      </c>
      <c r="E67" s="58" t="s">
        <v>6421</v>
      </c>
      <c r="F67" s="58" t="s">
        <v>6422</v>
      </c>
      <c r="G67" s="7" t="s">
        <v>6423</v>
      </c>
      <c r="H67" s="7">
        <v>7.016927038E9</v>
      </c>
      <c r="I67" s="7">
        <v>2065.0</v>
      </c>
      <c r="J67" s="60">
        <v>46693.0</v>
      </c>
      <c r="K67" s="7" t="s">
        <v>668</v>
      </c>
      <c r="L67" s="9" t="s">
        <v>49</v>
      </c>
      <c r="M67" s="7" t="s">
        <v>185</v>
      </c>
      <c r="N67" s="7" t="s">
        <v>6266</v>
      </c>
      <c r="O67" s="70">
        <v>18082.0</v>
      </c>
      <c r="P67" s="70">
        <v>19250.0</v>
      </c>
      <c r="Q67" s="6">
        <v>64.0</v>
      </c>
      <c r="R67" s="8">
        <f t="shared" si="3"/>
        <v>11572.48</v>
      </c>
    </row>
    <row r="68">
      <c r="A68" s="19">
        <v>46358.0</v>
      </c>
      <c r="B68" s="58" t="s">
        <v>6424</v>
      </c>
      <c r="C68" s="58" t="s">
        <v>6425</v>
      </c>
      <c r="D68" s="7" t="s">
        <v>6426</v>
      </c>
      <c r="E68" s="58" t="s">
        <v>6427</v>
      </c>
      <c r="F68" s="58" t="s">
        <v>6428</v>
      </c>
      <c r="G68" s="7">
        <v>8.200679637E9</v>
      </c>
      <c r="H68" s="7" t="s">
        <v>63</v>
      </c>
      <c r="I68" s="7">
        <v>8850.0</v>
      </c>
      <c r="J68" s="7" t="s">
        <v>6429</v>
      </c>
      <c r="K68" s="7" t="s">
        <v>25</v>
      </c>
      <c r="L68" s="9" t="s">
        <v>26</v>
      </c>
      <c r="M68" s="7" t="s">
        <v>27</v>
      </c>
      <c r="N68" s="7" t="s">
        <v>6266</v>
      </c>
      <c r="O68" s="70">
        <v>42092.0</v>
      </c>
      <c r="P68" s="70">
        <v>49669.0</v>
      </c>
      <c r="Q68" s="6">
        <v>74.0</v>
      </c>
      <c r="R68" s="8">
        <f t="shared" si="3"/>
        <v>31148.08</v>
      </c>
    </row>
    <row r="69">
      <c r="A69" s="19">
        <v>46358.0</v>
      </c>
      <c r="B69" s="58" t="s">
        <v>6430</v>
      </c>
      <c r="C69" s="58" t="s">
        <v>6431</v>
      </c>
      <c r="D69" s="7" t="s">
        <v>6426</v>
      </c>
      <c r="E69" s="58" t="s">
        <v>6432</v>
      </c>
      <c r="F69" s="58" t="s">
        <v>6433</v>
      </c>
      <c r="G69" s="7">
        <v>8.200679637E9</v>
      </c>
      <c r="H69" s="7" t="s">
        <v>63</v>
      </c>
      <c r="I69" s="7">
        <v>9950.0</v>
      </c>
      <c r="J69" s="61">
        <v>46693.0</v>
      </c>
      <c r="K69" s="7" t="s">
        <v>25</v>
      </c>
      <c r="L69" s="9" t="s">
        <v>26</v>
      </c>
      <c r="M69" s="7" t="s">
        <v>27</v>
      </c>
      <c r="N69" s="7" t="s">
        <v>6266</v>
      </c>
      <c r="O69" s="70">
        <v>56992.0</v>
      </c>
      <c r="P69" s="70">
        <v>67251.0</v>
      </c>
      <c r="Q69" s="6">
        <v>74.0</v>
      </c>
      <c r="R69" s="8">
        <f t="shared" si="3"/>
        <v>42174.08</v>
      </c>
    </row>
    <row r="70">
      <c r="A70" s="19">
        <v>46358.0</v>
      </c>
      <c r="B70" s="58" t="s">
        <v>6434</v>
      </c>
      <c r="C70" s="58" t="s">
        <v>6435</v>
      </c>
      <c r="D70" s="7" t="s">
        <v>6426</v>
      </c>
      <c r="E70" s="58" t="s">
        <v>6436</v>
      </c>
      <c r="F70" s="58" t="s">
        <v>6433</v>
      </c>
      <c r="G70" s="7">
        <v>8.200679637E9</v>
      </c>
      <c r="H70" s="7" t="s">
        <v>63</v>
      </c>
      <c r="I70" s="7">
        <v>10850.0</v>
      </c>
      <c r="J70" s="61">
        <v>46693.0</v>
      </c>
      <c r="K70" s="7" t="s">
        <v>25</v>
      </c>
      <c r="L70" s="9" t="s">
        <v>26</v>
      </c>
      <c r="M70" s="7" t="s">
        <v>27</v>
      </c>
      <c r="N70" s="7" t="s">
        <v>6266</v>
      </c>
      <c r="O70" s="70">
        <v>48797.0</v>
      </c>
      <c r="P70" s="70">
        <v>57580.0</v>
      </c>
      <c r="Q70" s="6">
        <v>74.0</v>
      </c>
      <c r="R70" s="8">
        <f t="shared" si="3"/>
        <v>36109.78</v>
      </c>
    </row>
    <row r="71">
      <c r="A71" s="7" t="s">
        <v>800</v>
      </c>
      <c r="B71" s="58" t="s">
        <v>1869</v>
      </c>
      <c r="C71" s="58" t="s">
        <v>6437</v>
      </c>
      <c r="D71" s="7" t="s">
        <v>21</v>
      </c>
      <c r="E71" s="58" t="s">
        <v>508</v>
      </c>
      <c r="F71" s="58" t="s">
        <v>6438</v>
      </c>
      <c r="G71" s="7">
        <v>7.984725913E9</v>
      </c>
      <c r="H71" s="7">
        <v>9.998222452E9</v>
      </c>
      <c r="I71" s="7">
        <v>28000.0</v>
      </c>
      <c r="J71" s="60">
        <v>46693.0</v>
      </c>
      <c r="K71" s="7" t="s">
        <v>25</v>
      </c>
      <c r="L71" s="9" t="s">
        <v>26</v>
      </c>
      <c r="M71" s="7" t="s">
        <v>71</v>
      </c>
      <c r="N71" s="7" t="s">
        <v>6266</v>
      </c>
      <c r="O71" s="70">
        <v>44699.0</v>
      </c>
      <c r="P71" s="70">
        <v>47031.0</v>
      </c>
      <c r="Q71" s="6">
        <v>50.0</v>
      </c>
      <c r="R71" s="8">
        <f t="shared" si="3"/>
        <v>22349.5</v>
      </c>
    </row>
    <row r="72">
      <c r="A72" s="7" t="s">
        <v>808</v>
      </c>
      <c r="B72" s="8" t="s">
        <v>2433</v>
      </c>
      <c r="C72" s="58" t="s">
        <v>6439</v>
      </c>
      <c r="D72" s="7" t="s">
        <v>21</v>
      </c>
      <c r="E72" s="58" t="s">
        <v>6406</v>
      </c>
      <c r="F72" s="58" t="s">
        <v>2435</v>
      </c>
      <c r="G72" s="7">
        <v>9.725036831E9</v>
      </c>
      <c r="H72" s="7">
        <v>9.925361971E9</v>
      </c>
      <c r="I72" s="7">
        <v>35000.0</v>
      </c>
      <c r="J72" s="62" t="s">
        <v>804</v>
      </c>
      <c r="K72" s="7" t="s">
        <v>25</v>
      </c>
      <c r="L72" s="9" t="s">
        <v>26</v>
      </c>
      <c r="M72" s="7" t="s">
        <v>71</v>
      </c>
      <c r="N72" s="7" t="s">
        <v>6266</v>
      </c>
      <c r="O72" s="70">
        <v>44649.0</v>
      </c>
      <c r="P72" s="70">
        <v>46972.0</v>
      </c>
      <c r="Q72" s="6">
        <v>50.0</v>
      </c>
      <c r="R72" s="8">
        <f t="shared" si="3"/>
        <v>22324.5</v>
      </c>
    </row>
    <row r="73">
      <c r="A73" s="7" t="s">
        <v>868</v>
      </c>
      <c r="B73" s="58" t="s">
        <v>6440</v>
      </c>
      <c r="C73" s="58" t="s">
        <v>6441</v>
      </c>
      <c r="D73" s="7" t="s">
        <v>4336</v>
      </c>
      <c r="E73" s="58" t="s">
        <v>6442</v>
      </c>
      <c r="F73" s="58" t="s">
        <v>6443</v>
      </c>
      <c r="G73" s="7">
        <v>8.200679637E9</v>
      </c>
      <c r="H73" s="7" t="s">
        <v>63</v>
      </c>
      <c r="I73" s="7">
        <v>8850.0</v>
      </c>
      <c r="J73" s="62" t="s">
        <v>814</v>
      </c>
      <c r="K73" s="7" t="s">
        <v>25</v>
      </c>
      <c r="L73" s="9" t="s">
        <v>26</v>
      </c>
      <c r="M73" s="7" t="s">
        <v>27</v>
      </c>
      <c r="N73" s="7" t="s">
        <v>6266</v>
      </c>
      <c r="O73" s="70">
        <v>49542.0</v>
      </c>
      <c r="P73" s="11">
        <v>58460.0</v>
      </c>
      <c r="Q73" s="6">
        <v>74.0</v>
      </c>
      <c r="R73" s="8">
        <f t="shared" si="3"/>
        <v>36661.08</v>
      </c>
    </row>
    <row r="74">
      <c r="A74" s="7" t="s">
        <v>2385</v>
      </c>
      <c r="B74" s="58" t="s">
        <v>6444</v>
      </c>
      <c r="C74" s="58" t="s">
        <v>6445</v>
      </c>
      <c r="D74" s="7" t="s">
        <v>21</v>
      </c>
      <c r="E74" s="58" t="s">
        <v>603</v>
      </c>
      <c r="F74" s="58" t="s">
        <v>6446</v>
      </c>
      <c r="G74" s="7">
        <v>9.574542752E9</v>
      </c>
      <c r="H74" s="7">
        <v>9.574542852E9</v>
      </c>
      <c r="I74" s="7">
        <v>16200.0</v>
      </c>
      <c r="J74" s="7" t="s">
        <v>6447</v>
      </c>
      <c r="K74" s="7" t="s">
        <v>25</v>
      </c>
      <c r="L74" s="9" t="s">
        <v>26</v>
      </c>
      <c r="M74" s="7" t="s">
        <v>96</v>
      </c>
      <c r="N74" s="7" t="s">
        <v>6266</v>
      </c>
      <c r="O74" s="70">
        <v>36062.0</v>
      </c>
      <c r="P74" s="70">
        <v>37962.0</v>
      </c>
      <c r="Q74" s="6">
        <v>50.0</v>
      </c>
      <c r="R74" s="8">
        <f t="shared" si="3"/>
        <v>18031</v>
      </c>
    </row>
    <row r="78">
      <c r="R78" s="6">
        <v>-44824.0</v>
      </c>
      <c r="S78" s="6" t="s">
        <v>6448</v>
      </c>
    </row>
    <row r="79">
      <c r="R79" s="6">
        <v>-50447.0</v>
      </c>
      <c r="S79" s="6" t="s">
        <v>6449</v>
      </c>
    </row>
    <row r="80">
      <c r="R80" s="6">
        <v>-39981.0</v>
      </c>
      <c r="S80" s="6" t="s">
        <v>6450</v>
      </c>
    </row>
    <row r="81">
      <c r="R81" s="6">
        <v>-21496.0</v>
      </c>
      <c r="S81" s="6" t="s">
        <v>6451</v>
      </c>
    </row>
    <row r="82">
      <c r="R82" s="6">
        <v>-33234.0</v>
      </c>
      <c r="S82" s="6" t="s">
        <v>6452</v>
      </c>
    </row>
    <row r="83">
      <c r="R83" s="6">
        <v>-5744.0</v>
      </c>
      <c r="S83" s="6" t="s">
        <v>6453</v>
      </c>
    </row>
    <row r="84">
      <c r="R84" s="6">
        <v>-23485.0</v>
      </c>
      <c r="S84" s="6" t="s">
        <v>6453</v>
      </c>
    </row>
    <row r="85">
      <c r="R85" s="6">
        <v>-18076.0</v>
      </c>
      <c r="S85" s="6" t="s">
        <v>6454</v>
      </c>
    </row>
    <row r="86">
      <c r="R86" s="6">
        <v>-18958.0</v>
      </c>
      <c r="S86" s="6" t="s">
        <v>6455</v>
      </c>
    </row>
    <row r="87">
      <c r="R87" s="6">
        <v>-18710.0</v>
      </c>
      <c r="S87" s="6" t="s">
        <v>6456</v>
      </c>
    </row>
    <row r="88">
      <c r="R88" s="6">
        <v>-29107.0</v>
      </c>
      <c r="S88" s="6" t="s">
        <v>6457</v>
      </c>
    </row>
    <row r="89">
      <c r="R89" s="6">
        <v>-46972.0</v>
      </c>
      <c r="S89" s="6" t="s">
        <v>6458</v>
      </c>
    </row>
    <row r="90">
      <c r="R90" s="6">
        <v>-51832.0</v>
      </c>
      <c r="S90" s="6" t="s">
        <v>6459</v>
      </c>
    </row>
    <row r="91">
      <c r="R91" s="6">
        <v>-6526.0</v>
      </c>
      <c r="S91" s="6" t="s">
        <v>6459</v>
      </c>
    </row>
    <row r="92">
      <c r="R92" s="6">
        <v>-53497.0</v>
      </c>
      <c r="S92" s="6" t="s">
        <v>6460</v>
      </c>
    </row>
    <row r="93">
      <c r="R93" s="6">
        <v>-70000.0</v>
      </c>
      <c r="S93" s="6" t="s">
        <v>6461</v>
      </c>
    </row>
    <row r="100">
      <c r="M100" s="6">
        <v>914015.0</v>
      </c>
    </row>
    <row r="101">
      <c r="M101" s="6">
        <v>922486.0</v>
      </c>
    </row>
  </sheetData>
  <dataValidations>
    <dataValidation type="list" allowBlank="1" showErrorMessage="1" sqref="L13">
      <formula1>"TP,FULL,SAOD"</formula1>
    </dataValidation>
    <dataValidation type="list" allowBlank="1" showErrorMessage="1" sqref="L2:L12 L22:L34 L50:L74">
      <formula1>"TP,FULL,SAOD"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9.56"/>
    <col customWidth="1" min="6" max="6" width="43.89"/>
    <col customWidth="1" min="12" max="12" width="13.7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>
      <c r="A2" s="7" t="s">
        <v>6462</v>
      </c>
      <c r="B2" s="8" t="s">
        <v>6463</v>
      </c>
      <c r="C2" s="8" t="s">
        <v>6464</v>
      </c>
      <c r="D2" s="100" t="s">
        <v>1395</v>
      </c>
      <c r="E2" s="8" t="s">
        <v>4805</v>
      </c>
      <c r="F2" s="8" t="s">
        <v>6465</v>
      </c>
      <c r="G2" s="21" t="s">
        <v>6466</v>
      </c>
      <c r="H2" s="21">
        <v>9.879021498E9</v>
      </c>
      <c r="I2" s="21">
        <v>1950.0</v>
      </c>
      <c r="J2" s="7" t="s">
        <v>5249</v>
      </c>
      <c r="K2" s="8" t="s">
        <v>70</v>
      </c>
      <c r="L2" s="9" t="s">
        <v>49</v>
      </c>
      <c r="M2" s="100" t="s">
        <v>389</v>
      </c>
      <c r="N2" s="100" t="s">
        <v>5992</v>
      </c>
      <c r="O2" s="97">
        <v>19972.0</v>
      </c>
      <c r="P2" s="97">
        <v>21481.0</v>
      </c>
      <c r="Q2" s="5">
        <v>63.0</v>
      </c>
      <c r="R2" s="8">
        <f t="shared" ref="R2:R9" si="1">O2*Q2%</f>
        <v>12582.36</v>
      </c>
      <c r="S2" s="6" t="s">
        <v>6467</v>
      </c>
    </row>
    <row r="3">
      <c r="A3" s="7" t="s">
        <v>6462</v>
      </c>
      <c r="B3" s="8" t="s">
        <v>6468</v>
      </c>
      <c r="C3" s="8" t="s">
        <v>6469</v>
      </c>
      <c r="D3" s="100" t="s">
        <v>1395</v>
      </c>
      <c r="E3" s="8" t="s">
        <v>6470</v>
      </c>
      <c r="F3" s="8" t="s">
        <v>6471</v>
      </c>
      <c r="G3" s="21">
        <v>9.106477156E9</v>
      </c>
      <c r="H3" s="21">
        <v>9.898678986E9</v>
      </c>
      <c r="I3" s="21">
        <v>1600.0</v>
      </c>
      <c r="J3" s="19">
        <v>46366.0</v>
      </c>
      <c r="K3" s="8" t="s">
        <v>70</v>
      </c>
      <c r="L3" s="9" t="s">
        <v>49</v>
      </c>
      <c r="M3" s="100" t="s">
        <v>71</v>
      </c>
      <c r="N3" s="100" t="s">
        <v>5992</v>
      </c>
      <c r="O3" s="97">
        <v>17379.0</v>
      </c>
      <c r="P3" s="97">
        <v>18421.0</v>
      </c>
      <c r="Q3" s="5">
        <v>65.0</v>
      </c>
      <c r="R3" s="8">
        <f t="shared" si="1"/>
        <v>11296.35</v>
      </c>
    </row>
    <row r="4">
      <c r="A4" s="7" t="s">
        <v>6462</v>
      </c>
      <c r="B4" s="8" t="s">
        <v>6472</v>
      </c>
      <c r="C4" s="8" t="s">
        <v>6473</v>
      </c>
      <c r="D4" s="100" t="s">
        <v>1395</v>
      </c>
      <c r="E4" s="8" t="s">
        <v>2182</v>
      </c>
      <c r="F4" s="8" t="s">
        <v>6474</v>
      </c>
      <c r="G4" s="21">
        <v>7.567080879E9</v>
      </c>
      <c r="H4" s="21">
        <v>9.328700324E9</v>
      </c>
      <c r="I4" s="21">
        <v>1600.0</v>
      </c>
      <c r="J4" s="7" t="s">
        <v>5310</v>
      </c>
      <c r="K4" s="8" t="s">
        <v>70</v>
      </c>
      <c r="L4" s="9" t="s">
        <v>49</v>
      </c>
      <c r="M4" s="100" t="s">
        <v>6475</v>
      </c>
      <c r="N4" s="100" t="s">
        <v>5992</v>
      </c>
      <c r="O4" s="97">
        <v>19668.0</v>
      </c>
      <c r="P4" s="97">
        <v>21122.0</v>
      </c>
      <c r="Q4" s="5">
        <v>65.0</v>
      </c>
      <c r="R4" s="8">
        <f t="shared" si="1"/>
        <v>12784.2</v>
      </c>
    </row>
    <row r="5">
      <c r="A5" s="63" t="s">
        <v>6476</v>
      </c>
      <c r="B5" s="108" t="s">
        <v>6477</v>
      </c>
      <c r="C5" s="108" t="s">
        <v>6478</v>
      </c>
      <c r="D5" s="107" t="s">
        <v>21</v>
      </c>
      <c r="E5" s="108" t="s">
        <v>5192</v>
      </c>
      <c r="F5" s="108" t="s">
        <v>6479</v>
      </c>
      <c r="G5" s="114">
        <v>9.725794288E9</v>
      </c>
      <c r="H5" s="114">
        <v>9.727381783E9</v>
      </c>
      <c r="I5" s="114">
        <v>42000.0</v>
      </c>
      <c r="J5" s="63" t="s">
        <v>5277</v>
      </c>
      <c r="K5" s="108" t="s">
        <v>70</v>
      </c>
      <c r="L5" s="26" t="s">
        <v>49</v>
      </c>
      <c r="M5" s="107" t="s">
        <v>71</v>
      </c>
      <c r="N5" s="107" t="s">
        <v>5992</v>
      </c>
      <c r="O5" s="116">
        <v>47249.0</v>
      </c>
      <c r="P5" s="116">
        <v>50002.0</v>
      </c>
      <c r="Q5" s="5">
        <v>29.5</v>
      </c>
      <c r="R5" s="8">
        <f t="shared" si="1"/>
        <v>13938.455</v>
      </c>
    </row>
    <row r="6">
      <c r="A6" s="7" t="s">
        <v>6480</v>
      </c>
      <c r="B6" s="8" t="s">
        <v>6481</v>
      </c>
      <c r="C6" s="8" t="s">
        <v>6482</v>
      </c>
      <c r="D6" s="100" t="s">
        <v>21</v>
      </c>
      <c r="E6" s="8" t="s">
        <v>6483</v>
      </c>
      <c r="F6" s="8" t="s">
        <v>6484</v>
      </c>
      <c r="G6" s="21">
        <v>9.998252863E9</v>
      </c>
      <c r="H6" s="21">
        <v>9.590178692E9</v>
      </c>
      <c r="I6" s="21">
        <v>47500.0</v>
      </c>
      <c r="J6" s="7" t="s">
        <v>5277</v>
      </c>
      <c r="K6" s="8" t="s">
        <v>70</v>
      </c>
      <c r="L6" s="9" t="s">
        <v>49</v>
      </c>
      <c r="M6" s="100" t="s">
        <v>71</v>
      </c>
      <c r="N6" s="100" t="s">
        <v>5992</v>
      </c>
      <c r="O6" s="97">
        <v>54706.0</v>
      </c>
      <c r="P6" s="97">
        <v>58802.0</v>
      </c>
      <c r="Q6" s="5">
        <v>29.5</v>
      </c>
      <c r="R6" s="8">
        <f t="shared" si="1"/>
        <v>16138.27</v>
      </c>
    </row>
    <row r="7">
      <c r="A7" s="7" t="s">
        <v>6480</v>
      </c>
      <c r="B7" s="8" t="s">
        <v>6485</v>
      </c>
      <c r="C7" s="8" t="s">
        <v>6486</v>
      </c>
      <c r="D7" s="100" t="s">
        <v>21</v>
      </c>
      <c r="E7" s="8" t="s">
        <v>2002</v>
      </c>
      <c r="F7" s="8" t="s">
        <v>6487</v>
      </c>
      <c r="G7" s="21" t="s">
        <v>2369</v>
      </c>
      <c r="H7" s="8"/>
      <c r="I7" s="21">
        <v>42000.0</v>
      </c>
      <c r="J7" s="7" t="s">
        <v>5266</v>
      </c>
      <c r="K7" s="8" t="s">
        <v>70</v>
      </c>
      <c r="L7" s="9" t="s">
        <v>49</v>
      </c>
      <c r="M7" s="100" t="s">
        <v>71</v>
      </c>
      <c r="N7" s="100" t="s">
        <v>5992</v>
      </c>
      <c r="O7" s="97">
        <v>50337.0</v>
      </c>
      <c r="P7" s="97">
        <v>53646.0</v>
      </c>
      <c r="Q7" s="5">
        <v>29.5</v>
      </c>
      <c r="R7" s="8">
        <f t="shared" si="1"/>
        <v>14849.415</v>
      </c>
    </row>
    <row r="8">
      <c r="A8" s="7" t="s">
        <v>6488</v>
      </c>
      <c r="B8" s="58" t="s">
        <v>6489</v>
      </c>
      <c r="C8" s="58" t="s">
        <v>6490</v>
      </c>
      <c r="D8" s="100" t="s">
        <v>44</v>
      </c>
      <c r="E8" s="58" t="s">
        <v>2182</v>
      </c>
      <c r="F8" s="58" t="s">
        <v>6491</v>
      </c>
      <c r="G8" s="7" t="s">
        <v>6492</v>
      </c>
      <c r="H8" s="7">
        <v>8.866760329E9</v>
      </c>
      <c r="I8" s="88">
        <v>1600.0</v>
      </c>
      <c r="J8" s="7" t="s">
        <v>5244</v>
      </c>
      <c r="K8" s="7" t="s">
        <v>70</v>
      </c>
      <c r="L8" s="252" t="s">
        <v>49</v>
      </c>
      <c r="M8" s="100" t="s">
        <v>4961</v>
      </c>
      <c r="N8" s="100" t="s">
        <v>5992</v>
      </c>
      <c r="O8" s="134">
        <v>17509.0</v>
      </c>
      <c r="P8" s="90">
        <v>18574.0</v>
      </c>
      <c r="Q8" s="5">
        <v>65.0</v>
      </c>
      <c r="R8" s="8">
        <f t="shared" si="1"/>
        <v>11380.85</v>
      </c>
    </row>
    <row r="9">
      <c r="A9" s="7" t="s">
        <v>6480</v>
      </c>
      <c r="B9" s="8" t="s">
        <v>6493</v>
      </c>
      <c r="C9" s="58" t="s">
        <v>6494</v>
      </c>
      <c r="D9" s="100" t="s">
        <v>44</v>
      </c>
      <c r="E9" s="58" t="s">
        <v>4509</v>
      </c>
      <c r="F9" s="58" t="s">
        <v>6495</v>
      </c>
      <c r="G9" s="7" t="s">
        <v>6496</v>
      </c>
      <c r="H9" s="7" t="s">
        <v>5205</v>
      </c>
      <c r="I9" s="88">
        <v>1600.0</v>
      </c>
      <c r="J9" s="62" t="s">
        <v>5266</v>
      </c>
      <c r="K9" s="7" t="s">
        <v>70</v>
      </c>
      <c r="L9" s="252" t="s">
        <v>49</v>
      </c>
      <c r="M9" s="100" t="s">
        <v>170</v>
      </c>
      <c r="N9" s="100" t="s">
        <v>5992</v>
      </c>
      <c r="O9" s="90">
        <v>17993.0</v>
      </c>
      <c r="P9" s="90">
        <v>19145.0</v>
      </c>
      <c r="Q9" s="5">
        <v>65.0</v>
      </c>
      <c r="R9" s="8">
        <f t="shared" si="1"/>
        <v>11695.45</v>
      </c>
    </row>
    <row r="12">
      <c r="A12" s="7" t="s">
        <v>5278</v>
      </c>
      <c r="B12" s="8" t="s">
        <v>6497</v>
      </c>
      <c r="C12" s="8" t="s">
        <v>6498</v>
      </c>
      <c r="D12" s="8" t="s">
        <v>1395</v>
      </c>
      <c r="E12" s="8" t="s">
        <v>4805</v>
      </c>
      <c r="F12" s="8" t="s">
        <v>6499</v>
      </c>
      <c r="G12" s="21" t="s">
        <v>6466</v>
      </c>
      <c r="H12" s="21">
        <v>9.879021498E9</v>
      </c>
      <c r="I12" s="21">
        <v>1950.0</v>
      </c>
      <c r="J12" s="21" t="s">
        <v>5273</v>
      </c>
      <c r="K12" s="8" t="s">
        <v>70</v>
      </c>
      <c r="L12" s="9" t="s">
        <v>49</v>
      </c>
      <c r="M12" s="8" t="s">
        <v>71</v>
      </c>
      <c r="N12" s="8" t="s">
        <v>5992</v>
      </c>
      <c r="O12" s="97">
        <v>20171.0</v>
      </c>
      <c r="P12" s="97">
        <v>21716.0</v>
      </c>
      <c r="Q12" s="6">
        <v>65.0</v>
      </c>
      <c r="R12" s="8">
        <f t="shared" ref="R12:R20" si="2">O12*Q12%</f>
        <v>13111.15</v>
      </c>
      <c r="S12" s="312" t="s">
        <v>6500</v>
      </c>
    </row>
    <row r="13">
      <c r="A13" s="7" t="s">
        <v>5278</v>
      </c>
      <c r="B13" s="8" t="s">
        <v>6501</v>
      </c>
      <c r="C13" s="8" t="s">
        <v>6502</v>
      </c>
      <c r="D13" s="8" t="s">
        <v>966</v>
      </c>
      <c r="E13" s="8" t="s">
        <v>6503</v>
      </c>
      <c r="F13" s="8" t="s">
        <v>6504</v>
      </c>
      <c r="G13" s="21">
        <v>9.979357538E9</v>
      </c>
      <c r="H13" s="21">
        <v>9.316603611E9</v>
      </c>
      <c r="I13" s="21">
        <v>1196.0</v>
      </c>
      <c r="J13" s="21" t="s">
        <v>5318</v>
      </c>
      <c r="K13" s="8" t="s">
        <v>70</v>
      </c>
      <c r="L13" s="9" t="s">
        <v>5621</v>
      </c>
      <c r="M13" s="8" t="s">
        <v>89</v>
      </c>
      <c r="N13" s="8" t="s">
        <v>5992</v>
      </c>
      <c r="O13" s="97">
        <v>5747.0</v>
      </c>
      <c r="P13" s="97">
        <v>6781.0</v>
      </c>
      <c r="Q13" s="6">
        <v>30.0</v>
      </c>
      <c r="R13" s="8">
        <f t="shared" si="2"/>
        <v>1724.1</v>
      </c>
    </row>
    <row r="14">
      <c r="A14" s="7" t="s">
        <v>5285</v>
      </c>
      <c r="B14" s="8" t="s">
        <v>6505</v>
      </c>
      <c r="C14" s="8" t="s">
        <v>6506</v>
      </c>
      <c r="D14" s="8" t="s">
        <v>1395</v>
      </c>
      <c r="E14" s="8" t="s">
        <v>2182</v>
      </c>
      <c r="F14" s="8" t="s">
        <v>6507</v>
      </c>
      <c r="G14" s="21">
        <v>9.913128355E9</v>
      </c>
      <c r="H14" s="21">
        <v>9.978973185E9</v>
      </c>
      <c r="I14" s="21">
        <v>1600.0</v>
      </c>
      <c r="J14" s="21" t="s">
        <v>5284</v>
      </c>
      <c r="K14" s="8" t="s">
        <v>70</v>
      </c>
      <c r="L14" s="9" t="s">
        <v>49</v>
      </c>
      <c r="M14" s="8" t="s">
        <v>340</v>
      </c>
      <c r="N14" s="8" t="s">
        <v>5992</v>
      </c>
      <c r="O14" s="97">
        <v>19707.0</v>
      </c>
      <c r="P14" s="97">
        <v>21168.0</v>
      </c>
      <c r="Q14" s="6">
        <v>65.0</v>
      </c>
      <c r="R14" s="8">
        <f t="shared" si="2"/>
        <v>12809.55</v>
      </c>
    </row>
    <row r="15">
      <c r="A15" s="63" t="s">
        <v>5315</v>
      </c>
      <c r="B15" s="108" t="s">
        <v>6508</v>
      </c>
      <c r="C15" s="108" t="s">
        <v>6509</v>
      </c>
      <c r="D15" s="108" t="s">
        <v>21</v>
      </c>
      <c r="E15" s="108" t="s">
        <v>4949</v>
      </c>
      <c r="F15" s="108" t="s">
        <v>6510</v>
      </c>
      <c r="G15" s="114">
        <v>9.725794288E9</v>
      </c>
      <c r="H15" s="114">
        <v>9.727381783E9</v>
      </c>
      <c r="I15" s="114">
        <v>42000.0</v>
      </c>
      <c r="J15" s="114" t="s">
        <v>5372</v>
      </c>
      <c r="K15" s="108" t="s">
        <v>70</v>
      </c>
      <c r="L15" s="26" t="s">
        <v>49</v>
      </c>
      <c r="M15" s="108" t="s">
        <v>71</v>
      </c>
      <c r="N15" s="108" t="s">
        <v>5992</v>
      </c>
      <c r="O15" s="116">
        <v>48628.0</v>
      </c>
      <c r="P15" s="116">
        <v>51630.0</v>
      </c>
      <c r="Q15" s="6">
        <v>30.0</v>
      </c>
      <c r="R15" s="8">
        <f t="shared" si="2"/>
        <v>14588.4</v>
      </c>
    </row>
    <row r="16">
      <c r="A16" s="7" t="s">
        <v>5383</v>
      </c>
      <c r="B16" s="256" t="s">
        <v>6511</v>
      </c>
      <c r="C16" s="8" t="s">
        <v>6512</v>
      </c>
      <c r="D16" s="8" t="s">
        <v>44</v>
      </c>
      <c r="E16" s="8" t="s">
        <v>6513</v>
      </c>
      <c r="F16" s="8" t="s">
        <v>6514</v>
      </c>
      <c r="G16" s="21">
        <v>7.984397834E9</v>
      </c>
      <c r="H16" s="21">
        <v>9.909821728E9</v>
      </c>
      <c r="I16" s="21">
        <v>1595.0</v>
      </c>
      <c r="J16" s="21" t="s">
        <v>5364</v>
      </c>
      <c r="K16" s="8" t="s">
        <v>70</v>
      </c>
      <c r="L16" s="9" t="s">
        <v>26</v>
      </c>
      <c r="M16" s="8" t="s">
        <v>96</v>
      </c>
      <c r="N16" s="8" t="s">
        <v>5992</v>
      </c>
      <c r="O16" s="97">
        <v>16209.0</v>
      </c>
      <c r="P16" s="97">
        <v>17040.0</v>
      </c>
      <c r="Q16" s="6">
        <v>65.0</v>
      </c>
      <c r="R16" s="8">
        <f t="shared" si="2"/>
        <v>10535.85</v>
      </c>
    </row>
    <row r="17">
      <c r="A17" s="7" t="s">
        <v>5383</v>
      </c>
      <c r="B17" s="8" t="s">
        <v>6515</v>
      </c>
      <c r="C17" s="8" t="s">
        <v>6516</v>
      </c>
      <c r="D17" s="8" t="s">
        <v>44</v>
      </c>
      <c r="E17" s="8" t="s">
        <v>2182</v>
      </c>
      <c r="F17" s="8" t="s">
        <v>6517</v>
      </c>
      <c r="G17" s="21" t="s">
        <v>6518</v>
      </c>
      <c r="H17" s="21" t="s">
        <v>6519</v>
      </c>
      <c r="I17" s="21">
        <v>1600.0</v>
      </c>
      <c r="J17" s="21" t="s">
        <v>5368</v>
      </c>
      <c r="K17" s="8" t="s">
        <v>70</v>
      </c>
      <c r="L17" s="9" t="s">
        <v>49</v>
      </c>
      <c r="M17" s="8" t="s">
        <v>27</v>
      </c>
      <c r="N17" s="8" t="s">
        <v>5992</v>
      </c>
      <c r="O17" s="97">
        <v>17866.0</v>
      </c>
      <c r="P17" s="97">
        <v>18996.0</v>
      </c>
      <c r="Q17" s="6">
        <v>65.0</v>
      </c>
      <c r="R17" s="8">
        <f t="shared" si="2"/>
        <v>11612.9</v>
      </c>
    </row>
    <row r="18">
      <c r="A18" s="7" t="s">
        <v>5383</v>
      </c>
      <c r="B18" s="8" t="s">
        <v>6520</v>
      </c>
      <c r="C18" s="8" t="s">
        <v>6521</v>
      </c>
      <c r="D18" s="8" t="s">
        <v>21</v>
      </c>
      <c r="E18" s="8" t="s">
        <v>4949</v>
      </c>
      <c r="F18" s="8" t="s">
        <v>6522</v>
      </c>
      <c r="G18" s="21">
        <v>9.97892069E9</v>
      </c>
      <c r="H18" s="21">
        <v>9.825404974E9</v>
      </c>
      <c r="I18" s="21">
        <v>42000.0</v>
      </c>
      <c r="J18" s="21" t="s">
        <v>6523</v>
      </c>
      <c r="K18" s="8" t="s">
        <v>70</v>
      </c>
      <c r="L18" s="9" t="s">
        <v>49</v>
      </c>
      <c r="M18" s="8" t="s">
        <v>71</v>
      </c>
      <c r="N18" s="8" t="s">
        <v>5992</v>
      </c>
      <c r="O18" s="97">
        <v>50129.0</v>
      </c>
      <c r="P18" s="97">
        <v>53401.0</v>
      </c>
      <c r="Q18" s="6">
        <v>30.0</v>
      </c>
      <c r="R18" s="8">
        <f t="shared" si="2"/>
        <v>15038.7</v>
      </c>
    </row>
    <row r="19">
      <c r="A19" s="7" t="s">
        <v>6524</v>
      </c>
      <c r="B19" s="8" t="s">
        <v>6525</v>
      </c>
      <c r="C19" s="8" t="s">
        <v>6526</v>
      </c>
      <c r="D19" s="8" t="s">
        <v>44</v>
      </c>
      <c r="E19" s="8" t="s">
        <v>1690</v>
      </c>
      <c r="F19" s="8" t="s">
        <v>6527</v>
      </c>
      <c r="G19" s="21">
        <v>8.160480484E9</v>
      </c>
      <c r="H19" s="21">
        <v>9.998663549E9</v>
      </c>
      <c r="I19" s="21">
        <v>1600.0</v>
      </c>
      <c r="J19" s="21" t="s">
        <v>5364</v>
      </c>
      <c r="K19" s="8" t="s">
        <v>70</v>
      </c>
      <c r="L19" s="9" t="s">
        <v>49</v>
      </c>
      <c r="M19" s="8" t="s">
        <v>340</v>
      </c>
      <c r="N19" s="8" t="s">
        <v>5992</v>
      </c>
      <c r="O19" s="97">
        <v>20789.0</v>
      </c>
      <c r="P19" s="97">
        <v>22445.0</v>
      </c>
      <c r="Q19" s="6">
        <v>65.0</v>
      </c>
      <c r="R19" s="8">
        <f t="shared" si="2"/>
        <v>13512.85</v>
      </c>
    </row>
    <row r="20">
      <c r="A20" s="7" t="s">
        <v>5383</v>
      </c>
      <c r="B20" s="8" t="s">
        <v>6528</v>
      </c>
      <c r="C20" s="8" t="s">
        <v>6529</v>
      </c>
      <c r="D20" s="8" t="s">
        <v>44</v>
      </c>
      <c r="E20" s="8" t="s">
        <v>2510</v>
      </c>
      <c r="F20" s="8" t="s">
        <v>6530</v>
      </c>
      <c r="G20" s="21">
        <v>9.624908169E9</v>
      </c>
      <c r="H20" s="21">
        <v>8.999999876E9</v>
      </c>
      <c r="I20" s="21">
        <v>1600.0</v>
      </c>
      <c r="J20" s="21" t="s">
        <v>5368</v>
      </c>
      <c r="K20" s="8" t="s">
        <v>70</v>
      </c>
      <c r="L20" s="9" t="s">
        <v>49</v>
      </c>
      <c r="M20" s="8" t="s">
        <v>340</v>
      </c>
      <c r="N20" s="8" t="s">
        <v>5992</v>
      </c>
      <c r="O20" s="97">
        <v>20160.0</v>
      </c>
      <c r="P20" s="97">
        <v>21702.0</v>
      </c>
      <c r="Q20" s="6">
        <v>65.0</v>
      </c>
      <c r="R20" s="8">
        <f t="shared" si="2"/>
        <v>13104</v>
      </c>
    </row>
    <row r="23">
      <c r="A23" s="7" t="s">
        <v>5424</v>
      </c>
      <c r="B23" s="8" t="s">
        <v>6531</v>
      </c>
      <c r="C23" s="8" t="s">
        <v>6532</v>
      </c>
      <c r="D23" s="7" t="s">
        <v>44</v>
      </c>
      <c r="E23" s="8" t="s">
        <v>2182</v>
      </c>
      <c r="F23" s="8" t="s">
        <v>6533</v>
      </c>
      <c r="G23" s="7">
        <v>8.849386412E9</v>
      </c>
      <c r="H23" s="7">
        <v>9.925887772E9</v>
      </c>
      <c r="I23" s="7">
        <v>1600.0</v>
      </c>
      <c r="J23" s="7" t="s">
        <v>5401</v>
      </c>
      <c r="K23" s="7" t="s">
        <v>70</v>
      </c>
      <c r="L23" s="9" t="s">
        <v>49</v>
      </c>
      <c r="M23" s="7" t="s">
        <v>96</v>
      </c>
      <c r="N23" s="7" t="s">
        <v>5992</v>
      </c>
      <c r="O23" s="11">
        <v>20485.0</v>
      </c>
      <c r="P23" s="11">
        <v>22086.0</v>
      </c>
      <c r="Q23" s="5">
        <v>65.0</v>
      </c>
      <c r="R23" s="8">
        <f t="shared" ref="R23:R40" si="3">O23*Q23%</f>
        <v>13315.25</v>
      </c>
    </row>
    <row r="24">
      <c r="A24" s="7" t="s">
        <v>5424</v>
      </c>
      <c r="B24" s="8" t="s">
        <v>6534</v>
      </c>
      <c r="C24" s="8" t="s">
        <v>6535</v>
      </c>
      <c r="D24" s="7" t="s">
        <v>44</v>
      </c>
      <c r="E24" s="8" t="s">
        <v>2182</v>
      </c>
      <c r="F24" s="8" t="s">
        <v>6536</v>
      </c>
      <c r="G24" s="7">
        <v>9.687789442E9</v>
      </c>
      <c r="H24" s="8"/>
      <c r="I24" s="7">
        <v>1600.0</v>
      </c>
      <c r="J24" s="14">
        <v>46033.0</v>
      </c>
      <c r="K24" s="7" t="s">
        <v>70</v>
      </c>
      <c r="L24" s="9" t="s">
        <v>49</v>
      </c>
      <c r="M24" s="7" t="s">
        <v>27</v>
      </c>
      <c r="N24" s="7" t="s">
        <v>5992</v>
      </c>
      <c r="O24" s="11">
        <v>19166.0</v>
      </c>
      <c r="P24" s="11">
        <v>20529.0</v>
      </c>
      <c r="Q24" s="5">
        <v>65.0</v>
      </c>
      <c r="R24" s="8">
        <f t="shared" si="3"/>
        <v>12457.9</v>
      </c>
    </row>
    <row r="25">
      <c r="A25" s="14">
        <v>45668.0</v>
      </c>
      <c r="B25" s="8" t="s">
        <v>6537</v>
      </c>
      <c r="C25" s="8" t="s">
        <v>6538</v>
      </c>
      <c r="D25" s="7" t="s">
        <v>1395</v>
      </c>
      <c r="E25" s="8" t="s">
        <v>2182</v>
      </c>
      <c r="F25" s="8" t="s">
        <v>6539</v>
      </c>
      <c r="G25" s="7">
        <v>9.824146576E9</v>
      </c>
      <c r="H25" s="7">
        <v>9.714764421E9</v>
      </c>
      <c r="I25" s="7">
        <v>1600.0</v>
      </c>
      <c r="J25" s="7" t="s">
        <v>5401</v>
      </c>
      <c r="K25" s="7" t="s">
        <v>70</v>
      </c>
      <c r="L25" s="9" t="s">
        <v>49</v>
      </c>
      <c r="M25" s="7" t="s">
        <v>71</v>
      </c>
      <c r="N25" s="7" t="s">
        <v>5992</v>
      </c>
      <c r="O25" s="11">
        <v>19664.0</v>
      </c>
      <c r="P25" s="11">
        <v>21117.0</v>
      </c>
      <c r="Q25" s="5">
        <v>65.0</v>
      </c>
      <c r="R25" s="8">
        <f t="shared" si="3"/>
        <v>12781.6</v>
      </c>
    </row>
    <row r="26">
      <c r="A26" s="14">
        <v>45699.0</v>
      </c>
      <c r="B26" s="8" t="s">
        <v>6540</v>
      </c>
      <c r="C26" s="8" t="s">
        <v>6541</v>
      </c>
      <c r="D26" s="7" t="s">
        <v>1395</v>
      </c>
      <c r="E26" s="8" t="s">
        <v>4799</v>
      </c>
      <c r="F26" s="8" t="s">
        <v>6542</v>
      </c>
      <c r="G26" s="7">
        <v>7.048648642E9</v>
      </c>
      <c r="H26" s="7">
        <v>9.22821445E9</v>
      </c>
      <c r="I26" s="7">
        <v>1630.0</v>
      </c>
      <c r="J26" s="14">
        <v>46033.0</v>
      </c>
      <c r="K26" s="7" t="s">
        <v>70</v>
      </c>
      <c r="L26" s="9" t="s">
        <v>49</v>
      </c>
      <c r="M26" s="7" t="s">
        <v>340</v>
      </c>
      <c r="N26" s="7" t="s">
        <v>5992</v>
      </c>
      <c r="O26" s="11">
        <v>17928.0</v>
      </c>
      <c r="P26" s="11">
        <v>19069.0</v>
      </c>
      <c r="Q26" s="5">
        <v>65.0</v>
      </c>
      <c r="R26" s="8">
        <f t="shared" si="3"/>
        <v>11653.2</v>
      </c>
    </row>
    <row r="27">
      <c r="A27" s="14">
        <v>45727.0</v>
      </c>
      <c r="B27" s="8" t="s">
        <v>6543</v>
      </c>
      <c r="C27" s="8" t="s">
        <v>6544</v>
      </c>
      <c r="D27" s="7" t="s">
        <v>1395</v>
      </c>
      <c r="E27" s="8" t="s">
        <v>6545</v>
      </c>
      <c r="F27" s="8" t="s">
        <v>6546</v>
      </c>
      <c r="G27" s="7">
        <v>9.687055774E9</v>
      </c>
      <c r="H27" s="7">
        <v>9.033565777E9</v>
      </c>
      <c r="I27" s="7">
        <v>1850.0</v>
      </c>
      <c r="J27" s="14">
        <v>46184.0</v>
      </c>
      <c r="K27" s="7" t="s">
        <v>70</v>
      </c>
      <c r="L27" s="9" t="s">
        <v>49</v>
      </c>
      <c r="M27" s="7" t="s">
        <v>4961</v>
      </c>
      <c r="N27" s="7" t="s">
        <v>5992</v>
      </c>
      <c r="O27" s="11">
        <v>19947.0</v>
      </c>
      <c r="P27" s="11">
        <v>21451.0</v>
      </c>
      <c r="Q27" s="5">
        <v>65.0</v>
      </c>
      <c r="R27" s="8">
        <f t="shared" si="3"/>
        <v>12965.55</v>
      </c>
    </row>
    <row r="28">
      <c r="A28" s="14">
        <v>45727.0</v>
      </c>
      <c r="B28" s="8" t="s">
        <v>6547</v>
      </c>
      <c r="C28" s="8" t="s">
        <v>6548</v>
      </c>
      <c r="D28" s="7" t="s">
        <v>21</v>
      </c>
      <c r="E28" s="8" t="s">
        <v>6549</v>
      </c>
      <c r="F28" s="8" t="s">
        <v>5915</v>
      </c>
      <c r="G28" s="7">
        <v>8.320666175E9</v>
      </c>
      <c r="H28" s="8"/>
      <c r="I28" s="7">
        <v>45500.0</v>
      </c>
      <c r="J28" s="14">
        <v>46092.0</v>
      </c>
      <c r="K28" s="7" t="s">
        <v>70</v>
      </c>
      <c r="L28" s="9" t="s">
        <v>49</v>
      </c>
      <c r="M28" s="7" t="s">
        <v>271</v>
      </c>
      <c r="N28" s="7" t="s">
        <v>5992</v>
      </c>
      <c r="O28" s="11">
        <v>47540.0</v>
      </c>
      <c r="P28" s="11">
        <v>50346.0</v>
      </c>
      <c r="Q28" s="5">
        <v>30.0</v>
      </c>
      <c r="R28" s="8">
        <f t="shared" si="3"/>
        <v>14262</v>
      </c>
    </row>
    <row r="29">
      <c r="A29" s="14">
        <v>45727.0</v>
      </c>
      <c r="B29" s="8" t="s">
        <v>6550</v>
      </c>
      <c r="C29" s="8" t="s">
        <v>6551</v>
      </c>
      <c r="D29" s="7" t="s">
        <v>21</v>
      </c>
      <c r="E29" s="8" t="s">
        <v>6549</v>
      </c>
      <c r="F29" s="8" t="s">
        <v>5915</v>
      </c>
      <c r="G29" s="7">
        <v>8.320666175E9</v>
      </c>
      <c r="H29" s="8"/>
      <c r="I29" s="7">
        <v>45500.0</v>
      </c>
      <c r="J29" s="14">
        <v>46064.0</v>
      </c>
      <c r="K29" s="7" t="s">
        <v>70</v>
      </c>
      <c r="L29" s="9" t="s">
        <v>49</v>
      </c>
      <c r="M29" s="7" t="s">
        <v>271</v>
      </c>
      <c r="N29" s="7" t="s">
        <v>5992</v>
      </c>
      <c r="O29" s="11">
        <v>50453.0</v>
      </c>
      <c r="P29" s="11">
        <v>53783.0</v>
      </c>
      <c r="Q29" s="5">
        <v>30.0</v>
      </c>
      <c r="R29" s="8">
        <f t="shared" si="3"/>
        <v>15135.9</v>
      </c>
    </row>
    <row r="30">
      <c r="A30" s="14">
        <v>45758.0</v>
      </c>
      <c r="B30" s="8" t="s">
        <v>6552</v>
      </c>
      <c r="C30" s="8" t="s">
        <v>6553</v>
      </c>
      <c r="D30" s="7" t="s">
        <v>1395</v>
      </c>
      <c r="E30" s="8" t="s">
        <v>2182</v>
      </c>
      <c r="F30" s="8" t="s">
        <v>6554</v>
      </c>
      <c r="G30" s="7" t="s">
        <v>6555</v>
      </c>
      <c r="H30" s="8"/>
      <c r="I30" s="7">
        <v>1600.0</v>
      </c>
      <c r="J30" s="14">
        <v>46092.0</v>
      </c>
      <c r="K30" s="7" t="s">
        <v>70</v>
      </c>
      <c r="L30" s="9" t="s">
        <v>49</v>
      </c>
      <c r="M30" s="7" t="s">
        <v>27</v>
      </c>
      <c r="N30" s="7" t="s">
        <v>5992</v>
      </c>
      <c r="O30" s="11">
        <v>20397.0</v>
      </c>
      <c r="P30" s="11">
        <v>21982.0</v>
      </c>
      <c r="Q30" s="5">
        <v>65.0</v>
      </c>
      <c r="R30" s="8">
        <f t="shared" si="3"/>
        <v>13258.05</v>
      </c>
    </row>
    <row r="31">
      <c r="A31" s="14">
        <v>45880.0</v>
      </c>
      <c r="B31" s="58" t="s">
        <v>6556</v>
      </c>
      <c r="C31" s="58" t="s">
        <v>6557</v>
      </c>
      <c r="D31" s="7" t="s">
        <v>44</v>
      </c>
      <c r="E31" s="58" t="s">
        <v>4799</v>
      </c>
      <c r="F31" s="58" t="s">
        <v>6558</v>
      </c>
      <c r="G31" s="7">
        <v>6.353766794E9</v>
      </c>
      <c r="H31" s="7">
        <v>9.925118139E9</v>
      </c>
      <c r="I31" s="7">
        <v>1630.0</v>
      </c>
      <c r="J31" s="60">
        <v>46214.0</v>
      </c>
      <c r="K31" s="7" t="s">
        <v>70</v>
      </c>
      <c r="L31" s="9" t="s">
        <v>49</v>
      </c>
      <c r="M31" s="7" t="s">
        <v>71</v>
      </c>
      <c r="N31" s="7" t="s">
        <v>5992</v>
      </c>
      <c r="O31" s="71">
        <v>19944.0</v>
      </c>
      <c r="P31" s="70">
        <v>21448.0</v>
      </c>
      <c r="Q31" s="5">
        <v>65.0</v>
      </c>
      <c r="R31" s="8">
        <f t="shared" si="3"/>
        <v>12963.6</v>
      </c>
    </row>
    <row r="32">
      <c r="A32" s="14">
        <v>45880.0</v>
      </c>
      <c r="B32" s="58" t="s">
        <v>6559</v>
      </c>
      <c r="C32" s="58" t="s">
        <v>6560</v>
      </c>
      <c r="D32" s="7" t="s">
        <v>44</v>
      </c>
      <c r="E32" s="58" t="s">
        <v>2510</v>
      </c>
      <c r="F32" s="58" t="s">
        <v>6561</v>
      </c>
      <c r="G32" s="7">
        <v>9.512545057E9</v>
      </c>
      <c r="H32" s="8"/>
      <c r="I32" s="7">
        <v>1600.0</v>
      </c>
      <c r="J32" s="60">
        <v>46214.0</v>
      </c>
      <c r="K32" s="7" t="s">
        <v>70</v>
      </c>
      <c r="L32" s="9" t="s">
        <v>49</v>
      </c>
      <c r="M32" s="7" t="s">
        <v>27</v>
      </c>
      <c r="N32" s="7" t="s">
        <v>5992</v>
      </c>
      <c r="O32" s="71">
        <v>18466.0</v>
      </c>
      <c r="P32" s="70">
        <v>19704.0</v>
      </c>
      <c r="Q32" s="5">
        <v>65.0</v>
      </c>
      <c r="R32" s="8">
        <f t="shared" si="3"/>
        <v>12002.9</v>
      </c>
    </row>
    <row r="33">
      <c r="A33" s="19">
        <v>45972.0</v>
      </c>
      <c r="B33" s="58" t="s">
        <v>6562</v>
      </c>
      <c r="C33" s="58" t="s">
        <v>6563</v>
      </c>
      <c r="D33" s="7" t="s">
        <v>44</v>
      </c>
      <c r="E33" s="58" t="s">
        <v>4799</v>
      </c>
      <c r="F33" s="58" t="s">
        <v>6564</v>
      </c>
      <c r="G33" s="7">
        <v>6.354745787E9</v>
      </c>
      <c r="H33" s="8"/>
      <c r="I33" s="7">
        <v>1630.0</v>
      </c>
      <c r="J33" s="61">
        <v>46306.0</v>
      </c>
      <c r="K33" s="7" t="s">
        <v>70</v>
      </c>
      <c r="L33" s="9" t="s">
        <v>49</v>
      </c>
      <c r="M33" s="7" t="s">
        <v>27</v>
      </c>
      <c r="N33" s="7" t="s">
        <v>5992</v>
      </c>
      <c r="O33" s="70">
        <v>17834.0</v>
      </c>
      <c r="P33" s="70">
        <v>18958.0</v>
      </c>
      <c r="Q33" s="5">
        <v>65.0</v>
      </c>
      <c r="R33" s="8">
        <f t="shared" si="3"/>
        <v>11592.1</v>
      </c>
    </row>
    <row r="34">
      <c r="A34" s="7" t="s">
        <v>6565</v>
      </c>
      <c r="B34" s="58" t="s">
        <v>6566</v>
      </c>
      <c r="C34" s="58" t="s">
        <v>6567</v>
      </c>
      <c r="D34" s="7" t="s">
        <v>44</v>
      </c>
      <c r="E34" s="58" t="s">
        <v>2182</v>
      </c>
      <c r="F34" s="58" t="s">
        <v>6568</v>
      </c>
      <c r="G34" s="7">
        <v>8.849436331E9</v>
      </c>
      <c r="H34" s="7">
        <v>7.405592792E9</v>
      </c>
      <c r="I34" s="7">
        <v>1600.0</v>
      </c>
      <c r="J34" s="7" t="s">
        <v>5607</v>
      </c>
      <c r="K34" s="7" t="s">
        <v>70</v>
      </c>
      <c r="L34" s="9" t="s">
        <v>49</v>
      </c>
      <c r="M34" s="7" t="s">
        <v>340</v>
      </c>
      <c r="N34" s="7" t="s">
        <v>5992</v>
      </c>
      <c r="O34" s="70">
        <v>20180.0</v>
      </c>
      <c r="P34" s="70">
        <v>21726.0</v>
      </c>
      <c r="Q34" s="5">
        <v>65.0</v>
      </c>
      <c r="R34" s="8">
        <f t="shared" si="3"/>
        <v>13117</v>
      </c>
    </row>
    <row r="35">
      <c r="A35" s="7" t="s">
        <v>5622</v>
      </c>
      <c r="B35" s="58" t="s">
        <v>6569</v>
      </c>
      <c r="C35" s="58" t="s">
        <v>6570</v>
      </c>
      <c r="D35" s="7" t="s">
        <v>44</v>
      </c>
      <c r="E35" s="58" t="s">
        <v>2182</v>
      </c>
      <c r="F35" s="58" t="s">
        <v>6571</v>
      </c>
      <c r="G35" s="7">
        <v>9.016497487E9</v>
      </c>
      <c r="H35" s="7">
        <v>8.758812526E9</v>
      </c>
      <c r="I35" s="7">
        <v>1600.0</v>
      </c>
      <c r="J35" s="62" t="s">
        <v>5607</v>
      </c>
      <c r="K35" s="7" t="s">
        <v>70</v>
      </c>
      <c r="L35" s="9" t="s">
        <v>49</v>
      </c>
      <c r="M35" s="7" t="s">
        <v>71</v>
      </c>
      <c r="N35" s="7" t="s">
        <v>5992</v>
      </c>
      <c r="O35" s="71">
        <v>19574.0</v>
      </c>
      <c r="P35" s="71">
        <v>21011.0</v>
      </c>
      <c r="Q35" s="5">
        <v>65.0</v>
      </c>
      <c r="R35" s="8">
        <f t="shared" si="3"/>
        <v>12723.1</v>
      </c>
    </row>
    <row r="36">
      <c r="A36" s="7" t="s">
        <v>5638</v>
      </c>
      <c r="B36" s="58" t="s">
        <v>6572</v>
      </c>
      <c r="C36" s="58" t="s">
        <v>6573</v>
      </c>
      <c r="D36" s="7" t="s">
        <v>44</v>
      </c>
      <c r="E36" s="58" t="s">
        <v>2182</v>
      </c>
      <c r="F36" s="58" t="s">
        <v>6574</v>
      </c>
      <c r="G36" s="7">
        <v>8.866800092E9</v>
      </c>
      <c r="H36" s="7">
        <v>9.904200092E9</v>
      </c>
      <c r="I36" s="7">
        <v>1600.0</v>
      </c>
      <c r="J36" s="62" t="s">
        <v>5577</v>
      </c>
      <c r="K36" s="7" t="s">
        <v>70</v>
      </c>
      <c r="L36" s="9" t="s">
        <v>49</v>
      </c>
      <c r="M36" s="7" t="s">
        <v>71</v>
      </c>
      <c r="N36" s="7" t="s">
        <v>5992</v>
      </c>
      <c r="O36" s="71">
        <v>19776.0</v>
      </c>
      <c r="P36" s="70">
        <v>21249.0</v>
      </c>
      <c r="Q36" s="5">
        <v>65.0</v>
      </c>
      <c r="R36" s="8">
        <f t="shared" si="3"/>
        <v>12854.4</v>
      </c>
    </row>
    <row r="37">
      <c r="A37" s="7" t="s">
        <v>5638</v>
      </c>
      <c r="B37" s="58" t="s">
        <v>6575</v>
      </c>
      <c r="C37" s="58" t="s">
        <v>6576</v>
      </c>
      <c r="D37" s="7" t="s">
        <v>44</v>
      </c>
      <c r="E37" s="58" t="s">
        <v>2182</v>
      </c>
      <c r="F37" s="58" t="s">
        <v>6577</v>
      </c>
      <c r="G37" s="7">
        <v>7.984223804E9</v>
      </c>
      <c r="H37" s="7">
        <v>9.409254553E9</v>
      </c>
      <c r="I37" s="7">
        <v>1600.0</v>
      </c>
      <c r="J37" s="7" t="s">
        <v>5629</v>
      </c>
      <c r="K37" s="7" t="s">
        <v>70</v>
      </c>
      <c r="L37" s="9" t="s">
        <v>49</v>
      </c>
      <c r="M37" s="7" t="s">
        <v>71</v>
      </c>
      <c r="N37" s="7" t="s">
        <v>5992</v>
      </c>
      <c r="O37" s="70">
        <v>19496.0</v>
      </c>
      <c r="P37" s="70">
        <v>20919.0</v>
      </c>
      <c r="Q37" s="5">
        <v>65.0</v>
      </c>
      <c r="R37" s="8">
        <f t="shared" si="3"/>
        <v>12672.4</v>
      </c>
    </row>
    <row r="38">
      <c r="A38" s="7" t="s">
        <v>5673</v>
      </c>
      <c r="B38" s="58" t="s">
        <v>6578</v>
      </c>
      <c r="C38" s="58" t="s">
        <v>6579</v>
      </c>
      <c r="D38" s="7" t="s">
        <v>44</v>
      </c>
      <c r="E38" s="58" t="s">
        <v>2182</v>
      </c>
      <c r="F38" s="58" t="s">
        <v>6580</v>
      </c>
      <c r="G38" s="7">
        <v>8.866646304E9</v>
      </c>
      <c r="H38" s="7">
        <v>9.979674304E9</v>
      </c>
      <c r="I38" s="7">
        <v>1600.0</v>
      </c>
      <c r="J38" s="7" t="s">
        <v>5387</v>
      </c>
      <c r="K38" s="7" t="s">
        <v>70</v>
      </c>
      <c r="L38" s="9" t="s">
        <v>49</v>
      </c>
      <c r="M38" s="7" t="s">
        <v>71</v>
      </c>
      <c r="N38" s="7" t="s">
        <v>5992</v>
      </c>
      <c r="O38" s="70">
        <v>19459.0</v>
      </c>
      <c r="P38" s="70">
        <v>20875.0</v>
      </c>
      <c r="Q38" s="5">
        <v>65.0</v>
      </c>
      <c r="R38" s="8">
        <f t="shared" si="3"/>
        <v>12648.35</v>
      </c>
    </row>
    <row r="39">
      <c r="A39" s="7" t="s">
        <v>5673</v>
      </c>
      <c r="B39" s="58" t="s">
        <v>6581</v>
      </c>
      <c r="C39" s="58" t="s">
        <v>6582</v>
      </c>
      <c r="D39" s="7" t="s">
        <v>44</v>
      </c>
      <c r="E39" s="58" t="s">
        <v>6583</v>
      </c>
      <c r="F39" s="58" t="s">
        <v>6584</v>
      </c>
      <c r="G39" s="7">
        <v>8.141223341E9</v>
      </c>
      <c r="H39" s="7">
        <v>9.601770053E9</v>
      </c>
      <c r="I39" s="7">
        <v>1790.0</v>
      </c>
      <c r="J39" s="62" t="s">
        <v>5681</v>
      </c>
      <c r="K39" s="7" t="s">
        <v>70</v>
      </c>
      <c r="L39" s="9" t="s">
        <v>49</v>
      </c>
      <c r="M39" s="7" t="s">
        <v>96</v>
      </c>
      <c r="N39" s="7" t="s">
        <v>5992</v>
      </c>
      <c r="O39" s="70">
        <v>20072.0</v>
      </c>
      <c r="P39" s="70">
        <v>21599.0</v>
      </c>
      <c r="Q39" s="5">
        <v>65.0</v>
      </c>
      <c r="R39" s="8">
        <f t="shared" si="3"/>
        <v>13046.8</v>
      </c>
    </row>
    <row r="40">
      <c r="A40" s="7" t="s">
        <v>5705</v>
      </c>
      <c r="B40" s="58" t="s">
        <v>6585</v>
      </c>
      <c r="C40" s="58" t="s">
        <v>6586</v>
      </c>
      <c r="D40" s="7" t="s">
        <v>44</v>
      </c>
      <c r="E40" s="58" t="s">
        <v>2182</v>
      </c>
      <c r="F40" s="58" t="s">
        <v>6587</v>
      </c>
      <c r="G40" s="7">
        <v>9.978715673E9</v>
      </c>
      <c r="H40" s="7">
        <v>9.979086056E9</v>
      </c>
      <c r="I40" s="7">
        <v>1600.0</v>
      </c>
      <c r="J40" s="62" t="s">
        <v>5668</v>
      </c>
      <c r="K40" s="7" t="s">
        <v>70</v>
      </c>
      <c r="L40" s="9" t="s">
        <v>49</v>
      </c>
      <c r="M40" s="7" t="s">
        <v>340</v>
      </c>
      <c r="N40" s="7" t="s">
        <v>5992</v>
      </c>
      <c r="O40" s="70">
        <v>20102.0</v>
      </c>
      <c r="P40" s="70">
        <v>21634.0</v>
      </c>
      <c r="Q40" s="5">
        <v>65.0</v>
      </c>
      <c r="R40" s="8">
        <f t="shared" si="3"/>
        <v>13066.3</v>
      </c>
    </row>
    <row r="44">
      <c r="A44" s="7" t="s">
        <v>5742</v>
      </c>
      <c r="B44" s="58" t="s">
        <v>6588</v>
      </c>
      <c r="C44" s="58" t="s">
        <v>6589</v>
      </c>
      <c r="D44" s="7" t="s">
        <v>44</v>
      </c>
      <c r="E44" s="58" t="s">
        <v>6590</v>
      </c>
      <c r="F44" s="58" t="s">
        <v>6591</v>
      </c>
      <c r="G44" s="7" t="s">
        <v>6592</v>
      </c>
      <c r="H44" s="7">
        <v>8.849091671E9</v>
      </c>
      <c r="I44" s="7">
        <v>1790.0</v>
      </c>
      <c r="J44" s="14">
        <v>46124.0</v>
      </c>
      <c r="K44" s="7" t="s">
        <v>70</v>
      </c>
      <c r="L44" s="9" t="s">
        <v>26</v>
      </c>
      <c r="M44" s="7" t="s">
        <v>151</v>
      </c>
      <c r="N44" s="7" t="s">
        <v>5992</v>
      </c>
      <c r="O44" s="70">
        <v>16209.0</v>
      </c>
      <c r="P44" s="70">
        <v>17040.0</v>
      </c>
      <c r="Q44" s="6">
        <v>65.0</v>
      </c>
      <c r="R44" s="8">
        <f t="shared" ref="R44:R52" si="4">O44*Q44%</f>
        <v>10535.85</v>
      </c>
    </row>
    <row r="45">
      <c r="A45" s="7" t="s">
        <v>5742</v>
      </c>
      <c r="B45" s="58" t="s">
        <v>6593</v>
      </c>
      <c r="C45" s="58" t="s">
        <v>6594</v>
      </c>
      <c r="D45" s="7" t="s">
        <v>44</v>
      </c>
      <c r="E45" s="58" t="s">
        <v>2182</v>
      </c>
      <c r="F45" s="58" t="s">
        <v>6595</v>
      </c>
      <c r="G45" s="7">
        <v>9.711355186E9</v>
      </c>
      <c r="H45" s="7">
        <v>9.265188265E9</v>
      </c>
      <c r="I45" s="7">
        <v>1600.0</v>
      </c>
      <c r="J45" s="7" t="s">
        <v>100</v>
      </c>
      <c r="K45" s="7" t="s">
        <v>70</v>
      </c>
      <c r="L45" s="9" t="s">
        <v>49</v>
      </c>
      <c r="M45" s="7" t="s">
        <v>71</v>
      </c>
      <c r="N45" s="7" t="s">
        <v>5992</v>
      </c>
      <c r="O45" s="70">
        <v>19776.0</v>
      </c>
      <c r="P45" s="70">
        <v>21249.0</v>
      </c>
      <c r="Q45" s="6">
        <v>65.0</v>
      </c>
      <c r="R45" s="8">
        <f t="shared" si="4"/>
        <v>12854.4</v>
      </c>
    </row>
    <row r="46">
      <c r="A46" s="7" t="s">
        <v>5748</v>
      </c>
      <c r="B46" s="58" t="s">
        <v>6596</v>
      </c>
      <c r="C46" s="58" t="s">
        <v>6597</v>
      </c>
      <c r="D46" s="7" t="s">
        <v>44</v>
      </c>
      <c r="E46" s="58" t="s">
        <v>4509</v>
      </c>
      <c r="F46" s="58" t="s">
        <v>6598</v>
      </c>
      <c r="G46" s="7">
        <v>7.862028528E9</v>
      </c>
      <c r="H46" s="7">
        <v>8.320945159E9</v>
      </c>
      <c r="I46" s="7">
        <v>1600.0</v>
      </c>
      <c r="J46" s="19">
        <v>46034.0</v>
      </c>
      <c r="K46" s="7" t="s">
        <v>70</v>
      </c>
      <c r="L46" s="9" t="s">
        <v>49</v>
      </c>
      <c r="M46" s="7" t="s">
        <v>71</v>
      </c>
      <c r="N46" s="7" t="s">
        <v>5992</v>
      </c>
      <c r="O46" s="70">
        <v>19649.0</v>
      </c>
      <c r="P46" s="70">
        <v>21100.0</v>
      </c>
      <c r="Q46" s="6">
        <v>65.0</v>
      </c>
      <c r="R46" s="8">
        <f t="shared" si="4"/>
        <v>12771.85</v>
      </c>
    </row>
    <row r="47" ht="18.0" customHeight="1">
      <c r="A47" s="7" t="s">
        <v>5748</v>
      </c>
      <c r="B47" s="58" t="s">
        <v>6599</v>
      </c>
      <c r="C47" s="58" t="s">
        <v>6600</v>
      </c>
      <c r="D47" s="7" t="s">
        <v>966</v>
      </c>
      <c r="E47" s="58" t="s">
        <v>6601</v>
      </c>
      <c r="F47" s="58" t="s">
        <v>6602</v>
      </c>
      <c r="G47" s="7">
        <v>6.355850087E9</v>
      </c>
      <c r="H47" s="7">
        <v>8.153853054E9</v>
      </c>
      <c r="I47" s="7">
        <v>998.0</v>
      </c>
      <c r="J47" s="19">
        <v>46093.0</v>
      </c>
      <c r="K47" s="7" t="s">
        <v>70</v>
      </c>
      <c r="L47" s="9" t="s">
        <v>5621</v>
      </c>
      <c r="M47" s="7" t="s">
        <v>365</v>
      </c>
      <c r="N47" s="7" t="s">
        <v>5992</v>
      </c>
      <c r="O47" s="70">
        <v>4957.0</v>
      </c>
      <c r="P47" s="70">
        <v>5849.0</v>
      </c>
      <c r="Q47" s="6">
        <v>21.0</v>
      </c>
      <c r="R47" s="8">
        <f t="shared" si="4"/>
        <v>1040.97</v>
      </c>
    </row>
    <row r="48">
      <c r="A48" s="7" t="s">
        <v>5748</v>
      </c>
      <c r="B48" s="58" t="s">
        <v>6603</v>
      </c>
      <c r="C48" s="58" t="s">
        <v>6604</v>
      </c>
      <c r="D48" s="7" t="s">
        <v>6426</v>
      </c>
      <c r="E48" s="58" t="s">
        <v>6605</v>
      </c>
      <c r="F48" s="58" t="s">
        <v>6606</v>
      </c>
      <c r="G48" s="7">
        <v>8.200679637E9</v>
      </c>
      <c r="H48" s="8"/>
      <c r="I48" s="7">
        <v>2956.0</v>
      </c>
      <c r="J48" s="62" t="s">
        <v>5701</v>
      </c>
      <c r="K48" s="7" t="s">
        <v>70</v>
      </c>
      <c r="L48" s="9" t="s">
        <v>26</v>
      </c>
      <c r="M48" s="7" t="s">
        <v>27</v>
      </c>
      <c r="N48" s="7" t="s">
        <v>5992</v>
      </c>
      <c r="O48" s="70">
        <v>49542.0</v>
      </c>
      <c r="P48" s="70">
        <v>58460.0</v>
      </c>
      <c r="Q48" s="6">
        <v>80.0</v>
      </c>
      <c r="R48" s="8">
        <f t="shared" si="4"/>
        <v>39633.6</v>
      </c>
    </row>
    <row r="49">
      <c r="A49" s="7" t="s">
        <v>5748</v>
      </c>
      <c r="B49" s="58" t="s">
        <v>6607</v>
      </c>
      <c r="C49" s="58" t="s">
        <v>6608</v>
      </c>
      <c r="D49" s="7" t="s">
        <v>6426</v>
      </c>
      <c r="E49" s="58" t="s">
        <v>6609</v>
      </c>
      <c r="F49" s="58" t="s">
        <v>6610</v>
      </c>
      <c r="G49" s="7">
        <v>8.200679637E9</v>
      </c>
      <c r="H49" s="8"/>
      <c r="I49" s="7">
        <v>1180.0</v>
      </c>
      <c r="J49" s="62" t="s">
        <v>5701</v>
      </c>
      <c r="K49" s="7" t="s">
        <v>70</v>
      </c>
      <c r="L49" s="9" t="s">
        <v>26</v>
      </c>
      <c r="M49" s="7" t="s">
        <v>27</v>
      </c>
      <c r="N49" s="7" t="s">
        <v>5992</v>
      </c>
      <c r="O49" s="70">
        <v>53962.0</v>
      </c>
      <c r="P49" s="70">
        <v>63675.0</v>
      </c>
      <c r="Q49" s="6">
        <v>80.0</v>
      </c>
      <c r="R49" s="8">
        <f t="shared" si="4"/>
        <v>43169.6</v>
      </c>
    </row>
    <row r="50">
      <c r="A50" s="63" t="s">
        <v>5582</v>
      </c>
      <c r="B50" s="64" t="s">
        <v>6611</v>
      </c>
      <c r="C50" s="64" t="s">
        <v>6612</v>
      </c>
      <c r="D50" s="63" t="s">
        <v>21</v>
      </c>
      <c r="E50" s="64" t="s">
        <v>6613</v>
      </c>
      <c r="F50" s="64" t="s">
        <v>6614</v>
      </c>
      <c r="G50" s="63">
        <v>7.98467355E9</v>
      </c>
      <c r="H50" s="108"/>
      <c r="I50" s="63">
        <v>42000.0</v>
      </c>
      <c r="J50" s="65" t="s">
        <v>5607</v>
      </c>
      <c r="K50" s="63" t="s">
        <v>70</v>
      </c>
      <c r="L50" s="26" t="s">
        <v>49</v>
      </c>
      <c r="M50" s="63" t="s">
        <v>27</v>
      </c>
      <c r="N50" s="63" t="s">
        <v>5992</v>
      </c>
      <c r="O50" s="73">
        <v>48994.0</v>
      </c>
      <c r="P50" s="73">
        <v>52062.0</v>
      </c>
      <c r="Q50" s="6">
        <v>30.0</v>
      </c>
      <c r="R50" s="8">
        <f t="shared" si="4"/>
        <v>14698.2</v>
      </c>
    </row>
    <row r="51">
      <c r="A51" s="14">
        <v>45820.0</v>
      </c>
      <c r="B51" s="58" t="s">
        <v>6615</v>
      </c>
      <c r="C51" s="58" t="s">
        <v>6616</v>
      </c>
      <c r="D51" s="7" t="s">
        <v>966</v>
      </c>
      <c r="E51" s="58" t="s">
        <v>6617</v>
      </c>
      <c r="F51" s="58" t="s">
        <v>6618</v>
      </c>
      <c r="G51" s="7">
        <v>9.725646041E9</v>
      </c>
      <c r="H51" s="7">
        <v>9.72220079E9</v>
      </c>
      <c r="I51" s="8"/>
      <c r="J51" s="60">
        <v>46307.0</v>
      </c>
      <c r="K51" s="7" t="s">
        <v>70</v>
      </c>
      <c r="L51" s="9" t="s">
        <v>5621</v>
      </c>
      <c r="M51" s="7" t="s">
        <v>340</v>
      </c>
      <c r="N51" s="7" t="s">
        <v>5992</v>
      </c>
      <c r="O51" s="70">
        <v>15149.0</v>
      </c>
      <c r="P51" s="70">
        <v>17876.0</v>
      </c>
      <c r="Q51" s="6">
        <v>21.0</v>
      </c>
      <c r="R51" s="8">
        <f t="shared" si="4"/>
        <v>3181.29</v>
      </c>
    </row>
    <row r="52">
      <c r="A52" s="299">
        <v>45912.0</v>
      </c>
      <c r="B52" s="64" t="s">
        <v>6619</v>
      </c>
      <c r="C52" s="64" t="s">
        <v>6620</v>
      </c>
      <c r="D52" s="63" t="s">
        <v>21</v>
      </c>
      <c r="E52" s="64" t="s">
        <v>762</v>
      </c>
      <c r="F52" s="64" t="s">
        <v>6621</v>
      </c>
      <c r="G52" s="63">
        <v>9.82573984E9</v>
      </c>
      <c r="H52" s="63" t="s">
        <v>63</v>
      </c>
      <c r="I52" s="63">
        <v>42000.0</v>
      </c>
      <c r="J52" s="234">
        <v>46246.0</v>
      </c>
      <c r="K52" s="63" t="s">
        <v>70</v>
      </c>
      <c r="L52" s="26" t="s">
        <v>49</v>
      </c>
      <c r="M52" s="63" t="s">
        <v>33</v>
      </c>
      <c r="N52" s="63" t="s">
        <v>5992</v>
      </c>
      <c r="O52" s="73">
        <v>49024.0</v>
      </c>
      <c r="P52" s="73">
        <v>52097.0</v>
      </c>
      <c r="Q52" s="6">
        <v>27.0</v>
      </c>
      <c r="R52" s="8">
        <f t="shared" si="4"/>
        <v>13236.48</v>
      </c>
    </row>
    <row r="59">
      <c r="S59" s="6">
        <v>594341.0</v>
      </c>
    </row>
    <row r="60">
      <c r="S60" s="6">
        <v>-589501.0</v>
      </c>
    </row>
    <row r="63">
      <c r="O63" s="6" t="s">
        <v>6622</v>
      </c>
    </row>
    <row r="64">
      <c r="O64" s="6"/>
      <c r="P64" s="313"/>
      <c r="Q64" s="314"/>
    </row>
    <row r="65">
      <c r="O65" s="6">
        <v>16400.0</v>
      </c>
      <c r="P65" s="218" t="s">
        <v>6623</v>
      </c>
      <c r="Q65" s="314" t="s">
        <v>6461</v>
      </c>
    </row>
    <row r="66">
      <c r="O66" s="6">
        <v>23846.0</v>
      </c>
      <c r="P66" s="313">
        <v>46357.0</v>
      </c>
      <c r="Q66" s="314" t="s">
        <v>6624</v>
      </c>
    </row>
    <row r="67">
      <c r="O67" s="6">
        <v>25000.0</v>
      </c>
      <c r="P67" s="313">
        <v>46357.0</v>
      </c>
      <c r="Q67" s="314" t="s">
        <v>6461</v>
      </c>
    </row>
    <row r="68">
      <c r="O68" s="6">
        <v>21000.0</v>
      </c>
      <c r="P68" s="313">
        <v>46296.0</v>
      </c>
      <c r="Q68" s="314" t="s">
        <v>6461</v>
      </c>
    </row>
    <row r="69">
      <c r="O69" s="6">
        <v>53500.0</v>
      </c>
      <c r="P69" s="313">
        <v>46266.0</v>
      </c>
      <c r="Q69" s="314" t="s">
        <v>6624</v>
      </c>
    </row>
    <row r="70">
      <c r="O70" s="6">
        <v>16969.0</v>
      </c>
      <c r="P70" s="313">
        <v>46215.0</v>
      </c>
      <c r="Q70" s="314" t="s">
        <v>6624</v>
      </c>
    </row>
    <row r="71">
      <c r="O71" s="6">
        <v>18769.0</v>
      </c>
      <c r="P71" s="313">
        <v>46215.0</v>
      </c>
      <c r="Q71" s="314" t="s">
        <v>6624</v>
      </c>
    </row>
    <row r="72">
      <c r="O72" s="6">
        <v>18905.0</v>
      </c>
      <c r="P72" s="313">
        <v>46215.0</v>
      </c>
      <c r="Q72" s="314" t="s">
        <v>6624</v>
      </c>
    </row>
    <row r="73">
      <c r="O73" s="6">
        <v>52312.0</v>
      </c>
      <c r="P73" s="313">
        <v>46093.0</v>
      </c>
      <c r="Q73" s="314" t="s">
        <v>6624</v>
      </c>
    </row>
    <row r="74">
      <c r="O74" s="6">
        <v>63675.0</v>
      </c>
      <c r="P74" s="218" t="s">
        <v>6625</v>
      </c>
      <c r="Q74" s="314" t="s">
        <v>6624</v>
      </c>
    </row>
    <row r="75">
      <c r="O75" s="6">
        <v>58460.0</v>
      </c>
      <c r="P75" s="218" t="s">
        <v>6625</v>
      </c>
      <c r="Q75" s="314" t="s">
        <v>6624</v>
      </c>
    </row>
    <row r="76">
      <c r="O76" s="6">
        <v>16000.0</v>
      </c>
      <c r="P76" s="313">
        <v>46245.0</v>
      </c>
      <c r="Q76" s="314" t="s">
        <v>6461</v>
      </c>
    </row>
    <row r="77">
      <c r="O77" s="6">
        <v>60000.0</v>
      </c>
      <c r="P77" s="313">
        <v>46123.0</v>
      </c>
      <c r="Q77" s="314" t="s">
        <v>6461</v>
      </c>
    </row>
    <row r="78">
      <c r="O78" s="6">
        <v>40000.0</v>
      </c>
      <c r="P78" s="313">
        <v>46092.0</v>
      </c>
      <c r="Q78" s="314" t="s">
        <v>6461</v>
      </c>
    </row>
    <row r="79">
      <c r="O79" s="6">
        <v>17665.0</v>
      </c>
      <c r="P79" s="218" t="s">
        <v>6626</v>
      </c>
      <c r="Q79" s="314" t="s">
        <v>6461</v>
      </c>
    </row>
    <row r="80">
      <c r="O80" s="6">
        <v>40000.0</v>
      </c>
      <c r="P80" s="218" t="s">
        <v>6627</v>
      </c>
      <c r="Q80" s="314" t="s">
        <v>6461</v>
      </c>
    </row>
    <row r="81">
      <c r="O81" s="6">
        <v>47000.0</v>
      </c>
      <c r="P81" s="218" t="s">
        <v>6628</v>
      </c>
      <c r="Q81" s="314" t="s">
        <v>6461</v>
      </c>
    </row>
  </sheetData>
  <mergeCells count="2">
    <mergeCell ref="S2:S9"/>
    <mergeCell ref="S12:S20"/>
  </mergeCells>
  <dataValidations>
    <dataValidation type="list" allowBlank="1" showErrorMessage="1" sqref="L8:L9">
      <formula1>"TP,FULL,SAOD"</formula1>
    </dataValidation>
    <dataValidation type="list" allowBlank="1" showErrorMessage="1" sqref="L2:L7 L12:L20 L23:L40 L44:L52">
      <formula1>"TP,FULL,SAOD"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22.44"/>
    <col customWidth="1" min="3" max="3" width="24.67"/>
    <col customWidth="1" min="4" max="4" width="12.67"/>
    <col customWidth="1" min="5" max="5" width="20.0"/>
    <col customWidth="1" min="6" max="6" width="21.0"/>
    <col customWidth="1" min="7" max="7" width="23.67"/>
    <col customWidth="1" min="8" max="8" width="15.0"/>
    <col customWidth="1" min="9" max="9" width="14.89"/>
    <col customWidth="1" min="10" max="10" width="13.78"/>
    <col customWidth="1" min="11" max="11" width="11.89"/>
    <col customWidth="1" min="12" max="25" width="10.56"/>
  </cols>
  <sheetData>
    <row r="1" ht="15.75" customHeight="1">
      <c r="A1" s="315" t="s">
        <v>6629</v>
      </c>
      <c r="B1" s="315" t="s">
        <v>1</v>
      </c>
      <c r="C1" s="315" t="s">
        <v>5</v>
      </c>
      <c r="D1" s="315" t="s">
        <v>6630</v>
      </c>
      <c r="E1" s="315" t="s">
        <v>10</v>
      </c>
      <c r="F1" s="315" t="s">
        <v>14</v>
      </c>
      <c r="G1" s="315" t="s">
        <v>15</v>
      </c>
      <c r="H1" s="315" t="s">
        <v>6631</v>
      </c>
      <c r="I1" s="315" t="s">
        <v>16</v>
      </c>
      <c r="J1" s="315" t="s">
        <v>6632</v>
      </c>
      <c r="K1" s="315" t="s">
        <v>6633</v>
      </c>
      <c r="L1" s="316"/>
      <c r="M1" s="316"/>
      <c r="N1" s="316"/>
      <c r="O1" s="316"/>
      <c r="P1" s="316"/>
      <c r="Q1" s="317"/>
      <c r="R1" s="317"/>
      <c r="S1" s="317"/>
      <c r="T1" s="317"/>
      <c r="U1" s="317"/>
      <c r="V1" s="317"/>
      <c r="W1" s="317"/>
      <c r="X1" s="317"/>
      <c r="Y1" s="317"/>
    </row>
    <row r="2" ht="15.75" customHeight="1">
      <c r="A2" s="318">
        <v>1.0</v>
      </c>
      <c r="B2" s="319" t="s">
        <v>6634</v>
      </c>
      <c r="C2" s="319" t="s">
        <v>6635</v>
      </c>
      <c r="D2" s="319" t="s">
        <v>1395</v>
      </c>
      <c r="E2" s="319" t="s">
        <v>25</v>
      </c>
      <c r="F2" s="318">
        <v>22351.0</v>
      </c>
      <c r="G2" s="320"/>
      <c r="H2" s="319" t="s">
        <v>6636</v>
      </c>
      <c r="I2" s="318">
        <v>51.0</v>
      </c>
      <c r="J2" s="318">
        <v>11399.01</v>
      </c>
      <c r="K2" s="321"/>
      <c r="L2" s="321"/>
      <c r="M2" s="321"/>
      <c r="N2" s="321"/>
      <c r="O2" s="321"/>
      <c r="P2" s="321"/>
      <c r="Q2" s="31"/>
      <c r="R2" s="31"/>
      <c r="S2" s="31"/>
      <c r="T2" s="31"/>
      <c r="U2" s="31"/>
      <c r="V2" s="31"/>
      <c r="W2" s="31"/>
      <c r="X2" s="31"/>
      <c r="Y2" s="31"/>
    </row>
    <row r="3" ht="15.75" customHeight="1">
      <c r="A3" s="322">
        <v>2.0</v>
      </c>
      <c r="B3" s="323" t="s">
        <v>6637</v>
      </c>
      <c r="C3" s="323" t="s">
        <v>6638</v>
      </c>
      <c r="D3" s="323" t="s">
        <v>1395</v>
      </c>
      <c r="E3" s="323" t="s">
        <v>668</v>
      </c>
      <c r="F3" s="322">
        <v>17285.0</v>
      </c>
      <c r="G3" s="322">
        <v>19433.0</v>
      </c>
      <c r="H3" s="323" t="s">
        <v>6639</v>
      </c>
      <c r="I3" s="322">
        <v>53.0</v>
      </c>
      <c r="J3" s="322">
        <v>9161.05</v>
      </c>
      <c r="K3" s="324"/>
      <c r="L3" s="324"/>
      <c r="M3" s="324"/>
      <c r="N3" s="324"/>
      <c r="O3" s="324"/>
      <c r="P3" s="324"/>
      <c r="Q3" s="31"/>
      <c r="R3" s="31"/>
      <c r="S3" s="31"/>
      <c r="T3" s="31"/>
      <c r="U3" s="31"/>
      <c r="V3" s="31"/>
      <c r="W3" s="31"/>
      <c r="X3" s="31"/>
      <c r="Y3" s="31"/>
    </row>
    <row r="4" ht="15.75" customHeight="1">
      <c r="A4" s="322">
        <v>4.0</v>
      </c>
      <c r="B4" s="323" t="s">
        <v>6640</v>
      </c>
      <c r="C4" s="323" t="s">
        <v>6641</v>
      </c>
      <c r="D4" s="323" t="s">
        <v>966</v>
      </c>
      <c r="E4" s="323" t="s">
        <v>6642</v>
      </c>
      <c r="F4" s="322">
        <v>3851.0</v>
      </c>
      <c r="G4" s="322">
        <v>4544.0</v>
      </c>
      <c r="H4" s="323" t="s">
        <v>6639</v>
      </c>
      <c r="I4" s="322">
        <v>30.0</v>
      </c>
      <c r="J4" s="322">
        <v>1155.3</v>
      </c>
      <c r="K4" s="324"/>
      <c r="L4" s="324"/>
      <c r="M4" s="324"/>
      <c r="N4" s="324"/>
      <c r="O4" s="324"/>
      <c r="P4" s="324"/>
      <c r="Q4" s="31"/>
      <c r="R4" s="31"/>
      <c r="S4" s="31"/>
      <c r="T4" s="31"/>
      <c r="U4" s="31"/>
      <c r="V4" s="31"/>
      <c r="W4" s="31"/>
      <c r="X4" s="31"/>
      <c r="Y4" s="31"/>
    </row>
    <row r="5" ht="15.75" customHeight="1">
      <c r="A5" s="322">
        <v>5.0</v>
      </c>
      <c r="B5" s="323" t="s">
        <v>6643</v>
      </c>
      <c r="C5" s="323" t="s">
        <v>6644</v>
      </c>
      <c r="D5" s="323" t="s">
        <v>966</v>
      </c>
      <c r="E5" s="323" t="s">
        <v>6642</v>
      </c>
      <c r="F5" s="322">
        <v>3851.0</v>
      </c>
      <c r="G5" s="322">
        <v>4544.0</v>
      </c>
      <c r="H5" s="323" t="s">
        <v>6639</v>
      </c>
      <c r="I5" s="322">
        <v>30.0</v>
      </c>
      <c r="J5" s="322">
        <v>1155.3</v>
      </c>
      <c r="K5" s="324"/>
      <c r="L5" s="324"/>
      <c r="M5" s="324"/>
      <c r="N5" s="324"/>
      <c r="O5" s="323" t="s">
        <v>6645</v>
      </c>
      <c r="P5" s="324"/>
      <c r="Q5" s="31"/>
      <c r="R5" s="31"/>
      <c r="S5" s="31"/>
      <c r="T5" s="31"/>
      <c r="U5" s="31"/>
      <c r="V5" s="31"/>
      <c r="W5" s="31"/>
      <c r="X5" s="31"/>
      <c r="Y5" s="31"/>
    </row>
    <row r="6" ht="15.75" customHeight="1">
      <c r="A6" s="322">
        <v>6.0</v>
      </c>
      <c r="B6" s="323" t="s">
        <v>6646</v>
      </c>
      <c r="C6" s="323" t="s">
        <v>6647</v>
      </c>
      <c r="D6" s="323" t="s">
        <v>1395</v>
      </c>
      <c r="E6" s="323" t="s">
        <v>668</v>
      </c>
      <c r="F6" s="322">
        <v>17516.0</v>
      </c>
      <c r="G6" s="322">
        <v>19706.0</v>
      </c>
      <c r="H6" s="323" t="s">
        <v>6639</v>
      </c>
      <c r="I6" s="322">
        <v>53.0</v>
      </c>
      <c r="J6" s="322">
        <v>9283.48</v>
      </c>
      <c r="K6" s="324"/>
      <c r="L6" s="324"/>
      <c r="M6" s="324"/>
      <c r="N6" s="324"/>
      <c r="O6" s="323" t="s">
        <v>6639</v>
      </c>
      <c r="P6" s="323" t="s">
        <v>6636</v>
      </c>
      <c r="Q6" s="31"/>
      <c r="R6" s="31"/>
      <c r="S6" s="31"/>
      <c r="T6" s="31"/>
      <c r="U6" s="31"/>
      <c r="V6" s="31"/>
      <c r="W6" s="31"/>
      <c r="X6" s="31"/>
      <c r="Y6" s="31"/>
    </row>
    <row r="7" ht="15.75" customHeight="1">
      <c r="A7" s="322">
        <v>7.0</v>
      </c>
      <c r="B7" s="323" t="s">
        <v>6648</v>
      </c>
      <c r="C7" s="323" t="s">
        <v>6649</v>
      </c>
      <c r="D7" s="323" t="s">
        <v>6650</v>
      </c>
      <c r="E7" s="323" t="s">
        <v>668</v>
      </c>
      <c r="F7" s="322">
        <v>5920.0</v>
      </c>
      <c r="G7" s="322">
        <v>6718.0</v>
      </c>
      <c r="H7" s="323" t="s">
        <v>6639</v>
      </c>
      <c r="I7" s="322">
        <v>53.0</v>
      </c>
      <c r="J7" s="322">
        <v>3137.6</v>
      </c>
      <c r="K7" s="324"/>
      <c r="L7" s="324"/>
      <c r="M7" s="324"/>
      <c r="N7" s="324"/>
      <c r="O7" s="322">
        <v>2000.0</v>
      </c>
      <c r="P7" s="322">
        <v>20000.0</v>
      </c>
      <c r="Q7" s="31"/>
      <c r="R7" s="31"/>
      <c r="S7" s="31"/>
      <c r="T7" s="31"/>
      <c r="U7" s="31"/>
      <c r="V7" s="31"/>
      <c r="W7" s="31"/>
      <c r="X7" s="31"/>
      <c r="Y7" s="31"/>
    </row>
    <row r="8" ht="15.75" customHeight="1">
      <c r="A8" s="318">
        <v>8.0</v>
      </c>
      <c r="B8" s="319" t="s">
        <v>6651</v>
      </c>
      <c r="C8" s="319" t="s">
        <v>6652</v>
      </c>
      <c r="D8" s="319" t="s">
        <v>1395</v>
      </c>
      <c r="E8" s="319" t="s">
        <v>25</v>
      </c>
      <c r="F8" s="318">
        <v>17455.0</v>
      </c>
      <c r="G8" s="320"/>
      <c r="H8" s="319" t="s">
        <v>6636</v>
      </c>
      <c r="I8" s="318">
        <v>51.0</v>
      </c>
      <c r="J8" s="318">
        <v>8902.05</v>
      </c>
      <c r="K8" s="321"/>
      <c r="L8" s="321"/>
      <c r="M8" s="321"/>
      <c r="N8" s="321"/>
      <c r="O8" s="321"/>
      <c r="P8" s="321"/>
      <c r="Q8" s="31"/>
      <c r="R8" s="31"/>
      <c r="S8" s="31"/>
      <c r="T8" s="31"/>
      <c r="U8" s="31"/>
      <c r="V8" s="31"/>
      <c r="W8" s="31"/>
      <c r="X8" s="31"/>
      <c r="Y8" s="31"/>
    </row>
    <row r="9" ht="15.75" customHeight="1">
      <c r="A9" s="318">
        <v>9.0</v>
      </c>
      <c r="B9" s="319" t="s">
        <v>6653</v>
      </c>
      <c r="C9" s="319" t="s">
        <v>6654</v>
      </c>
      <c r="D9" s="319" t="s">
        <v>1395</v>
      </c>
      <c r="E9" s="319" t="s">
        <v>25</v>
      </c>
      <c r="F9" s="318">
        <v>18510.0</v>
      </c>
      <c r="G9" s="320"/>
      <c r="H9" s="319" t="s">
        <v>6636</v>
      </c>
      <c r="I9" s="318">
        <v>51.0</v>
      </c>
      <c r="J9" s="318">
        <v>9440.1</v>
      </c>
      <c r="K9" s="321"/>
      <c r="L9" s="321"/>
      <c r="M9" s="321"/>
      <c r="N9" s="321"/>
      <c r="O9" s="321"/>
      <c r="P9" s="321"/>
      <c r="Q9" s="31"/>
      <c r="R9" s="31"/>
      <c r="S9" s="31"/>
      <c r="T9" s="31"/>
      <c r="U9" s="31"/>
      <c r="V9" s="31"/>
      <c r="W9" s="31"/>
      <c r="X9" s="31"/>
      <c r="Y9" s="31"/>
    </row>
    <row r="10" ht="15.75" customHeight="1">
      <c r="A10" s="322">
        <v>10.0</v>
      </c>
      <c r="B10" s="323" t="s">
        <v>6655</v>
      </c>
      <c r="C10" s="323" t="s">
        <v>6656</v>
      </c>
      <c r="D10" s="323" t="s">
        <v>966</v>
      </c>
      <c r="E10" s="323" t="s">
        <v>668</v>
      </c>
      <c r="F10" s="322">
        <v>2094.0</v>
      </c>
      <c r="G10" s="322">
        <v>2470.0</v>
      </c>
      <c r="H10" s="323" t="s">
        <v>6639</v>
      </c>
      <c r="I10" s="322">
        <v>36.0</v>
      </c>
      <c r="J10" s="322">
        <v>753.84</v>
      </c>
      <c r="K10" s="324"/>
      <c r="L10" s="324"/>
      <c r="M10" s="324"/>
      <c r="N10" s="324"/>
      <c r="O10" s="324"/>
      <c r="P10" s="324"/>
      <c r="Q10" s="31"/>
      <c r="R10" s="31"/>
      <c r="S10" s="31"/>
      <c r="T10" s="31"/>
      <c r="U10" s="31"/>
      <c r="V10" s="31"/>
      <c r="W10" s="31"/>
      <c r="X10" s="31"/>
      <c r="Y10" s="31"/>
    </row>
    <row r="11" ht="15.75" customHeight="1">
      <c r="A11" s="322">
        <v>11.0</v>
      </c>
      <c r="B11" s="323" t="s">
        <v>6657</v>
      </c>
      <c r="C11" s="323" t="s">
        <v>6658</v>
      </c>
      <c r="D11" s="323" t="s">
        <v>966</v>
      </c>
      <c r="E11" s="323" t="s">
        <v>668</v>
      </c>
      <c r="F11" s="322">
        <v>2094.0</v>
      </c>
      <c r="G11" s="322">
        <v>2470.0</v>
      </c>
      <c r="H11" s="323" t="s">
        <v>6639</v>
      </c>
      <c r="I11" s="322">
        <v>36.0</v>
      </c>
      <c r="J11" s="322">
        <v>753.84</v>
      </c>
      <c r="K11" s="324"/>
      <c r="L11" s="324"/>
      <c r="M11" s="324"/>
      <c r="N11" s="324"/>
      <c r="O11" s="324"/>
      <c r="P11" s="324"/>
      <c r="Q11" s="31"/>
      <c r="R11" s="31"/>
      <c r="S11" s="31"/>
      <c r="T11" s="31"/>
      <c r="U11" s="31"/>
      <c r="V11" s="31"/>
      <c r="W11" s="31"/>
      <c r="X11" s="31"/>
      <c r="Y11" s="31"/>
    </row>
    <row r="12" ht="15.75" customHeight="1">
      <c r="A12" s="322">
        <v>12.0</v>
      </c>
      <c r="B12" s="323" t="s">
        <v>6659</v>
      </c>
      <c r="C12" s="323" t="s">
        <v>6660</v>
      </c>
      <c r="D12" s="323" t="s">
        <v>966</v>
      </c>
      <c r="E12" s="323" t="s">
        <v>668</v>
      </c>
      <c r="F12" s="322">
        <v>3476.0</v>
      </c>
      <c r="G12" s="322">
        <v>4102.0</v>
      </c>
      <c r="H12" s="323" t="s">
        <v>6639</v>
      </c>
      <c r="I12" s="322">
        <v>36.0</v>
      </c>
      <c r="J12" s="322">
        <v>1251.36</v>
      </c>
      <c r="K12" s="324"/>
      <c r="L12" s="324"/>
      <c r="M12" s="324"/>
      <c r="N12" s="324"/>
      <c r="O12" s="324"/>
      <c r="P12" s="324"/>
      <c r="Q12" s="31"/>
      <c r="R12" s="31"/>
      <c r="S12" s="31"/>
      <c r="T12" s="31"/>
      <c r="U12" s="31"/>
      <c r="V12" s="31"/>
      <c r="W12" s="31"/>
      <c r="X12" s="31"/>
      <c r="Y12" s="31"/>
    </row>
    <row r="13" ht="15.75" customHeight="1">
      <c r="A13" s="322">
        <v>13.0</v>
      </c>
      <c r="B13" s="323" t="s">
        <v>6661</v>
      </c>
      <c r="C13" s="323" t="s">
        <v>6662</v>
      </c>
      <c r="D13" s="323" t="s">
        <v>1395</v>
      </c>
      <c r="E13" s="323" t="s">
        <v>668</v>
      </c>
      <c r="F13" s="322">
        <v>19942.0</v>
      </c>
      <c r="G13" s="322">
        <v>22568.0</v>
      </c>
      <c r="H13" s="323" t="s">
        <v>6639</v>
      </c>
      <c r="I13" s="322">
        <v>53.0</v>
      </c>
      <c r="J13" s="322">
        <v>10569.26</v>
      </c>
      <c r="K13" s="324"/>
      <c r="L13" s="324"/>
      <c r="M13" s="324"/>
      <c r="N13" s="324"/>
      <c r="O13" s="324"/>
      <c r="P13" s="324"/>
      <c r="Q13" s="31"/>
      <c r="R13" s="31"/>
      <c r="S13" s="31"/>
      <c r="T13" s="31"/>
      <c r="U13" s="31"/>
      <c r="V13" s="31"/>
      <c r="W13" s="31"/>
      <c r="X13" s="31"/>
      <c r="Y13" s="31"/>
    </row>
    <row r="14" ht="15.75" customHeight="1">
      <c r="A14" s="318">
        <v>14.0</v>
      </c>
      <c r="B14" s="319" t="s">
        <v>6663</v>
      </c>
      <c r="C14" s="319" t="s">
        <v>6664</v>
      </c>
      <c r="D14" s="319" t="s">
        <v>966</v>
      </c>
      <c r="E14" s="319" t="s">
        <v>6642</v>
      </c>
      <c r="F14" s="318">
        <v>3841.0</v>
      </c>
      <c r="G14" s="320"/>
      <c r="H14" s="319" t="s">
        <v>6636</v>
      </c>
      <c r="I14" s="318">
        <v>30.0</v>
      </c>
      <c r="J14" s="318">
        <v>1152.3</v>
      </c>
      <c r="K14" s="321"/>
      <c r="L14" s="321"/>
      <c r="M14" s="321"/>
      <c r="N14" s="321"/>
      <c r="O14" s="321"/>
      <c r="P14" s="321"/>
      <c r="Q14" s="31"/>
      <c r="R14" s="31"/>
      <c r="S14" s="31"/>
      <c r="T14" s="31"/>
      <c r="U14" s="31"/>
      <c r="V14" s="31"/>
      <c r="W14" s="31"/>
      <c r="X14" s="31"/>
      <c r="Y14" s="31"/>
    </row>
    <row r="15" ht="15.75" customHeight="1">
      <c r="A15" s="322">
        <v>15.0</v>
      </c>
      <c r="B15" s="323" t="s">
        <v>6665</v>
      </c>
      <c r="C15" s="323" t="s">
        <v>6666</v>
      </c>
      <c r="D15" s="323" t="s">
        <v>21</v>
      </c>
      <c r="E15" s="323" t="s">
        <v>48</v>
      </c>
      <c r="F15" s="322">
        <v>50244.0</v>
      </c>
      <c r="G15" s="322">
        <v>56651.0</v>
      </c>
      <c r="H15" s="323" t="s">
        <v>6639</v>
      </c>
      <c r="I15" s="322">
        <v>20.0</v>
      </c>
      <c r="J15" s="322">
        <v>10048.8</v>
      </c>
      <c r="K15" s="324"/>
      <c r="L15" s="324"/>
      <c r="M15" s="324"/>
      <c r="N15" s="324"/>
      <c r="O15" s="324"/>
      <c r="P15" s="324"/>
      <c r="Q15" s="31"/>
      <c r="R15" s="31"/>
      <c r="S15" s="31"/>
      <c r="T15" s="31"/>
      <c r="U15" s="31"/>
      <c r="V15" s="31"/>
      <c r="W15" s="31"/>
      <c r="X15" s="31"/>
      <c r="Y15" s="31"/>
    </row>
    <row r="16" ht="15.75" customHeight="1">
      <c r="A16" s="318">
        <v>16.0</v>
      </c>
      <c r="B16" s="319" t="s">
        <v>5783</v>
      </c>
      <c r="C16" s="319" t="s">
        <v>6667</v>
      </c>
      <c r="D16" s="319" t="s">
        <v>1395</v>
      </c>
      <c r="E16" s="319" t="s">
        <v>25</v>
      </c>
      <c r="F16" s="318">
        <v>22087.0</v>
      </c>
      <c r="G16" s="320"/>
      <c r="H16" s="319" t="s">
        <v>6636</v>
      </c>
      <c r="I16" s="318">
        <v>51.0</v>
      </c>
      <c r="J16" s="318">
        <v>11264.37</v>
      </c>
      <c r="K16" s="321"/>
      <c r="L16" s="321"/>
      <c r="M16" s="321"/>
      <c r="N16" s="321"/>
      <c r="O16" s="321"/>
      <c r="P16" s="321"/>
      <c r="Q16" s="31"/>
      <c r="R16" s="31"/>
      <c r="S16" s="31"/>
      <c r="T16" s="31"/>
      <c r="U16" s="31"/>
      <c r="V16" s="31"/>
      <c r="W16" s="31"/>
      <c r="X16" s="31"/>
      <c r="Y16" s="31"/>
    </row>
    <row r="17" ht="15.75" customHeight="1">
      <c r="A17" s="318">
        <v>17.0</v>
      </c>
      <c r="B17" s="319" t="s">
        <v>6668</v>
      </c>
      <c r="C17" s="319" t="s">
        <v>6669</v>
      </c>
      <c r="D17" s="319" t="s">
        <v>966</v>
      </c>
      <c r="E17" s="319" t="s">
        <v>6642</v>
      </c>
      <c r="F17" s="318">
        <v>2529.0</v>
      </c>
      <c r="G17" s="320"/>
      <c r="H17" s="319" t="s">
        <v>6636</v>
      </c>
      <c r="I17" s="318">
        <v>30.0</v>
      </c>
      <c r="J17" s="318">
        <v>758.7</v>
      </c>
      <c r="K17" s="321"/>
      <c r="L17" s="321"/>
      <c r="M17" s="321"/>
      <c r="N17" s="321"/>
      <c r="O17" s="321"/>
      <c r="P17" s="321"/>
      <c r="Q17" s="31"/>
      <c r="R17" s="31"/>
      <c r="S17" s="31"/>
      <c r="T17" s="31"/>
      <c r="U17" s="31"/>
      <c r="V17" s="31"/>
      <c r="W17" s="31"/>
      <c r="X17" s="31"/>
      <c r="Y17" s="31"/>
    </row>
    <row r="18" ht="15.75" customHeight="1">
      <c r="A18" s="318">
        <v>18.0</v>
      </c>
      <c r="B18" s="319" t="s">
        <v>6670</v>
      </c>
      <c r="C18" s="319" t="s">
        <v>6671</v>
      </c>
      <c r="D18" s="319" t="s">
        <v>966</v>
      </c>
      <c r="E18" s="319" t="s">
        <v>6642</v>
      </c>
      <c r="F18" s="318">
        <v>3841.0</v>
      </c>
      <c r="G18" s="320"/>
      <c r="H18" s="319" t="s">
        <v>6636</v>
      </c>
      <c r="I18" s="318">
        <v>30.0</v>
      </c>
      <c r="J18" s="318">
        <v>1152.3</v>
      </c>
      <c r="K18" s="321"/>
      <c r="L18" s="321"/>
      <c r="M18" s="321"/>
      <c r="N18" s="321"/>
      <c r="O18" s="321"/>
      <c r="P18" s="321"/>
      <c r="Q18" s="31"/>
      <c r="R18" s="31"/>
      <c r="S18" s="31"/>
      <c r="T18" s="31"/>
      <c r="U18" s="31"/>
      <c r="V18" s="31"/>
      <c r="W18" s="31"/>
      <c r="X18" s="31"/>
      <c r="Y18" s="31"/>
    </row>
    <row r="19" ht="15.75" customHeight="1">
      <c r="A19" s="318">
        <v>19.0</v>
      </c>
      <c r="B19" s="319" t="s">
        <v>6672</v>
      </c>
      <c r="C19" s="319" t="s">
        <v>6673</v>
      </c>
      <c r="D19" s="319" t="s">
        <v>1395</v>
      </c>
      <c r="E19" s="319" t="s">
        <v>25</v>
      </c>
      <c r="F19" s="318">
        <v>23169.0</v>
      </c>
      <c r="G19" s="320"/>
      <c r="H19" s="319" t="s">
        <v>6636</v>
      </c>
      <c r="I19" s="318">
        <v>51.0</v>
      </c>
      <c r="J19" s="318">
        <v>11816.19</v>
      </c>
      <c r="K19" s="321"/>
      <c r="L19" s="321"/>
      <c r="M19" s="321"/>
      <c r="N19" s="321"/>
      <c r="O19" s="321"/>
      <c r="P19" s="321"/>
      <c r="Q19" s="31"/>
      <c r="R19" s="31"/>
      <c r="S19" s="31"/>
      <c r="T19" s="31"/>
      <c r="U19" s="31"/>
      <c r="V19" s="31"/>
      <c r="W19" s="31"/>
      <c r="X19" s="31"/>
      <c r="Y19" s="31"/>
    </row>
    <row r="20" ht="15.75" customHeight="1">
      <c r="A20" s="318">
        <v>20.0</v>
      </c>
      <c r="B20" s="319" t="s">
        <v>6674</v>
      </c>
      <c r="C20" s="319" t="s">
        <v>6675</v>
      </c>
      <c r="D20" s="319" t="s">
        <v>21</v>
      </c>
      <c r="E20" s="319" t="s">
        <v>48</v>
      </c>
      <c r="F20" s="318">
        <v>47019.0</v>
      </c>
      <c r="G20" s="320"/>
      <c r="H20" s="319" t="s">
        <v>6636</v>
      </c>
      <c r="I20" s="318">
        <v>20.0</v>
      </c>
      <c r="J20" s="318">
        <v>9403.8</v>
      </c>
      <c r="K20" s="321"/>
      <c r="L20" s="321"/>
      <c r="M20" s="321"/>
      <c r="N20" s="321"/>
      <c r="O20" s="321"/>
      <c r="P20" s="321"/>
      <c r="Q20" s="31"/>
      <c r="R20" s="31"/>
      <c r="S20" s="31"/>
      <c r="T20" s="31"/>
      <c r="U20" s="31"/>
      <c r="V20" s="31"/>
      <c r="W20" s="31"/>
      <c r="X20" s="31"/>
      <c r="Y20" s="31"/>
    </row>
    <row r="21" ht="15.75" customHeight="1">
      <c r="A21" s="322">
        <v>21.0</v>
      </c>
      <c r="B21" s="323" t="s">
        <v>6676</v>
      </c>
      <c r="C21" s="323" t="s">
        <v>6677</v>
      </c>
      <c r="D21" s="323" t="s">
        <v>1395</v>
      </c>
      <c r="E21" s="323" t="s">
        <v>668</v>
      </c>
      <c r="F21" s="322">
        <v>20421.0</v>
      </c>
      <c r="G21" s="322">
        <v>23133.0</v>
      </c>
      <c r="H21" s="323" t="s">
        <v>6639</v>
      </c>
      <c r="I21" s="322">
        <v>53.0</v>
      </c>
      <c r="J21" s="322">
        <v>10823.13</v>
      </c>
      <c r="K21" s="324"/>
      <c r="L21" s="324"/>
      <c r="M21" s="324"/>
      <c r="N21" s="324"/>
      <c r="O21" s="324"/>
      <c r="P21" s="324"/>
      <c r="Q21" s="31"/>
      <c r="R21" s="31"/>
      <c r="S21" s="31"/>
      <c r="T21" s="31"/>
      <c r="U21" s="31"/>
      <c r="V21" s="31"/>
      <c r="W21" s="31"/>
      <c r="X21" s="31"/>
      <c r="Y21" s="31"/>
    </row>
    <row r="22" ht="15.75" customHeight="1">
      <c r="A22" s="318">
        <v>22.0</v>
      </c>
      <c r="B22" s="319" t="s">
        <v>6678</v>
      </c>
      <c r="C22" s="319" t="s">
        <v>6679</v>
      </c>
      <c r="D22" s="319" t="s">
        <v>21</v>
      </c>
      <c r="E22" s="319" t="s">
        <v>48</v>
      </c>
      <c r="F22" s="318">
        <v>32216.0</v>
      </c>
      <c r="G22" s="320"/>
      <c r="H22" s="319" t="s">
        <v>6636</v>
      </c>
      <c r="I22" s="318">
        <v>20.0</v>
      </c>
      <c r="J22" s="318">
        <v>6443.2</v>
      </c>
      <c r="K22" s="321"/>
      <c r="L22" s="321"/>
      <c r="M22" s="321"/>
      <c r="N22" s="321"/>
      <c r="O22" s="321"/>
      <c r="P22" s="321"/>
      <c r="Q22" s="31"/>
      <c r="R22" s="31"/>
      <c r="S22" s="31"/>
      <c r="T22" s="31"/>
      <c r="U22" s="31"/>
      <c r="V22" s="31"/>
      <c r="W22" s="31"/>
      <c r="X22" s="31"/>
      <c r="Y22" s="31"/>
    </row>
    <row r="23" ht="15.75" customHeight="1">
      <c r="A23" s="318">
        <v>23.0</v>
      </c>
      <c r="B23" s="319" t="s">
        <v>6680</v>
      </c>
      <c r="C23" s="319" t="s">
        <v>6681</v>
      </c>
      <c r="D23" s="319" t="s">
        <v>1395</v>
      </c>
      <c r="E23" s="319" t="s">
        <v>25</v>
      </c>
      <c r="F23" s="318">
        <v>25423.0</v>
      </c>
      <c r="G23" s="320"/>
      <c r="H23" s="319" t="s">
        <v>6636</v>
      </c>
      <c r="I23" s="318">
        <v>51.0</v>
      </c>
      <c r="J23" s="318">
        <v>12965.73</v>
      </c>
      <c r="K23" s="321"/>
      <c r="L23" s="321"/>
      <c r="M23" s="321"/>
      <c r="N23" s="321"/>
      <c r="O23" s="321"/>
      <c r="P23" s="321"/>
      <c r="Q23" s="31"/>
      <c r="R23" s="31"/>
      <c r="S23" s="31"/>
      <c r="T23" s="31"/>
      <c r="U23" s="31"/>
      <c r="V23" s="31"/>
      <c r="W23" s="31"/>
      <c r="X23" s="31"/>
      <c r="Y23" s="31"/>
    </row>
    <row r="24" ht="15.75" customHeight="1">
      <c r="A24" s="322">
        <v>24.0</v>
      </c>
      <c r="B24" s="323" t="s">
        <v>6682</v>
      </c>
      <c r="C24" s="323" t="s">
        <v>6683</v>
      </c>
      <c r="D24" s="323" t="s">
        <v>1395</v>
      </c>
      <c r="E24" s="323" t="s">
        <v>668</v>
      </c>
      <c r="F24" s="322">
        <v>22022.0</v>
      </c>
      <c r="G24" s="322">
        <v>25024.0</v>
      </c>
      <c r="H24" s="323" t="s">
        <v>6639</v>
      </c>
      <c r="I24" s="322">
        <v>53.0</v>
      </c>
      <c r="J24" s="322">
        <v>11671.66</v>
      </c>
      <c r="K24" s="324"/>
      <c r="L24" s="324"/>
      <c r="M24" s="324"/>
      <c r="N24" s="324"/>
      <c r="O24" s="324"/>
      <c r="P24" s="324"/>
      <c r="Q24" s="31"/>
      <c r="R24" s="31"/>
      <c r="S24" s="31"/>
      <c r="T24" s="31"/>
      <c r="U24" s="31"/>
      <c r="V24" s="31"/>
      <c r="W24" s="31"/>
      <c r="X24" s="31"/>
      <c r="Y24" s="31"/>
    </row>
    <row r="25" ht="15.75" customHeight="1">
      <c r="A25" s="318">
        <v>25.0</v>
      </c>
      <c r="B25" s="319" t="s">
        <v>6684</v>
      </c>
      <c r="C25" s="319" t="s">
        <v>6685</v>
      </c>
      <c r="D25" s="319" t="s">
        <v>1395</v>
      </c>
      <c r="E25" s="319" t="s">
        <v>668</v>
      </c>
      <c r="F25" s="318">
        <v>19798.0</v>
      </c>
      <c r="G25" s="320"/>
      <c r="H25" s="319" t="s">
        <v>6636</v>
      </c>
      <c r="I25" s="318">
        <v>53.0</v>
      </c>
      <c r="J25" s="318">
        <v>10492.94</v>
      </c>
      <c r="K25" s="321"/>
      <c r="L25" s="321"/>
      <c r="M25" s="321"/>
      <c r="N25" s="321"/>
      <c r="O25" s="321"/>
      <c r="P25" s="321"/>
      <c r="Q25" s="31"/>
      <c r="R25" s="31"/>
      <c r="S25" s="31"/>
      <c r="T25" s="31"/>
      <c r="U25" s="31"/>
      <c r="V25" s="31"/>
      <c r="W25" s="31"/>
      <c r="X25" s="31"/>
      <c r="Y25" s="31"/>
    </row>
    <row r="26" ht="15.75" customHeight="1">
      <c r="A26" s="318">
        <v>26.0</v>
      </c>
      <c r="B26" s="319" t="s">
        <v>6686</v>
      </c>
      <c r="C26" s="319" t="s">
        <v>6687</v>
      </c>
      <c r="D26" s="319" t="s">
        <v>966</v>
      </c>
      <c r="E26" s="319" t="s">
        <v>6642</v>
      </c>
      <c r="F26" s="318">
        <v>3476.0</v>
      </c>
      <c r="G26" s="320"/>
      <c r="H26" s="319" t="s">
        <v>6636</v>
      </c>
      <c r="I26" s="318">
        <v>30.0</v>
      </c>
      <c r="J26" s="318">
        <v>1042.8</v>
      </c>
      <c r="K26" s="321"/>
      <c r="L26" s="321"/>
      <c r="M26" s="321"/>
      <c r="N26" s="321"/>
      <c r="O26" s="321"/>
      <c r="P26" s="321"/>
      <c r="Q26" s="31"/>
      <c r="R26" s="31"/>
      <c r="S26" s="31"/>
      <c r="T26" s="31"/>
      <c r="U26" s="31"/>
      <c r="V26" s="31"/>
      <c r="W26" s="31"/>
      <c r="X26" s="31"/>
      <c r="Y26" s="31"/>
    </row>
    <row r="27" ht="15.75" customHeight="1">
      <c r="A27" s="318">
        <v>27.0</v>
      </c>
      <c r="B27" s="319" t="s">
        <v>5755</v>
      </c>
      <c r="C27" s="319" t="s">
        <v>6687</v>
      </c>
      <c r="D27" s="319" t="s">
        <v>1395</v>
      </c>
      <c r="E27" s="319" t="s">
        <v>668</v>
      </c>
      <c r="F27" s="318">
        <v>36963.0</v>
      </c>
      <c r="G27" s="320"/>
      <c r="H27" s="319" t="s">
        <v>6636</v>
      </c>
      <c r="I27" s="318">
        <v>53.0</v>
      </c>
      <c r="J27" s="318">
        <v>19590.39</v>
      </c>
      <c r="K27" s="321"/>
      <c r="L27" s="321"/>
      <c r="M27" s="321"/>
      <c r="N27" s="321"/>
      <c r="O27" s="321"/>
      <c r="P27" s="321"/>
      <c r="Q27" s="31"/>
      <c r="R27" s="31"/>
      <c r="S27" s="31"/>
      <c r="T27" s="31"/>
      <c r="U27" s="31"/>
      <c r="V27" s="31"/>
      <c r="W27" s="31"/>
      <c r="X27" s="31"/>
      <c r="Y27" s="31"/>
    </row>
    <row r="28" ht="15.75" customHeight="1">
      <c r="A28" s="322">
        <v>28.0</v>
      </c>
      <c r="B28" s="323" t="s">
        <v>6688</v>
      </c>
      <c r="C28" s="323" t="s">
        <v>6689</v>
      </c>
      <c r="D28" s="323" t="s">
        <v>1395</v>
      </c>
      <c r="E28" s="323" t="s">
        <v>116</v>
      </c>
      <c r="F28" s="322">
        <v>19005.0</v>
      </c>
      <c r="G28" s="322">
        <v>21453.0</v>
      </c>
      <c r="H28" s="323" t="s">
        <v>6639</v>
      </c>
      <c r="I28" s="322">
        <v>51.0</v>
      </c>
      <c r="J28" s="322">
        <v>9692.55</v>
      </c>
      <c r="K28" s="324"/>
      <c r="L28" s="324"/>
      <c r="M28" s="324"/>
      <c r="N28" s="324"/>
      <c r="O28" s="324"/>
      <c r="P28" s="324"/>
      <c r="Q28" s="31"/>
      <c r="R28" s="31"/>
      <c r="S28" s="31"/>
      <c r="T28" s="31"/>
      <c r="U28" s="31"/>
      <c r="V28" s="31"/>
      <c r="W28" s="31"/>
      <c r="X28" s="31"/>
      <c r="Y28" s="31"/>
    </row>
    <row r="29" ht="15.75" customHeight="1">
      <c r="A29" s="322">
        <v>29.0</v>
      </c>
      <c r="B29" s="323" t="s">
        <v>6690</v>
      </c>
      <c r="C29" s="323" t="s">
        <v>6691</v>
      </c>
      <c r="D29" s="323" t="s">
        <v>966</v>
      </c>
      <c r="E29" s="323" t="s">
        <v>6642</v>
      </c>
      <c r="F29" s="322">
        <v>3791.0</v>
      </c>
      <c r="G29" s="322">
        <v>4473.0</v>
      </c>
      <c r="H29" s="323" t="s">
        <v>6639</v>
      </c>
      <c r="I29" s="322">
        <v>30.0</v>
      </c>
      <c r="J29" s="322">
        <v>1137.3</v>
      </c>
      <c r="K29" s="324"/>
      <c r="L29" s="324"/>
      <c r="M29" s="324"/>
      <c r="N29" s="324"/>
      <c r="O29" s="324"/>
      <c r="P29" s="324"/>
      <c r="Q29" s="31"/>
      <c r="R29" s="31"/>
      <c r="S29" s="31"/>
      <c r="T29" s="31"/>
      <c r="U29" s="31"/>
      <c r="V29" s="31"/>
      <c r="W29" s="31"/>
      <c r="X29" s="31"/>
      <c r="Y29" s="31"/>
    </row>
    <row r="30" ht="15.75" customHeight="1">
      <c r="A30" s="318">
        <v>30.0</v>
      </c>
      <c r="B30" s="319" t="s">
        <v>6692</v>
      </c>
      <c r="C30" s="319" t="s">
        <v>6693</v>
      </c>
      <c r="D30" s="319" t="s">
        <v>21</v>
      </c>
      <c r="E30" s="319" t="s">
        <v>65</v>
      </c>
      <c r="F30" s="318">
        <v>27186.0</v>
      </c>
      <c r="G30" s="320"/>
      <c r="H30" s="319" t="s">
        <v>6636</v>
      </c>
      <c r="I30" s="318">
        <v>38.0</v>
      </c>
      <c r="J30" s="318">
        <v>10330.68</v>
      </c>
      <c r="K30" s="321"/>
      <c r="L30" s="321"/>
      <c r="M30" s="321"/>
      <c r="N30" s="321"/>
      <c r="O30" s="321"/>
      <c r="P30" s="321"/>
      <c r="Q30" s="31"/>
      <c r="R30" s="31"/>
      <c r="S30" s="31"/>
      <c r="T30" s="31"/>
      <c r="U30" s="31"/>
      <c r="V30" s="31"/>
      <c r="W30" s="31"/>
      <c r="X30" s="31"/>
      <c r="Y30" s="31"/>
    </row>
    <row r="31" ht="15.75" customHeight="1">
      <c r="A31" s="322">
        <v>31.0</v>
      </c>
      <c r="B31" s="323" t="s">
        <v>6694</v>
      </c>
      <c r="C31" s="323" t="s">
        <v>6695</v>
      </c>
      <c r="D31" s="323" t="s">
        <v>6650</v>
      </c>
      <c r="E31" s="323" t="s">
        <v>668</v>
      </c>
      <c r="F31" s="322">
        <v>5414.0</v>
      </c>
      <c r="G31" s="322">
        <v>6120.0</v>
      </c>
      <c r="H31" s="323" t="s">
        <v>6639</v>
      </c>
      <c r="I31" s="322">
        <v>53.0</v>
      </c>
      <c r="J31" s="322">
        <v>2869.42</v>
      </c>
      <c r="K31" s="324"/>
      <c r="L31" s="324"/>
      <c r="M31" s="324"/>
      <c r="N31" s="324"/>
      <c r="O31" s="324"/>
      <c r="P31" s="324"/>
      <c r="Q31" s="31"/>
      <c r="R31" s="31"/>
      <c r="S31" s="31"/>
      <c r="T31" s="31"/>
      <c r="U31" s="31"/>
      <c r="V31" s="31"/>
      <c r="W31" s="31"/>
      <c r="X31" s="31"/>
      <c r="Y31" s="31"/>
    </row>
    <row r="32" ht="15.75" customHeight="1">
      <c r="A32" s="322">
        <v>32.0</v>
      </c>
      <c r="B32" s="323" t="s">
        <v>6696</v>
      </c>
      <c r="C32" s="323" t="s">
        <v>6697</v>
      </c>
      <c r="D32" s="323" t="s">
        <v>966</v>
      </c>
      <c r="E32" s="323" t="s">
        <v>668</v>
      </c>
      <c r="F32" s="322">
        <v>2154.0</v>
      </c>
      <c r="G32" s="322">
        <v>2542.0</v>
      </c>
      <c r="H32" s="323" t="s">
        <v>6639</v>
      </c>
      <c r="I32" s="322">
        <v>36.0</v>
      </c>
      <c r="J32" s="322">
        <v>775.44</v>
      </c>
      <c r="K32" s="324"/>
      <c r="L32" s="324"/>
      <c r="M32" s="324"/>
      <c r="N32" s="324"/>
      <c r="O32" s="324"/>
      <c r="P32" s="324"/>
      <c r="Q32" s="31"/>
      <c r="R32" s="31"/>
      <c r="S32" s="31"/>
      <c r="T32" s="31"/>
      <c r="U32" s="31"/>
      <c r="V32" s="31"/>
      <c r="W32" s="31"/>
      <c r="X32" s="31"/>
      <c r="Y32" s="31"/>
    </row>
    <row r="33" ht="15.75" customHeight="1">
      <c r="A33" s="322">
        <v>33.0</v>
      </c>
      <c r="B33" s="323" t="s">
        <v>6698</v>
      </c>
      <c r="C33" s="323" t="s">
        <v>6699</v>
      </c>
      <c r="D33" s="323" t="s">
        <v>1395</v>
      </c>
      <c r="E33" s="323" t="s">
        <v>116</v>
      </c>
      <c r="F33" s="322">
        <v>18071.0</v>
      </c>
      <c r="G33" s="322">
        <v>20351.0</v>
      </c>
      <c r="H33" s="323" t="s">
        <v>6639</v>
      </c>
      <c r="I33" s="322">
        <v>51.0</v>
      </c>
      <c r="J33" s="322">
        <v>9216.21</v>
      </c>
      <c r="K33" s="324"/>
      <c r="L33" s="324"/>
      <c r="M33" s="324"/>
      <c r="N33" s="324"/>
      <c r="O33" s="324"/>
      <c r="P33" s="324"/>
      <c r="Q33" s="31"/>
      <c r="R33" s="31"/>
      <c r="S33" s="31"/>
      <c r="T33" s="31"/>
      <c r="U33" s="31"/>
      <c r="V33" s="31"/>
      <c r="W33" s="31"/>
      <c r="X33" s="31"/>
      <c r="Y33" s="31"/>
    </row>
    <row r="34" ht="15.75" customHeight="1">
      <c r="A34" s="318">
        <v>34.0</v>
      </c>
      <c r="B34" s="319" t="s">
        <v>6700</v>
      </c>
      <c r="C34" s="319" t="s">
        <v>6701</v>
      </c>
      <c r="D34" s="319" t="s">
        <v>1395</v>
      </c>
      <c r="E34" s="319" t="s">
        <v>25</v>
      </c>
      <c r="F34" s="318">
        <v>25423.0</v>
      </c>
      <c r="G34" s="320"/>
      <c r="H34" s="319" t="s">
        <v>6636</v>
      </c>
      <c r="I34" s="318">
        <v>38.0</v>
      </c>
      <c r="J34" s="318">
        <v>9660.74</v>
      </c>
      <c r="K34" s="321"/>
      <c r="L34" s="321"/>
      <c r="M34" s="321"/>
      <c r="N34" s="321"/>
      <c r="O34" s="321"/>
      <c r="P34" s="321"/>
      <c r="Q34" s="31"/>
      <c r="R34" s="31"/>
      <c r="S34" s="31"/>
      <c r="T34" s="31"/>
      <c r="U34" s="31"/>
      <c r="V34" s="31"/>
      <c r="W34" s="31"/>
      <c r="X34" s="31"/>
      <c r="Y34" s="31"/>
    </row>
    <row r="35" ht="15.75" customHeight="1">
      <c r="A35" s="322">
        <v>35.0</v>
      </c>
      <c r="B35" s="323" t="s">
        <v>6702</v>
      </c>
      <c r="C35" s="323" t="s">
        <v>6703</v>
      </c>
      <c r="D35" s="323" t="s">
        <v>1395</v>
      </c>
      <c r="E35" s="323" t="s">
        <v>668</v>
      </c>
      <c r="F35" s="322">
        <v>18728.0</v>
      </c>
      <c r="G35" s="322">
        <v>21136.0</v>
      </c>
      <c r="H35" s="323" t="s">
        <v>6639</v>
      </c>
      <c r="I35" s="322">
        <v>53.0</v>
      </c>
      <c r="J35" s="322">
        <v>9925.84</v>
      </c>
      <c r="K35" s="324"/>
      <c r="L35" s="324"/>
      <c r="M35" s="324"/>
      <c r="N35" s="324"/>
      <c r="O35" s="324"/>
      <c r="P35" s="324"/>
      <c r="Q35" s="31"/>
      <c r="R35" s="31"/>
      <c r="S35" s="31"/>
      <c r="T35" s="31"/>
      <c r="U35" s="31"/>
      <c r="V35" s="31"/>
      <c r="W35" s="31"/>
      <c r="X35" s="31"/>
      <c r="Y35" s="31"/>
    </row>
    <row r="36" ht="15.75" customHeight="1">
      <c r="A36" s="322">
        <v>36.0</v>
      </c>
      <c r="B36" s="323" t="s">
        <v>6704</v>
      </c>
      <c r="C36" s="323" t="s">
        <v>6705</v>
      </c>
      <c r="D36" s="323" t="s">
        <v>1395</v>
      </c>
      <c r="E36" s="323" t="s">
        <v>668</v>
      </c>
      <c r="F36" s="322">
        <v>20818.0</v>
      </c>
      <c r="G36" s="322">
        <v>23602.0</v>
      </c>
      <c r="H36" s="323" t="s">
        <v>6639</v>
      </c>
      <c r="I36" s="322">
        <v>53.0</v>
      </c>
      <c r="J36" s="322">
        <v>11033.54</v>
      </c>
      <c r="K36" s="324"/>
      <c r="L36" s="324"/>
      <c r="M36" s="324"/>
      <c r="N36" s="324"/>
      <c r="O36" s="324"/>
      <c r="P36" s="324"/>
      <c r="Q36" s="31"/>
      <c r="R36" s="31"/>
      <c r="S36" s="31"/>
      <c r="T36" s="31"/>
      <c r="U36" s="31"/>
      <c r="V36" s="31"/>
      <c r="W36" s="31"/>
      <c r="X36" s="31"/>
      <c r="Y36" s="31"/>
    </row>
    <row r="37" ht="15.75" customHeight="1">
      <c r="A37" s="318">
        <v>37.0</v>
      </c>
      <c r="B37" s="319" t="s">
        <v>6706</v>
      </c>
      <c r="C37" s="319" t="s">
        <v>1752</v>
      </c>
      <c r="D37" s="319" t="s">
        <v>21</v>
      </c>
      <c r="E37" s="319" t="s">
        <v>65</v>
      </c>
      <c r="F37" s="318">
        <v>43950.0</v>
      </c>
      <c r="G37" s="320"/>
      <c r="H37" s="319" t="s">
        <v>6636</v>
      </c>
      <c r="I37" s="318">
        <v>38.0</v>
      </c>
      <c r="J37" s="318">
        <v>16701.0</v>
      </c>
      <c r="K37" s="321"/>
      <c r="L37" s="321"/>
      <c r="M37" s="321"/>
      <c r="N37" s="321"/>
      <c r="O37" s="321"/>
      <c r="P37" s="321"/>
      <c r="Q37" s="31"/>
      <c r="R37" s="31"/>
      <c r="S37" s="31"/>
      <c r="T37" s="31"/>
      <c r="U37" s="31"/>
      <c r="V37" s="31"/>
      <c r="W37" s="31"/>
      <c r="X37" s="31"/>
      <c r="Y37" s="31"/>
    </row>
    <row r="38" ht="15.75" customHeight="1">
      <c r="A38" s="318">
        <v>38.0</v>
      </c>
      <c r="B38" s="319" t="s">
        <v>459</v>
      </c>
      <c r="C38" s="319" t="s">
        <v>6707</v>
      </c>
      <c r="D38" s="319" t="s">
        <v>21</v>
      </c>
      <c r="E38" s="319" t="s">
        <v>65</v>
      </c>
      <c r="F38" s="318">
        <v>43950.0</v>
      </c>
      <c r="G38" s="320"/>
      <c r="H38" s="319" t="s">
        <v>6636</v>
      </c>
      <c r="I38" s="318">
        <v>38.0</v>
      </c>
      <c r="J38" s="318">
        <v>16701.0</v>
      </c>
      <c r="K38" s="321"/>
      <c r="L38" s="321"/>
      <c r="M38" s="321"/>
      <c r="N38" s="321"/>
      <c r="O38" s="321"/>
      <c r="P38" s="321"/>
      <c r="Q38" s="31"/>
      <c r="R38" s="31"/>
      <c r="S38" s="31"/>
      <c r="T38" s="31"/>
      <c r="U38" s="31"/>
      <c r="V38" s="31"/>
      <c r="W38" s="31"/>
      <c r="X38" s="31"/>
      <c r="Y38" s="31"/>
    </row>
    <row r="39" ht="15.75" customHeight="1">
      <c r="A39" s="322">
        <v>39.0</v>
      </c>
      <c r="B39" s="323" t="s">
        <v>6708</v>
      </c>
      <c r="C39" s="323" t="s">
        <v>6709</v>
      </c>
      <c r="D39" s="323" t="s">
        <v>6650</v>
      </c>
      <c r="E39" s="323" t="s">
        <v>668</v>
      </c>
      <c r="F39" s="322">
        <v>5339.0</v>
      </c>
      <c r="G39" s="322">
        <v>6033.0</v>
      </c>
      <c r="H39" s="323" t="s">
        <v>6639</v>
      </c>
      <c r="I39" s="322">
        <v>53.0</v>
      </c>
      <c r="J39" s="322">
        <v>2829.67</v>
      </c>
      <c r="K39" s="324"/>
      <c r="L39" s="324"/>
      <c r="M39" s="324"/>
      <c r="N39" s="324"/>
      <c r="O39" s="324"/>
      <c r="P39" s="324"/>
      <c r="Q39" s="31"/>
      <c r="R39" s="31"/>
      <c r="S39" s="31"/>
      <c r="T39" s="31"/>
      <c r="U39" s="31"/>
      <c r="V39" s="31"/>
      <c r="W39" s="31"/>
      <c r="X39" s="31"/>
      <c r="Y39" s="31"/>
    </row>
    <row r="40" ht="15.75" customHeight="1">
      <c r="A40" s="322">
        <v>40.0</v>
      </c>
      <c r="B40" s="323" t="s">
        <v>6710</v>
      </c>
      <c r="C40" s="323" t="s">
        <v>6711</v>
      </c>
      <c r="D40" s="323" t="s">
        <v>1395</v>
      </c>
      <c r="E40" s="323" t="s">
        <v>116</v>
      </c>
      <c r="F40" s="322">
        <v>16995.0</v>
      </c>
      <c r="G40" s="322">
        <v>19085.0</v>
      </c>
      <c r="H40" s="323" t="s">
        <v>6639</v>
      </c>
      <c r="I40" s="322">
        <v>51.0</v>
      </c>
      <c r="J40" s="322">
        <v>8667.45</v>
      </c>
      <c r="K40" s="324"/>
      <c r="L40" s="324"/>
      <c r="M40" s="324"/>
      <c r="N40" s="324"/>
      <c r="O40" s="324"/>
      <c r="P40" s="324"/>
      <c r="Q40" s="31"/>
      <c r="R40" s="31"/>
      <c r="S40" s="31"/>
      <c r="T40" s="31"/>
      <c r="U40" s="31"/>
      <c r="V40" s="31"/>
      <c r="W40" s="31"/>
      <c r="X40" s="31"/>
      <c r="Y40" s="31"/>
    </row>
    <row r="41" ht="15.75" customHeight="1">
      <c r="A41" s="318">
        <v>41.0</v>
      </c>
      <c r="B41" s="319" t="s">
        <v>2251</v>
      </c>
      <c r="C41" s="319" t="s">
        <v>6712</v>
      </c>
      <c r="D41" s="319" t="s">
        <v>1395</v>
      </c>
      <c r="E41" s="319" t="s">
        <v>25</v>
      </c>
      <c r="F41" s="318">
        <v>25006.0</v>
      </c>
      <c r="G41" s="320"/>
      <c r="H41" s="319" t="s">
        <v>6636</v>
      </c>
      <c r="I41" s="318">
        <v>38.0</v>
      </c>
      <c r="J41" s="318">
        <v>9502.28</v>
      </c>
      <c r="K41" s="321"/>
      <c r="L41" s="321"/>
      <c r="M41" s="321"/>
      <c r="N41" s="321"/>
      <c r="O41" s="321"/>
      <c r="P41" s="321"/>
      <c r="Q41" s="31"/>
      <c r="R41" s="31"/>
      <c r="S41" s="31"/>
      <c r="T41" s="31"/>
      <c r="U41" s="31"/>
      <c r="V41" s="31"/>
      <c r="W41" s="31"/>
      <c r="X41" s="31"/>
      <c r="Y41" s="31"/>
    </row>
    <row r="42" ht="15.75" customHeight="1">
      <c r="A42" s="318">
        <v>42.0</v>
      </c>
      <c r="B42" s="319" t="s">
        <v>6713</v>
      </c>
      <c r="C42" s="319" t="s">
        <v>6714</v>
      </c>
      <c r="D42" s="319" t="s">
        <v>1395</v>
      </c>
      <c r="E42" s="319" t="s">
        <v>116</v>
      </c>
      <c r="F42" s="318">
        <v>18149.0</v>
      </c>
      <c r="G42" s="320"/>
      <c r="H42" s="319" t="s">
        <v>6636</v>
      </c>
      <c r="I42" s="318">
        <v>51.0</v>
      </c>
      <c r="J42" s="318">
        <v>9255.99</v>
      </c>
      <c r="K42" s="321"/>
      <c r="L42" s="321"/>
      <c r="M42" s="321"/>
      <c r="N42" s="321"/>
      <c r="O42" s="321"/>
      <c r="P42" s="321"/>
      <c r="Q42" s="31"/>
      <c r="R42" s="31"/>
      <c r="S42" s="31"/>
      <c r="T42" s="31"/>
      <c r="U42" s="31"/>
      <c r="V42" s="31"/>
      <c r="W42" s="31"/>
      <c r="X42" s="31"/>
      <c r="Y42" s="31"/>
    </row>
    <row r="43" ht="15.75" customHeight="1">
      <c r="A43" s="322">
        <v>43.0</v>
      </c>
      <c r="B43" s="323" t="s">
        <v>6715</v>
      </c>
      <c r="C43" s="323" t="s">
        <v>6716</v>
      </c>
      <c r="D43" s="323" t="s">
        <v>966</v>
      </c>
      <c r="E43" s="323" t="s">
        <v>668</v>
      </c>
      <c r="F43" s="322">
        <v>2579.0</v>
      </c>
      <c r="G43" s="322">
        <v>3043.0</v>
      </c>
      <c r="H43" s="323" t="s">
        <v>6639</v>
      </c>
      <c r="I43" s="322">
        <v>36.0</v>
      </c>
      <c r="J43" s="322">
        <v>928.44</v>
      </c>
      <c r="K43" s="324"/>
      <c r="L43" s="324"/>
      <c r="M43" s="324"/>
      <c r="N43" s="324"/>
      <c r="O43" s="324"/>
      <c r="P43" s="324"/>
      <c r="Q43" s="31"/>
      <c r="R43" s="31"/>
      <c r="S43" s="31"/>
      <c r="T43" s="31"/>
      <c r="U43" s="31"/>
      <c r="V43" s="31"/>
      <c r="W43" s="31"/>
      <c r="X43" s="31"/>
      <c r="Y43" s="31"/>
    </row>
    <row r="44" ht="15.75" customHeight="1">
      <c r="A44" s="322">
        <v>44.0</v>
      </c>
      <c r="B44" s="323" t="s">
        <v>5937</v>
      </c>
      <c r="C44" s="323" t="s">
        <v>6717</v>
      </c>
      <c r="D44" s="323" t="s">
        <v>1395</v>
      </c>
      <c r="E44" s="323" t="s">
        <v>668</v>
      </c>
      <c r="F44" s="322">
        <v>20805.0</v>
      </c>
      <c r="G44" s="322">
        <v>23587.0</v>
      </c>
      <c r="H44" s="323" t="s">
        <v>6639</v>
      </c>
      <c r="I44" s="322">
        <v>53.0</v>
      </c>
      <c r="J44" s="322">
        <v>11026.65</v>
      </c>
      <c r="K44" s="324"/>
      <c r="L44" s="324"/>
      <c r="M44" s="324"/>
      <c r="N44" s="324"/>
      <c r="O44" s="324"/>
      <c r="P44" s="324"/>
      <c r="Q44" s="31"/>
      <c r="R44" s="31"/>
      <c r="S44" s="31"/>
      <c r="T44" s="31"/>
      <c r="U44" s="31"/>
      <c r="V44" s="31"/>
      <c r="W44" s="31"/>
      <c r="X44" s="31"/>
      <c r="Y44" s="31"/>
    </row>
    <row r="45" ht="15.75" customHeight="1">
      <c r="A45" s="322">
        <v>45.0</v>
      </c>
      <c r="B45" s="323" t="s">
        <v>6718</v>
      </c>
      <c r="C45" s="323" t="s">
        <v>6719</v>
      </c>
      <c r="D45" s="323" t="s">
        <v>966</v>
      </c>
      <c r="E45" s="323" t="s">
        <v>6642</v>
      </c>
      <c r="F45" s="322">
        <v>2094.0</v>
      </c>
      <c r="G45" s="322">
        <v>2471.0</v>
      </c>
      <c r="H45" s="323" t="s">
        <v>6639</v>
      </c>
      <c r="I45" s="322">
        <v>30.0</v>
      </c>
      <c r="J45" s="322">
        <v>628.2</v>
      </c>
      <c r="K45" s="324"/>
      <c r="L45" s="324"/>
      <c r="M45" s="324"/>
      <c r="N45" s="324"/>
      <c r="O45" s="324"/>
      <c r="P45" s="324"/>
      <c r="Q45" s="31"/>
      <c r="R45" s="31"/>
      <c r="S45" s="31"/>
      <c r="T45" s="31"/>
      <c r="U45" s="31"/>
      <c r="V45" s="31"/>
      <c r="W45" s="31"/>
      <c r="X45" s="31"/>
      <c r="Y45" s="31"/>
    </row>
    <row r="46" ht="15.75" customHeight="1">
      <c r="A46" s="322">
        <v>46.0</v>
      </c>
      <c r="B46" s="323" t="s">
        <v>6720</v>
      </c>
      <c r="C46" s="323" t="s">
        <v>6721</v>
      </c>
      <c r="D46" s="323" t="s">
        <v>966</v>
      </c>
      <c r="E46" s="323" t="s">
        <v>4916</v>
      </c>
      <c r="F46" s="322">
        <v>2094.0</v>
      </c>
      <c r="G46" s="322">
        <v>2470.0</v>
      </c>
      <c r="H46" s="323" t="s">
        <v>6639</v>
      </c>
      <c r="I46" s="322">
        <v>36.0</v>
      </c>
      <c r="J46" s="322">
        <v>753.84</v>
      </c>
      <c r="K46" s="324"/>
      <c r="L46" s="324"/>
      <c r="M46" s="324"/>
      <c r="N46" s="324"/>
      <c r="O46" s="324"/>
      <c r="P46" s="324"/>
      <c r="Q46" s="31"/>
      <c r="R46" s="31"/>
      <c r="S46" s="31"/>
      <c r="T46" s="31"/>
      <c r="U46" s="31"/>
      <c r="V46" s="31"/>
      <c r="W46" s="31"/>
      <c r="X46" s="31"/>
      <c r="Y46" s="31"/>
    </row>
    <row r="47" ht="15.75" customHeight="1">
      <c r="A47" s="318">
        <v>47.0</v>
      </c>
      <c r="B47" s="319" t="s">
        <v>6722</v>
      </c>
      <c r="C47" s="319" t="s">
        <v>6723</v>
      </c>
      <c r="D47" s="319" t="s">
        <v>1395</v>
      </c>
      <c r="E47" s="319" t="s">
        <v>116</v>
      </c>
      <c r="F47" s="318">
        <v>17429.0</v>
      </c>
      <c r="G47" s="320"/>
      <c r="H47" s="319" t="s">
        <v>6636</v>
      </c>
      <c r="I47" s="318">
        <v>51.0</v>
      </c>
      <c r="J47" s="318">
        <v>8888.79</v>
      </c>
      <c r="K47" s="321"/>
      <c r="L47" s="321"/>
      <c r="M47" s="321"/>
      <c r="N47" s="321"/>
      <c r="O47" s="321"/>
      <c r="P47" s="321"/>
      <c r="Q47" s="31"/>
      <c r="R47" s="31"/>
      <c r="S47" s="31"/>
      <c r="T47" s="31"/>
      <c r="U47" s="31"/>
      <c r="V47" s="31"/>
      <c r="W47" s="31"/>
      <c r="X47" s="31"/>
      <c r="Y47" s="31"/>
    </row>
    <row r="48" ht="15.75" customHeight="1">
      <c r="A48" s="318">
        <v>48.0</v>
      </c>
      <c r="B48" s="319" t="s">
        <v>6724</v>
      </c>
      <c r="C48" s="319" t="s">
        <v>6725</v>
      </c>
      <c r="D48" s="319" t="s">
        <v>966</v>
      </c>
      <c r="E48" s="319" t="s">
        <v>6642</v>
      </c>
      <c r="F48" s="318">
        <v>7897.0</v>
      </c>
      <c r="G48" s="320"/>
      <c r="H48" s="319" t="s">
        <v>6636</v>
      </c>
      <c r="I48" s="318">
        <v>30.0</v>
      </c>
      <c r="J48" s="318">
        <v>2369.1</v>
      </c>
      <c r="K48" s="321"/>
      <c r="L48" s="321"/>
      <c r="M48" s="321"/>
      <c r="N48" s="321"/>
      <c r="O48" s="321"/>
      <c r="P48" s="321"/>
      <c r="Q48" s="31"/>
      <c r="R48" s="31"/>
      <c r="S48" s="31"/>
      <c r="T48" s="31"/>
      <c r="U48" s="31"/>
      <c r="V48" s="31"/>
      <c r="W48" s="31"/>
      <c r="X48" s="31"/>
      <c r="Y48" s="31"/>
    </row>
    <row r="49" ht="15.75" customHeight="1">
      <c r="A49" s="325">
        <v>49.0</v>
      </c>
      <c r="B49" s="326" t="s">
        <v>6726</v>
      </c>
      <c r="C49" s="326" t="s">
        <v>6727</v>
      </c>
      <c r="D49" s="326" t="s">
        <v>1395</v>
      </c>
      <c r="E49" s="326" t="s">
        <v>116</v>
      </c>
      <c r="F49" s="325">
        <v>18510.0</v>
      </c>
      <c r="G49" s="327"/>
      <c r="H49" s="326" t="s">
        <v>6636</v>
      </c>
      <c r="I49" s="325">
        <v>51.0</v>
      </c>
      <c r="J49" s="325">
        <v>9440.1</v>
      </c>
      <c r="K49" s="328"/>
      <c r="L49" s="328"/>
      <c r="M49" s="328"/>
      <c r="N49" s="328"/>
      <c r="O49" s="328"/>
      <c r="P49" s="328"/>
      <c r="Q49" s="31"/>
      <c r="R49" s="31"/>
      <c r="S49" s="31"/>
      <c r="T49" s="31"/>
      <c r="U49" s="31"/>
      <c r="V49" s="31"/>
      <c r="W49" s="31"/>
      <c r="X49" s="31"/>
      <c r="Y49" s="31"/>
    </row>
    <row r="50" ht="15.75" customHeight="1">
      <c r="A50" s="322">
        <v>50.0</v>
      </c>
      <c r="B50" s="323" t="s">
        <v>6728</v>
      </c>
      <c r="C50" s="323" t="s">
        <v>6729</v>
      </c>
      <c r="D50" s="323" t="s">
        <v>1395</v>
      </c>
      <c r="E50" s="323" t="s">
        <v>116</v>
      </c>
      <c r="F50" s="322">
        <v>18646.0</v>
      </c>
      <c r="G50" s="322">
        <v>21031.0</v>
      </c>
      <c r="H50" s="323" t="s">
        <v>6639</v>
      </c>
      <c r="I50" s="322">
        <v>51.0</v>
      </c>
      <c r="J50" s="322">
        <v>9509.46</v>
      </c>
      <c r="K50" s="324"/>
      <c r="L50" s="324"/>
      <c r="M50" s="324"/>
      <c r="N50" s="324"/>
      <c r="O50" s="324"/>
      <c r="P50" s="324"/>
      <c r="Q50" s="31"/>
      <c r="R50" s="31"/>
      <c r="S50" s="31"/>
      <c r="T50" s="31"/>
      <c r="U50" s="31"/>
      <c r="V50" s="31"/>
      <c r="W50" s="31"/>
      <c r="X50" s="31"/>
      <c r="Y50" s="31"/>
    </row>
    <row r="51" ht="15.75" customHeight="1">
      <c r="A51" s="322">
        <v>51.0</v>
      </c>
      <c r="B51" s="323" t="s">
        <v>6730</v>
      </c>
      <c r="C51" s="323" t="s">
        <v>6731</v>
      </c>
      <c r="D51" s="323" t="s">
        <v>1395</v>
      </c>
      <c r="E51" s="323" t="s">
        <v>668</v>
      </c>
      <c r="F51" s="322">
        <v>17516.0</v>
      </c>
      <c r="G51" s="322">
        <v>19706.0</v>
      </c>
      <c r="H51" s="323" t="s">
        <v>6639</v>
      </c>
      <c r="I51" s="322">
        <v>53.0</v>
      </c>
      <c r="J51" s="322">
        <v>9283.48</v>
      </c>
      <c r="K51" s="324"/>
      <c r="L51" s="324"/>
      <c r="M51" s="324"/>
      <c r="N51" s="324"/>
      <c r="O51" s="324"/>
      <c r="P51" s="324"/>
      <c r="Q51" s="31"/>
      <c r="R51" s="31"/>
      <c r="S51" s="31"/>
      <c r="T51" s="31"/>
      <c r="U51" s="31"/>
      <c r="V51" s="31"/>
      <c r="W51" s="31"/>
      <c r="X51" s="31"/>
      <c r="Y51" s="31"/>
    </row>
    <row r="52" ht="15.75" customHeight="1">
      <c r="A52" s="322">
        <v>52.0</v>
      </c>
      <c r="B52" s="323" t="s">
        <v>6732</v>
      </c>
      <c r="C52" s="323" t="s">
        <v>6671</v>
      </c>
      <c r="D52" s="323" t="s">
        <v>1395</v>
      </c>
      <c r="E52" s="323" t="s">
        <v>668</v>
      </c>
      <c r="F52" s="322">
        <v>19294.0</v>
      </c>
      <c r="G52" s="322">
        <v>21804.0</v>
      </c>
      <c r="H52" s="323" t="s">
        <v>6639</v>
      </c>
      <c r="I52" s="322">
        <v>53.0</v>
      </c>
      <c r="J52" s="322">
        <v>10225.82</v>
      </c>
      <c r="K52" s="324"/>
      <c r="L52" s="324"/>
      <c r="M52" s="324"/>
      <c r="N52" s="324"/>
      <c r="O52" s="324"/>
      <c r="P52" s="324"/>
      <c r="Q52" s="31"/>
      <c r="R52" s="31"/>
      <c r="S52" s="31"/>
      <c r="T52" s="31"/>
      <c r="U52" s="31"/>
      <c r="V52" s="31"/>
      <c r="W52" s="31"/>
      <c r="X52" s="31"/>
      <c r="Y52" s="31"/>
    </row>
    <row r="53" ht="15.75" customHeight="1">
      <c r="A53" s="322">
        <v>53.0</v>
      </c>
      <c r="B53" s="323" t="s">
        <v>6733</v>
      </c>
      <c r="C53" s="323" t="s">
        <v>6671</v>
      </c>
      <c r="D53" s="323" t="s">
        <v>1395</v>
      </c>
      <c r="E53" s="323" t="s">
        <v>668</v>
      </c>
      <c r="F53" s="322">
        <v>19276.0</v>
      </c>
      <c r="G53" s="322">
        <v>21784.0</v>
      </c>
      <c r="H53" s="323" t="s">
        <v>6639</v>
      </c>
      <c r="I53" s="322">
        <v>53.0</v>
      </c>
      <c r="J53" s="322">
        <v>10216.28</v>
      </c>
      <c r="K53" s="324"/>
      <c r="L53" s="324"/>
      <c r="M53" s="324"/>
      <c r="N53" s="324"/>
      <c r="O53" s="324"/>
      <c r="P53" s="324"/>
      <c r="Q53" s="31"/>
      <c r="R53" s="31"/>
      <c r="S53" s="31"/>
      <c r="T53" s="31"/>
      <c r="U53" s="31"/>
      <c r="V53" s="31"/>
      <c r="W53" s="31"/>
      <c r="X53" s="31"/>
      <c r="Y53" s="31"/>
    </row>
    <row r="54" ht="15.75" customHeight="1">
      <c r="A54" s="322">
        <v>54.0</v>
      </c>
      <c r="B54" s="323" t="s">
        <v>6734</v>
      </c>
      <c r="C54" s="323" t="s">
        <v>1752</v>
      </c>
      <c r="D54" s="323" t="s">
        <v>1395</v>
      </c>
      <c r="E54" s="323" t="s">
        <v>668</v>
      </c>
      <c r="F54" s="322">
        <v>19500.0</v>
      </c>
      <c r="G54" s="322">
        <v>22046.0</v>
      </c>
      <c r="H54" s="323" t="s">
        <v>6639</v>
      </c>
      <c r="I54" s="322">
        <v>53.0</v>
      </c>
      <c r="J54" s="322">
        <v>10335.0</v>
      </c>
      <c r="K54" s="324"/>
      <c r="L54" s="324"/>
      <c r="M54" s="324"/>
      <c r="N54" s="324"/>
      <c r="O54" s="324"/>
      <c r="P54" s="324"/>
      <c r="Q54" s="31"/>
      <c r="R54" s="31"/>
      <c r="S54" s="31"/>
      <c r="T54" s="31"/>
      <c r="U54" s="31"/>
      <c r="V54" s="31"/>
      <c r="W54" s="31"/>
      <c r="X54" s="31"/>
      <c r="Y54" s="31"/>
    </row>
    <row r="55" ht="15.75" customHeight="1">
      <c r="A55" s="318">
        <v>55.0</v>
      </c>
      <c r="B55" s="319" t="s">
        <v>6735</v>
      </c>
      <c r="C55" s="319" t="s">
        <v>6736</v>
      </c>
      <c r="D55" s="319" t="s">
        <v>1395</v>
      </c>
      <c r="E55" s="319" t="s">
        <v>116</v>
      </c>
      <c r="F55" s="318">
        <v>18407.0</v>
      </c>
      <c r="G55" s="320"/>
      <c r="H55" s="319" t="s">
        <v>6636</v>
      </c>
      <c r="I55" s="318">
        <v>51.0</v>
      </c>
      <c r="J55" s="318">
        <v>9387.57</v>
      </c>
      <c r="K55" s="321"/>
      <c r="L55" s="321"/>
      <c r="M55" s="321"/>
      <c r="N55" s="321"/>
      <c r="O55" s="321"/>
      <c r="P55" s="321"/>
      <c r="Q55" s="31"/>
      <c r="R55" s="31"/>
      <c r="S55" s="31"/>
      <c r="T55" s="31"/>
      <c r="U55" s="31"/>
      <c r="V55" s="31"/>
      <c r="W55" s="31"/>
      <c r="X55" s="31"/>
      <c r="Y55" s="31"/>
    </row>
    <row r="56" ht="15.75" customHeight="1">
      <c r="A56" s="318">
        <v>56.0</v>
      </c>
      <c r="B56" s="319" t="s">
        <v>6737</v>
      </c>
      <c r="C56" s="319" t="s">
        <v>6738</v>
      </c>
      <c r="D56" s="319" t="s">
        <v>1395</v>
      </c>
      <c r="E56" s="319" t="s">
        <v>116</v>
      </c>
      <c r="F56" s="318">
        <v>18181.0</v>
      </c>
      <c r="G56" s="320"/>
      <c r="H56" s="319" t="s">
        <v>6636</v>
      </c>
      <c r="I56" s="318">
        <v>51.0</v>
      </c>
      <c r="J56" s="318">
        <v>9272.31</v>
      </c>
      <c r="K56" s="321"/>
      <c r="L56" s="321"/>
      <c r="M56" s="321"/>
      <c r="N56" s="321"/>
      <c r="O56" s="321"/>
      <c r="P56" s="321"/>
      <c r="Q56" s="31"/>
      <c r="R56" s="31"/>
      <c r="S56" s="31"/>
      <c r="T56" s="31"/>
      <c r="U56" s="31"/>
      <c r="V56" s="31"/>
      <c r="W56" s="31"/>
      <c r="X56" s="31"/>
      <c r="Y56" s="31"/>
    </row>
    <row r="57" ht="15.75" customHeight="1">
      <c r="A57" s="322">
        <v>57.0</v>
      </c>
      <c r="B57" s="323" t="s">
        <v>6739</v>
      </c>
      <c r="C57" s="323" t="s">
        <v>4042</v>
      </c>
      <c r="D57" s="323" t="s">
        <v>1395</v>
      </c>
      <c r="E57" s="323" t="s">
        <v>116</v>
      </c>
      <c r="F57" s="322">
        <v>16474.0</v>
      </c>
      <c r="G57" s="322">
        <v>18470.0</v>
      </c>
      <c r="H57" s="323" t="s">
        <v>6639</v>
      </c>
      <c r="I57" s="322">
        <v>51.0</v>
      </c>
      <c r="J57" s="322">
        <v>8401.74</v>
      </c>
      <c r="K57" s="324"/>
      <c r="L57" s="324"/>
      <c r="M57" s="324"/>
      <c r="N57" s="324"/>
      <c r="O57" s="324"/>
      <c r="P57" s="324"/>
      <c r="Q57" s="31"/>
      <c r="R57" s="31"/>
      <c r="S57" s="31"/>
      <c r="T57" s="31"/>
      <c r="U57" s="31"/>
      <c r="V57" s="31"/>
      <c r="W57" s="31"/>
      <c r="X57" s="31"/>
      <c r="Y57" s="31"/>
    </row>
    <row r="58" ht="15.75" customHeight="1">
      <c r="A58" s="318">
        <v>58.0</v>
      </c>
      <c r="B58" s="319" t="s">
        <v>4299</v>
      </c>
      <c r="C58" s="319" t="s">
        <v>6740</v>
      </c>
      <c r="D58" s="319" t="s">
        <v>1395</v>
      </c>
      <c r="E58" s="319" t="s">
        <v>668</v>
      </c>
      <c r="F58" s="318">
        <v>18964.0</v>
      </c>
      <c r="G58" s="320"/>
      <c r="H58" s="319" t="s">
        <v>6636</v>
      </c>
      <c r="I58" s="318">
        <v>53.0</v>
      </c>
      <c r="J58" s="318">
        <v>10050.92</v>
      </c>
      <c r="K58" s="321"/>
      <c r="L58" s="321"/>
      <c r="M58" s="321"/>
      <c r="N58" s="321"/>
      <c r="O58" s="321"/>
      <c r="P58" s="321"/>
      <c r="Q58" s="31"/>
      <c r="R58" s="31"/>
      <c r="S58" s="31"/>
      <c r="T58" s="31"/>
      <c r="U58" s="31"/>
      <c r="V58" s="31"/>
      <c r="W58" s="31"/>
      <c r="X58" s="31"/>
      <c r="Y58" s="31"/>
    </row>
    <row r="59" ht="15.75" customHeight="1">
      <c r="A59" s="322">
        <v>59.0</v>
      </c>
      <c r="B59" s="323" t="s">
        <v>6741</v>
      </c>
      <c r="C59" s="323" t="s">
        <v>6742</v>
      </c>
      <c r="D59" s="323" t="s">
        <v>1395</v>
      </c>
      <c r="E59" s="323" t="s">
        <v>668</v>
      </c>
      <c r="F59" s="322">
        <v>17873.0</v>
      </c>
      <c r="G59" s="322">
        <v>20129.0</v>
      </c>
      <c r="H59" s="323" t="s">
        <v>6639</v>
      </c>
      <c r="I59" s="322">
        <v>53.0</v>
      </c>
      <c r="J59" s="322">
        <v>9472.69</v>
      </c>
      <c r="K59" s="324"/>
      <c r="L59" s="324"/>
      <c r="M59" s="324"/>
      <c r="N59" s="324"/>
      <c r="O59" s="324"/>
      <c r="P59" s="324"/>
      <c r="Q59" s="31"/>
      <c r="R59" s="31"/>
      <c r="S59" s="31"/>
      <c r="T59" s="31"/>
      <c r="U59" s="31"/>
      <c r="V59" s="31"/>
      <c r="W59" s="31"/>
      <c r="X59" s="31"/>
      <c r="Y59" s="31"/>
    </row>
    <row r="60" ht="15.75" customHeight="1">
      <c r="A60" s="318">
        <v>60.0</v>
      </c>
      <c r="B60" s="319" t="s">
        <v>1269</v>
      </c>
      <c r="C60" s="319" t="s">
        <v>6743</v>
      </c>
      <c r="D60" s="319" t="s">
        <v>1395</v>
      </c>
      <c r="E60" s="319" t="s">
        <v>116</v>
      </c>
      <c r="F60" s="318">
        <v>17853.0</v>
      </c>
      <c r="G60" s="320"/>
      <c r="H60" s="319" t="s">
        <v>6636</v>
      </c>
      <c r="I60" s="318">
        <v>51.0</v>
      </c>
      <c r="J60" s="318">
        <v>9105.03</v>
      </c>
      <c r="K60" s="321"/>
      <c r="L60" s="321"/>
      <c r="M60" s="321"/>
      <c r="N60" s="321"/>
      <c r="O60" s="321"/>
      <c r="P60" s="321"/>
      <c r="Q60" s="31"/>
      <c r="R60" s="31"/>
      <c r="S60" s="31"/>
      <c r="T60" s="31"/>
      <c r="U60" s="31"/>
      <c r="V60" s="31"/>
      <c r="W60" s="31"/>
      <c r="X60" s="31"/>
      <c r="Y60" s="31"/>
    </row>
    <row r="61" ht="15.75" customHeight="1">
      <c r="A61" s="318">
        <v>61.0</v>
      </c>
      <c r="B61" s="319" t="s">
        <v>6744</v>
      </c>
      <c r="C61" s="319" t="s">
        <v>6745</v>
      </c>
      <c r="D61" s="319" t="s">
        <v>21</v>
      </c>
      <c r="E61" s="319" t="s">
        <v>65</v>
      </c>
      <c r="F61" s="318">
        <v>27186.0</v>
      </c>
      <c r="G61" s="320"/>
      <c r="H61" s="319" t="s">
        <v>6636</v>
      </c>
      <c r="I61" s="318">
        <v>38.0</v>
      </c>
      <c r="J61" s="318">
        <v>10330.68</v>
      </c>
      <c r="K61" s="321"/>
      <c r="L61" s="321"/>
      <c r="M61" s="321"/>
      <c r="N61" s="321"/>
      <c r="O61" s="321"/>
      <c r="P61" s="321"/>
      <c r="Q61" s="31"/>
      <c r="R61" s="31"/>
      <c r="S61" s="31"/>
      <c r="T61" s="31"/>
      <c r="U61" s="31"/>
      <c r="V61" s="31"/>
      <c r="W61" s="31"/>
      <c r="X61" s="31"/>
      <c r="Y61" s="31"/>
    </row>
    <row r="62" ht="15.75" customHeight="1">
      <c r="A62" s="318">
        <v>62.0</v>
      </c>
      <c r="B62" s="319" t="s">
        <v>5959</v>
      </c>
      <c r="C62" s="319" t="s">
        <v>6746</v>
      </c>
      <c r="D62" s="319" t="s">
        <v>1395</v>
      </c>
      <c r="E62" s="319" t="s">
        <v>668</v>
      </c>
      <c r="F62" s="318">
        <v>17063.0</v>
      </c>
      <c r="G62" s="320"/>
      <c r="H62" s="319" t="s">
        <v>6636</v>
      </c>
      <c r="I62" s="318">
        <v>53.0</v>
      </c>
      <c r="J62" s="318">
        <v>9043.39</v>
      </c>
      <c r="K62" s="321"/>
      <c r="L62" s="321"/>
      <c r="M62" s="321"/>
      <c r="N62" s="321"/>
      <c r="O62" s="321"/>
      <c r="P62" s="321"/>
      <c r="Q62" s="31"/>
      <c r="R62" s="31"/>
      <c r="S62" s="31"/>
      <c r="T62" s="31"/>
      <c r="U62" s="31"/>
      <c r="V62" s="31"/>
      <c r="W62" s="31"/>
      <c r="X62" s="31"/>
      <c r="Y62" s="31"/>
    </row>
    <row r="63" ht="15.75" customHeight="1">
      <c r="A63" s="318">
        <v>63.0</v>
      </c>
      <c r="B63" s="319" t="s">
        <v>6747</v>
      </c>
      <c r="C63" s="319" t="s">
        <v>6748</v>
      </c>
      <c r="D63" s="319" t="s">
        <v>1395</v>
      </c>
      <c r="E63" s="319" t="s">
        <v>116</v>
      </c>
      <c r="F63" s="318">
        <v>18128.0</v>
      </c>
      <c r="G63" s="320"/>
      <c r="H63" s="319" t="s">
        <v>6636</v>
      </c>
      <c r="I63" s="318">
        <v>51.0</v>
      </c>
      <c r="J63" s="318">
        <v>9245.28</v>
      </c>
      <c r="K63" s="321"/>
      <c r="L63" s="321"/>
      <c r="M63" s="321"/>
      <c r="N63" s="321"/>
      <c r="O63" s="321"/>
      <c r="P63" s="321"/>
      <c r="Q63" s="31"/>
      <c r="R63" s="31"/>
      <c r="S63" s="31"/>
      <c r="T63" s="31"/>
      <c r="U63" s="31"/>
      <c r="V63" s="31"/>
      <c r="W63" s="31"/>
      <c r="X63" s="31"/>
      <c r="Y63" s="31"/>
    </row>
    <row r="64" ht="15.75" customHeight="1">
      <c r="A64" s="322">
        <v>64.0</v>
      </c>
      <c r="B64" s="323" t="s">
        <v>2822</v>
      </c>
      <c r="C64" s="323" t="s">
        <v>6749</v>
      </c>
      <c r="D64" s="323" t="s">
        <v>1395</v>
      </c>
      <c r="E64" s="323" t="s">
        <v>668</v>
      </c>
      <c r="F64" s="322">
        <v>18294.0</v>
      </c>
      <c r="G64" s="322">
        <v>20624.0</v>
      </c>
      <c r="H64" s="323" t="s">
        <v>6639</v>
      </c>
      <c r="I64" s="322">
        <v>53.0</v>
      </c>
      <c r="J64" s="322">
        <v>9695.82</v>
      </c>
      <c r="K64" s="324"/>
      <c r="L64" s="324"/>
      <c r="M64" s="324"/>
      <c r="N64" s="324"/>
      <c r="O64" s="324"/>
      <c r="P64" s="324"/>
      <c r="Q64" s="31"/>
      <c r="R64" s="31"/>
      <c r="S64" s="31"/>
      <c r="T64" s="31"/>
      <c r="U64" s="31"/>
      <c r="V64" s="31"/>
      <c r="W64" s="31"/>
      <c r="X64" s="31"/>
      <c r="Y64" s="31"/>
    </row>
    <row r="65" ht="15.75" customHeight="1">
      <c r="A65" s="318">
        <v>65.0</v>
      </c>
      <c r="B65" s="319" t="s">
        <v>1686</v>
      </c>
      <c r="C65" s="319" t="s">
        <v>6750</v>
      </c>
      <c r="D65" s="319" t="s">
        <v>21</v>
      </c>
      <c r="E65" s="319" t="s">
        <v>65</v>
      </c>
      <c r="F65" s="318">
        <v>43950.0</v>
      </c>
      <c r="G65" s="320"/>
      <c r="H65" s="319" t="s">
        <v>6636</v>
      </c>
      <c r="I65" s="318">
        <v>38.0</v>
      </c>
      <c r="J65" s="318">
        <v>16701.0</v>
      </c>
      <c r="K65" s="321"/>
      <c r="L65" s="321"/>
      <c r="M65" s="321"/>
      <c r="N65" s="321"/>
      <c r="O65" s="321"/>
      <c r="P65" s="321"/>
      <c r="Q65" s="31"/>
      <c r="R65" s="31"/>
      <c r="S65" s="31"/>
      <c r="T65" s="31"/>
      <c r="U65" s="31"/>
      <c r="V65" s="31"/>
      <c r="W65" s="31"/>
      <c r="X65" s="31"/>
      <c r="Y65" s="31"/>
    </row>
    <row r="66" ht="15.75" customHeight="1">
      <c r="A66" s="322">
        <v>66.0</v>
      </c>
      <c r="B66" s="323" t="s">
        <v>6751</v>
      </c>
      <c r="C66" s="323" t="s">
        <v>6752</v>
      </c>
      <c r="D66" s="323" t="s">
        <v>1395</v>
      </c>
      <c r="E66" s="323" t="s">
        <v>116</v>
      </c>
      <c r="F66" s="322">
        <v>18103.0</v>
      </c>
      <c r="G66" s="322">
        <v>20392.0</v>
      </c>
      <c r="H66" s="323" t="s">
        <v>6639</v>
      </c>
      <c r="I66" s="322">
        <v>51.0</v>
      </c>
      <c r="J66" s="322">
        <v>9232.53</v>
      </c>
      <c r="K66" s="324"/>
      <c r="L66" s="324"/>
      <c r="M66" s="324"/>
      <c r="N66" s="324"/>
      <c r="O66" s="324"/>
      <c r="P66" s="324"/>
      <c r="Q66" s="31"/>
      <c r="R66" s="31"/>
      <c r="S66" s="31"/>
      <c r="T66" s="31"/>
      <c r="U66" s="31"/>
      <c r="V66" s="31"/>
      <c r="W66" s="31"/>
      <c r="X66" s="31"/>
      <c r="Y66" s="31"/>
    </row>
    <row r="67" ht="15.75" customHeight="1">
      <c r="A67" s="318">
        <v>67.0</v>
      </c>
      <c r="B67" s="319" t="s">
        <v>6753</v>
      </c>
      <c r="C67" s="319" t="s">
        <v>6754</v>
      </c>
      <c r="D67" s="319" t="s">
        <v>1395</v>
      </c>
      <c r="E67" s="319" t="s">
        <v>116</v>
      </c>
      <c r="F67" s="318">
        <v>18786.0</v>
      </c>
      <c r="G67" s="320"/>
      <c r="H67" s="319" t="s">
        <v>6636</v>
      </c>
      <c r="I67" s="318">
        <v>51.0</v>
      </c>
      <c r="J67" s="318">
        <v>9580.86</v>
      </c>
      <c r="K67" s="321"/>
      <c r="L67" s="321"/>
      <c r="M67" s="321"/>
      <c r="N67" s="321"/>
      <c r="O67" s="321"/>
      <c r="P67" s="321"/>
      <c r="Q67" s="31"/>
      <c r="R67" s="31"/>
      <c r="S67" s="31"/>
      <c r="T67" s="31"/>
      <c r="U67" s="31"/>
      <c r="V67" s="31"/>
      <c r="W67" s="31"/>
      <c r="X67" s="31"/>
      <c r="Y67" s="31"/>
    </row>
    <row r="68" ht="15.75" customHeight="1">
      <c r="A68" s="322">
        <v>68.0</v>
      </c>
      <c r="B68" s="323" t="s">
        <v>6755</v>
      </c>
      <c r="C68" s="323" t="s">
        <v>6729</v>
      </c>
      <c r="D68" s="323" t="s">
        <v>1395</v>
      </c>
      <c r="E68" s="323" t="s">
        <v>668</v>
      </c>
      <c r="F68" s="322">
        <v>17210.0</v>
      </c>
      <c r="G68" s="322">
        <v>19346.0</v>
      </c>
      <c r="H68" s="323" t="s">
        <v>6639</v>
      </c>
      <c r="I68" s="322">
        <v>53.0</v>
      </c>
      <c r="J68" s="322">
        <v>9121.3</v>
      </c>
      <c r="K68" s="324"/>
      <c r="L68" s="324"/>
      <c r="M68" s="324"/>
      <c r="N68" s="324"/>
      <c r="O68" s="324"/>
      <c r="P68" s="324"/>
      <c r="Q68" s="31"/>
      <c r="R68" s="31"/>
      <c r="S68" s="31"/>
      <c r="T68" s="31"/>
      <c r="U68" s="31"/>
      <c r="V68" s="31"/>
      <c r="W68" s="31"/>
      <c r="X68" s="31"/>
      <c r="Y68" s="31"/>
    </row>
    <row r="69" ht="15.75" customHeight="1">
      <c r="A69" s="318">
        <v>69.0</v>
      </c>
      <c r="B69" s="319" t="s">
        <v>5952</v>
      </c>
      <c r="C69" s="319" t="s">
        <v>6656</v>
      </c>
      <c r="D69" s="319" t="s">
        <v>1395</v>
      </c>
      <c r="E69" s="319" t="s">
        <v>116</v>
      </c>
      <c r="F69" s="318">
        <v>16849.0</v>
      </c>
      <c r="G69" s="320"/>
      <c r="H69" s="319" t="s">
        <v>6636</v>
      </c>
      <c r="I69" s="318">
        <v>51.0</v>
      </c>
      <c r="J69" s="318">
        <v>8592.99</v>
      </c>
      <c r="K69" s="321"/>
      <c r="L69" s="321"/>
      <c r="M69" s="321"/>
      <c r="N69" s="321"/>
      <c r="O69" s="321"/>
      <c r="P69" s="321"/>
      <c r="Q69" s="31"/>
      <c r="R69" s="31"/>
      <c r="S69" s="31"/>
      <c r="T69" s="31"/>
      <c r="U69" s="31"/>
      <c r="V69" s="31"/>
      <c r="W69" s="31"/>
      <c r="X69" s="31"/>
      <c r="Y69" s="31"/>
    </row>
    <row r="70" ht="15.75" customHeight="1">
      <c r="A70" s="322">
        <v>70.0</v>
      </c>
      <c r="B70" s="323" t="s">
        <v>6756</v>
      </c>
      <c r="C70" s="323" t="s">
        <v>6757</v>
      </c>
      <c r="D70" s="323" t="s">
        <v>1395</v>
      </c>
      <c r="E70" s="323" t="s">
        <v>668</v>
      </c>
      <c r="F70" s="322">
        <v>16049.0</v>
      </c>
      <c r="G70" s="322">
        <v>18536.0</v>
      </c>
      <c r="H70" s="323" t="s">
        <v>6639</v>
      </c>
      <c r="I70" s="322">
        <v>53.0</v>
      </c>
      <c r="J70" s="322">
        <v>8505.97</v>
      </c>
      <c r="K70" s="324"/>
      <c r="L70" s="324"/>
      <c r="M70" s="324"/>
      <c r="N70" s="324"/>
      <c r="O70" s="324"/>
      <c r="P70" s="324"/>
      <c r="Q70" s="31"/>
      <c r="R70" s="31"/>
      <c r="S70" s="31"/>
      <c r="T70" s="31"/>
      <c r="U70" s="31"/>
      <c r="V70" s="31"/>
      <c r="W70" s="31"/>
      <c r="X70" s="31"/>
      <c r="Y70" s="31"/>
    </row>
    <row r="71" ht="15.75" customHeight="1">
      <c r="A71" s="318">
        <v>71.0</v>
      </c>
      <c r="B71" s="319" t="s">
        <v>6758</v>
      </c>
      <c r="C71" s="319" t="s">
        <v>6759</v>
      </c>
      <c r="D71" s="319" t="s">
        <v>21</v>
      </c>
      <c r="E71" s="319" t="s">
        <v>65</v>
      </c>
      <c r="F71" s="318">
        <v>43950.0</v>
      </c>
      <c r="G71" s="320"/>
      <c r="H71" s="319" t="s">
        <v>6636</v>
      </c>
      <c r="I71" s="318">
        <v>38.0</v>
      </c>
      <c r="J71" s="318">
        <v>16701.0</v>
      </c>
      <c r="K71" s="321"/>
      <c r="L71" s="321"/>
      <c r="M71" s="321"/>
      <c r="N71" s="321"/>
      <c r="O71" s="321"/>
      <c r="P71" s="321"/>
      <c r="Q71" s="31"/>
      <c r="R71" s="31"/>
      <c r="S71" s="31"/>
      <c r="T71" s="31"/>
      <c r="U71" s="31"/>
      <c r="V71" s="31"/>
      <c r="W71" s="31"/>
      <c r="X71" s="31"/>
      <c r="Y71" s="31"/>
    </row>
    <row r="72" ht="15.75" customHeight="1">
      <c r="A72" s="322">
        <v>72.0</v>
      </c>
      <c r="B72" s="323" t="s">
        <v>252</v>
      </c>
      <c r="C72" s="323" t="s">
        <v>6760</v>
      </c>
      <c r="D72" s="323" t="s">
        <v>1395</v>
      </c>
      <c r="E72" s="323" t="s">
        <v>668</v>
      </c>
      <c r="F72" s="322">
        <v>5429.0</v>
      </c>
      <c r="G72" s="322">
        <v>6139.0</v>
      </c>
      <c r="H72" s="323" t="s">
        <v>6639</v>
      </c>
      <c r="I72" s="322">
        <v>53.0</v>
      </c>
      <c r="J72" s="322">
        <v>2877.37</v>
      </c>
      <c r="K72" s="324"/>
      <c r="L72" s="324"/>
      <c r="M72" s="324"/>
      <c r="N72" s="324"/>
      <c r="O72" s="324"/>
      <c r="P72" s="324"/>
      <c r="Q72" s="31"/>
      <c r="R72" s="31"/>
      <c r="S72" s="31"/>
      <c r="T72" s="31"/>
      <c r="U72" s="31"/>
      <c r="V72" s="31"/>
      <c r="W72" s="31"/>
      <c r="X72" s="31"/>
      <c r="Y72" s="31"/>
    </row>
    <row r="73" ht="15.75" customHeight="1">
      <c r="A73" s="318">
        <v>73.0</v>
      </c>
      <c r="B73" s="319" t="s">
        <v>2345</v>
      </c>
      <c r="C73" s="319" t="s">
        <v>6761</v>
      </c>
      <c r="D73" s="319" t="s">
        <v>21</v>
      </c>
      <c r="E73" s="319" t="s">
        <v>668</v>
      </c>
      <c r="F73" s="318">
        <v>47045.0</v>
      </c>
      <c r="G73" s="320"/>
      <c r="H73" s="319" t="s">
        <v>6636</v>
      </c>
      <c r="I73" s="318">
        <v>19.5</v>
      </c>
      <c r="J73" s="318">
        <v>9173.775</v>
      </c>
      <c r="K73" s="321"/>
      <c r="L73" s="321"/>
      <c r="M73" s="321"/>
      <c r="N73" s="321"/>
      <c r="O73" s="321"/>
      <c r="P73" s="321"/>
      <c r="Q73" s="31"/>
      <c r="R73" s="31"/>
      <c r="S73" s="31"/>
      <c r="T73" s="31"/>
      <c r="U73" s="31"/>
      <c r="V73" s="31"/>
      <c r="W73" s="31"/>
      <c r="X73" s="31"/>
      <c r="Y73" s="31"/>
    </row>
    <row r="74" ht="15.75" customHeight="1">
      <c r="A74" s="318">
        <v>74.0</v>
      </c>
      <c r="B74" s="319" t="s">
        <v>6762</v>
      </c>
      <c r="C74" s="319" t="s">
        <v>6763</v>
      </c>
      <c r="D74" s="319" t="s">
        <v>1395</v>
      </c>
      <c r="E74" s="319" t="s">
        <v>116</v>
      </c>
      <c r="F74" s="318">
        <v>18326.0</v>
      </c>
      <c r="G74" s="320"/>
      <c r="H74" s="319" t="s">
        <v>6636</v>
      </c>
      <c r="I74" s="318">
        <v>51.0</v>
      </c>
      <c r="J74" s="318">
        <v>9346.26</v>
      </c>
      <c r="K74" s="321"/>
      <c r="L74" s="321"/>
      <c r="M74" s="321"/>
      <c r="N74" s="321"/>
      <c r="O74" s="321"/>
      <c r="P74" s="321"/>
      <c r="Q74" s="31"/>
      <c r="R74" s="31"/>
      <c r="S74" s="31"/>
      <c r="T74" s="31"/>
      <c r="U74" s="31"/>
      <c r="V74" s="31"/>
      <c r="W74" s="31"/>
      <c r="X74" s="31"/>
      <c r="Y74" s="31"/>
    </row>
    <row r="75" ht="15.75" customHeight="1">
      <c r="A75" s="322">
        <v>75.0</v>
      </c>
      <c r="B75" s="323" t="s">
        <v>6764</v>
      </c>
      <c r="C75" s="323" t="s">
        <v>6765</v>
      </c>
      <c r="D75" s="323" t="s">
        <v>966</v>
      </c>
      <c r="E75" s="323" t="s">
        <v>6642</v>
      </c>
      <c r="F75" s="322">
        <v>3476.0</v>
      </c>
      <c r="G75" s="322">
        <v>4102.0</v>
      </c>
      <c r="H75" s="323" t="s">
        <v>6639</v>
      </c>
      <c r="I75" s="322">
        <v>30.0</v>
      </c>
      <c r="J75" s="322">
        <v>1042.8</v>
      </c>
      <c r="K75" s="324"/>
      <c r="L75" s="324"/>
      <c r="M75" s="324"/>
      <c r="N75" s="324"/>
      <c r="O75" s="324"/>
      <c r="P75" s="324"/>
      <c r="Q75" s="31"/>
      <c r="R75" s="31"/>
      <c r="S75" s="31"/>
      <c r="T75" s="31"/>
      <c r="U75" s="31"/>
      <c r="V75" s="31"/>
      <c r="W75" s="31"/>
      <c r="X75" s="31"/>
      <c r="Y75" s="31"/>
    </row>
    <row r="76" ht="15.75" customHeight="1">
      <c r="A76" s="322">
        <v>76.0</v>
      </c>
      <c r="B76" s="323" t="s">
        <v>6766</v>
      </c>
      <c r="C76" s="323" t="s">
        <v>6667</v>
      </c>
      <c r="D76" s="323" t="s">
        <v>1395</v>
      </c>
      <c r="E76" s="323" t="s">
        <v>668</v>
      </c>
      <c r="F76" s="322">
        <v>16957.0</v>
      </c>
      <c r="G76" s="322">
        <v>19047.0</v>
      </c>
      <c r="H76" s="323" t="s">
        <v>6639</v>
      </c>
      <c r="I76" s="322">
        <v>53.0</v>
      </c>
      <c r="J76" s="322">
        <v>8987.21</v>
      </c>
      <c r="K76" s="324"/>
      <c r="L76" s="324"/>
      <c r="M76" s="324"/>
      <c r="N76" s="324"/>
      <c r="O76" s="324"/>
      <c r="P76" s="324"/>
      <c r="Q76" s="31"/>
      <c r="R76" s="31"/>
      <c r="S76" s="31"/>
      <c r="T76" s="31"/>
      <c r="U76" s="31"/>
      <c r="V76" s="31"/>
      <c r="W76" s="31"/>
      <c r="X76" s="31"/>
      <c r="Y76" s="31"/>
    </row>
    <row r="77" ht="15.75" customHeight="1">
      <c r="A77" s="318">
        <v>77.0</v>
      </c>
      <c r="B77" s="319" t="s">
        <v>6767</v>
      </c>
      <c r="C77" s="319" t="s">
        <v>6768</v>
      </c>
      <c r="D77" s="319" t="s">
        <v>6650</v>
      </c>
      <c r="E77" s="319" t="s">
        <v>1424</v>
      </c>
      <c r="F77" s="318">
        <v>7048.0</v>
      </c>
      <c r="G77" s="320"/>
      <c r="H77" s="319" t="s">
        <v>6636</v>
      </c>
      <c r="I77" s="318">
        <v>55.0</v>
      </c>
      <c r="J77" s="318">
        <v>3876.4</v>
      </c>
      <c r="K77" s="321"/>
      <c r="L77" s="321"/>
      <c r="M77" s="321"/>
      <c r="N77" s="321"/>
      <c r="O77" s="321"/>
      <c r="P77" s="321"/>
      <c r="Q77" s="31"/>
      <c r="R77" s="31"/>
      <c r="S77" s="31"/>
      <c r="T77" s="31"/>
      <c r="U77" s="31"/>
      <c r="V77" s="31"/>
      <c r="W77" s="31"/>
      <c r="X77" s="31"/>
      <c r="Y77" s="31"/>
    </row>
    <row r="78" ht="15.75" customHeight="1">
      <c r="A78" s="318">
        <v>78.0</v>
      </c>
      <c r="B78" s="319" t="s">
        <v>6769</v>
      </c>
      <c r="C78" s="319" t="s">
        <v>6770</v>
      </c>
      <c r="D78" s="319" t="s">
        <v>1395</v>
      </c>
      <c r="E78" s="319" t="s">
        <v>116</v>
      </c>
      <c r="F78" s="318">
        <v>19253.0</v>
      </c>
      <c r="G78" s="320"/>
      <c r="H78" s="319" t="s">
        <v>6636</v>
      </c>
      <c r="I78" s="318">
        <v>51.0</v>
      </c>
      <c r="J78" s="318">
        <v>9819.03</v>
      </c>
      <c r="K78" s="321"/>
      <c r="L78" s="321"/>
      <c r="M78" s="321"/>
      <c r="N78" s="321"/>
      <c r="O78" s="321"/>
      <c r="P78" s="321"/>
      <c r="Q78" s="31"/>
      <c r="R78" s="31"/>
      <c r="S78" s="31"/>
      <c r="T78" s="31"/>
      <c r="U78" s="31"/>
      <c r="V78" s="31"/>
      <c r="W78" s="31"/>
      <c r="X78" s="31"/>
      <c r="Y78" s="31"/>
    </row>
    <row r="79" ht="15.75" customHeight="1">
      <c r="A79" s="322">
        <v>79.0</v>
      </c>
      <c r="B79" s="323" t="s">
        <v>5956</v>
      </c>
      <c r="C79" s="323" t="s">
        <v>6771</v>
      </c>
      <c r="D79" s="323" t="s">
        <v>1395</v>
      </c>
      <c r="E79" s="323" t="s">
        <v>668</v>
      </c>
      <c r="F79" s="322">
        <v>18927.0</v>
      </c>
      <c r="G79" s="322">
        <v>21371.0</v>
      </c>
      <c r="H79" s="323" t="s">
        <v>6639</v>
      </c>
      <c r="I79" s="322">
        <v>53.0</v>
      </c>
      <c r="J79" s="322">
        <v>10031.31</v>
      </c>
      <c r="K79" s="324"/>
      <c r="L79" s="324"/>
      <c r="M79" s="324"/>
      <c r="N79" s="324"/>
      <c r="O79" s="324"/>
      <c r="P79" s="324"/>
      <c r="Q79" s="31"/>
      <c r="R79" s="31"/>
      <c r="S79" s="31"/>
      <c r="T79" s="31"/>
      <c r="U79" s="31"/>
      <c r="V79" s="31"/>
      <c r="W79" s="31"/>
      <c r="X79" s="31"/>
      <c r="Y79" s="31"/>
    </row>
    <row r="80" ht="15.75" customHeight="1">
      <c r="A80" s="322">
        <v>80.0</v>
      </c>
      <c r="B80" s="323" t="s">
        <v>6772</v>
      </c>
      <c r="C80" s="323" t="s">
        <v>6773</v>
      </c>
      <c r="D80" s="323" t="s">
        <v>1395</v>
      </c>
      <c r="E80" s="323" t="s">
        <v>116</v>
      </c>
      <c r="F80" s="322">
        <v>19997.0</v>
      </c>
      <c r="G80" s="322">
        <v>22626.0</v>
      </c>
      <c r="H80" s="323" t="s">
        <v>6639</v>
      </c>
      <c r="I80" s="322">
        <v>51.0</v>
      </c>
      <c r="J80" s="322">
        <v>10198.47</v>
      </c>
      <c r="K80" s="324"/>
      <c r="L80" s="324"/>
      <c r="M80" s="324"/>
      <c r="N80" s="324"/>
      <c r="O80" s="324"/>
      <c r="P80" s="324"/>
      <c r="Q80" s="31"/>
      <c r="R80" s="31"/>
      <c r="S80" s="31"/>
      <c r="T80" s="31"/>
      <c r="U80" s="31"/>
      <c r="V80" s="31"/>
      <c r="W80" s="31"/>
      <c r="X80" s="31"/>
      <c r="Y80" s="31"/>
    </row>
    <row r="81" ht="15.75" customHeight="1">
      <c r="A81" s="318">
        <v>81.0</v>
      </c>
      <c r="B81" s="319" t="s">
        <v>6774</v>
      </c>
      <c r="C81" s="319" t="s">
        <v>6775</v>
      </c>
      <c r="D81" s="319" t="s">
        <v>1395</v>
      </c>
      <c r="E81" s="319" t="s">
        <v>116</v>
      </c>
      <c r="F81" s="318">
        <v>18115.0</v>
      </c>
      <c r="G81" s="320"/>
      <c r="H81" s="319" t="s">
        <v>6636</v>
      </c>
      <c r="I81" s="318">
        <v>51.0</v>
      </c>
      <c r="J81" s="318">
        <v>9238.65</v>
      </c>
      <c r="K81" s="321"/>
      <c r="L81" s="321"/>
      <c r="M81" s="321"/>
      <c r="N81" s="321"/>
      <c r="O81" s="321"/>
      <c r="P81" s="321"/>
      <c r="Q81" s="31"/>
      <c r="R81" s="31"/>
      <c r="S81" s="31"/>
      <c r="T81" s="31"/>
      <c r="U81" s="31"/>
      <c r="V81" s="31"/>
      <c r="W81" s="31"/>
      <c r="X81" s="31"/>
      <c r="Y81" s="31"/>
    </row>
    <row r="82" ht="15.75" customHeight="1">
      <c r="A82" s="322">
        <v>82.0</v>
      </c>
      <c r="B82" s="323" t="s">
        <v>231</v>
      </c>
      <c r="C82" s="323" t="s">
        <v>6776</v>
      </c>
      <c r="D82" s="323" t="s">
        <v>1395</v>
      </c>
      <c r="E82" s="323" t="s">
        <v>668</v>
      </c>
      <c r="F82" s="322">
        <v>17113.0</v>
      </c>
      <c r="G82" s="322">
        <v>19231.0</v>
      </c>
      <c r="H82" s="323" t="s">
        <v>6639</v>
      </c>
      <c r="I82" s="322">
        <v>53.0</v>
      </c>
      <c r="J82" s="322">
        <v>9069.89</v>
      </c>
      <c r="K82" s="324"/>
      <c r="L82" s="324"/>
      <c r="M82" s="324"/>
      <c r="N82" s="324"/>
      <c r="O82" s="324"/>
      <c r="P82" s="324"/>
      <c r="Q82" s="31"/>
      <c r="R82" s="31"/>
      <c r="S82" s="31"/>
      <c r="T82" s="31"/>
      <c r="U82" s="31"/>
      <c r="V82" s="31"/>
      <c r="W82" s="31"/>
      <c r="X82" s="31"/>
      <c r="Y82" s="31"/>
    </row>
    <row r="83" ht="15.75" customHeight="1">
      <c r="A83" s="322">
        <v>83.0</v>
      </c>
      <c r="B83" s="323" t="s">
        <v>163</v>
      </c>
      <c r="C83" s="323" t="s">
        <v>6777</v>
      </c>
      <c r="D83" s="323" t="s">
        <v>1395</v>
      </c>
      <c r="E83" s="323" t="s">
        <v>668</v>
      </c>
      <c r="F83" s="322">
        <v>18726.0</v>
      </c>
      <c r="G83" s="322">
        <v>21134.0</v>
      </c>
      <c r="H83" s="323" t="s">
        <v>6639</v>
      </c>
      <c r="I83" s="322">
        <v>53.0</v>
      </c>
      <c r="J83" s="322">
        <v>9924.78</v>
      </c>
      <c r="K83" s="324"/>
      <c r="L83" s="324"/>
      <c r="M83" s="324"/>
      <c r="N83" s="324"/>
      <c r="O83" s="324"/>
      <c r="P83" s="324"/>
      <c r="Q83" s="31"/>
      <c r="R83" s="31"/>
      <c r="S83" s="31"/>
      <c r="T83" s="31"/>
      <c r="U83" s="31"/>
      <c r="V83" s="31"/>
      <c r="W83" s="31"/>
      <c r="X83" s="31"/>
      <c r="Y83" s="31"/>
    </row>
    <row r="84" ht="15.75" customHeight="1">
      <c r="A84" s="318">
        <v>84.0</v>
      </c>
      <c r="B84" s="319" t="s">
        <v>6778</v>
      </c>
      <c r="C84" s="319" t="s">
        <v>6779</v>
      </c>
      <c r="D84" s="319" t="s">
        <v>21</v>
      </c>
      <c r="E84" s="319" t="s">
        <v>48</v>
      </c>
      <c r="F84" s="318">
        <v>50393.0</v>
      </c>
      <c r="G84" s="320"/>
      <c r="H84" s="319" t="s">
        <v>6636</v>
      </c>
      <c r="I84" s="318">
        <v>17.0</v>
      </c>
      <c r="J84" s="318">
        <v>8566.81</v>
      </c>
      <c r="K84" s="321"/>
      <c r="L84" s="321"/>
      <c r="M84" s="321"/>
      <c r="N84" s="321"/>
      <c r="O84" s="321"/>
      <c r="P84" s="321"/>
      <c r="Q84" s="31"/>
      <c r="R84" s="31"/>
      <c r="S84" s="31"/>
      <c r="T84" s="31"/>
      <c r="U84" s="31"/>
      <c r="V84" s="31"/>
      <c r="W84" s="31"/>
      <c r="X84" s="31"/>
      <c r="Y84" s="31"/>
    </row>
    <row r="85" ht="15.75" customHeight="1">
      <c r="A85" s="318">
        <v>85.0</v>
      </c>
      <c r="B85" s="319" t="s">
        <v>6780</v>
      </c>
      <c r="C85" s="319" t="s">
        <v>6781</v>
      </c>
      <c r="D85" s="319" t="s">
        <v>966</v>
      </c>
      <c r="E85" s="319" t="s">
        <v>65</v>
      </c>
      <c r="F85" s="318">
        <v>2094.0</v>
      </c>
      <c r="G85" s="320"/>
      <c r="H85" s="319" t="s">
        <v>6636</v>
      </c>
      <c r="I85" s="318">
        <v>12.0</v>
      </c>
      <c r="J85" s="318">
        <v>251.28</v>
      </c>
      <c r="K85" s="321"/>
      <c r="L85" s="321"/>
      <c r="M85" s="321"/>
      <c r="N85" s="321"/>
      <c r="O85" s="321"/>
      <c r="P85" s="321"/>
      <c r="Q85" s="31"/>
      <c r="R85" s="31"/>
      <c r="S85" s="31"/>
      <c r="T85" s="31"/>
      <c r="U85" s="31"/>
      <c r="V85" s="31"/>
      <c r="W85" s="31"/>
      <c r="X85" s="31"/>
      <c r="Y85" s="31"/>
    </row>
    <row r="86" ht="15.75" customHeight="1">
      <c r="A86" s="322">
        <v>86.0</v>
      </c>
      <c r="B86" s="323" t="s">
        <v>6782</v>
      </c>
      <c r="C86" s="323" t="s">
        <v>6783</v>
      </c>
      <c r="D86" s="323" t="s">
        <v>966</v>
      </c>
      <c r="E86" s="323" t="s">
        <v>6642</v>
      </c>
      <c r="F86" s="322">
        <v>3851.0</v>
      </c>
      <c r="G86" s="322">
        <v>4544.0</v>
      </c>
      <c r="H86" s="323" t="s">
        <v>6639</v>
      </c>
      <c r="I86" s="322">
        <v>30.0</v>
      </c>
      <c r="J86" s="322">
        <v>1155.3</v>
      </c>
      <c r="K86" s="324"/>
      <c r="L86" s="324"/>
      <c r="M86" s="324"/>
      <c r="N86" s="324"/>
      <c r="O86" s="324"/>
      <c r="P86" s="324"/>
      <c r="Q86" s="31"/>
      <c r="R86" s="31"/>
      <c r="S86" s="31"/>
      <c r="T86" s="31"/>
      <c r="U86" s="31"/>
      <c r="V86" s="31"/>
      <c r="W86" s="31"/>
      <c r="X86" s="31"/>
      <c r="Y86" s="31"/>
    </row>
    <row r="87" ht="15.75" customHeight="1">
      <c r="A87" s="318">
        <v>87.0</v>
      </c>
      <c r="B87" s="319" t="s">
        <v>6784</v>
      </c>
      <c r="C87" s="319" t="s">
        <v>6785</v>
      </c>
      <c r="D87" s="319" t="s">
        <v>1395</v>
      </c>
      <c r="E87" s="319" t="s">
        <v>116</v>
      </c>
      <c r="F87" s="318">
        <v>17901.0</v>
      </c>
      <c r="G87" s="320"/>
      <c r="H87" s="319" t="s">
        <v>6636</v>
      </c>
      <c r="I87" s="318">
        <v>51.0</v>
      </c>
      <c r="J87" s="318">
        <v>9129.51</v>
      </c>
      <c r="K87" s="321"/>
      <c r="L87" s="321"/>
      <c r="M87" s="321"/>
      <c r="N87" s="321"/>
      <c r="O87" s="321"/>
      <c r="P87" s="321"/>
      <c r="Q87" s="31"/>
      <c r="R87" s="31"/>
      <c r="S87" s="31"/>
      <c r="T87" s="31"/>
      <c r="U87" s="31"/>
      <c r="V87" s="31"/>
      <c r="W87" s="31"/>
      <c r="X87" s="31"/>
      <c r="Y87" s="31"/>
    </row>
    <row r="88" ht="15.75" customHeight="1">
      <c r="A88" s="322">
        <v>88.0</v>
      </c>
      <c r="B88" s="323" t="s">
        <v>6786</v>
      </c>
      <c r="C88" s="323" t="s">
        <v>6667</v>
      </c>
      <c r="D88" s="323" t="s">
        <v>1395</v>
      </c>
      <c r="E88" s="323" t="s">
        <v>668</v>
      </c>
      <c r="F88" s="322">
        <v>17417.0</v>
      </c>
      <c r="G88" s="322">
        <v>19589.0</v>
      </c>
      <c r="H88" s="323" t="s">
        <v>6639</v>
      </c>
      <c r="I88" s="322">
        <v>53.0</v>
      </c>
      <c r="J88" s="322">
        <v>9231.01</v>
      </c>
      <c r="K88" s="324"/>
      <c r="L88" s="324"/>
      <c r="M88" s="324"/>
      <c r="N88" s="324"/>
      <c r="O88" s="324"/>
      <c r="P88" s="324"/>
      <c r="Q88" s="31"/>
      <c r="R88" s="31"/>
      <c r="S88" s="31"/>
      <c r="T88" s="31"/>
      <c r="U88" s="31"/>
      <c r="V88" s="31"/>
      <c r="W88" s="31"/>
      <c r="X88" s="31"/>
      <c r="Y88" s="31"/>
    </row>
    <row r="89" ht="15.75" customHeight="1">
      <c r="A89" s="318">
        <v>89.0</v>
      </c>
      <c r="B89" s="319" t="s">
        <v>6787</v>
      </c>
      <c r="C89" s="319" t="s">
        <v>6757</v>
      </c>
      <c r="D89" s="319" t="s">
        <v>6650</v>
      </c>
      <c r="E89" s="319" t="s">
        <v>1424</v>
      </c>
      <c r="F89" s="318">
        <v>6816.0</v>
      </c>
      <c r="G89" s="320"/>
      <c r="H89" s="319" t="s">
        <v>6636</v>
      </c>
      <c r="I89" s="318">
        <v>55.0</v>
      </c>
      <c r="J89" s="318">
        <v>3748.8</v>
      </c>
      <c r="K89" s="321"/>
      <c r="L89" s="321"/>
      <c r="M89" s="321"/>
      <c r="N89" s="321"/>
      <c r="O89" s="321"/>
      <c r="P89" s="321"/>
      <c r="Q89" s="31"/>
      <c r="R89" s="31"/>
      <c r="S89" s="31"/>
      <c r="T89" s="31"/>
      <c r="U89" s="31"/>
      <c r="V89" s="31"/>
      <c r="W89" s="31"/>
      <c r="X89" s="31"/>
      <c r="Y89" s="31"/>
    </row>
    <row r="90" ht="15.75" customHeight="1">
      <c r="A90" s="318">
        <v>90.0</v>
      </c>
      <c r="B90" s="319" t="s">
        <v>6788</v>
      </c>
      <c r="C90" s="319" t="s">
        <v>6789</v>
      </c>
      <c r="D90" s="319" t="s">
        <v>6650</v>
      </c>
      <c r="E90" s="319" t="s">
        <v>1424</v>
      </c>
      <c r="F90" s="318">
        <v>6938.0</v>
      </c>
      <c r="G90" s="320"/>
      <c r="H90" s="319" t="s">
        <v>6636</v>
      </c>
      <c r="I90" s="318">
        <v>55.0</v>
      </c>
      <c r="J90" s="318">
        <v>3815.9</v>
      </c>
      <c r="K90" s="321"/>
      <c r="L90" s="321"/>
      <c r="M90" s="321"/>
      <c r="N90" s="321"/>
      <c r="O90" s="321"/>
      <c r="P90" s="321"/>
      <c r="Q90" s="31"/>
      <c r="R90" s="31"/>
      <c r="S90" s="31"/>
      <c r="T90" s="31"/>
      <c r="U90" s="31"/>
      <c r="V90" s="31"/>
      <c r="W90" s="31"/>
      <c r="X90" s="31"/>
      <c r="Y90" s="31"/>
    </row>
    <row r="91" ht="15.75" customHeight="1">
      <c r="A91" s="318">
        <v>91.0</v>
      </c>
      <c r="B91" s="319" t="s">
        <v>2145</v>
      </c>
      <c r="C91" s="319" t="s">
        <v>6790</v>
      </c>
      <c r="D91" s="319" t="s">
        <v>21</v>
      </c>
      <c r="E91" s="319" t="s">
        <v>668</v>
      </c>
      <c r="F91" s="318">
        <v>29953.0</v>
      </c>
      <c r="G91" s="320"/>
      <c r="H91" s="319" t="s">
        <v>6636</v>
      </c>
      <c r="I91" s="318">
        <v>19.5</v>
      </c>
      <c r="J91" s="318">
        <v>5840.835</v>
      </c>
      <c r="K91" s="321"/>
      <c r="L91" s="321"/>
      <c r="M91" s="321"/>
      <c r="N91" s="321"/>
      <c r="O91" s="321"/>
      <c r="P91" s="321"/>
      <c r="Q91" s="31"/>
      <c r="R91" s="31"/>
      <c r="S91" s="31"/>
      <c r="T91" s="31"/>
      <c r="U91" s="31"/>
      <c r="V91" s="31"/>
      <c r="W91" s="31"/>
      <c r="X91" s="31"/>
      <c r="Y91" s="31"/>
    </row>
    <row r="92" ht="15.75" customHeight="1">
      <c r="A92" s="318">
        <v>92.0</v>
      </c>
      <c r="B92" s="319" t="s">
        <v>6791</v>
      </c>
      <c r="C92" s="319" t="s">
        <v>6792</v>
      </c>
      <c r="D92" s="319" t="s">
        <v>1395</v>
      </c>
      <c r="E92" s="319" t="s">
        <v>116</v>
      </c>
      <c r="F92" s="318">
        <v>18114.0</v>
      </c>
      <c r="G92" s="320"/>
      <c r="H92" s="319" t="s">
        <v>6636</v>
      </c>
      <c r="I92" s="318">
        <v>51.0</v>
      </c>
      <c r="J92" s="318">
        <v>9238.14</v>
      </c>
      <c r="K92" s="321"/>
      <c r="L92" s="321"/>
      <c r="M92" s="321"/>
      <c r="N92" s="321"/>
      <c r="O92" s="321"/>
      <c r="P92" s="321"/>
      <c r="Q92" s="31"/>
      <c r="R92" s="31"/>
      <c r="S92" s="31"/>
      <c r="T92" s="31"/>
      <c r="U92" s="31"/>
      <c r="V92" s="31"/>
      <c r="W92" s="31"/>
      <c r="X92" s="31"/>
      <c r="Y92" s="31"/>
    </row>
    <row r="93" ht="15.75" customHeight="1">
      <c r="A93" s="322">
        <v>93.0</v>
      </c>
      <c r="B93" s="323" t="s">
        <v>6793</v>
      </c>
      <c r="C93" s="323" t="s">
        <v>6794</v>
      </c>
      <c r="D93" s="323" t="s">
        <v>966</v>
      </c>
      <c r="E93" s="323" t="s">
        <v>668</v>
      </c>
      <c r="F93" s="322">
        <v>4026.0</v>
      </c>
      <c r="G93" s="322">
        <v>4750.0</v>
      </c>
      <c r="H93" s="323" t="s">
        <v>6639</v>
      </c>
      <c r="I93" s="322">
        <v>36.0</v>
      </c>
      <c r="J93" s="322">
        <v>1449.36</v>
      </c>
      <c r="K93" s="324"/>
      <c r="L93" s="324"/>
      <c r="M93" s="324"/>
      <c r="N93" s="324"/>
      <c r="O93" s="324"/>
      <c r="P93" s="324"/>
      <c r="Q93" s="31"/>
      <c r="R93" s="31"/>
      <c r="S93" s="31"/>
      <c r="T93" s="31"/>
      <c r="U93" s="31"/>
      <c r="V93" s="31"/>
      <c r="W93" s="31"/>
      <c r="X93" s="31"/>
      <c r="Y93" s="31"/>
    </row>
    <row r="94" ht="15.75" customHeight="1">
      <c r="A94" s="322">
        <v>94.0</v>
      </c>
      <c r="B94" s="323" t="s">
        <v>6795</v>
      </c>
      <c r="C94" s="323" t="s">
        <v>6796</v>
      </c>
      <c r="D94" s="323" t="s">
        <v>6650</v>
      </c>
      <c r="E94" s="323" t="s">
        <v>1424</v>
      </c>
      <c r="F94" s="322">
        <v>6858.0</v>
      </c>
      <c r="G94" s="322">
        <v>8092.0</v>
      </c>
      <c r="H94" s="323" t="s">
        <v>6639</v>
      </c>
      <c r="I94" s="322">
        <v>55.0</v>
      </c>
      <c r="J94" s="322">
        <v>3771.9</v>
      </c>
      <c r="K94" s="324"/>
      <c r="L94" s="324"/>
      <c r="M94" s="324"/>
      <c r="N94" s="324"/>
      <c r="O94" s="324"/>
      <c r="P94" s="324"/>
      <c r="Q94" s="31"/>
      <c r="R94" s="31"/>
      <c r="S94" s="31"/>
      <c r="T94" s="31"/>
      <c r="U94" s="31"/>
      <c r="V94" s="31"/>
      <c r="W94" s="31"/>
      <c r="X94" s="31"/>
      <c r="Y94" s="31"/>
    </row>
    <row r="95" ht="15.75" customHeight="1">
      <c r="A95" s="322">
        <v>95.0</v>
      </c>
      <c r="B95" s="323" t="s">
        <v>6797</v>
      </c>
      <c r="C95" s="323" t="s">
        <v>6687</v>
      </c>
      <c r="D95" s="323" t="s">
        <v>966</v>
      </c>
      <c r="E95" s="323" t="s">
        <v>668</v>
      </c>
      <c r="F95" s="322">
        <v>3476.0</v>
      </c>
      <c r="G95" s="322">
        <v>4102.0</v>
      </c>
      <c r="H95" s="323" t="s">
        <v>6639</v>
      </c>
      <c r="I95" s="322">
        <v>36.0</v>
      </c>
      <c r="J95" s="322">
        <v>1251.36</v>
      </c>
      <c r="K95" s="324"/>
      <c r="L95" s="324"/>
      <c r="M95" s="324"/>
      <c r="N95" s="324"/>
      <c r="O95" s="324"/>
      <c r="P95" s="324"/>
      <c r="Q95" s="31"/>
      <c r="R95" s="31"/>
      <c r="S95" s="31"/>
      <c r="T95" s="31"/>
      <c r="U95" s="31"/>
      <c r="V95" s="31"/>
      <c r="W95" s="31"/>
      <c r="X95" s="31"/>
      <c r="Y95" s="31"/>
    </row>
    <row r="96" ht="15.75" customHeight="1">
      <c r="A96" s="318">
        <v>96.0</v>
      </c>
      <c r="B96" s="319" t="s">
        <v>248</v>
      </c>
      <c r="C96" s="319" t="s">
        <v>6798</v>
      </c>
      <c r="D96" s="319" t="s">
        <v>21</v>
      </c>
      <c r="E96" s="319" t="s">
        <v>65</v>
      </c>
      <c r="F96" s="318">
        <v>43950.0</v>
      </c>
      <c r="G96" s="320"/>
      <c r="H96" s="319" t="s">
        <v>6636</v>
      </c>
      <c r="I96" s="318">
        <v>38.0</v>
      </c>
      <c r="J96" s="318">
        <v>16701.0</v>
      </c>
      <c r="K96" s="321"/>
      <c r="L96" s="321"/>
      <c r="M96" s="321"/>
      <c r="N96" s="321"/>
      <c r="O96" s="321"/>
      <c r="P96" s="321"/>
      <c r="Q96" s="31"/>
      <c r="R96" s="31"/>
      <c r="S96" s="31"/>
      <c r="T96" s="31"/>
      <c r="U96" s="31"/>
      <c r="V96" s="31"/>
      <c r="W96" s="31"/>
      <c r="X96" s="31"/>
      <c r="Y96" s="31"/>
    </row>
    <row r="97" ht="15.75" customHeight="1">
      <c r="A97" s="322">
        <v>97.0</v>
      </c>
      <c r="B97" s="323" t="s">
        <v>6799</v>
      </c>
      <c r="C97" s="323" t="s">
        <v>6800</v>
      </c>
      <c r="D97" s="323" t="s">
        <v>966</v>
      </c>
      <c r="E97" s="323" t="s">
        <v>668</v>
      </c>
      <c r="F97" s="322">
        <v>3651.0</v>
      </c>
      <c r="G97" s="322">
        <v>4309.0</v>
      </c>
      <c r="H97" s="323" t="s">
        <v>6639</v>
      </c>
      <c r="I97" s="322">
        <v>36.0</v>
      </c>
      <c r="J97" s="322">
        <v>1314.36</v>
      </c>
      <c r="K97" s="324"/>
      <c r="L97" s="324"/>
      <c r="M97" s="324"/>
      <c r="N97" s="324"/>
      <c r="O97" s="324"/>
      <c r="P97" s="324"/>
      <c r="Q97" s="31"/>
      <c r="R97" s="31"/>
      <c r="S97" s="31"/>
      <c r="T97" s="31"/>
      <c r="U97" s="31"/>
      <c r="V97" s="31"/>
      <c r="W97" s="31"/>
      <c r="X97" s="31"/>
      <c r="Y97" s="31"/>
    </row>
    <row r="98" ht="15.75" customHeight="1">
      <c r="A98" s="322">
        <v>98.0</v>
      </c>
      <c r="B98" s="323" t="s">
        <v>1488</v>
      </c>
      <c r="C98" s="323" t="s">
        <v>6801</v>
      </c>
      <c r="D98" s="323" t="s">
        <v>533</v>
      </c>
      <c r="E98" s="323" t="s">
        <v>116</v>
      </c>
      <c r="F98" s="322">
        <v>11500.0</v>
      </c>
      <c r="G98" s="322">
        <v>13570.0</v>
      </c>
      <c r="H98" s="323" t="s">
        <v>6639</v>
      </c>
      <c r="I98" s="322">
        <v>22.0</v>
      </c>
      <c r="J98" s="322">
        <v>2530.0</v>
      </c>
      <c r="K98" s="324"/>
      <c r="L98" s="324"/>
      <c r="M98" s="324"/>
      <c r="N98" s="324"/>
      <c r="O98" s="324"/>
      <c r="P98" s="324"/>
      <c r="Q98" s="31"/>
      <c r="R98" s="31"/>
      <c r="S98" s="31"/>
      <c r="T98" s="31"/>
      <c r="U98" s="31"/>
      <c r="V98" s="31"/>
      <c r="W98" s="31"/>
      <c r="X98" s="31"/>
      <c r="Y98" s="31"/>
    </row>
    <row r="99" ht="15.75" customHeight="1">
      <c r="A99" s="322">
        <v>99.0</v>
      </c>
      <c r="B99" s="323" t="s">
        <v>1485</v>
      </c>
      <c r="C99" s="323" t="s">
        <v>6802</v>
      </c>
      <c r="D99" s="323" t="s">
        <v>533</v>
      </c>
      <c r="E99" s="323" t="s">
        <v>116</v>
      </c>
      <c r="F99" s="322">
        <v>11500.0</v>
      </c>
      <c r="G99" s="322">
        <v>13570.0</v>
      </c>
      <c r="H99" s="323" t="s">
        <v>6639</v>
      </c>
      <c r="I99" s="322">
        <v>22.0</v>
      </c>
      <c r="J99" s="322">
        <v>2530.0</v>
      </c>
      <c r="K99" s="324"/>
      <c r="L99" s="324"/>
      <c r="M99" s="324"/>
      <c r="N99" s="324"/>
      <c r="O99" s="324"/>
      <c r="P99" s="324"/>
      <c r="Q99" s="31"/>
      <c r="R99" s="31"/>
      <c r="S99" s="31"/>
      <c r="T99" s="31"/>
      <c r="U99" s="31"/>
      <c r="V99" s="31"/>
      <c r="W99" s="31"/>
      <c r="X99" s="31"/>
      <c r="Y99" s="31"/>
    </row>
    <row r="100" ht="15.75" customHeight="1">
      <c r="A100" s="322">
        <v>100.0</v>
      </c>
      <c r="B100" s="323" t="s">
        <v>6803</v>
      </c>
      <c r="C100" s="323" t="s">
        <v>6804</v>
      </c>
      <c r="D100" s="323" t="s">
        <v>6650</v>
      </c>
      <c r="E100" s="323" t="s">
        <v>1424</v>
      </c>
      <c r="F100" s="322">
        <v>7134.0</v>
      </c>
      <c r="G100" s="322">
        <v>8418.0</v>
      </c>
      <c r="H100" s="323" t="s">
        <v>6639</v>
      </c>
      <c r="I100" s="322">
        <v>55.0</v>
      </c>
      <c r="J100" s="322">
        <v>3923.7</v>
      </c>
      <c r="K100" s="324"/>
      <c r="L100" s="324"/>
      <c r="M100" s="324"/>
      <c r="N100" s="324"/>
      <c r="O100" s="324"/>
      <c r="P100" s="324"/>
      <c r="Q100" s="31"/>
      <c r="R100" s="31"/>
      <c r="S100" s="31"/>
      <c r="T100" s="31"/>
      <c r="U100" s="31"/>
      <c r="V100" s="31"/>
      <c r="W100" s="31"/>
      <c r="X100" s="31"/>
      <c r="Y100" s="31"/>
    </row>
    <row r="101" ht="15.75" customHeight="1">
      <c r="A101" s="322">
        <v>101.0</v>
      </c>
      <c r="B101" s="323" t="s">
        <v>6805</v>
      </c>
      <c r="C101" s="323" t="s">
        <v>6806</v>
      </c>
      <c r="D101" s="323" t="s">
        <v>1395</v>
      </c>
      <c r="E101" s="323" t="s">
        <v>668</v>
      </c>
      <c r="F101" s="322">
        <v>18648.0</v>
      </c>
      <c r="G101" s="322">
        <v>21042.0</v>
      </c>
      <c r="H101" s="323" t="s">
        <v>6639</v>
      </c>
      <c r="I101" s="322">
        <v>53.0</v>
      </c>
      <c r="J101" s="322">
        <v>9883.44</v>
      </c>
      <c r="K101" s="324"/>
      <c r="L101" s="324"/>
      <c r="M101" s="324"/>
      <c r="N101" s="324"/>
      <c r="O101" s="324"/>
      <c r="P101" s="324"/>
      <c r="Q101" s="31"/>
      <c r="R101" s="31"/>
      <c r="S101" s="31"/>
      <c r="T101" s="31"/>
      <c r="U101" s="31"/>
      <c r="V101" s="31"/>
      <c r="W101" s="31"/>
      <c r="X101" s="31"/>
      <c r="Y101" s="31"/>
    </row>
    <row r="102" ht="15.75" customHeight="1">
      <c r="A102" s="322">
        <v>102.0</v>
      </c>
      <c r="B102" s="323" t="s">
        <v>316</v>
      </c>
      <c r="C102" s="323" t="s">
        <v>6807</v>
      </c>
      <c r="D102" s="323" t="s">
        <v>1395</v>
      </c>
      <c r="E102" s="323" t="s">
        <v>668</v>
      </c>
      <c r="F102" s="322">
        <v>17133.0</v>
      </c>
      <c r="G102" s="322">
        <v>19255.0</v>
      </c>
      <c r="H102" s="323" t="s">
        <v>6639</v>
      </c>
      <c r="I102" s="322">
        <v>53.0</v>
      </c>
      <c r="J102" s="322">
        <v>9080.49</v>
      </c>
      <c r="K102" s="324"/>
      <c r="L102" s="324"/>
      <c r="M102" s="324"/>
      <c r="N102" s="324"/>
      <c r="O102" s="324"/>
      <c r="P102" s="324"/>
      <c r="Q102" s="31"/>
      <c r="R102" s="31"/>
      <c r="S102" s="31"/>
      <c r="T102" s="31"/>
      <c r="U102" s="31"/>
      <c r="V102" s="31"/>
      <c r="W102" s="31"/>
      <c r="X102" s="31"/>
      <c r="Y102" s="31"/>
    </row>
    <row r="103" ht="15.75" customHeight="1">
      <c r="A103" s="318">
        <v>103.0</v>
      </c>
      <c r="B103" s="319" t="s">
        <v>6808</v>
      </c>
      <c r="C103" s="319" t="s">
        <v>6809</v>
      </c>
      <c r="D103" s="319" t="s">
        <v>1395</v>
      </c>
      <c r="E103" s="319" t="s">
        <v>668</v>
      </c>
      <c r="F103" s="318">
        <v>16805.0</v>
      </c>
      <c r="G103" s="320"/>
      <c r="H103" s="319" t="s">
        <v>6636</v>
      </c>
      <c r="I103" s="318">
        <v>53.0</v>
      </c>
      <c r="J103" s="318">
        <v>8906.65</v>
      </c>
      <c r="K103" s="321"/>
      <c r="L103" s="321"/>
      <c r="M103" s="321"/>
      <c r="N103" s="321"/>
      <c r="O103" s="321"/>
      <c r="P103" s="321"/>
      <c r="Q103" s="31"/>
      <c r="R103" s="31"/>
      <c r="S103" s="31"/>
      <c r="T103" s="31"/>
      <c r="U103" s="31"/>
      <c r="V103" s="31"/>
      <c r="W103" s="31"/>
      <c r="X103" s="31"/>
      <c r="Y103" s="31"/>
    </row>
    <row r="104" ht="15.75" customHeight="1">
      <c r="A104" s="322">
        <v>104.0</v>
      </c>
      <c r="B104" s="323" t="s">
        <v>6810</v>
      </c>
      <c r="C104" s="323" t="s">
        <v>6801</v>
      </c>
      <c r="D104" s="323" t="s">
        <v>966</v>
      </c>
      <c r="E104" s="323" t="s">
        <v>668</v>
      </c>
      <c r="F104" s="322">
        <v>3851.0</v>
      </c>
      <c r="G104" s="322">
        <v>4545.0</v>
      </c>
      <c r="H104" s="323" t="s">
        <v>6639</v>
      </c>
      <c r="I104" s="322">
        <v>36.0</v>
      </c>
      <c r="J104" s="322">
        <v>1386.36</v>
      </c>
      <c r="K104" s="324"/>
      <c r="L104" s="324"/>
      <c r="M104" s="324"/>
      <c r="N104" s="324"/>
      <c r="O104" s="324"/>
      <c r="P104" s="324"/>
      <c r="Q104" s="31"/>
      <c r="R104" s="31"/>
      <c r="S104" s="31"/>
      <c r="T104" s="31"/>
      <c r="U104" s="31"/>
      <c r="V104" s="31"/>
      <c r="W104" s="31"/>
      <c r="X104" s="31"/>
      <c r="Y104" s="31"/>
    </row>
    <row r="105" ht="15.75" customHeight="1">
      <c r="A105" s="322">
        <v>105.0</v>
      </c>
      <c r="B105" s="323" t="s">
        <v>6811</v>
      </c>
      <c r="C105" s="323" t="s">
        <v>6812</v>
      </c>
      <c r="D105" s="323" t="s">
        <v>6650</v>
      </c>
      <c r="E105" s="323" t="s">
        <v>1424</v>
      </c>
      <c r="F105" s="322">
        <v>7122.0</v>
      </c>
      <c r="G105" s="322">
        <v>8404.0</v>
      </c>
      <c r="H105" s="323" t="s">
        <v>6639</v>
      </c>
      <c r="I105" s="322">
        <v>55.0</v>
      </c>
      <c r="J105" s="322">
        <v>3917.1</v>
      </c>
      <c r="K105" s="324"/>
      <c r="L105" s="324"/>
      <c r="M105" s="324"/>
      <c r="N105" s="324"/>
      <c r="O105" s="324"/>
      <c r="P105" s="324"/>
      <c r="Q105" s="31"/>
      <c r="R105" s="31"/>
      <c r="S105" s="31"/>
      <c r="T105" s="31"/>
      <c r="U105" s="31"/>
      <c r="V105" s="31"/>
      <c r="W105" s="31"/>
      <c r="X105" s="31"/>
      <c r="Y105" s="31"/>
    </row>
    <row r="106" ht="15.75" customHeight="1">
      <c r="A106" s="322">
        <v>106.0</v>
      </c>
      <c r="B106" s="323" t="s">
        <v>6813</v>
      </c>
      <c r="C106" s="323" t="s">
        <v>6768</v>
      </c>
      <c r="D106" s="323" t="s">
        <v>6650</v>
      </c>
      <c r="E106" s="323" t="s">
        <v>1424</v>
      </c>
      <c r="F106" s="322">
        <v>7134.0</v>
      </c>
      <c r="G106" s="322">
        <v>8418.0</v>
      </c>
      <c r="H106" s="323" t="s">
        <v>6639</v>
      </c>
      <c r="I106" s="322">
        <v>55.0</v>
      </c>
      <c r="J106" s="322">
        <v>3923.7</v>
      </c>
      <c r="K106" s="324"/>
      <c r="L106" s="324"/>
      <c r="M106" s="324"/>
      <c r="N106" s="324"/>
      <c r="O106" s="324"/>
      <c r="P106" s="324"/>
      <c r="Q106" s="31"/>
      <c r="R106" s="31"/>
      <c r="S106" s="31"/>
      <c r="T106" s="31"/>
      <c r="U106" s="31"/>
      <c r="V106" s="31"/>
      <c r="W106" s="31"/>
      <c r="X106" s="31"/>
      <c r="Y106" s="31"/>
    </row>
    <row r="107" ht="15.75" customHeight="1">
      <c r="A107" s="322">
        <v>107.0</v>
      </c>
      <c r="B107" s="323" t="s">
        <v>6814</v>
      </c>
      <c r="C107" s="323" t="s">
        <v>6815</v>
      </c>
      <c r="D107" s="323" t="s">
        <v>966</v>
      </c>
      <c r="E107" s="323" t="s">
        <v>668</v>
      </c>
      <c r="F107" s="322">
        <v>3416.0</v>
      </c>
      <c r="G107" s="322">
        <v>4030.0</v>
      </c>
      <c r="H107" s="323" t="s">
        <v>6639</v>
      </c>
      <c r="I107" s="322">
        <v>36.0</v>
      </c>
      <c r="J107" s="322">
        <v>1229.76</v>
      </c>
      <c r="K107" s="324"/>
      <c r="L107" s="324"/>
      <c r="M107" s="324"/>
      <c r="N107" s="324"/>
      <c r="O107" s="324"/>
      <c r="P107" s="324"/>
      <c r="Q107" s="31"/>
      <c r="R107" s="31"/>
      <c r="S107" s="31"/>
      <c r="T107" s="31"/>
      <c r="U107" s="31"/>
      <c r="V107" s="31"/>
      <c r="W107" s="31"/>
      <c r="X107" s="31"/>
      <c r="Y107" s="31"/>
    </row>
    <row r="108" ht="15.75" customHeight="1">
      <c r="A108" s="322">
        <v>108.0</v>
      </c>
      <c r="B108" s="323" t="s">
        <v>6816</v>
      </c>
      <c r="C108" s="323" t="s">
        <v>6783</v>
      </c>
      <c r="D108" s="323" t="s">
        <v>6650</v>
      </c>
      <c r="E108" s="323" t="s">
        <v>1424</v>
      </c>
      <c r="F108" s="322">
        <v>7122.0</v>
      </c>
      <c r="G108" s="322">
        <v>8404.0</v>
      </c>
      <c r="H108" s="323" t="s">
        <v>6639</v>
      </c>
      <c r="I108" s="322">
        <v>55.0</v>
      </c>
      <c r="J108" s="322">
        <v>3917.1</v>
      </c>
      <c r="K108" s="324"/>
      <c r="L108" s="324"/>
      <c r="M108" s="324"/>
      <c r="N108" s="324"/>
      <c r="O108" s="324"/>
      <c r="P108" s="324"/>
      <c r="Q108" s="31"/>
      <c r="R108" s="31"/>
      <c r="S108" s="31"/>
      <c r="T108" s="31"/>
      <c r="U108" s="31"/>
      <c r="V108" s="31"/>
      <c r="W108" s="31"/>
      <c r="X108" s="31"/>
      <c r="Y108" s="31"/>
    </row>
    <row r="109" ht="15.75" customHeight="1">
      <c r="A109" s="318">
        <v>109.0</v>
      </c>
      <c r="B109" s="319" t="s">
        <v>6817</v>
      </c>
      <c r="C109" s="319" t="s">
        <v>6818</v>
      </c>
      <c r="D109" s="319" t="s">
        <v>1395</v>
      </c>
      <c r="E109" s="319" t="s">
        <v>116</v>
      </c>
      <c r="F109" s="318">
        <v>16474.0</v>
      </c>
      <c r="G109" s="320"/>
      <c r="H109" s="319" t="s">
        <v>6636</v>
      </c>
      <c r="I109" s="318">
        <v>51.0</v>
      </c>
      <c r="J109" s="318">
        <v>8401.74</v>
      </c>
      <c r="K109" s="321"/>
      <c r="L109" s="321"/>
      <c r="M109" s="321"/>
      <c r="N109" s="321"/>
      <c r="O109" s="321"/>
      <c r="P109" s="321"/>
      <c r="Q109" s="31"/>
      <c r="R109" s="31"/>
      <c r="S109" s="31"/>
      <c r="T109" s="31"/>
      <c r="U109" s="31"/>
      <c r="V109" s="31"/>
      <c r="W109" s="31"/>
      <c r="X109" s="31"/>
      <c r="Y109" s="31"/>
    </row>
    <row r="110" ht="15.75" customHeight="1">
      <c r="A110" s="322">
        <v>110.0</v>
      </c>
      <c r="B110" s="323" t="s">
        <v>6819</v>
      </c>
      <c r="C110" s="323" t="s">
        <v>6820</v>
      </c>
      <c r="D110" s="323" t="s">
        <v>966</v>
      </c>
      <c r="E110" s="323" t="s">
        <v>668</v>
      </c>
      <c r="F110" s="322">
        <v>3416.0</v>
      </c>
      <c r="G110" s="322">
        <v>4030.0</v>
      </c>
      <c r="H110" s="323" t="s">
        <v>6639</v>
      </c>
      <c r="I110" s="322">
        <v>36.0</v>
      </c>
      <c r="J110" s="322">
        <v>1229.76</v>
      </c>
      <c r="K110" s="324"/>
      <c r="L110" s="324"/>
      <c r="M110" s="324"/>
      <c r="N110" s="324"/>
      <c r="O110" s="324"/>
      <c r="P110" s="324"/>
      <c r="Q110" s="31"/>
      <c r="R110" s="31"/>
      <c r="S110" s="31"/>
      <c r="T110" s="31"/>
      <c r="U110" s="31"/>
      <c r="V110" s="31"/>
      <c r="W110" s="31"/>
      <c r="X110" s="31"/>
      <c r="Y110" s="31"/>
    </row>
    <row r="111" ht="15.75" customHeight="1">
      <c r="A111" s="322">
        <v>111.0</v>
      </c>
      <c r="B111" s="323" t="s">
        <v>6821</v>
      </c>
      <c r="C111" s="323" t="s">
        <v>6654</v>
      </c>
      <c r="D111" s="323" t="s">
        <v>1395</v>
      </c>
      <c r="E111" s="323" t="s">
        <v>668</v>
      </c>
      <c r="F111" s="322">
        <v>19663.0</v>
      </c>
      <c r="G111" s="322">
        <v>22241.0</v>
      </c>
      <c r="H111" s="323" t="s">
        <v>6639</v>
      </c>
      <c r="I111" s="322">
        <v>53.0</v>
      </c>
      <c r="J111" s="322">
        <v>10421.39</v>
      </c>
      <c r="K111" s="324"/>
      <c r="L111" s="324"/>
      <c r="M111" s="324"/>
      <c r="N111" s="324"/>
      <c r="O111" s="324"/>
      <c r="P111" s="324"/>
      <c r="Q111" s="31"/>
      <c r="R111" s="31"/>
      <c r="S111" s="31"/>
      <c r="T111" s="31"/>
      <c r="U111" s="31"/>
      <c r="V111" s="31"/>
      <c r="W111" s="31"/>
      <c r="X111" s="31"/>
      <c r="Y111" s="31"/>
    </row>
    <row r="112" ht="15.75" customHeight="1">
      <c r="A112" s="322">
        <v>112.0</v>
      </c>
      <c r="B112" s="323" t="s">
        <v>6822</v>
      </c>
      <c r="C112" s="323" t="s">
        <v>6823</v>
      </c>
      <c r="D112" s="323" t="s">
        <v>1395</v>
      </c>
      <c r="E112" s="323" t="s">
        <v>668</v>
      </c>
      <c r="F112" s="322">
        <v>20421.0</v>
      </c>
      <c r="G112" s="322">
        <v>23133.0</v>
      </c>
      <c r="H112" s="323" t="s">
        <v>6639</v>
      </c>
      <c r="I112" s="322">
        <v>53.0</v>
      </c>
      <c r="J112" s="322">
        <v>10823.13</v>
      </c>
      <c r="K112" s="324"/>
      <c r="L112" s="324"/>
      <c r="M112" s="324"/>
      <c r="N112" s="324"/>
      <c r="O112" s="324"/>
      <c r="P112" s="324"/>
      <c r="Q112" s="31"/>
      <c r="R112" s="31"/>
      <c r="S112" s="31"/>
      <c r="T112" s="31"/>
      <c r="U112" s="31"/>
      <c r="V112" s="31"/>
      <c r="W112" s="31"/>
      <c r="X112" s="31"/>
      <c r="Y112" s="31"/>
    </row>
    <row r="113" ht="15.75" customHeight="1">
      <c r="A113" s="322">
        <v>113.0</v>
      </c>
      <c r="B113" s="323" t="s">
        <v>924</v>
      </c>
      <c r="C113" s="323" t="s">
        <v>6750</v>
      </c>
      <c r="D113" s="323" t="s">
        <v>21</v>
      </c>
      <c r="E113" s="323" t="s">
        <v>668</v>
      </c>
      <c r="F113" s="322">
        <v>47332.0</v>
      </c>
      <c r="G113" s="322">
        <v>53214.0</v>
      </c>
      <c r="H113" s="323" t="s">
        <v>6639</v>
      </c>
      <c r="I113" s="322">
        <v>19.5</v>
      </c>
      <c r="J113" s="322">
        <v>9229.74</v>
      </c>
      <c r="K113" s="324"/>
      <c r="L113" s="324"/>
      <c r="M113" s="324"/>
      <c r="N113" s="324"/>
      <c r="O113" s="324"/>
      <c r="P113" s="324"/>
      <c r="Q113" s="31"/>
      <c r="R113" s="31"/>
      <c r="S113" s="31"/>
      <c r="T113" s="31"/>
      <c r="U113" s="31"/>
      <c r="V113" s="31"/>
      <c r="W113" s="31"/>
      <c r="X113" s="31"/>
      <c r="Y113" s="31"/>
    </row>
    <row r="114" ht="15.75" customHeight="1">
      <c r="A114" s="318">
        <v>114.0</v>
      </c>
      <c r="B114" s="319" t="s">
        <v>6824</v>
      </c>
      <c r="C114" s="319" t="s">
        <v>6825</v>
      </c>
      <c r="D114" s="319" t="s">
        <v>6650</v>
      </c>
      <c r="E114" s="319" t="s">
        <v>1424</v>
      </c>
      <c r="F114" s="318">
        <v>7122.0</v>
      </c>
      <c r="G114" s="320"/>
      <c r="H114" s="319" t="s">
        <v>6636</v>
      </c>
      <c r="I114" s="318">
        <v>55.0</v>
      </c>
      <c r="J114" s="318">
        <v>3917.1</v>
      </c>
      <c r="K114" s="321"/>
      <c r="L114" s="321"/>
      <c r="M114" s="321"/>
      <c r="N114" s="321"/>
      <c r="O114" s="321"/>
      <c r="P114" s="321"/>
      <c r="Q114" s="31"/>
      <c r="R114" s="31"/>
      <c r="S114" s="31"/>
      <c r="T114" s="31"/>
      <c r="U114" s="31"/>
      <c r="V114" s="31"/>
      <c r="W114" s="31"/>
      <c r="X114" s="31"/>
      <c r="Y114" s="31"/>
    </row>
    <row r="115" ht="15.75" customHeight="1">
      <c r="A115" s="318">
        <v>115.0</v>
      </c>
      <c r="B115" s="319" t="s">
        <v>3488</v>
      </c>
      <c r="C115" s="319" t="s">
        <v>6826</v>
      </c>
      <c r="D115" s="319" t="s">
        <v>1395</v>
      </c>
      <c r="E115" s="319" t="s">
        <v>116</v>
      </c>
      <c r="F115" s="318">
        <v>23031.0</v>
      </c>
      <c r="G115" s="320"/>
      <c r="H115" s="319" t="s">
        <v>6636</v>
      </c>
      <c r="I115" s="318">
        <v>51.0</v>
      </c>
      <c r="J115" s="318">
        <v>11745.81</v>
      </c>
      <c r="K115" s="321"/>
      <c r="L115" s="321"/>
      <c r="M115" s="321"/>
      <c r="N115" s="321"/>
      <c r="O115" s="321"/>
      <c r="P115" s="321"/>
      <c r="Q115" s="31"/>
      <c r="R115" s="31"/>
      <c r="S115" s="31"/>
      <c r="T115" s="31"/>
      <c r="U115" s="31"/>
      <c r="V115" s="31"/>
      <c r="W115" s="31"/>
      <c r="X115" s="31"/>
      <c r="Y115" s="31"/>
    </row>
    <row r="116" ht="15.75" customHeight="1">
      <c r="A116" s="322">
        <v>116.0</v>
      </c>
      <c r="B116" s="323" t="s">
        <v>6827</v>
      </c>
      <c r="C116" s="323" t="s">
        <v>6828</v>
      </c>
      <c r="D116" s="323" t="s">
        <v>6650</v>
      </c>
      <c r="E116" s="323" t="s">
        <v>1424</v>
      </c>
      <c r="F116" s="322">
        <v>6858.0</v>
      </c>
      <c r="G116" s="322">
        <v>8092.0</v>
      </c>
      <c r="H116" s="323" t="s">
        <v>6639</v>
      </c>
      <c r="I116" s="322">
        <v>55.0</v>
      </c>
      <c r="J116" s="322">
        <v>3771.9</v>
      </c>
      <c r="K116" s="324"/>
      <c r="L116" s="324"/>
      <c r="M116" s="324"/>
      <c r="N116" s="324"/>
      <c r="O116" s="324"/>
      <c r="P116" s="324"/>
      <c r="Q116" s="31"/>
      <c r="R116" s="31"/>
      <c r="S116" s="31"/>
      <c r="T116" s="31"/>
      <c r="U116" s="31"/>
      <c r="V116" s="31"/>
      <c r="W116" s="31"/>
      <c r="X116" s="31"/>
      <c r="Y116" s="31"/>
    </row>
    <row r="117" ht="15.75" customHeight="1">
      <c r="A117" s="322">
        <v>117.0</v>
      </c>
      <c r="B117" s="323" t="s">
        <v>657</v>
      </c>
      <c r="C117" s="323" t="s">
        <v>6829</v>
      </c>
      <c r="D117" s="323" t="s">
        <v>21</v>
      </c>
      <c r="E117" s="323" t="s">
        <v>668</v>
      </c>
      <c r="F117" s="322">
        <v>37231.0</v>
      </c>
      <c r="G117" s="322">
        <v>41815.0</v>
      </c>
      <c r="H117" s="323" t="s">
        <v>6639</v>
      </c>
      <c r="I117" s="322">
        <v>19.5</v>
      </c>
      <c r="J117" s="322">
        <v>7260.045</v>
      </c>
      <c r="K117" s="324"/>
      <c r="L117" s="324"/>
      <c r="M117" s="324"/>
      <c r="N117" s="324"/>
      <c r="O117" s="324"/>
      <c r="P117" s="324"/>
      <c r="Q117" s="31"/>
      <c r="R117" s="31"/>
      <c r="S117" s="31"/>
      <c r="T117" s="31"/>
      <c r="U117" s="31"/>
      <c r="V117" s="31"/>
      <c r="W117" s="31"/>
      <c r="X117" s="31"/>
      <c r="Y117" s="31"/>
    </row>
    <row r="118" ht="15.75" customHeight="1">
      <c r="A118" s="318">
        <v>118.0</v>
      </c>
      <c r="B118" s="319" t="s">
        <v>6830</v>
      </c>
      <c r="C118" s="319" t="s">
        <v>6831</v>
      </c>
      <c r="D118" s="319" t="s">
        <v>1395</v>
      </c>
      <c r="E118" s="319" t="s">
        <v>116</v>
      </c>
      <c r="F118" s="318">
        <v>18791.0</v>
      </c>
      <c r="G118" s="320"/>
      <c r="H118" s="319" t="s">
        <v>6636</v>
      </c>
      <c r="I118" s="318">
        <v>51.0</v>
      </c>
      <c r="J118" s="318">
        <v>9583.41</v>
      </c>
      <c r="K118" s="321"/>
      <c r="L118" s="321"/>
      <c r="M118" s="321"/>
      <c r="N118" s="321"/>
      <c r="O118" s="321"/>
      <c r="P118" s="321"/>
      <c r="Q118" s="31"/>
      <c r="R118" s="31"/>
      <c r="S118" s="31"/>
      <c r="T118" s="31"/>
      <c r="U118" s="31"/>
      <c r="V118" s="31"/>
      <c r="W118" s="31"/>
      <c r="X118" s="31"/>
      <c r="Y118" s="31"/>
    </row>
    <row r="119" ht="15.75" customHeight="1">
      <c r="A119" s="318">
        <v>119.0</v>
      </c>
      <c r="B119" s="319" t="s">
        <v>6832</v>
      </c>
      <c r="C119" s="319" t="s">
        <v>6833</v>
      </c>
      <c r="D119" s="319" t="s">
        <v>1395</v>
      </c>
      <c r="E119" s="319" t="s">
        <v>116</v>
      </c>
      <c r="F119" s="318">
        <v>17963.0</v>
      </c>
      <c r="G119" s="320"/>
      <c r="H119" s="319" t="s">
        <v>6636</v>
      </c>
      <c r="I119" s="318">
        <v>51.0</v>
      </c>
      <c r="J119" s="318">
        <v>9161.13</v>
      </c>
      <c r="K119" s="321"/>
      <c r="L119" s="321"/>
      <c r="M119" s="321"/>
      <c r="N119" s="321"/>
      <c r="O119" s="321"/>
      <c r="P119" s="321"/>
      <c r="Q119" s="31"/>
      <c r="R119" s="31"/>
      <c r="S119" s="31"/>
      <c r="T119" s="31"/>
      <c r="U119" s="31"/>
      <c r="V119" s="31"/>
      <c r="W119" s="31"/>
      <c r="X119" s="31"/>
      <c r="Y119" s="31"/>
    </row>
    <row r="120" ht="15.75" customHeight="1">
      <c r="A120" s="322">
        <v>120.0</v>
      </c>
      <c r="B120" s="323" t="s">
        <v>6834</v>
      </c>
      <c r="C120" s="323" t="s">
        <v>6835</v>
      </c>
      <c r="D120" s="323" t="s">
        <v>966</v>
      </c>
      <c r="E120" s="323" t="s">
        <v>668</v>
      </c>
      <c r="F120" s="322">
        <v>3416.0</v>
      </c>
      <c r="G120" s="322">
        <v>4030.0</v>
      </c>
      <c r="H120" s="323" t="s">
        <v>6639</v>
      </c>
      <c r="I120" s="322">
        <v>36.0</v>
      </c>
      <c r="J120" s="322">
        <v>1229.76</v>
      </c>
      <c r="K120" s="324"/>
      <c r="L120" s="324"/>
      <c r="M120" s="324"/>
      <c r="N120" s="324"/>
      <c r="O120" s="324"/>
      <c r="P120" s="324"/>
      <c r="Q120" s="31"/>
      <c r="R120" s="31"/>
      <c r="S120" s="31"/>
      <c r="T120" s="31"/>
      <c r="U120" s="31"/>
      <c r="V120" s="31"/>
      <c r="W120" s="31"/>
      <c r="X120" s="31"/>
      <c r="Y120" s="31"/>
    </row>
    <row r="121" ht="15.75" customHeight="1">
      <c r="A121" s="318">
        <v>121.0</v>
      </c>
      <c r="B121" s="319" t="s">
        <v>6836</v>
      </c>
      <c r="C121" s="319" t="s">
        <v>6837</v>
      </c>
      <c r="D121" s="319" t="s">
        <v>966</v>
      </c>
      <c r="E121" s="319" t="s">
        <v>6642</v>
      </c>
      <c r="F121" s="318">
        <v>3416.0</v>
      </c>
      <c r="G121" s="320"/>
      <c r="H121" s="319" t="s">
        <v>6636</v>
      </c>
      <c r="I121" s="318">
        <v>24.0</v>
      </c>
      <c r="J121" s="318">
        <v>819.84</v>
      </c>
      <c r="K121" s="321"/>
      <c r="L121" s="321"/>
      <c r="M121" s="321"/>
      <c r="N121" s="321"/>
      <c r="O121" s="321"/>
      <c r="P121" s="321"/>
      <c r="Q121" s="31"/>
      <c r="R121" s="31"/>
      <c r="S121" s="31"/>
      <c r="T121" s="31"/>
      <c r="U121" s="31"/>
      <c r="V121" s="31"/>
      <c r="W121" s="31"/>
      <c r="X121" s="31"/>
      <c r="Y121" s="31"/>
    </row>
    <row r="122" ht="15.75" customHeight="1">
      <c r="A122" s="322">
        <v>122.0</v>
      </c>
      <c r="B122" s="323" t="s">
        <v>1737</v>
      </c>
      <c r="C122" s="323" t="s">
        <v>6838</v>
      </c>
      <c r="D122" s="323" t="s">
        <v>21</v>
      </c>
      <c r="E122" s="323" t="s">
        <v>668</v>
      </c>
      <c r="F122" s="322">
        <v>47149.0</v>
      </c>
      <c r="G122" s="322">
        <v>52999.0</v>
      </c>
      <c r="H122" s="323" t="s">
        <v>6639</v>
      </c>
      <c r="I122" s="322">
        <v>19.5</v>
      </c>
      <c r="J122" s="322">
        <v>9194.055</v>
      </c>
      <c r="K122" s="324"/>
      <c r="L122" s="324"/>
      <c r="M122" s="324"/>
      <c r="N122" s="324"/>
      <c r="O122" s="324"/>
      <c r="P122" s="324"/>
      <c r="Q122" s="31"/>
      <c r="R122" s="31"/>
      <c r="S122" s="31"/>
      <c r="T122" s="31"/>
      <c r="U122" s="31"/>
      <c r="V122" s="31"/>
      <c r="W122" s="31"/>
      <c r="X122" s="31"/>
      <c r="Y122" s="31"/>
    </row>
    <row r="123" ht="15.75" customHeight="1">
      <c r="A123" s="322">
        <v>123.0</v>
      </c>
      <c r="B123" s="323" t="s">
        <v>6839</v>
      </c>
      <c r="C123" s="323" t="s">
        <v>6840</v>
      </c>
      <c r="D123" s="323" t="s">
        <v>966</v>
      </c>
      <c r="E123" s="323" t="s">
        <v>668</v>
      </c>
      <c r="F123" s="322">
        <v>3476.0</v>
      </c>
      <c r="G123" s="322">
        <v>4102.0</v>
      </c>
      <c r="H123" s="323" t="s">
        <v>6639</v>
      </c>
      <c r="I123" s="322">
        <v>36.0</v>
      </c>
      <c r="J123" s="322">
        <v>1251.36</v>
      </c>
      <c r="K123" s="324"/>
      <c r="L123" s="324"/>
      <c r="M123" s="324"/>
      <c r="N123" s="324"/>
      <c r="O123" s="324"/>
      <c r="P123" s="324"/>
      <c r="Q123" s="31"/>
      <c r="R123" s="31"/>
      <c r="S123" s="31"/>
      <c r="T123" s="31"/>
      <c r="U123" s="31"/>
      <c r="V123" s="31"/>
      <c r="W123" s="31"/>
      <c r="X123" s="31"/>
      <c r="Y123" s="31"/>
    </row>
    <row r="124" ht="15.75" customHeight="1">
      <c r="A124" s="318">
        <v>124.0</v>
      </c>
      <c r="B124" s="319" t="s">
        <v>6841</v>
      </c>
      <c r="C124" s="319" t="s">
        <v>6842</v>
      </c>
      <c r="D124" s="319" t="s">
        <v>6650</v>
      </c>
      <c r="E124" s="319" t="s">
        <v>1424</v>
      </c>
      <c r="F124" s="318">
        <v>6852.0</v>
      </c>
      <c r="G124" s="320"/>
      <c r="H124" s="319" t="s">
        <v>6636</v>
      </c>
      <c r="I124" s="318">
        <v>55.0</v>
      </c>
      <c r="J124" s="318">
        <v>3768.6</v>
      </c>
      <c r="K124" s="321"/>
      <c r="L124" s="321"/>
      <c r="M124" s="321"/>
      <c r="N124" s="321"/>
      <c r="O124" s="321"/>
      <c r="P124" s="321"/>
      <c r="Q124" s="31"/>
      <c r="R124" s="31"/>
      <c r="S124" s="31"/>
      <c r="T124" s="31"/>
      <c r="U124" s="31"/>
      <c r="V124" s="31"/>
      <c r="W124" s="31"/>
      <c r="X124" s="31"/>
      <c r="Y124" s="31"/>
    </row>
    <row r="125" ht="15.75" customHeight="1">
      <c r="A125" s="318">
        <v>125.0</v>
      </c>
      <c r="B125" s="319" t="s">
        <v>6843</v>
      </c>
      <c r="C125" s="319" t="s">
        <v>6844</v>
      </c>
      <c r="D125" s="319" t="s">
        <v>6650</v>
      </c>
      <c r="E125" s="319" t="s">
        <v>1424</v>
      </c>
      <c r="F125" s="318">
        <v>6883.0</v>
      </c>
      <c r="G125" s="320"/>
      <c r="H125" s="319" t="s">
        <v>6636</v>
      </c>
      <c r="I125" s="318">
        <v>55.0</v>
      </c>
      <c r="J125" s="318">
        <v>3785.65</v>
      </c>
      <c r="K125" s="321"/>
      <c r="L125" s="321"/>
      <c r="M125" s="321"/>
      <c r="N125" s="321"/>
      <c r="O125" s="321"/>
      <c r="P125" s="321"/>
      <c r="Q125" s="31"/>
      <c r="R125" s="31"/>
      <c r="S125" s="31"/>
      <c r="T125" s="31"/>
      <c r="U125" s="31"/>
      <c r="V125" s="31"/>
      <c r="W125" s="31"/>
      <c r="X125" s="31"/>
      <c r="Y125" s="31"/>
    </row>
    <row r="126" ht="15.75" customHeight="1">
      <c r="A126" s="318">
        <v>126.0</v>
      </c>
      <c r="B126" s="319" t="s">
        <v>6845</v>
      </c>
      <c r="C126" s="319" t="s">
        <v>6846</v>
      </c>
      <c r="D126" s="319" t="s">
        <v>1395</v>
      </c>
      <c r="E126" s="319" t="s">
        <v>116</v>
      </c>
      <c r="F126" s="318">
        <v>18385.0</v>
      </c>
      <c r="G126" s="320"/>
      <c r="H126" s="319" t="s">
        <v>6636</v>
      </c>
      <c r="I126" s="318">
        <v>51.0</v>
      </c>
      <c r="J126" s="318">
        <v>9376.35</v>
      </c>
      <c r="K126" s="321"/>
      <c r="L126" s="321"/>
      <c r="M126" s="321"/>
      <c r="N126" s="321"/>
      <c r="O126" s="321"/>
      <c r="P126" s="321"/>
      <c r="Q126" s="31"/>
      <c r="R126" s="31"/>
      <c r="S126" s="31"/>
      <c r="T126" s="31"/>
      <c r="U126" s="31"/>
      <c r="V126" s="31"/>
      <c r="W126" s="31"/>
      <c r="X126" s="31"/>
      <c r="Y126" s="31"/>
    </row>
    <row r="127" ht="15.75" customHeight="1">
      <c r="A127" s="318">
        <v>127.0</v>
      </c>
      <c r="B127" s="319" t="s">
        <v>453</v>
      </c>
      <c r="C127" s="319" t="s">
        <v>6847</v>
      </c>
      <c r="D127" s="319" t="s">
        <v>21</v>
      </c>
      <c r="E127" s="319" t="s">
        <v>65</v>
      </c>
      <c r="F127" s="318">
        <v>43950.0</v>
      </c>
      <c r="G127" s="320"/>
      <c r="H127" s="319" t="s">
        <v>6636</v>
      </c>
      <c r="I127" s="318">
        <v>38.0</v>
      </c>
      <c r="J127" s="318">
        <v>16701.0</v>
      </c>
      <c r="K127" s="321"/>
      <c r="L127" s="321"/>
      <c r="M127" s="321"/>
      <c r="N127" s="321"/>
      <c r="O127" s="321"/>
      <c r="P127" s="321"/>
      <c r="Q127" s="31"/>
      <c r="R127" s="31"/>
      <c r="S127" s="31"/>
      <c r="T127" s="31"/>
      <c r="U127" s="31"/>
      <c r="V127" s="31"/>
      <c r="W127" s="31"/>
      <c r="X127" s="31"/>
      <c r="Y127" s="31"/>
    </row>
    <row r="128" ht="15.75" customHeight="1">
      <c r="A128" s="318">
        <v>128.0</v>
      </c>
      <c r="B128" s="319" t="s">
        <v>6848</v>
      </c>
      <c r="C128" s="319" t="s">
        <v>6849</v>
      </c>
      <c r="D128" s="319" t="s">
        <v>6650</v>
      </c>
      <c r="E128" s="319" t="s">
        <v>1424</v>
      </c>
      <c r="F128" s="318">
        <v>6921.0</v>
      </c>
      <c r="G128" s="320"/>
      <c r="H128" s="319" t="s">
        <v>6636</v>
      </c>
      <c r="I128" s="318">
        <v>55.0</v>
      </c>
      <c r="J128" s="318">
        <v>3806.55</v>
      </c>
      <c r="K128" s="321"/>
      <c r="L128" s="321"/>
      <c r="M128" s="321"/>
      <c r="N128" s="321"/>
      <c r="O128" s="321"/>
      <c r="P128" s="321"/>
      <c r="Q128" s="31"/>
      <c r="R128" s="31"/>
      <c r="S128" s="31"/>
      <c r="T128" s="31"/>
      <c r="U128" s="31"/>
      <c r="V128" s="31"/>
      <c r="W128" s="31"/>
      <c r="X128" s="31"/>
      <c r="Y128" s="31"/>
    </row>
    <row r="129" ht="15.75" customHeight="1">
      <c r="A129" s="318">
        <v>129.0</v>
      </c>
      <c r="B129" s="319" t="s">
        <v>6850</v>
      </c>
      <c r="C129" s="319" t="s">
        <v>6750</v>
      </c>
      <c r="D129" s="319" t="s">
        <v>966</v>
      </c>
      <c r="E129" s="319" t="s">
        <v>6642</v>
      </c>
      <c r="F129" s="318">
        <v>7897.0</v>
      </c>
      <c r="G129" s="320"/>
      <c r="H129" s="319" t="s">
        <v>6636</v>
      </c>
      <c r="I129" s="318">
        <v>24.0</v>
      </c>
      <c r="J129" s="318">
        <v>1895.28</v>
      </c>
      <c r="K129" s="321"/>
      <c r="L129" s="321"/>
      <c r="M129" s="321"/>
      <c r="N129" s="321"/>
      <c r="O129" s="321"/>
      <c r="P129" s="321"/>
      <c r="Q129" s="31"/>
      <c r="R129" s="31"/>
      <c r="S129" s="31"/>
      <c r="T129" s="31"/>
      <c r="U129" s="31"/>
      <c r="V129" s="31"/>
      <c r="W129" s="31"/>
      <c r="X129" s="31"/>
      <c r="Y129" s="31"/>
    </row>
    <row r="130" ht="15.75" customHeight="1">
      <c r="A130" s="322">
        <v>130.0</v>
      </c>
      <c r="B130" s="323" t="s">
        <v>2338</v>
      </c>
      <c r="C130" s="323" t="s">
        <v>6851</v>
      </c>
      <c r="D130" s="323" t="s">
        <v>21</v>
      </c>
      <c r="E130" s="323" t="s">
        <v>668</v>
      </c>
      <c r="F130" s="322">
        <v>46906.0</v>
      </c>
      <c r="G130" s="322">
        <v>52712.0</v>
      </c>
      <c r="H130" s="323" t="s">
        <v>6639</v>
      </c>
      <c r="I130" s="322">
        <v>19.5</v>
      </c>
      <c r="J130" s="322">
        <v>9146.67</v>
      </c>
      <c r="K130" s="324"/>
      <c r="L130" s="324"/>
      <c r="M130" s="324"/>
      <c r="N130" s="324"/>
      <c r="O130" s="324"/>
      <c r="P130" s="324"/>
      <c r="Q130" s="31"/>
      <c r="R130" s="31"/>
      <c r="S130" s="31"/>
      <c r="T130" s="31"/>
      <c r="U130" s="31"/>
      <c r="V130" s="31"/>
      <c r="W130" s="31"/>
      <c r="X130" s="31"/>
      <c r="Y130" s="31"/>
    </row>
    <row r="131" ht="15.75" customHeight="1">
      <c r="A131" s="322">
        <v>131.0</v>
      </c>
      <c r="B131" s="323" t="s">
        <v>6852</v>
      </c>
      <c r="C131" s="323" t="s">
        <v>6658</v>
      </c>
      <c r="D131" s="323" t="s">
        <v>966</v>
      </c>
      <c r="E131" s="323" t="s">
        <v>668</v>
      </c>
      <c r="F131" s="322">
        <v>7897.0</v>
      </c>
      <c r="G131" s="322">
        <v>9319.0</v>
      </c>
      <c r="H131" s="323" t="s">
        <v>6639</v>
      </c>
      <c r="I131" s="322">
        <v>36.0</v>
      </c>
      <c r="J131" s="322">
        <v>2842.92</v>
      </c>
      <c r="K131" s="324"/>
      <c r="L131" s="324"/>
      <c r="M131" s="324"/>
      <c r="N131" s="324"/>
      <c r="O131" s="324"/>
      <c r="P131" s="324"/>
      <c r="Q131" s="31"/>
      <c r="R131" s="31"/>
      <c r="S131" s="31"/>
      <c r="T131" s="31"/>
      <c r="U131" s="31"/>
      <c r="V131" s="31"/>
      <c r="W131" s="31"/>
      <c r="X131" s="31"/>
      <c r="Y131" s="31"/>
    </row>
    <row r="132" ht="15.75" customHeight="1">
      <c r="A132" s="318">
        <v>132.0</v>
      </c>
      <c r="B132" s="319" t="s">
        <v>1796</v>
      </c>
      <c r="C132" s="319" t="s">
        <v>6687</v>
      </c>
      <c r="D132" s="319" t="s">
        <v>21</v>
      </c>
      <c r="E132" s="319" t="s">
        <v>668</v>
      </c>
      <c r="F132" s="318">
        <v>48146.0</v>
      </c>
      <c r="G132" s="320"/>
      <c r="H132" s="319" t="s">
        <v>6636</v>
      </c>
      <c r="I132" s="318">
        <v>19.5</v>
      </c>
      <c r="J132" s="318">
        <v>9388.47</v>
      </c>
      <c r="K132" s="321"/>
      <c r="L132" s="321"/>
      <c r="M132" s="321"/>
      <c r="N132" s="321"/>
      <c r="O132" s="321"/>
      <c r="P132" s="321"/>
      <c r="Q132" s="31"/>
      <c r="R132" s="31"/>
      <c r="S132" s="31"/>
      <c r="T132" s="31"/>
      <c r="U132" s="31"/>
      <c r="V132" s="31"/>
      <c r="W132" s="31"/>
      <c r="X132" s="31"/>
      <c r="Y132" s="31"/>
    </row>
    <row r="133" ht="15.75" customHeight="1">
      <c r="A133" s="318">
        <v>133.0</v>
      </c>
      <c r="B133" s="319" t="s">
        <v>6853</v>
      </c>
      <c r="C133" s="319" t="s">
        <v>6854</v>
      </c>
      <c r="D133" s="319" t="s">
        <v>21</v>
      </c>
      <c r="E133" s="319" t="s">
        <v>48</v>
      </c>
      <c r="F133" s="318">
        <v>39674.0</v>
      </c>
      <c r="G133" s="320"/>
      <c r="H133" s="319" t="s">
        <v>6636</v>
      </c>
      <c r="I133" s="318">
        <v>17.0</v>
      </c>
      <c r="J133" s="318">
        <v>6744.58</v>
      </c>
      <c r="K133" s="321"/>
      <c r="L133" s="321"/>
      <c r="M133" s="321"/>
      <c r="N133" s="321"/>
      <c r="O133" s="321"/>
      <c r="P133" s="321"/>
      <c r="Q133" s="31"/>
      <c r="R133" s="31"/>
      <c r="S133" s="31"/>
      <c r="T133" s="31"/>
      <c r="U133" s="31"/>
      <c r="V133" s="31"/>
      <c r="W133" s="31"/>
      <c r="X133" s="31"/>
      <c r="Y133" s="31"/>
    </row>
    <row r="134" ht="15.75" customHeight="1">
      <c r="A134" s="318">
        <v>134.0</v>
      </c>
      <c r="B134" s="319" t="s">
        <v>1775</v>
      </c>
      <c r="C134" s="319" t="s">
        <v>1776</v>
      </c>
      <c r="D134" s="319" t="s">
        <v>21</v>
      </c>
      <c r="E134" s="319" t="s">
        <v>668</v>
      </c>
      <c r="F134" s="318">
        <v>47842.0</v>
      </c>
      <c r="G134" s="320"/>
      <c r="H134" s="319" t="s">
        <v>6636</v>
      </c>
      <c r="I134" s="318">
        <v>19.5</v>
      </c>
      <c r="J134" s="318">
        <v>9329.19</v>
      </c>
      <c r="K134" s="321"/>
      <c r="L134" s="321"/>
      <c r="M134" s="321"/>
      <c r="N134" s="321"/>
      <c r="O134" s="321"/>
      <c r="P134" s="321"/>
      <c r="Q134" s="31"/>
      <c r="R134" s="31"/>
      <c r="S134" s="31"/>
      <c r="T134" s="31"/>
      <c r="U134" s="31"/>
      <c r="V134" s="31"/>
      <c r="W134" s="31"/>
      <c r="X134" s="31"/>
      <c r="Y134" s="31"/>
    </row>
    <row r="135" ht="15.75" customHeight="1">
      <c r="A135" s="322">
        <v>135.0</v>
      </c>
      <c r="B135" s="323" t="s">
        <v>6855</v>
      </c>
      <c r="C135" s="323" t="s">
        <v>6856</v>
      </c>
      <c r="D135" s="323" t="s">
        <v>6650</v>
      </c>
      <c r="E135" s="323" t="s">
        <v>668</v>
      </c>
      <c r="F135" s="322">
        <v>5731.0</v>
      </c>
      <c r="G135" s="322">
        <v>6495.0</v>
      </c>
      <c r="H135" s="323" t="s">
        <v>6639</v>
      </c>
      <c r="I135" s="322">
        <v>53.0</v>
      </c>
      <c r="J135" s="322">
        <v>3037.43</v>
      </c>
      <c r="K135" s="324"/>
      <c r="L135" s="324"/>
      <c r="M135" s="324"/>
      <c r="N135" s="324"/>
      <c r="O135" s="324"/>
      <c r="P135" s="324"/>
      <c r="Q135" s="31"/>
      <c r="R135" s="31"/>
      <c r="S135" s="31"/>
      <c r="T135" s="31"/>
      <c r="U135" s="31"/>
      <c r="V135" s="31"/>
      <c r="W135" s="31"/>
      <c r="X135" s="31"/>
      <c r="Y135" s="31"/>
    </row>
    <row r="136" ht="15.75" customHeight="1">
      <c r="A136" s="318">
        <v>136.0</v>
      </c>
      <c r="B136" s="319" t="s">
        <v>6857</v>
      </c>
      <c r="C136" s="319" t="s">
        <v>6858</v>
      </c>
      <c r="D136" s="319" t="s">
        <v>21</v>
      </c>
      <c r="E136" s="319" t="s">
        <v>25</v>
      </c>
      <c r="F136" s="318">
        <v>44242.0</v>
      </c>
      <c r="G136" s="320"/>
      <c r="H136" s="319" t="s">
        <v>6636</v>
      </c>
      <c r="I136" s="318">
        <v>31.0</v>
      </c>
      <c r="J136" s="318">
        <v>13715.02</v>
      </c>
      <c r="K136" s="321"/>
      <c r="L136" s="321"/>
      <c r="M136" s="321"/>
      <c r="N136" s="321"/>
      <c r="O136" s="321"/>
      <c r="P136" s="321"/>
      <c r="Q136" s="31"/>
      <c r="R136" s="31"/>
      <c r="S136" s="31"/>
      <c r="T136" s="31"/>
      <c r="U136" s="31"/>
      <c r="V136" s="31"/>
      <c r="W136" s="31"/>
      <c r="X136" s="31"/>
      <c r="Y136" s="31"/>
    </row>
    <row r="137" ht="15.75" customHeight="1">
      <c r="A137" s="318">
        <v>137.0</v>
      </c>
      <c r="B137" s="319" t="s">
        <v>6859</v>
      </c>
      <c r="C137" s="319" t="s">
        <v>6860</v>
      </c>
      <c r="D137" s="319" t="s">
        <v>6650</v>
      </c>
      <c r="E137" s="319" t="s">
        <v>1424</v>
      </c>
      <c r="F137" s="318">
        <v>6889.0</v>
      </c>
      <c r="G137" s="320"/>
      <c r="H137" s="319" t="s">
        <v>6636</v>
      </c>
      <c r="I137" s="318">
        <v>55.0</v>
      </c>
      <c r="J137" s="318">
        <v>3788.95</v>
      </c>
      <c r="K137" s="321"/>
      <c r="L137" s="321"/>
      <c r="M137" s="321"/>
      <c r="N137" s="321"/>
      <c r="O137" s="321"/>
      <c r="P137" s="321"/>
      <c r="Q137" s="31"/>
      <c r="R137" s="31"/>
      <c r="S137" s="31"/>
      <c r="T137" s="31"/>
      <c r="U137" s="31"/>
      <c r="V137" s="31"/>
      <c r="W137" s="31"/>
      <c r="X137" s="31"/>
      <c r="Y137" s="31"/>
    </row>
    <row r="138" ht="15.75" customHeight="1">
      <c r="A138" s="322">
        <v>138.0</v>
      </c>
      <c r="B138" s="323" t="s">
        <v>6861</v>
      </c>
      <c r="C138" s="323" t="s">
        <v>6862</v>
      </c>
      <c r="D138" s="323" t="s">
        <v>1395</v>
      </c>
      <c r="E138" s="323" t="s">
        <v>116</v>
      </c>
      <c r="F138" s="322">
        <v>18256.0</v>
      </c>
      <c r="G138" s="322">
        <v>20572.0</v>
      </c>
      <c r="H138" s="323" t="s">
        <v>6639</v>
      </c>
      <c r="I138" s="322">
        <v>51.0</v>
      </c>
      <c r="J138" s="322">
        <v>9310.56</v>
      </c>
      <c r="K138" s="324"/>
      <c r="L138" s="324"/>
      <c r="M138" s="324"/>
      <c r="N138" s="324"/>
      <c r="O138" s="324"/>
      <c r="P138" s="324"/>
      <c r="Q138" s="31"/>
      <c r="R138" s="31"/>
      <c r="S138" s="31"/>
      <c r="T138" s="31"/>
      <c r="U138" s="31"/>
      <c r="V138" s="31"/>
      <c r="W138" s="31"/>
      <c r="X138" s="31"/>
      <c r="Y138" s="31"/>
    </row>
    <row r="139" ht="15.75" customHeight="1">
      <c r="A139" s="322">
        <v>139.0</v>
      </c>
      <c r="B139" s="323" t="s">
        <v>6863</v>
      </c>
      <c r="C139" s="323" t="s">
        <v>6750</v>
      </c>
      <c r="D139" s="323" t="s">
        <v>966</v>
      </c>
      <c r="E139" s="323" t="s">
        <v>668</v>
      </c>
      <c r="F139" s="322">
        <v>3841.0</v>
      </c>
      <c r="G139" s="322">
        <v>4533.0</v>
      </c>
      <c r="H139" s="323" t="s">
        <v>6639</v>
      </c>
      <c r="I139" s="322">
        <v>36.0</v>
      </c>
      <c r="J139" s="322">
        <v>1382.76</v>
      </c>
      <c r="K139" s="324"/>
      <c r="L139" s="324"/>
      <c r="M139" s="324"/>
      <c r="N139" s="324"/>
      <c r="O139" s="324"/>
      <c r="P139" s="324"/>
      <c r="Q139" s="31"/>
      <c r="R139" s="31"/>
      <c r="S139" s="31"/>
      <c r="T139" s="31"/>
      <c r="U139" s="31"/>
      <c r="V139" s="31"/>
      <c r="W139" s="31"/>
      <c r="X139" s="31"/>
      <c r="Y139" s="31"/>
    </row>
    <row r="140" ht="15.75" customHeight="1">
      <c r="A140" s="322">
        <v>140.0</v>
      </c>
      <c r="B140" s="323" t="s">
        <v>6864</v>
      </c>
      <c r="C140" s="323" t="s">
        <v>6865</v>
      </c>
      <c r="D140" s="323" t="s">
        <v>966</v>
      </c>
      <c r="E140" s="323" t="s">
        <v>668</v>
      </c>
      <c r="F140" s="322">
        <v>2154.0</v>
      </c>
      <c r="G140" s="322">
        <v>2542.0</v>
      </c>
      <c r="H140" s="323" t="s">
        <v>6639</v>
      </c>
      <c r="I140" s="322">
        <v>36.0</v>
      </c>
      <c r="J140" s="322">
        <v>775.44</v>
      </c>
      <c r="K140" s="324"/>
      <c r="L140" s="324"/>
      <c r="M140" s="324"/>
      <c r="N140" s="324"/>
      <c r="O140" s="324"/>
      <c r="P140" s="324"/>
      <c r="Q140" s="31"/>
      <c r="R140" s="31"/>
      <c r="S140" s="31"/>
      <c r="T140" s="31"/>
      <c r="U140" s="31"/>
      <c r="V140" s="31"/>
      <c r="W140" s="31"/>
      <c r="X140" s="31"/>
      <c r="Y140" s="31"/>
    </row>
    <row r="141" ht="15.75" customHeight="1">
      <c r="A141" s="322">
        <v>141.0</v>
      </c>
      <c r="B141" s="323" t="s">
        <v>6866</v>
      </c>
      <c r="C141" s="323" t="s">
        <v>6825</v>
      </c>
      <c r="D141" s="323" t="s">
        <v>1395</v>
      </c>
      <c r="E141" s="323" t="s">
        <v>668</v>
      </c>
      <c r="F141" s="322">
        <v>21129.0</v>
      </c>
      <c r="G141" s="322">
        <v>23971.0</v>
      </c>
      <c r="H141" s="323" t="s">
        <v>6639</v>
      </c>
      <c r="I141" s="322">
        <v>53.0</v>
      </c>
      <c r="J141" s="322">
        <v>11198.37</v>
      </c>
      <c r="K141" s="324"/>
      <c r="L141" s="324"/>
      <c r="M141" s="324"/>
      <c r="N141" s="324"/>
      <c r="O141" s="324"/>
      <c r="P141" s="324"/>
      <c r="Q141" s="31"/>
      <c r="R141" s="31"/>
      <c r="S141" s="31"/>
      <c r="T141" s="31"/>
      <c r="U141" s="31"/>
      <c r="V141" s="31"/>
      <c r="W141" s="31"/>
      <c r="X141" s="31"/>
      <c r="Y141" s="31"/>
    </row>
    <row r="142" ht="15.75" customHeight="1">
      <c r="A142" s="322">
        <v>142.0</v>
      </c>
      <c r="B142" s="323" t="s">
        <v>6867</v>
      </c>
      <c r="C142" s="323" t="s">
        <v>6868</v>
      </c>
      <c r="D142" s="323" t="s">
        <v>966</v>
      </c>
      <c r="E142" s="323" t="s">
        <v>4916</v>
      </c>
      <c r="F142" s="322">
        <v>2154.0</v>
      </c>
      <c r="G142" s="322">
        <v>2541.0</v>
      </c>
      <c r="H142" s="323" t="s">
        <v>6639</v>
      </c>
      <c r="I142" s="322">
        <v>36.0</v>
      </c>
      <c r="J142" s="322">
        <v>775.44</v>
      </c>
      <c r="K142" s="324"/>
      <c r="L142" s="324"/>
      <c r="M142" s="324"/>
      <c r="N142" s="324"/>
      <c r="O142" s="324"/>
      <c r="P142" s="324"/>
      <c r="Q142" s="31"/>
      <c r="R142" s="31"/>
      <c r="S142" s="31"/>
      <c r="T142" s="31"/>
      <c r="U142" s="31"/>
      <c r="V142" s="31"/>
      <c r="W142" s="31"/>
      <c r="X142" s="31"/>
      <c r="Y142" s="31"/>
    </row>
    <row r="143" ht="15.75" customHeight="1">
      <c r="A143" s="318">
        <v>143.0</v>
      </c>
      <c r="B143" s="319" t="s">
        <v>6869</v>
      </c>
      <c r="C143" s="319" t="s">
        <v>6870</v>
      </c>
      <c r="D143" s="319" t="s">
        <v>1395</v>
      </c>
      <c r="E143" s="319" t="s">
        <v>116</v>
      </c>
      <c r="F143" s="318">
        <v>18704.0</v>
      </c>
      <c r="G143" s="320"/>
      <c r="H143" s="319" t="s">
        <v>6636</v>
      </c>
      <c r="I143" s="318">
        <v>51.0</v>
      </c>
      <c r="J143" s="318">
        <v>9539.04</v>
      </c>
      <c r="K143" s="321"/>
      <c r="L143" s="321"/>
      <c r="M143" s="321"/>
      <c r="N143" s="321"/>
      <c r="O143" s="321"/>
      <c r="P143" s="321"/>
      <c r="Q143" s="31"/>
      <c r="R143" s="31"/>
      <c r="S143" s="31"/>
      <c r="T143" s="31"/>
      <c r="U143" s="31"/>
      <c r="V143" s="31"/>
      <c r="W143" s="31"/>
      <c r="X143" s="31"/>
      <c r="Y143" s="31"/>
    </row>
    <row r="144" ht="15.75" customHeight="1">
      <c r="A144" s="318">
        <v>144.0</v>
      </c>
      <c r="B144" s="319" t="s">
        <v>1764</v>
      </c>
      <c r="C144" s="319" t="s">
        <v>6871</v>
      </c>
      <c r="D144" s="319" t="s">
        <v>1395</v>
      </c>
      <c r="E144" s="319" t="s">
        <v>116</v>
      </c>
      <c r="F144" s="318">
        <v>19114.0</v>
      </c>
      <c r="G144" s="320"/>
      <c r="H144" s="319" t="s">
        <v>6636</v>
      </c>
      <c r="I144" s="318">
        <v>51.0</v>
      </c>
      <c r="J144" s="318">
        <v>9748.14</v>
      </c>
      <c r="K144" s="321"/>
      <c r="L144" s="321"/>
      <c r="M144" s="321"/>
      <c r="N144" s="321"/>
      <c r="O144" s="321"/>
      <c r="P144" s="321"/>
      <c r="Q144" s="31"/>
      <c r="R144" s="31"/>
      <c r="S144" s="31"/>
      <c r="T144" s="31"/>
      <c r="U144" s="31"/>
      <c r="V144" s="31"/>
      <c r="W144" s="31"/>
      <c r="X144" s="31"/>
      <c r="Y144" s="31"/>
    </row>
    <row r="145" ht="15.75" customHeight="1">
      <c r="A145" s="318">
        <v>145.0</v>
      </c>
      <c r="B145" s="319" t="s">
        <v>6872</v>
      </c>
      <c r="C145" s="319" t="s">
        <v>6873</v>
      </c>
      <c r="D145" s="319" t="s">
        <v>21</v>
      </c>
      <c r="E145" s="319" t="s">
        <v>48</v>
      </c>
      <c r="F145" s="318">
        <v>30471.0</v>
      </c>
      <c r="G145" s="320"/>
      <c r="H145" s="319" t="s">
        <v>6636</v>
      </c>
      <c r="I145" s="318">
        <v>17.0</v>
      </c>
      <c r="J145" s="318">
        <v>5180.07</v>
      </c>
      <c r="K145" s="321"/>
      <c r="L145" s="321"/>
      <c r="M145" s="321"/>
      <c r="N145" s="321"/>
      <c r="O145" s="321"/>
      <c r="P145" s="321"/>
      <c r="Q145" s="31"/>
      <c r="R145" s="31"/>
      <c r="S145" s="31"/>
      <c r="T145" s="31"/>
      <c r="U145" s="31"/>
      <c r="V145" s="31"/>
      <c r="W145" s="31"/>
      <c r="X145" s="31"/>
      <c r="Y145" s="31"/>
    </row>
    <row r="146" ht="15.75" customHeight="1">
      <c r="A146" s="318">
        <v>146.0</v>
      </c>
      <c r="B146" s="319" t="s">
        <v>6874</v>
      </c>
      <c r="C146" s="319" t="s">
        <v>6667</v>
      </c>
      <c r="D146" s="319" t="s">
        <v>1395</v>
      </c>
      <c r="E146" s="319" t="s">
        <v>116</v>
      </c>
      <c r="F146" s="318">
        <v>18459.0</v>
      </c>
      <c r="G146" s="320"/>
      <c r="H146" s="319" t="s">
        <v>6636</v>
      </c>
      <c r="I146" s="318">
        <v>51.0</v>
      </c>
      <c r="J146" s="318">
        <v>9414.09</v>
      </c>
      <c r="K146" s="321"/>
      <c r="L146" s="321"/>
      <c r="M146" s="321"/>
      <c r="N146" s="321"/>
      <c r="O146" s="321"/>
      <c r="P146" s="321"/>
      <c r="Q146" s="31"/>
      <c r="R146" s="31"/>
      <c r="S146" s="31"/>
      <c r="T146" s="31"/>
      <c r="U146" s="31"/>
      <c r="V146" s="31"/>
      <c r="W146" s="31"/>
      <c r="X146" s="31"/>
      <c r="Y146" s="31"/>
    </row>
    <row r="147" ht="15.75" customHeight="1">
      <c r="A147" s="318">
        <v>147.0</v>
      </c>
      <c r="B147" s="319" t="s">
        <v>6875</v>
      </c>
      <c r="C147" s="319" t="s">
        <v>6876</v>
      </c>
      <c r="D147" s="319" t="s">
        <v>21</v>
      </c>
      <c r="E147" s="319" t="s">
        <v>668</v>
      </c>
      <c r="F147" s="318">
        <v>49247.0</v>
      </c>
      <c r="G147" s="320"/>
      <c r="H147" s="319" t="s">
        <v>6636</v>
      </c>
      <c r="I147" s="318">
        <v>19.5</v>
      </c>
      <c r="J147" s="318">
        <v>9603.165</v>
      </c>
      <c r="K147" s="321"/>
      <c r="L147" s="321"/>
      <c r="M147" s="321"/>
      <c r="N147" s="321"/>
      <c r="O147" s="321"/>
      <c r="P147" s="321"/>
      <c r="Q147" s="31"/>
      <c r="R147" s="31"/>
      <c r="S147" s="31"/>
      <c r="T147" s="31"/>
      <c r="U147" s="31"/>
      <c r="V147" s="31"/>
      <c r="W147" s="31"/>
      <c r="X147" s="31"/>
      <c r="Y147" s="31"/>
    </row>
    <row r="148" ht="15.75" customHeight="1">
      <c r="A148" s="318">
        <v>148.0</v>
      </c>
      <c r="B148" s="319" t="s">
        <v>6877</v>
      </c>
      <c r="C148" s="319" t="s">
        <v>6878</v>
      </c>
      <c r="D148" s="319" t="s">
        <v>21</v>
      </c>
      <c r="E148" s="319" t="s">
        <v>48</v>
      </c>
      <c r="F148" s="318">
        <v>29198.0</v>
      </c>
      <c r="G148" s="320"/>
      <c r="H148" s="319" t="s">
        <v>6636</v>
      </c>
      <c r="I148" s="318">
        <v>17.0</v>
      </c>
      <c r="J148" s="318">
        <v>4963.66</v>
      </c>
      <c r="K148" s="321"/>
      <c r="L148" s="321"/>
      <c r="M148" s="321"/>
      <c r="N148" s="321"/>
      <c r="O148" s="321"/>
      <c r="P148" s="321"/>
      <c r="Q148" s="31"/>
      <c r="R148" s="31"/>
      <c r="S148" s="31"/>
      <c r="T148" s="31"/>
      <c r="U148" s="31"/>
      <c r="V148" s="31"/>
      <c r="W148" s="31"/>
      <c r="X148" s="31"/>
      <c r="Y148" s="31"/>
    </row>
    <row r="149" ht="15.75" customHeight="1">
      <c r="A149" s="318">
        <v>149.0</v>
      </c>
      <c r="B149" s="319" t="s">
        <v>6879</v>
      </c>
      <c r="C149" s="319" t="s">
        <v>6880</v>
      </c>
      <c r="D149" s="319" t="s">
        <v>1395</v>
      </c>
      <c r="E149" s="319" t="s">
        <v>116</v>
      </c>
      <c r="F149" s="318">
        <v>18707.0</v>
      </c>
      <c r="G149" s="320"/>
      <c r="H149" s="319" t="s">
        <v>6636</v>
      </c>
      <c r="I149" s="318">
        <v>51.0</v>
      </c>
      <c r="J149" s="318">
        <v>9540.57</v>
      </c>
      <c r="K149" s="321"/>
      <c r="L149" s="321"/>
      <c r="M149" s="321"/>
      <c r="N149" s="321"/>
      <c r="O149" s="321"/>
      <c r="P149" s="321"/>
      <c r="Q149" s="31"/>
      <c r="R149" s="31"/>
      <c r="S149" s="31"/>
      <c r="T149" s="31"/>
      <c r="U149" s="31"/>
      <c r="V149" s="31"/>
      <c r="W149" s="31"/>
      <c r="X149" s="31"/>
      <c r="Y149" s="31"/>
    </row>
    <row r="150" ht="15.75" customHeight="1">
      <c r="A150" s="318">
        <v>150.0</v>
      </c>
      <c r="B150" s="319" t="s">
        <v>6881</v>
      </c>
      <c r="C150" s="319" t="s">
        <v>6882</v>
      </c>
      <c r="D150" s="319" t="s">
        <v>6650</v>
      </c>
      <c r="E150" s="319" t="s">
        <v>1424</v>
      </c>
      <c r="F150" s="318">
        <v>6767.0</v>
      </c>
      <c r="G150" s="320"/>
      <c r="H150" s="319" t="s">
        <v>6636</v>
      </c>
      <c r="I150" s="318">
        <v>55.0</v>
      </c>
      <c r="J150" s="318">
        <v>3721.85</v>
      </c>
      <c r="K150" s="321"/>
      <c r="L150" s="321"/>
      <c r="M150" s="321"/>
      <c r="N150" s="321"/>
      <c r="O150" s="321"/>
      <c r="P150" s="321"/>
      <c r="Q150" s="31"/>
      <c r="R150" s="31"/>
      <c r="S150" s="31"/>
      <c r="T150" s="31"/>
      <c r="U150" s="31"/>
      <c r="V150" s="31"/>
      <c r="W150" s="31"/>
      <c r="X150" s="31"/>
      <c r="Y150" s="31"/>
    </row>
    <row r="151" ht="15.75" customHeight="1">
      <c r="A151" s="322">
        <v>151.0</v>
      </c>
      <c r="B151" s="323" t="s">
        <v>1986</v>
      </c>
      <c r="C151" s="323" t="s">
        <v>6883</v>
      </c>
      <c r="D151" s="323" t="s">
        <v>1395</v>
      </c>
      <c r="E151" s="323" t="s">
        <v>116</v>
      </c>
      <c r="F151" s="322">
        <v>16938.0</v>
      </c>
      <c r="G151" s="322">
        <v>19018.0</v>
      </c>
      <c r="H151" s="323" t="s">
        <v>6639</v>
      </c>
      <c r="I151" s="322">
        <v>51.0</v>
      </c>
      <c r="J151" s="322">
        <v>8638.38</v>
      </c>
      <c r="K151" s="324"/>
      <c r="L151" s="324"/>
      <c r="M151" s="324"/>
      <c r="N151" s="324"/>
      <c r="O151" s="324"/>
      <c r="P151" s="324"/>
      <c r="Q151" s="31"/>
      <c r="R151" s="31"/>
      <c r="S151" s="31"/>
      <c r="T151" s="31"/>
      <c r="U151" s="31"/>
      <c r="V151" s="31"/>
      <c r="W151" s="31"/>
      <c r="X151" s="31"/>
      <c r="Y151" s="31"/>
    </row>
    <row r="152" ht="15.75" customHeight="1">
      <c r="A152" s="318">
        <v>152.0</v>
      </c>
      <c r="B152" s="319" t="s">
        <v>463</v>
      </c>
      <c r="C152" s="319" t="s">
        <v>6884</v>
      </c>
      <c r="D152" s="319" t="s">
        <v>21</v>
      </c>
      <c r="E152" s="319" t="s">
        <v>48</v>
      </c>
      <c r="F152" s="318">
        <v>42415.0</v>
      </c>
      <c r="G152" s="320"/>
      <c r="H152" s="319" t="s">
        <v>6636</v>
      </c>
      <c r="I152" s="318">
        <v>17.0</v>
      </c>
      <c r="J152" s="318">
        <v>7210.55</v>
      </c>
      <c r="K152" s="321"/>
      <c r="L152" s="321"/>
      <c r="M152" s="321"/>
      <c r="N152" s="321"/>
      <c r="O152" s="321"/>
      <c r="P152" s="321"/>
      <c r="Q152" s="31"/>
      <c r="R152" s="31"/>
      <c r="S152" s="31"/>
      <c r="T152" s="31"/>
      <c r="U152" s="31"/>
      <c r="V152" s="31"/>
      <c r="W152" s="31"/>
      <c r="X152" s="31"/>
      <c r="Y152" s="31"/>
    </row>
    <row r="153" ht="15.75" customHeight="1">
      <c r="A153" s="318">
        <v>153.0</v>
      </c>
      <c r="B153" s="319" t="s">
        <v>1807</v>
      </c>
      <c r="C153" s="319" t="s">
        <v>6885</v>
      </c>
      <c r="D153" s="319" t="s">
        <v>21</v>
      </c>
      <c r="E153" s="319" t="s">
        <v>668</v>
      </c>
      <c r="F153" s="318">
        <v>48781.0</v>
      </c>
      <c r="G153" s="320"/>
      <c r="H153" s="319" t="s">
        <v>6636</v>
      </c>
      <c r="I153" s="318">
        <v>19.5</v>
      </c>
      <c r="J153" s="318">
        <v>9512.295</v>
      </c>
      <c r="K153" s="321"/>
      <c r="L153" s="321"/>
      <c r="M153" s="321"/>
      <c r="N153" s="321"/>
      <c r="O153" s="321"/>
      <c r="P153" s="321"/>
      <c r="Q153" s="31"/>
      <c r="R153" s="31"/>
      <c r="S153" s="31"/>
      <c r="T153" s="31"/>
      <c r="U153" s="31"/>
      <c r="V153" s="31"/>
      <c r="W153" s="31"/>
      <c r="X153" s="31"/>
      <c r="Y153" s="31"/>
    </row>
    <row r="154" ht="15.75" customHeight="1">
      <c r="A154" s="322">
        <v>154.0</v>
      </c>
      <c r="B154" s="323" t="s">
        <v>6886</v>
      </c>
      <c r="C154" s="323" t="s">
        <v>6796</v>
      </c>
      <c r="D154" s="323" t="s">
        <v>966</v>
      </c>
      <c r="E154" s="323" t="s">
        <v>6642</v>
      </c>
      <c r="F154" s="322">
        <v>3416.0</v>
      </c>
      <c r="G154" s="322">
        <v>4031.0</v>
      </c>
      <c r="H154" s="323" t="s">
        <v>6639</v>
      </c>
      <c r="I154" s="322">
        <v>24.0</v>
      </c>
      <c r="J154" s="322">
        <v>819.84</v>
      </c>
      <c r="K154" s="324"/>
      <c r="L154" s="324"/>
      <c r="M154" s="324"/>
      <c r="N154" s="324"/>
      <c r="O154" s="324"/>
      <c r="P154" s="324"/>
      <c r="Q154" s="31"/>
      <c r="R154" s="31"/>
      <c r="S154" s="31"/>
      <c r="T154" s="31"/>
      <c r="U154" s="31"/>
      <c r="V154" s="31"/>
      <c r="W154" s="31"/>
      <c r="X154" s="31"/>
      <c r="Y154" s="31"/>
    </row>
    <row r="155" ht="15.75" customHeight="1">
      <c r="A155" s="318">
        <v>155.0</v>
      </c>
      <c r="B155" s="319" t="s">
        <v>6887</v>
      </c>
      <c r="C155" s="319" t="s">
        <v>6888</v>
      </c>
      <c r="D155" s="319" t="s">
        <v>1395</v>
      </c>
      <c r="E155" s="319" t="s">
        <v>116</v>
      </c>
      <c r="F155" s="318">
        <v>18856.0</v>
      </c>
      <c r="G155" s="320"/>
      <c r="H155" s="319" t="s">
        <v>6636</v>
      </c>
      <c r="I155" s="318">
        <v>51.0</v>
      </c>
      <c r="J155" s="318">
        <v>9616.56</v>
      </c>
      <c r="K155" s="321"/>
      <c r="L155" s="321"/>
      <c r="M155" s="321"/>
      <c r="N155" s="321"/>
      <c r="O155" s="321"/>
      <c r="P155" s="321"/>
      <c r="Q155" s="31"/>
      <c r="R155" s="31"/>
      <c r="S155" s="31"/>
      <c r="T155" s="31"/>
      <c r="U155" s="31"/>
      <c r="V155" s="31"/>
      <c r="W155" s="31"/>
      <c r="X155" s="31"/>
      <c r="Y155" s="31"/>
    </row>
    <row r="156" ht="15.75" customHeight="1">
      <c r="A156" s="318">
        <v>156.0</v>
      </c>
      <c r="B156" s="319" t="s">
        <v>660</v>
      </c>
      <c r="C156" s="319" t="s">
        <v>6889</v>
      </c>
      <c r="D156" s="319" t="s">
        <v>21</v>
      </c>
      <c r="E156" s="319" t="s">
        <v>668</v>
      </c>
      <c r="F156" s="318">
        <v>47271.0</v>
      </c>
      <c r="G156" s="320"/>
      <c r="H156" s="319" t="s">
        <v>6636</v>
      </c>
      <c r="I156" s="318">
        <v>19.5</v>
      </c>
      <c r="J156" s="318">
        <v>9217.845</v>
      </c>
      <c r="K156" s="321"/>
      <c r="L156" s="321"/>
      <c r="M156" s="321"/>
      <c r="N156" s="321"/>
      <c r="O156" s="321"/>
      <c r="P156" s="321"/>
      <c r="Q156" s="31"/>
      <c r="R156" s="31"/>
      <c r="S156" s="31"/>
      <c r="T156" s="31"/>
      <c r="U156" s="31"/>
      <c r="V156" s="31"/>
      <c r="W156" s="31"/>
      <c r="X156" s="31"/>
      <c r="Y156" s="31"/>
    </row>
    <row r="157" ht="15.75" customHeight="1">
      <c r="A157" s="322">
        <v>157.0</v>
      </c>
      <c r="B157" s="323" t="s">
        <v>6890</v>
      </c>
      <c r="C157" s="323" t="s">
        <v>6705</v>
      </c>
      <c r="D157" s="323" t="s">
        <v>966</v>
      </c>
      <c r="E157" s="323" t="s">
        <v>668</v>
      </c>
      <c r="F157" s="322">
        <v>3416.0</v>
      </c>
      <c r="G157" s="322">
        <v>4030.0</v>
      </c>
      <c r="H157" s="323" t="s">
        <v>6639</v>
      </c>
      <c r="I157" s="322">
        <v>36.0</v>
      </c>
      <c r="J157" s="322">
        <v>1229.76</v>
      </c>
      <c r="K157" s="324"/>
      <c r="L157" s="324"/>
      <c r="M157" s="324"/>
      <c r="N157" s="324"/>
      <c r="O157" s="324"/>
      <c r="P157" s="324"/>
      <c r="Q157" s="31"/>
      <c r="R157" s="31"/>
      <c r="S157" s="31"/>
      <c r="T157" s="31"/>
      <c r="U157" s="31"/>
      <c r="V157" s="31"/>
      <c r="W157" s="31"/>
      <c r="X157" s="31"/>
      <c r="Y157" s="31"/>
    </row>
    <row r="158" ht="15.75" customHeight="1">
      <c r="A158" s="322">
        <v>158.0</v>
      </c>
      <c r="B158" s="323" t="s">
        <v>6891</v>
      </c>
      <c r="C158" s="323" t="s">
        <v>6892</v>
      </c>
      <c r="D158" s="323" t="s">
        <v>1395</v>
      </c>
      <c r="E158" s="323" t="s">
        <v>668</v>
      </c>
      <c r="F158" s="322">
        <v>17730.0</v>
      </c>
      <c r="G158" s="322">
        <v>19960.0</v>
      </c>
      <c r="H158" s="323" t="s">
        <v>6639</v>
      </c>
      <c r="I158" s="322">
        <v>53.0</v>
      </c>
      <c r="J158" s="322">
        <v>9396.9</v>
      </c>
      <c r="K158" s="324"/>
      <c r="L158" s="324"/>
      <c r="M158" s="324"/>
      <c r="N158" s="324"/>
      <c r="O158" s="324"/>
      <c r="P158" s="324"/>
      <c r="Q158" s="31"/>
      <c r="R158" s="31"/>
      <c r="S158" s="31"/>
      <c r="T158" s="31"/>
      <c r="U158" s="31"/>
      <c r="V158" s="31"/>
      <c r="W158" s="31"/>
      <c r="X158" s="31"/>
      <c r="Y158" s="31"/>
    </row>
    <row r="159" ht="15.75" customHeight="1">
      <c r="A159" s="318">
        <v>159.0</v>
      </c>
      <c r="B159" s="319" t="s">
        <v>6893</v>
      </c>
      <c r="C159" s="319" t="s">
        <v>6894</v>
      </c>
      <c r="D159" s="319" t="s">
        <v>533</v>
      </c>
      <c r="E159" s="319" t="s">
        <v>116</v>
      </c>
      <c r="F159" s="318">
        <v>7317.0</v>
      </c>
      <c r="G159" s="320"/>
      <c r="H159" s="319" t="s">
        <v>6636</v>
      </c>
      <c r="I159" s="318">
        <v>22.0</v>
      </c>
      <c r="J159" s="318">
        <v>1609.74</v>
      </c>
      <c r="K159" s="321"/>
      <c r="L159" s="321"/>
      <c r="M159" s="321"/>
      <c r="N159" s="321"/>
      <c r="O159" s="321"/>
      <c r="P159" s="321"/>
      <c r="Q159" s="31"/>
      <c r="R159" s="31"/>
      <c r="S159" s="31"/>
      <c r="T159" s="31"/>
      <c r="U159" s="31"/>
      <c r="V159" s="31"/>
      <c r="W159" s="31"/>
      <c r="X159" s="31"/>
      <c r="Y159" s="31"/>
    </row>
    <row r="160" ht="15.75" customHeight="1">
      <c r="A160" s="318">
        <v>160.0</v>
      </c>
      <c r="B160" s="319" t="s">
        <v>6895</v>
      </c>
      <c r="C160" s="319" t="s">
        <v>6896</v>
      </c>
      <c r="D160" s="319" t="s">
        <v>1395</v>
      </c>
      <c r="E160" s="319" t="s">
        <v>116</v>
      </c>
      <c r="F160" s="318">
        <v>17736.0</v>
      </c>
      <c r="G160" s="320"/>
      <c r="H160" s="319" t="s">
        <v>6636</v>
      </c>
      <c r="I160" s="318">
        <v>51.0</v>
      </c>
      <c r="J160" s="318">
        <v>9045.36</v>
      </c>
      <c r="K160" s="321"/>
      <c r="L160" s="321"/>
      <c r="M160" s="321"/>
      <c r="N160" s="321"/>
      <c r="O160" s="321"/>
      <c r="P160" s="321"/>
      <c r="Q160" s="31"/>
      <c r="R160" s="31"/>
      <c r="S160" s="31"/>
      <c r="T160" s="31"/>
      <c r="U160" s="31"/>
      <c r="V160" s="31"/>
      <c r="W160" s="31"/>
      <c r="X160" s="31"/>
      <c r="Y160" s="31"/>
    </row>
    <row r="161" ht="15.75" customHeight="1">
      <c r="A161" s="322">
        <v>161.0</v>
      </c>
      <c r="B161" s="323" t="s">
        <v>643</v>
      </c>
      <c r="C161" s="323" t="s">
        <v>6897</v>
      </c>
      <c r="D161" s="323" t="s">
        <v>21</v>
      </c>
      <c r="E161" s="323" t="s">
        <v>668</v>
      </c>
      <c r="F161" s="322">
        <v>48781.0</v>
      </c>
      <c r="G161" s="322">
        <v>54925.0</v>
      </c>
      <c r="H161" s="323" t="s">
        <v>6639</v>
      </c>
      <c r="I161" s="322">
        <v>19.5</v>
      </c>
      <c r="J161" s="322">
        <v>9512.295</v>
      </c>
      <c r="K161" s="324"/>
      <c r="L161" s="324"/>
      <c r="M161" s="324"/>
      <c r="N161" s="324"/>
      <c r="O161" s="324"/>
      <c r="P161" s="324"/>
      <c r="Q161" s="31"/>
      <c r="R161" s="31"/>
      <c r="S161" s="31"/>
      <c r="T161" s="31"/>
      <c r="U161" s="31"/>
      <c r="V161" s="31"/>
      <c r="W161" s="31"/>
      <c r="X161" s="31"/>
      <c r="Y161" s="31"/>
    </row>
    <row r="162" ht="15.75" customHeight="1">
      <c r="A162" s="322">
        <v>162.0</v>
      </c>
      <c r="B162" s="323" t="s">
        <v>6898</v>
      </c>
      <c r="C162" s="323" t="s">
        <v>6899</v>
      </c>
      <c r="D162" s="323" t="s">
        <v>1395</v>
      </c>
      <c r="E162" s="323" t="s">
        <v>668</v>
      </c>
      <c r="F162" s="322">
        <v>20421.0</v>
      </c>
      <c r="G162" s="322">
        <v>23133.0</v>
      </c>
      <c r="H162" s="323" t="s">
        <v>6639</v>
      </c>
      <c r="I162" s="322">
        <v>53.0</v>
      </c>
      <c r="J162" s="322">
        <v>10823.13</v>
      </c>
      <c r="K162" s="324"/>
      <c r="L162" s="324"/>
      <c r="M162" s="324"/>
      <c r="N162" s="324"/>
      <c r="O162" s="324"/>
      <c r="P162" s="324"/>
      <c r="Q162" s="31"/>
      <c r="R162" s="31"/>
      <c r="S162" s="31"/>
      <c r="T162" s="31"/>
      <c r="U162" s="31"/>
      <c r="V162" s="31"/>
      <c r="W162" s="31"/>
      <c r="X162" s="31"/>
      <c r="Y162" s="31"/>
    </row>
    <row r="163" ht="15.75" customHeight="1">
      <c r="A163" s="322">
        <v>163.0</v>
      </c>
      <c r="B163" s="323" t="s">
        <v>6900</v>
      </c>
      <c r="C163" s="323" t="s">
        <v>6644</v>
      </c>
      <c r="D163" s="323" t="s">
        <v>1395</v>
      </c>
      <c r="E163" s="323" t="s">
        <v>668</v>
      </c>
      <c r="F163" s="322">
        <v>20314.0</v>
      </c>
      <c r="G163" s="322">
        <v>23008.0</v>
      </c>
      <c r="H163" s="323" t="s">
        <v>6639</v>
      </c>
      <c r="I163" s="322">
        <v>53.0</v>
      </c>
      <c r="J163" s="322">
        <v>10766.42</v>
      </c>
      <c r="K163" s="324"/>
      <c r="L163" s="324"/>
      <c r="M163" s="324"/>
      <c r="N163" s="324"/>
      <c r="O163" s="324"/>
      <c r="P163" s="324"/>
      <c r="Q163" s="31"/>
      <c r="R163" s="31"/>
      <c r="S163" s="31"/>
      <c r="T163" s="31"/>
      <c r="U163" s="31"/>
      <c r="V163" s="31"/>
      <c r="W163" s="31"/>
      <c r="X163" s="31"/>
      <c r="Y163" s="31"/>
    </row>
    <row r="164" ht="15.75" customHeight="1">
      <c r="A164" s="322">
        <v>164.0</v>
      </c>
      <c r="B164" s="323" t="s">
        <v>6901</v>
      </c>
      <c r="C164" s="323" t="s">
        <v>6902</v>
      </c>
      <c r="D164" s="323" t="s">
        <v>966</v>
      </c>
      <c r="E164" s="323" t="s">
        <v>6642</v>
      </c>
      <c r="F164" s="322">
        <v>3476.0</v>
      </c>
      <c r="G164" s="322">
        <v>4102.0</v>
      </c>
      <c r="H164" s="323" t="s">
        <v>6639</v>
      </c>
      <c r="I164" s="322">
        <v>24.0</v>
      </c>
      <c r="J164" s="322">
        <v>834.24</v>
      </c>
      <c r="K164" s="324"/>
      <c r="L164" s="324"/>
      <c r="M164" s="324"/>
      <c r="N164" s="324"/>
      <c r="O164" s="324"/>
      <c r="P164" s="324"/>
      <c r="Q164" s="31"/>
      <c r="R164" s="31"/>
      <c r="S164" s="31"/>
      <c r="T164" s="31"/>
      <c r="U164" s="31"/>
      <c r="V164" s="31"/>
      <c r="W164" s="31"/>
      <c r="X164" s="31"/>
      <c r="Y164" s="31"/>
    </row>
    <row r="165" ht="15.75" customHeight="1">
      <c r="A165" s="322">
        <v>165.0</v>
      </c>
      <c r="B165" s="323" t="s">
        <v>6903</v>
      </c>
      <c r="C165" s="323" t="s">
        <v>6904</v>
      </c>
      <c r="D165" s="323" t="s">
        <v>966</v>
      </c>
      <c r="E165" s="323" t="s">
        <v>668</v>
      </c>
      <c r="F165" s="322">
        <v>3476.0</v>
      </c>
      <c r="G165" s="322">
        <v>4102.0</v>
      </c>
      <c r="H165" s="323" t="s">
        <v>6639</v>
      </c>
      <c r="I165" s="322">
        <v>36.0</v>
      </c>
      <c r="J165" s="322">
        <v>1251.36</v>
      </c>
      <c r="K165" s="324"/>
      <c r="L165" s="324"/>
      <c r="M165" s="324"/>
      <c r="N165" s="324"/>
      <c r="O165" s="324"/>
      <c r="P165" s="324"/>
      <c r="Q165" s="31"/>
      <c r="R165" s="31"/>
      <c r="S165" s="31"/>
      <c r="T165" s="31"/>
      <c r="U165" s="31"/>
      <c r="V165" s="31"/>
      <c r="W165" s="31"/>
      <c r="X165" s="31"/>
      <c r="Y165" s="31"/>
    </row>
    <row r="166" ht="15.75" customHeight="1">
      <c r="A166" s="318">
        <v>166.0</v>
      </c>
      <c r="B166" s="319" t="s">
        <v>6905</v>
      </c>
      <c r="C166" s="319" t="s">
        <v>6906</v>
      </c>
      <c r="D166" s="319" t="s">
        <v>21</v>
      </c>
      <c r="E166" s="319" t="s">
        <v>1424</v>
      </c>
      <c r="F166" s="318">
        <v>50018.0</v>
      </c>
      <c r="G166" s="320"/>
      <c r="H166" s="319" t="s">
        <v>6636</v>
      </c>
      <c r="I166" s="318">
        <v>19.0</v>
      </c>
      <c r="J166" s="318">
        <v>9503.42</v>
      </c>
      <c r="K166" s="321"/>
      <c r="L166" s="321"/>
      <c r="M166" s="321"/>
      <c r="N166" s="321"/>
      <c r="O166" s="321"/>
      <c r="P166" s="321"/>
      <c r="Q166" s="31"/>
      <c r="R166" s="31"/>
      <c r="S166" s="31"/>
      <c r="T166" s="31"/>
      <c r="U166" s="31"/>
      <c r="V166" s="31"/>
      <c r="W166" s="31"/>
      <c r="X166" s="31"/>
      <c r="Y166" s="31"/>
    </row>
    <row r="167" ht="15.75" customHeight="1">
      <c r="A167" s="318">
        <v>167.0</v>
      </c>
      <c r="B167" s="319" t="s">
        <v>6907</v>
      </c>
      <c r="C167" s="319" t="s">
        <v>6908</v>
      </c>
      <c r="D167" s="319" t="s">
        <v>6650</v>
      </c>
      <c r="E167" s="319" t="s">
        <v>1424</v>
      </c>
      <c r="F167" s="318">
        <v>6832.0</v>
      </c>
      <c r="G167" s="320"/>
      <c r="H167" s="319" t="s">
        <v>6636</v>
      </c>
      <c r="I167" s="318">
        <v>55.0</v>
      </c>
      <c r="J167" s="318">
        <v>3757.6</v>
      </c>
      <c r="K167" s="321"/>
      <c r="L167" s="321"/>
      <c r="M167" s="321"/>
      <c r="N167" s="321"/>
      <c r="O167" s="321"/>
      <c r="P167" s="321"/>
      <c r="Q167" s="31"/>
      <c r="R167" s="31"/>
      <c r="S167" s="31"/>
      <c r="T167" s="31"/>
      <c r="U167" s="31"/>
      <c r="V167" s="31"/>
      <c r="W167" s="31"/>
      <c r="X167" s="31"/>
      <c r="Y167" s="31"/>
    </row>
    <row r="168" ht="15.75" customHeight="1">
      <c r="A168" s="318">
        <v>168.0</v>
      </c>
      <c r="B168" s="319" t="s">
        <v>6909</v>
      </c>
      <c r="C168" s="319" t="s">
        <v>6910</v>
      </c>
      <c r="D168" s="319" t="s">
        <v>6650</v>
      </c>
      <c r="E168" s="319" t="s">
        <v>1424</v>
      </c>
      <c r="F168" s="318">
        <v>6901.0</v>
      </c>
      <c r="G168" s="320"/>
      <c r="H168" s="319" t="s">
        <v>6636</v>
      </c>
      <c r="I168" s="318">
        <v>55.0</v>
      </c>
      <c r="J168" s="318">
        <v>3795.55</v>
      </c>
      <c r="K168" s="321"/>
      <c r="L168" s="321"/>
      <c r="M168" s="321"/>
      <c r="N168" s="321"/>
      <c r="O168" s="321"/>
      <c r="P168" s="321"/>
      <c r="Q168" s="31"/>
      <c r="R168" s="31"/>
      <c r="S168" s="31"/>
      <c r="T168" s="31"/>
      <c r="U168" s="31"/>
      <c r="V168" s="31"/>
      <c r="W168" s="31"/>
      <c r="X168" s="31"/>
      <c r="Y168" s="31"/>
    </row>
    <row r="169" ht="15.75" customHeight="1">
      <c r="A169" s="318">
        <v>169.0</v>
      </c>
      <c r="B169" s="319" t="s">
        <v>6911</v>
      </c>
      <c r="C169" s="319" t="s">
        <v>6912</v>
      </c>
      <c r="D169" s="319" t="s">
        <v>1395</v>
      </c>
      <c r="E169" s="319" t="s">
        <v>668</v>
      </c>
      <c r="F169" s="318">
        <v>17414.0</v>
      </c>
      <c r="G169" s="320"/>
      <c r="H169" s="319" t="s">
        <v>6636</v>
      </c>
      <c r="I169" s="318">
        <v>53.0</v>
      </c>
      <c r="J169" s="318">
        <v>9229.42</v>
      </c>
      <c r="K169" s="321"/>
      <c r="L169" s="321"/>
      <c r="M169" s="321"/>
      <c r="N169" s="321"/>
      <c r="O169" s="321"/>
      <c r="P169" s="321"/>
      <c r="Q169" s="31"/>
      <c r="R169" s="31"/>
      <c r="S169" s="31"/>
      <c r="T169" s="31"/>
      <c r="U169" s="31"/>
      <c r="V169" s="31"/>
      <c r="W169" s="31"/>
      <c r="X169" s="31"/>
      <c r="Y169" s="31"/>
    </row>
    <row r="170" ht="15.75" customHeight="1">
      <c r="A170" s="318">
        <v>170.0</v>
      </c>
      <c r="B170" s="319" t="s">
        <v>2233</v>
      </c>
      <c r="C170" s="319" t="s">
        <v>6644</v>
      </c>
      <c r="D170" s="319" t="s">
        <v>1395</v>
      </c>
      <c r="E170" s="319" t="s">
        <v>668</v>
      </c>
      <c r="F170" s="318">
        <v>21359.0</v>
      </c>
      <c r="G170" s="320"/>
      <c r="H170" s="319" t="s">
        <v>6636</v>
      </c>
      <c r="I170" s="318">
        <v>53.0</v>
      </c>
      <c r="J170" s="318">
        <v>11320.27</v>
      </c>
      <c r="K170" s="321"/>
      <c r="L170" s="321"/>
      <c r="M170" s="321"/>
      <c r="N170" s="321"/>
      <c r="O170" s="321"/>
      <c r="P170" s="321"/>
      <c r="Q170" s="31"/>
      <c r="R170" s="31"/>
      <c r="S170" s="31"/>
      <c r="T170" s="31"/>
      <c r="U170" s="31"/>
      <c r="V170" s="31"/>
      <c r="W170" s="31"/>
      <c r="X170" s="31"/>
      <c r="Y170" s="31"/>
    </row>
    <row r="171" ht="15.75" customHeight="1">
      <c r="A171" s="318">
        <v>171.0</v>
      </c>
      <c r="B171" s="319" t="s">
        <v>6913</v>
      </c>
      <c r="C171" s="319" t="s">
        <v>6914</v>
      </c>
      <c r="D171" s="319" t="s">
        <v>6650</v>
      </c>
      <c r="E171" s="319" t="s">
        <v>1424</v>
      </c>
      <c r="F171" s="318">
        <v>6881.0</v>
      </c>
      <c r="G171" s="320"/>
      <c r="H171" s="319" t="s">
        <v>6636</v>
      </c>
      <c r="I171" s="318">
        <v>55.0</v>
      </c>
      <c r="J171" s="318">
        <v>3784.55</v>
      </c>
      <c r="K171" s="321"/>
      <c r="L171" s="321"/>
      <c r="M171" s="321"/>
      <c r="N171" s="321"/>
      <c r="O171" s="321"/>
      <c r="P171" s="321"/>
      <c r="Q171" s="31"/>
      <c r="R171" s="31"/>
      <c r="S171" s="31"/>
      <c r="T171" s="31"/>
      <c r="U171" s="31"/>
      <c r="V171" s="31"/>
      <c r="W171" s="31"/>
      <c r="X171" s="31"/>
      <c r="Y171" s="31"/>
    </row>
    <row r="172" ht="15.75" customHeight="1">
      <c r="A172" s="318">
        <v>172.0</v>
      </c>
      <c r="B172" s="319" t="s">
        <v>2628</v>
      </c>
      <c r="C172" s="319" t="s">
        <v>6915</v>
      </c>
      <c r="D172" s="319" t="s">
        <v>21</v>
      </c>
      <c r="E172" s="319" t="s">
        <v>48</v>
      </c>
      <c r="F172" s="318">
        <v>38108.0</v>
      </c>
      <c r="G172" s="320"/>
      <c r="H172" s="319" t="s">
        <v>6636</v>
      </c>
      <c r="I172" s="318">
        <v>17.0</v>
      </c>
      <c r="J172" s="318">
        <v>6478.36</v>
      </c>
      <c r="K172" s="321"/>
      <c r="L172" s="321"/>
      <c r="M172" s="321"/>
      <c r="N172" s="321"/>
      <c r="O172" s="321"/>
      <c r="P172" s="321"/>
      <c r="Q172" s="31"/>
      <c r="R172" s="31"/>
      <c r="S172" s="31"/>
      <c r="T172" s="31"/>
      <c r="U172" s="31"/>
      <c r="V172" s="31"/>
      <c r="W172" s="31"/>
      <c r="X172" s="31"/>
      <c r="Y172" s="31"/>
    </row>
    <row r="173" ht="15.75" customHeight="1">
      <c r="A173" s="322">
        <v>173.0</v>
      </c>
      <c r="B173" s="323" t="s">
        <v>6916</v>
      </c>
      <c r="C173" s="323" t="s">
        <v>6917</v>
      </c>
      <c r="D173" s="323" t="s">
        <v>966</v>
      </c>
      <c r="E173" s="323" t="s">
        <v>6642</v>
      </c>
      <c r="F173" s="322">
        <v>3991.0</v>
      </c>
      <c r="G173" s="322">
        <v>4709.0</v>
      </c>
      <c r="H173" s="323" t="s">
        <v>6639</v>
      </c>
      <c r="I173" s="322">
        <v>24.0</v>
      </c>
      <c r="J173" s="322">
        <v>957.84</v>
      </c>
      <c r="K173" s="324"/>
      <c r="L173" s="324"/>
      <c r="M173" s="324"/>
      <c r="N173" s="324"/>
      <c r="O173" s="324"/>
      <c r="P173" s="324"/>
      <c r="Q173" s="31"/>
      <c r="R173" s="31"/>
      <c r="S173" s="31"/>
      <c r="T173" s="31"/>
      <c r="U173" s="31"/>
      <c r="V173" s="31"/>
      <c r="W173" s="31"/>
      <c r="X173" s="31"/>
      <c r="Y173" s="31"/>
    </row>
    <row r="174" ht="15.75" customHeight="1">
      <c r="A174" s="318">
        <v>174.0</v>
      </c>
      <c r="B174" s="319" t="s">
        <v>6918</v>
      </c>
      <c r="C174" s="319" t="s">
        <v>6919</v>
      </c>
      <c r="D174" s="319" t="s">
        <v>6650</v>
      </c>
      <c r="E174" s="319" t="s">
        <v>1424</v>
      </c>
      <c r="F174" s="318">
        <v>6291.0</v>
      </c>
      <c r="G174" s="320"/>
      <c r="H174" s="319" t="s">
        <v>6636</v>
      </c>
      <c r="I174" s="318">
        <v>55.0</v>
      </c>
      <c r="J174" s="318">
        <v>3460.05</v>
      </c>
      <c r="K174" s="321"/>
      <c r="L174" s="321"/>
      <c r="M174" s="321"/>
      <c r="N174" s="321"/>
      <c r="O174" s="321"/>
      <c r="P174" s="321"/>
      <c r="Q174" s="31"/>
      <c r="R174" s="31"/>
      <c r="S174" s="31"/>
      <c r="T174" s="31"/>
      <c r="U174" s="31"/>
      <c r="V174" s="31"/>
      <c r="W174" s="31"/>
      <c r="X174" s="31"/>
      <c r="Y174" s="31"/>
    </row>
    <row r="175" ht="15.75" customHeight="1">
      <c r="A175" s="318">
        <v>175.0</v>
      </c>
      <c r="B175" s="319" t="s">
        <v>6920</v>
      </c>
      <c r="C175" s="319" t="s">
        <v>6921</v>
      </c>
      <c r="D175" s="319" t="s">
        <v>6650</v>
      </c>
      <c r="E175" s="319" t="s">
        <v>1424</v>
      </c>
      <c r="F175" s="318">
        <v>7011.0</v>
      </c>
      <c r="G175" s="320"/>
      <c r="H175" s="319" t="s">
        <v>6636</v>
      </c>
      <c r="I175" s="318">
        <v>55.0</v>
      </c>
      <c r="J175" s="318">
        <v>3856.05</v>
      </c>
      <c r="K175" s="321"/>
      <c r="L175" s="321"/>
      <c r="M175" s="321"/>
      <c r="N175" s="321"/>
      <c r="O175" s="321"/>
      <c r="P175" s="321"/>
      <c r="Q175" s="31"/>
      <c r="R175" s="31"/>
      <c r="S175" s="31"/>
      <c r="T175" s="31"/>
      <c r="U175" s="31"/>
      <c r="V175" s="31"/>
      <c r="W175" s="31"/>
      <c r="X175" s="31"/>
      <c r="Y175" s="31"/>
    </row>
    <row r="176" ht="15.75" customHeight="1">
      <c r="A176" s="322">
        <v>176.0</v>
      </c>
      <c r="B176" s="323" t="s">
        <v>6922</v>
      </c>
      <c r="C176" s="323" t="s">
        <v>6923</v>
      </c>
      <c r="D176" s="323" t="s">
        <v>966</v>
      </c>
      <c r="E176" s="323" t="s">
        <v>4916</v>
      </c>
      <c r="F176" s="322">
        <v>3981.0</v>
      </c>
      <c r="G176" s="322">
        <v>4697.0</v>
      </c>
      <c r="H176" s="323" t="s">
        <v>6639</v>
      </c>
      <c r="I176" s="322">
        <v>36.0</v>
      </c>
      <c r="J176" s="322">
        <v>1433.16</v>
      </c>
      <c r="K176" s="324"/>
      <c r="L176" s="324"/>
      <c r="M176" s="324"/>
      <c r="N176" s="324"/>
      <c r="O176" s="324"/>
      <c r="P176" s="324"/>
      <c r="Q176" s="31"/>
      <c r="R176" s="31"/>
      <c r="S176" s="31"/>
      <c r="T176" s="31"/>
      <c r="U176" s="31"/>
      <c r="V176" s="31"/>
      <c r="W176" s="31"/>
      <c r="X176" s="31"/>
      <c r="Y176" s="31"/>
    </row>
    <row r="177" ht="15.75" customHeight="1">
      <c r="A177" s="322">
        <v>177.0</v>
      </c>
      <c r="B177" s="323" t="s">
        <v>6924</v>
      </c>
      <c r="C177" s="323" t="s">
        <v>6925</v>
      </c>
      <c r="D177" s="323" t="s">
        <v>966</v>
      </c>
      <c r="E177" s="323" t="s">
        <v>668</v>
      </c>
      <c r="F177" s="322">
        <v>3416.0</v>
      </c>
      <c r="G177" s="322">
        <v>4030.0</v>
      </c>
      <c r="H177" s="323" t="s">
        <v>6639</v>
      </c>
      <c r="I177" s="322">
        <v>36.0</v>
      </c>
      <c r="J177" s="322">
        <v>1229.76</v>
      </c>
      <c r="K177" s="324"/>
      <c r="L177" s="324"/>
      <c r="M177" s="324"/>
      <c r="N177" s="324"/>
      <c r="O177" s="324"/>
      <c r="P177" s="324"/>
      <c r="Q177" s="31"/>
      <c r="R177" s="31"/>
      <c r="S177" s="31"/>
      <c r="T177" s="31"/>
      <c r="U177" s="31"/>
      <c r="V177" s="31"/>
      <c r="W177" s="31"/>
      <c r="X177" s="31"/>
      <c r="Y177" s="31"/>
    </row>
    <row r="178" ht="15.75" customHeight="1">
      <c r="A178" s="322">
        <v>178.0</v>
      </c>
      <c r="B178" s="323" t="s">
        <v>6926</v>
      </c>
      <c r="C178" s="323" t="s">
        <v>6927</v>
      </c>
      <c r="D178" s="323" t="s">
        <v>966</v>
      </c>
      <c r="E178" s="323" t="s">
        <v>668</v>
      </c>
      <c r="F178" s="322">
        <v>2154.0</v>
      </c>
      <c r="G178" s="322">
        <v>2542.0</v>
      </c>
      <c r="H178" s="323" t="s">
        <v>6639</v>
      </c>
      <c r="I178" s="322">
        <v>36.0</v>
      </c>
      <c r="J178" s="322">
        <v>775.44</v>
      </c>
      <c r="K178" s="324"/>
      <c r="L178" s="324"/>
      <c r="M178" s="324"/>
      <c r="N178" s="324"/>
      <c r="O178" s="324"/>
      <c r="P178" s="324"/>
      <c r="Q178" s="31"/>
      <c r="R178" s="31"/>
      <c r="S178" s="31"/>
      <c r="T178" s="31"/>
      <c r="U178" s="31"/>
      <c r="V178" s="31"/>
      <c r="W178" s="31"/>
      <c r="X178" s="31"/>
      <c r="Y178" s="31"/>
    </row>
    <row r="179" ht="15.75" customHeight="1">
      <c r="A179" s="322">
        <v>179.0</v>
      </c>
      <c r="B179" s="323" t="s">
        <v>2163</v>
      </c>
      <c r="C179" s="323" t="s">
        <v>2142</v>
      </c>
      <c r="D179" s="323" t="s">
        <v>1395</v>
      </c>
      <c r="E179" s="323" t="s">
        <v>668</v>
      </c>
      <c r="F179" s="322">
        <v>19802.0</v>
      </c>
      <c r="G179" s="322">
        <v>22404.0</v>
      </c>
      <c r="H179" s="323" t="s">
        <v>6639</v>
      </c>
      <c r="I179" s="322">
        <v>53.0</v>
      </c>
      <c r="J179" s="322">
        <v>10495.06</v>
      </c>
      <c r="K179" s="324"/>
      <c r="L179" s="324"/>
      <c r="M179" s="324"/>
      <c r="N179" s="324"/>
      <c r="O179" s="324"/>
      <c r="P179" s="324"/>
      <c r="Q179" s="31"/>
      <c r="R179" s="31"/>
      <c r="S179" s="31"/>
      <c r="T179" s="31"/>
      <c r="U179" s="31"/>
      <c r="V179" s="31"/>
      <c r="W179" s="31"/>
      <c r="X179" s="31"/>
      <c r="Y179" s="31"/>
    </row>
    <row r="180" ht="15.75" customHeight="1">
      <c r="A180" s="322">
        <v>180.0</v>
      </c>
      <c r="B180" s="323" t="s">
        <v>780</v>
      </c>
      <c r="C180" s="323" t="s">
        <v>6802</v>
      </c>
      <c r="D180" s="323" t="s">
        <v>533</v>
      </c>
      <c r="E180" s="323" t="s">
        <v>116</v>
      </c>
      <c r="F180" s="322">
        <v>7317.0</v>
      </c>
      <c r="G180" s="322">
        <v>8634.0</v>
      </c>
      <c r="H180" s="323" t="s">
        <v>6639</v>
      </c>
      <c r="I180" s="322">
        <v>22.0</v>
      </c>
      <c r="J180" s="322">
        <v>1609.74</v>
      </c>
      <c r="K180" s="324"/>
      <c r="L180" s="324"/>
      <c r="M180" s="324"/>
      <c r="N180" s="324"/>
      <c r="O180" s="324"/>
      <c r="P180" s="324"/>
      <c r="Q180" s="31"/>
      <c r="R180" s="31"/>
      <c r="S180" s="31"/>
      <c r="T180" s="31"/>
      <c r="U180" s="31"/>
      <c r="V180" s="31"/>
      <c r="W180" s="31"/>
      <c r="X180" s="31"/>
      <c r="Y180" s="31"/>
    </row>
    <row r="181" ht="15.75" customHeight="1">
      <c r="A181" s="318">
        <v>181.0</v>
      </c>
      <c r="B181" s="319" t="s">
        <v>6928</v>
      </c>
      <c r="C181" s="319" t="s">
        <v>6929</v>
      </c>
      <c r="D181" s="319" t="s">
        <v>1395</v>
      </c>
      <c r="E181" s="319" t="s">
        <v>668</v>
      </c>
      <c r="F181" s="318">
        <v>19379.0</v>
      </c>
      <c r="G181" s="320"/>
      <c r="H181" s="319" t="s">
        <v>6636</v>
      </c>
      <c r="I181" s="318">
        <v>53.0</v>
      </c>
      <c r="J181" s="318">
        <v>10270.87</v>
      </c>
      <c r="K181" s="321"/>
      <c r="L181" s="321"/>
      <c r="M181" s="321"/>
      <c r="N181" s="321"/>
      <c r="O181" s="321"/>
      <c r="P181" s="321"/>
      <c r="Q181" s="31"/>
      <c r="R181" s="31"/>
      <c r="S181" s="31"/>
      <c r="T181" s="31"/>
      <c r="U181" s="31"/>
      <c r="V181" s="31"/>
      <c r="W181" s="31"/>
      <c r="X181" s="31"/>
      <c r="Y181" s="31"/>
    </row>
    <row r="182" ht="15.75" customHeight="1">
      <c r="A182" s="322">
        <v>182.0</v>
      </c>
      <c r="B182" s="323" t="s">
        <v>6930</v>
      </c>
      <c r="C182" s="323" t="s">
        <v>6931</v>
      </c>
      <c r="D182" s="323" t="s">
        <v>966</v>
      </c>
      <c r="E182" s="323" t="s">
        <v>668</v>
      </c>
      <c r="F182" s="322">
        <v>3851.0</v>
      </c>
      <c r="G182" s="322">
        <v>4545.0</v>
      </c>
      <c r="H182" s="323" t="s">
        <v>6639</v>
      </c>
      <c r="I182" s="322">
        <v>36.0</v>
      </c>
      <c r="J182" s="322">
        <v>1386.36</v>
      </c>
      <c r="K182" s="324"/>
      <c r="L182" s="324"/>
      <c r="M182" s="324"/>
      <c r="N182" s="324"/>
      <c r="O182" s="324"/>
      <c r="P182" s="324"/>
      <c r="Q182" s="31"/>
      <c r="R182" s="31"/>
      <c r="S182" s="31"/>
      <c r="T182" s="31"/>
      <c r="U182" s="31"/>
      <c r="V182" s="31"/>
      <c r="W182" s="31"/>
      <c r="X182" s="31"/>
      <c r="Y182" s="31"/>
    </row>
    <row r="183" ht="15.75" customHeight="1">
      <c r="A183" s="318">
        <v>183.0</v>
      </c>
      <c r="B183" s="319" t="s">
        <v>2529</v>
      </c>
      <c r="C183" s="319" t="s">
        <v>6932</v>
      </c>
      <c r="D183" s="319" t="s">
        <v>21</v>
      </c>
      <c r="E183" s="319" t="s">
        <v>668</v>
      </c>
      <c r="F183" s="318">
        <v>45532.0</v>
      </c>
      <c r="G183" s="320"/>
      <c r="H183" s="319" t="s">
        <v>6636</v>
      </c>
      <c r="I183" s="318">
        <v>19.5</v>
      </c>
      <c r="J183" s="318">
        <v>8878.74</v>
      </c>
      <c r="K183" s="329"/>
      <c r="L183" s="321"/>
      <c r="M183" s="321"/>
      <c r="N183" s="321"/>
      <c r="O183" s="321"/>
      <c r="P183" s="321"/>
      <c r="Q183" s="31"/>
      <c r="R183" s="31"/>
      <c r="S183" s="31"/>
      <c r="T183" s="31"/>
      <c r="U183" s="31"/>
      <c r="V183" s="31"/>
      <c r="W183" s="31"/>
      <c r="X183" s="31"/>
      <c r="Y183" s="31"/>
    </row>
    <row r="184" ht="15.75" customHeight="1">
      <c r="A184" s="318">
        <v>184.0</v>
      </c>
      <c r="B184" s="319" t="s">
        <v>6933</v>
      </c>
      <c r="C184" s="319" t="s">
        <v>6851</v>
      </c>
      <c r="D184" s="319" t="s">
        <v>21</v>
      </c>
      <c r="E184" s="319" t="s">
        <v>668</v>
      </c>
      <c r="F184" s="318">
        <v>52884.0</v>
      </c>
      <c r="G184" s="320"/>
      <c r="H184" s="319" t="s">
        <v>6636</v>
      </c>
      <c r="I184" s="318">
        <v>19.5</v>
      </c>
      <c r="J184" s="318">
        <v>10312.38</v>
      </c>
      <c r="K184" s="321"/>
      <c r="L184" s="321"/>
      <c r="M184" s="321"/>
      <c r="N184" s="321"/>
      <c r="O184" s="321"/>
      <c r="P184" s="321"/>
      <c r="Q184" s="31"/>
      <c r="R184" s="31"/>
      <c r="S184" s="31"/>
      <c r="T184" s="31"/>
      <c r="U184" s="31"/>
      <c r="V184" s="31"/>
      <c r="W184" s="31"/>
      <c r="X184" s="31"/>
      <c r="Y184" s="31"/>
    </row>
    <row r="185" ht="15.75" customHeight="1">
      <c r="A185" s="318">
        <v>185.0</v>
      </c>
      <c r="B185" s="319" t="s">
        <v>6934</v>
      </c>
      <c r="C185" s="319" t="s">
        <v>6768</v>
      </c>
      <c r="D185" s="319" t="s">
        <v>1395</v>
      </c>
      <c r="E185" s="319" t="s">
        <v>668</v>
      </c>
      <c r="F185" s="318">
        <v>16833.0</v>
      </c>
      <c r="G185" s="320"/>
      <c r="H185" s="319" t="s">
        <v>6636</v>
      </c>
      <c r="I185" s="318">
        <v>53.0</v>
      </c>
      <c r="J185" s="318">
        <v>8921.49</v>
      </c>
      <c r="K185" s="321"/>
      <c r="L185" s="321"/>
      <c r="M185" s="321"/>
      <c r="N185" s="321"/>
      <c r="O185" s="321"/>
      <c r="P185" s="321"/>
      <c r="Q185" s="31"/>
      <c r="R185" s="31"/>
      <c r="S185" s="31"/>
      <c r="T185" s="31"/>
      <c r="U185" s="31"/>
      <c r="V185" s="31"/>
      <c r="W185" s="31"/>
      <c r="X185" s="31"/>
      <c r="Y185" s="31"/>
    </row>
    <row r="186" ht="15.75" customHeight="1">
      <c r="A186" s="322">
        <v>186.0</v>
      </c>
      <c r="B186" s="323" t="s">
        <v>6935</v>
      </c>
      <c r="C186" s="323" t="s">
        <v>6936</v>
      </c>
      <c r="D186" s="323" t="s">
        <v>966</v>
      </c>
      <c r="E186" s="323" t="s">
        <v>668</v>
      </c>
      <c r="F186" s="322">
        <v>2154.0</v>
      </c>
      <c r="G186" s="322">
        <v>2542.0</v>
      </c>
      <c r="H186" s="323" t="s">
        <v>6639</v>
      </c>
      <c r="I186" s="322">
        <v>36.0</v>
      </c>
      <c r="J186" s="322">
        <v>775.44</v>
      </c>
      <c r="K186" s="324"/>
      <c r="L186" s="324"/>
      <c r="M186" s="324"/>
      <c r="N186" s="324"/>
      <c r="O186" s="324"/>
      <c r="P186" s="324"/>
      <c r="Q186" s="31"/>
      <c r="R186" s="31"/>
      <c r="S186" s="31"/>
      <c r="T186" s="31"/>
      <c r="U186" s="31"/>
      <c r="V186" s="31"/>
      <c r="W186" s="31"/>
      <c r="X186" s="31"/>
      <c r="Y186" s="31"/>
    </row>
    <row r="187" ht="15.75" customHeight="1">
      <c r="A187" s="322">
        <v>187.0</v>
      </c>
      <c r="B187" s="323" t="s">
        <v>6937</v>
      </c>
      <c r="C187" s="323" t="s">
        <v>6851</v>
      </c>
      <c r="D187" s="323" t="s">
        <v>966</v>
      </c>
      <c r="E187" s="323" t="s">
        <v>668</v>
      </c>
      <c r="F187" s="322">
        <v>3416.0</v>
      </c>
      <c r="G187" s="322">
        <v>4030.0</v>
      </c>
      <c r="H187" s="323" t="s">
        <v>6639</v>
      </c>
      <c r="I187" s="322">
        <v>36.0</v>
      </c>
      <c r="J187" s="322">
        <v>1229.76</v>
      </c>
      <c r="K187" s="324"/>
      <c r="L187" s="324"/>
      <c r="M187" s="324"/>
      <c r="N187" s="324"/>
      <c r="O187" s="324"/>
      <c r="P187" s="324"/>
      <c r="Q187" s="31"/>
      <c r="R187" s="31"/>
      <c r="S187" s="31"/>
      <c r="T187" s="31"/>
      <c r="U187" s="31"/>
      <c r="V187" s="31"/>
      <c r="W187" s="31"/>
      <c r="X187" s="31"/>
      <c r="Y187" s="31"/>
    </row>
    <row r="188" ht="15.75" customHeight="1">
      <c r="A188" s="318">
        <v>188.0</v>
      </c>
      <c r="B188" s="319" t="s">
        <v>2428</v>
      </c>
      <c r="C188" s="319" t="s">
        <v>6938</v>
      </c>
      <c r="D188" s="319" t="s">
        <v>1395</v>
      </c>
      <c r="E188" s="319" t="s">
        <v>668</v>
      </c>
      <c r="F188" s="318">
        <v>16853.0</v>
      </c>
      <c r="G188" s="320"/>
      <c r="H188" s="319" t="s">
        <v>6636</v>
      </c>
      <c r="I188" s="318">
        <v>53.0</v>
      </c>
      <c r="J188" s="318">
        <v>8932.09</v>
      </c>
      <c r="K188" s="321"/>
      <c r="L188" s="321"/>
      <c r="M188" s="321"/>
      <c r="N188" s="321"/>
      <c r="O188" s="321"/>
      <c r="P188" s="321"/>
      <c r="Q188" s="31"/>
      <c r="R188" s="31"/>
      <c r="S188" s="31"/>
      <c r="T188" s="31"/>
      <c r="U188" s="31"/>
      <c r="V188" s="31"/>
      <c r="W188" s="31"/>
      <c r="X188" s="31"/>
      <c r="Y188" s="31"/>
    </row>
    <row r="189" ht="15.75" customHeight="1">
      <c r="A189" s="318">
        <v>189.0</v>
      </c>
      <c r="B189" s="319" t="s">
        <v>6939</v>
      </c>
      <c r="C189" s="319" t="s">
        <v>6940</v>
      </c>
      <c r="D189" s="319" t="s">
        <v>6650</v>
      </c>
      <c r="E189" s="319" t="s">
        <v>1424</v>
      </c>
      <c r="F189" s="318">
        <v>6804.0</v>
      </c>
      <c r="G189" s="320"/>
      <c r="H189" s="319" t="s">
        <v>6636</v>
      </c>
      <c r="I189" s="318">
        <v>55.0</v>
      </c>
      <c r="J189" s="318">
        <v>3742.2</v>
      </c>
      <c r="K189" s="321"/>
      <c r="L189" s="321"/>
      <c r="M189" s="321"/>
      <c r="N189" s="321"/>
      <c r="O189" s="321"/>
      <c r="P189" s="321"/>
      <c r="Q189" s="31"/>
      <c r="R189" s="31"/>
      <c r="S189" s="31"/>
      <c r="T189" s="31"/>
      <c r="U189" s="31"/>
      <c r="V189" s="31"/>
      <c r="W189" s="31"/>
      <c r="X189" s="31"/>
      <c r="Y189" s="31"/>
    </row>
    <row r="190" ht="15.75" customHeight="1">
      <c r="A190" s="318">
        <v>190.0</v>
      </c>
      <c r="B190" s="319" t="s">
        <v>6941</v>
      </c>
      <c r="C190" s="319" t="s">
        <v>6796</v>
      </c>
      <c r="D190" s="319" t="s">
        <v>6650</v>
      </c>
      <c r="E190" s="319" t="s">
        <v>1424</v>
      </c>
      <c r="F190" s="318">
        <v>6905.0</v>
      </c>
      <c r="G190" s="320"/>
      <c r="H190" s="319" t="s">
        <v>6636</v>
      </c>
      <c r="I190" s="318">
        <v>55.0</v>
      </c>
      <c r="J190" s="318">
        <v>3797.75</v>
      </c>
      <c r="K190" s="321"/>
      <c r="L190" s="321"/>
      <c r="M190" s="321"/>
      <c r="N190" s="321"/>
      <c r="O190" s="321"/>
      <c r="P190" s="321"/>
      <c r="Q190" s="31"/>
      <c r="R190" s="31"/>
      <c r="S190" s="31"/>
      <c r="T190" s="31"/>
      <c r="U190" s="31"/>
      <c r="V190" s="31"/>
      <c r="W190" s="31"/>
      <c r="X190" s="31"/>
      <c r="Y190" s="31"/>
    </row>
    <row r="191" ht="15.75" customHeight="1">
      <c r="A191" s="322">
        <v>191.0</v>
      </c>
      <c r="B191" s="323" t="s">
        <v>6942</v>
      </c>
      <c r="C191" s="323" t="s">
        <v>6826</v>
      </c>
      <c r="D191" s="323" t="s">
        <v>966</v>
      </c>
      <c r="E191" s="323" t="s">
        <v>668</v>
      </c>
      <c r="F191" s="322">
        <v>2094.0</v>
      </c>
      <c r="G191" s="322">
        <v>2470.0</v>
      </c>
      <c r="H191" s="323" t="s">
        <v>6639</v>
      </c>
      <c r="I191" s="322">
        <v>36.0</v>
      </c>
      <c r="J191" s="322">
        <v>753.84</v>
      </c>
      <c r="K191" s="324"/>
      <c r="L191" s="324"/>
      <c r="M191" s="324"/>
      <c r="N191" s="324"/>
      <c r="O191" s="324"/>
      <c r="P191" s="324"/>
      <c r="Q191" s="31"/>
      <c r="R191" s="31"/>
      <c r="S191" s="31"/>
      <c r="T191" s="31"/>
      <c r="U191" s="31"/>
      <c r="V191" s="31"/>
      <c r="W191" s="31"/>
      <c r="X191" s="31"/>
      <c r="Y191" s="31"/>
    </row>
    <row r="192" ht="15.75" customHeight="1">
      <c r="A192" s="318">
        <v>192.0</v>
      </c>
      <c r="B192" s="319" t="s">
        <v>6943</v>
      </c>
      <c r="C192" s="319" t="s">
        <v>6944</v>
      </c>
      <c r="D192" s="319" t="s">
        <v>6650</v>
      </c>
      <c r="E192" s="319" t="s">
        <v>1424</v>
      </c>
      <c r="F192" s="318">
        <v>7122.0</v>
      </c>
      <c r="G192" s="320"/>
      <c r="H192" s="319" t="s">
        <v>6636</v>
      </c>
      <c r="I192" s="318">
        <v>55.0</v>
      </c>
      <c r="J192" s="318">
        <v>3917.1</v>
      </c>
      <c r="K192" s="321"/>
      <c r="L192" s="321"/>
      <c r="M192" s="321"/>
      <c r="N192" s="321"/>
      <c r="O192" s="321"/>
      <c r="P192" s="321"/>
      <c r="Q192" s="31"/>
      <c r="R192" s="31"/>
      <c r="S192" s="31"/>
      <c r="T192" s="31"/>
      <c r="U192" s="31"/>
      <c r="V192" s="31"/>
      <c r="W192" s="31"/>
      <c r="X192" s="31"/>
      <c r="Y192" s="31"/>
    </row>
    <row r="193" ht="15.75" customHeight="1">
      <c r="A193" s="318">
        <v>193.0</v>
      </c>
      <c r="B193" s="319" t="s">
        <v>6945</v>
      </c>
      <c r="C193" s="319" t="s">
        <v>6946</v>
      </c>
      <c r="D193" s="319" t="s">
        <v>6650</v>
      </c>
      <c r="E193" s="319" t="s">
        <v>1424</v>
      </c>
      <c r="F193" s="318">
        <v>7015.0</v>
      </c>
      <c r="G193" s="320"/>
      <c r="H193" s="319" t="s">
        <v>6636</v>
      </c>
      <c r="I193" s="318">
        <v>55.0</v>
      </c>
      <c r="J193" s="318">
        <v>3858.25</v>
      </c>
      <c r="K193" s="321"/>
      <c r="L193" s="321"/>
      <c r="M193" s="321"/>
      <c r="N193" s="321"/>
      <c r="O193" s="321"/>
      <c r="P193" s="321"/>
      <c r="Q193" s="31"/>
      <c r="R193" s="31"/>
      <c r="S193" s="31"/>
      <c r="T193" s="31"/>
      <c r="U193" s="31"/>
      <c r="V193" s="31"/>
      <c r="W193" s="31"/>
      <c r="X193" s="31"/>
      <c r="Y193" s="31"/>
    </row>
    <row r="194" ht="15.75" customHeight="1">
      <c r="A194" s="318">
        <v>194.0</v>
      </c>
      <c r="B194" s="319" t="s">
        <v>6947</v>
      </c>
      <c r="C194" s="319" t="s">
        <v>6948</v>
      </c>
      <c r="D194" s="319" t="s">
        <v>966</v>
      </c>
      <c r="E194" s="319" t="s">
        <v>6642</v>
      </c>
      <c r="F194" s="318">
        <v>3476.0</v>
      </c>
      <c r="G194" s="320"/>
      <c r="H194" s="319" t="s">
        <v>6636</v>
      </c>
      <c r="I194" s="318">
        <v>24.0</v>
      </c>
      <c r="J194" s="318">
        <v>834.24</v>
      </c>
      <c r="K194" s="321"/>
      <c r="L194" s="321"/>
      <c r="M194" s="321"/>
      <c r="N194" s="321"/>
      <c r="O194" s="321"/>
      <c r="P194" s="321"/>
      <c r="Q194" s="31"/>
      <c r="R194" s="31"/>
      <c r="S194" s="31"/>
      <c r="T194" s="31"/>
      <c r="U194" s="31"/>
      <c r="V194" s="31"/>
      <c r="W194" s="31"/>
      <c r="X194" s="31"/>
      <c r="Y194" s="31"/>
    </row>
    <row r="195" ht="15.75" customHeight="1">
      <c r="A195" s="322">
        <v>195.0</v>
      </c>
      <c r="B195" s="323" t="s">
        <v>6949</v>
      </c>
      <c r="C195" s="323" t="s">
        <v>6950</v>
      </c>
      <c r="D195" s="323" t="s">
        <v>966</v>
      </c>
      <c r="E195" s="323" t="s">
        <v>668</v>
      </c>
      <c r="F195" s="322">
        <v>3416.0</v>
      </c>
      <c r="G195" s="322">
        <v>4030.0</v>
      </c>
      <c r="H195" s="323" t="s">
        <v>6639</v>
      </c>
      <c r="I195" s="322">
        <v>36.0</v>
      </c>
      <c r="J195" s="322">
        <v>1229.76</v>
      </c>
      <c r="K195" s="324"/>
      <c r="L195" s="324"/>
      <c r="M195" s="324"/>
      <c r="N195" s="324"/>
      <c r="O195" s="324"/>
      <c r="P195" s="324"/>
      <c r="Q195" s="31"/>
      <c r="R195" s="31"/>
      <c r="S195" s="31"/>
      <c r="T195" s="31"/>
      <c r="U195" s="31"/>
      <c r="V195" s="31"/>
      <c r="W195" s="31"/>
      <c r="X195" s="31"/>
      <c r="Y195" s="31"/>
    </row>
    <row r="196" ht="15.75" customHeight="1">
      <c r="A196" s="318">
        <v>196.0</v>
      </c>
      <c r="B196" s="319" t="s">
        <v>6951</v>
      </c>
      <c r="C196" s="319" t="s">
        <v>6833</v>
      </c>
      <c r="D196" s="319" t="s">
        <v>966</v>
      </c>
      <c r="E196" s="319" t="s">
        <v>6642</v>
      </c>
      <c r="F196" s="318">
        <v>3851.0</v>
      </c>
      <c r="G196" s="320"/>
      <c r="H196" s="319" t="s">
        <v>6636</v>
      </c>
      <c r="I196" s="318">
        <v>24.0</v>
      </c>
      <c r="J196" s="318">
        <v>924.24</v>
      </c>
      <c r="K196" s="321"/>
      <c r="L196" s="321"/>
      <c r="M196" s="321"/>
      <c r="N196" s="321"/>
      <c r="O196" s="321"/>
      <c r="P196" s="321"/>
      <c r="Q196" s="31"/>
      <c r="R196" s="31"/>
      <c r="S196" s="31"/>
      <c r="T196" s="31"/>
      <c r="U196" s="31"/>
      <c r="V196" s="31"/>
      <c r="W196" s="31"/>
      <c r="X196" s="31"/>
      <c r="Y196" s="31"/>
    </row>
    <row r="197" ht="15.75" customHeight="1">
      <c r="A197" s="318">
        <v>197.0</v>
      </c>
      <c r="B197" s="319" t="s">
        <v>6952</v>
      </c>
      <c r="C197" s="319" t="s">
        <v>6775</v>
      </c>
      <c r="D197" s="319" t="s">
        <v>966</v>
      </c>
      <c r="E197" s="319" t="s">
        <v>6642</v>
      </c>
      <c r="F197" s="318">
        <v>3851.0</v>
      </c>
      <c r="G197" s="320"/>
      <c r="H197" s="319" t="s">
        <v>6636</v>
      </c>
      <c r="I197" s="318">
        <v>24.0</v>
      </c>
      <c r="J197" s="318">
        <v>924.24</v>
      </c>
      <c r="K197" s="321"/>
      <c r="L197" s="321"/>
      <c r="M197" s="321"/>
      <c r="N197" s="321"/>
      <c r="O197" s="321"/>
      <c r="P197" s="321"/>
      <c r="Q197" s="31"/>
      <c r="R197" s="31"/>
      <c r="S197" s="31"/>
      <c r="T197" s="31"/>
      <c r="U197" s="31"/>
      <c r="V197" s="31"/>
      <c r="W197" s="31"/>
      <c r="X197" s="31"/>
      <c r="Y197" s="31"/>
    </row>
    <row r="198" ht="15.75" customHeight="1">
      <c r="A198" s="318">
        <v>198.0</v>
      </c>
      <c r="B198" s="319" t="s">
        <v>6953</v>
      </c>
      <c r="C198" s="319" t="s">
        <v>6954</v>
      </c>
      <c r="D198" s="319" t="s">
        <v>1395</v>
      </c>
      <c r="E198" s="319" t="s">
        <v>668</v>
      </c>
      <c r="F198" s="318">
        <v>17457.0</v>
      </c>
      <c r="G198" s="320"/>
      <c r="H198" s="319" t="s">
        <v>6636</v>
      </c>
      <c r="I198" s="318">
        <v>53.0</v>
      </c>
      <c r="J198" s="318">
        <v>9252.21</v>
      </c>
      <c r="K198" s="321"/>
      <c r="L198" s="321"/>
      <c r="M198" s="321"/>
      <c r="N198" s="321"/>
      <c r="O198" s="321"/>
      <c r="P198" s="321"/>
      <c r="Q198" s="31"/>
      <c r="R198" s="31"/>
      <c r="S198" s="31"/>
      <c r="T198" s="31"/>
      <c r="U198" s="31"/>
      <c r="V198" s="31"/>
      <c r="W198" s="31"/>
      <c r="X198" s="31"/>
      <c r="Y198" s="31"/>
    </row>
    <row r="199" ht="15.75" customHeight="1">
      <c r="A199" s="318">
        <v>199.0</v>
      </c>
      <c r="B199" s="319" t="s">
        <v>6955</v>
      </c>
      <c r="C199" s="319" t="s">
        <v>6956</v>
      </c>
      <c r="D199" s="319" t="s">
        <v>1395</v>
      </c>
      <c r="E199" s="319" t="s">
        <v>668</v>
      </c>
      <c r="F199" s="318">
        <v>20421.0</v>
      </c>
      <c r="G199" s="320"/>
      <c r="H199" s="319" t="s">
        <v>6636</v>
      </c>
      <c r="I199" s="318">
        <v>53.0</v>
      </c>
      <c r="J199" s="318">
        <v>10823.13</v>
      </c>
      <c r="K199" s="321"/>
      <c r="L199" s="321"/>
      <c r="M199" s="321"/>
      <c r="N199" s="321"/>
      <c r="O199" s="321"/>
      <c r="P199" s="321"/>
      <c r="Q199" s="31"/>
      <c r="R199" s="31"/>
      <c r="S199" s="31"/>
      <c r="T199" s="31"/>
      <c r="U199" s="31"/>
      <c r="V199" s="31"/>
      <c r="W199" s="31"/>
      <c r="X199" s="31"/>
      <c r="Y199" s="31"/>
    </row>
    <row r="200" ht="15.75" customHeight="1">
      <c r="A200" s="322">
        <v>200.0</v>
      </c>
      <c r="B200" s="323" t="s">
        <v>6957</v>
      </c>
      <c r="C200" s="323" t="s">
        <v>6958</v>
      </c>
      <c r="D200" s="323" t="s">
        <v>21</v>
      </c>
      <c r="E200" s="323" t="s">
        <v>668</v>
      </c>
      <c r="F200" s="322">
        <v>47531.0</v>
      </c>
      <c r="G200" s="322">
        <v>53451.0</v>
      </c>
      <c r="H200" s="323" t="s">
        <v>6639</v>
      </c>
      <c r="I200" s="322">
        <v>19.5</v>
      </c>
      <c r="J200" s="322">
        <v>9268.545</v>
      </c>
      <c r="K200" s="324"/>
      <c r="L200" s="324"/>
      <c r="M200" s="324"/>
      <c r="N200" s="324"/>
      <c r="O200" s="324"/>
      <c r="P200" s="324"/>
      <c r="Q200" s="31"/>
      <c r="R200" s="31"/>
      <c r="S200" s="31"/>
      <c r="T200" s="31"/>
      <c r="U200" s="31"/>
      <c r="V200" s="31"/>
      <c r="W200" s="31"/>
      <c r="X200" s="31"/>
      <c r="Y200" s="31"/>
    </row>
    <row r="201" ht="15.75" customHeight="1">
      <c r="A201" s="318">
        <v>201.0</v>
      </c>
      <c r="B201" s="319" t="s">
        <v>6959</v>
      </c>
      <c r="C201" s="319" t="s">
        <v>6960</v>
      </c>
      <c r="D201" s="319" t="s">
        <v>1395</v>
      </c>
      <c r="E201" s="319" t="s">
        <v>668</v>
      </c>
      <c r="F201" s="318">
        <v>17761.0</v>
      </c>
      <c r="G201" s="320"/>
      <c r="H201" s="319" t="s">
        <v>6636</v>
      </c>
      <c r="I201" s="318">
        <v>53.0</v>
      </c>
      <c r="J201" s="318">
        <v>9413.33</v>
      </c>
      <c r="K201" s="321"/>
      <c r="L201" s="321"/>
      <c r="M201" s="321"/>
      <c r="N201" s="321"/>
      <c r="O201" s="321"/>
      <c r="P201" s="321"/>
      <c r="Q201" s="31"/>
      <c r="R201" s="31"/>
      <c r="S201" s="31"/>
      <c r="T201" s="31"/>
      <c r="U201" s="31"/>
      <c r="V201" s="31"/>
      <c r="W201" s="31"/>
      <c r="X201" s="31"/>
      <c r="Y201" s="31"/>
    </row>
    <row r="202" ht="15.75" customHeight="1">
      <c r="A202" s="318">
        <v>202.0</v>
      </c>
      <c r="B202" s="319" t="s">
        <v>6961</v>
      </c>
      <c r="C202" s="319" t="s">
        <v>6962</v>
      </c>
      <c r="D202" s="319" t="s">
        <v>1395</v>
      </c>
      <c r="E202" s="319" t="s">
        <v>668</v>
      </c>
      <c r="F202" s="318">
        <v>17774.0</v>
      </c>
      <c r="G202" s="321"/>
      <c r="H202" s="319" t="s">
        <v>6636</v>
      </c>
      <c r="I202" s="318">
        <v>53.0</v>
      </c>
      <c r="J202" s="318">
        <v>9420.22</v>
      </c>
      <c r="K202" s="321"/>
      <c r="L202" s="321"/>
      <c r="M202" s="321"/>
      <c r="N202" s="321"/>
      <c r="O202" s="321"/>
      <c r="P202" s="321"/>
      <c r="Q202" s="31"/>
      <c r="R202" s="31"/>
      <c r="S202" s="31"/>
      <c r="T202" s="31"/>
      <c r="U202" s="31"/>
      <c r="V202" s="31"/>
      <c r="W202" s="31"/>
      <c r="X202" s="31"/>
      <c r="Y202" s="31"/>
    </row>
    <row r="203" ht="15.75" customHeight="1">
      <c r="A203" s="322">
        <v>203.0</v>
      </c>
      <c r="B203" s="323" t="s">
        <v>6963</v>
      </c>
      <c r="C203" s="323" t="s">
        <v>6964</v>
      </c>
      <c r="D203" s="323" t="s">
        <v>966</v>
      </c>
      <c r="E203" s="323" t="s">
        <v>668</v>
      </c>
      <c r="F203" s="322">
        <v>3476.0</v>
      </c>
      <c r="G203" s="322">
        <v>4102.0</v>
      </c>
      <c r="H203" s="323" t="s">
        <v>6639</v>
      </c>
      <c r="I203" s="322">
        <v>36.0</v>
      </c>
      <c r="J203" s="322">
        <v>1251.36</v>
      </c>
      <c r="K203" s="324"/>
      <c r="L203" s="324"/>
      <c r="M203" s="324"/>
      <c r="N203" s="324"/>
      <c r="O203" s="324"/>
      <c r="P203" s="324"/>
      <c r="Q203" s="31"/>
      <c r="R203" s="31"/>
      <c r="S203" s="31"/>
      <c r="T203" s="31"/>
      <c r="U203" s="31"/>
      <c r="V203" s="31"/>
      <c r="W203" s="31"/>
      <c r="X203" s="31"/>
      <c r="Y203" s="31"/>
    </row>
    <row r="204" ht="15.75" customHeight="1">
      <c r="A204" s="318">
        <v>204.0</v>
      </c>
      <c r="B204" s="319" t="s">
        <v>6965</v>
      </c>
      <c r="C204" s="319" t="s">
        <v>6966</v>
      </c>
      <c r="D204" s="319" t="s">
        <v>1759</v>
      </c>
      <c r="E204" s="319" t="s">
        <v>1424</v>
      </c>
      <c r="F204" s="318">
        <v>7122.0</v>
      </c>
      <c r="G204" s="321"/>
      <c r="H204" s="319" t="s">
        <v>6636</v>
      </c>
      <c r="I204" s="318">
        <v>55.0</v>
      </c>
      <c r="J204" s="318">
        <v>3917.1</v>
      </c>
      <c r="K204" s="321"/>
      <c r="L204" s="321"/>
      <c r="M204" s="321"/>
      <c r="N204" s="321"/>
      <c r="O204" s="321"/>
      <c r="P204" s="321"/>
      <c r="Q204" s="31"/>
      <c r="R204" s="31"/>
      <c r="S204" s="31"/>
      <c r="T204" s="31"/>
      <c r="U204" s="31"/>
      <c r="V204" s="31"/>
      <c r="W204" s="31"/>
      <c r="X204" s="31"/>
      <c r="Y204" s="31"/>
    </row>
    <row r="205" ht="15.75" customHeight="1">
      <c r="A205" s="318">
        <v>205.0</v>
      </c>
      <c r="B205" s="319" t="s">
        <v>2772</v>
      </c>
      <c r="C205" s="319" t="s">
        <v>6932</v>
      </c>
      <c r="D205" s="319" t="s">
        <v>21</v>
      </c>
      <c r="E205" s="319" t="s">
        <v>668</v>
      </c>
      <c r="F205" s="318">
        <v>46271.0</v>
      </c>
      <c r="G205" s="321"/>
      <c r="H205" s="319" t="s">
        <v>6636</v>
      </c>
      <c r="I205" s="318">
        <v>19.5</v>
      </c>
      <c r="J205" s="318">
        <v>9022.845</v>
      </c>
      <c r="K205" s="321"/>
      <c r="L205" s="321"/>
      <c r="M205" s="321"/>
      <c r="N205" s="321"/>
      <c r="O205" s="321"/>
      <c r="P205" s="321"/>
      <c r="Q205" s="31"/>
      <c r="R205" s="31"/>
      <c r="S205" s="31"/>
      <c r="T205" s="31"/>
      <c r="U205" s="31"/>
      <c r="V205" s="31"/>
      <c r="W205" s="31"/>
      <c r="X205" s="31"/>
      <c r="Y205" s="31"/>
    </row>
    <row r="206" ht="15.75" customHeight="1">
      <c r="A206" s="318">
        <v>206.0</v>
      </c>
      <c r="B206" s="319" t="s">
        <v>6967</v>
      </c>
      <c r="C206" s="319" t="s">
        <v>6968</v>
      </c>
      <c r="D206" s="319" t="s">
        <v>1395</v>
      </c>
      <c r="E206" s="319" t="s">
        <v>668</v>
      </c>
      <c r="F206" s="318">
        <v>21266.0</v>
      </c>
      <c r="G206" s="321"/>
      <c r="H206" s="319" t="s">
        <v>6636</v>
      </c>
      <c r="I206" s="318">
        <v>53.0</v>
      </c>
      <c r="J206" s="318">
        <v>11270.98</v>
      </c>
      <c r="K206" s="321"/>
      <c r="L206" s="321"/>
      <c r="M206" s="321"/>
      <c r="N206" s="321"/>
      <c r="O206" s="321"/>
      <c r="P206" s="321"/>
      <c r="Q206" s="31"/>
      <c r="R206" s="31"/>
      <c r="S206" s="31"/>
      <c r="T206" s="31"/>
      <c r="U206" s="31"/>
      <c r="V206" s="31"/>
      <c r="W206" s="31"/>
      <c r="X206" s="31"/>
      <c r="Y206" s="31"/>
    </row>
    <row r="207" ht="15.75" customHeight="1">
      <c r="A207" s="318">
        <v>207.0</v>
      </c>
      <c r="B207" s="319" t="s">
        <v>2910</v>
      </c>
      <c r="C207" s="319" t="s">
        <v>6969</v>
      </c>
      <c r="D207" s="319" t="s">
        <v>1395</v>
      </c>
      <c r="E207" s="319" t="s">
        <v>668</v>
      </c>
      <c r="F207" s="318">
        <v>20421.0</v>
      </c>
      <c r="G207" s="321"/>
      <c r="H207" s="319" t="s">
        <v>6636</v>
      </c>
      <c r="I207" s="318">
        <v>53.0</v>
      </c>
      <c r="J207" s="318">
        <v>10823.13</v>
      </c>
      <c r="K207" s="321"/>
      <c r="L207" s="321"/>
      <c r="M207" s="321"/>
      <c r="N207" s="321"/>
      <c r="O207" s="321"/>
      <c r="P207" s="321"/>
      <c r="Q207" s="31"/>
      <c r="R207" s="31"/>
      <c r="S207" s="31"/>
      <c r="T207" s="31"/>
      <c r="U207" s="31"/>
      <c r="V207" s="31"/>
      <c r="W207" s="31"/>
      <c r="X207" s="31"/>
      <c r="Y207" s="31"/>
    </row>
    <row r="208" ht="15.75" customHeight="1">
      <c r="A208" s="318">
        <v>208.0</v>
      </c>
      <c r="B208" s="319" t="s">
        <v>6970</v>
      </c>
      <c r="C208" s="319" t="s">
        <v>6971</v>
      </c>
      <c r="D208" s="319" t="s">
        <v>1759</v>
      </c>
      <c r="E208" s="319" t="s">
        <v>1424</v>
      </c>
      <c r="F208" s="318">
        <v>6858.0</v>
      </c>
      <c r="G208" s="321"/>
      <c r="H208" s="319" t="s">
        <v>6636</v>
      </c>
      <c r="I208" s="318">
        <v>55.0</v>
      </c>
      <c r="J208" s="318">
        <v>3771.9</v>
      </c>
      <c r="K208" s="321"/>
      <c r="L208" s="321"/>
      <c r="M208" s="321"/>
      <c r="N208" s="321"/>
      <c r="O208" s="321"/>
      <c r="P208" s="321"/>
      <c r="Q208" s="31"/>
      <c r="R208" s="31"/>
      <c r="S208" s="31"/>
      <c r="T208" s="31"/>
      <c r="U208" s="31"/>
      <c r="V208" s="31"/>
      <c r="W208" s="31"/>
      <c r="X208" s="31"/>
      <c r="Y208" s="31"/>
    </row>
    <row r="209" ht="15.75" customHeight="1">
      <c r="A209" s="318">
        <v>209.0</v>
      </c>
      <c r="B209" s="319" t="s">
        <v>6972</v>
      </c>
      <c r="C209" s="319" t="s">
        <v>6973</v>
      </c>
      <c r="D209" s="319" t="s">
        <v>1759</v>
      </c>
      <c r="E209" s="319" t="s">
        <v>1424</v>
      </c>
      <c r="F209" s="318">
        <v>7282.0</v>
      </c>
      <c r="G209" s="321"/>
      <c r="H209" s="319" t="s">
        <v>6636</v>
      </c>
      <c r="I209" s="318">
        <v>55.0</v>
      </c>
      <c r="J209" s="318">
        <v>4005.1</v>
      </c>
      <c r="K209" s="321"/>
      <c r="L209" s="321"/>
      <c r="M209" s="321"/>
      <c r="N209" s="321"/>
      <c r="O209" s="321"/>
      <c r="P209" s="321"/>
      <c r="Q209" s="31"/>
      <c r="R209" s="31"/>
      <c r="S209" s="31"/>
      <c r="T209" s="31"/>
      <c r="U209" s="31"/>
      <c r="V209" s="31"/>
      <c r="W209" s="31"/>
      <c r="X209" s="31"/>
      <c r="Y209" s="31"/>
    </row>
    <row r="210" ht="15.75" customHeight="1">
      <c r="A210" s="318">
        <v>210.0</v>
      </c>
      <c r="B210" s="319" t="s">
        <v>6974</v>
      </c>
      <c r="C210" s="319" t="s">
        <v>6975</v>
      </c>
      <c r="D210" s="319" t="s">
        <v>1759</v>
      </c>
      <c r="E210" s="319" t="s">
        <v>1424</v>
      </c>
      <c r="F210" s="318">
        <v>6706.0</v>
      </c>
      <c r="G210" s="321"/>
      <c r="H210" s="319" t="s">
        <v>6636</v>
      </c>
      <c r="I210" s="318">
        <v>55.0</v>
      </c>
      <c r="J210" s="318">
        <v>3688.3</v>
      </c>
      <c r="K210" s="321"/>
      <c r="L210" s="321"/>
      <c r="M210" s="321"/>
      <c r="N210" s="321"/>
      <c r="O210" s="321"/>
      <c r="P210" s="321"/>
      <c r="Q210" s="31"/>
      <c r="R210" s="31"/>
      <c r="S210" s="31"/>
      <c r="T210" s="31"/>
      <c r="U210" s="31"/>
      <c r="V210" s="31"/>
      <c r="W210" s="31"/>
      <c r="X210" s="31"/>
      <c r="Y210" s="31"/>
    </row>
    <row r="211" ht="15.75" customHeight="1">
      <c r="A211" s="318">
        <v>211.0</v>
      </c>
      <c r="B211" s="319" t="s">
        <v>6976</v>
      </c>
      <c r="C211" s="319" t="s">
        <v>6977</v>
      </c>
      <c r="D211" s="319" t="s">
        <v>21</v>
      </c>
      <c r="E211" s="319" t="s">
        <v>668</v>
      </c>
      <c r="F211" s="318">
        <v>47900.0</v>
      </c>
      <c r="G211" s="321"/>
      <c r="H211" s="319" t="s">
        <v>6636</v>
      </c>
      <c r="I211" s="318">
        <v>19.5</v>
      </c>
      <c r="J211" s="318">
        <v>9340.5</v>
      </c>
      <c r="K211" s="321"/>
      <c r="L211" s="321"/>
      <c r="M211" s="321"/>
      <c r="N211" s="321"/>
      <c r="O211" s="321"/>
      <c r="P211" s="321"/>
      <c r="Q211" s="31"/>
      <c r="R211" s="31"/>
      <c r="S211" s="31"/>
      <c r="T211" s="31"/>
      <c r="U211" s="31"/>
      <c r="V211" s="31"/>
      <c r="W211" s="31"/>
      <c r="X211" s="31"/>
      <c r="Y211" s="31"/>
    </row>
    <row r="212" ht="15.75" customHeight="1">
      <c r="A212" s="318">
        <v>212.0</v>
      </c>
      <c r="B212" s="319" t="s">
        <v>2764</v>
      </c>
      <c r="C212" s="319" t="s">
        <v>6978</v>
      </c>
      <c r="D212" s="319" t="s">
        <v>21</v>
      </c>
      <c r="E212" s="319" t="s">
        <v>668</v>
      </c>
      <c r="F212" s="318">
        <v>45516.0</v>
      </c>
      <c r="G212" s="321"/>
      <c r="H212" s="319" t="s">
        <v>6636</v>
      </c>
      <c r="I212" s="318">
        <v>19.5</v>
      </c>
      <c r="J212" s="318">
        <v>8875.62</v>
      </c>
      <c r="K212" s="321"/>
      <c r="L212" s="321"/>
      <c r="M212" s="321"/>
      <c r="N212" s="321"/>
      <c r="O212" s="321"/>
      <c r="P212" s="321"/>
      <c r="Q212" s="31"/>
      <c r="R212" s="31"/>
      <c r="S212" s="31"/>
      <c r="T212" s="31"/>
      <c r="U212" s="31"/>
      <c r="V212" s="31"/>
      <c r="W212" s="31"/>
      <c r="X212" s="31"/>
      <c r="Y212" s="31"/>
    </row>
    <row r="213" ht="15.75" customHeight="1">
      <c r="A213" s="322">
        <v>213.0</v>
      </c>
      <c r="B213" s="323" t="s">
        <v>6979</v>
      </c>
      <c r="C213" s="323" t="s">
        <v>6980</v>
      </c>
      <c r="D213" s="323" t="s">
        <v>966</v>
      </c>
      <c r="E213" s="323" t="s">
        <v>668</v>
      </c>
      <c r="F213" s="322">
        <v>3476.0</v>
      </c>
      <c r="G213" s="322">
        <v>4102.0</v>
      </c>
      <c r="H213" s="323" t="s">
        <v>6639</v>
      </c>
      <c r="I213" s="322">
        <v>36.0</v>
      </c>
      <c r="J213" s="322">
        <v>1251.36</v>
      </c>
      <c r="K213" s="324"/>
      <c r="L213" s="324"/>
      <c r="M213" s="324"/>
      <c r="N213" s="324"/>
      <c r="O213" s="324"/>
      <c r="P213" s="324"/>
      <c r="Q213" s="31"/>
      <c r="R213" s="31"/>
      <c r="S213" s="31"/>
      <c r="T213" s="31"/>
      <c r="U213" s="31"/>
      <c r="V213" s="31"/>
      <c r="W213" s="31"/>
      <c r="X213" s="31"/>
      <c r="Y213" s="31"/>
    </row>
    <row r="214" ht="15.75" customHeight="1">
      <c r="A214" s="318">
        <v>214.0</v>
      </c>
      <c r="B214" s="319" t="s">
        <v>6981</v>
      </c>
      <c r="C214" s="319" t="s">
        <v>6982</v>
      </c>
      <c r="D214" s="319" t="s">
        <v>1759</v>
      </c>
      <c r="E214" s="319" t="s">
        <v>1424</v>
      </c>
      <c r="F214" s="318">
        <v>6990.0</v>
      </c>
      <c r="G214" s="321"/>
      <c r="H214" s="319" t="s">
        <v>6636</v>
      </c>
      <c r="I214" s="318">
        <v>55.0</v>
      </c>
      <c r="J214" s="318">
        <v>3844.5</v>
      </c>
      <c r="K214" s="321"/>
      <c r="L214" s="321"/>
      <c r="M214" s="321"/>
      <c r="N214" s="321"/>
      <c r="O214" s="321"/>
      <c r="P214" s="321"/>
      <c r="Q214" s="31"/>
      <c r="R214" s="31"/>
      <c r="S214" s="31"/>
      <c r="T214" s="31"/>
      <c r="U214" s="31"/>
      <c r="V214" s="31"/>
      <c r="W214" s="31"/>
      <c r="X214" s="31"/>
      <c r="Y214" s="31"/>
    </row>
    <row r="215" ht="15.75" customHeight="1">
      <c r="A215" s="322">
        <v>215.0</v>
      </c>
      <c r="B215" s="323" t="s">
        <v>6983</v>
      </c>
      <c r="C215" s="323" t="s">
        <v>6984</v>
      </c>
      <c r="D215" s="323" t="s">
        <v>1395</v>
      </c>
      <c r="E215" s="323" t="s">
        <v>668</v>
      </c>
      <c r="F215" s="322">
        <v>17149.0</v>
      </c>
      <c r="G215" s="322">
        <v>19273.0</v>
      </c>
      <c r="H215" s="323" t="s">
        <v>6639</v>
      </c>
      <c r="I215" s="322">
        <v>53.0</v>
      </c>
      <c r="J215" s="322">
        <v>9088.97</v>
      </c>
      <c r="K215" s="324"/>
      <c r="L215" s="324"/>
      <c r="M215" s="324"/>
      <c r="N215" s="324"/>
      <c r="O215" s="324"/>
      <c r="P215" s="324"/>
      <c r="Q215" s="31"/>
      <c r="R215" s="31"/>
      <c r="S215" s="31"/>
      <c r="T215" s="31"/>
      <c r="U215" s="31"/>
      <c r="V215" s="31"/>
      <c r="W215" s="31"/>
      <c r="X215" s="31"/>
      <c r="Y215" s="31"/>
    </row>
    <row r="216" ht="15.75" customHeight="1">
      <c r="A216" s="318">
        <v>216.0</v>
      </c>
      <c r="B216" s="319" t="s">
        <v>6985</v>
      </c>
      <c r="C216" s="319" t="s">
        <v>6986</v>
      </c>
      <c r="D216" s="319" t="s">
        <v>1395</v>
      </c>
      <c r="E216" s="319" t="s">
        <v>668</v>
      </c>
      <c r="F216" s="318">
        <v>19724.0</v>
      </c>
      <c r="G216" s="321"/>
      <c r="H216" s="319" t="s">
        <v>6636</v>
      </c>
      <c r="I216" s="318">
        <v>53.0</v>
      </c>
      <c r="J216" s="318">
        <v>10453.72</v>
      </c>
      <c r="K216" s="321"/>
      <c r="L216" s="321"/>
      <c r="M216" s="321"/>
      <c r="N216" s="321"/>
      <c r="O216" s="321"/>
      <c r="P216" s="321"/>
      <c r="Q216" s="31"/>
      <c r="R216" s="31"/>
      <c r="S216" s="31"/>
      <c r="T216" s="31"/>
      <c r="U216" s="31"/>
      <c r="V216" s="31"/>
      <c r="W216" s="31"/>
      <c r="X216" s="31"/>
      <c r="Y216" s="31"/>
    </row>
    <row r="217" ht="15.75" customHeight="1">
      <c r="A217" s="322">
        <v>217.0</v>
      </c>
      <c r="B217" s="323" t="s">
        <v>6987</v>
      </c>
      <c r="C217" s="323" t="s">
        <v>1763</v>
      </c>
      <c r="D217" s="323" t="s">
        <v>21</v>
      </c>
      <c r="E217" s="323" t="s">
        <v>668</v>
      </c>
      <c r="F217" s="322">
        <v>46419.0</v>
      </c>
      <c r="G217" s="322">
        <v>52137.0</v>
      </c>
      <c r="H217" s="323" t="s">
        <v>6639</v>
      </c>
      <c r="I217" s="322">
        <v>19.5</v>
      </c>
      <c r="J217" s="322">
        <v>9051.705</v>
      </c>
      <c r="K217" s="324"/>
      <c r="L217" s="324"/>
      <c r="M217" s="324"/>
      <c r="N217" s="324"/>
      <c r="O217" s="324"/>
      <c r="P217" s="324"/>
      <c r="Q217" s="31"/>
      <c r="R217" s="31"/>
      <c r="S217" s="31"/>
      <c r="T217" s="31"/>
      <c r="U217" s="31"/>
      <c r="V217" s="31"/>
      <c r="W217" s="31"/>
      <c r="X217" s="31"/>
      <c r="Y217" s="31"/>
    </row>
    <row r="218" ht="15.75" customHeight="1">
      <c r="A218" s="318">
        <v>218.0</v>
      </c>
      <c r="B218" s="319" t="s">
        <v>6988</v>
      </c>
      <c r="C218" s="319" t="s">
        <v>6989</v>
      </c>
      <c r="D218" s="319" t="s">
        <v>1395</v>
      </c>
      <c r="E218" s="319" t="s">
        <v>668</v>
      </c>
      <c r="F218" s="318">
        <v>20421.0</v>
      </c>
      <c r="G218" s="321"/>
      <c r="H218" s="319" t="s">
        <v>6636</v>
      </c>
      <c r="I218" s="318">
        <v>53.0</v>
      </c>
      <c r="J218" s="318">
        <v>10823.13</v>
      </c>
      <c r="K218" s="321"/>
      <c r="L218" s="321"/>
      <c r="M218" s="321"/>
      <c r="N218" s="321"/>
      <c r="O218" s="321"/>
      <c r="P218" s="321"/>
      <c r="Q218" s="31"/>
      <c r="R218" s="31"/>
      <c r="S218" s="31"/>
      <c r="T218" s="31"/>
      <c r="U218" s="31"/>
      <c r="V218" s="31"/>
      <c r="W218" s="31"/>
      <c r="X218" s="31"/>
      <c r="Y218" s="31"/>
    </row>
    <row r="219" ht="15.75" customHeight="1">
      <c r="A219" s="318">
        <v>219.0</v>
      </c>
      <c r="B219" s="319" t="s">
        <v>6990</v>
      </c>
      <c r="C219" s="319" t="s">
        <v>6991</v>
      </c>
      <c r="D219" s="319" t="s">
        <v>1759</v>
      </c>
      <c r="E219" s="319" t="s">
        <v>1424</v>
      </c>
      <c r="F219" s="318">
        <v>6842.0</v>
      </c>
      <c r="G219" s="321"/>
      <c r="H219" s="319" t="s">
        <v>6636</v>
      </c>
      <c r="I219" s="318">
        <v>55.0</v>
      </c>
      <c r="J219" s="318">
        <v>3763.1</v>
      </c>
      <c r="K219" s="321"/>
      <c r="L219" s="321"/>
      <c r="M219" s="321"/>
      <c r="N219" s="321"/>
      <c r="O219" s="321"/>
      <c r="P219" s="321"/>
      <c r="Q219" s="31"/>
      <c r="R219" s="31"/>
      <c r="S219" s="31"/>
      <c r="T219" s="31"/>
      <c r="U219" s="31"/>
      <c r="V219" s="31"/>
      <c r="W219" s="31"/>
      <c r="X219" s="31"/>
      <c r="Y219" s="31"/>
    </row>
    <row r="220" ht="15.75" customHeight="1">
      <c r="A220" s="318">
        <v>220.0</v>
      </c>
      <c r="B220" s="319" t="s">
        <v>6992</v>
      </c>
      <c r="C220" s="319" t="s">
        <v>6754</v>
      </c>
      <c r="D220" s="319" t="s">
        <v>1759</v>
      </c>
      <c r="E220" s="319" t="s">
        <v>1424</v>
      </c>
      <c r="F220" s="318">
        <v>6881.0</v>
      </c>
      <c r="G220" s="321"/>
      <c r="H220" s="319" t="s">
        <v>6636</v>
      </c>
      <c r="I220" s="318">
        <v>55.0</v>
      </c>
      <c r="J220" s="318">
        <v>3784.55</v>
      </c>
      <c r="K220" s="321"/>
      <c r="L220" s="321"/>
      <c r="M220" s="321"/>
      <c r="N220" s="321"/>
      <c r="O220" s="321"/>
      <c r="P220" s="321"/>
      <c r="Q220" s="31"/>
      <c r="R220" s="31"/>
      <c r="S220" s="31"/>
      <c r="T220" s="31"/>
      <c r="U220" s="31"/>
      <c r="V220" s="31"/>
      <c r="W220" s="31"/>
      <c r="X220" s="31"/>
      <c r="Y220" s="31"/>
    </row>
    <row r="221" ht="15.75" customHeight="1">
      <c r="A221" s="318">
        <v>221.0</v>
      </c>
      <c r="B221" s="319" t="s">
        <v>6993</v>
      </c>
      <c r="C221" s="319" t="s">
        <v>6994</v>
      </c>
      <c r="D221" s="319" t="s">
        <v>1759</v>
      </c>
      <c r="E221" s="319" t="s">
        <v>1424</v>
      </c>
      <c r="F221" s="318">
        <v>6832.0</v>
      </c>
      <c r="G221" s="321"/>
      <c r="H221" s="319" t="s">
        <v>6636</v>
      </c>
      <c r="I221" s="318">
        <v>55.0</v>
      </c>
      <c r="J221" s="318">
        <v>3757.6</v>
      </c>
      <c r="K221" s="321"/>
      <c r="L221" s="321"/>
      <c r="M221" s="321"/>
      <c r="N221" s="321"/>
      <c r="O221" s="321"/>
      <c r="P221" s="321"/>
      <c r="Q221" s="31"/>
      <c r="R221" s="31"/>
      <c r="S221" s="31"/>
      <c r="T221" s="31"/>
      <c r="U221" s="31"/>
      <c r="V221" s="31"/>
      <c r="W221" s="31"/>
      <c r="X221" s="31"/>
      <c r="Y221" s="31"/>
    </row>
    <row r="222" ht="15.75" customHeight="1">
      <c r="A222" s="318">
        <v>222.0</v>
      </c>
      <c r="B222" s="319" t="s">
        <v>2648</v>
      </c>
      <c r="C222" s="319" t="s">
        <v>6995</v>
      </c>
      <c r="D222" s="319" t="s">
        <v>1395</v>
      </c>
      <c r="E222" s="319" t="s">
        <v>668</v>
      </c>
      <c r="F222" s="318">
        <v>17317.0</v>
      </c>
      <c r="G222" s="321"/>
      <c r="H222" s="319" t="s">
        <v>6636</v>
      </c>
      <c r="I222" s="318">
        <v>53.0</v>
      </c>
      <c r="J222" s="318">
        <v>9178.01</v>
      </c>
      <c r="K222" s="321"/>
      <c r="L222" s="321"/>
      <c r="M222" s="321"/>
      <c r="N222" s="321"/>
      <c r="O222" s="321"/>
      <c r="P222" s="321"/>
      <c r="Q222" s="31"/>
      <c r="R222" s="31"/>
      <c r="S222" s="31"/>
      <c r="T222" s="31"/>
      <c r="U222" s="31"/>
      <c r="V222" s="31"/>
      <c r="W222" s="31"/>
      <c r="X222" s="31"/>
      <c r="Y222" s="31"/>
    </row>
    <row r="223" ht="15.75" customHeight="1">
      <c r="A223" s="318">
        <v>223.0</v>
      </c>
      <c r="B223" s="319" t="s">
        <v>6996</v>
      </c>
      <c r="C223" s="319" t="s">
        <v>6997</v>
      </c>
      <c r="D223" s="319" t="s">
        <v>21</v>
      </c>
      <c r="E223" s="319" t="s">
        <v>668</v>
      </c>
      <c r="F223" s="318">
        <v>48764.0</v>
      </c>
      <c r="G223" s="321"/>
      <c r="H223" s="319" t="s">
        <v>6636</v>
      </c>
      <c r="I223" s="318">
        <v>19.5</v>
      </c>
      <c r="J223" s="318">
        <v>9508.98</v>
      </c>
      <c r="K223" s="321"/>
      <c r="L223" s="321"/>
      <c r="M223" s="321"/>
      <c r="N223" s="321"/>
      <c r="O223" s="321"/>
      <c r="P223" s="321"/>
      <c r="Q223" s="31"/>
      <c r="R223" s="31"/>
      <c r="S223" s="31"/>
      <c r="T223" s="31"/>
      <c r="U223" s="31"/>
      <c r="V223" s="31"/>
      <c r="W223" s="31"/>
      <c r="X223" s="31"/>
      <c r="Y223" s="31"/>
    </row>
    <row r="224" ht="15.75" customHeight="1">
      <c r="A224" s="322">
        <v>224.0</v>
      </c>
      <c r="B224" s="323" t="s">
        <v>6998</v>
      </c>
      <c r="C224" s="323" t="s">
        <v>6999</v>
      </c>
      <c r="D224" s="323" t="s">
        <v>966</v>
      </c>
      <c r="E224" s="323" t="s">
        <v>668</v>
      </c>
      <c r="F224" s="322">
        <v>2154.0</v>
      </c>
      <c r="G224" s="322">
        <v>2542.0</v>
      </c>
      <c r="H224" s="323" t="s">
        <v>6639</v>
      </c>
      <c r="I224" s="322">
        <v>36.0</v>
      </c>
      <c r="J224" s="322">
        <v>775.44</v>
      </c>
      <c r="K224" s="324"/>
      <c r="L224" s="324"/>
      <c r="M224" s="324"/>
      <c r="N224" s="324"/>
      <c r="O224" s="324"/>
      <c r="P224" s="324"/>
      <c r="Q224" s="31"/>
      <c r="R224" s="31"/>
      <c r="S224" s="31"/>
      <c r="T224" s="31"/>
      <c r="U224" s="31"/>
      <c r="V224" s="31"/>
      <c r="W224" s="31"/>
      <c r="X224" s="31"/>
      <c r="Y224" s="31"/>
    </row>
    <row r="225" ht="15.75" customHeight="1">
      <c r="A225" s="322">
        <v>225.0</v>
      </c>
      <c r="B225" s="323" t="s">
        <v>7000</v>
      </c>
      <c r="C225" s="323" t="s">
        <v>7001</v>
      </c>
      <c r="D225" s="323" t="s">
        <v>2749</v>
      </c>
      <c r="E225" s="323" t="s">
        <v>65</v>
      </c>
      <c r="F225" s="322">
        <v>12293.0</v>
      </c>
      <c r="G225" s="322">
        <v>14505.0</v>
      </c>
      <c r="H225" s="323" t="s">
        <v>6639</v>
      </c>
      <c r="I225" s="322">
        <v>33.0</v>
      </c>
      <c r="J225" s="322">
        <v>4056.69</v>
      </c>
      <c r="K225" s="324"/>
      <c r="L225" s="324"/>
      <c r="M225" s="324"/>
      <c r="N225" s="324"/>
      <c r="O225" s="324"/>
      <c r="P225" s="324"/>
      <c r="Q225" s="31"/>
      <c r="R225" s="31"/>
      <c r="S225" s="31"/>
      <c r="T225" s="31"/>
      <c r="U225" s="31"/>
      <c r="V225" s="31"/>
      <c r="W225" s="31"/>
      <c r="X225" s="31"/>
      <c r="Y225" s="31"/>
    </row>
    <row r="226" ht="15.75" customHeight="1">
      <c r="A226" s="322">
        <v>226.0</v>
      </c>
      <c r="B226" s="323" t="s">
        <v>7002</v>
      </c>
      <c r="C226" s="323" t="s">
        <v>7003</v>
      </c>
      <c r="D226" s="323" t="s">
        <v>21</v>
      </c>
      <c r="E226" s="323" t="s">
        <v>668</v>
      </c>
      <c r="F226" s="322">
        <v>50797.0</v>
      </c>
      <c r="G226" s="322">
        <v>57303.0</v>
      </c>
      <c r="H226" s="323" t="s">
        <v>6639</v>
      </c>
      <c r="I226" s="322">
        <v>19.5</v>
      </c>
      <c r="J226" s="322">
        <v>9905.415</v>
      </c>
      <c r="K226" s="324"/>
      <c r="L226" s="324"/>
      <c r="M226" s="324"/>
      <c r="N226" s="324"/>
      <c r="O226" s="324"/>
      <c r="P226" s="324"/>
      <c r="Q226" s="31"/>
      <c r="R226" s="31"/>
      <c r="S226" s="31"/>
      <c r="T226" s="31"/>
      <c r="U226" s="31"/>
      <c r="V226" s="31"/>
      <c r="W226" s="31"/>
      <c r="X226" s="31"/>
      <c r="Y226" s="31"/>
    </row>
    <row r="227" ht="15.75" customHeight="1">
      <c r="A227" s="318">
        <v>227.0</v>
      </c>
      <c r="B227" s="319" t="s">
        <v>7004</v>
      </c>
      <c r="C227" s="319" t="s">
        <v>7005</v>
      </c>
      <c r="D227" s="319" t="s">
        <v>1759</v>
      </c>
      <c r="E227" s="319" t="s">
        <v>1424</v>
      </c>
      <c r="F227" s="318">
        <v>7036.0</v>
      </c>
      <c r="G227" s="321"/>
      <c r="H227" s="319" t="s">
        <v>6636</v>
      </c>
      <c r="I227" s="318">
        <v>55.0</v>
      </c>
      <c r="J227" s="318">
        <v>3869.8</v>
      </c>
      <c r="K227" s="321"/>
      <c r="L227" s="321"/>
      <c r="M227" s="321"/>
      <c r="N227" s="321"/>
      <c r="O227" s="321"/>
      <c r="P227" s="321"/>
      <c r="Q227" s="31"/>
      <c r="R227" s="31"/>
      <c r="S227" s="31"/>
      <c r="T227" s="31"/>
      <c r="U227" s="31"/>
      <c r="V227" s="31"/>
      <c r="W227" s="31"/>
      <c r="X227" s="31"/>
      <c r="Y227" s="31"/>
    </row>
    <row r="228" ht="15.75" customHeight="1">
      <c r="A228" s="322">
        <v>228.0</v>
      </c>
      <c r="B228" s="323" t="s">
        <v>7006</v>
      </c>
      <c r="C228" s="323" t="s">
        <v>7007</v>
      </c>
      <c r="D228" s="323" t="s">
        <v>1395</v>
      </c>
      <c r="E228" s="323" t="s">
        <v>668</v>
      </c>
      <c r="F228" s="322">
        <v>17417.0</v>
      </c>
      <c r="G228" s="322">
        <v>19589.0</v>
      </c>
      <c r="H228" s="323" t="s">
        <v>6639</v>
      </c>
      <c r="I228" s="322">
        <v>53.0</v>
      </c>
      <c r="J228" s="322">
        <v>9231.01</v>
      </c>
      <c r="K228" s="324"/>
      <c r="L228" s="324"/>
      <c r="M228" s="324"/>
      <c r="N228" s="324"/>
      <c r="O228" s="324"/>
      <c r="P228" s="324"/>
      <c r="Q228" s="31"/>
      <c r="R228" s="31"/>
      <c r="S228" s="31"/>
      <c r="T228" s="31"/>
      <c r="U228" s="31"/>
      <c r="V228" s="31"/>
      <c r="W228" s="31"/>
      <c r="X228" s="31"/>
      <c r="Y228" s="31"/>
    </row>
    <row r="229" ht="15.75" customHeight="1">
      <c r="A229" s="318">
        <v>229.0</v>
      </c>
      <c r="B229" s="319" t="s">
        <v>7008</v>
      </c>
      <c r="C229" s="319" t="s">
        <v>7009</v>
      </c>
      <c r="D229" s="319" t="s">
        <v>1395</v>
      </c>
      <c r="E229" s="319" t="s">
        <v>668</v>
      </c>
      <c r="F229" s="318">
        <v>19948.0</v>
      </c>
      <c r="G229" s="321"/>
      <c r="H229" s="319" t="s">
        <v>6636</v>
      </c>
      <c r="I229" s="318">
        <v>53.0</v>
      </c>
      <c r="J229" s="318">
        <v>10572.44</v>
      </c>
      <c r="K229" s="321"/>
      <c r="L229" s="321"/>
      <c r="M229" s="321"/>
      <c r="N229" s="321"/>
      <c r="O229" s="321"/>
      <c r="P229" s="321"/>
      <c r="Q229" s="31"/>
      <c r="R229" s="31"/>
      <c r="S229" s="31"/>
      <c r="T229" s="31"/>
      <c r="U229" s="31"/>
      <c r="V229" s="31"/>
      <c r="W229" s="31"/>
      <c r="X229" s="31"/>
      <c r="Y229" s="31"/>
    </row>
    <row r="230" ht="15.75" customHeight="1">
      <c r="A230" s="318">
        <v>230.0</v>
      </c>
      <c r="B230" s="319" t="s">
        <v>7010</v>
      </c>
      <c r="C230" s="319" t="s">
        <v>6902</v>
      </c>
      <c r="D230" s="319" t="s">
        <v>1759</v>
      </c>
      <c r="E230" s="319" t="s">
        <v>1424</v>
      </c>
      <c r="F230" s="318">
        <v>6913.0</v>
      </c>
      <c r="G230" s="321"/>
      <c r="H230" s="319" t="s">
        <v>6636</v>
      </c>
      <c r="I230" s="318">
        <v>55.0</v>
      </c>
      <c r="J230" s="318">
        <v>3802.15</v>
      </c>
      <c r="K230" s="321"/>
      <c r="L230" s="321"/>
      <c r="M230" s="321"/>
      <c r="N230" s="321"/>
      <c r="O230" s="321"/>
      <c r="P230" s="321"/>
      <c r="Q230" s="31"/>
      <c r="R230" s="31"/>
      <c r="S230" s="31"/>
      <c r="T230" s="31"/>
      <c r="U230" s="31"/>
      <c r="V230" s="31"/>
      <c r="W230" s="31"/>
      <c r="X230" s="31"/>
      <c r="Y230" s="31"/>
    </row>
    <row r="231" ht="15.75" customHeight="1">
      <c r="A231" s="322">
        <v>231.0</v>
      </c>
      <c r="B231" s="323" t="s">
        <v>7011</v>
      </c>
      <c r="C231" s="323" t="s">
        <v>7012</v>
      </c>
      <c r="D231" s="323" t="s">
        <v>1395</v>
      </c>
      <c r="E231" s="323" t="s">
        <v>668</v>
      </c>
      <c r="F231" s="322">
        <v>17982.0</v>
      </c>
      <c r="G231" s="322">
        <v>20256.0</v>
      </c>
      <c r="H231" s="323" t="s">
        <v>6639</v>
      </c>
      <c r="I231" s="322">
        <v>53.0</v>
      </c>
      <c r="J231" s="322">
        <v>9530.46</v>
      </c>
      <c r="K231" s="324"/>
      <c r="L231" s="324"/>
      <c r="M231" s="324"/>
      <c r="N231" s="324"/>
      <c r="O231" s="324"/>
      <c r="P231" s="324"/>
      <c r="Q231" s="31"/>
      <c r="R231" s="31"/>
      <c r="S231" s="31"/>
      <c r="T231" s="31"/>
      <c r="U231" s="31"/>
      <c r="V231" s="31"/>
      <c r="W231" s="31"/>
      <c r="X231" s="31"/>
      <c r="Y231" s="31"/>
    </row>
    <row r="232" ht="15.75" customHeight="1">
      <c r="A232" s="318">
        <v>232.0</v>
      </c>
      <c r="B232" s="319" t="s">
        <v>7013</v>
      </c>
      <c r="C232" s="319" t="s">
        <v>7014</v>
      </c>
      <c r="D232" s="319" t="s">
        <v>1395</v>
      </c>
      <c r="E232" s="319" t="s">
        <v>668</v>
      </c>
      <c r="F232" s="318">
        <v>17579.0</v>
      </c>
      <c r="G232" s="321"/>
      <c r="H232" s="319" t="s">
        <v>6636</v>
      </c>
      <c r="I232" s="318">
        <v>53.0</v>
      </c>
      <c r="J232" s="318">
        <v>9316.87</v>
      </c>
      <c r="K232" s="321"/>
      <c r="L232" s="321"/>
      <c r="M232" s="321"/>
      <c r="N232" s="321"/>
      <c r="O232" s="321"/>
      <c r="P232" s="321"/>
      <c r="Q232" s="31"/>
      <c r="R232" s="31"/>
      <c r="S232" s="31"/>
      <c r="T232" s="31"/>
      <c r="U232" s="31"/>
      <c r="V232" s="31"/>
      <c r="W232" s="31"/>
      <c r="X232" s="31"/>
      <c r="Y232" s="31"/>
    </row>
    <row r="233" ht="15.75" customHeight="1">
      <c r="A233" s="318">
        <v>233.0</v>
      </c>
      <c r="B233" s="319" t="s">
        <v>7015</v>
      </c>
      <c r="C233" s="319" t="s">
        <v>7009</v>
      </c>
      <c r="D233" s="319" t="s">
        <v>1395</v>
      </c>
      <c r="E233" s="319" t="s">
        <v>668</v>
      </c>
      <c r="F233" s="318">
        <v>19948.0</v>
      </c>
      <c r="G233" s="321"/>
      <c r="H233" s="319" t="s">
        <v>6636</v>
      </c>
      <c r="I233" s="318">
        <v>53.0</v>
      </c>
      <c r="J233" s="318">
        <v>10572.44</v>
      </c>
      <c r="K233" s="321"/>
      <c r="L233" s="321"/>
      <c r="M233" s="321"/>
      <c r="N233" s="321"/>
      <c r="O233" s="321"/>
      <c r="P233" s="321"/>
      <c r="Q233" s="31"/>
      <c r="R233" s="31"/>
      <c r="S233" s="31"/>
      <c r="T233" s="31"/>
      <c r="U233" s="31"/>
      <c r="V233" s="31"/>
      <c r="W233" s="31"/>
      <c r="X233" s="31"/>
      <c r="Y233" s="31"/>
    </row>
    <row r="234" ht="15.75" customHeight="1">
      <c r="A234" s="318">
        <v>234.0</v>
      </c>
      <c r="B234" s="319" t="s">
        <v>7016</v>
      </c>
      <c r="C234" s="319" t="s">
        <v>7017</v>
      </c>
      <c r="D234" s="319" t="s">
        <v>1759</v>
      </c>
      <c r="E234" s="319" t="s">
        <v>1424</v>
      </c>
      <c r="F234" s="318">
        <v>6800.0</v>
      </c>
      <c r="G234" s="321"/>
      <c r="H234" s="319" t="s">
        <v>6636</v>
      </c>
      <c r="I234" s="318">
        <v>55.0</v>
      </c>
      <c r="J234" s="318">
        <v>3740.0</v>
      </c>
      <c r="K234" s="321"/>
      <c r="L234" s="321"/>
      <c r="M234" s="321"/>
      <c r="N234" s="321"/>
      <c r="O234" s="321"/>
      <c r="P234" s="321"/>
      <c r="Q234" s="31"/>
      <c r="R234" s="31"/>
      <c r="S234" s="31"/>
      <c r="T234" s="31"/>
      <c r="U234" s="31"/>
      <c r="V234" s="31"/>
      <c r="W234" s="31"/>
      <c r="X234" s="31"/>
      <c r="Y234" s="31"/>
    </row>
    <row r="235" ht="15.75" customHeight="1">
      <c r="A235" s="322">
        <v>235.0</v>
      </c>
      <c r="B235" s="323" t="s">
        <v>7018</v>
      </c>
      <c r="C235" s="323" t="s">
        <v>2144</v>
      </c>
      <c r="D235" s="323" t="s">
        <v>1759</v>
      </c>
      <c r="E235" s="323" t="s">
        <v>1424</v>
      </c>
      <c r="F235" s="322">
        <v>7134.0</v>
      </c>
      <c r="G235" s="322">
        <v>8418.0</v>
      </c>
      <c r="H235" s="323" t="s">
        <v>6639</v>
      </c>
      <c r="I235" s="322">
        <v>55.0</v>
      </c>
      <c r="J235" s="322">
        <v>3923.7</v>
      </c>
      <c r="K235" s="324"/>
      <c r="L235" s="324"/>
      <c r="M235" s="324"/>
      <c r="N235" s="324"/>
      <c r="O235" s="324"/>
      <c r="P235" s="324"/>
      <c r="Q235" s="31"/>
      <c r="R235" s="31"/>
      <c r="S235" s="31"/>
      <c r="T235" s="31"/>
      <c r="U235" s="31"/>
      <c r="V235" s="31"/>
      <c r="W235" s="31"/>
      <c r="X235" s="31"/>
      <c r="Y235" s="31"/>
    </row>
    <row r="236" ht="15.75" customHeight="1">
      <c r="A236" s="322">
        <v>236.0</v>
      </c>
      <c r="B236" s="323" t="s">
        <v>2780</v>
      </c>
      <c r="C236" s="323" t="s">
        <v>6828</v>
      </c>
      <c r="D236" s="323" t="s">
        <v>21</v>
      </c>
      <c r="E236" s="323" t="s">
        <v>668</v>
      </c>
      <c r="F236" s="322">
        <v>46867.0</v>
      </c>
      <c r="G236" s="322">
        <v>52667.0</v>
      </c>
      <c r="H236" s="323" t="s">
        <v>6639</v>
      </c>
      <c r="I236" s="322">
        <v>19.5</v>
      </c>
      <c r="J236" s="322">
        <v>9139.065</v>
      </c>
      <c r="K236" s="324"/>
      <c r="L236" s="324"/>
      <c r="M236" s="324"/>
      <c r="N236" s="324"/>
      <c r="O236" s="324"/>
      <c r="P236" s="324"/>
      <c r="Q236" s="31"/>
      <c r="R236" s="31"/>
      <c r="S236" s="31"/>
      <c r="T236" s="31"/>
      <c r="U236" s="31"/>
      <c r="V236" s="31"/>
      <c r="W236" s="31"/>
      <c r="X236" s="31"/>
      <c r="Y236" s="31"/>
    </row>
    <row r="237" ht="15.75" customHeight="1">
      <c r="A237" s="318">
        <v>237.0</v>
      </c>
      <c r="B237" s="319" t="s">
        <v>7019</v>
      </c>
      <c r="C237" s="319" t="s">
        <v>7020</v>
      </c>
      <c r="D237" s="319" t="s">
        <v>2749</v>
      </c>
      <c r="E237" s="319" t="s">
        <v>65</v>
      </c>
      <c r="F237" s="318">
        <v>12293.0</v>
      </c>
      <c r="G237" s="321"/>
      <c r="H237" s="319" t="s">
        <v>6636</v>
      </c>
      <c r="I237" s="318">
        <v>33.0</v>
      </c>
      <c r="J237" s="318">
        <v>4056.69</v>
      </c>
      <c r="K237" s="321"/>
      <c r="L237" s="321"/>
      <c r="M237" s="321"/>
      <c r="N237" s="321"/>
      <c r="O237" s="321"/>
      <c r="P237" s="321"/>
      <c r="Q237" s="31"/>
      <c r="R237" s="31"/>
      <c r="S237" s="31"/>
      <c r="T237" s="31"/>
      <c r="U237" s="31"/>
      <c r="V237" s="31"/>
      <c r="W237" s="31"/>
      <c r="X237" s="31"/>
      <c r="Y237" s="31"/>
    </row>
    <row r="238" ht="15.75" customHeight="1">
      <c r="A238" s="322">
        <v>238.0</v>
      </c>
      <c r="B238" s="323" t="s">
        <v>7021</v>
      </c>
      <c r="C238" s="323" t="s">
        <v>7022</v>
      </c>
      <c r="D238" s="323" t="s">
        <v>966</v>
      </c>
      <c r="E238" s="323" t="s">
        <v>668</v>
      </c>
      <c r="F238" s="322">
        <v>7897.0</v>
      </c>
      <c r="G238" s="322">
        <v>9319.0</v>
      </c>
      <c r="H238" s="323" t="s">
        <v>6639</v>
      </c>
      <c r="I238" s="322">
        <v>36.0</v>
      </c>
      <c r="J238" s="322">
        <v>2842.92</v>
      </c>
      <c r="K238" s="324"/>
      <c r="L238" s="324"/>
      <c r="M238" s="324"/>
      <c r="N238" s="324"/>
      <c r="O238" s="324"/>
      <c r="P238" s="324"/>
      <c r="Q238" s="31"/>
      <c r="R238" s="31"/>
      <c r="S238" s="31"/>
      <c r="T238" s="31"/>
      <c r="U238" s="31"/>
      <c r="V238" s="31"/>
      <c r="W238" s="31"/>
      <c r="X238" s="31"/>
      <c r="Y238" s="31"/>
    </row>
    <row r="239" ht="15.75" customHeight="1">
      <c r="A239" s="322">
        <v>239.0</v>
      </c>
      <c r="B239" s="323" t="s">
        <v>7023</v>
      </c>
      <c r="C239" s="323" t="s">
        <v>7024</v>
      </c>
      <c r="D239" s="323" t="s">
        <v>21</v>
      </c>
      <c r="E239" s="323" t="s">
        <v>668</v>
      </c>
      <c r="F239" s="322">
        <v>48077.0</v>
      </c>
      <c r="G239" s="322">
        <v>54093.0</v>
      </c>
      <c r="H239" s="323" t="s">
        <v>6639</v>
      </c>
      <c r="I239" s="322">
        <v>19.5</v>
      </c>
      <c r="J239" s="322">
        <v>9375.015</v>
      </c>
      <c r="K239" s="324"/>
      <c r="L239" s="324"/>
      <c r="M239" s="324"/>
      <c r="N239" s="324"/>
      <c r="O239" s="324"/>
      <c r="P239" s="324"/>
      <c r="Q239" s="31"/>
      <c r="R239" s="31"/>
      <c r="S239" s="31"/>
      <c r="T239" s="31"/>
      <c r="U239" s="31"/>
      <c r="V239" s="31"/>
      <c r="W239" s="31"/>
      <c r="X239" s="31"/>
      <c r="Y239" s="31"/>
    </row>
    <row r="240" ht="15.75" customHeight="1">
      <c r="A240" s="318">
        <v>240.0</v>
      </c>
      <c r="B240" s="319" t="s">
        <v>7025</v>
      </c>
      <c r="C240" s="319" t="s">
        <v>7026</v>
      </c>
      <c r="D240" s="319" t="s">
        <v>1759</v>
      </c>
      <c r="E240" s="319" t="s">
        <v>1424</v>
      </c>
      <c r="F240" s="318">
        <v>6871.0</v>
      </c>
      <c r="G240" s="321"/>
      <c r="H240" s="319" t="s">
        <v>6636</v>
      </c>
      <c r="I240" s="318">
        <v>55.0</v>
      </c>
      <c r="J240" s="318">
        <v>3779.05</v>
      </c>
      <c r="K240" s="321"/>
      <c r="L240" s="321"/>
      <c r="M240" s="321"/>
      <c r="N240" s="321"/>
      <c r="O240" s="321"/>
      <c r="P240" s="321"/>
      <c r="Q240" s="31"/>
      <c r="R240" s="31"/>
      <c r="S240" s="31"/>
      <c r="T240" s="31"/>
      <c r="U240" s="31"/>
      <c r="V240" s="31"/>
      <c r="W240" s="31"/>
      <c r="X240" s="31"/>
      <c r="Y240" s="31"/>
    </row>
    <row r="241" ht="15.75" customHeight="1">
      <c r="A241" s="318">
        <v>241.0</v>
      </c>
      <c r="B241" s="319" t="s">
        <v>7027</v>
      </c>
      <c r="C241" s="319" t="s">
        <v>6917</v>
      </c>
      <c r="D241" s="319" t="s">
        <v>1759</v>
      </c>
      <c r="E241" s="319" t="s">
        <v>1424</v>
      </c>
      <c r="F241" s="318">
        <v>6771.0</v>
      </c>
      <c r="G241" s="321"/>
      <c r="H241" s="319" t="s">
        <v>6636</v>
      </c>
      <c r="I241" s="318">
        <v>55.0</v>
      </c>
      <c r="J241" s="318">
        <v>3724.05</v>
      </c>
      <c r="K241" s="321"/>
      <c r="L241" s="321"/>
      <c r="M241" s="321"/>
      <c r="N241" s="321"/>
      <c r="O241" s="321"/>
      <c r="P241" s="321"/>
      <c r="Q241" s="31"/>
      <c r="R241" s="31"/>
      <c r="S241" s="31"/>
      <c r="T241" s="31"/>
      <c r="U241" s="31"/>
      <c r="V241" s="31"/>
      <c r="W241" s="31"/>
      <c r="X241" s="31"/>
      <c r="Y241" s="31"/>
    </row>
    <row r="242" ht="15.75" customHeight="1">
      <c r="A242" s="318">
        <v>242.0</v>
      </c>
      <c r="B242" s="319" t="s">
        <v>7028</v>
      </c>
      <c r="C242" s="319" t="s">
        <v>7029</v>
      </c>
      <c r="D242" s="319" t="s">
        <v>1759</v>
      </c>
      <c r="E242" s="319" t="s">
        <v>1424</v>
      </c>
      <c r="F242" s="318">
        <v>6770.0</v>
      </c>
      <c r="G242" s="321"/>
      <c r="H242" s="319" t="s">
        <v>6636</v>
      </c>
      <c r="I242" s="318">
        <v>55.0</v>
      </c>
      <c r="J242" s="318">
        <v>3723.5</v>
      </c>
      <c r="K242" s="321"/>
      <c r="L242" s="321"/>
      <c r="M242" s="321"/>
      <c r="N242" s="321"/>
      <c r="O242" s="321"/>
      <c r="P242" s="321"/>
      <c r="Q242" s="31"/>
      <c r="R242" s="31"/>
      <c r="S242" s="31"/>
      <c r="T242" s="31"/>
      <c r="U242" s="31"/>
      <c r="V242" s="31"/>
      <c r="W242" s="31"/>
      <c r="X242" s="31"/>
      <c r="Y242" s="31"/>
    </row>
    <row r="243" ht="15.75" customHeight="1">
      <c r="A243" s="322">
        <v>243.0</v>
      </c>
      <c r="B243" s="323" t="s">
        <v>7030</v>
      </c>
      <c r="C243" s="323" t="s">
        <v>7031</v>
      </c>
      <c r="D243" s="323" t="s">
        <v>1395</v>
      </c>
      <c r="E243" s="323" t="s">
        <v>668</v>
      </c>
      <c r="F243" s="322">
        <v>18394.0</v>
      </c>
      <c r="G243" s="322">
        <v>20742.0</v>
      </c>
      <c r="H243" s="323" t="s">
        <v>6639</v>
      </c>
      <c r="I243" s="322">
        <v>53.0</v>
      </c>
      <c r="J243" s="322">
        <v>9748.82</v>
      </c>
      <c r="K243" s="324"/>
      <c r="L243" s="324"/>
      <c r="M243" s="324"/>
      <c r="N243" s="324"/>
      <c r="O243" s="324"/>
      <c r="P243" s="324"/>
      <c r="Q243" s="31"/>
      <c r="R243" s="31"/>
      <c r="S243" s="31"/>
      <c r="T243" s="31"/>
      <c r="U243" s="31"/>
      <c r="V243" s="31"/>
      <c r="W243" s="31"/>
      <c r="X243" s="31"/>
      <c r="Y243" s="31"/>
    </row>
    <row r="244" ht="15.75" customHeight="1">
      <c r="A244" s="318">
        <v>244.0</v>
      </c>
      <c r="B244" s="319" t="s">
        <v>7032</v>
      </c>
      <c r="C244" s="319" t="s">
        <v>1763</v>
      </c>
      <c r="D244" s="319" t="s">
        <v>1759</v>
      </c>
      <c r="E244" s="319" t="s">
        <v>1424</v>
      </c>
      <c r="F244" s="318">
        <v>6459.0</v>
      </c>
      <c r="G244" s="321"/>
      <c r="H244" s="319" t="s">
        <v>6636</v>
      </c>
      <c r="I244" s="318">
        <v>55.0</v>
      </c>
      <c r="J244" s="318">
        <v>3552.45</v>
      </c>
      <c r="K244" s="321"/>
      <c r="L244" s="321"/>
      <c r="M244" s="321"/>
      <c r="N244" s="321"/>
      <c r="O244" s="321"/>
      <c r="P244" s="321"/>
      <c r="Q244" s="31"/>
      <c r="R244" s="31"/>
      <c r="S244" s="31"/>
      <c r="T244" s="31"/>
      <c r="U244" s="31"/>
      <c r="V244" s="31"/>
      <c r="W244" s="31"/>
      <c r="X244" s="31"/>
      <c r="Y244" s="31"/>
    </row>
    <row r="245" ht="15.75" customHeight="1">
      <c r="A245" s="318">
        <v>245.0</v>
      </c>
      <c r="B245" s="319" t="s">
        <v>7033</v>
      </c>
      <c r="C245" s="319" t="s">
        <v>7034</v>
      </c>
      <c r="D245" s="319" t="s">
        <v>1759</v>
      </c>
      <c r="E245" s="319" t="s">
        <v>1424</v>
      </c>
      <c r="F245" s="318">
        <v>6787.0</v>
      </c>
      <c r="G245" s="321"/>
      <c r="H245" s="319" t="s">
        <v>6636</v>
      </c>
      <c r="I245" s="318">
        <v>55.0</v>
      </c>
      <c r="J245" s="318">
        <v>3732.85</v>
      </c>
      <c r="K245" s="321"/>
      <c r="L245" s="321"/>
      <c r="M245" s="321"/>
      <c r="N245" s="321"/>
      <c r="O245" s="321"/>
      <c r="P245" s="321"/>
      <c r="Q245" s="31"/>
      <c r="R245" s="31"/>
      <c r="S245" s="31"/>
      <c r="T245" s="31"/>
      <c r="U245" s="31"/>
      <c r="V245" s="31"/>
      <c r="W245" s="31"/>
      <c r="X245" s="31"/>
      <c r="Y245" s="31"/>
    </row>
    <row r="246" ht="15.75" customHeight="1">
      <c r="A246" s="318">
        <v>246.0</v>
      </c>
      <c r="B246" s="319" t="s">
        <v>7035</v>
      </c>
      <c r="C246" s="319" t="s">
        <v>7036</v>
      </c>
      <c r="D246" s="319" t="s">
        <v>1759</v>
      </c>
      <c r="E246" s="319" t="s">
        <v>1424</v>
      </c>
      <c r="F246" s="318">
        <v>6452.0</v>
      </c>
      <c r="G246" s="321"/>
      <c r="H246" s="319" t="s">
        <v>6636</v>
      </c>
      <c r="I246" s="318">
        <v>55.0</v>
      </c>
      <c r="J246" s="318">
        <v>3548.6</v>
      </c>
      <c r="K246" s="321"/>
      <c r="L246" s="321"/>
      <c r="M246" s="321"/>
      <c r="N246" s="321"/>
      <c r="O246" s="321"/>
      <c r="P246" s="321"/>
      <c r="Q246" s="31"/>
      <c r="R246" s="31"/>
      <c r="S246" s="31"/>
      <c r="T246" s="31"/>
      <c r="U246" s="31"/>
      <c r="V246" s="31"/>
      <c r="W246" s="31"/>
      <c r="X246" s="31"/>
      <c r="Y246" s="31"/>
    </row>
    <row r="247" ht="15.75" customHeight="1">
      <c r="A247" s="318">
        <v>247.0</v>
      </c>
      <c r="B247" s="319" t="s">
        <v>7037</v>
      </c>
      <c r="C247" s="319" t="s">
        <v>7038</v>
      </c>
      <c r="D247" s="319" t="s">
        <v>21</v>
      </c>
      <c r="E247" s="319" t="s">
        <v>668</v>
      </c>
      <c r="F247" s="318">
        <v>40002.0</v>
      </c>
      <c r="G247" s="321"/>
      <c r="H247" s="319" t="s">
        <v>6636</v>
      </c>
      <c r="I247" s="318">
        <v>19.5</v>
      </c>
      <c r="J247" s="318">
        <v>7800.39</v>
      </c>
      <c r="K247" s="321"/>
      <c r="L247" s="321"/>
      <c r="M247" s="321"/>
      <c r="N247" s="321"/>
      <c r="O247" s="321"/>
      <c r="P247" s="321"/>
      <c r="Q247" s="31"/>
      <c r="R247" s="31"/>
      <c r="S247" s="31"/>
      <c r="T247" s="31"/>
      <c r="U247" s="31"/>
      <c r="V247" s="31"/>
      <c r="W247" s="31"/>
      <c r="X247" s="31"/>
      <c r="Y247" s="31"/>
    </row>
    <row r="248" ht="15.75" customHeight="1">
      <c r="A248" s="318">
        <v>248.0</v>
      </c>
      <c r="B248" s="319" t="s">
        <v>7039</v>
      </c>
      <c r="C248" s="319" t="s">
        <v>7040</v>
      </c>
      <c r="D248" s="319" t="s">
        <v>21</v>
      </c>
      <c r="E248" s="319" t="s">
        <v>4916</v>
      </c>
      <c r="F248" s="318">
        <v>47838.0</v>
      </c>
      <c r="G248" s="321"/>
      <c r="H248" s="319" t="s">
        <v>6636</v>
      </c>
      <c r="I248" s="318">
        <v>14.0</v>
      </c>
      <c r="J248" s="318">
        <v>6697.32</v>
      </c>
      <c r="K248" s="321"/>
      <c r="L248" s="321"/>
      <c r="M248" s="321"/>
      <c r="N248" s="321"/>
      <c r="O248" s="321"/>
      <c r="P248" s="321"/>
      <c r="Q248" s="31"/>
      <c r="R248" s="31"/>
      <c r="S248" s="31"/>
      <c r="T248" s="31"/>
      <c r="U248" s="31"/>
      <c r="V248" s="31"/>
      <c r="W248" s="31"/>
      <c r="X248" s="31"/>
      <c r="Y248" s="31"/>
    </row>
    <row r="249" ht="15.75" customHeight="1">
      <c r="A249" s="322">
        <v>249.0</v>
      </c>
      <c r="B249" s="323" t="s">
        <v>7041</v>
      </c>
      <c r="C249" s="323" t="s">
        <v>7042</v>
      </c>
      <c r="D249" s="323" t="s">
        <v>1395</v>
      </c>
      <c r="E249" s="323" t="s">
        <v>668</v>
      </c>
      <c r="F249" s="322">
        <v>19517.0</v>
      </c>
      <c r="G249" s="322">
        <v>22067.0</v>
      </c>
      <c r="H249" s="323" t="s">
        <v>6639</v>
      </c>
      <c r="I249" s="322">
        <v>53.0</v>
      </c>
      <c r="J249" s="322">
        <v>10344.01</v>
      </c>
      <c r="K249" s="324"/>
      <c r="L249" s="324"/>
      <c r="M249" s="324"/>
      <c r="N249" s="324"/>
      <c r="O249" s="324"/>
      <c r="P249" s="324"/>
      <c r="Q249" s="31"/>
      <c r="R249" s="31"/>
      <c r="S249" s="31"/>
      <c r="T249" s="31"/>
      <c r="U249" s="31"/>
      <c r="V249" s="31"/>
      <c r="W249" s="31"/>
      <c r="X249" s="31"/>
      <c r="Y249" s="31"/>
    </row>
    <row r="250" ht="15.75" customHeight="1">
      <c r="A250" s="322">
        <v>250.0</v>
      </c>
      <c r="B250" s="323" t="s">
        <v>2819</v>
      </c>
      <c r="C250" s="323" t="s">
        <v>7043</v>
      </c>
      <c r="D250" s="323" t="s">
        <v>1395</v>
      </c>
      <c r="E250" s="323" t="s">
        <v>668</v>
      </c>
      <c r="F250" s="322">
        <v>20268.0</v>
      </c>
      <c r="G250" s="322">
        <v>22954.0</v>
      </c>
      <c r="H250" s="323" t="s">
        <v>6639</v>
      </c>
      <c r="I250" s="322">
        <v>53.0</v>
      </c>
      <c r="J250" s="322">
        <v>10742.04</v>
      </c>
      <c r="K250" s="324"/>
      <c r="L250" s="324"/>
      <c r="M250" s="324"/>
      <c r="N250" s="324"/>
      <c r="O250" s="324"/>
      <c r="P250" s="324"/>
      <c r="Q250" s="31"/>
      <c r="R250" s="31"/>
      <c r="S250" s="31"/>
      <c r="T250" s="31"/>
      <c r="U250" s="31"/>
      <c r="V250" s="31"/>
      <c r="W250" s="31"/>
      <c r="X250" s="31"/>
      <c r="Y250" s="31"/>
    </row>
    <row r="251" ht="15.75" customHeight="1">
      <c r="A251" s="318">
        <v>251.0</v>
      </c>
      <c r="B251" s="319" t="s">
        <v>7044</v>
      </c>
      <c r="C251" s="319" t="s">
        <v>6844</v>
      </c>
      <c r="D251" s="319" t="s">
        <v>1759</v>
      </c>
      <c r="E251" s="319" t="s">
        <v>1424</v>
      </c>
      <c r="F251" s="318">
        <v>6459.0</v>
      </c>
      <c r="G251" s="321"/>
      <c r="H251" s="319" t="s">
        <v>6636</v>
      </c>
      <c r="I251" s="318">
        <v>55.0</v>
      </c>
      <c r="J251" s="318">
        <v>3552.45</v>
      </c>
      <c r="K251" s="321"/>
      <c r="L251" s="321"/>
      <c r="M251" s="321"/>
      <c r="N251" s="321"/>
      <c r="O251" s="321"/>
      <c r="P251" s="321"/>
      <c r="Q251" s="31"/>
      <c r="R251" s="31"/>
      <c r="S251" s="31"/>
      <c r="T251" s="31"/>
      <c r="U251" s="31"/>
      <c r="V251" s="31"/>
      <c r="W251" s="31"/>
      <c r="X251" s="31"/>
      <c r="Y251" s="31"/>
    </row>
    <row r="252" ht="15.75" customHeight="1">
      <c r="A252" s="318">
        <v>252.0</v>
      </c>
      <c r="B252" s="319" t="s">
        <v>7045</v>
      </c>
      <c r="C252" s="319" t="s">
        <v>7046</v>
      </c>
      <c r="D252" s="319" t="s">
        <v>1395</v>
      </c>
      <c r="E252" s="319" t="s">
        <v>668</v>
      </c>
      <c r="F252" s="318">
        <v>20140.0</v>
      </c>
      <c r="G252" s="321"/>
      <c r="H252" s="319" t="s">
        <v>6636</v>
      </c>
      <c r="I252" s="318">
        <v>53.0</v>
      </c>
      <c r="J252" s="318">
        <v>10674.2</v>
      </c>
      <c r="K252" s="321"/>
      <c r="L252" s="321"/>
      <c r="M252" s="321"/>
      <c r="N252" s="321"/>
      <c r="O252" s="321"/>
      <c r="P252" s="321"/>
      <c r="Q252" s="31"/>
      <c r="R252" s="31"/>
      <c r="S252" s="31"/>
      <c r="T252" s="31"/>
      <c r="U252" s="31"/>
      <c r="V252" s="31"/>
      <c r="W252" s="31"/>
      <c r="X252" s="31"/>
      <c r="Y252" s="31"/>
    </row>
    <row r="253" ht="15.75" customHeight="1">
      <c r="A253" s="322">
        <v>253.0</v>
      </c>
      <c r="B253" s="323" t="s">
        <v>7047</v>
      </c>
      <c r="C253" s="323" t="s">
        <v>7048</v>
      </c>
      <c r="D253" s="323" t="s">
        <v>1395</v>
      </c>
      <c r="E253" s="323" t="s">
        <v>668</v>
      </c>
      <c r="F253" s="322">
        <v>16881.0</v>
      </c>
      <c r="G253" s="322">
        <v>18957.0</v>
      </c>
      <c r="H253" s="323" t="s">
        <v>6639</v>
      </c>
      <c r="I253" s="322">
        <v>53.0</v>
      </c>
      <c r="J253" s="322">
        <v>8946.93</v>
      </c>
      <c r="K253" s="324"/>
      <c r="L253" s="324"/>
      <c r="M253" s="324"/>
      <c r="N253" s="324"/>
      <c r="O253" s="324"/>
      <c r="P253" s="324"/>
      <c r="Q253" s="31"/>
      <c r="R253" s="31"/>
      <c r="S253" s="31"/>
      <c r="T253" s="31"/>
      <c r="U253" s="31"/>
      <c r="V253" s="31"/>
      <c r="W253" s="31"/>
      <c r="X253" s="31"/>
      <c r="Y253" s="31"/>
    </row>
    <row r="254" ht="15.75" customHeight="1">
      <c r="A254" s="318">
        <v>254.0</v>
      </c>
      <c r="B254" s="319" t="s">
        <v>7049</v>
      </c>
      <c r="C254" s="319" t="s">
        <v>7050</v>
      </c>
      <c r="D254" s="319" t="s">
        <v>1759</v>
      </c>
      <c r="E254" s="319" t="s">
        <v>1424</v>
      </c>
      <c r="F254" s="318">
        <v>6861.0</v>
      </c>
      <c r="G254" s="321"/>
      <c r="H254" s="319" t="s">
        <v>6636</v>
      </c>
      <c r="I254" s="318">
        <v>55.0</v>
      </c>
      <c r="J254" s="318">
        <v>3773.55</v>
      </c>
      <c r="K254" s="321"/>
      <c r="L254" s="321"/>
      <c r="M254" s="321"/>
      <c r="N254" s="321"/>
      <c r="O254" s="321"/>
      <c r="P254" s="321"/>
      <c r="Q254" s="31"/>
      <c r="R254" s="31"/>
      <c r="S254" s="31"/>
      <c r="T254" s="31"/>
      <c r="U254" s="31"/>
      <c r="V254" s="31"/>
      <c r="W254" s="31"/>
      <c r="X254" s="31"/>
      <c r="Y254" s="31"/>
    </row>
    <row r="255" ht="15.75" customHeight="1">
      <c r="A255" s="318">
        <v>255.0</v>
      </c>
      <c r="B255" s="319" t="s">
        <v>7051</v>
      </c>
      <c r="C255" s="319" t="s">
        <v>6828</v>
      </c>
      <c r="D255" s="319" t="s">
        <v>1759</v>
      </c>
      <c r="E255" s="319" t="s">
        <v>1424</v>
      </c>
      <c r="F255" s="318">
        <v>6952.0</v>
      </c>
      <c r="G255" s="321"/>
      <c r="H255" s="319" t="s">
        <v>6636</v>
      </c>
      <c r="I255" s="318">
        <v>55.0</v>
      </c>
      <c r="J255" s="318">
        <v>3823.6</v>
      </c>
      <c r="K255" s="321"/>
      <c r="L255" s="321"/>
      <c r="M255" s="321"/>
      <c r="N255" s="321"/>
      <c r="O255" s="321"/>
      <c r="P255" s="321"/>
      <c r="Q255" s="31"/>
      <c r="R255" s="31"/>
      <c r="S255" s="31"/>
      <c r="T255" s="31"/>
      <c r="U255" s="31"/>
      <c r="V255" s="31"/>
      <c r="W255" s="31"/>
      <c r="X255" s="31"/>
      <c r="Y255" s="31"/>
    </row>
    <row r="256" ht="15.75" customHeight="1">
      <c r="A256" s="318">
        <v>256.0</v>
      </c>
      <c r="B256" s="319" t="s">
        <v>2962</v>
      </c>
      <c r="C256" s="319" t="s">
        <v>7052</v>
      </c>
      <c r="D256" s="319" t="s">
        <v>1395</v>
      </c>
      <c r="E256" s="319" t="s">
        <v>668</v>
      </c>
      <c r="F256" s="318">
        <v>20818.0</v>
      </c>
      <c r="G256" s="321"/>
      <c r="H256" s="319" t="s">
        <v>6636</v>
      </c>
      <c r="I256" s="318">
        <v>53.0</v>
      </c>
      <c r="J256" s="318">
        <v>11033.54</v>
      </c>
      <c r="K256" s="321"/>
      <c r="L256" s="321"/>
      <c r="M256" s="321"/>
      <c r="N256" s="321"/>
      <c r="O256" s="321"/>
      <c r="P256" s="321"/>
      <c r="Q256" s="31"/>
      <c r="R256" s="31"/>
      <c r="S256" s="31"/>
      <c r="T256" s="31"/>
      <c r="U256" s="31"/>
      <c r="V256" s="31"/>
      <c r="W256" s="31"/>
      <c r="X256" s="31"/>
      <c r="Y256" s="31"/>
    </row>
    <row r="257" ht="15.75" customHeight="1">
      <c r="A257" s="318">
        <v>257.0</v>
      </c>
      <c r="B257" s="319" t="s">
        <v>7053</v>
      </c>
      <c r="C257" s="319" t="s">
        <v>7054</v>
      </c>
      <c r="D257" s="319" t="s">
        <v>1395</v>
      </c>
      <c r="E257" s="319" t="s">
        <v>668</v>
      </c>
      <c r="F257" s="318">
        <v>19425.0</v>
      </c>
      <c r="G257" s="321"/>
      <c r="H257" s="319" t="s">
        <v>6636</v>
      </c>
      <c r="I257" s="318">
        <v>53.0</v>
      </c>
      <c r="J257" s="318">
        <v>10295.25</v>
      </c>
      <c r="K257" s="321"/>
      <c r="L257" s="321"/>
      <c r="M257" s="321"/>
      <c r="N257" s="321"/>
      <c r="O257" s="321"/>
      <c r="P257" s="321"/>
      <c r="Q257" s="31"/>
      <c r="R257" s="31"/>
      <c r="S257" s="31"/>
      <c r="T257" s="31"/>
      <c r="U257" s="31"/>
      <c r="V257" s="31"/>
      <c r="W257" s="31"/>
      <c r="X257" s="31"/>
      <c r="Y257" s="31"/>
    </row>
    <row r="258" ht="15.75" customHeight="1">
      <c r="A258" s="318">
        <v>258.0</v>
      </c>
      <c r="B258" s="319" t="s">
        <v>7055</v>
      </c>
      <c r="C258" s="319" t="s">
        <v>7056</v>
      </c>
      <c r="D258" s="319" t="s">
        <v>1759</v>
      </c>
      <c r="E258" s="319" t="s">
        <v>1424</v>
      </c>
      <c r="F258" s="318">
        <v>6826.0</v>
      </c>
      <c r="G258" s="321"/>
      <c r="H258" s="319" t="s">
        <v>6636</v>
      </c>
      <c r="I258" s="318">
        <v>55.0</v>
      </c>
      <c r="J258" s="318">
        <v>3754.3</v>
      </c>
      <c r="K258" s="321"/>
      <c r="L258" s="321"/>
      <c r="M258" s="321"/>
      <c r="N258" s="321"/>
      <c r="O258" s="321"/>
      <c r="P258" s="321"/>
      <c r="Q258" s="31"/>
      <c r="R258" s="31"/>
      <c r="S258" s="31"/>
      <c r="T258" s="31"/>
      <c r="U258" s="31"/>
      <c r="V258" s="31"/>
      <c r="W258" s="31"/>
      <c r="X258" s="31"/>
      <c r="Y258" s="31"/>
    </row>
    <row r="259" ht="15.75" customHeight="1">
      <c r="A259" s="318">
        <v>259.0</v>
      </c>
      <c r="B259" s="319" t="s">
        <v>7057</v>
      </c>
      <c r="C259" s="319" t="s">
        <v>7058</v>
      </c>
      <c r="D259" s="319" t="s">
        <v>21</v>
      </c>
      <c r="E259" s="319" t="s">
        <v>668</v>
      </c>
      <c r="F259" s="318">
        <v>50311.0</v>
      </c>
      <c r="G259" s="321"/>
      <c r="H259" s="319" t="s">
        <v>6636</v>
      </c>
      <c r="I259" s="318">
        <v>19.5</v>
      </c>
      <c r="J259" s="318">
        <v>9810.645</v>
      </c>
      <c r="K259" s="321"/>
      <c r="L259" s="321"/>
      <c r="M259" s="321"/>
      <c r="N259" s="321"/>
      <c r="O259" s="321"/>
      <c r="P259" s="321"/>
      <c r="Q259" s="31"/>
      <c r="R259" s="31"/>
      <c r="S259" s="31"/>
      <c r="T259" s="31"/>
      <c r="U259" s="31"/>
      <c r="V259" s="31"/>
      <c r="W259" s="31"/>
      <c r="X259" s="31"/>
      <c r="Y259" s="31"/>
    </row>
    <row r="260" ht="15.75" customHeight="1">
      <c r="A260" s="318">
        <v>260.0</v>
      </c>
      <c r="B260" s="319" t="s">
        <v>7059</v>
      </c>
      <c r="C260" s="319" t="s">
        <v>7060</v>
      </c>
      <c r="D260" s="319" t="s">
        <v>1759</v>
      </c>
      <c r="E260" s="319" t="s">
        <v>1424</v>
      </c>
      <c r="F260" s="318">
        <v>6671.0</v>
      </c>
      <c r="G260" s="321"/>
      <c r="H260" s="319" t="s">
        <v>6636</v>
      </c>
      <c r="I260" s="318">
        <v>55.0</v>
      </c>
      <c r="J260" s="318">
        <v>3669.05</v>
      </c>
      <c r="K260" s="321"/>
      <c r="L260" s="321"/>
      <c r="M260" s="321"/>
      <c r="N260" s="321"/>
      <c r="O260" s="321"/>
      <c r="P260" s="321"/>
      <c r="Q260" s="31"/>
      <c r="R260" s="31"/>
      <c r="S260" s="31"/>
      <c r="T260" s="31"/>
      <c r="U260" s="31"/>
      <c r="V260" s="31"/>
      <c r="W260" s="31"/>
      <c r="X260" s="31"/>
      <c r="Y260" s="31"/>
    </row>
    <row r="261" ht="15.75" customHeight="1">
      <c r="A261" s="318">
        <v>261.0</v>
      </c>
      <c r="B261" s="319" t="s">
        <v>7061</v>
      </c>
      <c r="C261" s="319" t="s">
        <v>7062</v>
      </c>
      <c r="D261" s="319" t="s">
        <v>1759</v>
      </c>
      <c r="E261" s="319" t="s">
        <v>1424</v>
      </c>
      <c r="F261" s="318">
        <v>7122.0</v>
      </c>
      <c r="G261" s="321"/>
      <c r="H261" s="319" t="s">
        <v>6636</v>
      </c>
      <c r="I261" s="318">
        <v>55.0</v>
      </c>
      <c r="J261" s="318">
        <v>3917.1</v>
      </c>
      <c r="K261" s="321"/>
      <c r="L261" s="321"/>
      <c r="M261" s="321"/>
      <c r="N261" s="321"/>
      <c r="O261" s="321"/>
      <c r="P261" s="321"/>
      <c r="Q261" s="31"/>
      <c r="R261" s="31"/>
      <c r="S261" s="31"/>
      <c r="T261" s="31"/>
      <c r="U261" s="31"/>
      <c r="V261" s="31"/>
      <c r="W261" s="31"/>
      <c r="X261" s="31"/>
      <c r="Y261" s="31"/>
    </row>
    <row r="262" ht="15.75" customHeight="1">
      <c r="A262" s="318">
        <v>262.0</v>
      </c>
      <c r="B262" s="319" t="s">
        <v>7063</v>
      </c>
      <c r="C262" s="319" t="s">
        <v>7064</v>
      </c>
      <c r="D262" s="319" t="s">
        <v>1759</v>
      </c>
      <c r="E262" s="319" t="s">
        <v>1424</v>
      </c>
      <c r="F262" s="318">
        <v>7085.0</v>
      </c>
      <c r="G262" s="321"/>
      <c r="H262" s="319" t="s">
        <v>6636</v>
      </c>
      <c r="I262" s="318">
        <v>55.0</v>
      </c>
      <c r="J262" s="318">
        <v>3896.75</v>
      </c>
      <c r="K262" s="321"/>
      <c r="L262" s="321"/>
      <c r="M262" s="321"/>
      <c r="N262" s="321"/>
      <c r="O262" s="321"/>
      <c r="P262" s="321"/>
      <c r="Q262" s="31"/>
      <c r="R262" s="31"/>
      <c r="S262" s="31"/>
      <c r="T262" s="31"/>
      <c r="U262" s="31"/>
      <c r="V262" s="31"/>
      <c r="W262" s="31"/>
      <c r="X262" s="31"/>
      <c r="Y262" s="31"/>
    </row>
    <row r="263" ht="15.75" customHeight="1">
      <c r="A263" s="322">
        <v>263.0</v>
      </c>
      <c r="B263" s="323" t="s">
        <v>7065</v>
      </c>
      <c r="C263" s="323" t="s">
        <v>7066</v>
      </c>
      <c r="D263" s="323" t="s">
        <v>966</v>
      </c>
      <c r="E263" s="323" t="s">
        <v>668</v>
      </c>
      <c r="F263" s="322">
        <v>3851.0</v>
      </c>
      <c r="G263" s="322">
        <v>4545.0</v>
      </c>
      <c r="H263" s="323" t="s">
        <v>6639</v>
      </c>
      <c r="I263" s="322">
        <v>36.0</v>
      </c>
      <c r="J263" s="322">
        <v>1386.36</v>
      </c>
      <c r="K263" s="324"/>
      <c r="L263" s="324"/>
      <c r="M263" s="324"/>
      <c r="N263" s="324"/>
      <c r="O263" s="324"/>
      <c r="P263" s="324"/>
      <c r="Q263" s="31"/>
      <c r="R263" s="31"/>
      <c r="S263" s="31"/>
      <c r="T263" s="31"/>
      <c r="U263" s="31"/>
      <c r="V263" s="31"/>
      <c r="W263" s="31"/>
      <c r="X263" s="31"/>
      <c r="Y263" s="31"/>
    </row>
    <row r="264" ht="15.75" customHeight="1">
      <c r="A264" s="318">
        <v>264.0</v>
      </c>
      <c r="B264" s="319" t="s">
        <v>3062</v>
      </c>
      <c r="C264" s="319" t="s">
        <v>7067</v>
      </c>
      <c r="D264" s="319" t="s">
        <v>21</v>
      </c>
      <c r="E264" s="319" t="s">
        <v>668</v>
      </c>
      <c r="F264" s="318">
        <v>48979.0</v>
      </c>
      <c r="G264" s="321"/>
      <c r="H264" s="319" t="s">
        <v>6636</v>
      </c>
      <c r="I264" s="318">
        <v>19.5</v>
      </c>
      <c r="J264" s="318">
        <v>9550.905</v>
      </c>
      <c r="K264" s="321"/>
      <c r="L264" s="321"/>
      <c r="M264" s="321"/>
      <c r="N264" s="321"/>
      <c r="O264" s="321"/>
      <c r="P264" s="321"/>
      <c r="Q264" s="31"/>
      <c r="R264" s="31"/>
      <c r="S264" s="31"/>
      <c r="T264" s="31"/>
      <c r="U264" s="31"/>
      <c r="V264" s="31"/>
      <c r="W264" s="31"/>
      <c r="X264" s="31"/>
      <c r="Y264" s="31"/>
    </row>
    <row r="265" ht="15.75" customHeight="1">
      <c r="A265" s="318">
        <v>265.0</v>
      </c>
      <c r="B265" s="319" t="s">
        <v>7068</v>
      </c>
      <c r="C265" s="319" t="s">
        <v>7069</v>
      </c>
      <c r="D265" s="319" t="s">
        <v>1759</v>
      </c>
      <c r="E265" s="319" t="s">
        <v>1424</v>
      </c>
      <c r="F265" s="318">
        <v>6874.0</v>
      </c>
      <c r="G265" s="321"/>
      <c r="H265" s="319" t="s">
        <v>6636</v>
      </c>
      <c r="I265" s="318">
        <v>55.0</v>
      </c>
      <c r="J265" s="318">
        <v>3780.7</v>
      </c>
      <c r="K265" s="321"/>
      <c r="L265" s="321"/>
      <c r="M265" s="321"/>
      <c r="N265" s="321"/>
      <c r="O265" s="321"/>
      <c r="P265" s="321"/>
      <c r="Q265" s="31"/>
      <c r="R265" s="31"/>
      <c r="S265" s="31"/>
      <c r="T265" s="31"/>
      <c r="U265" s="31"/>
      <c r="V265" s="31"/>
      <c r="W265" s="31"/>
      <c r="X265" s="31"/>
      <c r="Y265" s="31"/>
    </row>
    <row r="266" ht="15.75" customHeight="1">
      <c r="A266" s="318">
        <v>266.0</v>
      </c>
      <c r="B266" s="319" t="s">
        <v>2959</v>
      </c>
      <c r="C266" s="319" t="s">
        <v>6966</v>
      </c>
      <c r="D266" s="319" t="s">
        <v>21</v>
      </c>
      <c r="E266" s="319" t="s">
        <v>668</v>
      </c>
      <c r="F266" s="318">
        <v>47045.0</v>
      </c>
      <c r="G266" s="321"/>
      <c r="H266" s="319" t="s">
        <v>6636</v>
      </c>
      <c r="I266" s="318">
        <v>19.5</v>
      </c>
      <c r="J266" s="318">
        <v>9173.775</v>
      </c>
      <c r="K266" s="321"/>
      <c r="L266" s="321"/>
      <c r="M266" s="321"/>
      <c r="N266" s="321"/>
      <c r="O266" s="321"/>
      <c r="P266" s="321"/>
      <c r="Q266" s="31"/>
      <c r="R266" s="31"/>
      <c r="S266" s="31"/>
      <c r="T266" s="31"/>
      <c r="U266" s="31"/>
      <c r="V266" s="31"/>
      <c r="W266" s="31"/>
      <c r="X266" s="31"/>
      <c r="Y266" s="31"/>
    </row>
    <row r="267" ht="15.75" customHeight="1">
      <c r="A267" s="318">
        <v>267.0</v>
      </c>
      <c r="B267" s="319" t="s">
        <v>7070</v>
      </c>
      <c r="C267" s="319" t="s">
        <v>7071</v>
      </c>
      <c r="D267" s="319" t="s">
        <v>1759</v>
      </c>
      <c r="E267" s="319" t="s">
        <v>1424</v>
      </c>
      <c r="F267" s="318">
        <v>7251.0</v>
      </c>
      <c r="G267" s="321"/>
      <c r="H267" s="319" t="s">
        <v>6636</v>
      </c>
      <c r="I267" s="318">
        <v>55.0</v>
      </c>
      <c r="J267" s="318">
        <v>3988.05</v>
      </c>
      <c r="K267" s="321"/>
      <c r="L267" s="321"/>
      <c r="M267" s="321"/>
      <c r="N267" s="321"/>
      <c r="O267" s="321"/>
      <c r="P267" s="321"/>
      <c r="Q267" s="31"/>
      <c r="R267" s="31"/>
      <c r="S267" s="31"/>
      <c r="T267" s="31"/>
      <c r="U267" s="31"/>
      <c r="V267" s="31"/>
      <c r="W267" s="31"/>
      <c r="X267" s="31"/>
      <c r="Y267" s="31"/>
    </row>
    <row r="268" ht="15.75" customHeight="1">
      <c r="A268" s="318">
        <v>268.0</v>
      </c>
      <c r="B268" s="319" t="s">
        <v>7072</v>
      </c>
      <c r="C268" s="319" t="s">
        <v>7073</v>
      </c>
      <c r="D268" s="319" t="s">
        <v>1759</v>
      </c>
      <c r="E268" s="319" t="s">
        <v>1424</v>
      </c>
      <c r="F268" s="318">
        <v>6937.0</v>
      </c>
      <c r="G268" s="321"/>
      <c r="H268" s="319" t="s">
        <v>6636</v>
      </c>
      <c r="I268" s="318">
        <v>55.0</v>
      </c>
      <c r="J268" s="318">
        <v>3815.35</v>
      </c>
      <c r="K268" s="321"/>
      <c r="L268" s="321"/>
      <c r="M268" s="321"/>
      <c r="N268" s="321"/>
      <c r="O268" s="321"/>
      <c r="P268" s="321"/>
      <c r="Q268" s="31"/>
      <c r="R268" s="31"/>
      <c r="S268" s="31"/>
      <c r="T268" s="31"/>
      <c r="U268" s="31"/>
      <c r="V268" s="31"/>
      <c r="W268" s="31"/>
      <c r="X268" s="31"/>
      <c r="Y268" s="31"/>
    </row>
    <row r="269" ht="15.75" customHeight="1">
      <c r="A269" s="318">
        <v>269.0</v>
      </c>
      <c r="B269" s="319" t="s">
        <v>7074</v>
      </c>
      <c r="C269" s="319" t="s">
        <v>7075</v>
      </c>
      <c r="D269" s="319" t="s">
        <v>1759</v>
      </c>
      <c r="E269" s="319" t="s">
        <v>1424</v>
      </c>
      <c r="F269" s="318">
        <v>7041.0</v>
      </c>
      <c r="G269" s="321"/>
      <c r="H269" s="319" t="s">
        <v>6636</v>
      </c>
      <c r="I269" s="318">
        <v>55.0</v>
      </c>
      <c r="J269" s="318">
        <v>3872.55</v>
      </c>
      <c r="K269" s="321"/>
      <c r="L269" s="321"/>
      <c r="M269" s="321"/>
      <c r="N269" s="321"/>
      <c r="O269" s="321"/>
      <c r="P269" s="321"/>
      <c r="Q269" s="31"/>
      <c r="R269" s="31"/>
      <c r="S269" s="31"/>
      <c r="T269" s="31"/>
      <c r="U269" s="31"/>
      <c r="V269" s="31"/>
      <c r="W269" s="31"/>
      <c r="X269" s="31"/>
      <c r="Y269" s="31"/>
    </row>
    <row r="270" ht="15.75" customHeight="1">
      <c r="A270" s="318">
        <v>270.0</v>
      </c>
      <c r="B270" s="319" t="s">
        <v>1199</v>
      </c>
      <c r="C270" s="319" t="s">
        <v>6977</v>
      </c>
      <c r="D270" s="319" t="s">
        <v>21</v>
      </c>
      <c r="E270" s="319" t="s">
        <v>668</v>
      </c>
      <c r="F270" s="318">
        <v>45441.0</v>
      </c>
      <c r="G270" s="321"/>
      <c r="H270" s="319" t="s">
        <v>6636</v>
      </c>
      <c r="I270" s="318">
        <v>19.5</v>
      </c>
      <c r="J270" s="318">
        <v>8860.995</v>
      </c>
      <c r="K270" s="321"/>
      <c r="L270" s="321"/>
      <c r="M270" s="321"/>
      <c r="N270" s="321"/>
      <c r="O270" s="321"/>
      <c r="P270" s="321"/>
      <c r="Q270" s="31"/>
      <c r="R270" s="31"/>
      <c r="S270" s="31"/>
      <c r="T270" s="31"/>
      <c r="U270" s="31"/>
      <c r="V270" s="31"/>
      <c r="W270" s="31"/>
      <c r="X270" s="31"/>
      <c r="Y270" s="31"/>
    </row>
    <row r="271" ht="15.75" customHeight="1">
      <c r="A271" s="318">
        <v>271.0</v>
      </c>
      <c r="B271" s="319" t="s">
        <v>7076</v>
      </c>
      <c r="C271" s="319" t="s">
        <v>7077</v>
      </c>
      <c r="D271" s="319" t="s">
        <v>1395</v>
      </c>
      <c r="E271" s="319" t="s">
        <v>668</v>
      </c>
      <c r="F271" s="318">
        <v>18133.0</v>
      </c>
      <c r="G271" s="321"/>
      <c r="H271" s="319" t="s">
        <v>6636</v>
      </c>
      <c r="I271" s="318">
        <v>53.0</v>
      </c>
      <c r="J271" s="318">
        <v>9610.49</v>
      </c>
      <c r="K271" s="321"/>
      <c r="L271" s="321"/>
      <c r="M271" s="321"/>
      <c r="N271" s="321"/>
      <c r="O271" s="321"/>
      <c r="P271" s="321"/>
      <c r="Q271" s="31"/>
      <c r="R271" s="31"/>
      <c r="S271" s="31"/>
      <c r="T271" s="31"/>
      <c r="U271" s="31"/>
      <c r="V271" s="31"/>
      <c r="W271" s="31"/>
      <c r="X271" s="31"/>
      <c r="Y271" s="31"/>
    </row>
    <row r="272" ht="15.75" customHeight="1">
      <c r="A272" s="318">
        <v>272.0</v>
      </c>
      <c r="B272" s="319" t="s">
        <v>7078</v>
      </c>
      <c r="C272" s="319" t="s">
        <v>7079</v>
      </c>
      <c r="D272" s="319" t="s">
        <v>1395</v>
      </c>
      <c r="E272" s="319" t="s">
        <v>668</v>
      </c>
      <c r="F272" s="318">
        <v>17913.0</v>
      </c>
      <c r="G272" s="321"/>
      <c r="H272" s="319" t="s">
        <v>6636</v>
      </c>
      <c r="I272" s="318">
        <v>53.0</v>
      </c>
      <c r="J272" s="318">
        <v>9493.89</v>
      </c>
      <c r="K272" s="321"/>
      <c r="L272" s="321"/>
      <c r="M272" s="321"/>
      <c r="N272" s="321"/>
      <c r="O272" s="321"/>
      <c r="P272" s="321"/>
      <c r="Q272" s="31"/>
      <c r="R272" s="31"/>
      <c r="S272" s="31"/>
      <c r="T272" s="31"/>
      <c r="U272" s="31"/>
      <c r="V272" s="31"/>
      <c r="W272" s="31"/>
      <c r="X272" s="31"/>
      <c r="Y272" s="31"/>
    </row>
    <row r="273" ht="15.75" customHeight="1">
      <c r="A273" s="318">
        <v>273.0</v>
      </c>
      <c r="B273" s="319" t="s">
        <v>7080</v>
      </c>
      <c r="C273" s="319" t="s">
        <v>7081</v>
      </c>
      <c r="D273" s="319" t="s">
        <v>1759</v>
      </c>
      <c r="E273" s="319" t="s">
        <v>1424</v>
      </c>
      <c r="F273" s="318">
        <v>6905.0</v>
      </c>
      <c r="G273" s="321"/>
      <c r="H273" s="319" t="s">
        <v>6636</v>
      </c>
      <c r="I273" s="318">
        <v>55.0</v>
      </c>
      <c r="J273" s="318">
        <v>3797.75</v>
      </c>
      <c r="K273" s="321"/>
      <c r="L273" s="321"/>
      <c r="M273" s="321"/>
      <c r="N273" s="321"/>
      <c r="O273" s="321"/>
      <c r="P273" s="321"/>
      <c r="Q273" s="31"/>
      <c r="R273" s="31"/>
      <c r="S273" s="31"/>
      <c r="T273" s="31"/>
      <c r="U273" s="31"/>
      <c r="V273" s="31"/>
      <c r="W273" s="31"/>
      <c r="X273" s="31"/>
      <c r="Y273" s="31"/>
    </row>
    <row r="274" ht="15.75" customHeight="1">
      <c r="A274" s="318">
        <v>274.0</v>
      </c>
      <c r="B274" s="319" t="s">
        <v>7082</v>
      </c>
      <c r="C274" s="319" t="s">
        <v>7083</v>
      </c>
      <c r="D274" s="319" t="s">
        <v>1759</v>
      </c>
      <c r="E274" s="319" t="s">
        <v>1424</v>
      </c>
      <c r="F274" s="318">
        <v>6959.0</v>
      </c>
      <c r="G274" s="321"/>
      <c r="H274" s="319" t="s">
        <v>6636</v>
      </c>
      <c r="I274" s="318">
        <v>55.0</v>
      </c>
      <c r="J274" s="318">
        <v>3827.45</v>
      </c>
      <c r="K274" s="321"/>
      <c r="L274" s="321"/>
      <c r="M274" s="321"/>
      <c r="N274" s="321"/>
      <c r="O274" s="321"/>
      <c r="P274" s="321"/>
      <c r="Q274" s="31"/>
      <c r="R274" s="31"/>
      <c r="S274" s="31"/>
      <c r="T274" s="31"/>
      <c r="U274" s="31"/>
      <c r="V274" s="31"/>
      <c r="W274" s="31"/>
      <c r="X274" s="31"/>
      <c r="Y274" s="31"/>
    </row>
    <row r="275" ht="15.75" customHeight="1">
      <c r="A275" s="318">
        <v>275.0</v>
      </c>
      <c r="B275" s="319" t="s">
        <v>7084</v>
      </c>
      <c r="C275" s="319" t="s">
        <v>6975</v>
      </c>
      <c r="D275" s="319" t="s">
        <v>1759</v>
      </c>
      <c r="E275" s="319" t="s">
        <v>1424</v>
      </c>
      <c r="F275" s="318">
        <v>7159.0</v>
      </c>
      <c r="G275" s="321"/>
      <c r="H275" s="319" t="s">
        <v>6636</v>
      </c>
      <c r="I275" s="318">
        <v>55.0</v>
      </c>
      <c r="J275" s="318">
        <v>3937.45</v>
      </c>
      <c r="K275" s="321"/>
      <c r="L275" s="321"/>
      <c r="M275" s="321"/>
      <c r="N275" s="321"/>
      <c r="O275" s="321"/>
      <c r="P275" s="321"/>
      <c r="Q275" s="31"/>
      <c r="R275" s="31"/>
      <c r="S275" s="31"/>
      <c r="T275" s="31"/>
      <c r="U275" s="31"/>
      <c r="V275" s="31"/>
      <c r="W275" s="31"/>
      <c r="X275" s="31"/>
      <c r="Y275" s="31"/>
    </row>
    <row r="276" ht="15.75" customHeight="1">
      <c r="A276" s="318">
        <v>276.0</v>
      </c>
      <c r="B276" s="319" t="s">
        <v>7085</v>
      </c>
      <c r="C276" s="319" t="s">
        <v>7086</v>
      </c>
      <c r="D276" s="319" t="s">
        <v>1759</v>
      </c>
      <c r="E276" s="319" t="s">
        <v>1424</v>
      </c>
      <c r="F276" s="318">
        <v>7144.0</v>
      </c>
      <c r="G276" s="321"/>
      <c r="H276" s="319" t="s">
        <v>6636</v>
      </c>
      <c r="I276" s="318">
        <v>55.0</v>
      </c>
      <c r="J276" s="318">
        <v>3929.2</v>
      </c>
      <c r="K276" s="321"/>
      <c r="L276" s="321"/>
      <c r="M276" s="321"/>
      <c r="N276" s="321"/>
      <c r="O276" s="321"/>
      <c r="P276" s="321"/>
      <c r="Q276" s="31"/>
      <c r="R276" s="31"/>
      <c r="S276" s="31"/>
      <c r="T276" s="31"/>
      <c r="U276" s="31"/>
      <c r="V276" s="31"/>
      <c r="W276" s="31"/>
      <c r="X276" s="31"/>
      <c r="Y276" s="31"/>
    </row>
    <row r="277" ht="15.75" customHeight="1">
      <c r="A277" s="318">
        <v>277.0</v>
      </c>
      <c r="B277" s="319" t="s">
        <v>7087</v>
      </c>
      <c r="C277" s="319" t="s">
        <v>7088</v>
      </c>
      <c r="D277" s="319" t="s">
        <v>1759</v>
      </c>
      <c r="E277" s="319" t="s">
        <v>1424</v>
      </c>
      <c r="F277" s="318">
        <v>6959.0</v>
      </c>
      <c r="G277" s="321"/>
      <c r="H277" s="319" t="s">
        <v>6636</v>
      </c>
      <c r="I277" s="318">
        <v>55.0</v>
      </c>
      <c r="J277" s="318">
        <v>3827.45</v>
      </c>
      <c r="K277" s="321"/>
      <c r="L277" s="321"/>
      <c r="M277" s="321"/>
      <c r="N277" s="321"/>
      <c r="O277" s="321"/>
      <c r="P277" s="321"/>
      <c r="Q277" s="31"/>
      <c r="R277" s="31"/>
      <c r="S277" s="31"/>
      <c r="T277" s="31"/>
      <c r="U277" s="31"/>
      <c r="V277" s="31"/>
      <c r="W277" s="31"/>
      <c r="X277" s="31"/>
      <c r="Y277" s="31"/>
    </row>
    <row r="278" ht="15.75" customHeight="1">
      <c r="A278" s="318">
        <v>278.0</v>
      </c>
      <c r="B278" s="319" t="s">
        <v>7089</v>
      </c>
      <c r="C278" s="319" t="s">
        <v>7079</v>
      </c>
      <c r="D278" s="319" t="s">
        <v>1759</v>
      </c>
      <c r="E278" s="319" t="s">
        <v>1424</v>
      </c>
      <c r="F278" s="318">
        <v>7220.0</v>
      </c>
      <c r="G278" s="321"/>
      <c r="H278" s="319" t="s">
        <v>6636</v>
      </c>
      <c r="I278" s="318">
        <v>55.0</v>
      </c>
      <c r="J278" s="318">
        <v>3971.0</v>
      </c>
      <c r="K278" s="321"/>
      <c r="L278" s="321"/>
      <c r="M278" s="321"/>
      <c r="N278" s="321"/>
      <c r="O278" s="321"/>
      <c r="P278" s="321"/>
      <c r="Q278" s="31"/>
      <c r="R278" s="31"/>
      <c r="S278" s="31"/>
      <c r="T278" s="31"/>
      <c r="U278" s="31"/>
      <c r="V278" s="31"/>
      <c r="W278" s="31"/>
      <c r="X278" s="31"/>
      <c r="Y278" s="31"/>
    </row>
    <row r="279" ht="15.75" customHeight="1">
      <c r="A279" s="318">
        <v>279.0</v>
      </c>
      <c r="B279" s="319" t="s">
        <v>7090</v>
      </c>
      <c r="C279" s="319" t="s">
        <v>7091</v>
      </c>
      <c r="D279" s="319" t="s">
        <v>1759</v>
      </c>
      <c r="E279" s="319" t="s">
        <v>1424</v>
      </c>
      <c r="F279" s="318">
        <v>7251.0</v>
      </c>
      <c r="G279" s="321"/>
      <c r="H279" s="319" t="s">
        <v>6636</v>
      </c>
      <c r="I279" s="318">
        <v>55.0</v>
      </c>
      <c r="J279" s="318">
        <v>3988.05</v>
      </c>
      <c r="K279" s="321"/>
      <c r="L279" s="321"/>
      <c r="M279" s="321"/>
      <c r="N279" s="321"/>
      <c r="O279" s="321"/>
      <c r="P279" s="321"/>
      <c r="Q279" s="31"/>
      <c r="R279" s="31"/>
      <c r="S279" s="31"/>
      <c r="T279" s="31"/>
      <c r="U279" s="31"/>
      <c r="V279" s="31"/>
      <c r="W279" s="31"/>
      <c r="X279" s="31"/>
      <c r="Y279" s="31"/>
    </row>
    <row r="280" ht="15.75" customHeight="1">
      <c r="A280" s="318">
        <v>280.0</v>
      </c>
      <c r="B280" s="319" t="s">
        <v>7092</v>
      </c>
      <c r="C280" s="319" t="s">
        <v>7093</v>
      </c>
      <c r="D280" s="319" t="s">
        <v>1395</v>
      </c>
      <c r="E280" s="319" t="s">
        <v>668</v>
      </c>
      <c r="F280" s="318">
        <v>17790.0</v>
      </c>
      <c r="G280" s="321"/>
      <c r="H280" s="319" t="s">
        <v>6636</v>
      </c>
      <c r="I280" s="318">
        <v>50.0</v>
      </c>
      <c r="J280" s="318">
        <v>8895.0</v>
      </c>
      <c r="K280" s="321"/>
      <c r="L280" s="321"/>
      <c r="M280" s="321"/>
      <c r="N280" s="321"/>
      <c r="O280" s="321"/>
      <c r="P280" s="321"/>
      <c r="Q280" s="31"/>
      <c r="R280" s="31"/>
      <c r="S280" s="31"/>
      <c r="T280" s="31"/>
      <c r="U280" s="31"/>
      <c r="V280" s="31"/>
      <c r="W280" s="31"/>
      <c r="X280" s="31"/>
      <c r="Y280" s="31"/>
    </row>
    <row r="281" ht="15.75" customHeight="1">
      <c r="A281" s="318">
        <v>281.0</v>
      </c>
      <c r="B281" s="319" t="s">
        <v>7094</v>
      </c>
      <c r="C281" s="319" t="s">
        <v>7095</v>
      </c>
      <c r="D281" s="319" t="s">
        <v>21</v>
      </c>
      <c r="E281" s="319" t="s">
        <v>668</v>
      </c>
      <c r="F281" s="318">
        <v>48778.0</v>
      </c>
      <c r="G281" s="321"/>
      <c r="H281" s="319" t="s">
        <v>6636</v>
      </c>
      <c r="I281" s="318">
        <v>19.0</v>
      </c>
      <c r="J281" s="318">
        <v>9267.82</v>
      </c>
      <c r="K281" s="321"/>
      <c r="L281" s="321"/>
      <c r="M281" s="321"/>
      <c r="N281" s="321"/>
      <c r="O281" s="321"/>
      <c r="P281" s="321"/>
      <c r="Q281" s="31"/>
      <c r="R281" s="31"/>
      <c r="S281" s="31"/>
      <c r="T281" s="31"/>
      <c r="U281" s="31"/>
      <c r="V281" s="31"/>
      <c r="W281" s="31"/>
      <c r="X281" s="31"/>
      <c r="Y281" s="31"/>
    </row>
    <row r="282" ht="15.75" customHeight="1">
      <c r="A282" s="318">
        <v>282.0</v>
      </c>
      <c r="B282" s="319" t="s">
        <v>7096</v>
      </c>
      <c r="C282" s="319" t="s">
        <v>7097</v>
      </c>
      <c r="D282" s="319" t="s">
        <v>966</v>
      </c>
      <c r="E282" s="319" t="s">
        <v>668</v>
      </c>
      <c r="F282" s="318">
        <v>3476.0</v>
      </c>
      <c r="G282" s="318">
        <v>4102.0</v>
      </c>
      <c r="H282" s="319" t="s">
        <v>6639</v>
      </c>
      <c r="I282" s="318">
        <v>36.0</v>
      </c>
      <c r="J282" s="318">
        <v>1251.36</v>
      </c>
      <c r="K282" s="321"/>
      <c r="L282" s="321"/>
      <c r="M282" s="321"/>
      <c r="N282" s="321"/>
      <c r="O282" s="321"/>
      <c r="P282" s="321"/>
      <c r="Q282" s="31"/>
      <c r="R282" s="31"/>
      <c r="S282" s="31"/>
      <c r="T282" s="31"/>
      <c r="U282" s="31"/>
      <c r="V282" s="31"/>
      <c r="W282" s="31"/>
      <c r="X282" s="31"/>
      <c r="Y282" s="31"/>
    </row>
    <row r="283" ht="15.75" customHeight="1">
      <c r="A283" s="318">
        <v>283.0</v>
      </c>
      <c r="B283" s="319" t="s">
        <v>7098</v>
      </c>
      <c r="C283" s="319" t="s">
        <v>6829</v>
      </c>
      <c r="D283" s="319" t="s">
        <v>966</v>
      </c>
      <c r="E283" s="319" t="s">
        <v>7099</v>
      </c>
      <c r="F283" s="318">
        <v>4046.0</v>
      </c>
      <c r="G283" s="321"/>
      <c r="H283" s="319" t="s">
        <v>6636</v>
      </c>
      <c r="I283" s="318">
        <v>26.0</v>
      </c>
      <c r="J283" s="318">
        <v>1051.96</v>
      </c>
      <c r="K283" s="321"/>
      <c r="L283" s="321"/>
      <c r="M283" s="321"/>
      <c r="N283" s="321"/>
      <c r="O283" s="321"/>
      <c r="P283" s="321"/>
      <c r="Q283" s="31"/>
      <c r="R283" s="31"/>
      <c r="S283" s="31"/>
      <c r="T283" s="31"/>
      <c r="U283" s="31"/>
      <c r="V283" s="31"/>
      <c r="W283" s="31"/>
      <c r="X283" s="31"/>
      <c r="Y283" s="31"/>
    </row>
    <row r="284" ht="15.75" customHeight="1">
      <c r="A284" s="324"/>
      <c r="B284" s="324"/>
      <c r="C284" s="324"/>
      <c r="D284" s="324"/>
      <c r="E284" s="324"/>
      <c r="F284" s="324"/>
      <c r="G284" s="324"/>
      <c r="H284" s="324"/>
      <c r="I284" s="324"/>
      <c r="J284" s="321"/>
      <c r="K284" s="324"/>
      <c r="L284" s="324"/>
      <c r="M284" s="324"/>
      <c r="N284" s="324"/>
      <c r="O284" s="324"/>
      <c r="P284" s="324"/>
      <c r="Q284" s="31"/>
      <c r="R284" s="31"/>
      <c r="S284" s="31"/>
      <c r="T284" s="31"/>
      <c r="U284" s="31"/>
      <c r="V284" s="31"/>
      <c r="W284" s="31"/>
      <c r="X284" s="31"/>
      <c r="Y284" s="31"/>
    </row>
    <row r="285" ht="15.75" customHeight="1">
      <c r="A285" s="321"/>
      <c r="B285" s="321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1"/>
      <c r="R285" s="31"/>
      <c r="S285" s="31"/>
      <c r="T285" s="31"/>
      <c r="U285" s="31"/>
      <c r="V285" s="31"/>
      <c r="W285" s="31"/>
      <c r="X285" s="31"/>
      <c r="Y285" s="31"/>
    </row>
    <row r="286" ht="15.75" customHeight="1">
      <c r="A286" s="321"/>
      <c r="B286" s="321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1"/>
      <c r="R286" s="31"/>
      <c r="S286" s="31"/>
      <c r="T286" s="31"/>
      <c r="U286" s="31"/>
      <c r="V286" s="31"/>
      <c r="W286" s="31"/>
      <c r="X286" s="31"/>
      <c r="Y286" s="31"/>
    </row>
    <row r="287" ht="15.75" customHeight="1">
      <c r="A287" s="321"/>
      <c r="B287" s="321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1"/>
      <c r="R287" s="31"/>
      <c r="S287" s="31"/>
      <c r="T287" s="31"/>
      <c r="U287" s="31"/>
      <c r="V287" s="31"/>
      <c r="W287" s="31"/>
      <c r="X287" s="31"/>
      <c r="Y287" s="31"/>
    </row>
    <row r="288" ht="15.75" customHeight="1">
      <c r="A288" s="321"/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1"/>
      <c r="R288" s="31"/>
      <c r="S288" s="31"/>
      <c r="T288" s="31"/>
      <c r="U288" s="31"/>
      <c r="V288" s="31"/>
      <c r="W288" s="31"/>
      <c r="X288" s="31"/>
      <c r="Y288" s="31"/>
    </row>
    <row r="289" ht="15.75" customHeight="1">
      <c r="A289" s="321"/>
      <c r="B289" s="321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1"/>
      <c r="R289" s="31"/>
      <c r="S289" s="31"/>
      <c r="T289" s="31"/>
      <c r="U289" s="31"/>
      <c r="V289" s="31"/>
      <c r="W289" s="31"/>
      <c r="X289" s="31"/>
      <c r="Y289" s="31"/>
    </row>
    <row r="290" ht="15.75" customHeight="1">
      <c r="A290" s="321"/>
      <c r="B290" s="321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1"/>
      <c r="R290" s="31"/>
      <c r="S290" s="31"/>
      <c r="T290" s="31"/>
      <c r="U290" s="31"/>
      <c r="V290" s="31"/>
      <c r="W290" s="31"/>
      <c r="X290" s="31"/>
      <c r="Y290" s="31"/>
    </row>
    <row r="291" ht="15.75" customHeight="1">
      <c r="A291" s="318">
        <v>1.0</v>
      </c>
      <c r="B291" s="319" t="s">
        <v>7100</v>
      </c>
      <c r="C291" s="321"/>
      <c r="D291" s="321"/>
      <c r="E291" s="321"/>
      <c r="F291" s="321"/>
      <c r="G291" s="318">
        <v>12406.0</v>
      </c>
      <c r="H291" s="321"/>
      <c r="I291" s="321"/>
      <c r="J291" s="321"/>
      <c r="K291" s="322">
        <f t="shared" ref="K291:K552" si="1">J291-G291</f>
        <v>-12406</v>
      </c>
      <c r="L291" s="321"/>
      <c r="M291" s="321"/>
      <c r="N291" s="321"/>
      <c r="O291" s="321"/>
      <c r="P291" s="321"/>
      <c r="Q291" s="31"/>
      <c r="R291" s="31"/>
      <c r="S291" s="31"/>
      <c r="T291" s="31"/>
      <c r="U291" s="31"/>
      <c r="V291" s="31"/>
      <c r="W291" s="31"/>
      <c r="X291" s="31"/>
      <c r="Y291" s="31"/>
    </row>
    <row r="292" ht="15.75" customHeight="1">
      <c r="A292" s="322">
        <v>2.0</v>
      </c>
      <c r="B292" s="323" t="s">
        <v>7101</v>
      </c>
      <c r="C292" s="323" t="s">
        <v>6931</v>
      </c>
      <c r="D292" s="323" t="s">
        <v>1395</v>
      </c>
      <c r="E292" s="323" t="s">
        <v>668</v>
      </c>
      <c r="F292" s="322">
        <v>17357.0</v>
      </c>
      <c r="G292" s="322">
        <v>19519.0</v>
      </c>
      <c r="H292" s="323" t="s">
        <v>6639</v>
      </c>
      <c r="I292" s="322">
        <v>50.0</v>
      </c>
      <c r="J292" s="322">
        <v>8678.5</v>
      </c>
      <c r="K292" s="322">
        <f t="shared" si="1"/>
        <v>-10840.5</v>
      </c>
      <c r="L292" s="324"/>
      <c r="M292" s="324"/>
      <c r="N292" s="324"/>
      <c r="O292" s="324"/>
      <c r="P292" s="324"/>
      <c r="Q292" s="31"/>
      <c r="R292" s="31"/>
      <c r="S292" s="31"/>
      <c r="T292" s="31"/>
      <c r="U292" s="31"/>
      <c r="V292" s="31"/>
      <c r="W292" s="31"/>
      <c r="X292" s="31"/>
      <c r="Y292" s="31"/>
    </row>
    <row r="293" ht="15.75" customHeight="1">
      <c r="A293" s="322">
        <v>3.0</v>
      </c>
      <c r="B293" s="323" t="s">
        <v>7102</v>
      </c>
      <c r="C293" s="323" t="s">
        <v>7103</v>
      </c>
      <c r="D293" s="323" t="s">
        <v>1759</v>
      </c>
      <c r="E293" s="323" t="s">
        <v>1424</v>
      </c>
      <c r="F293" s="322">
        <v>6758.0</v>
      </c>
      <c r="G293" s="322">
        <v>7974.0</v>
      </c>
      <c r="H293" s="323" t="s">
        <v>6639</v>
      </c>
      <c r="I293" s="322">
        <v>55.0</v>
      </c>
      <c r="J293" s="322">
        <v>3716.9</v>
      </c>
      <c r="K293" s="322">
        <f t="shared" si="1"/>
        <v>-4257.1</v>
      </c>
      <c r="L293" s="324"/>
      <c r="M293" s="324"/>
      <c r="N293" s="324"/>
      <c r="O293" s="324"/>
      <c r="P293" s="324"/>
      <c r="Q293" s="31"/>
      <c r="R293" s="31"/>
      <c r="S293" s="31"/>
      <c r="T293" s="31"/>
      <c r="U293" s="31"/>
      <c r="V293" s="31"/>
      <c r="W293" s="31"/>
      <c r="X293" s="31"/>
      <c r="Y293" s="31"/>
    </row>
    <row r="294" ht="15.75" customHeight="1">
      <c r="A294" s="322">
        <v>4.0</v>
      </c>
      <c r="B294" s="323" t="s">
        <v>7104</v>
      </c>
      <c r="C294" s="323" t="s">
        <v>7105</v>
      </c>
      <c r="D294" s="323" t="s">
        <v>1759</v>
      </c>
      <c r="E294" s="323" t="s">
        <v>1424</v>
      </c>
      <c r="F294" s="322">
        <v>6952.0</v>
      </c>
      <c r="G294" s="324"/>
      <c r="H294" s="323" t="s">
        <v>6636</v>
      </c>
      <c r="I294" s="322">
        <v>55.0</v>
      </c>
      <c r="J294" s="322">
        <v>3823.6</v>
      </c>
      <c r="K294" s="322">
        <f t="shared" si="1"/>
        <v>3823.6</v>
      </c>
      <c r="L294" s="324"/>
      <c r="M294" s="324"/>
      <c r="N294" s="324"/>
      <c r="O294" s="324"/>
      <c r="P294" s="324"/>
      <c r="Q294" s="31"/>
      <c r="R294" s="31"/>
      <c r="S294" s="31"/>
      <c r="T294" s="31"/>
      <c r="U294" s="31"/>
      <c r="V294" s="31"/>
      <c r="W294" s="31"/>
      <c r="X294" s="31"/>
      <c r="Y294" s="31"/>
    </row>
    <row r="295" ht="15.75" customHeight="1">
      <c r="A295" s="322">
        <v>5.0</v>
      </c>
      <c r="B295" s="323" t="s">
        <v>7106</v>
      </c>
      <c r="C295" s="323" t="s">
        <v>7107</v>
      </c>
      <c r="D295" s="323" t="s">
        <v>1759</v>
      </c>
      <c r="E295" s="323" t="s">
        <v>1424</v>
      </c>
      <c r="F295" s="322">
        <v>7147.0</v>
      </c>
      <c r="G295" s="324"/>
      <c r="H295" s="323" t="s">
        <v>6636</v>
      </c>
      <c r="I295" s="322">
        <v>55.0</v>
      </c>
      <c r="J295" s="322">
        <v>3930.85</v>
      </c>
      <c r="K295" s="322">
        <f t="shared" si="1"/>
        <v>3930.85</v>
      </c>
      <c r="L295" s="324"/>
      <c r="M295" s="324"/>
      <c r="N295" s="324"/>
      <c r="O295" s="324"/>
      <c r="P295" s="324"/>
      <c r="Q295" s="31"/>
      <c r="R295" s="31"/>
      <c r="S295" s="31"/>
      <c r="T295" s="31"/>
      <c r="U295" s="31"/>
      <c r="V295" s="31"/>
      <c r="W295" s="31"/>
      <c r="X295" s="31"/>
      <c r="Y295" s="31"/>
    </row>
    <row r="296" ht="15.75" customHeight="1">
      <c r="A296" s="322">
        <v>6.0</v>
      </c>
      <c r="B296" s="323" t="s">
        <v>7108</v>
      </c>
      <c r="C296" s="323" t="s">
        <v>7109</v>
      </c>
      <c r="D296" s="323" t="s">
        <v>1759</v>
      </c>
      <c r="E296" s="323" t="s">
        <v>1424</v>
      </c>
      <c r="F296" s="322">
        <v>7147.0</v>
      </c>
      <c r="G296" s="324"/>
      <c r="H296" s="323" t="s">
        <v>6636</v>
      </c>
      <c r="I296" s="322">
        <v>55.0</v>
      </c>
      <c r="J296" s="322">
        <v>3930.85</v>
      </c>
      <c r="K296" s="322">
        <f t="shared" si="1"/>
        <v>3930.85</v>
      </c>
      <c r="L296" s="324"/>
      <c r="M296" s="324"/>
      <c r="N296" s="324"/>
      <c r="O296" s="324"/>
      <c r="P296" s="324"/>
      <c r="Q296" s="31"/>
      <c r="R296" s="31"/>
      <c r="S296" s="31"/>
      <c r="T296" s="31"/>
      <c r="U296" s="31"/>
      <c r="V296" s="31"/>
      <c r="W296" s="31"/>
      <c r="X296" s="31"/>
      <c r="Y296" s="31"/>
    </row>
    <row r="297" ht="15.75" customHeight="1">
      <c r="A297" s="322">
        <v>7.0</v>
      </c>
      <c r="B297" s="323" t="s">
        <v>7110</v>
      </c>
      <c r="C297" s="323" t="s">
        <v>7111</v>
      </c>
      <c r="D297" s="323" t="s">
        <v>1759</v>
      </c>
      <c r="E297" s="323" t="s">
        <v>1424</v>
      </c>
      <c r="F297" s="322">
        <v>6934.0</v>
      </c>
      <c r="G297" s="324"/>
      <c r="H297" s="323" t="s">
        <v>6636</v>
      </c>
      <c r="I297" s="322">
        <v>55.0</v>
      </c>
      <c r="J297" s="322">
        <v>3813.7</v>
      </c>
      <c r="K297" s="322">
        <f t="shared" si="1"/>
        <v>3813.7</v>
      </c>
      <c r="L297" s="324"/>
      <c r="M297" s="324"/>
      <c r="N297" s="324"/>
      <c r="O297" s="324"/>
      <c r="P297" s="324"/>
      <c r="Q297" s="31"/>
      <c r="R297" s="31"/>
      <c r="S297" s="31"/>
      <c r="T297" s="31"/>
      <c r="U297" s="31"/>
      <c r="V297" s="31"/>
      <c r="W297" s="31"/>
      <c r="X297" s="31"/>
      <c r="Y297" s="31"/>
    </row>
    <row r="298" ht="15.75" customHeight="1">
      <c r="A298" s="322">
        <v>8.0</v>
      </c>
      <c r="B298" s="323" t="s">
        <v>7112</v>
      </c>
      <c r="C298" s="323" t="s">
        <v>7113</v>
      </c>
      <c r="D298" s="323" t="s">
        <v>1759</v>
      </c>
      <c r="E298" s="323" t="s">
        <v>1424</v>
      </c>
      <c r="F298" s="322">
        <v>7171.0</v>
      </c>
      <c r="G298" s="324"/>
      <c r="H298" s="323" t="s">
        <v>6636</v>
      </c>
      <c r="I298" s="322">
        <v>55.0</v>
      </c>
      <c r="J298" s="322">
        <v>3944.05</v>
      </c>
      <c r="K298" s="322">
        <f t="shared" si="1"/>
        <v>3944.05</v>
      </c>
      <c r="L298" s="324"/>
      <c r="M298" s="324"/>
      <c r="N298" s="324"/>
      <c r="O298" s="324"/>
      <c r="P298" s="324"/>
      <c r="Q298" s="31"/>
      <c r="R298" s="31"/>
      <c r="S298" s="31"/>
      <c r="T298" s="31"/>
      <c r="U298" s="31"/>
      <c r="V298" s="31"/>
      <c r="W298" s="31"/>
      <c r="X298" s="31"/>
      <c r="Y298" s="31"/>
    </row>
    <row r="299" ht="15.75" customHeight="1">
      <c r="A299" s="322">
        <v>9.0</v>
      </c>
      <c r="B299" s="323" t="s">
        <v>7114</v>
      </c>
      <c r="C299" s="323" t="s">
        <v>7115</v>
      </c>
      <c r="D299" s="323" t="s">
        <v>1759</v>
      </c>
      <c r="E299" s="323" t="s">
        <v>1424</v>
      </c>
      <c r="F299" s="322">
        <v>6963.0</v>
      </c>
      <c r="G299" s="324"/>
      <c r="H299" s="323" t="s">
        <v>6636</v>
      </c>
      <c r="I299" s="322">
        <v>55.0</v>
      </c>
      <c r="J299" s="322">
        <v>3829.65</v>
      </c>
      <c r="K299" s="322">
        <f t="shared" si="1"/>
        <v>3829.65</v>
      </c>
      <c r="L299" s="324"/>
      <c r="M299" s="324"/>
      <c r="N299" s="324"/>
      <c r="O299" s="324"/>
      <c r="P299" s="324"/>
      <c r="Q299" s="31"/>
      <c r="R299" s="31"/>
      <c r="S299" s="31"/>
      <c r="T299" s="31"/>
      <c r="U299" s="31"/>
      <c r="V299" s="31"/>
      <c r="W299" s="31"/>
      <c r="X299" s="31"/>
      <c r="Y299" s="31"/>
    </row>
    <row r="300" ht="15.75" customHeight="1">
      <c r="A300" s="322">
        <v>10.0</v>
      </c>
      <c r="B300" s="323" t="s">
        <v>7116</v>
      </c>
      <c r="C300" s="323" t="s">
        <v>7095</v>
      </c>
      <c r="D300" s="323" t="s">
        <v>1759</v>
      </c>
      <c r="E300" s="323" t="s">
        <v>1424</v>
      </c>
      <c r="F300" s="322">
        <v>7021.0</v>
      </c>
      <c r="G300" s="324"/>
      <c r="H300" s="323" t="s">
        <v>6636</v>
      </c>
      <c r="I300" s="322">
        <v>55.0</v>
      </c>
      <c r="J300" s="322">
        <v>3861.55</v>
      </c>
      <c r="K300" s="322">
        <f t="shared" si="1"/>
        <v>3861.55</v>
      </c>
      <c r="L300" s="324"/>
      <c r="M300" s="324"/>
      <c r="N300" s="324"/>
      <c r="O300" s="324"/>
      <c r="P300" s="324"/>
      <c r="Q300" s="31"/>
      <c r="R300" s="31"/>
      <c r="S300" s="31"/>
      <c r="T300" s="31"/>
      <c r="U300" s="31"/>
      <c r="V300" s="31"/>
      <c r="W300" s="31"/>
      <c r="X300" s="31"/>
      <c r="Y300" s="31"/>
    </row>
    <row r="301" ht="15.75" customHeight="1">
      <c r="A301" s="322">
        <v>11.0</v>
      </c>
      <c r="B301" s="323" t="s">
        <v>7117</v>
      </c>
      <c r="C301" s="323" t="s">
        <v>6679</v>
      </c>
      <c r="D301" s="323" t="s">
        <v>7118</v>
      </c>
      <c r="E301" s="323" t="s">
        <v>143</v>
      </c>
      <c r="F301" s="322">
        <v>3476.0</v>
      </c>
      <c r="G301" s="324"/>
      <c r="H301" s="323" t="s">
        <v>6636</v>
      </c>
      <c r="I301" s="322">
        <v>23.0</v>
      </c>
      <c r="J301" s="322">
        <v>799.48</v>
      </c>
      <c r="K301" s="322">
        <f t="shared" si="1"/>
        <v>799.48</v>
      </c>
      <c r="L301" s="324"/>
      <c r="M301" s="324"/>
      <c r="N301" s="324"/>
      <c r="O301" s="324"/>
      <c r="P301" s="324"/>
      <c r="Q301" s="31"/>
      <c r="R301" s="31"/>
      <c r="S301" s="31"/>
      <c r="T301" s="31"/>
      <c r="U301" s="31"/>
      <c r="V301" s="31"/>
      <c r="W301" s="31"/>
      <c r="X301" s="31"/>
      <c r="Y301" s="31"/>
    </row>
    <row r="302" ht="15.75" customHeight="1">
      <c r="A302" s="330">
        <v>12.0</v>
      </c>
      <c r="B302" s="331" t="s">
        <v>3565</v>
      </c>
      <c r="C302" s="331" t="s">
        <v>6977</v>
      </c>
      <c r="D302" s="331" t="s">
        <v>1395</v>
      </c>
      <c r="E302" s="331" t="s">
        <v>668</v>
      </c>
      <c r="F302" s="330">
        <v>16565.0</v>
      </c>
      <c r="G302" s="330">
        <v>18585.0</v>
      </c>
      <c r="H302" s="331" t="s">
        <v>6639</v>
      </c>
      <c r="I302" s="330">
        <v>52.0</v>
      </c>
      <c r="J302" s="330">
        <v>8613.8</v>
      </c>
      <c r="K302" s="322">
        <f t="shared" si="1"/>
        <v>-9971.2</v>
      </c>
      <c r="L302" s="332"/>
      <c r="M302" s="332"/>
      <c r="N302" s="332"/>
      <c r="O302" s="332"/>
      <c r="P302" s="332"/>
      <c r="Q302" s="31"/>
      <c r="R302" s="31"/>
      <c r="S302" s="31"/>
      <c r="T302" s="31"/>
      <c r="U302" s="31"/>
      <c r="V302" s="31"/>
      <c r="W302" s="31"/>
      <c r="X302" s="31"/>
      <c r="Y302" s="31"/>
    </row>
    <row r="303" ht="15.75" customHeight="1">
      <c r="A303" s="322">
        <v>13.0</v>
      </c>
      <c r="B303" s="323" t="s">
        <v>7119</v>
      </c>
      <c r="C303" s="323" t="s">
        <v>7120</v>
      </c>
      <c r="D303" s="323" t="s">
        <v>7118</v>
      </c>
      <c r="E303" s="323" t="s">
        <v>668</v>
      </c>
      <c r="F303" s="322">
        <v>3416.0</v>
      </c>
      <c r="G303" s="322">
        <v>4030.0</v>
      </c>
      <c r="H303" s="323" t="s">
        <v>6639</v>
      </c>
      <c r="I303" s="322">
        <v>32.0</v>
      </c>
      <c r="J303" s="322">
        <v>1093.12</v>
      </c>
      <c r="K303" s="322">
        <f t="shared" si="1"/>
        <v>-2936.88</v>
      </c>
      <c r="L303" s="324"/>
      <c r="M303" s="324"/>
      <c r="N303" s="324"/>
      <c r="O303" s="324"/>
      <c r="P303" s="324"/>
      <c r="Q303" s="31"/>
      <c r="R303" s="31"/>
      <c r="S303" s="31"/>
      <c r="T303" s="31"/>
      <c r="U303" s="31"/>
      <c r="V303" s="31"/>
      <c r="W303" s="31"/>
      <c r="X303" s="31"/>
      <c r="Y303" s="31"/>
    </row>
    <row r="304" ht="15.75" customHeight="1">
      <c r="A304" s="322">
        <v>14.0</v>
      </c>
      <c r="B304" s="323" t="s">
        <v>7121</v>
      </c>
      <c r="C304" s="323" t="s">
        <v>7122</v>
      </c>
      <c r="D304" s="323" t="s">
        <v>1759</v>
      </c>
      <c r="E304" s="323" t="s">
        <v>1424</v>
      </c>
      <c r="F304" s="322">
        <v>7061.0</v>
      </c>
      <c r="G304" s="324"/>
      <c r="H304" s="323" t="s">
        <v>6636</v>
      </c>
      <c r="I304" s="322">
        <v>55.0</v>
      </c>
      <c r="J304" s="322">
        <v>3883.55</v>
      </c>
      <c r="K304" s="322">
        <f t="shared" si="1"/>
        <v>3883.55</v>
      </c>
      <c r="L304" s="324"/>
      <c r="M304" s="324"/>
      <c r="N304" s="324"/>
      <c r="O304" s="324"/>
      <c r="P304" s="324"/>
      <c r="Q304" s="31"/>
      <c r="R304" s="31"/>
      <c r="S304" s="31"/>
      <c r="T304" s="31"/>
      <c r="U304" s="31"/>
      <c r="V304" s="31"/>
      <c r="W304" s="31"/>
      <c r="X304" s="31"/>
      <c r="Y304" s="31"/>
    </row>
    <row r="305" ht="15.75" customHeight="1">
      <c r="A305" s="322">
        <v>15.0</v>
      </c>
      <c r="B305" s="323" t="s">
        <v>7123</v>
      </c>
      <c r="C305" s="323" t="s">
        <v>7124</v>
      </c>
      <c r="D305" s="323" t="s">
        <v>21</v>
      </c>
      <c r="E305" s="323" t="s">
        <v>668</v>
      </c>
      <c r="F305" s="322">
        <v>52567.0</v>
      </c>
      <c r="G305" s="324"/>
      <c r="H305" s="323" t="s">
        <v>6636</v>
      </c>
      <c r="I305" s="322">
        <v>19.0</v>
      </c>
      <c r="J305" s="322">
        <v>9987.73</v>
      </c>
      <c r="K305" s="322">
        <f t="shared" si="1"/>
        <v>9987.73</v>
      </c>
      <c r="L305" s="324"/>
      <c r="M305" s="324"/>
      <c r="N305" s="324"/>
      <c r="O305" s="324"/>
      <c r="P305" s="324"/>
      <c r="Q305" s="31"/>
      <c r="R305" s="31"/>
      <c r="S305" s="31"/>
      <c r="T305" s="31"/>
      <c r="U305" s="31"/>
      <c r="V305" s="31"/>
      <c r="W305" s="31"/>
      <c r="X305" s="31"/>
      <c r="Y305" s="31"/>
    </row>
    <row r="306" ht="15.75" customHeight="1">
      <c r="A306" s="330">
        <v>16.0</v>
      </c>
      <c r="B306" s="331" t="s">
        <v>3525</v>
      </c>
      <c r="C306" s="331" t="s">
        <v>7125</v>
      </c>
      <c r="D306" s="331" t="s">
        <v>21</v>
      </c>
      <c r="E306" s="331" t="s">
        <v>668</v>
      </c>
      <c r="F306" s="330">
        <v>47658.0</v>
      </c>
      <c r="G306" s="332"/>
      <c r="H306" s="331" t="s">
        <v>6636</v>
      </c>
      <c r="I306" s="330">
        <v>17.0</v>
      </c>
      <c r="J306" s="330">
        <v>8101.86</v>
      </c>
      <c r="K306" s="322">
        <f t="shared" si="1"/>
        <v>8101.86</v>
      </c>
      <c r="L306" s="332"/>
      <c r="M306" s="332"/>
      <c r="N306" s="332"/>
      <c r="O306" s="332"/>
      <c r="P306" s="332"/>
      <c r="Q306" s="31"/>
      <c r="R306" s="31"/>
      <c r="S306" s="31"/>
      <c r="T306" s="31"/>
      <c r="U306" s="31"/>
      <c r="V306" s="31"/>
      <c r="W306" s="31"/>
      <c r="X306" s="31"/>
      <c r="Y306" s="31"/>
    </row>
    <row r="307" ht="15.75" customHeight="1">
      <c r="A307" s="322">
        <v>17.0</v>
      </c>
      <c r="B307" s="323" t="s">
        <v>7126</v>
      </c>
      <c r="C307" s="323" t="s">
        <v>7127</v>
      </c>
      <c r="D307" s="323" t="s">
        <v>1395</v>
      </c>
      <c r="E307" s="323" t="s">
        <v>116</v>
      </c>
      <c r="F307" s="322">
        <v>25090.0</v>
      </c>
      <c r="G307" s="322">
        <v>28636.0</v>
      </c>
      <c r="H307" s="323" t="s">
        <v>6639</v>
      </c>
      <c r="I307" s="322">
        <v>49.0</v>
      </c>
      <c r="J307" s="322">
        <v>12294.1</v>
      </c>
      <c r="K307" s="322">
        <f t="shared" si="1"/>
        <v>-16341.9</v>
      </c>
      <c r="L307" s="324"/>
      <c r="M307" s="324"/>
      <c r="N307" s="324"/>
      <c r="O307" s="324"/>
      <c r="P307" s="324"/>
      <c r="Q307" s="31"/>
      <c r="R307" s="31"/>
      <c r="S307" s="31"/>
      <c r="T307" s="31"/>
      <c r="U307" s="31"/>
      <c r="V307" s="31"/>
      <c r="W307" s="31"/>
      <c r="X307" s="31"/>
      <c r="Y307" s="31"/>
    </row>
    <row r="308" ht="15.75" customHeight="1">
      <c r="A308" s="330">
        <v>18.0</v>
      </c>
      <c r="B308" s="331" t="s">
        <v>7128</v>
      </c>
      <c r="C308" s="331" t="s">
        <v>7129</v>
      </c>
      <c r="D308" s="331" t="s">
        <v>75</v>
      </c>
      <c r="E308" s="331" t="s">
        <v>668</v>
      </c>
      <c r="F308" s="330">
        <v>4542.0</v>
      </c>
      <c r="G308" s="330">
        <v>5092.0</v>
      </c>
      <c r="H308" s="331" t="s">
        <v>6639</v>
      </c>
      <c r="I308" s="330">
        <v>52.0</v>
      </c>
      <c r="J308" s="330">
        <v>2361.84</v>
      </c>
      <c r="K308" s="322">
        <f t="shared" si="1"/>
        <v>-2730.16</v>
      </c>
      <c r="L308" s="332"/>
      <c r="M308" s="332"/>
      <c r="N308" s="332"/>
      <c r="O308" s="332"/>
      <c r="P308" s="332"/>
      <c r="Q308" s="31"/>
      <c r="R308" s="31"/>
      <c r="S308" s="31"/>
      <c r="T308" s="31"/>
      <c r="U308" s="31"/>
      <c r="V308" s="31"/>
      <c r="W308" s="31"/>
      <c r="X308" s="31"/>
      <c r="Y308" s="31"/>
    </row>
    <row r="309" ht="15.75" customHeight="1">
      <c r="A309" s="322">
        <v>19.0</v>
      </c>
      <c r="B309" s="323" t="s">
        <v>7130</v>
      </c>
      <c r="C309" s="323" t="s">
        <v>7131</v>
      </c>
      <c r="D309" s="323" t="s">
        <v>7118</v>
      </c>
      <c r="E309" s="323" t="s">
        <v>668</v>
      </c>
      <c r="F309" s="322">
        <v>3776.0</v>
      </c>
      <c r="G309" s="322">
        <v>4456.0</v>
      </c>
      <c r="H309" s="323" t="s">
        <v>6639</v>
      </c>
      <c r="I309" s="322">
        <v>33.0</v>
      </c>
      <c r="J309" s="322">
        <v>1246.08</v>
      </c>
      <c r="K309" s="322">
        <f t="shared" si="1"/>
        <v>-3209.92</v>
      </c>
      <c r="L309" s="324"/>
      <c r="M309" s="324"/>
      <c r="N309" s="324"/>
      <c r="O309" s="324"/>
      <c r="P309" s="324"/>
      <c r="Q309" s="31"/>
      <c r="R309" s="31"/>
      <c r="S309" s="31"/>
      <c r="T309" s="31"/>
      <c r="U309" s="31"/>
      <c r="V309" s="31"/>
      <c r="W309" s="31"/>
      <c r="X309" s="31"/>
      <c r="Y309" s="31"/>
    </row>
    <row r="310" ht="15.75" customHeight="1">
      <c r="A310" s="330">
        <v>20.0</v>
      </c>
      <c r="B310" s="331" t="s">
        <v>7132</v>
      </c>
      <c r="C310" s="331" t="s">
        <v>7133</v>
      </c>
      <c r="D310" s="331" t="s">
        <v>7134</v>
      </c>
      <c r="E310" s="331" t="s">
        <v>65</v>
      </c>
      <c r="F310" s="330">
        <v>16200.0</v>
      </c>
      <c r="G310" s="332"/>
      <c r="H310" s="331" t="s">
        <v>6636</v>
      </c>
      <c r="I310" s="330">
        <v>38.0</v>
      </c>
      <c r="J310" s="330">
        <v>6156.0</v>
      </c>
      <c r="K310" s="322">
        <f t="shared" si="1"/>
        <v>6156</v>
      </c>
      <c r="L310" s="332"/>
      <c r="M310" s="332"/>
      <c r="N310" s="332"/>
      <c r="O310" s="332"/>
      <c r="P310" s="332"/>
      <c r="Q310" s="31"/>
      <c r="R310" s="31"/>
      <c r="S310" s="31"/>
      <c r="T310" s="31"/>
      <c r="U310" s="31"/>
      <c r="V310" s="31"/>
      <c r="W310" s="31"/>
      <c r="X310" s="31"/>
      <c r="Y310" s="31"/>
    </row>
    <row r="311" ht="15.75" customHeight="1">
      <c r="A311" s="330">
        <v>21.0</v>
      </c>
      <c r="B311" s="331" t="s">
        <v>3472</v>
      </c>
      <c r="C311" s="331" t="s">
        <v>7135</v>
      </c>
      <c r="D311" s="331" t="s">
        <v>75</v>
      </c>
      <c r="E311" s="331" t="s">
        <v>668</v>
      </c>
      <c r="F311" s="330">
        <v>5331.0</v>
      </c>
      <c r="G311" s="330">
        <v>6023.0</v>
      </c>
      <c r="H311" s="331" t="s">
        <v>6639</v>
      </c>
      <c r="I311" s="330">
        <v>52.0</v>
      </c>
      <c r="J311" s="330">
        <v>2772.12</v>
      </c>
      <c r="K311" s="322">
        <f t="shared" si="1"/>
        <v>-3250.88</v>
      </c>
      <c r="L311" s="332"/>
      <c r="M311" s="332"/>
      <c r="N311" s="332"/>
      <c r="O311" s="332"/>
      <c r="P311" s="332"/>
      <c r="Q311" s="31"/>
      <c r="R311" s="31"/>
      <c r="S311" s="31"/>
      <c r="T311" s="31"/>
      <c r="U311" s="31"/>
      <c r="V311" s="31"/>
      <c r="W311" s="31"/>
      <c r="X311" s="31"/>
      <c r="Y311" s="31"/>
    </row>
    <row r="312" ht="15.75" customHeight="1">
      <c r="A312" s="333">
        <v>22.0</v>
      </c>
      <c r="B312" s="334" t="s">
        <v>7136</v>
      </c>
      <c r="C312" s="334" t="s">
        <v>7137</v>
      </c>
      <c r="D312" s="334" t="s">
        <v>21</v>
      </c>
      <c r="E312" s="334" t="s">
        <v>48</v>
      </c>
      <c r="F312" s="333">
        <v>52244.0</v>
      </c>
      <c r="G312" s="335"/>
      <c r="H312" s="334" t="s">
        <v>6636</v>
      </c>
      <c r="I312" s="333">
        <v>17.0</v>
      </c>
      <c r="J312" s="333">
        <v>0.0</v>
      </c>
      <c r="K312" s="322">
        <f t="shared" si="1"/>
        <v>0</v>
      </c>
      <c r="L312" s="335"/>
      <c r="M312" s="335"/>
      <c r="N312" s="335"/>
      <c r="O312" s="335"/>
      <c r="P312" s="335"/>
      <c r="Q312" s="31"/>
      <c r="R312" s="31"/>
      <c r="S312" s="31"/>
      <c r="T312" s="31"/>
      <c r="U312" s="31"/>
      <c r="V312" s="31"/>
      <c r="W312" s="31"/>
      <c r="X312" s="31"/>
      <c r="Y312" s="31"/>
    </row>
    <row r="313" ht="15.75" customHeight="1">
      <c r="A313" s="330">
        <v>23.0</v>
      </c>
      <c r="B313" s="331" t="s">
        <v>7138</v>
      </c>
      <c r="C313" s="331" t="s">
        <v>7139</v>
      </c>
      <c r="D313" s="331" t="s">
        <v>1395</v>
      </c>
      <c r="E313" s="331" t="s">
        <v>668</v>
      </c>
      <c r="F313" s="330">
        <v>19603.0</v>
      </c>
      <c r="G313" s="332"/>
      <c r="H313" s="331" t="s">
        <v>6636</v>
      </c>
      <c r="I313" s="330">
        <v>52.0</v>
      </c>
      <c r="J313" s="330">
        <v>10193.56</v>
      </c>
      <c r="K313" s="322">
        <f t="shared" si="1"/>
        <v>10193.56</v>
      </c>
      <c r="L313" s="332"/>
      <c r="M313" s="332"/>
      <c r="N313" s="332"/>
      <c r="O313" s="332"/>
      <c r="P313" s="332"/>
      <c r="Q313" s="31"/>
      <c r="R313" s="31"/>
      <c r="S313" s="31"/>
      <c r="T313" s="31"/>
      <c r="U313" s="31"/>
      <c r="V313" s="31"/>
      <c r="W313" s="31"/>
      <c r="X313" s="31"/>
      <c r="Y313" s="31"/>
    </row>
    <row r="314" ht="15.75" customHeight="1">
      <c r="A314" s="330">
        <v>24.0</v>
      </c>
      <c r="B314" s="331" t="s">
        <v>7140</v>
      </c>
      <c r="C314" s="331" t="s">
        <v>7141</v>
      </c>
      <c r="D314" s="331" t="s">
        <v>75</v>
      </c>
      <c r="E314" s="331" t="s">
        <v>668</v>
      </c>
      <c r="F314" s="330">
        <v>5265.0</v>
      </c>
      <c r="G314" s="330">
        <v>5943.0</v>
      </c>
      <c r="H314" s="331" t="s">
        <v>6639</v>
      </c>
      <c r="I314" s="330">
        <v>52.0</v>
      </c>
      <c r="J314" s="330">
        <v>2737.8</v>
      </c>
      <c r="K314" s="322">
        <f t="shared" si="1"/>
        <v>-3205.2</v>
      </c>
      <c r="L314" s="332"/>
      <c r="M314" s="332"/>
      <c r="N314" s="332"/>
      <c r="O314" s="332"/>
      <c r="P314" s="332"/>
      <c r="Q314" s="31"/>
      <c r="R314" s="31"/>
      <c r="S314" s="31"/>
      <c r="T314" s="31"/>
      <c r="U314" s="31"/>
      <c r="V314" s="31"/>
      <c r="W314" s="31"/>
      <c r="X314" s="31"/>
      <c r="Y314" s="31"/>
    </row>
    <row r="315" ht="15.75" customHeight="1">
      <c r="A315" s="330">
        <v>25.0</v>
      </c>
      <c r="B315" s="331" t="s">
        <v>7142</v>
      </c>
      <c r="C315" s="331" t="s">
        <v>7143</v>
      </c>
      <c r="D315" s="331" t="s">
        <v>21</v>
      </c>
      <c r="E315" s="331" t="s">
        <v>668</v>
      </c>
      <c r="F315" s="330">
        <v>29419.0</v>
      </c>
      <c r="G315" s="330">
        <v>33083.0</v>
      </c>
      <c r="H315" s="331" t="s">
        <v>6639</v>
      </c>
      <c r="I315" s="330">
        <v>17.0</v>
      </c>
      <c r="J315" s="330">
        <v>5001.23</v>
      </c>
      <c r="K315" s="322">
        <f t="shared" si="1"/>
        <v>-28081.77</v>
      </c>
      <c r="L315" s="332"/>
      <c r="M315" s="332"/>
      <c r="N315" s="332"/>
      <c r="O315" s="332"/>
      <c r="P315" s="332"/>
      <c r="Q315" s="31"/>
      <c r="R315" s="31"/>
      <c r="S315" s="31"/>
      <c r="T315" s="31"/>
      <c r="U315" s="31"/>
      <c r="V315" s="31"/>
      <c r="W315" s="31"/>
      <c r="X315" s="31"/>
      <c r="Y315" s="31"/>
    </row>
    <row r="316" ht="15.75" customHeight="1">
      <c r="A316" s="330">
        <v>26.0</v>
      </c>
      <c r="B316" s="331" t="s">
        <v>3605</v>
      </c>
      <c r="C316" s="331" t="s">
        <v>7144</v>
      </c>
      <c r="D316" s="331" t="s">
        <v>1395</v>
      </c>
      <c r="E316" s="331" t="s">
        <v>668</v>
      </c>
      <c r="F316" s="330">
        <v>18193.0</v>
      </c>
      <c r="G316" s="332"/>
      <c r="H316" s="331" t="s">
        <v>6636</v>
      </c>
      <c r="I316" s="330">
        <v>52.0</v>
      </c>
      <c r="J316" s="330">
        <v>9460.36</v>
      </c>
      <c r="K316" s="322">
        <f t="shared" si="1"/>
        <v>9460.36</v>
      </c>
      <c r="L316" s="332"/>
      <c r="M316" s="332"/>
      <c r="N316" s="332"/>
      <c r="O316" s="332"/>
      <c r="P316" s="332"/>
      <c r="Q316" s="31"/>
      <c r="R316" s="31"/>
      <c r="S316" s="31"/>
      <c r="T316" s="31"/>
      <c r="U316" s="31"/>
      <c r="V316" s="31"/>
      <c r="W316" s="31"/>
      <c r="X316" s="31"/>
      <c r="Y316" s="31"/>
    </row>
    <row r="317" ht="15.75" customHeight="1">
      <c r="A317" s="322">
        <v>27.0</v>
      </c>
      <c r="B317" s="323" t="s">
        <v>7145</v>
      </c>
      <c r="C317" s="324"/>
      <c r="D317" s="324"/>
      <c r="E317" s="324"/>
      <c r="F317" s="324"/>
      <c r="G317" s="322">
        <v>1000.0</v>
      </c>
      <c r="H317" s="324"/>
      <c r="I317" s="324"/>
      <c r="J317" s="322">
        <v>0.0</v>
      </c>
      <c r="K317" s="322">
        <f t="shared" si="1"/>
        <v>-1000</v>
      </c>
      <c r="L317" s="324"/>
      <c r="M317" s="324"/>
      <c r="N317" s="324"/>
      <c r="O317" s="324"/>
      <c r="P317" s="324"/>
      <c r="Q317" s="31"/>
      <c r="R317" s="31"/>
      <c r="S317" s="31"/>
      <c r="T317" s="31"/>
      <c r="U317" s="31"/>
      <c r="V317" s="31"/>
      <c r="W317" s="31"/>
      <c r="X317" s="31"/>
      <c r="Y317" s="31"/>
    </row>
    <row r="318" ht="15.75" customHeight="1">
      <c r="A318" s="330">
        <v>28.0</v>
      </c>
      <c r="B318" s="331" t="s">
        <v>3677</v>
      </c>
      <c r="C318" s="331" t="s">
        <v>7146</v>
      </c>
      <c r="D318" s="331" t="s">
        <v>1395</v>
      </c>
      <c r="E318" s="331" t="s">
        <v>668</v>
      </c>
      <c r="F318" s="330">
        <v>20541.0</v>
      </c>
      <c r="G318" s="332"/>
      <c r="H318" s="331" t="s">
        <v>6636</v>
      </c>
      <c r="I318" s="330">
        <v>52.0</v>
      </c>
      <c r="J318" s="330">
        <v>10681.32</v>
      </c>
      <c r="K318" s="322">
        <f t="shared" si="1"/>
        <v>10681.32</v>
      </c>
      <c r="L318" s="332"/>
      <c r="M318" s="332"/>
      <c r="N318" s="332"/>
      <c r="O318" s="332"/>
      <c r="P318" s="332"/>
      <c r="Q318" s="31"/>
      <c r="R318" s="31"/>
      <c r="S318" s="31"/>
      <c r="T318" s="31"/>
      <c r="U318" s="31"/>
      <c r="V318" s="31"/>
      <c r="W318" s="31"/>
      <c r="X318" s="31"/>
      <c r="Y318" s="31"/>
    </row>
    <row r="319" ht="15.75" customHeight="1">
      <c r="A319" s="322">
        <v>29.0</v>
      </c>
      <c r="B319" s="323" t="s">
        <v>3756</v>
      </c>
      <c r="C319" s="323" t="s">
        <v>7147</v>
      </c>
      <c r="D319" s="323" t="s">
        <v>1395</v>
      </c>
      <c r="E319" s="323" t="s">
        <v>116</v>
      </c>
      <c r="F319" s="322">
        <v>27476.0</v>
      </c>
      <c r="G319" s="324"/>
      <c r="H319" s="323" t="s">
        <v>6636</v>
      </c>
      <c r="I319" s="322">
        <v>49.0</v>
      </c>
      <c r="J319" s="322">
        <v>13463.24</v>
      </c>
      <c r="K319" s="322">
        <f t="shared" si="1"/>
        <v>13463.24</v>
      </c>
      <c r="L319" s="324"/>
      <c r="M319" s="324"/>
      <c r="N319" s="324"/>
      <c r="O319" s="324"/>
      <c r="P319" s="324"/>
      <c r="Q319" s="31"/>
      <c r="R319" s="31"/>
      <c r="S319" s="31"/>
      <c r="T319" s="31"/>
      <c r="U319" s="31"/>
      <c r="V319" s="31"/>
      <c r="W319" s="31"/>
      <c r="X319" s="31"/>
      <c r="Y319" s="31"/>
    </row>
    <row r="320" ht="15.75" customHeight="1">
      <c r="A320" s="322">
        <v>30.0</v>
      </c>
      <c r="B320" s="323" t="s">
        <v>7148</v>
      </c>
      <c r="C320" s="323" t="s">
        <v>7149</v>
      </c>
      <c r="D320" s="323" t="s">
        <v>7134</v>
      </c>
      <c r="E320" s="323" t="s">
        <v>65</v>
      </c>
      <c r="F320" s="322">
        <v>16200.0</v>
      </c>
      <c r="G320" s="324"/>
      <c r="H320" s="323" t="s">
        <v>6636</v>
      </c>
      <c r="I320" s="322">
        <v>37.0</v>
      </c>
      <c r="J320" s="322">
        <v>5994.0</v>
      </c>
      <c r="K320" s="322">
        <f t="shared" si="1"/>
        <v>5994</v>
      </c>
      <c r="L320" s="324"/>
      <c r="M320" s="324"/>
      <c r="N320" s="324"/>
      <c r="O320" s="324"/>
      <c r="P320" s="324"/>
      <c r="Q320" s="31"/>
      <c r="R320" s="31"/>
      <c r="S320" s="31"/>
      <c r="T320" s="31"/>
      <c r="U320" s="31"/>
      <c r="V320" s="31"/>
      <c r="W320" s="31"/>
      <c r="X320" s="31"/>
      <c r="Y320" s="31"/>
    </row>
    <row r="321" ht="15.75" customHeight="1">
      <c r="A321" s="322">
        <v>31.0</v>
      </c>
      <c r="B321" s="323" t="s">
        <v>7150</v>
      </c>
      <c r="C321" s="323" t="s">
        <v>7151</v>
      </c>
      <c r="D321" s="323" t="s">
        <v>21</v>
      </c>
      <c r="E321" s="323" t="s">
        <v>668</v>
      </c>
      <c r="F321" s="322">
        <v>50534.0</v>
      </c>
      <c r="G321" s="324"/>
      <c r="H321" s="323" t="s">
        <v>6636</v>
      </c>
      <c r="I321" s="322">
        <v>19.0</v>
      </c>
      <c r="J321" s="322">
        <v>9601.46</v>
      </c>
      <c r="K321" s="322">
        <f t="shared" si="1"/>
        <v>9601.46</v>
      </c>
      <c r="L321" s="324"/>
      <c r="M321" s="324"/>
      <c r="N321" s="324"/>
      <c r="O321" s="324"/>
      <c r="P321" s="324"/>
      <c r="Q321" s="31"/>
      <c r="R321" s="31"/>
      <c r="S321" s="31"/>
      <c r="T321" s="31"/>
      <c r="U321" s="31"/>
      <c r="V321" s="31"/>
      <c r="W321" s="31"/>
      <c r="X321" s="31"/>
      <c r="Y321" s="31"/>
    </row>
    <row r="322" ht="15.75" customHeight="1">
      <c r="A322" s="322">
        <v>32.0</v>
      </c>
      <c r="B322" s="323" t="s">
        <v>7152</v>
      </c>
      <c r="C322" s="323" t="s">
        <v>7153</v>
      </c>
      <c r="D322" s="323" t="s">
        <v>7118</v>
      </c>
      <c r="E322" s="323" t="s">
        <v>668</v>
      </c>
      <c r="F322" s="322">
        <v>3841.0</v>
      </c>
      <c r="G322" s="322">
        <v>4533.0</v>
      </c>
      <c r="H322" s="323" t="s">
        <v>6639</v>
      </c>
      <c r="I322" s="322">
        <v>32.0</v>
      </c>
      <c r="J322" s="322">
        <v>1229.12</v>
      </c>
      <c r="K322" s="322">
        <f t="shared" si="1"/>
        <v>-3303.88</v>
      </c>
      <c r="L322" s="324"/>
      <c r="M322" s="324"/>
      <c r="N322" s="324"/>
      <c r="O322" s="324"/>
      <c r="P322" s="324"/>
      <c r="Q322" s="31"/>
      <c r="R322" s="31"/>
      <c r="S322" s="31"/>
      <c r="T322" s="31"/>
      <c r="U322" s="31"/>
      <c r="V322" s="31"/>
      <c r="W322" s="31"/>
      <c r="X322" s="31"/>
      <c r="Y322" s="31"/>
    </row>
    <row r="323" ht="15.75" customHeight="1">
      <c r="A323" s="322">
        <v>33.0</v>
      </c>
      <c r="B323" s="323" t="s">
        <v>7154</v>
      </c>
      <c r="C323" s="323" t="s">
        <v>7155</v>
      </c>
      <c r="D323" s="323" t="s">
        <v>21</v>
      </c>
      <c r="E323" s="323" t="s">
        <v>668</v>
      </c>
      <c r="F323" s="322">
        <v>49190.0</v>
      </c>
      <c r="G323" s="322">
        <v>55408.0</v>
      </c>
      <c r="H323" s="323" t="s">
        <v>6639</v>
      </c>
      <c r="I323" s="322">
        <v>19.0</v>
      </c>
      <c r="J323" s="322">
        <v>9346.1</v>
      </c>
      <c r="K323" s="322">
        <f t="shared" si="1"/>
        <v>-46061.9</v>
      </c>
      <c r="L323" s="324"/>
      <c r="M323" s="324"/>
      <c r="N323" s="324"/>
      <c r="O323" s="324"/>
      <c r="P323" s="324"/>
      <c r="Q323" s="31"/>
      <c r="R323" s="31"/>
      <c r="S323" s="31"/>
      <c r="T323" s="31"/>
      <c r="U323" s="31"/>
      <c r="V323" s="31"/>
      <c r="W323" s="31"/>
      <c r="X323" s="31"/>
      <c r="Y323" s="31"/>
    </row>
    <row r="324" ht="15.75" customHeight="1">
      <c r="A324" s="322">
        <v>34.0</v>
      </c>
      <c r="B324" s="323" t="s">
        <v>1939</v>
      </c>
      <c r="C324" s="323" t="s">
        <v>7156</v>
      </c>
      <c r="D324" s="323" t="s">
        <v>21</v>
      </c>
      <c r="E324" s="323" t="s">
        <v>48</v>
      </c>
      <c r="F324" s="322">
        <v>49418.0</v>
      </c>
      <c r="G324" s="324"/>
      <c r="H324" s="323" t="s">
        <v>6636</v>
      </c>
      <c r="I324" s="322">
        <v>17.0</v>
      </c>
      <c r="J324" s="322">
        <v>8401.06</v>
      </c>
      <c r="K324" s="322">
        <f t="shared" si="1"/>
        <v>8401.06</v>
      </c>
      <c r="L324" s="324"/>
      <c r="M324" s="324"/>
      <c r="N324" s="324"/>
      <c r="O324" s="324"/>
      <c r="P324" s="324"/>
      <c r="Q324" s="31"/>
      <c r="R324" s="31"/>
      <c r="S324" s="31"/>
      <c r="T324" s="31"/>
      <c r="U324" s="31"/>
      <c r="V324" s="31"/>
      <c r="W324" s="31"/>
      <c r="X324" s="31"/>
      <c r="Y324" s="31"/>
    </row>
    <row r="325" ht="15.75" customHeight="1">
      <c r="A325" s="330">
        <v>35.0</v>
      </c>
      <c r="B325" s="331" t="s">
        <v>7157</v>
      </c>
      <c r="C325" s="331" t="s">
        <v>7158</v>
      </c>
      <c r="D325" s="331" t="s">
        <v>1395</v>
      </c>
      <c r="E325" s="331" t="s">
        <v>668</v>
      </c>
      <c r="F325" s="330">
        <v>16748.0</v>
      </c>
      <c r="G325" s="332"/>
      <c r="H325" s="331" t="s">
        <v>6636</v>
      </c>
      <c r="I325" s="330">
        <v>52.0</v>
      </c>
      <c r="J325" s="330">
        <v>8708.96</v>
      </c>
      <c r="K325" s="322">
        <f t="shared" si="1"/>
        <v>8708.96</v>
      </c>
      <c r="L325" s="332"/>
      <c r="M325" s="332"/>
      <c r="N325" s="332"/>
      <c r="O325" s="332"/>
      <c r="P325" s="332"/>
      <c r="Q325" s="31"/>
      <c r="R325" s="31"/>
      <c r="S325" s="31"/>
      <c r="T325" s="31"/>
      <c r="U325" s="31"/>
      <c r="V325" s="31"/>
      <c r="W325" s="31"/>
      <c r="X325" s="31"/>
      <c r="Y325" s="31"/>
    </row>
    <row r="326" ht="15.75" customHeight="1">
      <c r="A326" s="322">
        <v>36.0</v>
      </c>
      <c r="B326" s="323" t="s">
        <v>7159</v>
      </c>
      <c r="C326" s="323" t="s">
        <v>7160</v>
      </c>
      <c r="D326" s="323" t="s">
        <v>7118</v>
      </c>
      <c r="E326" s="323" t="s">
        <v>7099</v>
      </c>
      <c r="F326" s="322">
        <v>3796.0</v>
      </c>
      <c r="G326" s="324"/>
      <c r="H326" s="323" t="s">
        <v>6636</v>
      </c>
      <c r="I326" s="322">
        <v>25.0</v>
      </c>
      <c r="J326" s="322">
        <v>949.0</v>
      </c>
      <c r="K326" s="322">
        <f t="shared" si="1"/>
        <v>949</v>
      </c>
      <c r="L326" s="324"/>
      <c r="M326" s="324"/>
      <c r="N326" s="324"/>
      <c r="O326" s="324"/>
      <c r="P326" s="324"/>
      <c r="Q326" s="31"/>
      <c r="R326" s="31"/>
      <c r="S326" s="31"/>
      <c r="T326" s="31"/>
      <c r="U326" s="31"/>
      <c r="V326" s="31"/>
      <c r="W326" s="31"/>
      <c r="X326" s="31"/>
      <c r="Y326" s="31"/>
    </row>
    <row r="327" ht="15.75" customHeight="1">
      <c r="A327" s="322">
        <v>37.0</v>
      </c>
      <c r="B327" s="323" t="s">
        <v>7161</v>
      </c>
      <c r="C327" s="323" t="s">
        <v>7162</v>
      </c>
      <c r="D327" s="323" t="s">
        <v>7118</v>
      </c>
      <c r="E327" s="323" t="s">
        <v>668</v>
      </c>
      <c r="F327" s="322">
        <v>2644.0</v>
      </c>
      <c r="G327" s="322">
        <v>3120.0</v>
      </c>
      <c r="H327" s="323" t="s">
        <v>6639</v>
      </c>
      <c r="I327" s="322">
        <v>33.0</v>
      </c>
      <c r="J327" s="322">
        <v>872.52</v>
      </c>
      <c r="K327" s="322">
        <f t="shared" si="1"/>
        <v>-2247.48</v>
      </c>
      <c r="L327" s="324"/>
      <c r="M327" s="324"/>
      <c r="N327" s="324"/>
      <c r="O327" s="324"/>
      <c r="P327" s="324"/>
      <c r="Q327" s="31"/>
      <c r="R327" s="31"/>
      <c r="S327" s="31"/>
      <c r="T327" s="31"/>
      <c r="U327" s="31"/>
      <c r="V327" s="31"/>
      <c r="W327" s="31"/>
      <c r="X327" s="31"/>
      <c r="Y327" s="31"/>
    </row>
    <row r="328" ht="15.75" customHeight="1">
      <c r="A328" s="322">
        <v>38.0</v>
      </c>
      <c r="B328" s="323" t="s">
        <v>7163</v>
      </c>
      <c r="C328" s="323" t="s">
        <v>7164</v>
      </c>
      <c r="D328" s="323" t="s">
        <v>21</v>
      </c>
      <c r="E328" s="323" t="s">
        <v>48</v>
      </c>
      <c r="F328" s="322">
        <v>29078.0</v>
      </c>
      <c r="G328" s="322">
        <v>32681.0</v>
      </c>
      <c r="H328" s="323" t="s">
        <v>6639</v>
      </c>
      <c r="I328" s="322">
        <v>17.0</v>
      </c>
      <c r="J328" s="322">
        <v>4943.26</v>
      </c>
      <c r="K328" s="322">
        <f t="shared" si="1"/>
        <v>-27737.74</v>
      </c>
      <c r="L328" s="324"/>
      <c r="M328" s="324"/>
      <c r="N328" s="324"/>
      <c r="O328" s="324"/>
      <c r="P328" s="324"/>
      <c r="Q328" s="31"/>
      <c r="R328" s="31"/>
      <c r="S328" s="31"/>
      <c r="T328" s="31"/>
      <c r="U328" s="31"/>
      <c r="V328" s="31"/>
      <c r="W328" s="31"/>
      <c r="X328" s="31"/>
      <c r="Y328" s="31"/>
    </row>
    <row r="329" ht="15.75" customHeight="1">
      <c r="A329" s="322">
        <v>39.0</v>
      </c>
      <c r="B329" s="323" t="s">
        <v>7165</v>
      </c>
      <c r="C329" s="323" t="s">
        <v>7166</v>
      </c>
      <c r="D329" s="323" t="s">
        <v>7118</v>
      </c>
      <c r="E329" s="323" t="s">
        <v>668</v>
      </c>
      <c r="F329" s="322">
        <v>2519.0</v>
      </c>
      <c r="G329" s="322">
        <v>2973.0</v>
      </c>
      <c r="H329" s="323" t="s">
        <v>6639</v>
      </c>
      <c r="I329" s="322">
        <v>33.0</v>
      </c>
      <c r="J329" s="322">
        <v>831.27</v>
      </c>
      <c r="K329" s="322">
        <f t="shared" si="1"/>
        <v>-2141.73</v>
      </c>
      <c r="L329" s="324"/>
      <c r="M329" s="324"/>
      <c r="N329" s="324"/>
      <c r="O329" s="324"/>
      <c r="P329" s="324"/>
      <c r="Q329" s="31"/>
      <c r="R329" s="31"/>
      <c r="S329" s="31"/>
      <c r="T329" s="31"/>
      <c r="U329" s="31"/>
      <c r="V329" s="31"/>
      <c r="W329" s="31"/>
      <c r="X329" s="31"/>
      <c r="Y329" s="31"/>
    </row>
    <row r="330" ht="15.75" customHeight="1">
      <c r="A330" s="322">
        <v>40.0</v>
      </c>
      <c r="B330" s="323" t="s">
        <v>7167</v>
      </c>
      <c r="C330" s="323" t="s">
        <v>7168</v>
      </c>
      <c r="D330" s="323" t="s">
        <v>1395</v>
      </c>
      <c r="E330" s="323" t="s">
        <v>668</v>
      </c>
      <c r="F330" s="322">
        <v>17488.0</v>
      </c>
      <c r="G330" s="324"/>
      <c r="H330" s="323" t="s">
        <v>6636</v>
      </c>
      <c r="I330" s="322">
        <v>52.0</v>
      </c>
      <c r="J330" s="322">
        <v>9093.76</v>
      </c>
      <c r="K330" s="322">
        <f t="shared" si="1"/>
        <v>9093.76</v>
      </c>
      <c r="L330" s="324"/>
      <c r="M330" s="324"/>
      <c r="N330" s="324"/>
      <c r="O330" s="324"/>
      <c r="P330" s="324"/>
      <c r="Q330" s="31"/>
      <c r="R330" s="31"/>
      <c r="S330" s="31"/>
      <c r="T330" s="31"/>
      <c r="U330" s="31"/>
      <c r="V330" s="31"/>
      <c r="W330" s="31"/>
      <c r="X330" s="31"/>
      <c r="Y330" s="31"/>
    </row>
    <row r="331" ht="15.75" customHeight="1">
      <c r="A331" s="322">
        <v>41.0</v>
      </c>
      <c r="B331" s="323" t="s">
        <v>7169</v>
      </c>
      <c r="C331" s="323" t="s">
        <v>7170</v>
      </c>
      <c r="D331" s="323" t="s">
        <v>21</v>
      </c>
      <c r="E331" s="323" t="s">
        <v>668</v>
      </c>
      <c r="F331" s="322">
        <v>49247.0</v>
      </c>
      <c r="G331" s="324"/>
      <c r="H331" s="323" t="s">
        <v>6636</v>
      </c>
      <c r="I331" s="322">
        <v>19.0</v>
      </c>
      <c r="J331" s="322">
        <v>9356.93</v>
      </c>
      <c r="K331" s="322">
        <f t="shared" si="1"/>
        <v>9356.93</v>
      </c>
      <c r="L331" s="324"/>
      <c r="M331" s="324"/>
      <c r="N331" s="324"/>
      <c r="O331" s="324"/>
      <c r="P331" s="324"/>
      <c r="Q331" s="31"/>
      <c r="R331" s="31"/>
      <c r="S331" s="31"/>
      <c r="T331" s="31"/>
      <c r="U331" s="31"/>
      <c r="V331" s="31"/>
      <c r="W331" s="31"/>
      <c r="X331" s="31"/>
      <c r="Y331" s="31"/>
    </row>
    <row r="332" ht="15.75" customHeight="1">
      <c r="A332" s="336">
        <v>42.0</v>
      </c>
      <c r="B332" s="337" t="s">
        <v>7171</v>
      </c>
      <c r="C332" s="337" t="s">
        <v>7172</v>
      </c>
      <c r="D332" s="337" t="s">
        <v>21</v>
      </c>
      <c r="E332" s="337" t="s">
        <v>48</v>
      </c>
      <c r="F332" s="336">
        <v>49613.0</v>
      </c>
      <c r="G332" s="338"/>
      <c r="H332" s="337" t="s">
        <v>6636</v>
      </c>
      <c r="I332" s="336">
        <v>17.0</v>
      </c>
      <c r="J332" s="336">
        <v>0.0</v>
      </c>
      <c r="K332" s="322">
        <f t="shared" si="1"/>
        <v>0</v>
      </c>
      <c r="L332" s="338"/>
      <c r="M332" s="338"/>
      <c r="N332" s="338"/>
      <c r="O332" s="338"/>
      <c r="P332" s="338"/>
      <c r="Q332" s="31"/>
      <c r="R332" s="31"/>
      <c r="S332" s="31"/>
      <c r="T332" s="31"/>
      <c r="U332" s="31"/>
      <c r="V332" s="31"/>
      <c r="W332" s="31"/>
      <c r="X332" s="31"/>
      <c r="Y332" s="31"/>
    </row>
    <row r="333" ht="15.75" customHeight="1">
      <c r="A333" s="336">
        <v>43.0</v>
      </c>
      <c r="B333" s="337" t="s">
        <v>1956</v>
      </c>
      <c r="C333" s="337" t="s">
        <v>7173</v>
      </c>
      <c r="D333" s="337" t="s">
        <v>21</v>
      </c>
      <c r="E333" s="337" t="s">
        <v>48</v>
      </c>
      <c r="F333" s="336">
        <v>49613.0</v>
      </c>
      <c r="G333" s="338"/>
      <c r="H333" s="337" t="s">
        <v>6636</v>
      </c>
      <c r="I333" s="336">
        <v>17.0</v>
      </c>
      <c r="J333" s="336">
        <v>0.0</v>
      </c>
      <c r="K333" s="322">
        <f t="shared" si="1"/>
        <v>0</v>
      </c>
      <c r="L333" s="338"/>
      <c r="M333" s="338"/>
      <c r="N333" s="338"/>
      <c r="O333" s="338"/>
      <c r="P333" s="338"/>
      <c r="Q333" s="31"/>
      <c r="R333" s="31"/>
      <c r="S333" s="31"/>
      <c r="T333" s="31"/>
      <c r="U333" s="31"/>
      <c r="V333" s="31"/>
      <c r="W333" s="31"/>
      <c r="X333" s="31"/>
      <c r="Y333" s="31"/>
    </row>
    <row r="334" ht="15.75" customHeight="1">
      <c r="A334" s="322">
        <v>44.0</v>
      </c>
      <c r="B334" s="323" t="s">
        <v>7174</v>
      </c>
      <c r="C334" s="323" t="s">
        <v>7175</v>
      </c>
      <c r="D334" s="323" t="s">
        <v>7118</v>
      </c>
      <c r="E334" s="323" t="s">
        <v>143</v>
      </c>
      <c r="F334" s="322">
        <v>7897.0</v>
      </c>
      <c r="G334" s="324"/>
      <c r="H334" s="323" t="s">
        <v>6636</v>
      </c>
      <c r="I334" s="322">
        <v>21.0</v>
      </c>
      <c r="J334" s="322">
        <v>1658.37</v>
      </c>
      <c r="K334" s="322">
        <f t="shared" si="1"/>
        <v>1658.37</v>
      </c>
      <c r="L334" s="324"/>
      <c r="M334" s="324"/>
      <c r="N334" s="324"/>
      <c r="O334" s="324"/>
      <c r="P334" s="324"/>
      <c r="Q334" s="31"/>
      <c r="R334" s="31"/>
      <c r="S334" s="31"/>
      <c r="T334" s="31"/>
      <c r="U334" s="31"/>
      <c r="V334" s="31"/>
      <c r="W334" s="31"/>
      <c r="X334" s="31"/>
      <c r="Y334" s="31"/>
    </row>
    <row r="335" ht="15.75" customHeight="1">
      <c r="A335" s="322">
        <v>45.0</v>
      </c>
      <c r="B335" s="323" t="s">
        <v>7176</v>
      </c>
      <c r="C335" s="323" t="s">
        <v>7177</v>
      </c>
      <c r="D335" s="323" t="s">
        <v>7134</v>
      </c>
      <c r="E335" s="323" t="s">
        <v>65</v>
      </c>
      <c r="F335" s="322">
        <v>16530.0</v>
      </c>
      <c r="G335" s="324"/>
      <c r="H335" s="323" t="s">
        <v>6636</v>
      </c>
      <c r="I335" s="322">
        <v>38.0</v>
      </c>
      <c r="J335" s="322">
        <v>6281.4</v>
      </c>
      <c r="K335" s="322">
        <f t="shared" si="1"/>
        <v>6281.4</v>
      </c>
      <c r="L335" s="324"/>
      <c r="M335" s="324"/>
      <c r="N335" s="324"/>
      <c r="O335" s="324"/>
      <c r="P335" s="324"/>
      <c r="Q335" s="31"/>
      <c r="R335" s="31"/>
      <c r="S335" s="31"/>
      <c r="T335" s="31"/>
      <c r="U335" s="31"/>
      <c r="V335" s="31"/>
      <c r="W335" s="31"/>
      <c r="X335" s="31"/>
      <c r="Y335" s="31"/>
    </row>
    <row r="336" ht="15.75" customHeight="1">
      <c r="A336" s="322">
        <v>46.0</v>
      </c>
      <c r="B336" s="323" t="s">
        <v>7178</v>
      </c>
      <c r="C336" s="323" t="s">
        <v>7179</v>
      </c>
      <c r="D336" s="323" t="s">
        <v>7118</v>
      </c>
      <c r="E336" s="323" t="s">
        <v>668</v>
      </c>
      <c r="F336" s="322">
        <v>3841.0</v>
      </c>
      <c r="G336" s="322">
        <v>4533.0</v>
      </c>
      <c r="H336" s="323" t="s">
        <v>6636</v>
      </c>
      <c r="I336" s="322">
        <v>33.0</v>
      </c>
      <c r="J336" s="322">
        <v>1267.53</v>
      </c>
      <c r="K336" s="322">
        <f t="shared" si="1"/>
        <v>-3265.47</v>
      </c>
      <c r="L336" s="324"/>
      <c r="M336" s="324"/>
      <c r="N336" s="324"/>
      <c r="O336" s="324"/>
      <c r="P336" s="324"/>
      <c r="Q336" s="31"/>
      <c r="R336" s="31"/>
      <c r="S336" s="31"/>
      <c r="T336" s="31"/>
      <c r="U336" s="31"/>
      <c r="V336" s="31"/>
      <c r="W336" s="31"/>
      <c r="X336" s="31"/>
      <c r="Y336" s="31"/>
    </row>
    <row r="337" ht="15.75" customHeight="1">
      <c r="A337" s="322">
        <v>47.0</v>
      </c>
      <c r="B337" s="323" t="s">
        <v>7180</v>
      </c>
      <c r="C337" s="323" t="s">
        <v>7181</v>
      </c>
      <c r="D337" s="323" t="s">
        <v>1759</v>
      </c>
      <c r="E337" s="323" t="s">
        <v>1424</v>
      </c>
      <c r="F337" s="322">
        <v>7150.0</v>
      </c>
      <c r="G337" s="324"/>
      <c r="H337" s="323" t="s">
        <v>6636</v>
      </c>
      <c r="I337" s="322">
        <v>55.0</v>
      </c>
      <c r="J337" s="322">
        <v>3932.5</v>
      </c>
      <c r="K337" s="322">
        <f t="shared" si="1"/>
        <v>3932.5</v>
      </c>
      <c r="L337" s="324"/>
      <c r="M337" s="324"/>
      <c r="N337" s="324"/>
      <c r="O337" s="324"/>
      <c r="P337" s="324"/>
      <c r="Q337" s="31"/>
      <c r="R337" s="31"/>
      <c r="S337" s="31"/>
      <c r="T337" s="31"/>
      <c r="U337" s="31"/>
      <c r="V337" s="31"/>
      <c r="W337" s="31"/>
      <c r="X337" s="31"/>
      <c r="Y337" s="31"/>
    </row>
    <row r="338" ht="15.75" customHeight="1">
      <c r="A338" s="322">
        <v>48.0</v>
      </c>
      <c r="B338" s="323" t="s">
        <v>7182</v>
      </c>
      <c r="C338" s="323" t="s">
        <v>7183</v>
      </c>
      <c r="D338" s="323" t="s">
        <v>1395</v>
      </c>
      <c r="E338" s="323" t="s">
        <v>668</v>
      </c>
      <c r="F338" s="322">
        <v>20138.0</v>
      </c>
      <c r="G338" s="324"/>
      <c r="H338" s="323" t="s">
        <v>6636</v>
      </c>
      <c r="I338" s="322">
        <v>52.0</v>
      </c>
      <c r="J338" s="322">
        <v>10471.76</v>
      </c>
      <c r="K338" s="322">
        <f t="shared" si="1"/>
        <v>10471.76</v>
      </c>
      <c r="L338" s="324"/>
      <c r="M338" s="324"/>
      <c r="N338" s="324"/>
      <c r="O338" s="324"/>
      <c r="P338" s="324"/>
      <c r="Q338" s="31"/>
      <c r="R338" s="31"/>
      <c r="S338" s="31"/>
      <c r="T338" s="31"/>
      <c r="U338" s="31"/>
      <c r="V338" s="31"/>
      <c r="W338" s="31"/>
      <c r="X338" s="31"/>
      <c r="Y338" s="31"/>
    </row>
    <row r="339" ht="15.75" customHeight="1">
      <c r="A339" s="322">
        <v>49.0</v>
      </c>
      <c r="B339" s="323" t="s">
        <v>7184</v>
      </c>
      <c r="C339" s="323" t="s">
        <v>7185</v>
      </c>
      <c r="D339" s="323" t="s">
        <v>1759</v>
      </c>
      <c r="E339" s="323" t="s">
        <v>1424</v>
      </c>
      <c r="F339" s="322">
        <v>6905.0</v>
      </c>
      <c r="G339" s="324"/>
      <c r="H339" s="323" t="s">
        <v>6636</v>
      </c>
      <c r="I339" s="322">
        <v>55.0</v>
      </c>
      <c r="J339" s="322">
        <v>3797.75</v>
      </c>
      <c r="K339" s="322">
        <f t="shared" si="1"/>
        <v>3797.75</v>
      </c>
      <c r="L339" s="324"/>
      <c r="M339" s="324"/>
      <c r="N339" s="324"/>
      <c r="O339" s="324"/>
      <c r="P339" s="324"/>
      <c r="Q339" s="31"/>
      <c r="R339" s="31"/>
      <c r="S339" s="31"/>
      <c r="T339" s="31"/>
      <c r="U339" s="31"/>
      <c r="V339" s="31"/>
      <c r="W339" s="31"/>
      <c r="X339" s="31"/>
      <c r="Y339" s="31"/>
    </row>
    <row r="340" ht="15.75" customHeight="1">
      <c r="A340" s="322">
        <v>50.0</v>
      </c>
      <c r="B340" s="323" t="s">
        <v>7186</v>
      </c>
      <c r="C340" s="323" t="s">
        <v>7187</v>
      </c>
      <c r="D340" s="323" t="s">
        <v>7118</v>
      </c>
      <c r="E340" s="323" t="s">
        <v>668</v>
      </c>
      <c r="F340" s="322">
        <v>3841.0</v>
      </c>
      <c r="G340" s="322">
        <v>4533.0</v>
      </c>
      <c r="H340" s="323" t="s">
        <v>6639</v>
      </c>
      <c r="I340" s="322">
        <v>33.0</v>
      </c>
      <c r="J340" s="322">
        <v>1267.53</v>
      </c>
      <c r="K340" s="322">
        <f t="shared" si="1"/>
        <v>-3265.47</v>
      </c>
      <c r="L340" s="324"/>
      <c r="M340" s="324"/>
      <c r="N340" s="324"/>
      <c r="O340" s="324"/>
      <c r="P340" s="324"/>
      <c r="Q340" s="31"/>
      <c r="R340" s="31"/>
      <c r="S340" s="31"/>
      <c r="T340" s="31"/>
      <c r="U340" s="31"/>
      <c r="V340" s="31"/>
      <c r="W340" s="31"/>
      <c r="X340" s="31"/>
      <c r="Y340" s="31"/>
    </row>
    <row r="341" ht="15.75" customHeight="1">
      <c r="A341" s="322">
        <v>51.0</v>
      </c>
      <c r="B341" s="323" t="s">
        <v>7188</v>
      </c>
      <c r="C341" s="323" t="s">
        <v>7189</v>
      </c>
      <c r="D341" s="323" t="s">
        <v>21</v>
      </c>
      <c r="E341" s="323" t="s">
        <v>48</v>
      </c>
      <c r="F341" s="322">
        <v>84268.0</v>
      </c>
      <c r="G341" s="324"/>
      <c r="H341" s="323" t="s">
        <v>6636</v>
      </c>
      <c r="I341" s="322">
        <v>17.0</v>
      </c>
      <c r="J341" s="322">
        <v>14325.56</v>
      </c>
      <c r="K341" s="322">
        <f t="shared" si="1"/>
        <v>14325.56</v>
      </c>
      <c r="L341" s="324"/>
      <c r="M341" s="324"/>
      <c r="N341" s="324"/>
      <c r="O341" s="324"/>
      <c r="P341" s="324"/>
      <c r="Q341" s="31"/>
      <c r="R341" s="31"/>
      <c r="S341" s="31"/>
      <c r="T341" s="31"/>
      <c r="U341" s="31"/>
      <c r="V341" s="31"/>
      <c r="W341" s="31"/>
      <c r="X341" s="31"/>
      <c r="Y341" s="31"/>
    </row>
    <row r="342" ht="15.75" customHeight="1">
      <c r="A342" s="322">
        <v>52.0</v>
      </c>
      <c r="B342" s="323" t="s">
        <v>7190</v>
      </c>
      <c r="C342" s="323" t="s">
        <v>7168</v>
      </c>
      <c r="D342" s="323" t="s">
        <v>7118</v>
      </c>
      <c r="E342" s="323" t="s">
        <v>668</v>
      </c>
      <c r="F342" s="322">
        <v>3851.0</v>
      </c>
      <c r="G342" s="322">
        <v>4545.0</v>
      </c>
      <c r="H342" s="323" t="s">
        <v>6639</v>
      </c>
      <c r="I342" s="322">
        <v>33.0</v>
      </c>
      <c r="J342" s="322">
        <v>1270.83</v>
      </c>
      <c r="K342" s="322">
        <f t="shared" si="1"/>
        <v>-3274.17</v>
      </c>
      <c r="L342" s="324"/>
      <c r="M342" s="324"/>
      <c r="N342" s="324"/>
      <c r="O342" s="324"/>
      <c r="P342" s="324"/>
      <c r="Q342" s="31"/>
      <c r="R342" s="31"/>
      <c r="S342" s="31"/>
      <c r="T342" s="31"/>
      <c r="U342" s="31"/>
      <c r="V342" s="31"/>
      <c r="W342" s="31"/>
      <c r="X342" s="31"/>
      <c r="Y342" s="31"/>
    </row>
    <row r="343" ht="15.75" customHeight="1">
      <c r="A343" s="322">
        <v>53.0</v>
      </c>
      <c r="B343" s="323" t="s">
        <v>7191</v>
      </c>
      <c r="C343" s="323" t="s">
        <v>7192</v>
      </c>
      <c r="D343" s="323" t="s">
        <v>1759</v>
      </c>
      <c r="E343" s="323" t="s">
        <v>1424</v>
      </c>
      <c r="F343" s="322">
        <v>7067.0</v>
      </c>
      <c r="G343" s="324"/>
      <c r="H343" s="323" t="s">
        <v>6636</v>
      </c>
      <c r="I343" s="322">
        <v>55.0</v>
      </c>
      <c r="J343" s="322">
        <v>3886.85</v>
      </c>
      <c r="K343" s="322">
        <f t="shared" si="1"/>
        <v>3886.85</v>
      </c>
      <c r="L343" s="324"/>
      <c r="M343" s="324"/>
      <c r="N343" s="324"/>
      <c r="O343" s="324"/>
      <c r="P343" s="324"/>
      <c r="Q343" s="31"/>
      <c r="R343" s="31"/>
      <c r="S343" s="31"/>
      <c r="T343" s="31"/>
      <c r="U343" s="31"/>
      <c r="V343" s="31"/>
      <c r="W343" s="31"/>
      <c r="X343" s="31"/>
      <c r="Y343" s="31"/>
    </row>
    <row r="344" ht="15.75" customHeight="1">
      <c r="A344" s="322">
        <v>54.0</v>
      </c>
      <c r="B344" s="323" t="s">
        <v>7193</v>
      </c>
      <c r="C344" s="323" t="s">
        <v>7194</v>
      </c>
      <c r="D344" s="323" t="s">
        <v>1759</v>
      </c>
      <c r="E344" s="323" t="s">
        <v>1424</v>
      </c>
      <c r="F344" s="322">
        <v>6811.0</v>
      </c>
      <c r="G344" s="324"/>
      <c r="H344" s="323" t="s">
        <v>6636</v>
      </c>
      <c r="I344" s="322">
        <v>55.0</v>
      </c>
      <c r="J344" s="322">
        <v>3746.05</v>
      </c>
      <c r="K344" s="322">
        <f t="shared" si="1"/>
        <v>3746.05</v>
      </c>
      <c r="L344" s="324"/>
      <c r="M344" s="324"/>
      <c r="N344" s="324"/>
      <c r="O344" s="324"/>
      <c r="P344" s="324"/>
      <c r="Q344" s="31"/>
      <c r="R344" s="31"/>
      <c r="S344" s="31"/>
      <c r="T344" s="31"/>
      <c r="U344" s="31"/>
      <c r="V344" s="31"/>
      <c r="W344" s="31"/>
      <c r="X344" s="31"/>
      <c r="Y344" s="31"/>
    </row>
    <row r="345" ht="15.75" customHeight="1">
      <c r="A345" s="322">
        <v>55.0</v>
      </c>
      <c r="B345" s="323" t="s">
        <v>7195</v>
      </c>
      <c r="C345" s="323" t="s">
        <v>7062</v>
      </c>
      <c r="D345" s="323" t="s">
        <v>7118</v>
      </c>
      <c r="E345" s="323" t="s">
        <v>143</v>
      </c>
      <c r="F345" s="322">
        <v>3791.0</v>
      </c>
      <c r="G345" s="322">
        <v>4473.0</v>
      </c>
      <c r="H345" s="323" t="s">
        <v>6639</v>
      </c>
      <c r="I345" s="322">
        <v>21.0</v>
      </c>
      <c r="J345" s="322">
        <v>796.11</v>
      </c>
      <c r="K345" s="322">
        <f t="shared" si="1"/>
        <v>-3676.89</v>
      </c>
      <c r="L345" s="324"/>
      <c r="M345" s="324"/>
      <c r="N345" s="324"/>
      <c r="O345" s="324"/>
      <c r="P345" s="324"/>
      <c r="Q345" s="31"/>
      <c r="R345" s="31"/>
      <c r="S345" s="31"/>
      <c r="T345" s="31"/>
      <c r="U345" s="31"/>
      <c r="V345" s="31"/>
      <c r="W345" s="31"/>
      <c r="X345" s="31"/>
      <c r="Y345" s="31"/>
    </row>
    <row r="346" ht="15.75" customHeight="1">
      <c r="A346" s="322">
        <v>56.0</v>
      </c>
      <c r="B346" s="323" t="s">
        <v>3860</v>
      </c>
      <c r="C346" s="323" t="s">
        <v>7196</v>
      </c>
      <c r="D346" s="323" t="s">
        <v>21</v>
      </c>
      <c r="E346" s="323" t="s">
        <v>48</v>
      </c>
      <c r="F346" s="322">
        <v>48477.0</v>
      </c>
      <c r="G346" s="322">
        <v>54566.0</v>
      </c>
      <c r="H346" s="323" t="s">
        <v>6639</v>
      </c>
      <c r="I346" s="322">
        <v>17.0</v>
      </c>
      <c r="J346" s="322">
        <v>8241.09</v>
      </c>
      <c r="K346" s="322">
        <f t="shared" si="1"/>
        <v>-46324.91</v>
      </c>
      <c r="L346" s="324"/>
      <c r="M346" s="324"/>
      <c r="N346" s="324"/>
      <c r="O346" s="324"/>
      <c r="P346" s="324"/>
      <c r="Q346" s="31"/>
      <c r="R346" s="31"/>
      <c r="S346" s="31"/>
      <c r="T346" s="31"/>
      <c r="U346" s="31"/>
      <c r="V346" s="31"/>
      <c r="W346" s="31"/>
      <c r="X346" s="31"/>
      <c r="Y346" s="31"/>
    </row>
    <row r="347" ht="15.75" customHeight="1">
      <c r="A347" s="322">
        <v>57.0</v>
      </c>
      <c r="B347" s="323" t="s">
        <v>7197</v>
      </c>
      <c r="C347" s="323" t="s">
        <v>7050</v>
      </c>
      <c r="D347" s="323" t="s">
        <v>1395</v>
      </c>
      <c r="E347" s="323" t="s">
        <v>668</v>
      </c>
      <c r="F347" s="322">
        <v>20559.0</v>
      </c>
      <c r="G347" s="324"/>
      <c r="H347" s="323" t="s">
        <v>6636</v>
      </c>
      <c r="I347" s="322">
        <v>52.0</v>
      </c>
      <c r="J347" s="322">
        <v>10690.68</v>
      </c>
      <c r="K347" s="322">
        <f t="shared" si="1"/>
        <v>10690.68</v>
      </c>
      <c r="L347" s="324"/>
      <c r="M347" s="324"/>
      <c r="N347" s="324"/>
      <c r="O347" s="324"/>
      <c r="P347" s="324"/>
      <c r="Q347" s="31"/>
      <c r="R347" s="31"/>
      <c r="S347" s="31"/>
      <c r="T347" s="31"/>
      <c r="U347" s="31"/>
      <c r="V347" s="31"/>
      <c r="W347" s="31"/>
      <c r="X347" s="31"/>
      <c r="Y347" s="31"/>
    </row>
    <row r="348" ht="15.75" customHeight="1">
      <c r="A348" s="336">
        <v>58.0</v>
      </c>
      <c r="B348" s="337" t="s">
        <v>7198</v>
      </c>
      <c r="C348" s="337" t="s">
        <v>7199</v>
      </c>
      <c r="D348" s="337" t="s">
        <v>21</v>
      </c>
      <c r="E348" s="337" t="s">
        <v>668</v>
      </c>
      <c r="F348" s="336">
        <v>48778.0</v>
      </c>
      <c r="G348" s="338"/>
      <c r="H348" s="337" t="s">
        <v>6636</v>
      </c>
      <c r="I348" s="336">
        <v>19.0</v>
      </c>
      <c r="J348" s="336">
        <v>0.0</v>
      </c>
      <c r="K348" s="336">
        <f t="shared" si="1"/>
        <v>0</v>
      </c>
      <c r="L348" s="338"/>
      <c r="M348" s="338"/>
      <c r="N348" s="338"/>
      <c r="O348" s="338"/>
      <c r="P348" s="338"/>
      <c r="Q348" s="339"/>
      <c r="R348" s="339"/>
      <c r="S348" s="339"/>
      <c r="T348" s="339"/>
      <c r="U348" s="339"/>
      <c r="V348" s="339"/>
      <c r="W348" s="339"/>
      <c r="X348" s="339"/>
      <c r="Y348" s="339"/>
    </row>
    <row r="349" ht="15.75" customHeight="1">
      <c r="A349" s="322">
        <v>59.0</v>
      </c>
      <c r="B349" s="323" t="s">
        <v>7200</v>
      </c>
      <c r="C349" s="323" t="s">
        <v>7120</v>
      </c>
      <c r="D349" s="323" t="s">
        <v>1395</v>
      </c>
      <c r="E349" s="323" t="s">
        <v>668</v>
      </c>
      <c r="F349" s="322">
        <v>21454.0</v>
      </c>
      <c r="G349" s="322">
        <v>24352.0</v>
      </c>
      <c r="H349" s="323" t="s">
        <v>6639</v>
      </c>
      <c r="I349" s="322">
        <v>52.0</v>
      </c>
      <c r="J349" s="322">
        <v>11156.08</v>
      </c>
      <c r="K349" s="322">
        <f t="shared" si="1"/>
        <v>-13195.92</v>
      </c>
      <c r="L349" s="324"/>
      <c r="M349" s="324"/>
      <c r="N349" s="324"/>
      <c r="O349" s="324"/>
      <c r="P349" s="324"/>
      <c r="Q349" s="31"/>
      <c r="R349" s="31"/>
      <c r="S349" s="31"/>
      <c r="T349" s="31"/>
      <c r="U349" s="31"/>
      <c r="V349" s="31"/>
      <c r="W349" s="31"/>
      <c r="X349" s="31"/>
      <c r="Y349" s="31"/>
    </row>
    <row r="350" ht="15.75" customHeight="1">
      <c r="A350" s="322">
        <v>60.0</v>
      </c>
      <c r="B350" s="323" t="s">
        <v>7201</v>
      </c>
      <c r="C350" s="323" t="s">
        <v>7202</v>
      </c>
      <c r="D350" s="323" t="s">
        <v>1395</v>
      </c>
      <c r="E350" s="323" t="s">
        <v>668</v>
      </c>
      <c r="F350" s="322">
        <v>19796.0</v>
      </c>
      <c r="G350" s="322">
        <v>22396.0</v>
      </c>
      <c r="H350" s="323" t="s">
        <v>6639</v>
      </c>
      <c r="I350" s="322">
        <v>52.0</v>
      </c>
      <c r="J350" s="322">
        <v>10293.92</v>
      </c>
      <c r="K350" s="322">
        <f t="shared" si="1"/>
        <v>-12102.08</v>
      </c>
      <c r="L350" s="324"/>
      <c r="M350" s="324"/>
      <c r="N350" s="324"/>
      <c r="O350" s="324"/>
      <c r="P350" s="324"/>
      <c r="Q350" s="31"/>
      <c r="R350" s="31"/>
      <c r="S350" s="31"/>
      <c r="T350" s="31"/>
      <c r="U350" s="31"/>
      <c r="V350" s="31"/>
      <c r="W350" s="31"/>
      <c r="X350" s="31"/>
      <c r="Y350" s="31"/>
    </row>
    <row r="351" ht="15.75" customHeight="1">
      <c r="A351" s="322">
        <v>61.0</v>
      </c>
      <c r="B351" s="323" t="s">
        <v>7203</v>
      </c>
      <c r="C351" s="323" t="s">
        <v>7204</v>
      </c>
      <c r="D351" s="323" t="s">
        <v>1395</v>
      </c>
      <c r="E351" s="323" t="s">
        <v>668</v>
      </c>
      <c r="F351" s="322">
        <v>20803.0</v>
      </c>
      <c r="G351" s="322">
        <v>23585.0</v>
      </c>
      <c r="H351" s="323" t="s">
        <v>6639</v>
      </c>
      <c r="I351" s="322">
        <v>52.0</v>
      </c>
      <c r="J351" s="322">
        <v>10817.56</v>
      </c>
      <c r="K351" s="322">
        <f t="shared" si="1"/>
        <v>-12767.44</v>
      </c>
      <c r="L351" s="324"/>
      <c r="M351" s="324"/>
      <c r="N351" s="324"/>
      <c r="O351" s="324"/>
      <c r="P351" s="324"/>
      <c r="Q351" s="31"/>
      <c r="R351" s="31"/>
      <c r="S351" s="31"/>
      <c r="T351" s="31"/>
      <c r="U351" s="31"/>
      <c r="V351" s="31"/>
      <c r="W351" s="31"/>
      <c r="X351" s="31"/>
      <c r="Y351" s="31"/>
    </row>
    <row r="352" ht="15.75" customHeight="1">
      <c r="A352" s="322">
        <v>62.0</v>
      </c>
      <c r="B352" s="323" t="s">
        <v>7205</v>
      </c>
      <c r="C352" s="323" t="s">
        <v>7206</v>
      </c>
      <c r="D352" s="323" t="s">
        <v>75</v>
      </c>
      <c r="E352" s="323" t="s">
        <v>668</v>
      </c>
      <c r="F352" s="322">
        <v>4542.0</v>
      </c>
      <c r="G352" s="322">
        <v>5092.0</v>
      </c>
      <c r="H352" s="323" t="s">
        <v>6639</v>
      </c>
      <c r="I352" s="322">
        <v>52.0</v>
      </c>
      <c r="J352" s="322">
        <v>2361.84</v>
      </c>
      <c r="K352" s="322">
        <f t="shared" si="1"/>
        <v>-2730.16</v>
      </c>
      <c r="L352" s="324"/>
      <c r="M352" s="324"/>
      <c r="N352" s="324"/>
      <c r="O352" s="324"/>
      <c r="P352" s="324"/>
      <c r="Q352" s="31"/>
      <c r="R352" s="31"/>
      <c r="S352" s="31"/>
      <c r="T352" s="31"/>
      <c r="U352" s="31"/>
      <c r="V352" s="31"/>
      <c r="W352" s="31"/>
      <c r="X352" s="31"/>
      <c r="Y352" s="31"/>
    </row>
    <row r="353" ht="15.75" customHeight="1">
      <c r="A353" s="322">
        <v>63.0</v>
      </c>
      <c r="B353" s="323" t="s">
        <v>7207</v>
      </c>
      <c r="C353" s="323" t="s">
        <v>7208</v>
      </c>
      <c r="D353" s="323" t="s">
        <v>7118</v>
      </c>
      <c r="E353" s="323" t="s">
        <v>668</v>
      </c>
      <c r="F353" s="322">
        <v>3476.0</v>
      </c>
      <c r="G353" s="322">
        <v>4102.0</v>
      </c>
      <c r="H353" s="323" t="s">
        <v>6639</v>
      </c>
      <c r="I353" s="322">
        <v>33.0</v>
      </c>
      <c r="J353" s="322">
        <v>1147.08</v>
      </c>
      <c r="K353" s="322">
        <f t="shared" si="1"/>
        <v>-2954.92</v>
      </c>
      <c r="L353" s="324"/>
      <c r="M353" s="324"/>
      <c r="N353" s="324"/>
      <c r="O353" s="324"/>
      <c r="P353" s="324"/>
      <c r="Q353" s="31"/>
      <c r="R353" s="31"/>
      <c r="S353" s="31"/>
      <c r="T353" s="31"/>
      <c r="U353" s="31"/>
      <c r="V353" s="31"/>
      <c r="W353" s="31"/>
      <c r="X353" s="31"/>
      <c r="Y353" s="31"/>
    </row>
    <row r="354" ht="15.75" customHeight="1">
      <c r="A354" s="322">
        <v>64.0</v>
      </c>
      <c r="B354" s="323" t="s">
        <v>7209</v>
      </c>
      <c r="C354" s="323" t="s">
        <v>7003</v>
      </c>
      <c r="D354" s="323" t="s">
        <v>7118</v>
      </c>
      <c r="E354" s="323" t="s">
        <v>668</v>
      </c>
      <c r="F354" s="322">
        <v>2154.0</v>
      </c>
      <c r="G354" s="322">
        <v>2542.0</v>
      </c>
      <c r="H354" s="323" t="s">
        <v>6639</v>
      </c>
      <c r="I354" s="322">
        <v>33.0</v>
      </c>
      <c r="J354" s="322">
        <v>710.82</v>
      </c>
      <c r="K354" s="322">
        <f t="shared" si="1"/>
        <v>-1831.18</v>
      </c>
      <c r="L354" s="324"/>
      <c r="M354" s="324"/>
      <c r="N354" s="324"/>
      <c r="O354" s="324"/>
      <c r="P354" s="324"/>
      <c r="Q354" s="31"/>
      <c r="R354" s="31"/>
      <c r="S354" s="31"/>
      <c r="T354" s="31"/>
      <c r="U354" s="31"/>
      <c r="V354" s="31"/>
      <c r="W354" s="31"/>
      <c r="X354" s="31"/>
      <c r="Y354" s="31"/>
    </row>
    <row r="355" ht="15.75" customHeight="1">
      <c r="A355" s="322">
        <v>65.0</v>
      </c>
      <c r="B355" s="323" t="s">
        <v>7210</v>
      </c>
      <c r="C355" s="323" t="s">
        <v>1763</v>
      </c>
      <c r="D355" s="323" t="s">
        <v>7118</v>
      </c>
      <c r="E355" s="323" t="s">
        <v>668</v>
      </c>
      <c r="F355" s="322">
        <v>3851.0</v>
      </c>
      <c r="G355" s="322">
        <v>4545.0</v>
      </c>
      <c r="H355" s="323" t="s">
        <v>6639</v>
      </c>
      <c r="I355" s="322">
        <v>33.0</v>
      </c>
      <c r="J355" s="322">
        <v>1270.83</v>
      </c>
      <c r="K355" s="322">
        <f t="shared" si="1"/>
        <v>-3274.17</v>
      </c>
      <c r="L355" s="324"/>
      <c r="M355" s="324"/>
      <c r="N355" s="324"/>
      <c r="O355" s="324"/>
      <c r="P355" s="324"/>
      <c r="Q355" s="31"/>
      <c r="R355" s="31"/>
      <c r="S355" s="31"/>
      <c r="T355" s="31"/>
      <c r="U355" s="31"/>
      <c r="V355" s="31"/>
      <c r="W355" s="31"/>
      <c r="X355" s="31"/>
      <c r="Y355" s="31"/>
    </row>
    <row r="356" ht="15.75" customHeight="1">
      <c r="A356" s="333">
        <v>66.0</v>
      </c>
      <c r="B356" s="334" t="s">
        <v>4725</v>
      </c>
      <c r="C356" s="334" t="s">
        <v>6871</v>
      </c>
      <c r="D356" s="334" t="s">
        <v>21</v>
      </c>
      <c r="E356" s="334" t="s">
        <v>668</v>
      </c>
      <c r="F356" s="333">
        <v>46045.0</v>
      </c>
      <c r="G356" s="335"/>
      <c r="H356" s="334" t="s">
        <v>6636</v>
      </c>
      <c r="I356" s="333">
        <v>19.0</v>
      </c>
      <c r="J356" s="333">
        <v>0.0</v>
      </c>
      <c r="K356" s="333">
        <f t="shared" si="1"/>
        <v>0</v>
      </c>
      <c r="L356" s="335"/>
      <c r="M356" s="335"/>
      <c r="N356" s="335"/>
      <c r="O356" s="335"/>
      <c r="P356" s="335"/>
      <c r="Q356" s="339"/>
      <c r="R356" s="339"/>
      <c r="S356" s="339"/>
      <c r="T356" s="339"/>
      <c r="U356" s="339"/>
      <c r="V356" s="339"/>
      <c r="W356" s="339"/>
      <c r="X356" s="339"/>
      <c r="Y356" s="339"/>
    </row>
    <row r="357" ht="15.75" customHeight="1">
      <c r="A357" s="322">
        <v>67.0</v>
      </c>
      <c r="B357" s="323" t="s">
        <v>7211</v>
      </c>
      <c r="C357" s="323" t="s">
        <v>1787</v>
      </c>
      <c r="D357" s="323" t="s">
        <v>21</v>
      </c>
      <c r="E357" s="323" t="s">
        <v>48</v>
      </c>
      <c r="F357" s="322">
        <v>51840.0</v>
      </c>
      <c r="G357" s="324"/>
      <c r="H357" s="323" t="s">
        <v>6636</v>
      </c>
      <c r="I357" s="322">
        <v>17.0</v>
      </c>
      <c r="J357" s="322">
        <v>8812.8</v>
      </c>
      <c r="K357" s="322">
        <f t="shared" si="1"/>
        <v>8812.8</v>
      </c>
      <c r="L357" s="324"/>
      <c r="M357" s="324"/>
      <c r="N357" s="324"/>
      <c r="O357" s="324"/>
      <c r="P357" s="324"/>
      <c r="Q357" s="31"/>
      <c r="R357" s="31"/>
      <c r="S357" s="31"/>
      <c r="T357" s="31"/>
      <c r="U357" s="31"/>
      <c r="V357" s="31"/>
      <c r="W357" s="31"/>
      <c r="X357" s="31"/>
      <c r="Y357" s="31"/>
    </row>
    <row r="358" ht="15.75" customHeight="1">
      <c r="A358" s="322">
        <v>68.0</v>
      </c>
      <c r="B358" s="323" t="s">
        <v>4143</v>
      </c>
      <c r="C358" s="323" t="s">
        <v>7212</v>
      </c>
      <c r="D358" s="323" t="s">
        <v>21</v>
      </c>
      <c r="E358" s="323" t="s">
        <v>48</v>
      </c>
      <c r="F358" s="322">
        <v>54274.0</v>
      </c>
      <c r="G358" s="324"/>
      <c r="H358" s="323" t="s">
        <v>6636</v>
      </c>
      <c r="I358" s="322">
        <v>17.0</v>
      </c>
      <c r="J358" s="322">
        <v>9226.58</v>
      </c>
      <c r="K358" s="322">
        <f t="shared" si="1"/>
        <v>9226.58</v>
      </c>
      <c r="L358" s="324"/>
      <c r="M358" s="324"/>
      <c r="N358" s="324"/>
      <c r="O358" s="324"/>
      <c r="P358" s="324"/>
      <c r="Q358" s="31"/>
      <c r="R358" s="31"/>
      <c r="S358" s="31"/>
      <c r="T358" s="31"/>
      <c r="U358" s="31"/>
      <c r="V358" s="31"/>
      <c r="W358" s="31"/>
      <c r="X358" s="31"/>
      <c r="Y358" s="31"/>
    </row>
    <row r="359" ht="15.75" customHeight="1">
      <c r="A359" s="322">
        <v>69.0</v>
      </c>
      <c r="B359" s="323" t="s">
        <v>7213</v>
      </c>
      <c r="C359" s="323" t="s">
        <v>7214</v>
      </c>
      <c r="D359" s="323" t="s">
        <v>7118</v>
      </c>
      <c r="E359" s="323" t="s">
        <v>668</v>
      </c>
      <c r="F359" s="322">
        <v>8672.0</v>
      </c>
      <c r="G359" s="324"/>
      <c r="H359" s="323" t="s">
        <v>6636</v>
      </c>
      <c r="I359" s="322">
        <v>33.0</v>
      </c>
      <c r="J359" s="322">
        <v>2861.76</v>
      </c>
      <c r="K359" s="322">
        <f t="shared" si="1"/>
        <v>2861.76</v>
      </c>
      <c r="L359" s="324"/>
      <c r="M359" s="324"/>
      <c r="N359" s="324"/>
      <c r="O359" s="324"/>
      <c r="P359" s="324"/>
      <c r="Q359" s="31"/>
      <c r="R359" s="31"/>
      <c r="S359" s="31"/>
      <c r="T359" s="31"/>
      <c r="U359" s="31"/>
      <c r="V359" s="31"/>
      <c r="W359" s="31"/>
      <c r="X359" s="31"/>
      <c r="Y359" s="31"/>
    </row>
    <row r="360" ht="15.75" customHeight="1">
      <c r="A360" s="322">
        <v>70.0</v>
      </c>
      <c r="B360" s="323" t="s">
        <v>7215</v>
      </c>
      <c r="C360" s="323" t="s">
        <v>7216</v>
      </c>
      <c r="D360" s="323" t="s">
        <v>21</v>
      </c>
      <c r="E360" s="323" t="s">
        <v>48</v>
      </c>
      <c r="F360" s="322">
        <v>37839.0</v>
      </c>
      <c r="G360" s="324"/>
      <c r="H360" s="323" t="s">
        <v>6636</v>
      </c>
      <c r="I360" s="322">
        <v>22.0</v>
      </c>
      <c r="J360" s="322">
        <v>8324.58</v>
      </c>
      <c r="K360" s="322">
        <f t="shared" si="1"/>
        <v>8324.58</v>
      </c>
      <c r="L360" s="324"/>
      <c r="M360" s="324"/>
      <c r="N360" s="324"/>
      <c r="O360" s="324"/>
      <c r="P360" s="324"/>
      <c r="Q360" s="31"/>
      <c r="R360" s="31"/>
      <c r="S360" s="31"/>
      <c r="T360" s="31"/>
      <c r="U360" s="31"/>
      <c r="V360" s="31"/>
      <c r="W360" s="31"/>
      <c r="X360" s="31"/>
      <c r="Y360" s="31"/>
    </row>
    <row r="361" ht="15.75" customHeight="1">
      <c r="A361" s="322">
        <v>71.0</v>
      </c>
      <c r="B361" s="323" t="s">
        <v>7217</v>
      </c>
      <c r="C361" s="323" t="s">
        <v>7125</v>
      </c>
      <c r="D361" s="323" t="s">
        <v>1395</v>
      </c>
      <c r="E361" s="323" t="s">
        <v>668</v>
      </c>
      <c r="F361" s="322">
        <v>17516.0</v>
      </c>
      <c r="G361" s="324"/>
      <c r="H361" s="323" t="s">
        <v>6636</v>
      </c>
      <c r="I361" s="322">
        <v>52.0</v>
      </c>
      <c r="J361" s="322">
        <v>9108.32</v>
      </c>
      <c r="K361" s="322">
        <f t="shared" si="1"/>
        <v>9108.32</v>
      </c>
      <c r="L361" s="324"/>
      <c r="M361" s="324"/>
      <c r="N361" s="324"/>
      <c r="O361" s="324"/>
      <c r="P361" s="324"/>
      <c r="Q361" s="31"/>
      <c r="R361" s="31"/>
      <c r="S361" s="31"/>
      <c r="T361" s="31"/>
      <c r="U361" s="31"/>
      <c r="V361" s="31"/>
      <c r="W361" s="31"/>
      <c r="X361" s="31"/>
      <c r="Y361" s="31"/>
    </row>
    <row r="362" ht="15.75" customHeight="1">
      <c r="A362" s="322">
        <v>72.0</v>
      </c>
      <c r="B362" s="323" t="s">
        <v>7218</v>
      </c>
      <c r="C362" s="323" t="s">
        <v>6897</v>
      </c>
      <c r="D362" s="323" t="s">
        <v>7118</v>
      </c>
      <c r="E362" s="323" t="s">
        <v>7099</v>
      </c>
      <c r="F362" s="322">
        <v>3746.0</v>
      </c>
      <c r="G362" s="324"/>
      <c r="H362" s="323" t="s">
        <v>6636</v>
      </c>
      <c r="I362" s="322">
        <v>25.0</v>
      </c>
      <c r="J362" s="322">
        <v>936.5</v>
      </c>
      <c r="K362" s="322">
        <f t="shared" si="1"/>
        <v>936.5</v>
      </c>
      <c r="L362" s="324"/>
      <c r="M362" s="324"/>
      <c r="N362" s="324"/>
      <c r="O362" s="324"/>
      <c r="P362" s="324"/>
      <c r="Q362" s="31"/>
      <c r="R362" s="31"/>
      <c r="S362" s="31"/>
      <c r="T362" s="31"/>
      <c r="U362" s="31"/>
      <c r="V362" s="31"/>
      <c r="W362" s="31"/>
      <c r="X362" s="31"/>
      <c r="Y362" s="31"/>
    </row>
    <row r="363" ht="15.75" customHeight="1">
      <c r="A363" s="322">
        <v>73.0</v>
      </c>
      <c r="B363" s="323" t="s">
        <v>7219</v>
      </c>
      <c r="C363" s="323" t="s">
        <v>7220</v>
      </c>
      <c r="D363" s="323" t="s">
        <v>1395</v>
      </c>
      <c r="E363" s="323" t="s">
        <v>668</v>
      </c>
      <c r="F363" s="322">
        <v>17359.0</v>
      </c>
      <c r="G363" s="322">
        <v>19521.0</v>
      </c>
      <c r="H363" s="323" t="s">
        <v>6639</v>
      </c>
      <c r="I363" s="322">
        <v>52.0</v>
      </c>
      <c r="J363" s="322">
        <v>9026.68</v>
      </c>
      <c r="K363" s="322">
        <f t="shared" si="1"/>
        <v>-10494.32</v>
      </c>
      <c r="L363" s="324"/>
      <c r="M363" s="324"/>
      <c r="N363" s="324"/>
      <c r="O363" s="324"/>
      <c r="P363" s="324"/>
      <c r="Q363" s="31"/>
      <c r="R363" s="31"/>
      <c r="S363" s="31"/>
      <c r="T363" s="31"/>
      <c r="U363" s="31"/>
      <c r="V363" s="31"/>
      <c r="W363" s="31"/>
      <c r="X363" s="31"/>
      <c r="Y363" s="31"/>
    </row>
    <row r="364" ht="15.75" customHeight="1">
      <c r="A364" s="322">
        <v>74.0</v>
      </c>
      <c r="B364" s="323" t="s">
        <v>7221</v>
      </c>
      <c r="C364" s="323" t="s">
        <v>7222</v>
      </c>
      <c r="D364" s="323" t="s">
        <v>7118</v>
      </c>
      <c r="E364" s="323" t="s">
        <v>668</v>
      </c>
      <c r="F364" s="322">
        <v>3476.0</v>
      </c>
      <c r="G364" s="322">
        <v>4102.0</v>
      </c>
      <c r="H364" s="323" t="s">
        <v>6639</v>
      </c>
      <c r="I364" s="322">
        <v>33.0</v>
      </c>
      <c r="J364" s="322">
        <v>1147.08</v>
      </c>
      <c r="K364" s="322">
        <f t="shared" si="1"/>
        <v>-2954.92</v>
      </c>
      <c r="L364" s="324"/>
      <c r="M364" s="324"/>
      <c r="N364" s="324"/>
      <c r="O364" s="324"/>
      <c r="P364" s="324"/>
      <c r="Q364" s="31"/>
      <c r="R364" s="31"/>
      <c r="S364" s="31"/>
      <c r="T364" s="31"/>
      <c r="U364" s="31"/>
      <c r="V364" s="31"/>
      <c r="W364" s="31"/>
      <c r="X364" s="31"/>
      <c r="Y364" s="31"/>
    </row>
    <row r="365" ht="15.75" customHeight="1">
      <c r="A365" s="322">
        <v>75.0</v>
      </c>
      <c r="B365" s="323" t="s">
        <v>7223</v>
      </c>
      <c r="C365" s="323" t="s">
        <v>7224</v>
      </c>
      <c r="D365" s="323" t="s">
        <v>1395</v>
      </c>
      <c r="E365" s="323" t="s">
        <v>668</v>
      </c>
      <c r="F365" s="322">
        <v>18053.0</v>
      </c>
      <c r="G365" s="322">
        <v>20339.0</v>
      </c>
      <c r="H365" s="323" t="s">
        <v>6639</v>
      </c>
      <c r="I365" s="322">
        <v>52.0</v>
      </c>
      <c r="J365" s="322">
        <v>9387.56</v>
      </c>
      <c r="K365" s="322">
        <f t="shared" si="1"/>
        <v>-10951.44</v>
      </c>
      <c r="L365" s="324"/>
      <c r="M365" s="324"/>
      <c r="N365" s="324"/>
      <c r="O365" s="324"/>
      <c r="P365" s="324"/>
      <c r="Q365" s="31"/>
      <c r="R365" s="31"/>
      <c r="S365" s="31"/>
      <c r="T365" s="31"/>
      <c r="U365" s="31"/>
      <c r="V365" s="31"/>
      <c r="W365" s="31"/>
      <c r="X365" s="31"/>
      <c r="Y365" s="31"/>
    </row>
    <row r="366" ht="15.75" customHeight="1">
      <c r="A366" s="322">
        <v>76.0</v>
      </c>
      <c r="B366" s="323" t="s">
        <v>7225</v>
      </c>
      <c r="C366" s="323" t="s">
        <v>7226</v>
      </c>
      <c r="D366" s="323" t="s">
        <v>7227</v>
      </c>
      <c r="E366" s="324"/>
      <c r="F366" s="324"/>
      <c r="G366" s="324"/>
      <c r="H366" s="323" t="s">
        <v>6636</v>
      </c>
      <c r="I366" s="324"/>
      <c r="J366" s="322">
        <v>10000.0</v>
      </c>
      <c r="K366" s="322">
        <f t="shared" si="1"/>
        <v>10000</v>
      </c>
      <c r="L366" s="324"/>
      <c r="M366" s="324"/>
      <c r="N366" s="324"/>
      <c r="O366" s="324"/>
      <c r="P366" s="324"/>
      <c r="Q366" s="31"/>
      <c r="R366" s="31"/>
      <c r="S366" s="31"/>
      <c r="T366" s="31"/>
      <c r="U366" s="31"/>
      <c r="V366" s="31"/>
      <c r="W366" s="31"/>
      <c r="X366" s="31"/>
      <c r="Y366" s="31"/>
    </row>
    <row r="367" ht="15.75" customHeight="1">
      <c r="A367" s="322">
        <v>77.0</v>
      </c>
      <c r="B367" s="323" t="s">
        <v>7228</v>
      </c>
      <c r="C367" s="323" t="s">
        <v>7229</v>
      </c>
      <c r="D367" s="323" t="s">
        <v>1395</v>
      </c>
      <c r="E367" s="323" t="s">
        <v>668</v>
      </c>
      <c r="F367" s="322">
        <v>16524.0</v>
      </c>
      <c r="G367" s="324"/>
      <c r="H367" s="323" t="s">
        <v>6636</v>
      </c>
      <c r="I367" s="322">
        <v>52.0</v>
      </c>
      <c r="J367" s="322">
        <v>8592.48</v>
      </c>
      <c r="K367" s="322">
        <f t="shared" si="1"/>
        <v>8592.48</v>
      </c>
      <c r="L367" s="324"/>
      <c r="M367" s="324"/>
      <c r="N367" s="324"/>
      <c r="O367" s="324"/>
      <c r="P367" s="324"/>
      <c r="Q367" s="31"/>
      <c r="R367" s="31"/>
      <c r="S367" s="31"/>
      <c r="T367" s="31"/>
      <c r="U367" s="31"/>
      <c r="V367" s="31"/>
      <c r="W367" s="31"/>
      <c r="X367" s="31"/>
      <c r="Y367" s="31"/>
    </row>
    <row r="368" ht="15.75" customHeight="1">
      <c r="A368" s="322">
        <v>78.0</v>
      </c>
      <c r="B368" s="323" t="s">
        <v>7230</v>
      </c>
      <c r="C368" s="323" t="s">
        <v>7231</v>
      </c>
      <c r="D368" s="323" t="s">
        <v>1395</v>
      </c>
      <c r="E368" s="323" t="s">
        <v>668</v>
      </c>
      <c r="F368" s="322">
        <v>18085.0</v>
      </c>
      <c r="G368" s="324"/>
      <c r="H368" s="323" t="s">
        <v>6636</v>
      </c>
      <c r="I368" s="322">
        <v>52.0</v>
      </c>
      <c r="J368" s="322">
        <v>9404.2</v>
      </c>
      <c r="K368" s="322">
        <f t="shared" si="1"/>
        <v>9404.2</v>
      </c>
      <c r="L368" s="324"/>
      <c r="M368" s="324"/>
      <c r="N368" s="324"/>
      <c r="O368" s="324"/>
      <c r="P368" s="324"/>
      <c r="Q368" s="31"/>
      <c r="R368" s="31"/>
      <c r="S368" s="31"/>
      <c r="T368" s="31"/>
      <c r="U368" s="31"/>
      <c r="V368" s="31"/>
      <c r="W368" s="31"/>
      <c r="X368" s="31"/>
      <c r="Y368" s="31"/>
    </row>
    <row r="369" ht="15.75" customHeight="1">
      <c r="A369" s="322">
        <v>79.0</v>
      </c>
      <c r="B369" s="323" t="s">
        <v>3959</v>
      </c>
      <c r="C369" s="323" t="s">
        <v>7232</v>
      </c>
      <c r="D369" s="323" t="s">
        <v>21</v>
      </c>
      <c r="E369" s="323" t="s">
        <v>668</v>
      </c>
      <c r="F369" s="322">
        <v>46464.0</v>
      </c>
      <c r="G369" s="324"/>
      <c r="H369" s="323" t="s">
        <v>6636</v>
      </c>
      <c r="I369" s="322">
        <v>19.0</v>
      </c>
      <c r="J369" s="322">
        <v>8828.16</v>
      </c>
      <c r="K369" s="322">
        <f t="shared" si="1"/>
        <v>8828.16</v>
      </c>
      <c r="L369" s="324"/>
      <c r="M369" s="324"/>
      <c r="N369" s="324"/>
      <c r="O369" s="324"/>
      <c r="P369" s="324"/>
      <c r="Q369" s="31"/>
      <c r="R369" s="31"/>
      <c r="S369" s="31"/>
      <c r="T369" s="31"/>
      <c r="U369" s="31"/>
      <c r="V369" s="31"/>
      <c r="W369" s="31"/>
      <c r="X369" s="31"/>
      <c r="Y369" s="31"/>
    </row>
    <row r="370" ht="15.75" customHeight="1">
      <c r="A370" s="322">
        <v>80.0</v>
      </c>
      <c r="B370" s="323" t="s">
        <v>7233</v>
      </c>
      <c r="C370" s="323" t="s">
        <v>7125</v>
      </c>
      <c r="D370" s="323" t="s">
        <v>7118</v>
      </c>
      <c r="E370" s="323" t="s">
        <v>668</v>
      </c>
      <c r="F370" s="322">
        <v>2144.0</v>
      </c>
      <c r="G370" s="322">
        <v>2530.0</v>
      </c>
      <c r="H370" s="323" t="s">
        <v>6639</v>
      </c>
      <c r="I370" s="322">
        <v>33.0</v>
      </c>
      <c r="J370" s="322">
        <v>707.52</v>
      </c>
      <c r="K370" s="322">
        <f t="shared" si="1"/>
        <v>-1822.48</v>
      </c>
      <c r="L370" s="324"/>
      <c r="M370" s="324"/>
      <c r="N370" s="324"/>
      <c r="O370" s="324"/>
      <c r="P370" s="324"/>
      <c r="Q370" s="31"/>
      <c r="R370" s="31"/>
      <c r="S370" s="31"/>
      <c r="T370" s="31"/>
      <c r="U370" s="31"/>
      <c r="V370" s="31"/>
      <c r="W370" s="31"/>
      <c r="X370" s="31"/>
      <c r="Y370" s="31"/>
    </row>
    <row r="371" ht="15.75" customHeight="1">
      <c r="A371" s="322">
        <v>81.0</v>
      </c>
      <c r="B371" s="323" t="s">
        <v>7234</v>
      </c>
      <c r="C371" s="323" t="s">
        <v>7050</v>
      </c>
      <c r="D371" s="323" t="s">
        <v>1759</v>
      </c>
      <c r="E371" s="323" t="s">
        <v>1424</v>
      </c>
      <c r="F371" s="322">
        <v>6511.0</v>
      </c>
      <c r="G371" s="324"/>
      <c r="H371" s="323" t="s">
        <v>6636</v>
      </c>
      <c r="I371" s="322">
        <v>55.0</v>
      </c>
      <c r="J371" s="322">
        <v>3581.05</v>
      </c>
      <c r="K371" s="322">
        <f t="shared" si="1"/>
        <v>3581.05</v>
      </c>
      <c r="L371" s="324"/>
      <c r="M371" s="324"/>
      <c r="N371" s="324"/>
      <c r="O371" s="324"/>
      <c r="P371" s="324"/>
      <c r="Q371" s="31"/>
      <c r="R371" s="31"/>
      <c r="S371" s="31"/>
      <c r="T371" s="31"/>
      <c r="U371" s="31"/>
      <c r="V371" s="31"/>
      <c r="W371" s="31"/>
      <c r="X371" s="31"/>
      <c r="Y371" s="31"/>
    </row>
    <row r="372" ht="15.75" customHeight="1">
      <c r="A372" s="322">
        <v>82.0</v>
      </c>
      <c r="B372" s="323" t="s">
        <v>3488</v>
      </c>
      <c r="C372" s="323" t="s">
        <v>7235</v>
      </c>
      <c r="D372" s="323" t="s">
        <v>21</v>
      </c>
      <c r="E372" s="323" t="s">
        <v>48</v>
      </c>
      <c r="F372" s="322">
        <v>90858.0</v>
      </c>
      <c r="G372" s="324"/>
      <c r="H372" s="323" t="s">
        <v>6636</v>
      </c>
      <c r="I372" s="322">
        <v>17.0</v>
      </c>
      <c r="J372" s="322">
        <v>15445.86</v>
      </c>
      <c r="K372" s="322">
        <f t="shared" si="1"/>
        <v>15445.86</v>
      </c>
      <c r="L372" s="324"/>
      <c r="M372" s="324"/>
      <c r="N372" s="324"/>
      <c r="O372" s="324"/>
      <c r="P372" s="324"/>
      <c r="Q372" s="31"/>
      <c r="R372" s="31"/>
      <c r="S372" s="31"/>
      <c r="T372" s="31"/>
      <c r="U372" s="31"/>
      <c r="V372" s="31"/>
      <c r="W372" s="31"/>
      <c r="X372" s="31"/>
      <c r="Y372" s="31"/>
    </row>
    <row r="373" ht="15.75" customHeight="1">
      <c r="A373" s="322">
        <v>83.0</v>
      </c>
      <c r="B373" s="323" t="s">
        <v>7236</v>
      </c>
      <c r="C373" s="323" t="s">
        <v>7237</v>
      </c>
      <c r="D373" s="323" t="s">
        <v>21</v>
      </c>
      <c r="E373" s="323" t="s">
        <v>48</v>
      </c>
      <c r="F373" s="322">
        <v>50015.0</v>
      </c>
      <c r="G373" s="324"/>
      <c r="H373" s="323" t="s">
        <v>6636</v>
      </c>
      <c r="I373" s="322">
        <v>17.0</v>
      </c>
      <c r="J373" s="322">
        <v>8502.55</v>
      </c>
      <c r="K373" s="322">
        <f t="shared" si="1"/>
        <v>8502.55</v>
      </c>
      <c r="L373" s="324"/>
      <c r="M373" s="324"/>
      <c r="N373" s="324"/>
      <c r="O373" s="324"/>
      <c r="P373" s="324"/>
      <c r="Q373" s="31"/>
      <c r="R373" s="31"/>
      <c r="S373" s="31"/>
      <c r="T373" s="31"/>
      <c r="U373" s="31"/>
      <c r="V373" s="31"/>
      <c r="W373" s="31"/>
      <c r="X373" s="31"/>
      <c r="Y373" s="31"/>
    </row>
    <row r="374" ht="15.75" customHeight="1">
      <c r="A374" s="322">
        <v>84.0</v>
      </c>
      <c r="B374" s="323" t="s">
        <v>7238</v>
      </c>
      <c r="C374" s="323" t="s">
        <v>6948</v>
      </c>
      <c r="D374" s="323" t="s">
        <v>7118</v>
      </c>
      <c r="E374" s="323" t="s">
        <v>143</v>
      </c>
      <c r="F374" s="322">
        <v>3476.0</v>
      </c>
      <c r="G374" s="324"/>
      <c r="H374" s="323" t="s">
        <v>6636</v>
      </c>
      <c r="I374" s="322">
        <v>23.0</v>
      </c>
      <c r="J374" s="322">
        <v>799.48</v>
      </c>
      <c r="K374" s="322">
        <f t="shared" si="1"/>
        <v>799.48</v>
      </c>
      <c r="L374" s="324"/>
      <c r="M374" s="324"/>
      <c r="N374" s="324"/>
      <c r="O374" s="324"/>
      <c r="P374" s="324"/>
      <c r="Q374" s="31"/>
      <c r="R374" s="31"/>
      <c r="S374" s="31"/>
      <c r="T374" s="31"/>
      <c r="U374" s="31"/>
      <c r="V374" s="31"/>
      <c r="W374" s="31"/>
      <c r="X374" s="31"/>
      <c r="Y374" s="31"/>
    </row>
    <row r="375" ht="15.75" customHeight="1">
      <c r="A375" s="322">
        <v>85.0</v>
      </c>
      <c r="B375" s="323" t="s">
        <v>7239</v>
      </c>
      <c r="C375" s="323" t="s">
        <v>6902</v>
      </c>
      <c r="D375" s="323" t="s">
        <v>7118</v>
      </c>
      <c r="E375" s="323" t="s">
        <v>668</v>
      </c>
      <c r="F375" s="322">
        <v>3476.0</v>
      </c>
      <c r="G375" s="322">
        <v>4102.0</v>
      </c>
      <c r="H375" s="323" t="s">
        <v>6639</v>
      </c>
      <c r="I375" s="322">
        <v>33.0</v>
      </c>
      <c r="J375" s="322">
        <v>1147.08</v>
      </c>
      <c r="K375" s="322">
        <f t="shared" si="1"/>
        <v>-2954.92</v>
      </c>
      <c r="L375" s="324"/>
      <c r="M375" s="324"/>
      <c r="N375" s="324"/>
      <c r="O375" s="324"/>
      <c r="P375" s="324"/>
      <c r="Q375" s="31"/>
      <c r="R375" s="31"/>
      <c r="S375" s="31"/>
      <c r="T375" s="31"/>
      <c r="U375" s="31"/>
      <c r="V375" s="31"/>
      <c r="W375" s="31"/>
      <c r="X375" s="31"/>
      <c r="Y375" s="31"/>
    </row>
    <row r="376" ht="15.75" customHeight="1">
      <c r="A376" s="322">
        <v>86.0</v>
      </c>
      <c r="B376" s="323" t="s">
        <v>7240</v>
      </c>
      <c r="C376" s="323" t="s">
        <v>7241</v>
      </c>
      <c r="D376" s="323" t="s">
        <v>75</v>
      </c>
      <c r="E376" s="323" t="s">
        <v>668</v>
      </c>
      <c r="F376" s="322">
        <v>4542.0</v>
      </c>
      <c r="G376" s="324"/>
      <c r="H376" s="323" t="s">
        <v>6636</v>
      </c>
      <c r="I376" s="322">
        <v>52.0</v>
      </c>
      <c r="J376" s="322">
        <v>2361.84</v>
      </c>
      <c r="K376" s="322">
        <f t="shared" si="1"/>
        <v>2361.84</v>
      </c>
      <c r="L376" s="324"/>
      <c r="M376" s="324"/>
      <c r="N376" s="324"/>
      <c r="O376" s="324"/>
      <c r="P376" s="324"/>
      <c r="Q376" s="31"/>
      <c r="R376" s="31"/>
      <c r="S376" s="31"/>
      <c r="T376" s="31"/>
      <c r="U376" s="31"/>
      <c r="V376" s="31"/>
      <c r="W376" s="31"/>
      <c r="X376" s="31"/>
      <c r="Y376" s="31"/>
    </row>
    <row r="377" ht="15.75" customHeight="1">
      <c r="A377" s="322">
        <v>87.0</v>
      </c>
      <c r="B377" s="323" t="s">
        <v>7242</v>
      </c>
      <c r="C377" s="323" t="s">
        <v>7050</v>
      </c>
      <c r="D377" s="323" t="s">
        <v>7118</v>
      </c>
      <c r="E377" s="323" t="s">
        <v>668</v>
      </c>
      <c r="F377" s="322">
        <v>3841.0</v>
      </c>
      <c r="G377" s="322">
        <v>4533.0</v>
      </c>
      <c r="H377" s="323" t="s">
        <v>6639</v>
      </c>
      <c r="I377" s="322">
        <v>33.0</v>
      </c>
      <c r="J377" s="322">
        <v>1267.53</v>
      </c>
      <c r="K377" s="322">
        <f t="shared" si="1"/>
        <v>-3265.47</v>
      </c>
      <c r="L377" s="324"/>
      <c r="M377" s="324"/>
      <c r="N377" s="324"/>
      <c r="O377" s="324"/>
      <c r="P377" s="324"/>
      <c r="Q377" s="31"/>
      <c r="R377" s="31"/>
      <c r="S377" s="31"/>
      <c r="T377" s="31"/>
      <c r="U377" s="31"/>
      <c r="V377" s="31"/>
      <c r="W377" s="31"/>
      <c r="X377" s="31"/>
      <c r="Y377" s="31"/>
    </row>
    <row r="378" ht="15.75" customHeight="1">
      <c r="A378" s="322">
        <v>88.0</v>
      </c>
      <c r="B378" s="323" t="s">
        <v>7243</v>
      </c>
      <c r="C378" s="323" t="s">
        <v>7244</v>
      </c>
      <c r="D378" s="323" t="s">
        <v>1395</v>
      </c>
      <c r="E378" s="323" t="s">
        <v>668</v>
      </c>
      <c r="F378" s="322">
        <v>17417.0</v>
      </c>
      <c r="G378" s="324"/>
      <c r="H378" s="323" t="s">
        <v>6636</v>
      </c>
      <c r="I378" s="322">
        <v>52.0</v>
      </c>
      <c r="J378" s="322">
        <v>9056.84</v>
      </c>
      <c r="K378" s="322">
        <f t="shared" si="1"/>
        <v>9056.84</v>
      </c>
      <c r="L378" s="324"/>
      <c r="M378" s="324"/>
      <c r="N378" s="324"/>
      <c r="O378" s="324"/>
      <c r="P378" s="324"/>
      <c r="Q378" s="31"/>
      <c r="R378" s="31"/>
      <c r="S378" s="31"/>
      <c r="T378" s="31"/>
      <c r="U378" s="31"/>
      <c r="V378" s="31"/>
      <c r="W378" s="31"/>
      <c r="X378" s="31"/>
      <c r="Y378" s="31"/>
    </row>
    <row r="379" ht="15.75" customHeight="1">
      <c r="A379" s="330">
        <v>89.0</v>
      </c>
      <c r="B379" s="331" t="s">
        <v>7245</v>
      </c>
      <c r="C379" s="331" t="s">
        <v>7246</v>
      </c>
      <c r="D379" s="331" t="s">
        <v>1395</v>
      </c>
      <c r="E379" s="331" t="s">
        <v>668</v>
      </c>
      <c r="F379" s="330">
        <v>20501.0</v>
      </c>
      <c r="G379" s="330">
        <v>23229.0</v>
      </c>
      <c r="H379" s="331" t="s">
        <v>6639</v>
      </c>
      <c r="I379" s="330">
        <v>52.0</v>
      </c>
      <c r="J379" s="330">
        <v>10660.52</v>
      </c>
      <c r="K379" s="322">
        <f t="shared" si="1"/>
        <v>-12568.48</v>
      </c>
      <c r="L379" s="332"/>
      <c r="M379" s="332"/>
      <c r="N379" s="332"/>
      <c r="O379" s="332"/>
      <c r="P379" s="332"/>
      <c r="Q379" s="31"/>
      <c r="R379" s="31"/>
      <c r="S379" s="31"/>
      <c r="T379" s="31"/>
      <c r="U379" s="31"/>
      <c r="V379" s="31"/>
      <c r="W379" s="31"/>
      <c r="X379" s="31"/>
      <c r="Y379" s="31"/>
    </row>
    <row r="380" ht="15.75" customHeight="1">
      <c r="A380" s="322">
        <v>90.0</v>
      </c>
      <c r="B380" s="323" t="s">
        <v>7247</v>
      </c>
      <c r="C380" s="323" t="s">
        <v>6966</v>
      </c>
      <c r="D380" s="323" t="s">
        <v>21</v>
      </c>
      <c r="E380" s="323" t="s">
        <v>668</v>
      </c>
      <c r="F380" s="322">
        <v>45558.0</v>
      </c>
      <c r="G380" s="324"/>
      <c r="H380" s="323" t="s">
        <v>6636</v>
      </c>
      <c r="I380" s="322">
        <v>19.0</v>
      </c>
      <c r="J380" s="322">
        <v>8656.02</v>
      </c>
      <c r="K380" s="322">
        <f t="shared" si="1"/>
        <v>8656.02</v>
      </c>
      <c r="L380" s="324"/>
      <c r="M380" s="324"/>
      <c r="N380" s="324"/>
      <c r="O380" s="324"/>
      <c r="P380" s="324"/>
      <c r="Q380" s="31"/>
      <c r="R380" s="31"/>
      <c r="S380" s="31"/>
      <c r="T380" s="31"/>
      <c r="U380" s="31"/>
      <c r="V380" s="31"/>
      <c r="W380" s="31"/>
      <c r="X380" s="31"/>
      <c r="Y380" s="31"/>
    </row>
    <row r="381" ht="15.75" customHeight="1">
      <c r="A381" s="330">
        <v>91.0</v>
      </c>
      <c r="B381" s="331" t="s">
        <v>4043</v>
      </c>
      <c r="C381" s="331" t="s">
        <v>7248</v>
      </c>
      <c r="D381" s="331" t="s">
        <v>1395</v>
      </c>
      <c r="E381" s="331" t="s">
        <v>668</v>
      </c>
      <c r="F381" s="330">
        <v>17157.0</v>
      </c>
      <c r="G381" s="330">
        <v>19283.0</v>
      </c>
      <c r="H381" s="331" t="s">
        <v>6639</v>
      </c>
      <c r="I381" s="330">
        <v>52.0</v>
      </c>
      <c r="J381" s="330">
        <v>8921.64</v>
      </c>
      <c r="K381" s="322">
        <f t="shared" si="1"/>
        <v>-10361.36</v>
      </c>
      <c r="L381" s="332"/>
      <c r="M381" s="332"/>
      <c r="N381" s="332"/>
      <c r="O381" s="332"/>
      <c r="P381" s="332"/>
      <c r="Q381" s="31"/>
      <c r="R381" s="31"/>
      <c r="S381" s="31"/>
      <c r="T381" s="31"/>
      <c r="U381" s="31"/>
      <c r="V381" s="31"/>
      <c r="W381" s="31"/>
      <c r="X381" s="31"/>
      <c r="Y381" s="31"/>
    </row>
    <row r="382" ht="15.75" customHeight="1">
      <c r="A382" s="336">
        <v>92.0</v>
      </c>
      <c r="B382" s="337" t="s">
        <v>7249</v>
      </c>
      <c r="C382" s="337" t="s">
        <v>7113</v>
      </c>
      <c r="D382" s="337" t="s">
        <v>21</v>
      </c>
      <c r="E382" s="337" t="s">
        <v>668</v>
      </c>
      <c r="F382" s="336">
        <v>30266.0</v>
      </c>
      <c r="G382" s="338"/>
      <c r="H382" s="337" t="s">
        <v>6636</v>
      </c>
      <c r="I382" s="336">
        <v>17.0</v>
      </c>
      <c r="J382" s="336">
        <v>0.0</v>
      </c>
      <c r="K382" s="336">
        <f t="shared" si="1"/>
        <v>0</v>
      </c>
      <c r="L382" s="338"/>
      <c r="M382" s="338"/>
      <c r="N382" s="338"/>
      <c r="O382" s="338"/>
      <c r="P382" s="338"/>
      <c r="Q382" s="339"/>
      <c r="R382" s="339"/>
      <c r="S382" s="339"/>
      <c r="T382" s="339"/>
      <c r="U382" s="339"/>
      <c r="V382" s="339"/>
      <c r="W382" s="339"/>
      <c r="X382" s="339"/>
      <c r="Y382" s="339"/>
    </row>
    <row r="383" ht="15.75" customHeight="1">
      <c r="A383" s="322">
        <v>93.0</v>
      </c>
      <c r="B383" s="323" t="s">
        <v>3008</v>
      </c>
      <c r="C383" s="323" t="s">
        <v>7250</v>
      </c>
      <c r="D383" s="323" t="s">
        <v>21</v>
      </c>
      <c r="E383" s="323" t="s">
        <v>48</v>
      </c>
      <c r="F383" s="322">
        <v>59433.0</v>
      </c>
      <c r="G383" s="324"/>
      <c r="H383" s="323" t="s">
        <v>6636</v>
      </c>
      <c r="I383" s="322">
        <v>17.0</v>
      </c>
      <c r="J383" s="322">
        <v>10103.61</v>
      </c>
      <c r="K383" s="322">
        <f t="shared" si="1"/>
        <v>10103.61</v>
      </c>
      <c r="L383" s="324"/>
      <c r="M383" s="324"/>
      <c r="N383" s="324"/>
      <c r="O383" s="324"/>
      <c r="P383" s="324"/>
      <c r="Q383" s="31"/>
      <c r="R383" s="31"/>
      <c r="S383" s="31"/>
      <c r="T383" s="31"/>
      <c r="U383" s="31"/>
      <c r="V383" s="31"/>
      <c r="W383" s="31"/>
      <c r="X383" s="31"/>
      <c r="Y383" s="31"/>
    </row>
    <row r="384" ht="15.75" customHeight="1">
      <c r="A384" s="322">
        <v>94.0</v>
      </c>
      <c r="B384" s="323" t="s">
        <v>7251</v>
      </c>
      <c r="C384" s="323" t="s">
        <v>1787</v>
      </c>
      <c r="D384" s="323" t="s">
        <v>7118</v>
      </c>
      <c r="E384" s="323" t="s">
        <v>143</v>
      </c>
      <c r="F384" s="322">
        <v>3791.0</v>
      </c>
      <c r="G384" s="324"/>
      <c r="H384" s="323" t="s">
        <v>6636</v>
      </c>
      <c r="I384" s="322">
        <v>21.0</v>
      </c>
      <c r="J384" s="322">
        <v>796.11</v>
      </c>
      <c r="K384" s="322">
        <f t="shared" si="1"/>
        <v>796.11</v>
      </c>
      <c r="L384" s="324"/>
      <c r="M384" s="324"/>
      <c r="N384" s="324"/>
      <c r="O384" s="324"/>
      <c r="P384" s="324"/>
      <c r="Q384" s="31"/>
      <c r="R384" s="31"/>
      <c r="S384" s="31"/>
      <c r="T384" s="31"/>
      <c r="U384" s="31"/>
      <c r="V384" s="31"/>
      <c r="W384" s="31"/>
      <c r="X384" s="31"/>
      <c r="Y384" s="31"/>
    </row>
    <row r="385" ht="15.75" customHeight="1">
      <c r="A385" s="322">
        <v>95.0</v>
      </c>
      <c r="B385" s="323" t="s">
        <v>7252</v>
      </c>
      <c r="C385" s="323" t="s">
        <v>7097</v>
      </c>
      <c r="D385" s="323" t="s">
        <v>1395</v>
      </c>
      <c r="E385" s="323" t="s">
        <v>668</v>
      </c>
      <c r="F385" s="322">
        <v>17898.0</v>
      </c>
      <c r="G385" s="322">
        <v>20158.0</v>
      </c>
      <c r="H385" s="323" t="s">
        <v>6639</v>
      </c>
      <c r="I385" s="322">
        <v>52.0</v>
      </c>
      <c r="J385" s="322">
        <v>9306.96</v>
      </c>
      <c r="K385" s="322">
        <f t="shared" si="1"/>
        <v>-10851.04</v>
      </c>
      <c r="L385" s="324"/>
      <c r="M385" s="324"/>
      <c r="N385" s="324"/>
      <c r="O385" s="324"/>
      <c r="P385" s="324"/>
      <c r="Q385" s="31"/>
      <c r="R385" s="31"/>
      <c r="S385" s="31"/>
      <c r="T385" s="31"/>
      <c r="U385" s="31"/>
      <c r="V385" s="31"/>
      <c r="W385" s="31"/>
      <c r="X385" s="31"/>
      <c r="Y385" s="31"/>
    </row>
    <row r="386" ht="15.75" customHeight="1">
      <c r="A386" s="322">
        <v>96.0</v>
      </c>
      <c r="B386" s="323" t="s">
        <v>7253</v>
      </c>
      <c r="C386" s="323" t="s">
        <v>7097</v>
      </c>
      <c r="D386" s="323" t="s">
        <v>1395</v>
      </c>
      <c r="E386" s="323" t="s">
        <v>668</v>
      </c>
      <c r="F386" s="322">
        <v>17898.0</v>
      </c>
      <c r="G386" s="322">
        <v>20158.0</v>
      </c>
      <c r="H386" s="323" t="s">
        <v>6639</v>
      </c>
      <c r="I386" s="322">
        <v>52.0</v>
      </c>
      <c r="J386" s="322">
        <v>9306.96</v>
      </c>
      <c r="K386" s="322">
        <f t="shared" si="1"/>
        <v>-10851.04</v>
      </c>
      <c r="L386" s="324"/>
      <c r="M386" s="324"/>
      <c r="N386" s="324"/>
      <c r="O386" s="324"/>
      <c r="P386" s="324"/>
      <c r="Q386" s="31"/>
      <c r="R386" s="31"/>
      <c r="S386" s="31"/>
      <c r="T386" s="31"/>
      <c r="U386" s="31"/>
      <c r="V386" s="31"/>
      <c r="W386" s="31"/>
      <c r="X386" s="31"/>
      <c r="Y386" s="31"/>
    </row>
    <row r="387" ht="15.75" customHeight="1">
      <c r="A387" s="322">
        <v>97.0</v>
      </c>
      <c r="B387" s="323" t="s">
        <v>7254</v>
      </c>
      <c r="C387" s="323" t="s">
        <v>7097</v>
      </c>
      <c r="D387" s="323" t="s">
        <v>1395</v>
      </c>
      <c r="E387" s="323" t="s">
        <v>668</v>
      </c>
      <c r="F387" s="322">
        <v>17898.0</v>
      </c>
      <c r="G387" s="324"/>
      <c r="H387" s="323" t="s">
        <v>6636</v>
      </c>
      <c r="I387" s="322">
        <v>52.0</v>
      </c>
      <c r="J387" s="322">
        <v>9306.96</v>
      </c>
      <c r="K387" s="322">
        <f t="shared" si="1"/>
        <v>9306.96</v>
      </c>
      <c r="L387" s="324"/>
      <c r="M387" s="324"/>
      <c r="N387" s="324"/>
      <c r="O387" s="324"/>
      <c r="P387" s="324"/>
      <c r="Q387" s="31"/>
      <c r="R387" s="31"/>
      <c r="S387" s="31"/>
      <c r="T387" s="31"/>
      <c r="U387" s="31"/>
      <c r="V387" s="31"/>
      <c r="W387" s="31"/>
      <c r="X387" s="31"/>
      <c r="Y387" s="31"/>
    </row>
    <row r="388" ht="15.75" customHeight="1">
      <c r="A388" s="322">
        <v>98.0</v>
      </c>
      <c r="B388" s="323" t="s">
        <v>7255</v>
      </c>
      <c r="C388" s="323" t="s">
        <v>7256</v>
      </c>
      <c r="D388" s="323" t="s">
        <v>1395</v>
      </c>
      <c r="E388" s="323" t="s">
        <v>668</v>
      </c>
      <c r="F388" s="322">
        <v>17931.0</v>
      </c>
      <c r="G388" s="324"/>
      <c r="H388" s="323" t="s">
        <v>6636</v>
      </c>
      <c r="I388" s="322">
        <v>52.0</v>
      </c>
      <c r="J388" s="322">
        <v>9324.12</v>
      </c>
      <c r="K388" s="322">
        <f t="shared" si="1"/>
        <v>9324.12</v>
      </c>
      <c r="L388" s="324"/>
      <c r="M388" s="324"/>
      <c r="N388" s="324"/>
      <c r="O388" s="324"/>
      <c r="P388" s="324"/>
      <c r="Q388" s="31"/>
      <c r="R388" s="31"/>
      <c r="S388" s="31"/>
      <c r="T388" s="31"/>
      <c r="U388" s="31"/>
      <c r="V388" s="31"/>
      <c r="W388" s="31"/>
      <c r="X388" s="31"/>
      <c r="Y388" s="31"/>
    </row>
    <row r="389" ht="15.75" customHeight="1">
      <c r="A389" s="318">
        <v>99.0</v>
      </c>
      <c r="B389" s="319" t="s">
        <v>7257</v>
      </c>
      <c r="C389" s="319" t="s">
        <v>7258</v>
      </c>
      <c r="D389" s="319" t="s">
        <v>1395</v>
      </c>
      <c r="E389" s="319" t="s">
        <v>668</v>
      </c>
      <c r="F389" s="318">
        <v>20822.0</v>
      </c>
      <c r="G389" s="318">
        <v>23604.0</v>
      </c>
      <c r="H389" s="319" t="s">
        <v>6639</v>
      </c>
      <c r="I389" s="318">
        <v>52.0</v>
      </c>
      <c r="J389" s="318">
        <v>10827.44</v>
      </c>
      <c r="K389" s="322">
        <f t="shared" si="1"/>
        <v>-12776.56</v>
      </c>
      <c r="L389" s="321"/>
      <c r="M389" s="321"/>
      <c r="N389" s="321"/>
      <c r="O389" s="321"/>
      <c r="P389" s="321"/>
      <c r="Q389" s="31"/>
      <c r="R389" s="31"/>
      <c r="S389" s="31"/>
      <c r="T389" s="31"/>
      <c r="U389" s="31"/>
      <c r="V389" s="31"/>
      <c r="W389" s="31"/>
      <c r="X389" s="31"/>
      <c r="Y389" s="31"/>
    </row>
    <row r="390" ht="15.75" customHeight="1">
      <c r="A390" s="318">
        <v>100.0</v>
      </c>
      <c r="B390" s="319" t="s">
        <v>7259</v>
      </c>
      <c r="C390" s="319" t="s">
        <v>7166</v>
      </c>
      <c r="D390" s="319" t="s">
        <v>1395</v>
      </c>
      <c r="E390" s="319" t="s">
        <v>668</v>
      </c>
      <c r="F390" s="318">
        <v>19550.0</v>
      </c>
      <c r="G390" s="318">
        <v>22106.0</v>
      </c>
      <c r="H390" s="319" t="s">
        <v>6639</v>
      </c>
      <c r="I390" s="318">
        <v>52.0</v>
      </c>
      <c r="J390" s="318">
        <v>10166.0</v>
      </c>
      <c r="K390" s="322">
        <f t="shared" si="1"/>
        <v>-11940</v>
      </c>
      <c r="L390" s="321"/>
      <c r="M390" s="321"/>
      <c r="N390" s="321"/>
      <c r="O390" s="321"/>
      <c r="P390" s="321"/>
      <c r="Q390" s="31"/>
      <c r="R390" s="31"/>
      <c r="S390" s="31"/>
      <c r="T390" s="31"/>
      <c r="U390" s="31"/>
      <c r="V390" s="31"/>
      <c r="W390" s="31"/>
      <c r="X390" s="31"/>
      <c r="Y390" s="31"/>
    </row>
    <row r="391" ht="15.75" customHeight="1">
      <c r="A391" s="318">
        <v>101.0</v>
      </c>
      <c r="B391" s="319" t="s">
        <v>7260</v>
      </c>
      <c r="C391" s="319" t="s">
        <v>6878</v>
      </c>
      <c r="D391" s="319" t="s">
        <v>21</v>
      </c>
      <c r="E391" s="319" t="s">
        <v>48</v>
      </c>
      <c r="F391" s="318">
        <v>39552.0</v>
      </c>
      <c r="G391" s="318">
        <v>44553.0</v>
      </c>
      <c r="H391" s="319" t="s">
        <v>6639</v>
      </c>
      <c r="I391" s="318">
        <v>17.0</v>
      </c>
      <c r="J391" s="318">
        <v>6723.84</v>
      </c>
      <c r="K391" s="322">
        <f t="shared" si="1"/>
        <v>-37829.16</v>
      </c>
      <c r="L391" s="321"/>
      <c r="M391" s="321"/>
      <c r="N391" s="321"/>
      <c r="O391" s="321"/>
      <c r="P391" s="321"/>
      <c r="Q391" s="31"/>
      <c r="R391" s="31"/>
      <c r="S391" s="31"/>
      <c r="T391" s="31"/>
      <c r="U391" s="31"/>
      <c r="V391" s="31"/>
      <c r="W391" s="31"/>
      <c r="X391" s="31"/>
      <c r="Y391" s="31"/>
    </row>
    <row r="392" ht="15.75" customHeight="1">
      <c r="A392" s="318">
        <v>102.0</v>
      </c>
      <c r="B392" s="319" t="s">
        <v>7261</v>
      </c>
      <c r="C392" s="319" t="s">
        <v>7262</v>
      </c>
      <c r="D392" s="319" t="s">
        <v>21</v>
      </c>
      <c r="E392" s="319" t="s">
        <v>48</v>
      </c>
      <c r="F392" s="318">
        <v>50073.0</v>
      </c>
      <c r="G392" s="321"/>
      <c r="H392" s="319" t="s">
        <v>6636</v>
      </c>
      <c r="I392" s="318">
        <v>17.0</v>
      </c>
      <c r="J392" s="318">
        <v>8512.41</v>
      </c>
      <c r="K392" s="322">
        <f t="shared" si="1"/>
        <v>8512.41</v>
      </c>
      <c r="L392" s="321"/>
      <c r="M392" s="321"/>
      <c r="N392" s="321"/>
      <c r="O392" s="321"/>
      <c r="P392" s="321"/>
      <c r="Q392" s="31"/>
      <c r="R392" s="31"/>
      <c r="S392" s="31"/>
      <c r="T392" s="31"/>
      <c r="U392" s="31"/>
      <c r="V392" s="31"/>
      <c r="W392" s="31"/>
      <c r="X392" s="31"/>
      <c r="Y392" s="31"/>
    </row>
    <row r="393" ht="15.75" customHeight="1">
      <c r="A393" s="318">
        <v>103.0</v>
      </c>
      <c r="B393" s="319" t="s">
        <v>7263</v>
      </c>
      <c r="C393" s="319" t="s">
        <v>7264</v>
      </c>
      <c r="D393" s="319" t="s">
        <v>7265</v>
      </c>
      <c r="E393" s="319" t="s">
        <v>116</v>
      </c>
      <c r="F393" s="318">
        <v>7317.0</v>
      </c>
      <c r="G393" s="321"/>
      <c r="H393" s="319" t="s">
        <v>6636</v>
      </c>
      <c r="I393" s="318">
        <v>32.0</v>
      </c>
      <c r="J393" s="318">
        <v>2341.44</v>
      </c>
      <c r="K393" s="322">
        <f t="shared" si="1"/>
        <v>2341.44</v>
      </c>
      <c r="L393" s="321"/>
      <c r="M393" s="321"/>
      <c r="N393" s="321"/>
      <c r="O393" s="321"/>
      <c r="P393" s="321"/>
      <c r="Q393" s="31"/>
      <c r="R393" s="31"/>
      <c r="S393" s="31"/>
      <c r="T393" s="31"/>
      <c r="U393" s="31"/>
      <c r="V393" s="31"/>
      <c r="W393" s="31"/>
      <c r="X393" s="31"/>
      <c r="Y393" s="31"/>
    </row>
    <row r="394" ht="15.75" customHeight="1">
      <c r="A394" s="318">
        <v>104.0</v>
      </c>
      <c r="B394" s="319" t="s">
        <v>7266</v>
      </c>
      <c r="C394" s="319" t="s">
        <v>7267</v>
      </c>
      <c r="D394" s="319" t="s">
        <v>1395</v>
      </c>
      <c r="E394" s="319" t="s">
        <v>668</v>
      </c>
      <c r="F394" s="318">
        <v>20397.0</v>
      </c>
      <c r="G394" s="321"/>
      <c r="H394" s="319" t="s">
        <v>6636</v>
      </c>
      <c r="I394" s="318">
        <v>52.0</v>
      </c>
      <c r="J394" s="318">
        <v>10606.44</v>
      </c>
      <c r="K394" s="322">
        <f t="shared" si="1"/>
        <v>10606.44</v>
      </c>
      <c r="L394" s="321"/>
      <c r="M394" s="321"/>
      <c r="N394" s="321"/>
      <c r="O394" s="321"/>
      <c r="P394" s="321"/>
      <c r="Q394" s="31"/>
      <c r="R394" s="31"/>
      <c r="S394" s="31"/>
      <c r="T394" s="31"/>
      <c r="U394" s="31"/>
      <c r="V394" s="31"/>
      <c r="W394" s="31"/>
      <c r="X394" s="31"/>
      <c r="Y394" s="31"/>
    </row>
    <row r="395" ht="15.75" customHeight="1">
      <c r="A395" s="318">
        <v>105.0</v>
      </c>
      <c r="B395" s="319" t="s">
        <v>7268</v>
      </c>
      <c r="C395" s="319" t="s">
        <v>7026</v>
      </c>
      <c r="D395" s="319" t="s">
        <v>7118</v>
      </c>
      <c r="E395" s="319" t="s">
        <v>668</v>
      </c>
      <c r="F395" s="318">
        <v>3901.0</v>
      </c>
      <c r="G395" s="318">
        <v>4603.0</v>
      </c>
      <c r="H395" s="319" t="s">
        <v>6639</v>
      </c>
      <c r="I395" s="318">
        <v>33.0</v>
      </c>
      <c r="J395" s="318">
        <v>1287.33</v>
      </c>
      <c r="K395" s="322">
        <f t="shared" si="1"/>
        <v>-3315.67</v>
      </c>
      <c r="L395" s="321"/>
      <c r="M395" s="321"/>
      <c r="N395" s="321"/>
      <c r="O395" s="321"/>
      <c r="P395" s="321"/>
      <c r="Q395" s="31"/>
      <c r="R395" s="31"/>
      <c r="S395" s="31"/>
      <c r="T395" s="31"/>
      <c r="U395" s="31"/>
      <c r="V395" s="31"/>
      <c r="W395" s="31"/>
      <c r="X395" s="31"/>
      <c r="Y395" s="31"/>
    </row>
    <row r="396" ht="15.75" customHeight="1">
      <c r="A396" s="318">
        <v>106.0</v>
      </c>
      <c r="B396" s="319" t="s">
        <v>7269</v>
      </c>
      <c r="C396" s="319" t="s">
        <v>7270</v>
      </c>
      <c r="D396" s="319" t="s">
        <v>7118</v>
      </c>
      <c r="E396" s="319" t="s">
        <v>668</v>
      </c>
      <c r="F396" s="318">
        <v>3901.0</v>
      </c>
      <c r="G396" s="318">
        <v>4603.0</v>
      </c>
      <c r="H396" s="319" t="s">
        <v>6639</v>
      </c>
      <c r="I396" s="318">
        <v>33.0</v>
      </c>
      <c r="J396" s="318">
        <v>1287.33</v>
      </c>
      <c r="K396" s="322">
        <f t="shared" si="1"/>
        <v>-3315.67</v>
      </c>
      <c r="L396" s="321"/>
      <c r="M396" s="321"/>
      <c r="N396" s="321"/>
      <c r="O396" s="321"/>
      <c r="P396" s="321"/>
      <c r="Q396" s="31"/>
      <c r="R396" s="31"/>
      <c r="S396" s="31"/>
      <c r="T396" s="31"/>
      <c r="U396" s="31"/>
      <c r="V396" s="31"/>
      <c r="W396" s="31"/>
      <c r="X396" s="31"/>
      <c r="Y396" s="31"/>
    </row>
    <row r="397" ht="15.75" customHeight="1">
      <c r="A397" s="318">
        <v>107.0</v>
      </c>
      <c r="B397" s="319" t="s">
        <v>7271</v>
      </c>
      <c r="C397" s="319" t="s">
        <v>7272</v>
      </c>
      <c r="D397" s="319" t="s">
        <v>21</v>
      </c>
      <c r="E397" s="319" t="s">
        <v>668</v>
      </c>
      <c r="F397" s="318">
        <v>51688.0</v>
      </c>
      <c r="G397" s="321"/>
      <c r="H397" s="319" t="s">
        <v>6636</v>
      </c>
      <c r="I397" s="318">
        <v>19.0</v>
      </c>
      <c r="J397" s="318">
        <v>9820.72</v>
      </c>
      <c r="K397" s="322">
        <f t="shared" si="1"/>
        <v>9820.72</v>
      </c>
      <c r="L397" s="321"/>
      <c r="M397" s="321"/>
      <c r="N397" s="321"/>
      <c r="O397" s="321"/>
      <c r="P397" s="321"/>
      <c r="Q397" s="31"/>
      <c r="R397" s="31"/>
      <c r="S397" s="31"/>
      <c r="T397" s="31"/>
      <c r="U397" s="31"/>
      <c r="V397" s="31"/>
      <c r="W397" s="31"/>
      <c r="X397" s="31"/>
      <c r="Y397" s="31"/>
    </row>
    <row r="398" ht="15.75" customHeight="1">
      <c r="A398" s="318">
        <v>108.0</v>
      </c>
      <c r="B398" s="319" t="s">
        <v>7273</v>
      </c>
      <c r="C398" s="319" t="s">
        <v>6802</v>
      </c>
      <c r="D398" s="319" t="s">
        <v>1759</v>
      </c>
      <c r="E398" s="319" t="s">
        <v>1424</v>
      </c>
      <c r="F398" s="318">
        <v>6593.0</v>
      </c>
      <c r="G398" s="321"/>
      <c r="H398" s="319" t="s">
        <v>6636</v>
      </c>
      <c r="I398" s="318">
        <v>55.0</v>
      </c>
      <c r="J398" s="318">
        <v>3626.15</v>
      </c>
      <c r="K398" s="322">
        <f t="shared" si="1"/>
        <v>3626.15</v>
      </c>
      <c r="L398" s="321"/>
      <c r="M398" s="321"/>
      <c r="N398" s="321"/>
      <c r="O398" s="321"/>
      <c r="P398" s="321"/>
      <c r="Q398" s="31"/>
      <c r="R398" s="31"/>
      <c r="S398" s="31"/>
      <c r="T398" s="31"/>
      <c r="U398" s="31"/>
      <c r="V398" s="31"/>
      <c r="W398" s="31"/>
      <c r="X398" s="31"/>
      <c r="Y398" s="31"/>
    </row>
    <row r="399" ht="15.75" customHeight="1">
      <c r="A399" s="318">
        <v>109.0</v>
      </c>
      <c r="B399" s="319" t="s">
        <v>7274</v>
      </c>
      <c r="C399" s="319" t="s">
        <v>6802</v>
      </c>
      <c r="D399" s="319" t="s">
        <v>1759</v>
      </c>
      <c r="E399" s="319" t="s">
        <v>1424</v>
      </c>
      <c r="F399" s="318">
        <v>6417.0</v>
      </c>
      <c r="G399" s="321"/>
      <c r="H399" s="319" t="s">
        <v>6636</v>
      </c>
      <c r="I399" s="318">
        <v>55.0</v>
      </c>
      <c r="J399" s="318">
        <v>3529.35</v>
      </c>
      <c r="K399" s="322">
        <f t="shared" si="1"/>
        <v>3529.35</v>
      </c>
      <c r="L399" s="321"/>
      <c r="M399" s="321"/>
      <c r="N399" s="321"/>
      <c r="O399" s="321"/>
      <c r="P399" s="321"/>
      <c r="Q399" s="31"/>
      <c r="R399" s="31"/>
      <c r="S399" s="31"/>
      <c r="T399" s="31"/>
      <c r="U399" s="31"/>
      <c r="V399" s="31"/>
      <c r="W399" s="31"/>
      <c r="X399" s="31"/>
      <c r="Y399" s="31"/>
    </row>
    <row r="400" ht="15.75" customHeight="1">
      <c r="A400" s="318">
        <v>110.0</v>
      </c>
      <c r="B400" s="319" t="s">
        <v>7275</v>
      </c>
      <c r="C400" s="319" t="s">
        <v>6802</v>
      </c>
      <c r="D400" s="319" t="s">
        <v>1759</v>
      </c>
      <c r="E400" s="319" t="s">
        <v>1424</v>
      </c>
      <c r="F400" s="318">
        <v>6475.0</v>
      </c>
      <c r="G400" s="321"/>
      <c r="H400" s="319" t="s">
        <v>6636</v>
      </c>
      <c r="I400" s="318">
        <v>55.0</v>
      </c>
      <c r="J400" s="318">
        <v>3561.25</v>
      </c>
      <c r="K400" s="322">
        <f t="shared" si="1"/>
        <v>3561.25</v>
      </c>
      <c r="L400" s="321"/>
      <c r="M400" s="321"/>
      <c r="N400" s="321"/>
      <c r="O400" s="321"/>
      <c r="P400" s="321"/>
      <c r="Q400" s="31"/>
      <c r="R400" s="31"/>
      <c r="S400" s="31"/>
      <c r="T400" s="31"/>
      <c r="U400" s="31"/>
      <c r="V400" s="31"/>
      <c r="W400" s="31"/>
      <c r="X400" s="31"/>
      <c r="Y400" s="31"/>
    </row>
    <row r="401" ht="15.75" customHeight="1">
      <c r="A401" s="322">
        <v>111.0</v>
      </c>
      <c r="B401" s="323" t="s">
        <v>7276</v>
      </c>
      <c r="C401" s="323" t="s">
        <v>7277</v>
      </c>
      <c r="D401" s="323" t="s">
        <v>7118</v>
      </c>
      <c r="E401" s="323" t="s">
        <v>143</v>
      </c>
      <c r="F401" s="322">
        <v>3791.0</v>
      </c>
      <c r="G401" s="322">
        <v>4473.0</v>
      </c>
      <c r="H401" s="323" t="s">
        <v>6639</v>
      </c>
      <c r="I401" s="322">
        <v>21.0</v>
      </c>
      <c r="J401" s="322">
        <v>796.11</v>
      </c>
      <c r="K401" s="322">
        <f t="shared" si="1"/>
        <v>-3676.89</v>
      </c>
      <c r="L401" s="324"/>
      <c r="M401" s="324"/>
      <c r="N401" s="324"/>
      <c r="O401" s="324"/>
      <c r="P401" s="324"/>
      <c r="Q401" s="340"/>
      <c r="R401" s="340"/>
      <c r="S401" s="340"/>
      <c r="T401" s="340"/>
      <c r="U401" s="340"/>
      <c r="V401" s="340"/>
      <c r="W401" s="340"/>
      <c r="X401" s="340"/>
      <c r="Y401" s="340"/>
    </row>
    <row r="402" ht="15.75" customHeight="1">
      <c r="A402" s="318">
        <v>112.0</v>
      </c>
      <c r="B402" s="319" t="s">
        <v>7278</v>
      </c>
      <c r="C402" s="319" t="s">
        <v>7279</v>
      </c>
      <c r="D402" s="319" t="s">
        <v>2749</v>
      </c>
      <c r="E402" s="319" t="s">
        <v>65</v>
      </c>
      <c r="F402" s="318">
        <v>14189.0</v>
      </c>
      <c r="G402" s="318">
        <v>16743.0</v>
      </c>
      <c r="H402" s="319" t="s">
        <v>6639</v>
      </c>
      <c r="I402" s="318">
        <v>32.0</v>
      </c>
      <c r="J402" s="318">
        <v>4540.48</v>
      </c>
      <c r="K402" s="322">
        <f t="shared" si="1"/>
        <v>-12202.52</v>
      </c>
      <c r="L402" s="321"/>
      <c r="M402" s="321"/>
      <c r="N402" s="321"/>
      <c r="O402" s="321"/>
      <c r="P402" s="321"/>
      <c r="Q402" s="31"/>
      <c r="R402" s="31"/>
      <c r="S402" s="31"/>
      <c r="T402" s="31"/>
      <c r="U402" s="31"/>
      <c r="V402" s="31"/>
      <c r="W402" s="31"/>
      <c r="X402" s="31"/>
      <c r="Y402" s="31"/>
    </row>
    <row r="403" ht="15.75" customHeight="1">
      <c r="A403" s="318">
        <v>113.0</v>
      </c>
      <c r="B403" s="319" t="s">
        <v>7280</v>
      </c>
      <c r="C403" s="319" t="s">
        <v>6966</v>
      </c>
      <c r="D403" s="319" t="s">
        <v>21</v>
      </c>
      <c r="E403" s="319" t="s">
        <v>668</v>
      </c>
      <c r="F403" s="318">
        <v>49646.0</v>
      </c>
      <c r="G403" s="321"/>
      <c r="H403" s="319" t="s">
        <v>6636</v>
      </c>
      <c r="I403" s="318">
        <v>19.0</v>
      </c>
      <c r="J403" s="318">
        <v>9432.74</v>
      </c>
      <c r="K403" s="322">
        <f t="shared" si="1"/>
        <v>9432.74</v>
      </c>
      <c r="L403" s="321"/>
      <c r="M403" s="321"/>
      <c r="N403" s="321"/>
      <c r="O403" s="321"/>
      <c r="P403" s="321"/>
      <c r="Q403" s="31"/>
      <c r="R403" s="31"/>
      <c r="S403" s="31"/>
      <c r="T403" s="31"/>
      <c r="U403" s="31"/>
      <c r="V403" s="31"/>
      <c r="W403" s="31"/>
      <c r="X403" s="31"/>
      <c r="Y403" s="31"/>
    </row>
    <row r="404" ht="15.75" customHeight="1">
      <c r="A404" s="318">
        <v>114.0</v>
      </c>
      <c r="B404" s="319" t="s">
        <v>7281</v>
      </c>
      <c r="C404" s="319" t="s">
        <v>7282</v>
      </c>
      <c r="D404" s="319" t="s">
        <v>1759</v>
      </c>
      <c r="E404" s="319" t="s">
        <v>1424</v>
      </c>
      <c r="F404" s="318">
        <v>6784.0</v>
      </c>
      <c r="G404" s="321"/>
      <c r="H404" s="319" t="s">
        <v>6636</v>
      </c>
      <c r="I404" s="318">
        <v>55.0</v>
      </c>
      <c r="J404" s="318">
        <v>3731.2</v>
      </c>
      <c r="K404" s="322">
        <f t="shared" si="1"/>
        <v>3731.2</v>
      </c>
      <c r="L404" s="321"/>
      <c r="M404" s="321"/>
      <c r="N404" s="321"/>
      <c r="O404" s="321"/>
      <c r="P404" s="321"/>
      <c r="Q404" s="31"/>
      <c r="R404" s="31"/>
      <c r="S404" s="31"/>
      <c r="T404" s="31"/>
      <c r="U404" s="31"/>
      <c r="V404" s="31"/>
      <c r="W404" s="31"/>
      <c r="X404" s="31"/>
      <c r="Y404" s="31"/>
    </row>
    <row r="405" ht="15.75" customHeight="1">
      <c r="A405" s="318">
        <v>115.0</v>
      </c>
      <c r="B405" s="319" t="s">
        <v>7283</v>
      </c>
      <c r="C405" s="319" t="s">
        <v>1774</v>
      </c>
      <c r="D405" s="319" t="s">
        <v>1395</v>
      </c>
      <c r="E405" s="319" t="s">
        <v>668</v>
      </c>
      <c r="F405" s="318">
        <v>20260.0</v>
      </c>
      <c r="G405" s="321"/>
      <c r="H405" s="319" t="s">
        <v>6636</v>
      </c>
      <c r="I405" s="318">
        <v>52.0</v>
      </c>
      <c r="J405" s="318">
        <v>10535.2</v>
      </c>
      <c r="K405" s="322">
        <f t="shared" si="1"/>
        <v>10535.2</v>
      </c>
      <c r="L405" s="321"/>
      <c r="M405" s="321"/>
      <c r="N405" s="321"/>
      <c r="O405" s="321"/>
      <c r="P405" s="321"/>
      <c r="Q405" s="31"/>
      <c r="R405" s="31"/>
      <c r="S405" s="31"/>
      <c r="T405" s="31"/>
      <c r="U405" s="31"/>
      <c r="V405" s="31"/>
      <c r="W405" s="31"/>
      <c r="X405" s="31"/>
      <c r="Y405" s="31"/>
    </row>
    <row r="406" ht="15.75" customHeight="1">
      <c r="A406" s="318">
        <v>116.0</v>
      </c>
      <c r="B406" s="319" t="s">
        <v>7284</v>
      </c>
      <c r="C406" s="319" t="s">
        <v>7285</v>
      </c>
      <c r="D406" s="319" t="s">
        <v>21</v>
      </c>
      <c r="E406" s="319" t="s">
        <v>48</v>
      </c>
      <c r="F406" s="318">
        <v>81694.0</v>
      </c>
      <c r="G406" s="321"/>
      <c r="H406" s="319" t="s">
        <v>6636</v>
      </c>
      <c r="I406" s="318">
        <v>17.0</v>
      </c>
      <c r="J406" s="318">
        <v>13887.98</v>
      </c>
      <c r="K406" s="322">
        <f t="shared" si="1"/>
        <v>13887.98</v>
      </c>
      <c r="L406" s="321"/>
      <c r="M406" s="321"/>
      <c r="N406" s="321"/>
      <c r="O406" s="321"/>
      <c r="P406" s="321"/>
      <c r="Q406" s="31"/>
      <c r="R406" s="31"/>
      <c r="S406" s="31"/>
      <c r="T406" s="31"/>
      <c r="U406" s="31"/>
      <c r="V406" s="31"/>
      <c r="W406" s="31"/>
      <c r="X406" s="31"/>
      <c r="Y406" s="31"/>
    </row>
    <row r="407" ht="15.75" customHeight="1">
      <c r="A407" s="318">
        <v>117.0</v>
      </c>
      <c r="B407" s="319" t="s">
        <v>7286</v>
      </c>
      <c r="C407" s="319" t="s">
        <v>7287</v>
      </c>
      <c r="D407" s="319" t="s">
        <v>1759</v>
      </c>
      <c r="E407" s="319" t="s">
        <v>1424</v>
      </c>
      <c r="F407" s="318">
        <v>7220.0</v>
      </c>
      <c r="G407" s="318">
        <v>8520.0</v>
      </c>
      <c r="H407" s="319" t="s">
        <v>6639</v>
      </c>
      <c r="I407" s="318">
        <v>55.0</v>
      </c>
      <c r="J407" s="318">
        <v>3971.0</v>
      </c>
      <c r="K407" s="322">
        <f t="shared" si="1"/>
        <v>-4549</v>
      </c>
      <c r="L407" s="321"/>
      <c r="M407" s="321"/>
      <c r="N407" s="321"/>
      <c r="O407" s="321"/>
      <c r="P407" s="321"/>
      <c r="Q407" s="31"/>
      <c r="R407" s="31"/>
      <c r="S407" s="31"/>
      <c r="T407" s="31"/>
      <c r="U407" s="31"/>
      <c r="V407" s="31"/>
      <c r="W407" s="31"/>
      <c r="X407" s="31"/>
      <c r="Y407" s="31"/>
    </row>
    <row r="408" ht="15.75" customHeight="1">
      <c r="A408" s="318">
        <v>118.0</v>
      </c>
      <c r="B408" s="319" t="s">
        <v>7288</v>
      </c>
      <c r="C408" s="319" t="s">
        <v>7289</v>
      </c>
      <c r="D408" s="319" t="s">
        <v>1395</v>
      </c>
      <c r="E408" s="319" t="s">
        <v>116</v>
      </c>
      <c r="F408" s="318">
        <v>18713.0</v>
      </c>
      <c r="G408" s="318">
        <v>21113.0</v>
      </c>
      <c r="H408" s="319" t="s">
        <v>6639</v>
      </c>
      <c r="I408" s="318">
        <v>51.0</v>
      </c>
      <c r="J408" s="318">
        <v>9543.63</v>
      </c>
      <c r="K408" s="322">
        <f t="shared" si="1"/>
        <v>-11569.37</v>
      </c>
      <c r="L408" s="321"/>
      <c r="M408" s="321"/>
      <c r="N408" s="321"/>
      <c r="O408" s="321"/>
      <c r="P408" s="321"/>
      <c r="Q408" s="31"/>
      <c r="R408" s="31"/>
      <c r="S408" s="31"/>
      <c r="T408" s="31"/>
      <c r="U408" s="31"/>
      <c r="V408" s="31"/>
      <c r="W408" s="31"/>
      <c r="X408" s="31"/>
      <c r="Y408" s="31"/>
    </row>
    <row r="409" ht="15.75" customHeight="1">
      <c r="A409" s="318">
        <v>119.0</v>
      </c>
      <c r="B409" s="319" t="s">
        <v>7290</v>
      </c>
      <c r="C409" s="319" t="s">
        <v>1787</v>
      </c>
      <c r="D409" s="319" t="s">
        <v>1395</v>
      </c>
      <c r="E409" s="319" t="s">
        <v>116</v>
      </c>
      <c r="F409" s="318">
        <v>18760.0</v>
      </c>
      <c r="G409" s="321"/>
      <c r="H409" s="319" t="s">
        <v>6636</v>
      </c>
      <c r="I409" s="318">
        <v>51.0</v>
      </c>
      <c r="J409" s="318">
        <v>9567.6</v>
      </c>
      <c r="K409" s="322">
        <f t="shared" si="1"/>
        <v>9567.6</v>
      </c>
      <c r="L409" s="321"/>
      <c r="M409" s="321"/>
      <c r="N409" s="321"/>
      <c r="O409" s="321"/>
      <c r="P409" s="321"/>
      <c r="Q409" s="31"/>
      <c r="R409" s="31"/>
      <c r="S409" s="31"/>
      <c r="T409" s="31"/>
      <c r="U409" s="31"/>
      <c r="V409" s="31"/>
      <c r="W409" s="31"/>
      <c r="X409" s="31"/>
      <c r="Y409" s="31"/>
    </row>
    <row r="410" ht="15.75" customHeight="1">
      <c r="A410" s="318">
        <v>120.0</v>
      </c>
      <c r="B410" s="319" t="s">
        <v>7291</v>
      </c>
      <c r="C410" s="319" t="s">
        <v>7292</v>
      </c>
      <c r="D410" s="319" t="s">
        <v>1395</v>
      </c>
      <c r="E410" s="319" t="s">
        <v>116</v>
      </c>
      <c r="F410" s="318">
        <v>18496.0</v>
      </c>
      <c r="G410" s="318">
        <v>20856.0</v>
      </c>
      <c r="H410" s="319" t="s">
        <v>6639</v>
      </c>
      <c r="I410" s="318">
        <v>51.0</v>
      </c>
      <c r="J410" s="318">
        <v>9432.96</v>
      </c>
      <c r="K410" s="322">
        <f t="shared" si="1"/>
        <v>-11423.04</v>
      </c>
      <c r="L410" s="321"/>
      <c r="M410" s="321"/>
      <c r="N410" s="321"/>
      <c r="O410" s="321"/>
      <c r="P410" s="321"/>
      <c r="Q410" s="31"/>
      <c r="R410" s="31"/>
      <c r="S410" s="31"/>
      <c r="T410" s="31"/>
      <c r="U410" s="31"/>
      <c r="V410" s="31"/>
      <c r="W410" s="31"/>
      <c r="X410" s="31"/>
      <c r="Y410" s="31"/>
    </row>
    <row r="411" ht="15.75" customHeight="1">
      <c r="A411" s="318">
        <v>121.0</v>
      </c>
      <c r="B411" s="319" t="s">
        <v>7293</v>
      </c>
      <c r="C411" s="319" t="s">
        <v>7294</v>
      </c>
      <c r="D411" s="319" t="s">
        <v>1395</v>
      </c>
      <c r="E411" s="319" t="s">
        <v>116</v>
      </c>
      <c r="F411" s="318">
        <v>17173.0</v>
      </c>
      <c r="G411" s="318">
        <v>19295.0</v>
      </c>
      <c r="H411" s="319" t="s">
        <v>6639</v>
      </c>
      <c r="I411" s="318">
        <v>51.0</v>
      </c>
      <c r="J411" s="318">
        <v>8758.23</v>
      </c>
      <c r="K411" s="322">
        <f t="shared" si="1"/>
        <v>-10536.77</v>
      </c>
      <c r="L411" s="321"/>
      <c r="M411" s="321"/>
      <c r="N411" s="321"/>
      <c r="O411" s="321"/>
      <c r="P411" s="321"/>
      <c r="Q411" s="31"/>
      <c r="R411" s="31"/>
      <c r="S411" s="31"/>
      <c r="T411" s="31"/>
      <c r="U411" s="31"/>
      <c r="V411" s="31"/>
      <c r="W411" s="31"/>
      <c r="X411" s="31"/>
      <c r="Y411" s="31"/>
    </row>
    <row r="412" ht="15.75" customHeight="1">
      <c r="A412" s="318">
        <v>122.0</v>
      </c>
      <c r="B412" s="319" t="s">
        <v>4606</v>
      </c>
      <c r="C412" s="319" t="s">
        <v>7295</v>
      </c>
      <c r="D412" s="319" t="s">
        <v>7134</v>
      </c>
      <c r="E412" s="319" t="s">
        <v>668</v>
      </c>
      <c r="F412" s="318">
        <v>44100.0</v>
      </c>
      <c r="G412" s="321"/>
      <c r="H412" s="319" t="s">
        <v>6636</v>
      </c>
      <c r="I412" s="318">
        <v>38.0</v>
      </c>
      <c r="J412" s="318">
        <v>16758.0</v>
      </c>
      <c r="K412" s="322">
        <f t="shared" si="1"/>
        <v>16758</v>
      </c>
      <c r="L412" s="321"/>
      <c r="M412" s="321"/>
      <c r="N412" s="321"/>
      <c r="O412" s="321"/>
      <c r="P412" s="321"/>
      <c r="Q412" s="31"/>
      <c r="R412" s="31"/>
      <c r="S412" s="31"/>
      <c r="T412" s="31"/>
      <c r="U412" s="31"/>
      <c r="V412" s="31"/>
      <c r="W412" s="31"/>
      <c r="X412" s="31"/>
      <c r="Y412" s="31"/>
    </row>
    <row r="413" ht="15.75" customHeight="1">
      <c r="A413" s="318">
        <v>123.0</v>
      </c>
      <c r="B413" s="319" t="s">
        <v>7296</v>
      </c>
      <c r="C413" s="319" t="s">
        <v>6638</v>
      </c>
      <c r="D413" s="319" t="s">
        <v>1395</v>
      </c>
      <c r="E413" s="319" t="s">
        <v>116</v>
      </c>
      <c r="F413" s="318">
        <v>24446.0</v>
      </c>
      <c r="G413" s="321"/>
      <c r="H413" s="319" t="s">
        <v>6636</v>
      </c>
      <c r="I413" s="318">
        <v>51.0</v>
      </c>
      <c r="J413" s="318">
        <v>12467.46</v>
      </c>
      <c r="K413" s="322">
        <f t="shared" si="1"/>
        <v>12467.46</v>
      </c>
      <c r="L413" s="321"/>
      <c r="M413" s="321"/>
      <c r="N413" s="321"/>
      <c r="O413" s="321"/>
      <c r="P413" s="321"/>
      <c r="Q413" s="31"/>
      <c r="R413" s="31"/>
      <c r="S413" s="31"/>
      <c r="T413" s="31"/>
      <c r="U413" s="31"/>
      <c r="V413" s="31"/>
      <c r="W413" s="31"/>
      <c r="X413" s="31"/>
      <c r="Y413" s="31"/>
    </row>
    <row r="414" ht="15.75" customHeight="1">
      <c r="A414" s="318">
        <v>124.0</v>
      </c>
      <c r="B414" s="319" t="s">
        <v>7297</v>
      </c>
      <c r="C414" s="319" t="s">
        <v>7062</v>
      </c>
      <c r="D414" s="319" t="s">
        <v>1395</v>
      </c>
      <c r="E414" s="319" t="s">
        <v>116</v>
      </c>
      <c r="F414" s="318">
        <v>17697.0</v>
      </c>
      <c r="G414" s="321"/>
      <c r="H414" s="319" t="s">
        <v>6636</v>
      </c>
      <c r="I414" s="318">
        <v>51.0</v>
      </c>
      <c r="J414" s="318">
        <v>9025.47</v>
      </c>
      <c r="K414" s="322">
        <f t="shared" si="1"/>
        <v>9025.47</v>
      </c>
      <c r="L414" s="321"/>
      <c r="M414" s="321"/>
      <c r="N414" s="321"/>
      <c r="O414" s="321"/>
      <c r="P414" s="321"/>
      <c r="Q414" s="31"/>
      <c r="R414" s="31"/>
      <c r="S414" s="31"/>
      <c r="T414" s="31"/>
      <c r="U414" s="31"/>
      <c r="V414" s="31"/>
      <c r="W414" s="31"/>
      <c r="X414" s="31"/>
      <c r="Y414" s="31"/>
    </row>
    <row r="415" ht="15.75" customHeight="1">
      <c r="A415" s="318">
        <v>125.0</v>
      </c>
      <c r="B415" s="319" t="s">
        <v>7298</v>
      </c>
      <c r="C415" s="319" t="s">
        <v>7050</v>
      </c>
      <c r="D415" s="319" t="s">
        <v>1395</v>
      </c>
      <c r="E415" s="319" t="s">
        <v>668</v>
      </c>
      <c r="F415" s="318">
        <v>17667.0</v>
      </c>
      <c r="G415" s="318">
        <v>19885.0</v>
      </c>
      <c r="H415" s="319" t="s">
        <v>6639</v>
      </c>
      <c r="I415" s="318">
        <v>52.0</v>
      </c>
      <c r="J415" s="318">
        <v>9186.84</v>
      </c>
      <c r="K415" s="322">
        <f t="shared" si="1"/>
        <v>-10698.16</v>
      </c>
      <c r="L415" s="321"/>
      <c r="M415" s="321"/>
      <c r="N415" s="321"/>
      <c r="O415" s="321"/>
      <c r="P415" s="321"/>
      <c r="Q415" s="31"/>
      <c r="R415" s="31"/>
      <c r="S415" s="31"/>
      <c r="T415" s="31"/>
      <c r="U415" s="31"/>
      <c r="V415" s="31"/>
      <c r="W415" s="31"/>
      <c r="X415" s="31"/>
      <c r="Y415" s="31"/>
    </row>
    <row r="416" ht="15.75" customHeight="1">
      <c r="A416" s="318">
        <v>126.0</v>
      </c>
      <c r="B416" s="319" t="s">
        <v>7299</v>
      </c>
      <c r="C416" s="319" t="s">
        <v>7300</v>
      </c>
      <c r="D416" s="319" t="s">
        <v>1395</v>
      </c>
      <c r="E416" s="319" t="s">
        <v>668</v>
      </c>
      <c r="F416" s="318">
        <v>20501.0</v>
      </c>
      <c r="G416" s="318">
        <v>23229.0</v>
      </c>
      <c r="H416" s="319" t="s">
        <v>6639</v>
      </c>
      <c r="I416" s="318">
        <v>52.0</v>
      </c>
      <c r="J416" s="318">
        <v>10660.52</v>
      </c>
      <c r="K416" s="322">
        <f t="shared" si="1"/>
        <v>-12568.48</v>
      </c>
      <c r="L416" s="321"/>
      <c r="M416" s="321"/>
      <c r="N416" s="321"/>
      <c r="O416" s="321"/>
      <c r="P416" s="321"/>
      <c r="Q416" s="31"/>
      <c r="R416" s="31"/>
      <c r="S416" s="31"/>
      <c r="T416" s="31"/>
      <c r="U416" s="31"/>
      <c r="V416" s="31"/>
      <c r="W416" s="31"/>
      <c r="X416" s="31"/>
      <c r="Y416" s="31"/>
    </row>
    <row r="417" ht="15.75" customHeight="1">
      <c r="A417" s="318">
        <v>127.0</v>
      </c>
      <c r="B417" s="319" t="s">
        <v>4148</v>
      </c>
      <c r="C417" s="319" t="s">
        <v>7224</v>
      </c>
      <c r="D417" s="319" t="s">
        <v>1395</v>
      </c>
      <c r="E417" s="319" t="s">
        <v>116</v>
      </c>
      <c r="F417" s="318">
        <v>19174.0</v>
      </c>
      <c r="G417" s="318">
        <v>21656.0</v>
      </c>
      <c r="H417" s="319" t="s">
        <v>6639</v>
      </c>
      <c r="I417" s="318">
        <v>51.0</v>
      </c>
      <c r="J417" s="318">
        <v>9778.74</v>
      </c>
      <c r="K417" s="322">
        <f t="shared" si="1"/>
        <v>-11877.26</v>
      </c>
      <c r="L417" s="321"/>
      <c r="M417" s="321"/>
      <c r="N417" s="321"/>
      <c r="O417" s="321"/>
      <c r="P417" s="321"/>
      <c r="Q417" s="31"/>
      <c r="R417" s="31"/>
      <c r="S417" s="31"/>
      <c r="T417" s="31"/>
      <c r="U417" s="31"/>
      <c r="V417" s="31"/>
      <c r="W417" s="31"/>
      <c r="X417" s="31"/>
      <c r="Y417" s="31"/>
    </row>
    <row r="418" ht="15.75" customHeight="1">
      <c r="A418" s="318">
        <v>128.0</v>
      </c>
      <c r="B418" s="319" t="s">
        <v>7301</v>
      </c>
      <c r="C418" s="319" t="s">
        <v>7302</v>
      </c>
      <c r="D418" s="319" t="s">
        <v>1395</v>
      </c>
      <c r="E418" s="319" t="s">
        <v>116</v>
      </c>
      <c r="F418" s="318">
        <v>17374.0</v>
      </c>
      <c r="G418" s="318">
        <v>19532.0</v>
      </c>
      <c r="H418" s="319" t="s">
        <v>6639</v>
      </c>
      <c r="I418" s="318">
        <v>51.0</v>
      </c>
      <c r="J418" s="318">
        <v>8860.74</v>
      </c>
      <c r="K418" s="322">
        <f t="shared" si="1"/>
        <v>-10671.26</v>
      </c>
      <c r="L418" s="321"/>
      <c r="M418" s="321"/>
      <c r="N418" s="321"/>
      <c r="O418" s="321"/>
      <c r="P418" s="321"/>
      <c r="Q418" s="31"/>
      <c r="R418" s="31"/>
      <c r="S418" s="31"/>
      <c r="T418" s="31"/>
      <c r="U418" s="31"/>
      <c r="V418" s="31"/>
      <c r="W418" s="31"/>
      <c r="X418" s="31"/>
      <c r="Y418" s="31"/>
    </row>
    <row r="419" ht="15.75" customHeight="1">
      <c r="A419" s="318">
        <v>129.0</v>
      </c>
      <c r="B419" s="319" t="s">
        <v>7303</v>
      </c>
      <c r="C419" s="319" t="s">
        <v>7304</v>
      </c>
      <c r="D419" s="319" t="s">
        <v>21</v>
      </c>
      <c r="E419" s="319" t="s">
        <v>48</v>
      </c>
      <c r="F419" s="318">
        <v>85433.0</v>
      </c>
      <c r="G419" s="321"/>
      <c r="H419" s="319" t="s">
        <v>6636</v>
      </c>
      <c r="I419" s="318">
        <v>17.0</v>
      </c>
      <c r="J419" s="318">
        <v>14523.61</v>
      </c>
      <c r="K419" s="322">
        <f t="shared" si="1"/>
        <v>14523.61</v>
      </c>
      <c r="L419" s="321"/>
      <c r="M419" s="321"/>
      <c r="N419" s="321"/>
      <c r="O419" s="321"/>
      <c r="P419" s="321"/>
      <c r="Q419" s="31"/>
      <c r="R419" s="31"/>
      <c r="S419" s="31"/>
      <c r="T419" s="31"/>
      <c r="U419" s="31"/>
      <c r="V419" s="31"/>
      <c r="W419" s="31"/>
      <c r="X419" s="31"/>
      <c r="Y419" s="31"/>
    </row>
    <row r="420" ht="15.75" customHeight="1">
      <c r="A420" s="318">
        <v>130.0</v>
      </c>
      <c r="B420" s="319" t="s">
        <v>7305</v>
      </c>
      <c r="C420" s="319" t="s">
        <v>1763</v>
      </c>
      <c r="D420" s="319" t="s">
        <v>7118</v>
      </c>
      <c r="E420" s="319" t="s">
        <v>668</v>
      </c>
      <c r="F420" s="318">
        <v>2469.0</v>
      </c>
      <c r="G420" s="318">
        <v>2913.0</v>
      </c>
      <c r="H420" s="319" t="s">
        <v>6639</v>
      </c>
      <c r="I420" s="318">
        <v>33.0</v>
      </c>
      <c r="J420" s="318">
        <v>814.77</v>
      </c>
      <c r="K420" s="322">
        <f t="shared" si="1"/>
        <v>-2098.23</v>
      </c>
      <c r="L420" s="321"/>
      <c r="M420" s="321"/>
      <c r="N420" s="321"/>
      <c r="O420" s="321"/>
      <c r="P420" s="321"/>
      <c r="Q420" s="31"/>
      <c r="R420" s="31"/>
      <c r="S420" s="31"/>
      <c r="T420" s="31"/>
      <c r="U420" s="31"/>
      <c r="V420" s="31"/>
      <c r="W420" s="31"/>
      <c r="X420" s="31"/>
      <c r="Y420" s="31"/>
    </row>
    <row r="421" ht="15.75" customHeight="1">
      <c r="A421" s="318">
        <v>131.0</v>
      </c>
      <c r="B421" s="319" t="s">
        <v>4179</v>
      </c>
      <c r="C421" s="319" t="s">
        <v>7306</v>
      </c>
      <c r="D421" s="319" t="s">
        <v>21</v>
      </c>
      <c r="E421" s="319" t="s">
        <v>48</v>
      </c>
      <c r="F421" s="319">
        <v>49966.0</v>
      </c>
      <c r="G421" s="321"/>
      <c r="H421" s="319" t="s">
        <v>6636</v>
      </c>
      <c r="I421" s="319">
        <v>17.0</v>
      </c>
      <c r="J421" s="318">
        <f t="shared" ref="J421:J524" si="2">(F421*I421)/100</f>
        <v>8494.22</v>
      </c>
      <c r="K421" s="322">
        <f t="shared" si="1"/>
        <v>8494.22</v>
      </c>
      <c r="L421" s="321"/>
      <c r="M421" s="321"/>
      <c r="N421" s="321"/>
      <c r="O421" s="321"/>
      <c r="P421" s="321"/>
      <c r="Q421" s="31"/>
      <c r="R421" s="31"/>
      <c r="S421" s="31"/>
      <c r="T421" s="31"/>
      <c r="U421" s="31"/>
      <c r="V421" s="31"/>
      <c r="W421" s="31"/>
      <c r="X421" s="31"/>
      <c r="Y421" s="31"/>
    </row>
    <row r="422" ht="15.75" customHeight="1">
      <c r="A422" s="318">
        <v>132.0</v>
      </c>
      <c r="B422" s="319" t="s">
        <v>7307</v>
      </c>
      <c r="C422" s="319" t="s">
        <v>6844</v>
      </c>
      <c r="D422" s="319" t="s">
        <v>7118</v>
      </c>
      <c r="E422" s="319" t="s">
        <v>143</v>
      </c>
      <c r="F422" s="319">
        <v>3791.0</v>
      </c>
      <c r="G422" s="319"/>
      <c r="H422" s="319" t="s">
        <v>6636</v>
      </c>
      <c r="I422" s="319">
        <v>21.0</v>
      </c>
      <c r="J422" s="319">
        <f t="shared" si="2"/>
        <v>796.11</v>
      </c>
      <c r="K422" s="322">
        <f t="shared" si="1"/>
        <v>796.11</v>
      </c>
      <c r="L422" s="341"/>
      <c r="M422" s="341"/>
      <c r="N422" s="341"/>
      <c r="O422" s="341"/>
      <c r="P422" s="341"/>
      <c r="Q422" s="31"/>
      <c r="R422" s="31"/>
      <c r="S422" s="31"/>
      <c r="T422" s="31"/>
      <c r="U422" s="31"/>
      <c r="V422" s="31"/>
      <c r="W422" s="31"/>
      <c r="X422" s="31"/>
      <c r="Y422" s="31"/>
    </row>
    <row r="423" ht="15.75" customHeight="1">
      <c r="A423" s="318">
        <v>133.0</v>
      </c>
      <c r="B423" s="319" t="s">
        <v>7308</v>
      </c>
      <c r="C423" s="319" t="s">
        <v>7075</v>
      </c>
      <c r="D423" s="319" t="s">
        <v>21</v>
      </c>
      <c r="E423" s="319" t="s">
        <v>48</v>
      </c>
      <c r="F423" s="319">
        <v>36886.0</v>
      </c>
      <c r="G423" s="319"/>
      <c r="H423" s="319" t="s">
        <v>6636</v>
      </c>
      <c r="I423" s="319">
        <v>17.0</v>
      </c>
      <c r="J423" s="319">
        <f t="shared" si="2"/>
        <v>6270.62</v>
      </c>
      <c r="K423" s="322">
        <f t="shared" si="1"/>
        <v>6270.62</v>
      </c>
      <c r="L423" s="341"/>
      <c r="M423" s="341"/>
      <c r="N423" s="341"/>
      <c r="O423" s="341"/>
      <c r="P423" s="341"/>
      <c r="Q423" s="31"/>
      <c r="R423" s="31"/>
      <c r="S423" s="31"/>
      <c r="T423" s="31"/>
      <c r="U423" s="31"/>
      <c r="V423" s="31"/>
      <c r="W423" s="31"/>
      <c r="X423" s="31"/>
      <c r="Y423" s="31"/>
    </row>
    <row r="424" ht="15.75" customHeight="1">
      <c r="A424" s="318">
        <v>134.0</v>
      </c>
      <c r="B424" s="319" t="s">
        <v>7309</v>
      </c>
      <c r="C424" s="319" t="s">
        <v>7143</v>
      </c>
      <c r="D424" s="319" t="s">
        <v>7118</v>
      </c>
      <c r="E424" s="319" t="s">
        <v>143</v>
      </c>
      <c r="F424" s="319">
        <v>3791.0</v>
      </c>
      <c r="G424" s="319"/>
      <c r="H424" s="319" t="s">
        <v>6636</v>
      </c>
      <c r="I424" s="319">
        <v>21.0</v>
      </c>
      <c r="J424" s="319">
        <f t="shared" si="2"/>
        <v>796.11</v>
      </c>
      <c r="K424" s="322">
        <f t="shared" si="1"/>
        <v>796.11</v>
      </c>
      <c r="L424" s="341"/>
      <c r="M424" s="341"/>
      <c r="N424" s="341"/>
      <c r="O424" s="341"/>
      <c r="P424" s="341"/>
      <c r="Q424" s="31"/>
      <c r="R424" s="31"/>
      <c r="S424" s="31"/>
      <c r="T424" s="31"/>
      <c r="U424" s="31"/>
      <c r="V424" s="31"/>
      <c r="W424" s="31"/>
      <c r="X424" s="31"/>
      <c r="Y424" s="31"/>
    </row>
    <row r="425" ht="15.75" customHeight="1">
      <c r="A425" s="318">
        <v>135.0</v>
      </c>
      <c r="B425" s="319" t="s">
        <v>5457</v>
      </c>
      <c r="C425" s="319" t="s">
        <v>6801</v>
      </c>
      <c r="D425" s="319" t="s">
        <v>782</v>
      </c>
      <c r="E425" s="319" t="s">
        <v>4916</v>
      </c>
      <c r="F425" s="319">
        <v>11727.0</v>
      </c>
      <c r="G425" s="319"/>
      <c r="H425" s="319" t="s">
        <v>6636</v>
      </c>
      <c r="I425" s="319">
        <v>21.0</v>
      </c>
      <c r="J425" s="319">
        <f t="shared" si="2"/>
        <v>2462.67</v>
      </c>
      <c r="K425" s="322">
        <f t="shared" si="1"/>
        <v>2462.67</v>
      </c>
      <c r="L425" s="341"/>
      <c r="M425" s="341"/>
      <c r="N425" s="341"/>
      <c r="O425" s="341"/>
      <c r="P425" s="341"/>
      <c r="Q425" s="31"/>
      <c r="R425" s="31"/>
      <c r="S425" s="31"/>
      <c r="T425" s="31"/>
      <c r="U425" s="31"/>
      <c r="V425" s="31"/>
      <c r="W425" s="31"/>
      <c r="X425" s="31"/>
      <c r="Y425" s="31"/>
    </row>
    <row r="426" ht="15.75" customHeight="1">
      <c r="A426" s="318">
        <v>136.0</v>
      </c>
      <c r="B426" s="319" t="s">
        <v>7310</v>
      </c>
      <c r="C426" s="319" t="s">
        <v>1774</v>
      </c>
      <c r="D426" s="319" t="s">
        <v>1395</v>
      </c>
      <c r="E426" s="319" t="s">
        <v>116</v>
      </c>
      <c r="F426" s="319">
        <v>27874.0</v>
      </c>
      <c r="G426" s="319">
        <v>31922.0</v>
      </c>
      <c r="H426" s="319" t="s">
        <v>6639</v>
      </c>
      <c r="I426" s="319">
        <v>51.0</v>
      </c>
      <c r="J426" s="319">
        <f t="shared" si="2"/>
        <v>14215.74</v>
      </c>
      <c r="K426" s="322">
        <f t="shared" si="1"/>
        <v>-17706.26</v>
      </c>
      <c r="L426" s="341"/>
      <c r="M426" s="341"/>
      <c r="N426" s="341"/>
      <c r="O426" s="341"/>
      <c r="P426" s="341"/>
      <c r="Q426" s="31"/>
      <c r="R426" s="31"/>
      <c r="S426" s="31"/>
      <c r="T426" s="31"/>
      <c r="U426" s="31"/>
      <c r="V426" s="31"/>
      <c r="W426" s="31"/>
      <c r="X426" s="31"/>
      <c r="Y426" s="31"/>
    </row>
    <row r="427" ht="15.75" customHeight="1">
      <c r="A427" s="318">
        <v>137.0</v>
      </c>
      <c r="B427" s="319" t="s">
        <v>7311</v>
      </c>
      <c r="C427" s="319" t="s">
        <v>7312</v>
      </c>
      <c r="D427" s="319" t="s">
        <v>1395</v>
      </c>
      <c r="E427" s="319" t="s">
        <v>116</v>
      </c>
      <c r="F427" s="319">
        <v>18856.0</v>
      </c>
      <c r="G427" s="319">
        <v>21280.0</v>
      </c>
      <c r="H427" s="319" t="s">
        <v>6639</v>
      </c>
      <c r="I427" s="319">
        <v>51.0</v>
      </c>
      <c r="J427" s="319">
        <f t="shared" si="2"/>
        <v>9616.56</v>
      </c>
      <c r="K427" s="322">
        <f t="shared" si="1"/>
        <v>-11663.44</v>
      </c>
      <c r="L427" s="341"/>
      <c r="M427" s="341"/>
      <c r="N427" s="341"/>
      <c r="O427" s="341"/>
      <c r="P427" s="341"/>
      <c r="Q427" s="31"/>
      <c r="R427" s="31"/>
      <c r="S427" s="31"/>
      <c r="T427" s="31"/>
      <c r="U427" s="31"/>
      <c r="V427" s="31"/>
      <c r="W427" s="31"/>
      <c r="X427" s="31"/>
      <c r="Y427" s="31"/>
    </row>
    <row r="428" ht="15.75" customHeight="1">
      <c r="A428" s="318">
        <v>138.0</v>
      </c>
      <c r="B428" s="319" t="s">
        <v>7313</v>
      </c>
      <c r="C428" s="319" t="s">
        <v>7314</v>
      </c>
      <c r="D428" s="319" t="s">
        <v>1395</v>
      </c>
      <c r="E428" s="319" t="s">
        <v>116</v>
      </c>
      <c r="F428" s="319">
        <v>17744.0</v>
      </c>
      <c r="G428" s="319"/>
      <c r="H428" s="319" t="s">
        <v>6636</v>
      </c>
      <c r="I428" s="319">
        <v>51.0</v>
      </c>
      <c r="J428" s="319">
        <f t="shared" si="2"/>
        <v>9049.44</v>
      </c>
      <c r="K428" s="322">
        <f t="shared" si="1"/>
        <v>9049.44</v>
      </c>
      <c r="L428" s="341"/>
      <c r="M428" s="341"/>
      <c r="N428" s="341"/>
      <c r="O428" s="341"/>
      <c r="P428" s="341"/>
      <c r="Q428" s="31"/>
      <c r="R428" s="31"/>
      <c r="S428" s="31"/>
      <c r="T428" s="31"/>
      <c r="U428" s="31"/>
      <c r="V428" s="31"/>
      <c r="W428" s="31"/>
      <c r="X428" s="31"/>
      <c r="Y428" s="31"/>
    </row>
    <row r="429" ht="15.75" customHeight="1">
      <c r="A429" s="318">
        <v>139.0</v>
      </c>
      <c r="B429" s="319" t="s">
        <v>7315</v>
      </c>
      <c r="C429" s="319" t="s">
        <v>7064</v>
      </c>
      <c r="D429" s="319" t="s">
        <v>1395</v>
      </c>
      <c r="E429" s="319" t="s">
        <v>116</v>
      </c>
      <c r="F429" s="319">
        <v>26944.0</v>
      </c>
      <c r="G429" s="319"/>
      <c r="H429" s="319" t="s">
        <v>6636</v>
      </c>
      <c r="I429" s="319">
        <v>51.0</v>
      </c>
      <c r="J429" s="319">
        <f t="shared" si="2"/>
        <v>13741.44</v>
      </c>
      <c r="K429" s="322">
        <f t="shared" si="1"/>
        <v>13741.44</v>
      </c>
      <c r="L429" s="341"/>
      <c r="M429" s="341"/>
      <c r="N429" s="341"/>
      <c r="O429" s="341"/>
      <c r="P429" s="341"/>
      <c r="Q429" s="31"/>
      <c r="R429" s="31"/>
      <c r="S429" s="31"/>
      <c r="T429" s="31"/>
      <c r="U429" s="31"/>
      <c r="V429" s="31"/>
      <c r="W429" s="31"/>
      <c r="X429" s="31"/>
      <c r="Y429" s="31"/>
    </row>
    <row r="430" ht="15.75" customHeight="1">
      <c r="A430" s="318">
        <v>140.0</v>
      </c>
      <c r="B430" s="319" t="s">
        <v>7316</v>
      </c>
      <c r="C430" s="319" t="s">
        <v>7317</v>
      </c>
      <c r="D430" s="319" t="s">
        <v>1395</v>
      </c>
      <c r="E430" s="319" t="s">
        <v>116</v>
      </c>
      <c r="F430" s="319">
        <v>17667.0</v>
      </c>
      <c r="G430" s="319"/>
      <c r="H430" s="319" t="s">
        <v>6636</v>
      </c>
      <c r="I430" s="319">
        <v>51.0</v>
      </c>
      <c r="J430" s="319">
        <f t="shared" si="2"/>
        <v>9010.17</v>
      </c>
      <c r="K430" s="322">
        <f t="shared" si="1"/>
        <v>9010.17</v>
      </c>
      <c r="L430" s="341"/>
      <c r="M430" s="341"/>
      <c r="N430" s="341"/>
      <c r="O430" s="341"/>
      <c r="P430" s="341"/>
      <c r="Q430" s="31"/>
      <c r="R430" s="31"/>
      <c r="S430" s="31"/>
      <c r="T430" s="31"/>
      <c r="U430" s="31"/>
      <c r="V430" s="31"/>
      <c r="W430" s="31"/>
      <c r="X430" s="31"/>
      <c r="Y430" s="31"/>
    </row>
    <row r="431" ht="15.75" customHeight="1">
      <c r="A431" s="318">
        <v>141.0</v>
      </c>
      <c r="B431" s="319" t="s">
        <v>4320</v>
      </c>
      <c r="C431" s="319" t="s">
        <v>7318</v>
      </c>
      <c r="D431" s="319" t="s">
        <v>1395</v>
      </c>
      <c r="E431" s="319" t="s">
        <v>4916</v>
      </c>
      <c r="F431" s="319">
        <v>26459.0</v>
      </c>
      <c r="G431" s="319"/>
      <c r="H431" s="319" t="s">
        <v>6636</v>
      </c>
      <c r="I431" s="319">
        <v>32.0</v>
      </c>
      <c r="J431" s="319">
        <f t="shared" si="2"/>
        <v>8466.88</v>
      </c>
      <c r="K431" s="322">
        <f t="shared" si="1"/>
        <v>8466.88</v>
      </c>
      <c r="L431" s="341"/>
      <c r="M431" s="341"/>
      <c r="N431" s="341"/>
      <c r="O431" s="341"/>
      <c r="P431" s="341"/>
      <c r="Q431" s="31"/>
      <c r="R431" s="31"/>
      <c r="S431" s="31"/>
      <c r="T431" s="31"/>
      <c r="U431" s="31"/>
      <c r="V431" s="31"/>
      <c r="W431" s="31"/>
      <c r="X431" s="31"/>
      <c r="Y431" s="31"/>
    </row>
    <row r="432" ht="15.75" customHeight="1">
      <c r="A432" s="318">
        <v>142.0</v>
      </c>
      <c r="B432" s="319" t="s">
        <v>7319</v>
      </c>
      <c r="C432" s="319" t="s">
        <v>7320</v>
      </c>
      <c r="D432" s="319" t="s">
        <v>1395</v>
      </c>
      <c r="E432" s="319" t="s">
        <v>116</v>
      </c>
      <c r="F432" s="319">
        <v>17905.0</v>
      </c>
      <c r="G432" s="319"/>
      <c r="H432" s="319" t="s">
        <v>6636</v>
      </c>
      <c r="I432" s="319">
        <v>51.0</v>
      </c>
      <c r="J432" s="319">
        <f t="shared" si="2"/>
        <v>9131.55</v>
      </c>
      <c r="K432" s="322">
        <f t="shared" si="1"/>
        <v>9131.55</v>
      </c>
      <c r="L432" s="341"/>
      <c r="M432" s="341"/>
      <c r="N432" s="341"/>
      <c r="O432" s="341"/>
      <c r="P432" s="341"/>
      <c r="Q432" s="31"/>
      <c r="R432" s="31"/>
      <c r="S432" s="31"/>
      <c r="T432" s="31"/>
      <c r="U432" s="31"/>
      <c r="V432" s="31"/>
      <c r="W432" s="31"/>
      <c r="X432" s="31"/>
      <c r="Y432" s="31"/>
    </row>
    <row r="433" ht="15.75" customHeight="1">
      <c r="A433" s="318">
        <v>143.0</v>
      </c>
      <c r="B433" s="319" t="s">
        <v>7321</v>
      </c>
      <c r="C433" s="319" t="s">
        <v>7322</v>
      </c>
      <c r="D433" s="319" t="s">
        <v>1395</v>
      </c>
      <c r="E433" s="319" t="s">
        <v>116</v>
      </c>
      <c r="F433" s="319">
        <v>25620.0</v>
      </c>
      <c r="G433" s="319">
        <v>29260.0</v>
      </c>
      <c r="H433" s="319" t="s">
        <v>6639</v>
      </c>
      <c r="I433" s="319">
        <v>51.0</v>
      </c>
      <c r="J433" s="319">
        <f t="shared" si="2"/>
        <v>13066.2</v>
      </c>
      <c r="K433" s="322">
        <f t="shared" si="1"/>
        <v>-16193.8</v>
      </c>
      <c r="L433" s="341"/>
      <c r="M433" s="341"/>
      <c r="N433" s="341"/>
      <c r="O433" s="341"/>
      <c r="P433" s="341"/>
      <c r="Q433" s="31"/>
      <c r="R433" s="31"/>
      <c r="S433" s="31"/>
      <c r="T433" s="31"/>
      <c r="U433" s="31"/>
      <c r="V433" s="31"/>
      <c r="W433" s="31"/>
      <c r="X433" s="31"/>
      <c r="Y433" s="31"/>
    </row>
    <row r="434" ht="15.75" customHeight="1">
      <c r="A434" s="318">
        <v>144.0</v>
      </c>
      <c r="B434" s="319" t="s">
        <v>7323</v>
      </c>
      <c r="C434" s="319" t="s">
        <v>7324</v>
      </c>
      <c r="D434" s="319" t="s">
        <v>1395</v>
      </c>
      <c r="E434" s="319" t="s">
        <v>116</v>
      </c>
      <c r="F434" s="319">
        <v>18558.0</v>
      </c>
      <c r="G434" s="319"/>
      <c r="H434" s="319" t="s">
        <v>6636</v>
      </c>
      <c r="I434" s="319">
        <v>51.0</v>
      </c>
      <c r="J434" s="319">
        <f t="shared" si="2"/>
        <v>9464.58</v>
      </c>
      <c r="K434" s="322">
        <f t="shared" si="1"/>
        <v>9464.58</v>
      </c>
      <c r="L434" s="341"/>
      <c r="M434" s="341"/>
      <c r="N434" s="341"/>
      <c r="O434" s="341"/>
      <c r="P434" s="341"/>
      <c r="Q434" s="31"/>
      <c r="R434" s="31"/>
      <c r="S434" s="31"/>
      <c r="T434" s="31"/>
      <c r="U434" s="31"/>
      <c r="V434" s="31"/>
      <c r="W434" s="31"/>
      <c r="X434" s="31"/>
      <c r="Y434" s="31"/>
    </row>
    <row r="435" ht="15.75" customHeight="1">
      <c r="A435" s="318">
        <v>145.0</v>
      </c>
      <c r="B435" s="319" t="s">
        <v>7325</v>
      </c>
      <c r="C435" s="319" t="s">
        <v>6833</v>
      </c>
      <c r="D435" s="319" t="s">
        <v>1395</v>
      </c>
      <c r="E435" s="319" t="s">
        <v>668</v>
      </c>
      <c r="F435" s="319">
        <v>20260.0</v>
      </c>
      <c r="G435" s="319">
        <v>22944.0</v>
      </c>
      <c r="H435" s="319" t="s">
        <v>6639</v>
      </c>
      <c r="I435" s="319">
        <v>52.0</v>
      </c>
      <c r="J435" s="319">
        <f t="shared" si="2"/>
        <v>10535.2</v>
      </c>
      <c r="K435" s="322">
        <f t="shared" si="1"/>
        <v>-12408.8</v>
      </c>
      <c r="L435" s="341"/>
      <c r="M435" s="341"/>
      <c r="N435" s="341"/>
      <c r="O435" s="341"/>
      <c r="P435" s="341"/>
      <c r="Q435" s="31"/>
      <c r="R435" s="31"/>
      <c r="S435" s="31"/>
      <c r="T435" s="31"/>
      <c r="U435" s="31"/>
      <c r="V435" s="31"/>
      <c r="W435" s="31"/>
      <c r="X435" s="31"/>
      <c r="Y435" s="31"/>
    </row>
    <row r="436" ht="15.75" customHeight="1">
      <c r="A436" s="318">
        <v>146.0</v>
      </c>
      <c r="B436" s="319" t="s">
        <v>7326</v>
      </c>
      <c r="C436" s="319" t="s">
        <v>7287</v>
      </c>
      <c r="D436" s="319" t="s">
        <v>1395</v>
      </c>
      <c r="E436" s="319" t="s">
        <v>116</v>
      </c>
      <c r="F436" s="319">
        <v>18559.0</v>
      </c>
      <c r="G436" s="319">
        <v>20931.0</v>
      </c>
      <c r="H436" s="319" t="s">
        <v>6639</v>
      </c>
      <c r="I436" s="319">
        <v>52.0</v>
      </c>
      <c r="J436" s="319">
        <f t="shared" si="2"/>
        <v>9650.68</v>
      </c>
      <c r="K436" s="322">
        <f t="shared" si="1"/>
        <v>-11280.32</v>
      </c>
      <c r="L436" s="341"/>
      <c r="M436" s="341"/>
      <c r="N436" s="341"/>
      <c r="O436" s="341"/>
      <c r="P436" s="341"/>
      <c r="Q436" s="31"/>
      <c r="R436" s="31"/>
      <c r="S436" s="31"/>
      <c r="T436" s="31"/>
      <c r="U436" s="31"/>
      <c r="V436" s="31"/>
      <c r="W436" s="31"/>
      <c r="X436" s="31"/>
      <c r="Y436" s="31"/>
    </row>
    <row r="437" ht="15.75" customHeight="1">
      <c r="A437" s="318">
        <v>147.0</v>
      </c>
      <c r="B437" s="319" t="s">
        <v>7327</v>
      </c>
      <c r="C437" s="319" t="s">
        <v>6897</v>
      </c>
      <c r="D437" s="319" t="s">
        <v>1759</v>
      </c>
      <c r="E437" s="319" t="s">
        <v>1424</v>
      </c>
      <c r="F437" s="319">
        <v>6852.0</v>
      </c>
      <c r="G437" s="319">
        <v>8086.0</v>
      </c>
      <c r="H437" s="319" t="s">
        <v>6639</v>
      </c>
      <c r="I437" s="319">
        <v>55.0</v>
      </c>
      <c r="J437" s="319">
        <f t="shared" si="2"/>
        <v>3768.6</v>
      </c>
      <c r="K437" s="322">
        <f t="shared" si="1"/>
        <v>-4317.4</v>
      </c>
      <c r="L437" s="341"/>
      <c r="M437" s="341"/>
      <c r="N437" s="341"/>
      <c r="O437" s="341"/>
      <c r="P437" s="341"/>
      <c r="Q437" s="31"/>
      <c r="R437" s="31"/>
      <c r="S437" s="31"/>
      <c r="T437" s="31"/>
      <c r="U437" s="31"/>
      <c r="V437" s="31"/>
      <c r="W437" s="31"/>
      <c r="X437" s="31"/>
      <c r="Y437" s="31"/>
    </row>
    <row r="438" ht="15.75" customHeight="1">
      <c r="A438" s="318">
        <v>148.0</v>
      </c>
      <c r="B438" s="319" t="s">
        <v>7328</v>
      </c>
      <c r="C438" s="319" t="s">
        <v>6641</v>
      </c>
      <c r="D438" s="319" t="s">
        <v>1395</v>
      </c>
      <c r="E438" s="319" t="s">
        <v>668</v>
      </c>
      <c r="F438" s="319">
        <v>18917.0</v>
      </c>
      <c r="G438" s="319">
        <v>21359.0</v>
      </c>
      <c r="H438" s="319" t="s">
        <v>6639</v>
      </c>
      <c r="I438" s="319">
        <v>52.0</v>
      </c>
      <c r="J438" s="319">
        <f t="shared" si="2"/>
        <v>9836.84</v>
      </c>
      <c r="K438" s="322">
        <f t="shared" si="1"/>
        <v>-11522.16</v>
      </c>
      <c r="L438" s="341"/>
      <c r="M438" s="341"/>
      <c r="N438" s="341"/>
      <c r="O438" s="341"/>
      <c r="P438" s="341"/>
      <c r="Q438" s="31"/>
      <c r="R438" s="31"/>
      <c r="S438" s="31"/>
      <c r="T438" s="31"/>
      <c r="U438" s="31"/>
      <c r="V438" s="31"/>
      <c r="W438" s="31"/>
      <c r="X438" s="31"/>
      <c r="Y438" s="31"/>
    </row>
    <row r="439" ht="15.75" customHeight="1">
      <c r="A439" s="318">
        <v>149.0</v>
      </c>
      <c r="B439" s="319" t="s">
        <v>7329</v>
      </c>
      <c r="C439" s="319" t="s">
        <v>7312</v>
      </c>
      <c r="D439" s="319" t="s">
        <v>7118</v>
      </c>
      <c r="E439" s="319" t="s">
        <v>7099</v>
      </c>
      <c r="F439" s="319">
        <v>2154.0</v>
      </c>
      <c r="G439" s="319"/>
      <c r="H439" s="319" t="s">
        <v>6636</v>
      </c>
      <c r="I439" s="319">
        <v>25.0</v>
      </c>
      <c r="J439" s="319">
        <f t="shared" si="2"/>
        <v>538.5</v>
      </c>
      <c r="K439" s="322">
        <f t="shared" si="1"/>
        <v>538.5</v>
      </c>
      <c r="L439" s="341"/>
      <c r="M439" s="341"/>
      <c r="N439" s="341"/>
      <c r="O439" s="341"/>
      <c r="P439" s="341"/>
      <c r="Q439" s="31"/>
      <c r="R439" s="31"/>
      <c r="S439" s="31"/>
      <c r="T439" s="31"/>
      <c r="U439" s="31"/>
      <c r="V439" s="31"/>
      <c r="W439" s="31"/>
      <c r="X439" s="31"/>
      <c r="Y439" s="31"/>
    </row>
    <row r="440" ht="15.75" customHeight="1">
      <c r="A440" s="318">
        <v>150.0</v>
      </c>
      <c r="B440" s="319" t="s">
        <v>7330</v>
      </c>
      <c r="C440" s="319" t="s">
        <v>7331</v>
      </c>
      <c r="D440" s="319" t="s">
        <v>7118</v>
      </c>
      <c r="E440" s="319" t="s">
        <v>143</v>
      </c>
      <c r="F440" s="319">
        <v>3791.0</v>
      </c>
      <c r="G440" s="319"/>
      <c r="H440" s="319" t="s">
        <v>6636</v>
      </c>
      <c r="I440" s="319">
        <v>22.0</v>
      </c>
      <c r="J440" s="319">
        <f t="shared" si="2"/>
        <v>834.02</v>
      </c>
      <c r="K440" s="322">
        <f t="shared" si="1"/>
        <v>834.02</v>
      </c>
      <c r="L440" s="341"/>
      <c r="M440" s="341"/>
      <c r="N440" s="341"/>
      <c r="O440" s="341"/>
      <c r="P440" s="341"/>
      <c r="Q440" s="31"/>
      <c r="R440" s="31"/>
      <c r="S440" s="31"/>
      <c r="T440" s="31"/>
      <c r="U440" s="31"/>
      <c r="V440" s="31"/>
      <c r="W440" s="31"/>
      <c r="X440" s="31"/>
      <c r="Y440" s="31"/>
    </row>
    <row r="441" ht="15.75" customHeight="1">
      <c r="A441" s="318">
        <v>151.0</v>
      </c>
      <c r="B441" s="319" t="s">
        <v>7332</v>
      </c>
      <c r="C441" s="319" t="s">
        <v>7333</v>
      </c>
      <c r="D441" s="319" t="s">
        <v>1395</v>
      </c>
      <c r="E441" s="319" t="s">
        <v>116</v>
      </c>
      <c r="F441" s="319">
        <v>18809.0</v>
      </c>
      <c r="G441" s="319">
        <v>21225.0</v>
      </c>
      <c r="H441" s="319" t="s">
        <v>6639</v>
      </c>
      <c r="I441" s="319">
        <v>51.0</v>
      </c>
      <c r="J441" s="319">
        <f t="shared" si="2"/>
        <v>9592.59</v>
      </c>
      <c r="K441" s="322">
        <f t="shared" si="1"/>
        <v>-11632.41</v>
      </c>
      <c r="L441" s="341"/>
      <c r="M441" s="341"/>
      <c r="N441" s="341"/>
      <c r="O441" s="341"/>
      <c r="P441" s="341"/>
      <c r="Q441" s="31"/>
      <c r="R441" s="31"/>
      <c r="S441" s="31"/>
      <c r="T441" s="31"/>
      <c r="U441" s="31"/>
      <c r="V441" s="31"/>
      <c r="W441" s="31"/>
      <c r="X441" s="31"/>
      <c r="Y441" s="31"/>
    </row>
    <row r="442" ht="15.75" customHeight="1">
      <c r="A442" s="318">
        <v>152.0</v>
      </c>
      <c r="B442" s="319" t="s">
        <v>7334</v>
      </c>
      <c r="C442" s="319" t="s">
        <v>7149</v>
      </c>
      <c r="D442" s="319" t="s">
        <v>1395</v>
      </c>
      <c r="E442" s="319" t="s">
        <v>116</v>
      </c>
      <c r="F442" s="319">
        <v>17336.0</v>
      </c>
      <c r="G442" s="319">
        <v>19484.0</v>
      </c>
      <c r="H442" s="319" t="s">
        <v>6639</v>
      </c>
      <c r="I442" s="319">
        <v>51.0</v>
      </c>
      <c r="J442" s="319">
        <f t="shared" si="2"/>
        <v>8841.36</v>
      </c>
      <c r="K442" s="322">
        <f t="shared" si="1"/>
        <v>-10642.64</v>
      </c>
      <c r="L442" s="319"/>
      <c r="M442" s="341"/>
      <c r="N442" s="341"/>
      <c r="O442" s="341"/>
      <c r="P442" s="341"/>
      <c r="Q442" s="31"/>
      <c r="R442" s="31"/>
      <c r="S442" s="31"/>
      <c r="T442" s="31"/>
      <c r="U442" s="31"/>
      <c r="V442" s="31"/>
      <c r="W442" s="31"/>
      <c r="X442" s="31"/>
      <c r="Y442" s="31"/>
    </row>
    <row r="443" ht="15.75" customHeight="1">
      <c r="A443" s="318">
        <v>153.0</v>
      </c>
      <c r="B443" s="319" t="s">
        <v>7335</v>
      </c>
      <c r="C443" s="319" t="s">
        <v>7336</v>
      </c>
      <c r="D443" s="319" t="s">
        <v>1395</v>
      </c>
      <c r="E443" s="319" t="s">
        <v>116</v>
      </c>
      <c r="F443" s="319">
        <v>18162.0</v>
      </c>
      <c r="G443" s="319"/>
      <c r="H443" s="319" t="s">
        <v>6636</v>
      </c>
      <c r="I443" s="319">
        <v>51.0</v>
      </c>
      <c r="J443" s="319">
        <f t="shared" si="2"/>
        <v>9262.62</v>
      </c>
      <c r="K443" s="322">
        <f t="shared" si="1"/>
        <v>9262.62</v>
      </c>
      <c r="L443" s="319"/>
      <c r="M443" s="341"/>
      <c r="N443" s="341"/>
      <c r="O443" s="341"/>
      <c r="P443" s="341"/>
      <c r="Q443" s="31"/>
      <c r="R443" s="31"/>
      <c r="S443" s="31"/>
      <c r="T443" s="31"/>
      <c r="U443" s="31"/>
      <c r="V443" s="31"/>
      <c r="W443" s="31"/>
      <c r="X443" s="31"/>
      <c r="Y443" s="31"/>
    </row>
    <row r="444" ht="15.75" customHeight="1">
      <c r="A444" s="318">
        <v>154.0</v>
      </c>
      <c r="B444" s="319" t="s">
        <v>7337</v>
      </c>
      <c r="C444" s="319" t="s">
        <v>6902</v>
      </c>
      <c r="D444" s="319" t="s">
        <v>1395</v>
      </c>
      <c r="E444" s="319" t="s">
        <v>116</v>
      </c>
      <c r="F444" s="319">
        <v>18718.0</v>
      </c>
      <c r="G444" s="319"/>
      <c r="H444" s="319" t="s">
        <v>6636</v>
      </c>
      <c r="I444" s="319">
        <v>51.0</v>
      </c>
      <c r="J444" s="319">
        <f t="shared" si="2"/>
        <v>9546.18</v>
      </c>
      <c r="K444" s="322">
        <f t="shared" si="1"/>
        <v>9546.18</v>
      </c>
      <c r="L444" s="319"/>
      <c r="M444" s="341"/>
      <c r="N444" s="341"/>
      <c r="O444" s="341"/>
      <c r="P444" s="341"/>
      <c r="Q444" s="31"/>
      <c r="R444" s="31"/>
      <c r="S444" s="31"/>
      <c r="T444" s="31"/>
      <c r="U444" s="31"/>
      <c r="V444" s="31"/>
      <c r="W444" s="31"/>
      <c r="X444" s="31"/>
      <c r="Y444" s="31"/>
    </row>
    <row r="445" ht="15.75" customHeight="1">
      <c r="A445" s="318">
        <v>155.0</v>
      </c>
      <c r="B445" s="319" t="s">
        <v>4386</v>
      </c>
      <c r="C445" s="319" t="s">
        <v>7338</v>
      </c>
      <c r="D445" s="319" t="s">
        <v>1395</v>
      </c>
      <c r="E445" s="319" t="s">
        <v>116</v>
      </c>
      <c r="F445" s="319">
        <v>17422.0</v>
      </c>
      <c r="G445" s="319">
        <v>19588.0</v>
      </c>
      <c r="H445" s="319" t="s">
        <v>6639</v>
      </c>
      <c r="I445" s="319">
        <v>51.0</v>
      </c>
      <c r="J445" s="319">
        <f t="shared" si="2"/>
        <v>8885.22</v>
      </c>
      <c r="K445" s="322">
        <f t="shared" si="1"/>
        <v>-10702.78</v>
      </c>
      <c r="L445" s="319"/>
      <c r="M445" s="341"/>
      <c r="N445" s="341"/>
      <c r="O445" s="341"/>
      <c r="P445" s="341"/>
      <c r="Q445" s="31"/>
      <c r="R445" s="31"/>
      <c r="S445" s="31"/>
      <c r="T445" s="31"/>
      <c r="U445" s="31"/>
      <c r="V445" s="31"/>
      <c r="W445" s="31"/>
      <c r="X445" s="31"/>
      <c r="Y445" s="31"/>
    </row>
    <row r="446" ht="15.75" customHeight="1">
      <c r="A446" s="318">
        <v>156.0</v>
      </c>
      <c r="B446" s="319" t="s">
        <v>7339</v>
      </c>
      <c r="C446" s="319" t="s">
        <v>7267</v>
      </c>
      <c r="D446" s="319" t="s">
        <v>1395</v>
      </c>
      <c r="E446" s="319" t="s">
        <v>668</v>
      </c>
      <c r="F446" s="319">
        <v>19800.0</v>
      </c>
      <c r="G446" s="319">
        <v>22400.0</v>
      </c>
      <c r="H446" s="319" t="s">
        <v>6639</v>
      </c>
      <c r="I446" s="319">
        <v>52.0</v>
      </c>
      <c r="J446" s="319">
        <f t="shared" si="2"/>
        <v>10296</v>
      </c>
      <c r="K446" s="322">
        <f t="shared" si="1"/>
        <v>-12104</v>
      </c>
      <c r="L446" s="341"/>
      <c r="M446" s="341"/>
      <c r="N446" s="341"/>
      <c r="O446" s="341"/>
      <c r="P446" s="341"/>
      <c r="Q446" s="31"/>
      <c r="R446" s="31"/>
      <c r="S446" s="31"/>
      <c r="T446" s="31"/>
      <c r="U446" s="31"/>
      <c r="V446" s="31"/>
      <c r="W446" s="31"/>
      <c r="X446" s="31"/>
      <c r="Y446" s="31"/>
    </row>
    <row r="447" ht="15.75" customHeight="1">
      <c r="A447" s="318">
        <v>157.0</v>
      </c>
      <c r="B447" s="319" t="s">
        <v>4413</v>
      </c>
      <c r="C447" s="319" t="s">
        <v>7289</v>
      </c>
      <c r="D447" s="319" t="s">
        <v>1395</v>
      </c>
      <c r="E447" s="319" t="s">
        <v>116</v>
      </c>
      <c r="F447" s="319">
        <v>18837.0</v>
      </c>
      <c r="G447" s="319">
        <v>21259.0</v>
      </c>
      <c r="H447" s="319" t="s">
        <v>6639</v>
      </c>
      <c r="I447" s="319">
        <v>51.0</v>
      </c>
      <c r="J447" s="319">
        <f t="shared" si="2"/>
        <v>9606.87</v>
      </c>
      <c r="K447" s="322">
        <f t="shared" si="1"/>
        <v>-11652.13</v>
      </c>
      <c r="L447" s="341"/>
      <c r="M447" s="341"/>
      <c r="N447" s="341"/>
      <c r="O447" s="341"/>
      <c r="P447" s="341"/>
      <c r="Q447" s="31"/>
      <c r="R447" s="31"/>
      <c r="S447" s="31"/>
      <c r="T447" s="31"/>
      <c r="U447" s="31"/>
      <c r="V447" s="31"/>
      <c r="W447" s="31"/>
      <c r="X447" s="31"/>
      <c r="Y447" s="31"/>
    </row>
    <row r="448" ht="15.75" customHeight="1">
      <c r="A448" s="318">
        <v>158.0</v>
      </c>
      <c r="B448" s="319" t="s">
        <v>7340</v>
      </c>
      <c r="C448" s="319" t="s">
        <v>7341</v>
      </c>
      <c r="D448" s="319" t="s">
        <v>1395</v>
      </c>
      <c r="E448" s="319" t="s">
        <v>116</v>
      </c>
      <c r="F448" s="319">
        <v>18956.0</v>
      </c>
      <c r="G448" s="319"/>
      <c r="H448" s="319" t="s">
        <v>6636</v>
      </c>
      <c r="I448" s="319">
        <v>51.0</v>
      </c>
      <c r="J448" s="319">
        <f t="shared" si="2"/>
        <v>9667.56</v>
      </c>
      <c r="K448" s="322">
        <f t="shared" si="1"/>
        <v>9667.56</v>
      </c>
      <c r="L448" s="341"/>
      <c r="M448" s="341"/>
      <c r="N448" s="341"/>
      <c r="O448" s="341"/>
      <c r="P448" s="341"/>
      <c r="Q448" s="31"/>
      <c r="R448" s="31"/>
      <c r="S448" s="31"/>
      <c r="T448" s="31"/>
      <c r="U448" s="31"/>
      <c r="V448" s="31"/>
      <c r="W448" s="31"/>
      <c r="X448" s="31"/>
      <c r="Y448" s="31"/>
    </row>
    <row r="449" ht="15.75" customHeight="1">
      <c r="A449" s="318">
        <v>159.0</v>
      </c>
      <c r="B449" s="319" t="s">
        <v>4393</v>
      </c>
      <c r="C449" s="319" t="s">
        <v>7342</v>
      </c>
      <c r="D449" s="319" t="s">
        <v>1395</v>
      </c>
      <c r="E449" s="319" t="s">
        <v>116</v>
      </c>
      <c r="F449" s="319">
        <v>19274.0</v>
      </c>
      <c r="G449" s="319"/>
      <c r="H449" s="319" t="s">
        <v>6636</v>
      </c>
      <c r="I449" s="319">
        <v>51.0</v>
      </c>
      <c r="J449" s="319">
        <f t="shared" si="2"/>
        <v>9829.74</v>
      </c>
      <c r="K449" s="322">
        <f t="shared" si="1"/>
        <v>9829.74</v>
      </c>
      <c r="L449" s="341"/>
      <c r="M449" s="341"/>
      <c r="N449" s="341"/>
      <c r="O449" s="341"/>
      <c r="P449" s="341"/>
      <c r="Q449" s="31"/>
      <c r="R449" s="31"/>
      <c r="S449" s="31"/>
      <c r="T449" s="31"/>
      <c r="U449" s="31"/>
      <c r="V449" s="31"/>
      <c r="W449" s="31"/>
      <c r="X449" s="31"/>
      <c r="Y449" s="31"/>
    </row>
    <row r="450" ht="15.75" customHeight="1">
      <c r="A450" s="318">
        <v>160.0</v>
      </c>
      <c r="B450" s="319" t="s">
        <v>4639</v>
      </c>
      <c r="C450" s="319" t="s">
        <v>7343</v>
      </c>
      <c r="D450" s="319" t="s">
        <v>1395</v>
      </c>
      <c r="E450" s="319" t="s">
        <v>668</v>
      </c>
      <c r="F450" s="319">
        <v>18069.0</v>
      </c>
      <c r="G450" s="319">
        <v>20359.0</v>
      </c>
      <c r="H450" s="319" t="s">
        <v>6639</v>
      </c>
      <c r="I450" s="319">
        <v>52.0</v>
      </c>
      <c r="J450" s="319">
        <f t="shared" si="2"/>
        <v>9395.88</v>
      </c>
      <c r="K450" s="322">
        <f t="shared" si="1"/>
        <v>-10963.12</v>
      </c>
      <c r="L450" s="341"/>
      <c r="M450" s="341"/>
      <c r="N450" s="341"/>
      <c r="O450" s="341"/>
      <c r="P450" s="341"/>
      <c r="Q450" s="31"/>
      <c r="R450" s="31"/>
      <c r="S450" s="31"/>
      <c r="T450" s="31"/>
      <c r="U450" s="31"/>
      <c r="V450" s="31"/>
      <c r="W450" s="31"/>
      <c r="X450" s="31"/>
      <c r="Y450" s="31"/>
    </row>
    <row r="451" ht="15.75" customHeight="1">
      <c r="A451" s="318">
        <v>161.0</v>
      </c>
      <c r="B451" s="319" t="s">
        <v>7344</v>
      </c>
      <c r="C451" s="319" t="s">
        <v>7345</v>
      </c>
      <c r="D451" s="319" t="s">
        <v>1759</v>
      </c>
      <c r="E451" s="319" t="s">
        <v>1424</v>
      </c>
      <c r="F451" s="319">
        <v>6913.0</v>
      </c>
      <c r="G451" s="319"/>
      <c r="H451" s="319" t="s">
        <v>6636</v>
      </c>
      <c r="I451" s="319">
        <v>55.0</v>
      </c>
      <c r="J451" s="319">
        <f t="shared" si="2"/>
        <v>3802.15</v>
      </c>
      <c r="K451" s="322">
        <f t="shared" si="1"/>
        <v>3802.15</v>
      </c>
      <c r="L451" s="341"/>
      <c r="M451" s="341"/>
      <c r="N451" s="341"/>
      <c r="O451" s="341"/>
      <c r="P451" s="341"/>
      <c r="Q451" s="31"/>
      <c r="R451" s="31"/>
      <c r="S451" s="31"/>
      <c r="T451" s="31"/>
      <c r="U451" s="31"/>
      <c r="V451" s="31"/>
      <c r="W451" s="31"/>
      <c r="X451" s="31"/>
      <c r="Y451" s="31"/>
    </row>
    <row r="452" ht="15.75" customHeight="1">
      <c r="A452" s="342">
        <v>162.0</v>
      </c>
      <c r="B452" s="343" t="s">
        <v>7346</v>
      </c>
      <c r="C452" s="343" t="s">
        <v>7347</v>
      </c>
      <c r="D452" s="343" t="s">
        <v>7118</v>
      </c>
      <c r="E452" s="343" t="s">
        <v>668</v>
      </c>
      <c r="F452" s="343">
        <v>3851.0</v>
      </c>
      <c r="G452" s="342">
        <v>4545.0</v>
      </c>
      <c r="H452" s="343" t="s">
        <v>6639</v>
      </c>
      <c r="I452" s="343">
        <v>33.0</v>
      </c>
      <c r="J452" s="343">
        <f t="shared" si="2"/>
        <v>1270.83</v>
      </c>
      <c r="K452" s="344">
        <f t="shared" si="1"/>
        <v>-3274.17</v>
      </c>
      <c r="L452" s="341"/>
      <c r="M452" s="341"/>
      <c r="N452" s="341"/>
      <c r="O452" s="341"/>
      <c r="P452" s="341"/>
      <c r="Q452" s="31"/>
      <c r="R452" s="31"/>
      <c r="S452" s="31"/>
      <c r="T452" s="31"/>
      <c r="U452" s="31"/>
      <c r="V452" s="31"/>
      <c r="W452" s="31"/>
      <c r="X452" s="31"/>
      <c r="Y452" s="31"/>
    </row>
    <row r="453" ht="15.75" customHeight="1">
      <c r="A453" s="342">
        <v>163.0</v>
      </c>
      <c r="B453" s="343" t="s">
        <v>7348</v>
      </c>
      <c r="C453" s="343" t="s">
        <v>7067</v>
      </c>
      <c r="D453" s="343" t="s">
        <v>1395</v>
      </c>
      <c r="E453" s="343" t="s">
        <v>116</v>
      </c>
      <c r="F453" s="343">
        <v>27576.0</v>
      </c>
      <c r="G453" s="342"/>
      <c r="H453" s="343" t="s">
        <v>6636</v>
      </c>
      <c r="I453" s="343">
        <v>51.0</v>
      </c>
      <c r="J453" s="343">
        <f t="shared" si="2"/>
        <v>14063.76</v>
      </c>
      <c r="K453" s="344">
        <f t="shared" si="1"/>
        <v>14063.76</v>
      </c>
      <c r="L453" s="341"/>
      <c r="M453" s="341"/>
      <c r="N453" s="341"/>
      <c r="O453" s="341"/>
      <c r="P453" s="341"/>
      <c r="Q453" s="31"/>
      <c r="R453" s="31"/>
      <c r="S453" s="31"/>
      <c r="T453" s="31"/>
      <c r="U453" s="31"/>
      <c r="V453" s="31"/>
      <c r="W453" s="31"/>
      <c r="X453" s="31"/>
      <c r="Y453" s="31"/>
    </row>
    <row r="454" ht="15.75" customHeight="1">
      <c r="A454" s="342">
        <v>164.0</v>
      </c>
      <c r="B454" s="343" t="s">
        <v>4507</v>
      </c>
      <c r="C454" s="343" t="s">
        <v>7349</v>
      </c>
      <c r="D454" s="343" t="s">
        <v>1395</v>
      </c>
      <c r="E454" s="343" t="s">
        <v>668</v>
      </c>
      <c r="F454" s="343">
        <v>20658.0</v>
      </c>
      <c r="G454" s="342">
        <v>23414.0</v>
      </c>
      <c r="H454" s="343" t="s">
        <v>6639</v>
      </c>
      <c r="I454" s="343">
        <v>52.0</v>
      </c>
      <c r="J454" s="343">
        <f t="shared" si="2"/>
        <v>10742.16</v>
      </c>
      <c r="K454" s="344">
        <f t="shared" si="1"/>
        <v>-12671.84</v>
      </c>
      <c r="L454" s="341"/>
      <c r="M454" s="341"/>
      <c r="N454" s="341"/>
      <c r="O454" s="341"/>
      <c r="P454" s="341"/>
      <c r="Q454" s="31"/>
      <c r="R454" s="31"/>
      <c r="S454" s="31"/>
      <c r="T454" s="31"/>
      <c r="U454" s="31"/>
      <c r="V454" s="31"/>
      <c r="W454" s="31"/>
      <c r="X454" s="31"/>
      <c r="Y454" s="31"/>
    </row>
    <row r="455" ht="15.75" customHeight="1">
      <c r="A455" s="342">
        <v>165.0</v>
      </c>
      <c r="B455" s="343" t="s">
        <v>7350</v>
      </c>
      <c r="C455" s="343" t="s">
        <v>7351</v>
      </c>
      <c r="D455" s="343" t="s">
        <v>1395</v>
      </c>
      <c r="E455" s="343" t="s">
        <v>668</v>
      </c>
      <c r="F455" s="343">
        <v>17338.0</v>
      </c>
      <c r="G455" s="342">
        <v>19496.0</v>
      </c>
      <c r="H455" s="343" t="s">
        <v>6639</v>
      </c>
      <c r="I455" s="343">
        <v>52.0</v>
      </c>
      <c r="J455" s="343">
        <f t="shared" si="2"/>
        <v>9015.76</v>
      </c>
      <c r="K455" s="344">
        <f t="shared" si="1"/>
        <v>-10480.24</v>
      </c>
      <c r="L455" s="341"/>
      <c r="M455" s="341"/>
      <c r="N455" s="341"/>
      <c r="O455" s="341"/>
      <c r="P455" s="341"/>
      <c r="Q455" s="31"/>
      <c r="R455" s="31"/>
      <c r="S455" s="31"/>
      <c r="T455" s="31"/>
      <c r="U455" s="31"/>
      <c r="V455" s="31"/>
      <c r="W455" s="31"/>
      <c r="X455" s="31"/>
      <c r="Y455" s="31"/>
    </row>
    <row r="456" ht="15.75" customHeight="1">
      <c r="A456" s="342">
        <v>166.0</v>
      </c>
      <c r="B456" s="343" t="s">
        <v>7352</v>
      </c>
      <c r="C456" s="343" t="s">
        <v>7353</v>
      </c>
      <c r="D456" s="343" t="s">
        <v>1395</v>
      </c>
      <c r="E456" s="343" t="s">
        <v>116</v>
      </c>
      <c r="F456" s="343">
        <v>18463.0</v>
      </c>
      <c r="G456" s="342">
        <v>20815.0</v>
      </c>
      <c r="H456" s="343" t="s">
        <v>6639</v>
      </c>
      <c r="I456" s="343">
        <v>51.0</v>
      </c>
      <c r="J456" s="343">
        <f t="shared" si="2"/>
        <v>9416.13</v>
      </c>
      <c r="K456" s="344">
        <f t="shared" si="1"/>
        <v>-11398.87</v>
      </c>
      <c r="L456" s="341"/>
      <c r="M456" s="341"/>
      <c r="N456" s="341"/>
      <c r="O456" s="341"/>
      <c r="P456" s="341"/>
      <c r="Q456" s="31"/>
      <c r="R456" s="31"/>
      <c r="S456" s="31"/>
      <c r="T456" s="31"/>
      <c r="U456" s="31"/>
      <c r="V456" s="31"/>
      <c r="W456" s="31"/>
      <c r="X456" s="31"/>
      <c r="Y456" s="31"/>
    </row>
    <row r="457" ht="15.75" customHeight="1">
      <c r="A457" s="342">
        <v>167.0</v>
      </c>
      <c r="B457" s="343" t="s">
        <v>7354</v>
      </c>
      <c r="C457" s="343" t="s">
        <v>6975</v>
      </c>
      <c r="D457" s="343" t="s">
        <v>1395</v>
      </c>
      <c r="E457" s="343" t="s">
        <v>116</v>
      </c>
      <c r="F457" s="343">
        <v>17600.0</v>
      </c>
      <c r="G457" s="342"/>
      <c r="H457" s="343" t="s">
        <v>6636</v>
      </c>
      <c r="I457" s="343">
        <v>51.0</v>
      </c>
      <c r="J457" s="343">
        <f t="shared" si="2"/>
        <v>8976</v>
      </c>
      <c r="K457" s="344">
        <f t="shared" si="1"/>
        <v>8976</v>
      </c>
      <c r="L457" s="341"/>
      <c r="M457" s="341"/>
      <c r="N457" s="341"/>
      <c r="O457" s="341"/>
      <c r="P457" s="341"/>
      <c r="Q457" s="31"/>
      <c r="R457" s="31"/>
      <c r="S457" s="31"/>
      <c r="T457" s="31"/>
      <c r="U457" s="31"/>
      <c r="V457" s="31"/>
      <c r="W457" s="31"/>
      <c r="X457" s="31"/>
      <c r="Y457" s="31"/>
    </row>
    <row r="458" ht="15.75" customHeight="1">
      <c r="A458" s="342">
        <v>168.0</v>
      </c>
      <c r="B458" s="343" t="s">
        <v>7355</v>
      </c>
      <c r="C458" s="343" t="s">
        <v>7356</v>
      </c>
      <c r="D458" s="343" t="s">
        <v>1395</v>
      </c>
      <c r="E458" s="343" t="s">
        <v>116</v>
      </c>
      <c r="F458" s="343">
        <v>17248.0</v>
      </c>
      <c r="G458" s="342"/>
      <c r="H458" s="343" t="s">
        <v>6636</v>
      </c>
      <c r="I458" s="343">
        <v>51.0</v>
      </c>
      <c r="J458" s="343">
        <f t="shared" si="2"/>
        <v>8796.48</v>
      </c>
      <c r="K458" s="344">
        <f t="shared" si="1"/>
        <v>8796.48</v>
      </c>
      <c r="L458" s="341"/>
      <c r="M458" s="341"/>
      <c r="N458" s="341"/>
      <c r="O458" s="341"/>
      <c r="P458" s="341"/>
      <c r="Q458" s="31"/>
      <c r="R458" s="31"/>
      <c r="S458" s="31"/>
      <c r="T458" s="31"/>
      <c r="U458" s="31"/>
      <c r="V458" s="31"/>
      <c r="W458" s="31"/>
      <c r="X458" s="31"/>
      <c r="Y458" s="31"/>
    </row>
    <row r="459" ht="15.75" customHeight="1">
      <c r="A459" s="342">
        <v>169.0</v>
      </c>
      <c r="B459" s="343" t="s">
        <v>7357</v>
      </c>
      <c r="C459" s="343" t="s">
        <v>7358</v>
      </c>
      <c r="D459" s="343" t="s">
        <v>7134</v>
      </c>
      <c r="E459" s="343" t="s">
        <v>65</v>
      </c>
      <c r="F459" s="343">
        <v>44100.0</v>
      </c>
      <c r="G459" s="342"/>
      <c r="H459" s="343" t="s">
        <v>6636</v>
      </c>
      <c r="I459" s="343">
        <v>38.0</v>
      </c>
      <c r="J459" s="343">
        <f t="shared" si="2"/>
        <v>16758</v>
      </c>
      <c r="K459" s="344">
        <f t="shared" si="1"/>
        <v>16758</v>
      </c>
      <c r="L459" s="341"/>
      <c r="M459" s="341"/>
      <c r="N459" s="341"/>
      <c r="O459" s="341"/>
      <c r="P459" s="341"/>
      <c r="Q459" s="31"/>
      <c r="R459" s="31"/>
      <c r="S459" s="31"/>
      <c r="T459" s="31"/>
      <c r="U459" s="31"/>
      <c r="V459" s="31"/>
      <c r="W459" s="31"/>
      <c r="X459" s="31"/>
      <c r="Y459" s="31"/>
    </row>
    <row r="460" ht="15.75" customHeight="1">
      <c r="A460" s="342">
        <v>170.0</v>
      </c>
      <c r="B460" s="343" t="s">
        <v>4492</v>
      </c>
      <c r="C460" s="343" t="s">
        <v>7359</v>
      </c>
      <c r="D460" s="343" t="s">
        <v>1395</v>
      </c>
      <c r="E460" s="343" t="s">
        <v>668</v>
      </c>
      <c r="F460" s="343">
        <v>20501.0</v>
      </c>
      <c r="G460" s="342"/>
      <c r="H460" s="343" t="s">
        <v>6636</v>
      </c>
      <c r="I460" s="343">
        <v>52.0</v>
      </c>
      <c r="J460" s="343">
        <f t="shared" si="2"/>
        <v>10660.52</v>
      </c>
      <c r="K460" s="344">
        <f t="shared" si="1"/>
        <v>10660.52</v>
      </c>
      <c r="L460" s="341"/>
      <c r="M460" s="341"/>
      <c r="N460" s="341"/>
      <c r="O460" s="341"/>
      <c r="P460" s="341"/>
      <c r="Q460" s="31"/>
      <c r="R460" s="31"/>
      <c r="S460" s="31"/>
      <c r="T460" s="31"/>
      <c r="U460" s="31"/>
      <c r="V460" s="31"/>
      <c r="W460" s="31"/>
      <c r="X460" s="31"/>
      <c r="Y460" s="31"/>
    </row>
    <row r="461" ht="15.75" customHeight="1">
      <c r="A461" s="342">
        <v>171.0</v>
      </c>
      <c r="B461" s="343" t="s">
        <v>7360</v>
      </c>
      <c r="C461" s="343" t="s">
        <v>7361</v>
      </c>
      <c r="D461" s="343" t="s">
        <v>7118</v>
      </c>
      <c r="E461" s="343" t="s">
        <v>668</v>
      </c>
      <c r="F461" s="343">
        <v>7897.0</v>
      </c>
      <c r="G461" s="342">
        <v>9319.0</v>
      </c>
      <c r="H461" s="343" t="s">
        <v>6639</v>
      </c>
      <c r="I461" s="343">
        <v>33.0</v>
      </c>
      <c r="J461" s="343">
        <f t="shared" si="2"/>
        <v>2606.01</v>
      </c>
      <c r="K461" s="344">
        <f t="shared" si="1"/>
        <v>-6712.99</v>
      </c>
      <c r="L461" s="341"/>
      <c r="M461" s="341"/>
      <c r="N461" s="341"/>
      <c r="O461" s="341"/>
      <c r="P461" s="341"/>
      <c r="Q461" s="31"/>
      <c r="R461" s="31"/>
      <c r="S461" s="31"/>
      <c r="T461" s="31"/>
      <c r="U461" s="31"/>
      <c r="V461" s="31"/>
      <c r="W461" s="31"/>
      <c r="X461" s="31"/>
      <c r="Y461" s="31"/>
    </row>
    <row r="462" ht="15.75" customHeight="1">
      <c r="A462" s="342">
        <v>172.0</v>
      </c>
      <c r="B462" s="343" t="s">
        <v>7362</v>
      </c>
      <c r="C462" s="343" t="s">
        <v>7363</v>
      </c>
      <c r="D462" s="343" t="s">
        <v>1395</v>
      </c>
      <c r="E462" s="343" t="s">
        <v>668</v>
      </c>
      <c r="F462" s="343">
        <v>18061.0</v>
      </c>
      <c r="G462" s="342">
        <v>20349.0</v>
      </c>
      <c r="H462" s="343" t="s">
        <v>6639</v>
      </c>
      <c r="I462" s="343">
        <v>52.0</v>
      </c>
      <c r="J462" s="343">
        <f t="shared" si="2"/>
        <v>9391.72</v>
      </c>
      <c r="K462" s="344">
        <f t="shared" si="1"/>
        <v>-10957.28</v>
      </c>
      <c r="L462" s="341"/>
      <c r="M462" s="341"/>
      <c r="N462" s="341"/>
      <c r="O462" s="341"/>
      <c r="P462" s="341"/>
      <c r="Q462" s="31"/>
      <c r="R462" s="31"/>
      <c r="S462" s="31"/>
      <c r="T462" s="31"/>
      <c r="U462" s="31"/>
      <c r="V462" s="31"/>
      <c r="W462" s="31"/>
      <c r="X462" s="31"/>
      <c r="Y462" s="31"/>
    </row>
    <row r="463" ht="15.75" customHeight="1">
      <c r="A463" s="342">
        <v>173.0</v>
      </c>
      <c r="B463" s="343" t="s">
        <v>7364</v>
      </c>
      <c r="C463" s="343" t="s">
        <v>7365</v>
      </c>
      <c r="D463" s="343" t="s">
        <v>1395</v>
      </c>
      <c r="E463" s="343" t="s">
        <v>668</v>
      </c>
      <c r="F463" s="343">
        <v>19878.0</v>
      </c>
      <c r="G463" s="342">
        <v>22492.0</v>
      </c>
      <c r="H463" s="343" t="s">
        <v>6639</v>
      </c>
      <c r="I463" s="343">
        <v>52.0</v>
      </c>
      <c r="J463" s="343">
        <f t="shared" si="2"/>
        <v>10336.56</v>
      </c>
      <c r="K463" s="344">
        <f t="shared" si="1"/>
        <v>-12155.44</v>
      </c>
      <c r="L463" s="341"/>
      <c r="M463" s="341"/>
      <c r="N463" s="341"/>
      <c r="O463" s="341"/>
      <c r="P463" s="341"/>
      <c r="Q463" s="31"/>
      <c r="R463" s="31"/>
      <c r="S463" s="31"/>
      <c r="T463" s="31"/>
      <c r="U463" s="31"/>
      <c r="V463" s="31"/>
      <c r="W463" s="31"/>
      <c r="X463" s="31"/>
      <c r="Y463" s="31"/>
    </row>
    <row r="464" ht="15.75" customHeight="1">
      <c r="A464" s="342">
        <v>174.0</v>
      </c>
      <c r="B464" s="343" t="s">
        <v>7366</v>
      </c>
      <c r="C464" s="343" t="s">
        <v>7367</v>
      </c>
      <c r="D464" s="343" t="s">
        <v>75</v>
      </c>
      <c r="E464" s="343" t="s">
        <v>668</v>
      </c>
      <c r="F464" s="343">
        <v>5293.0</v>
      </c>
      <c r="G464" s="342">
        <v>5977.0</v>
      </c>
      <c r="H464" s="343" t="s">
        <v>6639</v>
      </c>
      <c r="I464" s="343">
        <v>52.0</v>
      </c>
      <c r="J464" s="343">
        <f t="shared" si="2"/>
        <v>2752.36</v>
      </c>
      <c r="K464" s="344">
        <f t="shared" si="1"/>
        <v>-3224.64</v>
      </c>
      <c r="L464" s="341"/>
      <c r="M464" s="341"/>
      <c r="N464" s="341"/>
      <c r="O464" s="341"/>
      <c r="P464" s="341"/>
      <c r="Q464" s="31"/>
      <c r="R464" s="31"/>
      <c r="S464" s="31"/>
      <c r="T464" s="31"/>
      <c r="U464" s="31"/>
      <c r="V464" s="31"/>
      <c r="W464" s="31"/>
      <c r="X464" s="31"/>
      <c r="Y464" s="31"/>
    </row>
    <row r="465" ht="15.75" customHeight="1">
      <c r="A465" s="342">
        <v>175.0</v>
      </c>
      <c r="B465" s="343" t="s">
        <v>7368</v>
      </c>
      <c r="C465" s="343" t="s">
        <v>7342</v>
      </c>
      <c r="D465" s="343" t="s">
        <v>1395</v>
      </c>
      <c r="E465" s="343" t="s">
        <v>668</v>
      </c>
      <c r="F465" s="343">
        <v>20266.0</v>
      </c>
      <c r="G465" s="342">
        <v>22950.0</v>
      </c>
      <c r="H465" s="343" t="s">
        <v>6639</v>
      </c>
      <c r="I465" s="343">
        <v>52.0</v>
      </c>
      <c r="J465" s="343">
        <f t="shared" si="2"/>
        <v>10538.32</v>
      </c>
      <c r="K465" s="344">
        <f t="shared" si="1"/>
        <v>-12411.68</v>
      </c>
      <c r="L465" s="341"/>
      <c r="M465" s="341"/>
      <c r="N465" s="341"/>
      <c r="O465" s="341"/>
      <c r="P465" s="341"/>
      <c r="Q465" s="31"/>
      <c r="R465" s="31"/>
      <c r="S465" s="31"/>
      <c r="T465" s="31"/>
      <c r="U465" s="31"/>
      <c r="V465" s="31"/>
      <c r="W465" s="31"/>
      <c r="X465" s="31"/>
      <c r="Y465" s="31"/>
    </row>
    <row r="466" ht="15.75" customHeight="1">
      <c r="A466" s="342">
        <v>176.0</v>
      </c>
      <c r="B466" s="343" t="s">
        <v>7369</v>
      </c>
      <c r="C466" s="343" t="s">
        <v>7370</v>
      </c>
      <c r="D466" s="343" t="s">
        <v>21</v>
      </c>
      <c r="E466" s="343" t="s">
        <v>48</v>
      </c>
      <c r="F466" s="343">
        <v>92258.0</v>
      </c>
      <c r="G466" s="342"/>
      <c r="H466" s="343" t="s">
        <v>6636</v>
      </c>
      <c r="I466" s="343">
        <v>17.0</v>
      </c>
      <c r="J466" s="343">
        <f t="shared" si="2"/>
        <v>15683.86</v>
      </c>
      <c r="K466" s="344">
        <f t="shared" si="1"/>
        <v>15683.86</v>
      </c>
      <c r="L466" s="341"/>
      <c r="M466" s="341"/>
      <c r="N466" s="341"/>
      <c r="O466" s="341"/>
      <c r="P466" s="341"/>
      <c r="Q466" s="31"/>
      <c r="R466" s="31"/>
      <c r="S466" s="31"/>
      <c r="T466" s="31"/>
      <c r="U466" s="31"/>
      <c r="V466" s="31"/>
      <c r="W466" s="31"/>
      <c r="X466" s="31"/>
      <c r="Y466" s="31"/>
    </row>
    <row r="467" ht="15.75" customHeight="1">
      <c r="A467" s="342">
        <v>177.0</v>
      </c>
      <c r="B467" s="343" t="s">
        <v>4482</v>
      </c>
      <c r="C467" s="343" t="s">
        <v>7133</v>
      </c>
      <c r="D467" s="343" t="s">
        <v>1395</v>
      </c>
      <c r="E467" s="343" t="s">
        <v>668</v>
      </c>
      <c r="F467" s="343">
        <v>20918.0</v>
      </c>
      <c r="G467" s="342"/>
      <c r="H467" s="343" t="s">
        <v>6636</v>
      </c>
      <c r="I467" s="343">
        <v>52.0</v>
      </c>
      <c r="J467" s="343">
        <f t="shared" si="2"/>
        <v>10877.36</v>
      </c>
      <c r="K467" s="344">
        <f t="shared" si="1"/>
        <v>10877.36</v>
      </c>
      <c r="L467" s="341"/>
      <c r="M467" s="341"/>
      <c r="N467" s="341"/>
      <c r="O467" s="341"/>
      <c r="P467" s="341"/>
      <c r="Q467" s="31"/>
      <c r="R467" s="31"/>
      <c r="S467" s="31"/>
      <c r="T467" s="31"/>
      <c r="U467" s="31"/>
      <c r="V467" s="31"/>
      <c r="W467" s="31"/>
      <c r="X467" s="31"/>
      <c r="Y467" s="31"/>
    </row>
    <row r="468" ht="15.75" customHeight="1">
      <c r="A468" s="342">
        <v>178.0</v>
      </c>
      <c r="B468" s="343" t="s">
        <v>7371</v>
      </c>
      <c r="C468" s="343" t="s">
        <v>7372</v>
      </c>
      <c r="D468" s="343" t="s">
        <v>7118</v>
      </c>
      <c r="E468" s="343" t="s">
        <v>7099</v>
      </c>
      <c r="F468" s="343">
        <v>3746.0</v>
      </c>
      <c r="G468" s="342"/>
      <c r="H468" s="343" t="s">
        <v>6636</v>
      </c>
      <c r="I468" s="343">
        <v>25.0</v>
      </c>
      <c r="J468" s="343">
        <f t="shared" si="2"/>
        <v>936.5</v>
      </c>
      <c r="K468" s="344">
        <f t="shared" si="1"/>
        <v>936.5</v>
      </c>
      <c r="L468" s="341"/>
      <c r="M468" s="341"/>
      <c r="N468" s="341"/>
      <c r="O468" s="341"/>
      <c r="P468" s="341"/>
      <c r="Q468" s="31"/>
      <c r="R468" s="31"/>
      <c r="S468" s="31"/>
      <c r="T468" s="31"/>
      <c r="U468" s="31"/>
      <c r="V468" s="31"/>
      <c r="W468" s="31"/>
      <c r="X468" s="31"/>
      <c r="Y468" s="31"/>
    </row>
    <row r="469" ht="15.75" customHeight="1">
      <c r="A469" s="342">
        <v>179.0</v>
      </c>
      <c r="B469" s="343" t="s">
        <v>7373</v>
      </c>
      <c r="C469" s="343" t="s">
        <v>1776</v>
      </c>
      <c r="D469" s="343" t="s">
        <v>7118</v>
      </c>
      <c r="E469" s="343" t="s">
        <v>7099</v>
      </c>
      <c r="F469" s="343">
        <v>3476.0</v>
      </c>
      <c r="G469" s="342"/>
      <c r="H469" s="343" t="s">
        <v>6636</v>
      </c>
      <c r="I469" s="343">
        <v>25.0</v>
      </c>
      <c r="J469" s="343">
        <f t="shared" si="2"/>
        <v>869</v>
      </c>
      <c r="K469" s="344">
        <f t="shared" si="1"/>
        <v>869</v>
      </c>
      <c r="L469" s="341"/>
      <c r="M469" s="341"/>
      <c r="N469" s="341"/>
      <c r="O469" s="341"/>
      <c r="P469" s="341"/>
      <c r="Q469" s="31"/>
      <c r="R469" s="31"/>
      <c r="S469" s="31"/>
      <c r="T469" s="31"/>
      <c r="U469" s="31"/>
      <c r="V469" s="31"/>
      <c r="W469" s="31"/>
      <c r="X469" s="31"/>
      <c r="Y469" s="31"/>
    </row>
    <row r="470" ht="15.75" customHeight="1">
      <c r="A470" s="342">
        <v>180.0</v>
      </c>
      <c r="B470" s="343" t="s">
        <v>7374</v>
      </c>
      <c r="C470" s="343" t="s">
        <v>7375</v>
      </c>
      <c r="D470" s="343" t="s">
        <v>7118</v>
      </c>
      <c r="E470" s="343" t="s">
        <v>7099</v>
      </c>
      <c r="F470" s="343">
        <v>3806.0</v>
      </c>
      <c r="G470" s="342"/>
      <c r="H470" s="343" t="s">
        <v>6636</v>
      </c>
      <c r="I470" s="343">
        <v>25.0</v>
      </c>
      <c r="J470" s="343">
        <f t="shared" si="2"/>
        <v>951.5</v>
      </c>
      <c r="K470" s="344">
        <f t="shared" si="1"/>
        <v>951.5</v>
      </c>
      <c r="L470" s="341"/>
      <c r="M470" s="341"/>
      <c r="N470" s="341"/>
      <c r="O470" s="341"/>
      <c r="P470" s="341"/>
      <c r="Q470" s="31"/>
      <c r="R470" s="31"/>
      <c r="S470" s="31"/>
      <c r="T470" s="31"/>
      <c r="U470" s="31"/>
      <c r="V470" s="31"/>
      <c r="W470" s="31"/>
      <c r="X470" s="31"/>
      <c r="Y470" s="31"/>
    </row>
    <row r="471" ht="15.75" customHeight="1">
      <c r="A471" s="342">
        <v>181.0</v>
      </c>
      <c r="B471" s="343" t="s">
        <v>7376</v>
      </c>
      <c r="C471" s="343" t="s">
        <v>7377</v>
      </c>
      <c r="D471" s="343" t="s">
        <v>1395</v>
      </c>
      <c r="E471" s="343" t="s">
        <v>668</v>
      </c>
      <c r="F471" s="343">
        <v>19787.0</v>
      </c>
      <c r="G471" s="342">
        <v>22385.0</v>
      </c>
      <c r="H471" s="343" t="s">
        <v>6639</v>
      </c>
      <c r="I471" s="343">
        <v>52.0</v>
      </c>
      <c r="J471" s="343">
        <f t="shared" si="2"/>
        <v>10289.24</v>
      </c>
      <c r="K471" s="344">
        <f t="shared" si="1"/>
        <v>-12095.76</v>
      </c>
      <c r="L471" s="341"/>
      <c r="M471" s="341"/>
      <c r="N471" s="341"/>
      <c r="O471" s="341"/>
      <c r="P471" s="341"/>
      <c r="Q471" s="31"/>
      <c r="R471" s="31"/>
      <c r="S471" s="31"/>
      <c r="T471" s="31"/>
      <c r="U471" s="31"/>
      <c r="V471" s="31"/>
      <c r="W471" s="31"/>
      <c r="X471" s="31"/>
      <c r="Y471" s="31"/>
    </row>
    <row r="472" ht="15.75" customHeight="1">
      <c r="A472" s="342">
        <v>182.0</v>
      </c>
      <c r="B472" s="343" t="s">
        <v>7378</v>
      </c>
      <c r="C472" s="343" t="s">
        <v>7379</v>
      </c>
      <c r="D472" s="343" t="s">
        <v>1395</v>
      </c>
      <c r="E472" s="343" t="s">
        <v>668</v>
      </c>
      <c r="F472" s="343">
        <v>20658.0</v>
      </c>
      <c r="G472" s="342">
        <v>23414.0</v>
      </c>
      <c r="H472" s="343" t="s">
        <v>6639</v>
      </c>
      <c r="I472" s="343">
        <v>52.0</v>
      </c>
      <c r="J472" s="343">
        <f t="shared" si="2"/>
        <v>10742.16</v>
      </c>
      <c r="K472" s="344">
        <f t="shared" si="1"/>
        <v>-12671.84</v>
      </c>
      <c r="L472" s="341"/>
      <c r="M472" s="341"/>
      <c r="N472" s="341"/>
      <c r="O472" s="341"/>
      <c r="P472" s="341"/>
      <c r="Q472" s="31"/>
      <c r="R472" s="31"/>
      <c r="S472" s="31"/>
      <c r="T472" s="31"/>
      <c r="U472" s="31"/>
      <c r="V472" s="31"/>
      <c r="W472" s="31"/>
      <c r="X472" s="31"/>
      <c r="Y472" s="31"/>
    </row>
    <row r="473" ht="15.75" customHeight="1">
      <c r="A473" s="342">
        <v>183.0</v>
      </c>
      <c r="B473" s="343" t="s">
        <v>7380</v>
      </c>
      <c r="C473" s="343" t="s">
        <v>7381</v>
      </c>
      <c r="D473" s="343" t="s">
        <v>1395</v>
      </c>
      <c r="E473" s="343" t="s">
        <v>668</v>
      </c>
      <c r="F473" s="343">
        <v>21122.0</v>
      </c>
      <c r="G473" s="342">
        <v>23960.0</v>
      </c>
      <c r="H473" s="343" t="s">
        <v>6639</v>
      </c>
      <c r="I473" s="343">
        <v>52.0</v>
      </c>
      <c r="J473" s="343">
        <f t="shared" si="2"/>
        <v>10983.44</v>
      </c>
      <c r="K473" s="344">
        <f t="shared" si="1"/>
        <v>-12976.56</v>
      </c>
      <c r="L473" s="341"/>
      <c r="M473" s="341"/>
      <c r="N473" s="341"/>
      <c r="O473" s="341"/>
      <c r="P473" s="341"/>
      <c r="Q473" s="31"/>
      <c r="R473" s="31"/>
      <c r="S473" s="31"/>
      <c r="T473" s="31"/>
      <c r="U473" s="31"/>
      <c r="V473" s="31"/>
      <c r="W473" s="31"/>
      <c r="X473" s="31"/>
      <c r="Y473" s="31"/>
    </row>
    <row r="474" ht="15.75" customHeight="1">
      <c r="A474" s="342">
        <v>184.0</v>
      </c>
      <c r="B474" s="343" t="s">
        <v>7382</v>
      </c>
      <c r="C474" s="343" t="s">
        <v>6969</v>
      </c>
      <c r="D474" s="343" t="s">
        <v>7118</v>
      </c>
      <c r="E474" s="343" t="s">
        <v>7099</v>
      </c>
      <c r="F474" s="343">
        <v>2609.0</v>
      </c>
      <c r="G474" s="342"/>
      <c r="H474" s="343" t="s">
        <v>6636</v>
      </c>
      <c r="I474" s="343">
        <v>25.0</v>
      </c>
      <c r="J474" s="343">
        <f t="shared" si="2"/>
        <v>652.25</v>
      </c>
      <c r="K474" s="344">
        <f t="shared" si="1"/>
        <v>652.25</v>
      </c>
      <c r="L474" s="341"/>
      <c r="M474" s="341"/>
      <c r="N474" s="341"/>
      <c r="O474" s="341"/>
      <c r="P474" s="341"/>
      <c r="Q474" s="31"/>
      <c r="R474" s="31"/>
      <c r="S474" s="31"/>
      <c r="T474" s="31"/>
      <c r="U474" s="31"/>
      <c r="V474" s="31"/>
      <c r="W474" s="31"/>
      <c r="X474" s="31"/>
      <c r="Y474" s="31"/>
    </row>
    <row r="475" ht="15.75" customHeight="1">
      <c r="A475" s="342">
        <v>185.0</v>
      </c>
      <c r="B475" s="343" t="s">
        <v>7383</v>
      </c>
      <c r="C475" s="343" t="s">
        <v>7384</v>
      </c>
      <c r="D475" s="343" t="s">
        <v>1759</v>
      </c>
      <c r="E475" s="343" t="s">
        <v>1424</v>
      </c>
      <c r="F475" s="343">
        <v>7150.0</v>
      </c>
      <c r="G475" s="342"/>
      <c r="H475" s="343" t="s">
        <v>6636</v>
      </c>
      <c r="I475" s="343">
        <v>55.0</v>
      </c>
      <c r="J475" s="343">
        <f t="shared" si="2"/>
        <v>3932.5</v>
      </c>
      <c r="K475" s="344">
        <f t="shared" si="1"/>
        <v>3932.5</v>
      </c>
      <c r="L475" s="341"/>
      <c r="M475" s="341"/>
      <c r="N475" s="341"/>
      <c r="O475" s="341"/>
      <c r="P475" s="341"/>
      <c r="Q475" s="31"/>
      <c r="R475" s="31"/>
      <c r="S475" s="31"/>
      <c r="T475" s="31"/>
      <c r="U475" s="31"/>
      <c r="V475" s="31"/>
      <c r="W475" s="31"/>
      <c r="X475" s="31"/>
      <c r="Y475" s="31"/>
    </row>
    <row r="476" ht="15.75" customHeight="1">
      <c r="A476" s="342">
        <v>186.0</v>
      </c>
      <c r="B476" s="343" t="s">
        <v>7385</v>
      </c>
      <c r="C476" s="343" t="s">
        <v>7246</v>
      </c>
      <c r="D476" s="343" t="s">
        <v>1759</v>
      </c>
      <c r="E476" s="343" t="s">
        <v>1424</v>
      </c>
      <c r="F476" s="343">
        <v>6950.0</v>
      </c>
      <c r="G476" s="342"/>
      <c r="H476" s="343" t="s">
        <v>6636</v>
      </c>
      <c r="I476" s="343">
        <v>55.0</v>
      </c>
      <c r="J476" s="343">
        <f t="shared" si="2"/>
        <v>3822.5</v>
      </c>
      <c r="K476" s="344">
        <f t="shared" si="1"/>
        <v>3822.5</v>
      </c>
      <c r="L476" s="341"/>
      <c r="M476" s="341"/>
      <c r="N476" s="341"/>
      <c r="O476" s="341"/>
      <c r="P476" s="341"/>
      <c r="Q476" s="31"/>
      <c r="R476" s="31"/>
      <c r="S476" s="31"/>
      <c r="T476" s="31"/>
      <c r="U476" s="31"/>
      <c r="V476" s="31"/>
      <c r="W476" s="31"/>
      <c r="X476" s="31"/>
      <c r="Y476" s="31"/>
    </row>
    <row r="477" ht="15.75" customHeight="1">
      <c r="A477" s="342">
        <v>187.0</v>
      </c>
      <c r="B477" s="343" t="s">
        <v>7386</v>
      </c>
      <c r="C477" s="343" t="s">
        <v>6844</v>
      </c>
      <c r="D477" s="343" t="s">
        <v>1759</v>
      </c>
      <c r="E477" s="343" t="s">
        <v>1424</v>
      </c>
      <c r="F477" s="343">
        <v>6420.0</v>
      </c>
      <c r="G477" s="342"/>
      <c r="H477" s="343" t="s">
        <v>6636</v>
      </c>
      <c r="I477" s="343">
        <v>55.0</v>
      </c>
      <c r="J477" s="343">
        <f t="shared" si="2"/>
        <v>3531</v>
      </c>
      <c r="K477" s="344">
        <f t="shared" si="1"/>
        <v>3531</v>
      </c>
      <c r="L477" s="341"/>
      <c r="M477" s="341"/>
      <c r="N477" s="341"/>
      <c r="O477" s="341"/>
      <c r="P477" s="341"/>
      <c r="Q477" s="31"/>
      <c r="R477" s="31"/>
      <c r="S477" s="31"/>
      <c r="T477" s="31"/>
      <c r="U477" s="31"/>
      <c r="V477" s="31"/>
      <c r="W477" s="31"/>
      <c r="X477" s="31"/>
      <c r="Y477" s="31"/>
    </row>
    <row r="478" ht="15.75" customHeight="1">
      <c r="A478" s="342">
        <v>188.0</v>
      </c>
      <c r="B478" s="343" t="s">
        <v>7387</v>
      </c>
      <c r="C478" s="343" t="s">
        <v>7388</v>
      </c>
      <c r="D478" s="343" t="s">
        <v>1395</v>
      </c>
      <c r="E478" s="343" t="s">
        <v>116</v>
      </c>
      <c r="F478" s="343">
        <v>27719.0</v>
      </c>
      <c r="G478" s="342"/>
      <c r="H478" s="343" t="s">
        <v>6636</v>
      </c>
      <c r="I478" s="343">
        <v>51.0</v>
      </c>
      <c r="J478" s="343">
        <f t="shared" si="2"/>
        <v>14136.69</v>
      </c>
      <c r="K478" s="344">
        <f t="shared" si="1"/>
        <v>14136.69</v>
      </c>
      <c r="L478" s="341"/>
      <c r="M478" s="341"/>
      <c r="N478" s="341"/>
      <c r="O478" s="341"/>
      <c r="P478" s="341"/>
      <c r="Q478" s="31"/>
      <c r="R478" s="31"/>
      <c r="S478" s="31"/>
      <c r="T478" s="31"/>
      <c r="U478" s="31"/>
      <c r="V478" s="31"/>
      <c r="W478" s="31"/>
      <c r="X478" s="31"/>
      <c r="Y478" s="31"/>
    </row>
    <row r="479" ht="15.75" customHeight="1">
      <c r="A479" s="342">
        <v>189.0</v>
      </c>
      <c r="B479" s="343" t="s">
        <v>7389</v>
      </c>
      <c r="C479" s="343" t="s">
        <v>7390</v>
      </c>
      <c r="D479" s="343" t="s">
        <v>1395</v>
      </c>
      <c r="E479" s="343" t="s">
        <v>116</v>
      </c>
      <c r="F479" s="343">
        <v>18408.0</v>
      </c>
      <c r="G479" s="342"/>
      <c r="H479" s="343" t="s">
        <v>6636</v>
      </c>
      <c r="I479" s="343">
        <v>51.0</v>
      </c>
      <c r="J479" s="343">
        <f t="shared" si="2"/>
        <v>9388.08</v>
      </c>
      <c r="K479" s="344">
        <f t="shared" si="1"/>
        <v>9388.08</v>
      </c>
      <c r="L479" s="341"/>
      <c r="M479" s="341"/>
      <c r="N479" s="341"/>
      <c r="O479" s="341"/>
      <c r="P479" s="341"/>
      <c r="Q479" s="31"/>
      <c r="R479" s="31"/>
      <c r="S479" s="31"/>
      <c r="T479" s="31"/>
      <c r="U479" s="31"/>
      <c r="V479" s="31"/>
      <c r="W479" s="31"/>
      <c r="X479" s="31"/>
      <c r="Y479" s="31"/>
    </row>
    <row r="480" ht="15.75" customHeight="1">
      <c r="A480" s="342">
        <v>190.0</v>
      </c>
      <c r="B480" s="343" t="s">
        <v>7391</v>
      </c>
      <c r="C480" s="343" t="s">
        <v>7052</v>
      </c>
      <c r="D480" s="343" t="s">
        <v>7118</v>
      </c>
      <c r="E480" s="343" t="s">
        <v>668</v>
      </c>
      <c r="F480" s="343">
        <v>2154.0</v>
      </c>
      <c r="G480" s="342">
        <v>2542.0</v>
      </c>
      <c r="H480" s="343" t="s">
        <v>6639</v>
      </c>
      <c r="I480" s="343">
        <v>33.0</v>
      </c>
      <c r="J480" s="343">
        <f t="shared" si="2"/>
        <v>710.82</v>
      </c>
      <c r="K480" s="344">
        <f t="shared" si="1"/>
        <v>-1831.18</v>
      </c>
      <c r="L480" s="341"/>
      <c r="M480" s="341"/>
      <c r="N480" s="341"/>
      <c r="O480" s="341"/>
      <c r="P480" s="341"/>
      <c r="Q480" s="31"/>
      <c r="R480" s="31"/>
      <c r="S480" s="31"/>
      <c r="T480" s="31"/>
      <c r="U480" s="31"/>
      <c r="V480" s="31"/>
      <c r="W480" s="31"/>
      <c r="X480" s="31"/>
      <c r="Y480" s="31"/>
    </row>
    <row r="481" ht="15.75" customHeight="1">
      <c r="A481" s="342">
        <v>191.0</v>
      </c>
      <c r="B481" s="343" t="s">
        <v>7392</v>
      </c>
      <c r="C481" s="343" t="s">
        <v>7393</v>
      </c>
      <c r="D481" s="343" t="s">
        <v>21</v>
      </c>
      <c r="E481" s="343" t="s">
        <v>48</v>
      </c>
      <c r="F481" s="343">
        <v>48629.0</v>
      </c>
      <c r="G481" s="342"/>
      <c r="H481" s="343" t="s">
        <v>6636</v>
      </c>
      <c r="I481" s="343">
        <v>17.0</v>
      </c>
      <c r="J481" s="343">
        <f t="shared" si="2"/>
        <v>8266.93</v>
      </c>
      <c r="K481" s="344">
        <f t="shared" si="1"/>
        <v>8266.93</v>
      </c>
      <c r="L481" s="341"/>
      <c r="M481" s="341"/>
      <c r="N481" s="341"/>
      <c r="O481" s="341"/>
      <c r="P481" s="341"/>
      <c r="Q481" s="31"/>
      <c r="R481" s="31"/>
      <c r="S481" s="31"/>
      <c r="T481" s="31"/>
      <c r="U481" s="31"/>
      <c r="V481" s="31"/>
      <c r="W481" s="31"/>
      <c r="X481" s="31"/>
      <c r="Y481" s="31"/>
    </row>
    <row r="482" ht="15.75" customHeight="1">
      <c r="A482" s="342">
        <v>192.0</v>
      </c>
      <c r="B482" s="343" t="s">
        <v>7394</v>
      </c>
      <c r="C482" s="343" t="s">
        <v>7395</v>
      </c>
      <c r="D482" s="343" t="s">
        <v>1395</v>
      </c>
      <c r="E482" s="343" t="s">
        <v>116</v>
      </c>
      <c r="F482" s="343">
        <v>26497.0</v>
      </c>
      <c r="G482" s="342"/>
      <c r="H482" s="343" t="s">
        <v>6636</v>
      </c>
      <c r="I482" s="343">
        <v>51.0</v>
      </c>
      <c r="J482" s="343">
        <f t="shared" si="2"/>
        <v>13513.47</v>
      </c>
      <c r="K482" s="344">
        <f t="shared" si="1"/>
        <v>13513.47</v>
      </c>
      <c r="L482" s="341"/>
      <c r="M482" s="341"/>
      <c r="N482" s="341"/>
      <c r="O482" s="341"/>
      <c r="P482" s="341"/>
      <c r="Q482" s="31"/>
      <c r="R482" s="31"/>
      <c r="S482" s="31"/>
      <c r="T482" s="31"/>
      <c r="U482" s="31"/>
      <c r="V482" s="31"/>
      <c r="W482" s="31"/>
      <c r="X482" s="31"/>
      <c r="Y482" s="31"/>
    </row>
    <row r="483" ht="15.75" customHeight="1">
      <c r="A483" s="342">
        <v>193.0</v>
      </c>
      <c r="B483" s="343" t="s">
        <v>7396</v>
      </c>
      <c r="C483" s="343" t="s">
        <v>7397</v>
      </c>
      <c r="D483" s="343" t="s">
        <v>7134</v>
      </c>
      <c r="E483" s="343" t="s">
        <v>25</v>
      </c>
      <c r="F483" s="343">
        <v>27286.0</v>
      </c>
      <c r="G483" s="342"/>
      <c r="H483" s="343" t="s">
        <v>6636</v>
      </c>
      <c r="I483" s="343">
        <v>35.0</v>
      </c>
      <c r="J483" s="343">
        <f t="shared" si="2"/>
        <v>9550.1</v>
      </c>
      <c r="K483" s="344">
        <f t="shared" si="1"/>
        <v>9550.1</v>
      </c>
      <c r="L483" s="341"/>
      <c r="M483" s="341"/>
      <c r="N483" s="341"/>
      <c r="O483" s="341"/>
      <c r="P483" s="341"/>
      <c r="Q483" s="31"/>
      <c r="R483" s="31"/>
      <c r="S483" s="31"/>
      <c r="T483" s="31"/>
      <c r="U483" s="31"/>
      <c r="V483" s="31"/>
      <c r="W483" s="31"/>
      <c r="X483" s="31"/>
      <c r="Y483" s="31"/>
    </row>
    <row r="484" ht="15.75" customHeight="1">
      <c r="A484" s="342">
        <v>194.0</v>
      </c>
      <c r="B484" s="343" t="s">
        <v>7398</v>
      </c>
      <c r="C484" s="343" t="s">
        <v>7399</v>
      </c>
      <c r="D484" s="343" t="s">
        <v>1395</v>
      </c>
      <c r="E484" s="343" t="s">
        <v>116</v>
      </c>
      <c r="F484" s="343">
        <v>25470.0</v>
      </c>
      <c r="G484" s="342"/>
      <c r="H484" s="343" t="s">
        <v>6636</v>
      </c>
      <c r="I484" s="343">
        <v>52.0</v>
      </c>
      <c r="J484" s="343">
        <f t="shared" si="2"/>
        <v>13244.4</v>
      </c>
      <c r="K484" s="344">
        <f t="shared" si="1"/>
        <v>13244.4</v>
      </c>
      <c r="L484" s="341"/>
      <c r="M484" s="341"/>
      <c r="N484" s="341"/>
      <c r="O484" s="341"/>
      <c r="P484" s="341"/>
      <c r="Q484" s="31"/>
      <c r="R484" s="31"/>
      <c r="S484" s="31"/>
      <c r="T484" s="31"/>
      <c r="U484" s="31"/>
      <c r="V484" s="31"/>
      <c r="W484" s="31"/>
      <c r="X484" s="31"/>
      <c r="Y484" s="31"/>
    </row>
    <row r="485" ht="15.75" customHeight="1">
      <c r="A485" s="342">
        <v>195.0</v>
      </c>
      <c r="B485" s="343" t="s">
        <v>7400</v>
      </c>
      <c r="C485" s="343" t="s">
        <v>7196</v>
      </c>
      <c r="D485" s="343" t="s">
        <v>21</v>
      </c>
      <c r="E485" s="343" t="s">
        <v>4916</v>
      </c>
      <c r="F485" s="343">
        <v>48732.0</v>
      </c>
      <c r="G485" s="342"/>
      <c r="H485" s="343" t="s">
        <v>6636</v>
      </c>
      <c r="I485" s="343">
        <v>17.0</v>
      </c>
      <c r="J485" s="343">
        <f t="shared" si="2"/>
        <v>8284.44</v>
      </c>
      <c r="K485" s="344">
        <f t="shared" si="1"/>
        <v>8284.44</v>
      </c>
      <c r="L485" s="341"/>
      <c r="M485" s="341"/>
      <c r="N485" s="341"/>
      <c r="O485" s="341"/>
      <c r="P485" s="341"/>
      <c r="Q485" s="31"/>
      <c r="R485" s="31"/>
      <c r="S485" s="31"/>
      <c r="T485" s="31"/>
      <c r="U485" s="31"/>
      <c r="V485" s="31"/>
      <c r="W485" s="31"/>
      <c r="X485" s="31"/>
      <c r="Y485" s="31"/>
    </row>
    <row r="486" ht="15.75" customHeight="1">
      <c r="A486" s="342">
        <v>196.0</v>
      </c>
      <c r="B486" s="343" t="s">
        <v>7401</v>
      </c>
      <c r="C486" s="343" t="s">
        <v>7402</v>
      </c>
      <c r="D486" s="343" t="s">
        <v>21</v>
      </c>
      <c r="E486" s="343" t="s">
        <v>48</v>
      </c>
      <c r="F486" s="343">
        <v>48391.0</v>
      </c>
      <c r="G486" s="342"/>
      <c r="H486" s="343" t="s">
        <v>6636</v>
      </c>
      <c r="I486" s="343">
        <v>17.0</v>
      </c>
      <c r="J486" s="343">
        <f t="shared" si="2"/>
        <v>8226.47</v>
      </c>
      <c r="K486" s="344">
        <f t="shared" si="1"/>
        <v>8226.47</v>
      </c>
      <c r="L486" s="341"/>
      <c r="M486" s="341"/>
      <c r="N486" s="341"/>
      <c r="O486" s="341"/>
      <c r="P486" s="341"/>
      <c r="Q486" s="31"/>
      <c r="R486" s="31"/>
      <c r="S486" s="31"/>
      <c r="T486" s="31"/>
      <c r="U486" s="31"/>
      <c r="V486" s="31"/>
      <c r="W486" s="31"/>
      <c r="X486" s="31"/>
      <c r="Y486" s="31"/>
    </row>
    <row r="487" ht="15.75" customHeight="1">
      <c r="A487" s="342">
        <v>197.0</v>
      </c>
      <c r="B487" s="343" t="s">
        <v>7403</v>
      </c>
      <c r="C487" s="343" t="s">
        <v>7404</v>
      </c>
      <c r="D487" s="343" t="s">
        <v>7118</v>
      </c>
      <c r="E487" s="343" t="s">
        <v>7099</v>
      </c>
      <c r="F487" s="343">
        <v>3746.0</v>
      </c>
      <c r="G487" s="342"/>
      <c r="H487" s="343" t="s">
        <v>6636</v>
      </c>
      <c r="I487" s="343">
        <v>25.0</v>
      </c>
      <c r="J487" s="343">
        <f t="shared" si="2"/>
        <v>936.5</v>
      </c>
      <c r="K487" s="344">
        <f t="shared" si="1"/>
        <v>936.5</v>
      </c>
      <c r="L487" s="341"/>
      <c r="M487" s="341"/>
      <c r="N487" s="341"/>
      <c r="O487" s="341"/>
      <c r="P487" s="341"/>
      <c r="Q487" s="31"/>
      <c r="R487" s="31"/>
      <c r="S487" s="31"/>
      <c r="T487" s="31"/>
      <c r="U487" s="31"/>
      <c r="V487" s="31"/>
      <c r="W487" s="31"/>
      <c r="X487" s="31"/>
      <c r="Y487" s="31"/>
    </row>
    <row r="488" ht="15.75" customHeight="1">
      <c r="A488" s="342">
        <v>198.0</v>
      </c>
      <c r="B488" s="343" t="s">
        <v>7405</v>
      </c>
      <c r="C488" s="343" t="s">
        <v>7406</v>
      </c>
      <c r="D488" s="343" t="s">
        <v>21</v>
      </c>
      <c r="E488" s="343" t="s">
        <v>48</v>
      </c>
      <c r="F488" s="343">
        <v>37151.0</v>
      </c>
      <c r="G488" s="342"/>
      <c r="H488" s="343" t="s">
        <v>6636</v>
      </c>
      <c r="I488" s="343">
        <v>17.0</v>
      </c>
      <c r="J488" s="343">
        <f t="shared" si="2"/>
        <v>6315.67</v>
      </c>
      <c r="K488" s="344">
        <f t="shared" si="1"/>
        <v>6315.67</v>
      </c>
      <c r="L488" s="341"/>
      <c r="M488" s="341"/>
      <c r="N488" s="341"/>
      <c r="O488" s="341"/>
      <c r="P488" s="341"/>
      <c r="Q488" s="31"/>
      <c r="R488" s="31"/>
      <c r="S488" s="31"/>
      <c r="T488" s="31"/>
      <c r="U488" s="31"/>
      <c r="V488" s="31"/>
      <c r="W488" s="31"/>
      <c r="X488" s="31"/>
      <c r="Y488" s="31"/>
    </row>
    <row r="489" ht="15.75" customHeight="1">
      <c r="A489" s="342">
        <v>199.0</v>
      </c>
      <c r="B489" s="343" t="s">
        <v>7407</v>
      </c>
      <c r="C489" s="343" t="s">
        <v>7408</v>
      </c>
      <c r="D489" s="343" t="s">
        <v>1395</v>
      </c>
      <c r="E489" s="343" t="s">
        <v>116</v>
      </c>
      <c r="F489" s="343">
        <v>17999.0</v>
      </c>
      <c r="G489" s="342">
        <v>20269.0</v>
      </c>
      <c r="H489" s="343" t="s">
        <v>6639</v>
      </c>
      <c r="I489" s="343">
        <v>51.0</v>
      </c>
      <c r="J489" s="343">
        <f t="shared" si="2"/>
        <v>9179.49</v>
      </c>
      <c r="K489" s="344">
        <f t="shared" si="1"/>
        <v>-11089.51</v>
      </c>
      <c r="L489" s="341"/>
      <c r="M489" s="341"/>
      <c r="N489" s="341"/>
      <c r="O489" s="341"/>
      <c r="P489" s="341"/>
      <c r="Q489" s="31"/>
      <c r="R489" s="31"/>
      <c r="S489" s="31"/>
      <c r="T489" s="31"/>
      <c r="U489" s="31"/>
      <c r="V489" s="31"/>
      <c r="W489" s="31"/>
      <c r="X489" s="31"/>
      <c r="Y489" s="31"/>
    </row>
    <row r="490" ht="15.75" customHeight="1">
      <c r="A490" s="342">
        <v>200.0</v>
      </c>
      <c r="B490" s="343" t="s">
        <v>7409</v>
      </c>
      <c r="C490" s="343" t="s">
        <v>7410</v>
      </c>
      <c r="D490" s="343" t="s">
        <v>1395</v>
      </c>
      <c r="E490" s="343" t="s">
        <v>116</v>
      </c>
      <c r="F490" s="343">
        <v>27456.0</v>
      </c>
      <c r="G490" s="342"/>
      <c r="H490" s="343" t="s">
        <v>6636</v>
      </c>
      <c r="I490" s="343">
        <v>51.0</v>
      </c>
      <c r="J490" s="343">
        <f t="shared" si="2"/>
        <v>14002.56</v>
      </c>
      <c r="K490" s="344">
        <f t="shared" si="1"/>
        <v>14002.56</v>
      </c>
      <c r="L490" s="341"/>
      <c r="M490" s="341"/>
      <c r="N490" s="341"/>
      <c r="O490" s="341"/>
      <c r="P490" s="341"/>
      <c r="Q490" s="31"/>
      <c r="R490" s="31"/>
      <c r="S490" s="31"/>
      <c r="T490" s="31"/>
      <c r="U490" s="31"/>
      <c r="V490" s="31"/>
      <c r="W490" s="31"/>
      <c r="X490" s="31"/>
      <c r="Y490" s="31"/>
    </row>
    <row r="491" ht="15.75" customHeight="1">
      <c r="A491" s="342">
        <v>201.0</v>
      </c>
      <c r="B491" s="343" t="s">
        <v>7411</v>
      </c>
      <c r="C491" s="343" t="s">
        <v>7412</v>
      </c>
      <c r="D491" s="343" t="s">
        <v>7118</v>
      </c>
      <c r="E491" s="343" t="s">
        <v>668</v>
      </c>
      <c r="F491" s="343">
        <v>3851.0</v>
      </c>
      <c r="G491" s="342">
        <v>4545.0</v>
      </c>
      <c r="H491" s="343" t="s">
        <v>6639</v>
      </c>
      <c r="I491" s="343">
        <v>32.0</v>
      </c>
      <c r="J491" s="343">
        <f t="shared" si="2"/>
        <v>1232.32</v>
      </c>
      <c r="K491" s="344">
        <f t="shared" si="1"/>
        <v>-3312.68</v>
      </c>
      <c r="L491" s="341"/>
      <c r="M491" s="341"/>
      <c r="N491" s="341"/>
      <c r="O491" s="341"/>
      <c r="P491" s="341"/>
      <c r="Q491" s="31"/>
      <c r="R491" s="31"/>
      <c r="S491" s="31"/>
      <c r="T491" s="31"/>
      <c r="U491" s="31"/>
      <c r="V491" s="31"/>
      <c r="W491" s="31"/>
      <c r="X491" s="31"/>
      <c r="Y491" s="31"/>
    </row>
    <row r="492" ht="15.75" customHeight="1">
      <c r="A492" s="342">
        <v>202.0</v>
      </c>
      <c r="B492" s="343" t="s">
        <v>7413</v>
      </c>
      <c r="C492" s="343" t="s">
        <v>7414</v>
      </c>
      <c r="D492" s="343" t="s">
        <v>1395</v>
      </c>
      <c r="E492" s="343" t="s">
        <v>116</v>
      </c>
      <c r="F492" s="343">
        <v>27814.0</v>
      </c>
      <c r="G492" s="342"/>
      <c r="H492" s="343" t="s">
        <v>6636</v>
      </c>
      <c r="I492" s="343">
        <v>51.0</v>
      </c>
      <c r="J492" s="343">
        <f t="shared" si="2"/>
        <v>14185.14</v>
      </c>
      <c r="K492" s="344">
        <f t="shared" si="1"/>
        <v>14185.14</v>
      </c>
      <c r="L492" s="341"/>
      <c r="M492" s="341"/>
      <c r="N492" s="341"/>
      <c r="O492" s="341"/>
      <c r="P492" s="341"/>
      <c r="Q492" s="31"/>
      <c r="R492" s="31"/>
      <c r="S492" s="31"/>
      <c r="T492" s="31"/>
      <c r="U492" s="31"/>
      <c r="V492" s="31"/>
      <c r="W492" s="31"/>
      <c r="X492" s="31"/>
      <c r="Y492" s="31"/>
    </row>
    <row r="493" ht="15.75" customHeight="1">
      <c r="A493" s="342">
        <v>203.0</v>
      </c>
      <c r="B493" s="343" t="s">
        <v>7415</v>
      </c>
      <c r="C493" s="343" t="s">
        <v>7416</v>
      </c>
      <c r="D493" s="343" t="s">
        <v>1395</v>
      </c>
      <c r="E493" s="343" t="s">
        <v>668</v>
      </c>
      <c r="F493" s="343">
        <v>20710.0</v>
      </c>
      <c r="G493" s="342">
        <v>23474.0</v>
      </c>
      <c r="H493" s="343" t="s">
        <v>6639</v>
      </c>
      <c r="I493" s="343">
        <v>53.0</v>
      </c>
      <c r="J493" s="343">
        <f t="shared" si="2"/>
        <v>10976.3</v>
      </c>
      <c r="K493" s="344">
        <f t="shared" si="1"/>
        <v>-12497.7</v>
      </c>
      <c r="L493" s="341"/>
      <c r="M493" s="341"/>
      <c r="N493" s="341"/>
      <c r="O493" s="341"/>
      <c r="P493" s="341"/>
      <c r="Q493" s="31"/>
      <c r="R493" s="31"/>
      <c r="S493" s="31"/>
      <c r="T493" s="31"/>
      <c r="U493" s="31"/>
      <c r="V493" s="31"/>
      <c r="W493" s="31"/>
      <c r="X493" s="31"/>
      <c r="Y493" s="31"/>
    </row>
    <row r="494" ht="15.75" customHeight="1">
      <c r="A494" s="342">
        <v>204.0</v>
      </c>
      <c r="B494" s="343" t="s">
        <v>7417</v>
      </c>
      <c r="C494" s="343" t="s">
        <v>7418</v>
      </c>
      <c r="D494" s="343" t="s">
        <v>1395</v>
      </c>
      <c r="E494" s="343" t="s">
        <v>668</v>
      </c>
      <c r="F494" s="343">
        <v>19793.0</v>
      </c>
      <c r="G494" s="342">
        <v>22393.0</v>
      </c>
      <c r="H494" s="343" t="s">
        <v>6639</v>
      </c>
      <c r="I494" s="343">
        <v>53.0</v>
      </c>
      <c r="J494" s="343">
        <f t="shared" si="2"/>
        <v>10490.29</v>
      </c>
      <c r="K494" s="344">
        <f t="shared" si="1"/>
        <v>-11902.71</v>
      </c>
      <c r="L494" s="341"/>
      <c r="M494" s="341"/>
      <c r="N494" s="341"/>
      <c r="O494" s="341"/>
      <c r="P494" s="341"/>
      <c r="Q494" s="31"/>
      <c r="R494" s="31"/>
      <c r="S494" s="31"/>
      <c r="T494" s="31"/>
      <c r="U494" s="31"/>
      <c r="V494" s="31"/>
      <c r="W494" s="31"/>
      <c r="X494" s="31"/>
      <c r="Y494" s="31"/>
    </row>
    <row r="495" ht="15.75" customHeight="1">
      <c r="A495" s="342">
        <v>205.0</v>
      </c>
      <c r="B495" s="343" t="s">
        <v>7419</v>
      </c>
      <c r="C495" s="343" t="s">
        <v>7420</v>
      </c>
      <c r="D495" s="343" t="s">
        <v>1395</v>
      </c>
      <c r="E495" s="343" t="s">
        <v>668</v>
      </c>
      <c r="F495" s="343">
        <v>17111.0</v>
      </c>
      <c r="G495" s="342">
        <v>19227.0</v>
      </c>
      <c r="H495" s="343" t="s">
        <v>6639</v>
      </c>
      <c r="I495" s="343">
        <v>53.0</v>
      </c>
      <c r="J495" s="343">
        <f t="shared" si="2"/>
        <v>9068.83</v>
      </c>
      <c r="K495" s="344">
        <f t="shared" si="1"/>
        <v>-10158.17</v>
      </c>
      <c r="L495" s="341"/>
      <c r="M495" s="341"/>
      <c r="N495" s="341"/>
      <c r="O495" s="341"/>
      <c r="P495" s="341"/>
      <c r="Q495" s="31"/>
      <c r="R495" s="31"/>
      <c r="S495" s="31"/>
      <c r="T495" s="31"/>
      <c r="U495" s="31"/>
      <c r="V495" s="31"/>
      <c r="W495" s="31"/>
      <c r="X495" s="31"/>
      <c r="Y495" s="31"/>
    </row>
    <row r="496" ht="15.75" customHeight="1">
      <c r="A496" s="342">
        <v>206.0</v>
      </c>
      <c r="B496" s="343" t="s">
        <v>7421</v>
      </c>
      <c r="C496" s="343" t="s">
        <v>7079</v>
      </c>
      <c r="D496" s="343" t="s">
        <v>1395</v>
      </c>
      <c r="E496" s="343" t="s">
        <v>116</v>
      </c>
      <c r="F496" s="343">
        <v>18956.0</v>
      </c>
      <c r="G496" s="342"/>
      <c r="H496" s="343" t="s">
        <v>6636</v>
      </c>
      <c r="I496" s="343">
        <v>51.0</v>
      </c>
      <c r="J496" s="343">
        <f t="shared" si="2"/>
        <v>9667.56</v>
      </c>
      <c r="K496" s="344">
        <f t="shared" si="1"/>
        <v>9667.56</v>
      </c>
      <c r="L496" s="341"/>
      <c r="M496" s="341"/>
      <c r="N496" s="341"/>
      <c r="O496" s="341"/>
      <c r="P496" s="341"/>
      <c r="Q496" s="31"/>
      <c r="R496" s="31"/>
      <c r="S496" s="31"/>
      <c r="T496" s="31"/>
      <c r="U496" s="31"/>
      <c r="V496" s="31"/>
      <c r="W496" s="31"/>
      <c r="X496" s="31"/>
      <c r="Y496" s="31"/>
    </row>
    <row r="497" ht="15.75" customHeight="1">
      <c r="A497" s="342">
        <v>207.0</v>
      </c>
      <c r="B497" s="343" t="s">
        <v>7422</v>
      </c>
      <c r="C497" s="343" t="s">
        <v>7423</v>
      </c>
      <c r="D497" s="343" t="s">
        <v>1395</v>
      </c>
      <c r="E497" s="343" t="s">
        <v>116</v>
      </c>
      <c r="F497" s="343">
        <v>24409.0</v>
      </c>
      <c r="G497" s="342"/>
      <c r="H497" s="343" t="s">
        <v>6636</v>
      </c>
      <c r="I497" s="343">
        <v>51.0</v>
      </c>
      <c r="J497" s="343">
        <f t="shared" si="2"/>
        <v>12448.59</v>
      </c>
      <c r="K497" s="344">
        <f t="shared" si="1"/>
        <v>12448.59</v>
      </c>
      <c r="L497" s="341"/>
      <c r="M497" s="341"/>
      <c r="N497" s="341"/>
      <c r="O497" s="341"/>
      <c r="P497" s="341"/>
      <c r="Q497" s="31"/>
      <c r="R497" s="31"/>
      <c r="S497" s="31"/>
      <c r="T497" s="31"/>
      <c r="U497" s="31"/>
      <c r="V497" s="31"/>
      <c r="W497" s="31"/>
      <c r="X497" s="31"/>
      <c r="Y497" s="31"/>
    </row>
    <row r="498" ht="15.75" customHeight="1">
      <c r="A498" s="342">
        <v>208.0</v>
      </c>
      <c r="B498" s="343" t="s">
        <v>7424</v>
      </c>
      <c r="C498" s="343" t="s">
        <v>6638</v>
      </c>
      <c r="D498" s="343" t="s">
        <v>1395</v>
      </c>
      <c r="E498" s="343" t="s">
        <v>116</v>
      </c>
      <c r="F498" s="343">
        <v>26367.0</v>
      </c>
      <c r="G498" s="342">
        <v>30143.0</v>
      </c>
      <c r="H498" s="343" t="s">
        <v>6639</v>
      </c>
      <c r="I498" s="343">
        <v>51.0</v>
      </c>
      <c r="J498" s="343">
        <f t="shared" si="2"/>
        <v>13447.17</v>
      </c>
      <c r="K498" s="344">
        <f t="shared" si="1"/>
        <v>-16695.83</v>
      </c>
      <c r="L498" s="341"/>
      <c r="M498" s="341"/>
      <c r="N498" s="341"/>
      <c r="O498" s="341"/>
      <c r="P498" s="341"/>
      <c r="Q498" s="31"/>
      <c r="R498" s="31"/>
      <c r="S498" s="31"/>
      <c r="T498" s="31"/>
      <c r="U498" s="31"/>
      <c r="V498" s="31"/>
      <c r="W498" s="31"/>
      <c r="X498" s="31"/>
      <c r="Y498" s="31"/>
    </row>
    <row r="499" ht="15.75" customHeight="1">
      <c r="A499" s="342">
        <v>209.0</v>
      </c>
      <c r="B499" s="343" t="s">
        <v>7425</v>
      </c>
      <c r="C499" s="343" t="s">
        <v>1774</v>
      </c>
      <c r="D499" s="343" t="s">
        <v>1395</v>
      </c>
      <c r="E499" s="343" t="s">
        <v>116</v>
      </c>
      <c r="F499" s="343">
        <v>17916.0</v>
      </c>
      <c r="G499" s="342"/>
      <c r="H499" s="343" t="s">
        <v>6636</v>
      </c>
      <c r="I499" s="343">
        <v>51.0</v>
      </c>
      <c r="J499" s="343">
        <f t="shared" si="2"/>
        <v>9137.16</v>
      </c>
      <c r="K499" s="344">
        <f t="shared" si="1"/>
        <v>9137.16</v>
      </c>
      <c r="L499" s="341"/>
      <c r="M499" s="341"/>
      <c r="N499" s="341"/>
      <c r="O499" s="341"/>
      <c r="P499" s="341"/>
      <c r="Q499" s="31"/>
      <c r="R499" s="31"/>
      <c r="S499" s="31"/>
      <c r="T499" s="31"/>
      <c r="U499" s="31"/>
      <c r="V499" s="31"/>
      <c r="W499" s="31"/>
      <c r="X499" s="31"/>
      <c r="Y499" s="31"/>
    </row>
    <row r="500" ht="15.75" customHeight="1">
      <c r="A500" s="342">
        <v>210.0</v>
      </c>
      <c r="B500" s="343" t="s">
        <v>7426</v>
      </c>
      <c r="C500" s="343" t="s">
        <v>7427</v>
      </c>
      <c r="D500" s="343" t="s">
        <v>1395</v>
      </c>
      <c r="E500" s="343" t="s">
        <v>116</v>
      </c>
      <c r="F500" s="343">
        <v>17286.0</v>
      </c>
      <c r="G500" s="342">
        <v>19428.0</v>
      </c>
      <c r="H500" s="343" t="s">
        <v>6639</v>
      </c>
      <c r="I500" s="343">
        <v>51.0</v>
      </c>
      <c r="J500" s="343">
        <f t="shared" si="2"/>
        <v>8815.86</v>
      </c>
      <c r="K500" s="344">
        <f t="shared" si="1"/>
        <v>-10612.14</v>
      </c>
      <c r="L500" s="341"/>
      <c r="M500" s="341"/>
      <c r="N500" s="341"/>
      <c r="O500" s="341"/>
      <c r="P500" s="341"/>
      <c r="Q500" s="31"/>
      <c r="R500" s="31"/>
      <c r="S500" s="31"/>
      <c r="T500" s="31"/>
      <c r="U500" s="31"/>
      <c r="V500" s="31"/>
      <c r="W500" s="31"/>
      <c r="X500" s="31"/>
      <c r="Y500" s="31"/>
    </row>
    <row r="501" ht="15.75" customHeight="1">
      <c r="A501" s="342">
        <v>211.0</v>
      </c>
      <c r="B501" s="343" t="s">
        <v>7428</v>
      </c>
      <c r="C501" s="343" t="s">
        <v>7429</v>
      </c>
      <c r="D501" s="343" t="s">
        <v>7430</v>
      </c>
      <c r="E501" s="343" t="s">
        <v>65</v>
      </c>
      <c r="F501" s="343">
        <v>12233.0</v>
      </c>
      <c r="G501" s="342"/>
      <c r="H501" s="343" t="s">
        <v>6636</v>
      </c>
      <c r="I501" s="343">
        <v>33.0</v>
      </c>
      <c r="J501" s="343">
        <f t="shared" si="2"/>
        <v>4036.89</v>
      </c>
      <c r="K501" s="344">
        <f t="shared" si="1"/>
        <v>4036.89</v>
      </c>
      <c r="L501" s="341"/>
      <c r="M501" s="341"/>
      <c r="N501" s="341"/>
      <c r="O501" s="341"/>
      <c r="P501" s="341"/>
      <c r="Q501" s="31"/>
      <c r="R501" s="31"/>
      <c r="S501" s="31"/>
      <c r="T501" s="31"/>
      <c r="U501" s="31"/>
      <c r="V501" s="31"/>
      <c r="W501" s="31"/>
      <c r="X501" s="31"/>
      <c r="Y501" s="31"/>
    </row>
    <row r="502" ht="15.75" customHeight="1">
      <c r="A502" s="342">
        <v>212.0</v>
      </c>
      <c r="B502" s="343" t="s">
        <v>7431</v>
      </c>
      <c r="C502" s="343" t="s">
        <v>7432</v>
      </c>
      <c r="D502" s="343" t="s">
        <v>1395</v>
      </c>
      <c r="E502" s="343" t="s">
        <v>4916</v>
      </c>
      <c r="F502" s="343">
        <v>20649.0</v>
      </c>
      <c r="G502" s="342">
        <v>23399.0</v>
      </c>
      <c r="H502" s="343" t="s">
        <v>6639</v>
      </c>
      <c r="I502" s="343">
        <v>51.0</v>
      </c>
      <c r="J502" s="343">
        <f t="shared" si="2"/>
        <v>10530.99</v>
      </c>
      <c r="K502" s="344">
        <f t="shared" si="1"/>
        <v>-12868.01</v>
      </c>
      <c r="L502" s="341"/>
      <c r="M502" s="341"/>
      <c r="N502" s="341"/>
      <c r="O502" s="341"/>
      <c r="P502" s="341"/>
      <c r="Q502" s="31"/>
      <c r="R502" s="31"/>
      <c r="S502" s="31"/>
      <c r="T502" s="31"/>
      <c r="U502" s="31"/>
      <c r="V502" s="31"/>
      <c r="W502" s="31"/>
      <c r="X502" s="31"/>
      <c r="Y502" s="31"/>
    </row>
    <row r="503" ht="15.75" customHeight="1">
      <c r="A503" s="342">
        <v>213.0</v>
      </c>
      <c r="B503" s="343" t="s">
        <v>7433</v>
      </c>
      <c r="C503" s="343" t="s">
        <v>7434</v>
      </c>
      <c r="D503" s="343" t="s">
        <v>3035</v>
      </c>
      <c r="E503" s="343" t="s">
        <v>4916</v>
      </c>
      <c r="F503" s="343">
        <v>7317.0</v>
      </c>
      <c r="G503" s="342"/>
      <c r="H503" s="343" t="s">
        <v>6636</v>
      </c>
      <c r="I503" s="343">
        <v>40.0</v>
      </c>
      <c r="J503" s="343">
        <f t="shared" si="2"/>
        <v>2926.8</v>
      </c>
      <c r="K503" s="344">
        <f t="shared" si="1"/>
        <v>2926.8</v>
      </c>
      <c r="L503" s="341"/>
      <c r="M503" s="341"/>
      <c r="N503" s="341"/>
      <c r="O503" s="341"/>
      <c r="P503" s="341"/>
      <c r="Q503" s="31"/>
      <c r="R503" s="31"/>
      <c r="S503" s="31"/>
      <c r="T503" s="31"/>
      <c r="U503" s="31"/>
      <c r="V503" s="31"/>
      <c r="W503" s="31"/>
      <c r="X503" s="31"/>
      <c r="Y503" s="31"/>
    </row>
    <row r="504" ht="15.75" customHeight="1">
      <c r="A504" s="342">
        <v>214.0</v>
      </c>
      <c r="B504" s="343" t="s">
        <v>7435</v>
      </c>
      <c r="C504" s="343" t="s">
        <v>7436</v>
      </c>
      <c r="D504" s="343" t="s">
        <v>3035</v>
      </c>
      <c r="E504" s="343" t="s">
        <v>4916</v>
      </c>
      <c r="F504" s="343">
        <v>7317.0</v>
      </c>
      <c r="G504" s="342"/>
      <c r="H504" s="343" t="s">
        <v>6636</v>
      </c>
      <c r="I504" s="343">
        <v>40.0</v>
      </c>
      <c r="J504" s="343">
        <f t="shared" si="2"/>
        <v>2926.8</v>
      </c>
      <c r="K504" s="344">
        <f t="shared" si="1"/>
        <v>2926.8</v>
      </c>
      <c r="L504" s="341"/>
      <c r="M504" s="341"/>
      <c r="N504" s="341"/>
      <c r="O504" s="341"/>
      <c r="P504" s="341"/>
      <c r="Q504" s="31"/>
      <c r="R504" s="31"/>
      <c r="S504" s="31"/>
      <c r="T504" s="31"/>
      <c r="U504" s="31"/>
      <c r="V504" s="31"/>
      <c r="W504" s="31"/>
      <c r="X504" s="31"/>
      <c r="Y504" s="31"/>
    </row>
    <row r="505" ht="15.75" customHeight="1">
      <c r="A505" s="342">
        <v>215.0</v>
      </c>
      <c r="B505" s="343" t="s">
        <v>4610</v>
      </c>
      <c r="C505" s="343" t="s">
        <v>7437</v>
      </c>
      <c r="D505" s="343" t="s">
        <v>7134</v>
      </c>
      <c r="E505" s="343" t="s">
        <v>65</v>
      </c>
      <c r="F505" s="343">
        <v>44431.0</v>
      </c>
      <c r="G505" s="345"/>
      <c r="H505" s="343" t="s">
        <v>6636</v>
      </c>
      <c r="I505" s="343">
        <v>38.0</v>
      </c>
      <c r="J505" s="343">
        <f t="shared" si="2"/>
        <v>16883.78</v>
      </c>
      <c r="K505" s="344">
        <f t="shared" si="1"/>
        <v>16883.78</v>
      </c>
      <c r="L505" s="341"/>
      <c r="M505" s="341"/>
      <c r="N505" s="341"/>
      <c r="O505" s="341"/>
      <c r="P505" s="341"/>
      <c r="Q505" s="31"/>
      <c r="R505" s="31"/>
      <c r="S505" s="31"/>
      <c r="T505" s="31"/>
      <c r="U505" s="31"/>
      <c r="V505" s="31"/>
      <c r="W505" s="31"/>
      <c r="X505" s="31"/>
      <c r="Y505" s="31"/>
    </row>
    <row r="506" ht="15.75" customHeight="1">
      <c r="A506" s="342">
        <v>216.0</v>
      </c>
      <c r="B506" s="343" t="s">
        <v>7438</v>
      </c>
      <c r="C506" s="343" t="s">
        <v>6871</v>
      </c>
      <c r="D506" s="343" t="s">
        <v>21</v>
      </c>
      <c r="E506" s="343" t="s">
        <v>48</v>
      </c>
      <c r="F506" s="343">
        <v>47006.0</v>
      </c>
      <c r="G506" s="345"/>
      <c r="H506" s="343" t="s">
        <v>6636</v>
      </c>
      <c r="I506" s="343">
        <v>17.0</v>
      </c>
      <c r="J506" s="343">
        <f t="shared" si="2"/>
        <v>7991.02</v>
      </c>
      <c r="K506" s="344">
        <f t="shared" si="1"/>
        <v>7991.02</v>
      </c>
      <c r="L506" s="341"/>
      <c r="M506" s="341"/>
      <c r="N506" s="341"/>
      <c r="O506" s="341"/>
      <c r="P506" s="341"/>
      <c r="Q506" s="31"/>
      <c r="R506" s="31"/>
      <c r="S506" s="31"/>
      <c r="T506" s="31"/>
      <c r="U506" s="31"/>
      <c r="V506" s="31"/>
      <c r="W506" s="31"/>
      <c r="X506" s="31"/>
      <c r="Y506" s="31"/>
    </row>
    <row r="507" ht="15.75" customHeight="1">
      <c r="A507" s="342">
        <v>217.0</v>
      </c>
      <c r="B507" s="343" t="s">
        <v>7439</v>
      </c>
      <c r="C507" s="343" t="s">
        <v>7427</v>
      </c>
      <c r="D507" s="343" t="s">
        <v>21</v>
      </c>
      <c r="E507" s="343" t="s">
        <v>48</v>
      </c>
      <c r="F507" s="343">
        <v>40787.0</v>
      </c>
      <c r="G507" s="345"/>
      <c r="H507" s="343" t="s">
        <v>6636</v>
      </c>
      <c r="I507" s="343">
        <v>17.0</v>
      </c>
      <c r="J507" s="343">
        <f t="shared" si="2"/>
        <v>6933.79</v>
      </c>
      <c r="K507" s="344">
        <f t="shared" si="1"/>
        <v>6933.79</v>
      </c>
      <c r="L507" s="341"/>
      <c r="M507" s="341"/>
      <c r="N507" s="341"/>
      <c r="O507" s="341"/>
      <c r="P507" s="341"/>
      <c r="Q507" s="31"/>
      <c r="R507" s="31"/>
      <c r="S507" s="31"/>
      <c r="T507" s="31"/>
      <c r="U507" s="31"/>
      <c r="V507" s="31"/>
      <c r="W507" s="31"/>
      <c r="X507" s="31"/>
      <c r="Y507" s="31"/>
    </row>
    <row r="508" ht="15.75" customHeight="1">
      <c r="A508" s="342">
        <v>218.0</v>
      </c>
      <c r="B508" s="343" t="s">
        <v>7440</v>
      </c>
      <c r="C508" s="343" t="s">
        <v>7441</v>
      </c>
      <c r="D508" s="343" t="s">
        <v>1395</v>
      </c>
      <c r="E508" s="343" t="s">
        <v>116</v>
      </c>
      <c r="F508" s="343">
        <v>26181.0</v>
      </c>
      <c r="G508" s="342">
        <v>29925.0</v>
      </c>
      <c r="H508" s="343" t="s">
        <v>6639</v>
      </c>
      <c r="I508" s="343">
        <v>51.0</v>
      </c>
      <c r="J508" s="343">
        <f t="shared" si="2"/>
        <v>13352.31</v>
      </c>
      <c r="K508" s="344">
        <f t="shared" si="1"/>
        <v>-16572.69</v>
      </c>
      <c r="L508" s="341"/>
      <c r="M508" s="341"/>
      <c r="N508" s="341"/>
      <c r="O508" s="341"/>
      <c r="P508" s="341"/>
      <c r="Q508" s="31"/>
      <c r="R508" s="31"/>
      <c r="S508" s="31"/>
      <c r="T508" s="31"/>
      <c r="U508" s="31"/>
      <c r="V508" s="31"/>
      <c r="W508" s="31"/>
      <c r="X508" s="31"/>
      <c r="Y508" s="31"/>
    </row>
    <row r="509" ht="15.75" customHeight="1">
      <c r="A509" s="342">
        <v>219.0</v>
      </c>
      <c r="B509" s="343" t="s">
        <v>6515</v>
      </c>
      <c r="C509" s="343" t="s">
        <v>7442</v>
      </c>
      <c r="D509" s="343" t="s">
        <v>1395</v>
      </c>
      <c r="E509" s="343" t="s">
        <v>4916</v>
      </c>
      <c r="F509" s="343">
        <v>19570.0</v>
      </c>
      <c r="G509" s="342">
        <v>22130.0</v>
      </c>
      <c r="H509" s="343" t="s">
        <v>6639</v>
      </c>
      <c r="I509" s="343">
        <v>51.0</v>
      </c>
      <c r="J509" s="343">
        <f t="shared" si="2"/>
        <v>9980.7</v>
      </c>
      <c r="K509" s="344">
        <f t="shared" si="1"/>
        <v>-12149.3</v>
      </c>
      <c r="L509" s="341"/>
      <c r="M509" s="341"/>
      <c r="N509" s="341"/>
      <c r="O509" s="341"/>
      <c r="P509" s="341"/>
      <c r="Q509" s="31"/>
      <c r="R509" s="31"/>
      <c r="S509" s="31"/>
      <c r="T509" s="31"/>
      <c r="U509" s="31"/>
      <c r="V509" s="31"/>
      <c r="W509" s="31"/>
      <c r="X509" s="31"/>
      <c r="Y509" s="31"/>
    </row>
    <row r="510" ht="15.75" customHeight="1">
      <c r="A510" s="342">
        <v>220.0</v>
      </c>
      <c r="B510" s="343" t="s">
        <v>7443</v>
      </c>
      <c r="C510" s="343" t="s">
        <v>7444</v>
      </c>
      <c r="D510" s="343" t="s">
        <v>1395</v>
      </c>
      <c r="E510" s="343" t="s">
        <v>116</v>
      </c>
      <c r="F510" s="343">
        <v>25109.0</v>
      </c>
      <c r="G510" s="342"/>
      <c r="H510" s="343" t="s">
        <v>6636</v>
      </c>
      <c r="I510" s="343">
        <v>51.0</v>
      </c>
      <c r="J510" s="343">
        <f t="shared" si="2"/>
        <v>12805.59</v>
      </c>
      <c r="K510" s="344">
        <f t="shared" si="1"/>
        <v>12805.59</v>
      </c>
      <c r="L510" s="341"/>
      <c r="M510" s="341"/>
      <c r="N510" s="341"/>
      <c r="O510" s="341"/>
      <c r="P510" s="341"/>
      <c r="Q510" s="31"/>
      <c r="R510" s="31"/>
      <c r="S510" s="31"/>
      <c r="T510" s="31"/>
      <c r="U510" s="31"/>
      <c r="V510" s="31"/>
      <c r="W510" s="31"/>
      <c r="X510" s="31"/>
      <c r="Y510" s="31"/>
    </row>
    <row r="511" ht="15.75" customHeight="1">
      <c r="A511" s="342">
        <v>221.0</v>
      </c>
      <c r="B511" s="343" t="s">
        <v>7445</v>
      </c>
      <c r="C511" s="343" t="s">
        <v>7446</v>
      </c>
      <c r="D511" s="343" t="s">
        <v>21</v>
      </c>
      <c r="E511" s="343" t="s">
        <v>48</v>
      </c>
      <c r="F511" s="343">
        <v>47264.0</v>
      </c>
      <c r="G511" s="342">
        <v>53135.0</v>
      </c>
      <c r="H511" s="343" t="s">
        <v>6639</v>
      </c>
      <c r="I511" s="343">
        <v>17.0</v>
      </c>
      <c r="J511" s="343">
        <f t="shared" si="2"/>
        <v>8034.88</v>
      </c>
      <c r="K511" s="344">
        <f t="shared" si="1"/>
        <v>-45100.12</v>
      </c>
      <c r="L511" s="341"/>
      <c r="M511" s="341"/>
      <c r="N511" s="341"/>
      <c r="O511" s="341"/>
      <c r="P511" s="341"/>
      <c r="Q511" s="31"/>
      <c r="R511" s="31"/>
      <c r="S511" s="31"/>
      <c r="T511" s="31"/>
      <c r="U511" s="31"/>
      <c r="V511" s="31"/>
      <c r="W511" s="31"/>
      <c r="X511" s="31"/>
      <c r="Y511" s="31"/>
    </row>
    <row r="512" ht="15.75" customHeight="1">
      <c r="A512" s="342">
        <v>222.0</v>
      </c>
      <c r="B512" s="343" t="s">
        <v>7447</v>
      </c>
      <c r="C512" s="343" t="s">
        <v>2142</v>
      </c>
      <c r="D512" s="343" t="s">
        <v>1395</v>
      </c>
      <c r="E512" s="343" t="s">
        <v>116</v>
      </c>
      <c r="F512" s="343">
        <v>17267.0</v>
      </c>
      <c r="G512" s="342"/>
      <c r="H512" s="343" t="s">
        <v>6636</v>
      </c>
      <c r="I512" s="343">
        <v>51.0</v>
      </c>
      <c r="J512" s="343">
        <f t="shared" si="2"/>
        <v>8806.17</v>
      </c>
      <c r="K512" s="344">
        <f t="shared" si="1"/>
        <v>8806.17</v>
      </c>
      <c r="L512" s="341"/>
      <c r="M512" s="341"/>
      <c r="N512" s="341"/>
      <c r="O512" s="341"/>
      <c r="P512" s="341"/>
      <c r="Q512" s="31"/>
      <c r="R512" s="31"/>
      <c r="S512" s="31"/>
      <c r="T512" s="31"/>
      <c r="U512" s="31"/>
      <c r="V512" s="31"/>
      <c r="W512" s="31"/>
      <c r="X512" s="31"/>
      <c r="Y512" s="31"/>
    </row>
    <row r="513" ht="15.75" customHeight="1">
      <c r="A513" s="342">
        <v>223.0</v>
      </c>
      <c r="B513" s="343" t="s">
        <v>7448</v>
      </c>
      <c r="C513" s="343" t="s">
        <v>7449</v>
      </c>
      <c r="D513" s="343" t="s">
        <v>1395</v>
      </c>
      <c r="E513" s="343" t="s">
        <v>116</v>
      </c>
      <c r="F513" s="343">
        <v>28011.0</v>
      </c>
      <c r="G513" s="342"/>
      <c r="H513" s="343" t="s">
        <v>6636</v>
      </c>
      <c r="I513" s="343">
        <v>51.0</v>
      </c>
      <c r="J513" s="343">
        <f t="shared" si="2"/>
        <v>14285.61</v>
      </c>
      <c r="K513" s="344">
        <f t="shared" si="1"/>
        <v>14285.61</v>
      </c>
      <c r="L513" s="341"/>
      <c r="M513" s="341"/>
      <c r="N513" s="341"/>
      <c r="O513" s="341"/>
      <c r="P513" s="341"/>
      <c r="Q513" s="31"/>
      <c r="R513" s="31"/>
      <c r="S513" s="31"/>
      <c r="T513" s="31"/>
      <c r="U513" s="31"/>
      <c r="V513" s="31"/>
      <c r="W513" s="31"/>
      <c r="X513" s="31"/>
      <c r="Y513" s="31"/>
    </row>
    <row r="514" ht="15.75" customHeight="1">
      <c r="A514" s="342">
        <v>224.0</v>
      </c>
      <c r="B514" s="343" t="s">
        <v>7450</v>
      </c>
      <c r="C514" s="343" t="s">
        <v>7451</v>
      </c>
      <c r="D514" s="343" t="s">
        <v>75</v>
      </c>
      <c r="E514" s="343" t="s">
        <v>116</v>
      </c>
      <c r="F514" s="343">
        <v>5932.0</v>
      </c>
      <c r="G514" s="342">
        <v>6722.0</v>
      </c>
      <c r="H514" s="343" t="s">
        <v>6639</v>
      </c>
      <c r="I514" s="343">
        <v>53.0</v>
      </c>
      <c r="J514" s="343">
        <f t="shared" si="2"/>
        <v>3143.96</v>
      </c>
      <c r="K514" s="344">
        <f t="shared" si="1"/>
        <v>-3578.04</v>
      </c>
      <c r="L514" s="341"/>
      <c r="M514" s="341"/>
      <c r="N514" s="341"/>
      <c r="O514" s="341"/>
      <c r="P514" s="341"/>
      <c r="Q514" s="31"/>
      <c r="R514" s="31"/>
      <c r="S514" s="31"/>
      <c r="T514" s="31"/>
      <c r="U514" s="31"/>
      <c r="V514" s="31"/>
      <c r="W514" s="31"/>
      <c r="X514" s="31"/>
      <c r="Y514" s="31"/>
    </row>
    <row r="515" ht="15.75" customHeight="1">
      <c r="A515" s="342">
        <v>225.0</v>
      </c>
      <c r="B515" s="343" t="s">
        <v>7452</v>
      </c>
      <c r="C515" s="343" t="s">
        <v>7196</v>
      </c>
      <c r="D515" s="343" t="s">
        <v>1759</v>
      </c>
      <c r="E515" s="343" t="s">
        <v>1424</v>
      </c>
      <c r="F515" s="343">
        <v>6947.0</v>
      </c>
      <c r="G515" s="342">
        <v>8197.0</v>
      </c>
      <c r="H515" s="343" t="s">
        <v>6639</v>
      </c>
      <c r="I515" s="343">
        <v>55.0</v>
      </c>
      <c r="J515" s="343">
        <f t="shared" si="2"/>
        <v>3820.85</v>
      </c>
      <c r="K515" s="344">
        <f t="shared" si="1"/>
        <v>-4376.15</v>
      </c>
      <c r="L515" s="341"/>
      <c r="M515" s="341"/>
      <c r="N515" s="341"/>
      <c r="O515" s="341"/>
      <c r="P515" s="341"/>
      <c r="Q515" s="31"/>
      <c r="R515" s="31"/>
      <c r="S515" s="31"/>
      <c r="T515" s="31"/>
      <c r="U515" s="31"/>
      <c r="V515" s="31"/>
      <c r="W515" s="31"/>
      <c r="X515" s="31"/>
      <c r="Y515" s="31"/>
    </row>
    <row r="516" ht="15.75" customHeight="1">
      <c r="A516" s="342">
        <v>226.0</v>
      </c>
      <c r="B516" s="343" t="s">
        <v>7453</v>
      </c>
      <c r="C516" s="343" t="s">
        <v>7454</v>
      </c>
      <c r="D516" s="343" t="s">
        <v>1395</v>
      </c>
      <c r="E516" s="343" t="s">
        <v>116</v>
      </c>
      <c r="F516" s="343">
        <v>24409.0</v>
      </c>
      <c r="G516" s="342"/>
      <c r="H516" s="343" t="s">
        <v>6636</v>
      </c>
      <c r="I516" s="343">
        <v>51.0</v>
      </c>
      <c r="J516" s="343">
        <f t="shared" si="2"/>
        <v>12448.59</v>
      </c>
      <c r="K516" s="344">
        <f t="shared" si="1"/>
        <v>12448.59</v>
      </c>
      <c r="L516" s="341"/>
      <c r="M516" s="341"/>
      <c r="N516" s="341"/>
      <c r="O516" s="341"/>
      <c r="P516" s="341"/>
      <c r="Q516" s="31"/>
      <c r="R516" s="31"/>
      <c r="S516" s="31"/>
      <c r="T516" s="31"/>
      <c r="U516" s="31"/>
      <c r="V516" s="31"/>
      <c r="W516" s="31"/>
      <c r="X516" s="31"/>
      <c r="Y516" s="31"/>
    </row>
    <row r="517" ht="15.75" customHeight="1">
      <c r="A517" s="342">
        <v>227.0</v>
      </c>
      <c r="B517" s="343" t="s">
        <v>7455</v>
      </c>
      <c r="C517" s="343" t="s">
        <v>7456</v>
      </c>
      <c r="D517" s="343" t="s">
        <v>1395</v>
      </c>
      <c r="E517" s="343" t="s">
        <v>116</v>
      </c>
      <c r="F517" s="343">
        <v>27842.0</v>
      </c>
      <c r="G517" s="342"/>
      <c r="H517" s="343" t="s">
        <v>6636</v>
      </c>
      <c r="I517" s="343">
        <v>51.0</v>
      </c>
      <c r="J517" s="343">
        <f t="shared" si="2"/>
        <v>14199.42</v>
      </c>
      <c r="K517" s="344">
        <f t="shared" si="1"/>
        <v>14199.42</v>
      </c>
      <c r="L517" s="341"/>
      <c r="M517" s="341"/>
      <c r="N517" s="341"/>
      <c r="O517" s="341"/>
      <c r="P517" s="341"/>
      <c r="Q517" s="31"/>
      <c r="R517" s="31"/>
      <c r="S517" s="31"/>
      <c r="T517" s="31"/>
      <c r="U517" s="31"/>
      <c r="V517" s="31"/>
      <c r="W517" s="31"/>
      <c r="X517" s="31"/>
      <c r="Y517" s="31"/>
    </row>
    <row r="518" ht="15.75" customHeight="1">
      <c r="A518" s="342">
        <v>228.0</v>
      </c>
      <c r="B518" s="343" t="s">
        <v>7457</v>
      </c>
      <c r="C518" s="343" t="s">
        <v>6897</v>
      </c>
      <c r="D518" s="343" t="s">
        <v>7134</v>
      </c>
      <c r="E518" s="343" t="s">
        <v>65</v>
      </c>
      <c r="F518" s="343">
        <v>16149.0</v>
      </c>
      <c r="G518" s="342">
        <v>18093.0</v>
      </c>
      <c r="H518" s="343" t="s">
        <v>6639</v>
      </c>
      <c r="I518" s="343">
        <v>33.0</v>
      </c>
      <c r="J518" s="343">
        <f t="shared" si="2"/>
        <v>5329.17</v>
      </c>
      <c r="K518" s="344">
        <f t="shared" si="1"/>
        <v>-12763.83</v>
      </c>
      <c r="L518" s="341"/>
      <c r="M518" s="341"/>
      <c r="N518" s="341"/>
      <c r="O518" s="341"/>
      <c r="P518" s="341"/>
      <c r="Q518" s="31"/>
      <c r="R518" s="31"/>
      <c r="S518" s="31"/>
      <c r="T518" s="31"/>
      <c r="U518" s="31"/>
      <c r="V518" s="31"/>
      <c r="W518" s="31"/>
      <c r="X518" s="31"/>
      <c r="Y518" s="31"/>
    </row>
    <row r="519" ht="15.75" customHeight="1">
      <c r="A519" s="342">
        <v>229.0</v>
      </c>
      <c r="B519" s="343" t="s">
        <v>7458</v>
      </c>
      <c r="C519" s="343" t="s">
        <v>7093</v>
      </c>
      <c r="D519" s="343" t="s">
        <v>1395</v>
      </c>
      <c r="E519" s="343" t="s">
        <v>4916</v>
      </c>
      <c r="F519" s="343">
        <v>17730.0</v>
      </c>
      <c r="G519" s="342">
        <v>19959.0</v>
      </c>
      <c r="H519" s="343" t="s">
        <v>6639</v>
      </c>
      <c r="I519" s="343">
        <v>51.0</v>
      </c>
      <c r="J519" s="343">
        <f t="shared" si="2"/>
        <v>9042.3</v>
      </c>
      <c r="K519" s="344">
        <f t="shared" si="1"/>
        <v>-10916.7</v>
      </c>
      <c r="L519" s="341"/>
      <c r="M519" s="341"/>
      <c r="N519" s="341"/>
      <c r="O519" s="341"/>
      <c r="P519" s="341"/>
      <c r="Q519" s="31"/>
      <c r="R519" s="31"/>
      <c r="S519" s="31"/>
      <c r="T519" s="31"/>
      <c r="U519" s="31"/>
      <c r="V519" s="31"/>
      <c r="W519" s="31"/>
      <c r="X519" s="31"/>
      <c r="Y519" s="31"/>
    </row>
    <row r="520" ht="15.75" customHeight="1">
      <c r="A520" s="342">
        <v>230.0</v>
      </c>
      <c r="B520" s="343" t="s">
        <v>4719</v>
      </c>
      <c r="C520" s="343" t="s">
        <v>7459</v>
      </c>
      <c r="D520" s="343" t="s">
        <v>1395</v>
      </c>
      <c r="E520" s="343" t="s">
        <v>4916</v>
      </c>
      <c r="F520" s="343">
        <v>19938.0</v>
      </c>
      <c r="G520" s="342">
        <v>22564.0</v>
      </c>
      <c r="H520" s="343" t="s">
        <v>6639</v>
      </c>
      <c r="I520" s="343">
        <v>51.0</v>
      </c>
      <c r="J520" s="343">
        <f t="shared" si="2"/>
        <v>10168.38</v>
      </c>
      <c r="K520" s="344">
        <f t="shared" si="1"/>
        <v>-12395.62</v>
      </c>
      <c r="L520" s="341"/>
      <c r="M520" s="341"/>
      <c r="N520" s="341"/>
      <c r="O520" s="341"/>
      <c r="P520" s="341"/>
      <c r="Q520" s="31"/>
      <c r="R520" s="31"/>
      <c r="S520" s="31"/>
      <c r="T520" s="31"/>
      <c r="U520" s="31"/>
      <c r="V520" s="31"/>
      <c r="W520" s="31"/>
      <c r="X520" s="31"/>
      <c r="Y520" s="31"/>
    </row>
    <row r="521" ht="15.75" customHeight="1">
      <c r="A521" s="342">
        <v>231.0</v>
      </c>
      <c r="B521" s="343" t="s">
        <v>4643</v>
      </c>
      <c r="C521" s="343" t="s">
        <v>7460</v>
      </c>
      <c r="D521" s="343" t="s">
        <v>1395</v>
      </c>
      <c r="E521" s="343" t="s">
        <v>4916</v>
      </c>
      <c r="F521" s="343">
        <v>19544.0</v>
      </c>
      <c r="G521" s="342">
        <v>22096.0</v>
      </c>
      <c r="H521" s="343" t="s">
        <v>6639</v>
      </c>
      <c r="I521" s="343">
        <v>51.0</v>
      </c>
      <c r="J521" s="343">
        <f t="shared" si="2"/>
        <v>9967.44</v>
      </c>
      <c r="K521" s="344">
        <f t="shared" si="1"/>
        <v>-12128.56</v>
      </c>
      <c r="L521" s="341"/>
      <c r="M521" s="341"/>
      <c r="N521" s="341"/>
      <c r="O521" s="341"/>
      <c r="P521" s="341"/>
      <c r="Q521" s="31"/>
      <c r="R521" s="31"/>
      <c r="S521" s="31"/>
      <c r="T521" s="31"/>
      <c r="U521" s="31"/>
      <c r="V521" s="31"/>
      <c r="W521" s="31"/>
      <c r="X521" s="31"/>
      <c r="Y521" s="31"/>
    </row>
    <row r="522" ht="15.75" customHeight="1">
      <c r="A522" s="342">
        <v>232.0</v>
      </c>
      <c r="B522" s="343" t="s">
        <v>7461</v>
      </c>
      <c r="C522" s="343" t="s">
        <v>7462</v>
      </c>
      <c r="D522" s="343" t="s">
        <v>1759</v>
      </c>
      <c r="E522" s="343" t="s">
        <v>1424</v>
      </c>
      <c r="F522" s="343">
        <v>6811.0</v>
      </c>
      <c r="G522" s="342">
        <v>8037.0</v>
      </c>
      <c r="H522" s="343" t="s">
        <v>6639</v>
      </c>
      <c r="I522" s="343">
        <v>55.0</v>
      </c>
      <c r="J522" s="343">
        <f t="shared" si="2"/>
        <v>3746.05</v>
      </c>
      <c r="K522" s="344">
        <f t="shared" si="1"/>
        <v>-4290.95</v>
      </c>
      <c r="L522" s="341"/>
      <c r="M522" s="341"/>
      <c r="N522" s="341"/>
      <c r="O522" s="341"/>
      <c r="P522" s="341"/>
      <c r="Q522" s="31"/>
      <c r="R522" s="31"/>
      <c r="S522" s="31"/>
      <c r="T522" s="31"/>
      <c r="U522" s="31"/>
      <c r="V522" s="31"/>
      <c r="W522" s="31"/>
      <c r="X522" s="31"/>
      <c r="Y522" s="31"/>
    </row>
    <row r="523" ht="15.75" customHeight="1">
      <c r="A523" s="342">
        <v>233.0</v>
      </c>
      <c r="B523" s="343" t="s">
        <v>4627</v>
      </c>
      <c r="C523" s="343" t="s">
        <v>7463</v>
      </c>
      <c r="D523" s="343" t="s">
        <v>1395</v>
      </c>
      <c r="E523" s="343" t="s">
        <v>4916</v>
      </c>
      <c r="F523" s="343">
        <v>16970.0</v>
      </c>
      <c r="G523" s="342">
        <v>19061.0</v>
      </c>
      <c r="H523" s="343" t="s">
        <v>6639</v>
      </c>
      <c r="I523" s="343">
        <v>51.0</v>
      </c>
      <c r="J523" s="343">
        <f t="shared" si="2"/>
        <v>8654.7</v>
      </c>
      <c r="K523" s="344">
        <f t="shared" si="1"/>
        <v>-10406.3</v>
      </c>
      <c r="L523" s="341"/>
      <c r="M523" s="341"/>
      <c r="N523" s="341"/>
      <c r="O523" s="341"/>
      <c r="P523" s="341"/>
      <c r="Q523" s="31"/>
      <c r="R523" s="31"/>
      <c r="S523" s="31"/>
      <c r="T523" s="31"/>
      <c r="U523" s="31"/>
      <c r="V523" s="31"/>
      <c r="W523" s="31"/>
      <c r="X523" s="31"/>
      <c r="Y523" s="31"/>
    </row>
    <row r="524" ht="15.75" customHeight="1">
      <c r="A524" s="342">
        <v>234.0</v>
      </c>
      <c r="B524" s="343" t="s">
        <v>4725</v>
      </c>
      <c r="C524" s="343" t="s">
        <v>6871</v>
      </c>
      <c r="D524" s="343" t="s">
        <v>7134</v>
      </c>
      <c r="E524" s="343" t="s">
        <v>65</v>
      </c>
      <c r="F524" s="343">
        <v>44381.0</v>
      </c>
      <c r="G524" s="342"/>
      <c r="H524" s="343" t="s">
        <v>6636</v>
      </c>
      <c r="I524" s="343">
        <v>38.0</v>
      </c>
      <c r="J524" s="343">
        <f t="shared" si="2"/>
        <v>16864.78</v>
      </c>
      <c r="K524" s="344">
        <f t="shared" si="1"/>
        <v>16864.78</v>
      </c>
      <c r="L524" s="341"/>
      <c r="M524" s="341"/>
      <c r="N524" s="341"/>
      <c r="O524" s="341"/>
      <c r="P524" s="341"/>
      <c r="Q524" s="31"/>
      <c r="R524" s="31"/>
      <c r="S524" s="31"/>
      <c r="T524" s="31"/>
      <c r="U524" s="31"/>
      <c r="V524" s="31"/>
      <c r="W524" s="31"/>
      <c r="X524" s="31"/>
      <c r="Y524" s="31"/>
    </row>
    <row r="525" ht="15.75" customHeight="1">
      <c r="A525" s="342">
        <v>235.0</v>
      </c>
      <c r="B525" s="346" t="s">
        <v>7464</v>
      </c>
      <c r="C525" s="346" t="s">
        <v>7465</v>
      </c>
      <c r="D525" s="346" t="s">
        <v>1395</v>
      </c>
      <c r="E525" s="346" t="s">
        <v>116</v>
      </c>
      <c r="F525" s="347"/>
      <c r="G525" s="348"/>
      <c r="H525" s="346" t="s">
        <v>6636</v>
      </c>
      <c r="I525" s="347"/>
      <c r="J525" s="346">
        <v>11962.0</v>
      </c>
      <c r="K525" s="348">
        <f t="shared" si="1"/>
        <v>11962</v>
      </c>
      <c r="L525" s="349"/>
      <c r="M525" s="349"/>
      <c r="N525" s="349"/>
      <c r="O525" s="349"/>
      <c r="P525" s="349"/>
      <c r="Q525" s="350"/>
      <c r="R525" s="350"/>
      <c r="S525" s="350"/>
      <c r="T525" s="350"/>
      <c r="U525" s="350"/>
      <c r="V525" s="350"/>
      <c r="W525" s="350"/>
      <c r="X525" s="350"/>
      <c r="Y525" s="350"/>
    </row>
    <row r="526" ht="15.75" customHeight="1">
      <c r="A526" s="342">
        <v>236.0</v>
      </c>
      <c r="B526" s="343" t="s">
        <v>4622</v>
      </c>
      <c r="C526" s="343" t="s">
        <v>7466</v>
      </c>
      <c r="D526" s="343" t="s">
        <v>1395</v>
      </c>
      <c r="E526" s="343" t="s">
        <v>4916</v>
      </c>
      <c r="F526" s="343">
        <v>19780.0</v>
      </c>
      <c r="G526" s="342">
        <v>22374.0</v>
      </c>
      <c r="H526" s="343" t="s">
        <v>6639</v>
      </c>
      <c r="I526" s="343">
        <v>51.0</v>
      </c>
      <c r="J526" s="343">
        <f t="shared" ref="J526:J552" si="3">(F526*I526)/100</f>
        <v>10087.8</v>
      </c>
      <c r="K526" s="344">
        <f t="shared" si="1"/>
        <v>-12286.2</v>
      </c>
      <c r="L526" s="341"/>
      <c r="M526" s="341"/>
      <c r="N526" s="341"/>
      <c r="O526" s="341"/>
      <c r="P526" s="341"/>
      <c r="Q526" s="31"/>
      <c r="R526" s="31"/>
      <c r="S526" s="31"/>
      <c r="T526" s="31"/>
      <c r="U526" s="31"/>
      <c r="V526" s="31"/>
      <c r="W526" s="31"/>
      <c r="X526" s="31"/>
      <c r="Y526" s="31"/>
    </row>
    <row r="527" ht="15.75" customHeight="1">
      <c r="A527" s="342">
        <v>237.0</v>
      </c>
      <c r="B527" s="343" t="s">
        <v>7467</v>
      </c>
      <c r="C527" s="343" t="s">
        <v>7097</v>
      </c>
      <c r="D527" s="343" t="s">
        <v>1759</v>
      </c>
      <c r="E527" s="343" t="s">
        <v>1424</v>
      </c>
      <c r="F527" s="343">
        <v>6959.0</v>
      </c>
      <c r="G527" s="342">
        <v>8211.0</v>
      </c>
      <c r="H527" s="343" t="s">
        <v>6639</v>
      </c>
      <c r="I527" s="343">
        <v>55.0</v>
      </c>
      <c r="J527" s="343">
        <f t="shared" si="3"/>
        <v>3827.45</v>
      </c>
      <c r="K527" s="344">
        <f t="shared" si="1"/>
        <v>-4383.55</v>
      </c>
      <c r="L527" s="341"/>
      <c r="M527" s="341"/>
      <c r="N527" s="341"/>
      <c r="O527" s="341"/>
      <c r="P527" s="341"/>
      <c r="Q527" s="31"/>
      <c r="R527" s="31"/>
      <c r="S527" s="31"/>
      <c r="T527" s="31"/>
      <c r="U527" s="31"/>
      <c r="V527" s="31"/>
      <c r="W527" s="31"/>
      <c r="X527" s="31"/>
      <c r="Y527" s="31"/>
    </row>
    <row r="528" ht="15.75" customHeight="1">
      <c r="A528" s="342">
        <v>238.0</v>
      </c>
      <c r="B528" s="343" t="s">
        <v>7468</v>
      </c>
      <c r="C528" s="343" t="s">
        <v>7375</v>
      </c>
      <c r="D528" s="343" t="s">
        <v>1395</v>
      </c>
      <c r="E528" s="343" t="s">
        <v>1424</v>
      </c>
      <c r="F528" s="343">
        <v>20517.0</v>
      </c>
      <c r="G528" s="342">
        <v>23247.0</v>
      </c>
      <c r="H528" s="343" t="s">
        <v>6639</v>
      </c>
      <c r="I528" s="343">
        <v>53.0</v>
      </c>
      <c r="J528" s="343">
        <f t="shared" si="3"/>
        <v>10874.01</v>
      </c>
      <c r="K528" s="344">
        <f t="shared" si="1"/>
        <v>-12372.99</v>
      </c>
      <c r="L528" s="341"/>
      <c r="M528" s="341"/>
      <c r="N528" s="341"/>
      <c r="O528" s="341"/>
      <c r="P528" s="341"/>
      <c r="Q528" s="31"/>
      <c r="R528" s="31"/>
      <c r="S528" s="31"/>
      <c r="T528" s="31"/>
      <c r="U528" s="31"/>
      <c r="V528" s="31"/>
      <c r="W528" s="31"/>
      <c r="X528" s="31"/>
      <c r="Y528" s="31"/>
    </row>
    <row r="529" ht="15.75" customHeight="1">
      <c r="A529" s="342">
        <v>239.0</v>
      </c>
      <c r="B529" s="343" t="s">
        <v>7469</v>
      </c>
      <c r="C529" s="343" t="s">
        <v>7470</v>
      </c>
      <c r="D529" s="343" t="s">
        <v>1395</v>
      </c>
      <c r="E529" s="343" t="s">
        <v>4916</v>
      </c>
      <c r="F529" s="343">
        <v>17400.0</v>
      </c>
      <c r="G529" s="342">
        <v>19569.0</v>
      </c>
      <c r="H529" s="343" t="s">
        <v>6639</v>
      </c>
      <c r="I529" s="343">
        <v>51.0</v>
      </c>
      <c r="J529" s="343">
        <f t="shared" si="3"/>
        <v>8874</v>
      </c>
      <c r="K529" s="344">
        <f t="shared" si="1"/>
        <v>-10695</v>
      </c>
      <c r="L529" s="341"/>
      <c r="M529" s="341"/>
      <c r="N529" s="341"/>
      <c r="O529" s="341"/>
      <c r="P529" s="341"/>
      <c r="Q529" s="31"/>
      <c r="R529" s="31"/>
      <c r="S529" s="31"/>
      <c r="T529" s="31"/>
      <c r="U529" s="31"/>
      <c r="V529" s="31"/>
      <c r="W529" s="31"/>
      <c r="X529" s="31"/>
      <c r="Y529" s="31"/>
    </row>
    <row r="530" ht="15.75" customHeight="1">
      <c r="A530" s="342">
        <v>240.0</v>
      </c>
      <c r="B530" s="343" t="s">
        <v>7471</v>
      </c>
      <c r="C530" s="343" t="s">
        <v>7472</v>
      </c>
      <c r="D530" s="343" t="s">
        <v>7118</v>
      </c>
      <c r="E530" s="343" t="s">
        <v>4916</v>
      </c>
      <c r="F530" s="343">
        <v>3856.0</v>
      </c>
      <c r="G530" s="342">
        <v>4550.0</v>
      </c>
      <c r="H530" s="343" t="s">
        <v>6639</v>
      </c>
      <c r="I530" s="343">
        <v>32.0</v>
      </c>
      <c r="J530" s="343">
        <f t="shared" si="3"/>
        <v>1233.92</v>
      </c>
      <c r="K530" s="344">
        <f t="shared" si="1"/>
        <v>-3316.08</v>
      </c>
      <c r="L530" s="341"/>
      <c r="M530" s="341"/>
      <c r="N530" s="341"/>
      <c r="O530" s="341"/>
      <c r="P530" s="341"/>
      <c r="Q530" s="31"/>
      <c r="R530" s="31"/>
      <c r="S530" s="31"/>
      <c r="T530" s="31"/>
      <c r="U530" s="31"/>
      <c r="V530" s="31"/>
      <c r="W530" s="31"/>
      <c r="X530" s="31"/>
      <c r="Y530" s="31"/>
    </row>
    <row r="531" ht="15.75" customHeight="1">
      <c r="A531" s="342">
        <v>241.0</v>
      </c>
      <c r="B531" s="343" t="s">
        <v>7473</v>
      </c>
      <c r="C531" s="343" t="s">
        <v>6825</v>
      </c>
      <c r="D531" s="343" t="s">
        <v>1759</v>
      </c>
      <c r="E531" s="343" t="s">
        <v>1424</v>
      </c>
      <c r="F531" s="343">
        <v>7150.0</v>
      </c>
      <c r="G531" s="342">
        <v>8436.0</v>
      </c>
      <c r="H531" s="343" t="s">
        <v>6639</v>
      </c>
      <c r="I531" s="343">
        <v>55.0</v>
      </c>
      <c r="J531" s="343">
        <f t="shared" si="3"/>
        <v>3932.5</v>
      </c>
      <c r="K531" s="344">
        <f t="shared" si="1"/>
        <v>-4503.5</v>
      </c>
      <c r="L531" s="341"/>
      <c r="M531" s="341"/>
      <c r="N531" s="341"/>
      <c r="O531" s="341"/>
      <c r="P531" s="341"/>
      <c r="Q531" s="31"/>
      <c r="R531" s="31"/>
      <c r="S531" s="31"/>
      <c r="T531" s="31"/>
      <c r="U531" s="31"/>
      <c r="V531" s="31"/>
      <c r="W531" s="31"/>
      <c r="X531" s="31"/>
      <c r="Y531" s="31"/>
    </row>
    <row r="532" ht="15.75" customHeight="1">
      <c r="A532" s="342">
        <v>242.0</v>
      </c>
      <c r="B532" s="343" t="s">
        <v>7474</v>
      </c>
      <c r="C532" s="343" t="s">
        <v>7475</v>
      </c>
      <c r="D532" s="343" t="s">
        <v>1759</v>
      </c>
      <c r="E532" s="343" t="s">
        <v>1424</v>
      </c>
      <c r="F532" s="343">
        <v>6921.0</v>
      </c>
      <c r="G532" s="342">
        <v>8167.0</v>
      </c>
      <c r="H532" s="343" t="s">
        <v>6639</v>
      </c>
      <c r="I532" s="343">
        <v>55.0</v>
      </c>
      <c r="J532" s="343">
        <f t="shared" si="3"/>
        <v>3806.55</v>
      </c>
      <c r="K532" s="344">
        <f t="shared" si="1"/>
        <v>-4360.45</v>
      </c>
      <c r="L532" s="341"/>
      <c r="M532" s="341"/>
      <c r="N532" s="341"/>
      <c r="O532" s="341"/>
      <c r="P532" s="341"/>
      <c r="Q532" s="31"/>
      <c r="R532" s="31"/>
      <c r="S532" s="31"/>
      <c r="T532" s="31"/>
      <c r="U532" s="31"/>
      <c r="V532" s="31"/>
      <c r="W532" s="31"/>
      <c r="X532" s="31"/>
      <c r="Y532" s="31"/>
    </row>
    <row r="533" ht="15.75" customHeight="1">
      <c r="A533" s="342">
        <v>243.0</v>
      </c>
      <c r="B533" s="343" t="s">
        <v>7476</v>
      </c>
      <c r="C533" s="343" t="s">
        <v>6641</v>
      </c>
      <c r="D533" s="343" t="s">
        <v>7118</v>
      </c>
      <c r="E533" s="343" t="s">
        <v>4916</v>
      </c>
      <c r="F533" s="343">
        <v>3796.0</v>
      </c>
      <c r="G533" s="342"/>
      <c r="H533" s="343" t="s">
        <v>6636</v>
      </c>
      <c r="I533" s="343">
        <v>32.0</v>
      </c>
      <c r="J533" s="343">
        <f t="shared" si="3"/>
        <v>1214.72</v>
      </c>
      <c r="K533" s="344">
        <f t="shared" si="1"/>
        <v>1214.72</v>
      </c>
      <c r="L533" s="341"/>
      <c r="M533" s="341"/>
      <c r="N533" s="341"/>
      <c r="O533" s="341"/>
      <c r="P533" s="341"/>
      <c r="Q533" s="31"/>
      <c r="R533" s="31"/>
      <c r="S533" s="31"/>
      <c r="T533" s="31"/>
      <c r="U533" s="31"/>
      <c r="V533" s="31"/>
      <c r="W533" s="31"/>
      <c r="X533" s="31"/>
      <c r="Y533" s="31"/>
    </row>
    <row r="534" ht="15.75" customHeight="1">
      <c r="A534" s="342">
        <v>244.0</v>
      </c>
      <c r="B534" s="343" t="s">
        <v>7477</v>
      </c>
      <c r="C534" s="343" t="s">
        <v>7478</v>
      </c>
      <c r="D534" s="343" t="s">
        <v>7118</v>
      </c>
      <c r="E534" s="343" t="s">
        <v>4916</v>
      </c>
      <c r="F534" s="343">
        <v>2154.0</v>
      </c>
      <c r="G534" s="342"/>
      <c r="H534" s="343" t="s">
        <v>6636</v>
      </c>
      <c r="I534" s="343">
        <v>32.0</v>
      </c>
      <c r="J534" s="343">
        <f t="shared" si="3"/>
        <v>689.28</v>
      </c>
      <c r="K534" s="344">
        <f t="shared" si="1"/>
        <v>689.28</v>
      </c>
      <c r="L534" s="341"/>
      <c r="M534" s="341"/>
      <c r="N534" s="341"/>
      <c r="O534" s="341"/>
      <c r="P534" s="341"/>
      <c r="Q534" s="31"/>
      <c r="R534" s="31"/>
      <c r="S534" s="31"/>
      <c r="T534" s="31"/>
      <c r="U534" s="31"/>
      <c r="V534" s="31"/>
      <c r="W534" s="31"/>
      <c r="X534" s="31"/>
      <c r="Y534" s="31"/>
    </row>
    <row r="535" ht="15.75" customHeight="1">
      <c r="A535" s="342">
        <v>245.0</v>
      </c>
      <c r="B535" s="343" t="s">
        <v>7479</v>
      </c>
      <c r="C535" s="343" t="s">
        <v>7153</v>
      </c>
      <c r="D535" s="343" t="s">
        <v>1395</v>
      </c>
      <c r="E535" s="343" t="s">
        <v>668</v>
      </c>
      <c r="F535" s="343">
        <v>20903.0</v>
      </c>
      <c r="G535" s="342">
        <v>23703.0</v>
      </c>
      <c r="H535" s="343" t="s">
        <v>6639</v>
      </c>
      <c r="I535" s="343">
        <v>53.0</v>
      </c>
      <c r="J535" s="343">
        <f t="shared" si="3"/>
        <v>11078.59</v>
      </c>
      <c r="K535" s="344">
        <f t="shared" si="1"/>
        <v>-12624.41</v>
      </c>
      <c r="L535" s="341"/>
      <c r="M535" s="341"/>
      <c r="N535" s="341"/>
      <c r="O535" s="341"/>
      <c r="P535" s="341"/>
      <c r="Q535" s="31"/>
      <c r="R535" s="31"/>
      <c r="S535" s="31"/>
      <c r="T535" s="31"/>
      <c r="U535" s="31"/>
      <c r="V535" s="31"/>
      <c r="W535" s="31"/>
      <c r="X535" s="31"/>
      <c r="Y535" s="31"/>
    </row>
    <row r="536" ht="15.75" customHeight="1">
      <c r="A536" s="342">
        <v>246.0</v>
      </c>
      <c r="B536" s="343" t="s">
        <v>7480</v>
      </c>
      <c r="C536" s="343" t="s">
        <v>7481</v>
      </c>
      <c r="D536" s="343" t="s">
        <v>75</v>
      </c>
      <c r="E536" s="343" t="s">
        <v>668</v>
      </c>
      <c r="F536" s="343">
        <v>4846.0</v>
      </c>
      <c r="G536" s="342">
        <v>5450.0</v>
      </c>
      <c r="H536" s="343" t="s">
        <v>6639</v>
      </c>
      <c r="I536" s="343">
        <v>53.0</v>
      </c>
      <c r="J536" s="343">
        <f t="shared" si="3"/>
        <v>2568.38</v>
      </c>
      <c r="K536" s="344">
        <f t="shared" si="1"/>
        <v>-2881.62</v>
      </c>
      <c r="L536" s="341"/>
      <c r="M536" s="341"/>
      <c r="N536" s="341"/>
      <c r="O536" s="341"/>
      <c r="P536" s="341"/>
      <c r="Q536" s="31"/>
      <c r="R536" s="31"/>
      <c r="S536" s="31"/>
      <c r="T536" s="31"/>
      <c r="U536" s="31"/>
      <c r="V536" s="31"/>
      <c r="W536" s="31"/>
      <c r="X536" s="31"/>
      <c r="Y536" s="31"/>
    </row>
    <row r="537" ht="15.75" customHeight="1">
      <c r="A537" s="342">
        <v>247.0</v>
      </c>
      <c r="B537" s="343" t="s">
        <v>7482</v>
      </c>
      <c r="C537" s="343" t="s">
        <v>7483</v>
      </c>
      <c r="D537" s="343" t="s">
        <v>1395</v>
      </c>
      <c r="E537" s="343" t="s">
        <v>668</v>
      </c>
      <c r="F537" s="343">
        <v>19710.0</v>
      </c>
      <c r="G537" s="342">
        <v>22294.0</v>
      </c>
      <c r="H537" s="343" t="s">
        <v>6639</v>
      </c>
      <c r="I537" s="343">
        <v>53.0</v>
      </c>
      <c r="J537" s="343">
        <f t="shared" si="3"/>
        <v>10446.3</v>
      </c>
      <c r="K537" s="344">
        <f t="shared" si="1"/>
        <v>-11847.7</v>
      </c>
      <c r="L537" s="341"/>
      <c r="M537" s="341"/>
      <c r="N537" s="341"/>
      <c r="O537" s="341"/>
      <c r="P537" s="341"/>
      <c r="Q537" s="31"/>
      <c r="R537" s="31"/>
      <c r="S537" s="31"/>
      <c r="T537" s="31"/>
      <c r="U537" s="31"/>
      <c r="V537" s="31"/>
      <c r="W537" s="31"/>
      <c r="X537" s="31"/>
      <c r="Y537" s="31"/>
    </row>
    <row r="538" ht="15.75" customHeight="1">
      <c r="A538" s="342">
        <v>248.0</v>
      </c>
      <c r="B538" s="343" t="s">
        <v>7484</v>
      </c>
      <c r="C538" s="343" t="s">
        <v>7485</v>
      </c>
      <c r="D538" s="343" t="s">
        <v>7118</v>
      </c>
      <c r="E538" s="343" t="s">
        <v>668</v>
      </c>
      <c r="F538" s="343">
        <v>2144.0</v>
      </c>
      <c r="G538" s="342">
        <v>2530.0</v>
      </c>
      <c r="H538" s="343" t="s">
        <v>6639</v>
      </c>
      <c r="I538" s="343">
        <v>32.0</v>
      </c>
      <c r="J538" s="343">
        <f t="shared" si="3"/>
        <v>686.08</v>
      </c>
      <c r="K538" s="344">
        <f t="shared" si="1"/>
        <v>-1843.92</v>
      </c>
      <c r="L538" s="341"/>
      <c r="M538" s="341"/>
      <c r="N538" s="341"/>
      <c r="O538" s="341"/>
      <c r="P538" s="341"/>
      <c r="Q538" s="31"/>
      <c r="R538" s="31"/>
      <c r="S538" s="31"/>
      <c r="T538" s="31"/>
      <c r="U538" s="31"/>
      <c r="V538" s="31"/>
      <c r="W538" s="31"/>
      <c r="X538" s="31"/>
      <c r="Y538" s="31"/>
    </row>
    <row r="539" ht="15.75" customHeight="1">
      <c r="A539" s="342">
        <v>249.0</v>
      </c>
      <c r="B539" s="343" t="s">
        <v>7486</v>
      </c>
      <c r="C539" s="343" t="s">
        <v>1757</v>
      </c>
      <c r="D539" s="343" t="s">
        <v>75</v>
      </c>
      <c r="E539" s="343" t="s">
        <v>668</v>
      </c>
      <c r="F539" s="343">
        <v>4542.0</v>
      </c>
      <c r="G539" s="342">
        <v>5092.0</v>
      </c>
      <c r="H539" s="343" t="s">
        <v>6639</v>
      </c>
      <c r="I539" s="343">
        <v>53.0</v>
      </c>
      <c r="J539" s="343">
        <f t="shared" si="3"/>
        <v>2407.26</v>
      </c>
      <c r="K539" s="344">
        <f t="shared" si="1"/>
        <v>-2684.74</v>
      </c>
      <c r="L539" s="341"/>
      <c r="M539" s="341"/>
      <c r="N539" s="341"/>
      <c r="O539" s="341"/>
      <c r="P539" s="341"/>
      <c r="Q539" s="31"/>
      <c r="R539" s="31"/>
      <c r="S539" s="31"/>
      <c r="T539" s="31"/>
      <c r="U539" s="31"/>
      <c r="V539" s="31"/>
      <c r="W539" s="31"/>
      <c r="X539" s="31"/>
      <c r="Y539" s="31"/>
    </row>
    <row r="540" ht="15.75" customHeight="1">
      <c r="A540" s="342">
        <v>250.0</v>
      </c>
      <c r="B540" s="343" t="s">
        <v>7487</v>
      </c>
      <c r="C540" s="343" t="s">
        <v>7488</v>
      </c>
      <c r="D540" s="343" t="s">
        <v>75</v>
      </c>
      <c r="E540" s="343" t="s">
        <v>668</v>
      </c>
      <c r="F540" s="343">
        <v>5426.0</v>
      </c>
      <c r="G540" s="342">
        <v>6134.0</v>
      </c>
      <c r="H540" s="343" t="s">
        <v>6639</v>
      </c>
      <c r="I540" s="343">
        <v>53.0</v>
      </c>
      <c r="J540" s="343">
        <f t="shared" si="3"/>
        <v>2875.78</v>
      </c>
      <c r="K540" s="344">
        <f t="shared" si="1"/>
        <v>-3258.22</v>
      </c>
      <c r="L540" s="341"/>
      <c r="M540" s="341"/>
      <c r="N540" s="341"/>
      <c r="O540" s="341"/>
      <c r="P540" s="341"/>
      <c r="Q540" s="31"/>
      <c r="R540" s="31"/>
      <c r="S540" s="31"/>
      <c r="T540" s="31"/>
      <c r="U540" s="31"/>
      <c r="V540" s="31"/>
      <c r="W540" s="31"/>
      <c r="X540" s="31"/>
      <c r="Y540" s="31"/>
    </row>
    <row r="541" ht="15.75" customHeight="1">
      <c r="A541" s="342">
        <v>251.0</v>
      </c>
      <c r="B541" s="343" t="s">
        <v>7489</v>
      </c>
      <c r="C541" s="343" t="s">
        <v>7490</v>
      </c>
      <c r="D541" s="343" t="s">
        <v>1395</v>
      </c>
      <c r="E541" s="343" t="s">
        <v>668</v>
      </c>
      <c r="F541" s="343">
        <v>20361.0</v>
      </c>
      <c r="G541" s="342"/>
      <c r="H541" s="343" t="s">
        <v>6636</v>
      </c>
      <c r="I541" s="343">
        <v>53.0</v>
      </c>
      <c r="J541" s="343">
        <f t="shared" si="3"/>
        <v>10791.33</v>
      </c>
      <c r="K541" s="344">
        <f t="shared" si="1"/>
        <v>10791.33</v>
      </c>
      <c r="L541" s="341"/>
      <c r="M541" s="341"/>
      <c r="N541" s="341"/>
      <c r="O541" s="341"/>
      <c r="P541" s="341"/>
      <c r="Q541" s="31"/>
      <c r="R541" s="31"/>
      <c r="S541" s="31"/>
      <c r="T541" s="31"/>
      <c r="U541" s="31"/>
      <c r="V541" s="31"/>
      <c r="W541" s="31"/>
      <c r="X541" s="31"/>
      <c r="Y541" s="31"/>
    </row>
    <row r="542" ht="15.75" customHeight="1">
      <c r="A542" s="342">
        <v>252.0</v>
      </c>
      <c r="B542" s="343" t="s">
        <v>4803</v>
      </c>
      <c r="C542" s="343" t="s">
        <v>7231</v>
      </c>
      <c r="D542" s="343" t="s">
        <v>1395</v>
      </c>
      <c r="E542" s="343" t="s">
        <v>668</v>
      </c>
      <c r="F542" s="343">
        <v>20397.0</v>
      </c>
      <c r="G542" s="342"/>
      <c r="H542" s="343" t="s">
        <v>6636</v>
      </c>
      <c r="I542" s="343">
        <v>53.0</v>
      </c>
      <c r="J542" s="343">
        <f t="shared" si="3"/>
        <v>10810.41</v>
      </c>
      <c r="K542" s="344">
        <f t="shared" si="1"/>
        <v>10810.41</v>
      </c>
      <c r="L542" s="341"/>
      <c r="M542" s="341"/>
      <c r="N542" s="341"/>
      <c r="O542" s="341"/>
      <c r="P542" s="341"/>
      <c r="Q542" s="31"/>
      <c r="R542" s="31"/>
      <c r="S542" s="31"/>
      <c r="T542" s="31"/>
      <c r="U542" s="31"/>
      <c r="V542" s="31"/>
      <c r="W542" s="31"/>
      <c r="X542" s="31"/>
      <c r="Y542" s="31"/>
    </row>
    <row r="543" ht="15.75" customHeight="1">
      <c r="A543" s="342">
        <v>253.0</v>
      </c>
      <c r="B543" s="343" t="s">
        <v>7491</v>
      </c>
      <c r="C543" s="343" t="s">
        <v>7492</v>
      </c>
      <c r="D543" s="343" t="s">
        <v>7118</v>
      </c>
      <c r="E543" s="343" t="s">
        <v>668</v>
      </c>
      <c r="F543" s="343">
        <v>2519.0</v>
      </c>
      <c r="G543" s="342">
        <v>2973.0</v>
      </c>
      <c r="H543" s="343" t="s">
        <v>6639</v>
      </c>
      <c r="I543" s="343">
        <v>32.0</v>
      </c>
      <c r="J543" s="343">
        <f t="shared" si="3"/>
        <v>806.08</v>
      </c>
      <c r="K543" s="344">
        <f t="shared" si="1"/>
        <v>-2166.92</v>
      </c>
      <c r="L543" s="341"/>
      <c r="M543" s="341"/>
      <c r="N543" s="341"/>
      <c r="O543" s="341"/>
      <c r="P543" s="341"/>
      <c r="Q543" s="31"/>
      <c r="R543" s="31"/>
      <c r="S543" s="31"/>
      <c r="T543" s="31"/>
      <c r="U543" s="31"/>
      <c r="V543" s="31"/>
      <c r="W543" s="31"/>
      <c r="X543" s="31"/>
      <c r="Y543" s="31"/>
    </row>
    <row r="544" ht="15.75" customHeight="1">
      <c r="A544" s="342">
        <v>254.0</v>
      </c>
      <c r="B544" s="343" t="s">
        <v>7493</v>
      </c>
      <c r="C544" s="343" t="s">
        <v>7494</v>
      </c>
      <c r="D544" s="343" t="s">
        <v>7118</v>
      </c>
      <c r="E544" s="343" t="s">
        <v>668</v>
      </c>
      <c r="F544" s="343">
        <v>3416.0</v>
      </c>
      <c r="G544" s="342">
        <v>4030.0</v>
      </c>
      <c r="H544" s="343" t="s">
        <v>6639</v>
      </c>
      <c r="I544" s="343">
        <v>32.0</v>
      </c>
      <c r="J544" s="343">
        <f t="shared" si="3"/>
        <v>1093.12</v>
      </c>
      <c r="K544" s="344">
        <f t="shared" si="1"/>
        <v>-2936.88</v>
      </c>
      <c r="L544" s="341"/>
      <c r="M544" s="341"/>
      <c r="N544" s="341"/>
      <c r="O544" s="341"/>
      <c r="P544" s="341"/>
      <c r="Q544" s="31"/>
      <c r="R544" s="31"/>
      <c r="S544" s="31"/>
      <c r="T544" s="31"/>
      <c r="U544" s="31"/>
      <c r="V544" s="31"/>
      <c r="W544" s="31"/>
      <c r="X544" s="31"/>
      <c r="Y544" s="31"/>
    </row>
    <row r="545" ht="15.75" customHeight="1">
      <c r="A545" s="342">
        <v>255.0</v>
      </c>
      <c r="B545" s="343" t="s">
        <v>7495</v>
      </c>
      <c r="C545" s="343" t="s">
        <v>7097</v>
      </c>
      <c r="D545" s="343" t="s">
        <v>1395</v>
      </c>
      <c r="E545" s="343" t="s">
        <v>668</v>
      </c>
      <c r="F545" s="343">
        <v>19128.0</v>
      </c>
      <c r="G545" s="342">
        <v>21608.0</v>
      </c>
      <c r="H545" s="343" t="s">
        <v>6639</v>
      </c>
      <c r="I545" s="343">
        <v>53.0</v>
      </c>
      <c r="J545" s="343">
        <f t="shared" si="3"/>
        <v>10137.84</v>
      </c>
      <c r="K545" s="344">
        <f t="shared" si="1"/>
        <v>-11470.16</v>
      </c>
      <c r="L545" s="341"/>
      <c r="M545" s="341"/>
      <c r="N545" s="341"/>
      <c r="O545" s="341"/>
      <c r="P545" s="341"/>
      <c r="Q545" s="31"/>
      <c r="R545" s="31"/>
      <c r="S545" s="31"/>
      <c r="T545" s="31"/>
      <c r="U545" s="31"/>
      <c r="V545" s="31"/>
      <c r="W545" s="31"/>
      <c r="X545" s="31"/>
      <c r="Y545" s="31"/>
    </row>
    <row r="546" ht="15.75" customHeight="1">
      <c r="A546" s="342"/>
      <c r="B546" s="351"/>
      <c r="C546" s="351"/>
      <c r="D546" s="351"/>
      <c r="E546" s="351"/>
      <c r="F546" s="351"/>
      <c r="G546" s="342"/>
      <c r="H546" s="351"/>
      <c r="I546" s="351"/>
      <c r="J546" s="343">
        <f t="shared" si="3"/>
        <v>0</v>
      </c>
      <c r="K546" s="344">
        <f t="shared" si="1"/>
        <v>0</v>
      </c>
      <c r="L546" s="341"/>
      <c r="M546" s="341"/>
      <c r="N546" s="341"/>
      <c r="O546" s="341"/>
      <c r="P546" s="341"/>
      <c r="Q546" s="31"/>
      <c r="R546" s="31"/>
      <c r="S546" s="31"/>
      <c r="T546" s="31"/>
      <c r="U546" s="31"/>
      <c r="V546" s="31"/>
      <c r="W546" s="31"/>
      <c r="X546" s="31"/>
      <c r="Y546" s="31"/>
    </row>
    <row r="547" ht="15.75" customHeight="1">
      <c r="A547" s="342"/>
      <c r="B547" s="351"/>
      <c r="C547" s="351"/>
      <c r="D547" s="351"/>
      <c r="E547" s="351"/>
      <c r="F547" s="351"/>
      <c r="G547" s="342"/>
      <c r="H547" s="351"/>
      <c r="I547" s="351"/>
      <c r="J547" s="343">
        <f t="shared" si="3"/>
        <v>0</v>
      </c>
      <c r="K547" s="344">
        <f t="shared" si="1"/>
        <v>0</v>
      </c>
      <c r="L547" s="341"/>
      <c r="M547" s="341"/>
      <c r="N547" s="341"/>
      <c r="O547" s="341"/>
      <c r="P547" s="341"/>
      <c r="Q547" s="31"/>
      <c r="R547" s="31"/>
      <c r="S547" s="31"/>
      <c r="T547" s="31"/>
      <c r="U547" s="31"/>
      <c r="V547" s="31"/>
      <c r="W547" s="31"/>
      <c r="X547" s="31"/>
      <c r="Y547" s="31"/>
    </row>
    <row r="548" ht="15.75" customHeight="1">
      <c r="A548" s="342"/>
      <c r="B548" s="351"/>
      <c r="C548" s="351"/>
      <c r="D548" s="351"/>
      <c r="E548" s="351"/>
      <c r="F548" s="351"/>
      <c r="G548" s="342"/>
      <c r="H548" s="351"/>
      <c r="I548" s="351"/>
      <c r="J548" s="343">
        <f t="shared" si="3"/>
        <v>0</v>
      </c>
      <c r="K548" s="344">
        <f t="shared" si="1"/>
        <v>0</v>
      </c>
      <c r="L548" s="341"/>
      <c r="M548" s="341"/>
      <c r="N548" s="341"/>
      <c r="O548" s="341"/>
      <c r="P548" s="341"/>
      <c r="Q548" s="31"/>
      <c r="R548" s="31"/>
      <c r="S548" s="31"/>
      <c r="T548" s="31"/>
      <c r="U548" s="31"/>
      <c r="V548" s="31"/>
      <c r="W548" s="31"/>
      <c r="X548" s="31"/>
      <c r="Y548" s="31"/>
    </row>
    <row r="549" ht="15.75" customHeight="1">
      <c r="A549" s="342"/>
      <c r="B549" s="351"/>
      <c r="C549" s="351"/>
      <c r="D549" s="351"/>
      <c r="E549" s="351"/>
      <c r="F549" s="351"/>
      <c r="G549" s="342"/>
      <c r="H549" s="351"/>
      <c r="I549" s="351"/>
      <c r="J549" s="343">
        <f t="shared" si="3"/>
        <v>0</v>
      </c>
      <c r="K549" s="344">
        <f t="shared" si="1"/>
        <v>0</v>
      </c>
      <c r="L549" s="341"/>
      <c r="M549" s="341"/>
      <c r="N549" s="341"/>
      <c r="O549" s="341"/>
      <c r="P549" s="341"/>
      <c r="Q549" s="31"/>
      <c r="R549" s="31"/>
      <c r="S549" s="31"/>
      <c r="T549" s="31"/>
      <c r="U549" s="31"/>
      <c r="V549" s="31"/>
      <c r="W549" s="31"/>
      <c r="X549" s="31"/>
      <c r="Y549" s="31"/>
    </row>
    <row r="550" ht="15.75" customHeight="1">
      <c r="A550" s="342"/>
      <c r="B550" s="351"/>
      <c r="C550" s="351"/>
      <c r="D550" s="351"/>
      <c r="E550" s="351"/>
      <c r="F550" s="351"/>
      <c r="G550" s="342"/>
      <c r="H550" s="351"/>
      <c r="I550" s="351"/>
      <c r="J550" s="343">
        <f t="shared" si="3"/>
        <v>0</v>
      </c>
      <c r="K550" s="344">
        <f t="shared" si="1"/>
        <v>0</v>
      </c>
      <c r="L550" s="341"/>
      <c r="M550" s="341"/>
      <c r="N550" s="341"/>
      <c r="O550" s="341"/>
      <c r="P550" s="341"/>
      <c r="Q550" s="31"/>
      <c r="R550" s="31"/>
      <c r="S550" s="31"/>
      <c r="T550" s="31"/>
      <c r="U550" s="31"/>
      <c r="V550" s="31"/>
      <c r="W550" s="31"/>
      <c r="X550" s="31"/>
      <c r="Y550" s="31"/>
    </row>
    <row r="551" ht="15.75" customHeight="1">
      <c r="A551" s="342"/>
      <c r="B551" s="351"/>
      <c r="C551" s="351"/>
      <c r="D551" s="351"/>
      <c r="E551" s="351"/>
      <c r="F551" s="351"/>
      <c r="G551" s="342"/>
      <c r="H551" s="351"/>
      <c r="I551" s="351"/>
      <c r="J551" s="343">
        <f t="shared" si="3"/>
        <v>0</v>
      </c>
      <c r="K551" s="344">
        <f t="shared" si="1"/>
        <v>0</v>
      </c>
      <c r="L551" s="341"/>
      <c r="M551" s="341"/>
      <c r="N551" s="341"/>
      <c r="O551" s="341"/>
      <c r="P551" s="341"/>
      <c r="Q551" s="31"/>
      <c r="R551" s="31"/>
      <c r="S551" s="31"/>
      <c r="T551" s="31"/>
      <c r="U551" s="31"/>
      <c r="V551" s="31"/>
      <c r="W551" s="31"/>
      <c r="X551" s="31"/>
      <c r="Y551" s="31"/>
    </row>
    <row r="552" ht="15.75" customHeight="1">
      <c r="A552" s="342"/>
      <c r="B552" s="351"/>
      <c r="C552" s="351"/>
      <c r="D552" s="351"/>
      <c r="E552" s="351"/>
      <c r="F552" s="351"/>
      <c r="G552" s="342"/>
      <c r="H552" s="351"/>
      <c r="I552" s="351"/>
      <c r="J552" s="343">
        <f t="shared" si="3"/>
        <v>0</v>
      </c>
      <c r="K552" s="344">
        <f t="shared" si="1"/>
        <v>0</v>
      </c>
      <c r="L552" s="341"/>
      <c r="M552" s="341"/>
      <c r="N552" s="341"/>
      <c r="O552" s="341"/>
      <c r="P552" s="341"/>
      <c r="Q552" s="31"/>
      <c r="R552" s="31"/>
      <c r="S552" s="31"/>
      <c r="T552" s="31"/>
      <c r="U552" s="31"/>
      <c r="V552" s="31"/>
      <c r="W552" s="31"/>
      <c r="X552" s="31"/>
      <c r="Y552" s="31"/>
    </row>
    <row r="553" ht="15.75" customHeight="1">
      <c r="A553" s="342"/>
      <c r="B553" s="351"/>
      <c r="C553" s="351"/>
      <c r="D553" s="351"/>
      <c r="E553" s="351"/>
      <c r="F553" s="351"/>
      <c r="G553" s="345">
        <f>SUM(G291:G552)</f>
        <v>1903285</v>
      </c>
      <c r="H553" s="351"/>
      <c r="I553" s="351"/>
      <c r="J553" s="345">
        <f>SUM(J292:J552)</f>
        <v>1789946.18</v>
      </c>
      <c r="K553" s="344"/>
      <c r="L553" s="341"/>
      <c r="M553" s="341"/>
      <c r="N553" s="341"/>
      <c r="O553" s="341"/>
      <c r="P553" s="341"/>
      <c r="Q553" s="31"/>
      <c r="R553" s="31"/>
      <c r="S553" s="31"/>
      <c r="T553" s="31"/>
      <c r="U553" s="31"/>
      <c r="V553" s="31"/>
      <c r="W553" s="31"/>
      <c r="X553" s="31"/>
      <c r="Y553" s="31"/>
    </row>
    <row r="554" ht="15.75" customHeight="1">
      <c r="A554" s="342"/>
      <c r="B554" s="351"/>
      <c r="C554" s="351"/>
      <c r="D554" s="351"/>
      <c r="E554" s="351"/>
      <c r="F554" s="351"/>
      <c r="G554" s="351"/>
      <c r="H554" s="351"/>
      <c r="I554" s="351"/>
      <c r="J554" s="351"/>
      <c r="K554" s="351"/>
      <c r="L554" s="321"/>
      <c r="M554" s="321"/>
      <c r="N554" s="321"/>
      <c r="O554" s="321"/>
      <c r="P554" s="321"/>
      <c r="Q554" s="31"/>
      <c r="R554" s="31"/>
      <c r="S554" s="31"/>
      <c r="T554" s="31"/>
      <c r="U554" s="31"/>
      <c r="V554" s="31"/>
      <c r="W554" s="31"/>
      <c r="X554" s="31"/>
      <c r="Y554" s="31"/>
    </row>
    <row r="555" ht="15.75" customHeight="1">
      <c r="A555" s="342"/>
      <c r="B555" s="351"/>
      <c r="C555" s="351"/>
      <c r="D555" s="351"/>
      <c r="E555" s="351"/>
      <c r="F555" s="351"/>
      <c r="G555" s="351"/>
      <c r="H555" s="351"/>
      <c r="I555" s="345">
        <f>J553-G553</f>
        <v>-113338.82</v>
      </c>
      <c r="J555" s="351"/>
      <c r="K555" s="351"/>
      <c r="L555" s="321"/>
      <c r="M555" s="321"/>
      <c r="N555" s="321"/>
      <c r="O555" s="321"/>
      <c r="P555" s="321"/>
      <c r="Q555" s="31"/>
      <c r="R555" s="31"/>
      <c r="S555" s="31"/>
      <c r="T555" s="31"/>
      <c r="U555" s="31"/>
      <c r="V555" s="31"/>
      <c r="W555" s="31"/>
      <c r="X555" s="31"/>
      <c r="Y555" s="31"/>
    </row>
    <row r="556" ht="15.75" customHeight="1">
      <c r="A556" s="342"/>
      <c r="B556" s="352"/>
      <c r="C556" s="352"/>
      <c r="D556" s="352"/>
      <c r="E556" s="352"/>
      <c r="F556" s="352"/>
      <c r="G556" s="352"/>
      <c r="H556" s="352"/>
      <c r="I556" s="352"/>
      <c r="J556" s="352"/>
      <c r="K556" s="352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</row>
    <row r="557" ht="15.75" customHeight="1">
      <c r="A557" s="342"/>
      <c r="B557" s="352"/>
      <c r="C557" s="352"/>
      <c r="D557" s="352"/>
      <c r="E557" s="352"/>
      <c r="F557" s="352"/>
      <c r="G557" s="352"/>
      <c r="H557" s="352"/>
      <c r="I557" s="352"/>
      <c r="J557" s="352"/>
      <c r="K557" s="352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</row>
    <row r="558" ht="15.75" customHeight="1">
      <c r="A558" s="318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</row>
    <row r="1001" ht="15.7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</row>
    <row r="1002" ht="15.7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</row>
    <row r="1003" ht="15.7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</row>
    <row r="1004" ht="15.7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</row>
    <row r="1005" ht="15.75" customHeight="1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</row>
    <row r="1006" ht="15.75" customHeight="1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</row>
    <row r="1007" ht="15.75" customHeight="1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</row>
    <row r="1008" ht="15.75" customHeight="1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</row>
    <row r="1009" ht="15.75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</row>
    <row r="1010" ht="15.75" customHeight="1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</row>
    <row r="1011" ht="15.75" customHeight="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</row>
    <row r="1012" ht="15.75" customHeight="1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</row>
    <row r="1013" ht="15.75" customHeight="1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</row>
    <row r="1014" ht="15.75" customHeight="1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</row>
    <row r="1015" ht="15.75" customHeight="1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</row>
    <row r="1016" ht="15.75" customHeight="1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</row>
    <row r="1017" ht="15.75" customHeight="1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</row>
    <row r="1018" ht="15.75" customHeight="1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</row>
    <row r="1019" ht="15.75" customHeight="1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</row>
    <row r="1020" ht="15.75" customHeight="1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</row>
    <row r="1021" ht="15.75" customHeight="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</row>
    <row r="1022" ht="15.75" customHeight="1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</row>
    <row r="1023" ht="15.75" customHeight="1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</row>
    <row r="1024" ht="15.75" customHeight="1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</row>
    <row r="1025" ht="15.75" customHeight="1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</row>
    <row r="1026" ht="15.75" customHeight="1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</row>
    <row r="1027" ht="15.75" customHeight="1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</row>
    <row r="1028" ht="15.75" customHeight="1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</row>
    <row r="1029" ht="15.75" customHeight="1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</row>
    <row r="1030" ht="15.75" customHeight="1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</row>
    <row r="1031" ht="15.75" customHeight="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</row>
    <row r="1032" ht="15.75" customHeight="1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</row>
    <row r="1033" ht="15.75" customHeight="1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</row>
    <row r="1034" ht="15.75" customHeight="1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</row>
    <row r="1035" ht="15.75" customHeight="1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</row>
    <row r="1036" ht="15.75" customHeight="1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</row>
    <row r="1037" ht="15.75" customHeight="1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</row>
    <row r="1038" ht="15.75" customHeight="1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</row>
    <row r="1039" ht="15.75" customHeight="1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</row>
    <row r="1040" ht="15.75" customHeight="1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</row>
    <row r="1041" ht="15.75" customHeight="1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</row>
    <row r="1042" ht="15.75" customHeight="1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</row>
    <row r="1043" ht="15.75" customHeight="1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</row>
    <row r="1044" ht="15.75" customHeight="1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</row>
    <row r="1045" ht="15.75" customHeight="1">
      <c r="A1045" s="31"/>
      <c r="B1045" s="31"/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</row>
    <row r="1046" ht="15.75" customHeight="1">
      <c r="A1046" s="31"/>
      <c r="B1046" s="31"/>
      <c r="C1046" s="31"/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</row>
    <row r="1047" ht="15.75" customHeight="1">
      <c r="A1047" s="31"/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</row>
    <row r="1048" ht="15.75" customHeight="1">
      <c r="A1048" s="31"/>
      <c r="B1048" s="31"/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</row>
    <row r="1049" ht="15.75" customHeight="1">
      <c r="A1049" s="31"/>
      <c r="B1049" s="31"/>
      <c r="C1049" s="31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</row>
    <row r="1050" ht="15.75" customHeight="1">
      <c r="A1050" s="31"/>
      <c r="B1050" s="31"/>
      <c r="C1050" s="31"/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</row>
    <row r="1051" ht="15.75" customHeight="1">
      <c r="A1051" s="31"/>
      <c r="B1051" s="31"/>
      <c r="C1051" s="31"/>
      <c r="D1051" s="31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</row>
    <row r="1052" ht="15.75" customHeight="1">
      <c r="A1052" s="31"/>
      <c r="B1052" s="31"/>
      <c r="C1052" s="31"/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</row>
    <row r="1053" ht="15.75" customHeight="1">
      <c r="A1053" s="31"/>
      <c r="B1053" s="31"/>
      <c r="C1053" s="31"/>
      <c r="D1053" s="31"/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  <c r="Y1053" s="31"/>
    </row>
    <row r="1054" ht="15.75" customHeight="1">
      <c r="A1054" s="31"/>
      <c r="B1054" s="31"/>
      <c r="C1054" s="31"/>
      <c r="D1054" s="31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  <c r="Y1054" s="31"/>
    </row>
    <row r="1055" ht="15.75" customHeight="1">
      <c r="A1055" s="31"/>
      <c r="B1055" s="31"/>
      <c r="C1055" s="31"/>
      <c r="D1055" s="31"/>
      <c r="E1055" s="31"/>
      <c r="F1055" s="31"/>
      <c r="G1055" s="31"/>
      <c r="H1055" s="31"/>
      <c r="I1055" s="31"/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  <c r="Y1055" s="31"/>
    </row>
    <row r="1056" ht="15.75" customHeight="1">
      <c r="A1056" s="31"/>
      <c r="B1056" s="31"/>
      <c r="C1056" s="31"/>
      <c r="D1056" s="31"/>
      <c r="E1056" s="31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</row>
    <row r="1057" ht="15.75" customHeight="1">
      <c r="A1057" s="31"/>
      <c r="B1057" s="31"/>
      <c r="C1057" s="31"/>
      <c r="D1057" s="31"/>
      <c r="E1057" s="31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</row>
    <row r="1058" ht="15.75" customHeight="1">
      <c r="A1058" s="31"/>
      <c r="B1058" s="31"/>
      <c r="C1058" s="31"/>
      <c r="D1058" s="31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</row>
    <row r="1059" ht="15.75" customHeight="1">
      <c r="A1059" s="31"/>
      <c r="B1059" s="31"/>
      <c r="C1059" s="31"/>
      <c r="D1059" s="31"/>
      <c r="E1059" s="31"/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</row>
    <row r="1060" ht="15.75" customHeight="1">
      <c r="A1060" s="31"/>
      <c r="B1060" s="31"/>
      <c r="C1060" s="31"/>
      <c r="D1060" s="31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</row>
    <row r="1061" ht="15.75" customHeight="1">
      <c r="A1061" s="31"/>
      <c r="B1061" s="31"/>
      <c r="C1061" s="31"/>
      <c r="D1061" s="31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</row>
    <row r="1062" ht="15.75" customHeight="1">
      <c r="A1062" s="31"/>
      <c r="B1062" s="31"/>
      <c r="C1062" s="31"/>
      <c r="D1062" s="31"/>
      <c r="E1062" s="31"/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</row>
    <row r="1063" ht="15.75" customHeight="1">
      <c r="A1063" s="31"/>
      <c r="B1063" s="31"/>
      <c r="C1063" s="31"/>
      <c r="D1063" s="31"/>
      <c r="E1063" s="31"/>
      <c r="F1063" s="31"/>
      <c r="G1063" s="31"/>
      <c r="H1063" s="31"/>
      <c r="I1063" s="31"/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</row>
    <row r="1064" ht="15.75" customHeight="1">
      <c r="A1064" s="31"/>
      <c r="B1064" s="31"/>
      <c r="C1064" s="31"/>
      <c r="D1064" s="31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</row>
    <row r="1065" ht="15.75" customHeight="1">
      <c r="A1065" s="31"/>
      <c r="B1065" s="31"/>
      <c r="C1065" s="31"/>
      <c r="D1065" s="31"/>
      <c r="E1065" s="31"/>
      <c r="F1065" s="31"/>
      <c r="G1065" s="31"/>
      <c r="H1065" s="31"/>
      <c r="I1065" s="31"/>
      <c r="J1065" s="31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</row>
    <row r="1066" ht="15.75" customHeight="1">
      <c r="A1066" s="31"/>
      <c r="B1066" s="31"/>
      <c r="C1066" s="31"/>
      <c r="D1066" s="31"/>
      <c r="E1066" s="31"/>
      <c r="F1066" s="31"/>
      <c r="G1066" s="31"/>
      <c r="H1066" s="31"/>
      <c r="I1066" s="31"/>
      <c r="J1066" s="3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</row>
    <row r="1067" ht="15.75" customHeight="1">
      <c r="A1067" s="31"/>
      <c r="B1067" s="31"/>
      <c r="C1067" s="31"/>
      <c r="D1067" s="31"/>
      <c r="E1067" s="31"/>
      <c r="F1067" s="31"/>
      <c r="G1067" s="31"/>
      <c r="H1067" s="31"/>
      <c r="I1067" s="31"/>
      <c r="J1067" s="3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</row>
    <row r="1068" ht="15.75" customHeight="1">
      <c r="A1068" s="31"/>
      <c r="B1068" s="31"/>
      <c r="C1068" s="31"/>
      <c r="D1068" s="31"/>
      <c r="E1068" s="31"/>
      <c r="F1068" s="31"/>
      <c r="G1068" s="31"/>
      <c r="H1068" s="31"/>
      <c r="I1068" s="31"/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</row>
    <row r="1069" ht="15.75" customHeight="1">
      <c r="A1069" s="31"/>
      <c r="B1069" s="31"/>
      <c r="C1069" s="31"/>
      <c r="D1069" s="31"/>
      <c r="E1069" s="31"/>
      <c r="F1069" s="31"/>
      <c r="G1069" s="31"/>
      <c r="H1069" s="31"/>
      <c r="I1069" s="31"/>
      <c r="J1069" s="31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</row>
    <row r="1070" ht="15.75" customHeight="1">
      <c r="A1070" s="31"/>
      <c r="B1070" s="31"/>
      <c r="C1070" s="31"/>
      <c r="D1070" s="31"/>
      <c r="E1070" s="31"/>
      <c r="F1070" s="31"/>
      <c r="G1070" s="31"/>
      <c r="H1070" s="31"/>
      <c r="I1070" s="31"/>
      <c r="J1070" s="3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</row>
    <row r="1071" ht="15.75" customHeight="1">
      <c r="A1071" s="31"/>
      <c r="B1071" s="31"/>
      <c r="C1071" s="31"/>
      <c r="D1071" s="31"/>
      <c r="E1071" s="31"/>
      <c r="F1071" s="31"/>
      <c r="G1071" s="31"/>
      <c r="H1071" s="31"/>
      <c r="I1071" s="31"/>
      <c r="J1071" s="31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</row>
    <row r="1072" ht="15.75" customHeight="1">
      <c r="A1072" s="31"/>
      <c r="B1072" s="31"/>
      <c r="C1072" s="31"/>
      <c r="D1072" s="31"/>
      <c r="E1072" s="31"/>
      <c r="F1072" s="31"/>
      <c r="G1072" s="31"/>
      <c r="H1072" s="31"/>
      <c r="I1072" s="31"/>
      <c r="J1072" s="31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</row>
    <row r="1073" ht="15.75" customHeight="1">
      <c r="A1073" s="31"/>
      <c r="B1073" s="31"/>
      <c r="C1073" s="31"/>
      <c r="D1073" s="31"/>
      <c r="E1073" s="31"/>
      <c r="F1073" s="31"/>
      <c r="G1073" s="31"/>
      <c r="H1073" s="31"/>
      <c r="I1073" s="31"/>
      <c r="J1073" s="31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</row>
    <row r="1074" ht="15.75" customHeight="1">
      <c r="A1074" s="31"/>
      <c r="B1074" s="31"/>
      <c r="C1074" s="31"/>
      <c r="D1074" s="31"/>
      <c r="E1074" s="31"/>
      <c r="F1074" s="31"/>
      <c r="G1074" s="31"/>
      <c r="H1074" s="31"/>
      <c r="I1074" s="31"/>
      <c r="J1074" s="31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</row>
    <row r="1075" ht="15.75" customHeight="1">
      <c r="A1075" s="31"/>
      <c r="B1075" s="31"/>
      <c r="C1075" s="31"/>
      <c r="D1075" s="31"/>
      <c r="E1075" s="31"/>
      <c r="F1075" s="31"/>
      <c r="G1075" s="31"/>
      <c r="H1075" s="31"/>
      <c r="I1075" s="31"/>
      <c r="J1075" s="31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</row>
    <row r="1076" ht="15.75" customHeight="1">
      <c r="A1076" s="31"/>
      <c r="B1076" s="31"/>
      <c r="C1076" s="31"/>
      <c r="D1076" s="31"/>
      <c r="E1076" s="31"/>
      <c r="F1076" s="31"/>
      <c r="G1076" s="31"/>
      <c r="H1076" s="31"/>
      <c r="I1076" s="31"/>
      <c r="J1076" s="31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</row>
    <row r="1077" ht="15.75" customHeight="1">
      <c r="A1077" s="31"/>
      <c r="B1077" s="31"/>
      <c r="C1077" s="31"/>
      <c r="D1077" s="31"/>
      <c r="E1077" s="31"/>
      <c r="F1077" s="31"/>
      <c r="G1077" s="31"/>
      <c r="H1077" s="31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</row>
    <row r="1078" ht="15.75" customHeight="1">
      <c r="A1078" s="31"/>
      <c r="B1078" s="31"/>
      <c r="C1078" s="31"/>
      <c r="D1078" s="31"/>
      <c r="E1078" s="31"/>
      <c r="F1078" s="31"/>
      <c r="G1078" s="31"/>
      <c r="H1078" s="31"/>
      <c r="I1078" s="31"/>
      <c r="J1078" s="31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</row>
    <row r="1079" ht="15.75" customHeight="1">
      <c r="A1079" s="31"/>
      <c r="B1079" s="31"/>
      <c r="C1079" s="31"/>
      <c r="D1079" s="31"/>
      <c r="E1079" s="31"/>
      <c r="F1079" s="31"/>
      <c r="G1079" s="31"/>
      <c r="H1079" s="31"/>
      <c r="I1079" s="31"/>
      <c r="J1079" s="31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</row>
    <row r="1080" ht="15.75" customHeight="1">
      <c r="A1080" s="31"/>
      <c r="B1080" s="31"/>
      <c r="C1080" s="31"/>
      <c r="D1080" s="31"/>
      <c r="E1080" s="31"/>
      <c r="F1080" s="31"/>
      <c r="G1080" s="31"/>
      <c r="H1080" s="31"/>
      <c r="I1080" s="31"/>
      <c r="J1080" s="31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</row>
    <row r="1081" ht="15.75" customHeight="1">
      <c r="A1081" s="31"/>
      <c r="B1081" s="31"/>
      <c r="C1081" s="31"/>
      <c r="D1081" s="31"/>
      <c r="E1081" s="31"/>
      <c r="F1081" s="31"/>
      <c r="G1081" s="31"/>
      <c r="H1081" s="31"/>
      <c r="I1081" s="31"/>
      <c r="J1081" s="31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</row>
    <row r="1082" ht="15.75" customHeight="1">
      <c r="A1082" s="31"/>
      <c r="B1082" s="31"/>
      <c r="C1082" s="31"/>
      <c r="D1082" s="31"/>
      <c r="E1082" s="31"/>
      <c r="F1082" s="31"/>
      <c r="G1082" s="31"/>
      <c r="H1082" s="31"/>
      <c r="I1082" s="31"/>
      <c r="J1082" s="31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</row>
    <row r="1083" ht="15.75" customHeight="1">
      <c r="A1083" s="31"/>
      <c r="B1083" s="31"/>
      <c r="C1083" s="31"/>
      <c r="D1083" s="31"/>
      <c r="E1083" s="31"/>
      <c r="F1083" s="31"/>
      <c r="G1083" s="31"/>
      <c r="H1083" s="31"/>
      <c r="I1083" s="31"/>
      <c r="J1083" s="31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</row>
    <row r="1084" ht="15.75" customHeight="1">
      <c r="A1084" s="31"/>
      <c r="B1084" s="31"/>
      <c r="C1084" s="31"/>
      <c r="D1084" s="31"/>
      <c r="E1084" s="31"/>
      <c r="F1084" s="31"/>
      <c r="G1084" s="31"/>
      <c r="H1084" s="31"/>
      <c r="I1084" s="31"/>
      <c r="J1084" s="31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</row>
    <row r="1085" ht="15.75" customHeight="1">
      <c r="A1085" s="31"/>
      <c r="B1085" s="31"/>
      <c r="C1085" s="31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</row>
    <row r="1086" ht="15.75" customHeight="1">
      <c r="A1086" s="31"/>
      <c r="B1086" s="31"/>
      <c r="C1086" s="31"/>
      <c r="D1086" s="31"/>
      <c r="E1086" s="31"/>
      <c r="F1086" s="31"/>
      <c r="G1086" s="31"/>
      <c r="H1086" s="31"/>
      <c r="I1086" s="31"/>
      <c r="J1086" s="31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</row>
    <row r="1087" ht="15.75" customHeight="1">
      <c r="A1087" s="31"/>
      <c r="B1087" s="31"/>
      <c r="C1087" s="31"/>
      <c r="D1087" s="31"/>
      <c r="E1087" s="31"/>
      <c r="F1087" s="31"/>
      <c r="G1087" s="31"/>
      <c r="H1087" s="31"/>
      <c r="I1087" s="31"/>
      <c r="J1087" s="31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</row>
    <row r="1088" ht="15.75" customHeight="1">
      <c r="A1088" s="31"/>
      <c r="B1088" s="31"/>
      <c r="C1088" s="31"/>
      <c r="D1088" s="31"/>
      <c r="E1088" s="31"/>
      <c r="F1088" s="31"/>
      <c r="G1088" s="31"/>
      <c r="H1088" s="31"/>
      <c r="I1088" s="31"/>
      <c r="J1088" s="31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</row>
    <row r="1089" ht="15.75" customHeight="1">
      <c r="A1089" s="31"/>
      <c r="B1089" s="31"/>
      <c r="C1089" s="31"/>
      <c r="D1089" s="31"/>
      <c r="E1089" s="31"/>
      <c r="F1089" s="31"/>
      <c r="G1089" s="31"/>
      <c r="H1089" s="31"/>
      <c r="I1089" s="31"/>
      <c r="J1089" s="31"/>
      <c r="K1089" s="31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</row>
    <row r="1090" ht="15.75" customHeight="1">
      <c r="A1090" s="31"/>
      <c r="B1090" s="31"/>
      <c r="C1090" s="31"/>
      <c r="D1090" s="31"/>
      <c r="E1090" s="31"/>
      <c r="F1090" s="31"/>
      <c r="G1090" s="31"/>
      <c r="H1090" s="31"/>
      <c r="I1090" s="31"/>
      <c r="J1090" s="31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</row>
    <row r="1091" ht="15.75" customHeight="1">
      <c r="A1091" s="31"/>
      <c r="B1091" s="31"/>
      <c r="C1091" s="31"/>
      <c r="D1091" s="31"/>
      <c r="E1091" s="31"/>
      <c r="F1091" s="31"/>
      <c r="G1091" s="31"/>
      <c r="H1091" s="31"/>
      <c r="I1091" s="31"/>
      <c r="J1091" s="31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</row>
    <row r="1092" ht="15.75" customHeight="1">
      <c r="A1092" s="31"/>
      <c r="B1092" s="31"/>
      <c r="C1092" s="31"/>
      <c r="D1092" s="31"/>
      <c r="E1092" s="31"/>
      <c r="F1092" s="31"/>
      <c r="G1092" s="31"/>
      <c r="H1092" s="31"/>
      <c r="I1092" s="31"/>
      <c r="J1092" s="31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</row>
    <row r="1093" ht="15.75" customHeight="1">
      <c r="A1093" s="31"/>
      <c r="B1093" s="31"/>
      <c r="C1093" s="31"/>
      <c r="D1093" s="31"/>
      <c r="E1093" s="31"/>
      <c r="F1093" s="31"/>
      <c r="G1093" s="31"/>
      <c r="H1093" s="31"/>
      <c r="I1093" s="31"/>
      <c r="J1093" s="31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</row>
    <row r="1094" ht="15.75" customHeight="1">
      <c r="A1094" s="31"/>
      <c r="B1094" s="31"/>
      <c r="C1094" s="31"/>
      <c r="D1094" s="31"/>
      <c r="E1094" s="31"/>
      <c r="F1094" s="31"/>
      <c r="G1094" s="31"/>
      <c r="H1094" s="31"/>
      <c r="I1094" s="31"/>
      <c r="J1094" s="31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</row>
    <row r="1095" ht="15.75" customHeight="1">
      <c r="A1095" s="31"/>
      <c r="B1095" s="31"/>
      <c r="C1095" s="31"/>
      <c r="D1095" s="31"/>
      <c r="E1095" s="31"/>
      <c r="F1095" s="31"/>
      <c r="G1095" s="31"/>
      <c r="H1095" s="31"/>
      <c r="I1095" s="31"/>
      <c r="J1095" s="31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</row>
    <row r="1096" ht="15.75" customHeight="1">
      <c r="A1096" s="31"/>
      <c r="B1096" s="31"/>
      <c r="C1096" s="31"/>
      <c r="D1096" s="31"/>
      <c r="E1096" s="31"/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</row>
    <row r="1097" ht="15.75" customHeight="1">
      <c r="A1097" s="31"/>
      <c r="B1097" s="31"/>
      <c r="C1097" s="31"/>
      <c r="D1097" s="31"/>
      <c r="E1097" s="31"/>
      <c r="F1097" s="31"/>
      <c r="G1097" s="31"/>
      <c r="H1097" s="31"/>
      <c r="I1097" s="31"/>
      <c r="J1097" s="31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</row>
    <row r="1098" ht="15.75" customHeight="1">
      <c r="A1098" s="31"/>
      <c r="B1098" s="31"/>
      <c r="C1098" s="31"/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</row>
    <row r="1099" ht="15.75" customHeight="1">
      <c r="A1099" s="31"/>
      <c r="B1099" s="31"/>
      <c r="C1099" s="31"/>
      <c r="D1099" s="31"/>
      <c r="E1099" s="31"/>
      <c r="F1099" s="31"/>
      <c r="G1099" s="31"/>
      <c r="H1099" s="31"/>
      <c r="I1099" s="31"/>
      <c r="J1099" s="31"/>
      <c r="K1099" s="31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  <c r="Y1099" s="31"/>
    </row>
    <row r="1100" ht="15.75" customHeight="1">
      <c r="A1100" s="31"/>
      <c r="B1100" s="31"/>
      <c r="C1100" s="31"/>
      <c r="D1100" s="31"/>
      <c r="E1100" s="31"/>
      <c r="F1100" s="31"/>
      <c r="G1100" s="31"/>
      <c r="H1100" s="31"/>
      <c r="I1100" s="31"/>
      <c r="J1100" s="31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  <c r="Y1100" s="31"/>
    </row>
    <row r="1101" ht="15.75" customHeight="1">
      <c r="A1101" s="31"/>
      <c r="B1101" s="31"/>
      <c r="C1101" s="31"/>
      <c r="D1101" s="31"/>
      <c r="E1101" s="31"/>
      <c r="F1101" s="31"/>
      <c r="G1101" s="31"/>
      <c r="H1101" s="31"/>
      <c r="I1101" s="31"/>
      <c r="J1101" s="31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  <c r="Y1101" s="31"/>
    </row>
    <row r="1102" ht="15.75" customHeight="1">
      <c r="A1102" s="31"/>
      <c r="B1102" s="31"/>
      <c r="C1102" s="31"/>
      <c r="D1102" s="31"/>
      <c r="E1102" s="31"/>
      <c r="F1102" s="31"/>
      <c r="G1102" s="31"/>
      <c r="H1102" s="31"/>
      <c r="I1102" s="31"/>
      <c r="J1102" s="31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  <c r="Y1102" s="31"/>
    </row>
    <row r="1103" ht="15.75" customHeight="1">
      <c r="A1103" s="31"/>
      <c r="B1103" s="31"/>
      <c r="C1103" s="31"/>
      <c r="D1103" s="31"/>
      <c r="E1103" s="31"/>
      <c r="F1103" s="31"/>
      <c r="G1103" s="31"/>
      <c r="H1103" s="31"/>
      <c r="I1103" s="31"/>
      <c r="J1103" s="31"/>
      <c r="K1103" s="31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  <c r="Y1103" s="31"/>
    </row>
    <row r="1104" ht="15.75" customHeight="1">
      <c r="A1104" s="31"/>
      <c r="B1104" s="31"/>
      <c r="C1104" s="31"/>
      <c r="D1104" s="31"/>
      <c r="E1104" s="31"/>
      <c r="F1104" s="31"/>
      <c r="G1104" s="31"/>
      <c r="H1104" s="31"/>
      <c r="I1104" s="31"/>
      <c r="J1104" s="31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  <c r="Y1104" s="31"/>
    </row>
    <row r="1105" ht="15.75" customHeight="1">
      <c r="A1105" s="31"/>
      <c r="B1105" s="31"/>
      <c r="C1105" s="31"/>
      <c r="D1105" s="31"/>
      <c r="E1105" s="31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  <c r="Y1105" s="31"/>
    </row>
    <row r="1106" ht="15.75" customHeight="1">
      <c r="A1106" s="31"/>
      <c r="B1106" s="31"/>
      <c r="C1106" s="31"/>
      <c r="D1106" s="31"/>
      <c r="E1106" s="31"/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  <c r="Y1106" s="31"/>
    </row>
    <row r="1107" ht="15.75" customHeight="1">
      <c r="A1107" s="31"/>
      <c r="B1107" s="31"/>
      <c r="C1107" s="31"/>
      <c r="D1107" s="31"/>
      <c r="E1107" s="31"/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  <c r="Y1107" s="31"/>
    </row>
    <row r="1108" ht="15.75" customHeight="1">
      <c r="A1108" s="31"/>
      <c r="B1108" s="31"/>
      <c r="C1108" s="31"/>
      <c r="D1108" s="31"/>
      <c r="E1108" s="31"/>
      <c r="F1108" s="31"/>
      <c r="G1108" s="31"/>
      <c r="H1108" s="31"/>
      <c r="I1108" s="31"/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  <c r="Y1108" s="31"/>
    </row>
    <row r="1109" ht="15.75" customHeight="1">
      <c r="A1109" s="31"/>
      <c r="B1109" s="31"/>
      <c r="C1109" s="31"/>
      <c r="D1109" s="31"/>
      <c r="E1109" s="31"/>
      <c r="F1109" s="31"/>
      <c r="G1109" s="31"/>
      <c r="H1109" s="31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  <c r="Y1109" s="31"/>
    </row>
    <row r="1110" ht="15.75" customHeight="1">
      <c r="A1110" s="31"/>
      <c r="B1110" s="31"/>
      <c r="C1110" s="31"/>
      <c r="D1110" s="31"/>
      <c r="E1110" s="31"/>
      <c r="F1110" s="31"/>
      <c r="G1110" s="31"/>
      <c r="H1110" s="31"/>
      <c r="I1110" s="31"/>
      <c r="J1110" s="31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  <c r="Y1110" s="31"/>
    </row>
    <row r="1111" ht="15.75" customHeight="1">
      <c r="A1111" s="31"/>
      <c r="B1111" s="31"/>
      <c r="C1111" s="31"/>
      <c r="D1111" s="31"/>
      <c r="E1111" s="31"/>
      <c r="F1111" s="31"/>
      <c r="G1111" s="31"/>
      <c r="H1111" s="31"/>
      <c r="I1111" s="31"/>
      <c r="J1111" s="31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  <c r="Y1111" s="31"/>
    </row>
    <row r="1112" ht="15.75" customHeight="1">
      <c r="A1112" s="31"/>
      <c r="B1112" s="31"/>
      <c r="C1112" s="31"/>
      <c r="D1112" s="31"/>
      <c r="E1112" s="31"/>
      <c r="F1112" s="31"/>
      <c r="G1112" s="31"/>
      <c r="H1112" s="31"/>
      <c r="I1112" s="31"/>
      <c r="J1112" s="31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  <c r="Y1112" s="31"/>
    </row>
    <row r="1113" ht="15.75" customHeight="1">
      <c r="A1113" s="31"/>
      <c r="B1113" s="31"/>
      <c r="C1113" s="31"/>
      <c r="D1113" s="31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  <c r="Y1113" s="31"/>
    </row>
    <row r="1114" ht="15.75" customHeight="1">
      <c r="A1114" s="31"/>
      <c r="B1114" s="31"/>
      <c r="C1114" s="31"/>
      <c r="D1114" s="31"/>
      <c r="E1114" s="31"/>
      <c r="F1114" s="31"/>
      <c r="G1114" s="31"/>
      <c r="H1114" s="31"/>
      <c r="I1114" s="31"/>
      <c r="J1114" s="31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  <c r="Y1114" s="31"/>
    </row>
    <row r="1115" ht="15.75" customHeight="1">
      <c r="A1115" s="31"/>
      <c r="B1115" s="31"/>
      <c r="C1115" s="31"/>
      <c r="D1115" s="31"/>
      <c r="E1115" s="31"/>
      <c r="F1115" s="31"/>
      <c r="G1115" s="31"/>
      <c r="H1115" s="31"/>
      <c r="I1115" s="31"/>
      <c r="J1115" s="31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  <c r="Y1115" s="31"/>
    </row>
    <row r="1116" ht="15.75" customHeight="1">
      <c r="A1116" s="31"/>
      <c r="B1116" s="31"/>
      <c r="C1116" s="31"/>
      <c r="D1116" s="31"/>
      <c r="E1116" s="31"/>
      <c r="F1116" s="31"/>
      <c r="G1116" s="31"/>
      <c r="H1116" s="31"/>
      <c r="I1116" s="31"/>
      <c r="J1116" s="31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  <c r="Y1116" s="31"/>
    </row>
    <row r="1117" ht="15.75" customHeight="1">
      <c r="A1117" s="31"/>
      <c r="B1117" s="31"/>
      <c r="C1117" s="31"/>
      <c r="D1117" s="31"/>
      <c r="E1117" s="31"/>
      <c r="F1117" s="31"/>
      <c r="G1117" s="31"/>
      <c r="H1117" s="31"/>
      <c r="I1117" s="31"/>
      <c r="J1117" s="31"/>
      <c r="K1117" s="31"/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  <c r="Y1117" s="31"/>
    </row>
    <row r="1118" ht="15.75" customHeight="1">
      <c r="A1118" s="31"/>
      <c r="B1118" s="31"/>
      <c r="C1118" s="31"/>
      <c r="D1118" s="31"/>
      <c r="E1118" s="31"/>
      <c r="F1118" s="31"/>
      <c r="G1118" s="31"/>
      <c r="H1118" s="31"/>
      <c r="I1118" s="31"/>
      <c r="J1118" s="31"/>
      <c r="K1118" s="31"/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  <c r="Y1118" s="31"/>
    </row>
    <row r="1119" ht="15.75" customHeight="1">
      <c r="A1119" s="31"/>
      <c r="B1119" s="31"/>
      <c r="C1119" s="31"/>
      <c r="D1119" s="31"/>
      <c r="E1119" s="31"/>
      <c r="F1119" s="31"/>
      <c r="G1119" s="31"/>
      <c r="H1119" s="31"/>
      <c r="I1119" s="31"/>
      <c r="J1119" s="31"/>
      <c r="K1119" s="31"/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  <c r="Y1119" s="31"/>
    </row>
    <row r="1120" ht="15.75" customHeight="1">
      <c r="A1120" s="31"/>
      <c r="B1120" s="31"/>
      <c r="C1120" s="31"/>
      <c r="D1120" s="31"/>
      <c r="E1120" s="31"/>
      <c r="F1120" s="31"/>
      <c r="G1120" s="31"/>
      <c r="H1120" s="31"/>
      <c r="I1120" s="31"/>
      <c r="J1120" s="31"/>
      <c r="K1120" s="31"/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</row>
    <row r="1121" ht="15.75" customHeight="1">
      <c r="A1121" s="31"/>
      <c r="B1121" s="31"/>
      <c r="C1121" s="31"/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  <c r="Y1121" s="31"/>
    </row>
    <row r="1122" ht="15.75" customHeight="1">
      <c r="A1122" s="31"/>
      <c r="B1122" s="31"/>
      <c r="C1122" s="31"/>
      <c r="D1122" s="31"/>
      <c r="E1122" s="31"/>
      <c r="F1122" s="31"/>
      <c r="G1122" s="31"/>
      <c r="H1122" s="31"/>
      <c r="I1122" s="31"/>
      <c r="J1122" s="31"/>
      <c r="K1122" s="31"/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  <c r="Y1122" s="31"/>
    </row>
    <row r="1123" ht="15.75" customHeight="1">
      <c r="A1123" s="31"/>
      <c r="B1123" s="31"/>
      <c r="C1123" s="31"/>
      <c r="D1123" s="31"/>
      <c r="E1123" s="31"/>
      <c r="F1123" s="31"/>
      <c r="G1123" s="31"/>
      <c r="H1123" s="31"/>
      <c r="I1123" s="31"/>
      <c r="J1123" s="31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  <c r="Y1123" s="31"/>
    </row>
    <row r="1124" ht="15.75" customHeight="1">
      <c r="A1124" s="31"/>
      <c r="B1124" s="31"/>
      <c r="C1124" s="31"/>
      <c r="D1124" s="31"/>
      <c r="E1124" s="31"/>
      <c r="F1124" s="31"/>
      <c r="G1124" s="31"/>
      <c r="H1124" s="31"/>
      <c r="I1124" s="31"/>
      <c r="J1124" s="31"/>
      <c r="K1124" s="31"/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  <c r="Y1124" s="31"/>
    </row>
    <row r="1125" ht="15.75" customHeight="1">
      <c r="A1125" s="31"/>
      <c r="B1125" s="31"/>
      <c r="C1125" s="31"/>
      <c r="D1125" s="31"/>
      <c r="E1125" s="31"/>
      <c r="F1125" s="31"/>
      <c r="G1125" s="31"/>
      <c r="H1125" s="31"/>
      <c r="I1125" s="31"/>
      <c r="J1125" s="31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  <c r="Y1125" s="31"/>
    </row>
    <row r="1126" ht="15.75" customHeight="1">
      <c r="A1126" s="31"/>
      <c r="B1126" s="31"/>
      <c r="C1126" s="31"/>
      <c r="D1126" s="31"/>
      <c r="E1126" s="31"/>
      <c r="F1126" s="31"/>
      <c r="G1126" s="31"/>
      <c r="H1126" s="31"/>
      <c r="I1126" s="31"/>
      <c r="J1126" s="31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  <c r="Y1126" s="31"/>
    </row>
    <row r="1127" ht="15.75" customHeight="1">
      <c r="A1127" s="31"/>
      <c r="B1127" s="31"/>
      <c r="C1127" s="31"/>
      <c r="D1127" s="31"/>
      <c r="E1127" s="31"/>
      <c r="F1127" s="31"/>
      <c r="G1127" s="31"/>
      <c r="H1127" s="31"/>
      <c r="I1127" s="31"/>
      <c r="J1127" s="31"/>
      <c r="K1127" s="31"/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  <c r="Y1127" s="31"/>
    </row>
    <row r="1128" ht="15.75" customHeight="1">
      <c r="A1128" s="31"/>
      <c r="B1128" s="31"/>
      <c r="C1128" s="31"/>
      <c r="D1128" s="31"/>
      <c r="E1128" s="31"/>
      <c r="F1128" s="31"/>
      <c r="G1128" s="31"/>
      <c r="H1128" s="31"/>
      <c r="I1128" s="31"/>
      <c r="J1128" s="31"/>
      <c r="K1128" s="31"/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  <c r="Y1128" s="31"/>
    </row>
    <row r="1129" ht="15.75" customHeight="1">
      <c r="A1129" s="31"/>
      <c r="B1129" s="31"/>
      <c r="C1129" s="31"/>
      <c r="D1129" s="31"/>
      <c r="E1129" s="31"/>
      <c r="F1129" s="31"/>
      <c r="G1129" s="31"/>
      <c r="H1129" s="31"/>
      <c r="I1129" s="31"/>
      <c r="J1129" s="31"/>
      <c r="K1129" s="31"/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  <c r="Y1129" s="31"/>
    </row>
    <row r="1130" ht="15.75" customHeight="1">
      <c r="A1130" s="31"/>
      <c r="B1130" s="31"/>
      <c r="C1130" s="31"/>
      <c r="D1130" s="31"/>
      <c r="E1130" s="31"/>
      <c r="F1130" s="31"/>
      <c r="G1130" s="31"/>
      <c r="H1130" s="31"/>
      <c r="I1130" s="31"/>
      <c r="J1130" s="31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22.33"/>
    <col customWidth="1" min="3" max="3" width="24.89"/>
    <col customWidth="1" min="4" max="4" width="37.11"/>
    <col customWidth="1" min="5" max="5" width="29.33"/>
    <col customWidth="1" min="6" max="6" width="20.0"/>
    <col customWidth="1" min="7" max="7" width="21.0"/>
    <col customWidth="1" min="8" max="8" width="23.67"/>
    <col customWidth="1" min="9" max="9" width="13.78"/>
    <col customWidth="1" min="10" max="10" width="10.56"/>
    <col customWidth="1" min="11" max="11" width="16.44"/>
    <col customWidth="1" min="12" max="24" width="10.56"/>
  </cols>
  <sheetData>
    <row r="1" ht="15.75" customHeight="1">
      <c r="A1" s="353" t="s">
        <v>6629</v>
      </c>
      <c r="B1" s="354" t="s">
        <v>1</v>
      </c>
      <c r="C1" s="354" t="s">
        <v>3</v>
      </c>
      <c r="D1" s="354"/>
      <c r="E1" s="354" t="s">
        <v>10</v>
      </c>
      <c r="F1" s="354" t="s">
        <v>14</v>
      </c>
      <c r="G1" s="354" t="s">
        <v>15</v>
      </c>
      <c r="H1" s="354" t="s">
        <v>16</v>
      </c>
      <c r="I1" s="354" t="s">
        <v>17</v>
      </c>
      <c r="J1" s="354" t="s">
        <v>6631</v>
      </c>
      <c r="K1" s="355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</row>
    <row r="2" ht="15.75" customHeight="1">
      <c r="A2" s="356">
        <v>1.0</v>
      </c>
      <c r="B2" s="357" t="s">
        <v>7496</v>
      </c>
      <c r="C2" s="357" t="s">
        <v>21</v>
      </c>
      <c r="D2" s="357"/>
      <c r="E2" s="357" t="s">
        <v>116</v>
      </c>
      <c r="F2" s="356">
        <v>18895.0</v>
      </c>
      <c r="G2" s="358"/>
      <c r="H2" s="356">
        <v>33.0</v>
      </c>
      <c r="I2" s="356">
        <v>6235.35</v>
      </c>
      <c r="J2" s="357" t="s">
        <v>6636</v>
      </c>
      <c r="K2" s="359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ht="15.75" customHeight="1">
      <c r="A3" s="356">
        <v>2.0</v>
      </c>
      <c r="B3" s="357" t="s">
        <v>3456</v>
      </c>
      <c r="C3" s="357" t="s">
        <v>21</v>
      </c>
      <c r="D3" s="357"/>
      <c r="E3" s="357" t="s">
        <v>116</v>
      </c>
      <c r="F3" s="356">
        <v>17149.0</v>
      </c>
      <c r="G3" s="358"/>
      <c r="H3" s="356">
        <v>33.0</v>
      </c>
      <c r="I3" s="356">
        <v>5659.17</v>
      </c>
      <c r="J3" s="357" t="s">
        <v>6636</v>
      </c>
      <c r="K3" s="359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ht="15.75" customHeight="1">
      <c r="A4" s="356">
        <v>3.0</v>
      </c>
      <c r="B4" s="357" t="s">
        <v>7497</v>
      </c>
      <c r="C4" s="357" t="s">
        <v>1395</v>
      </c>
      <c r="D4" s="357"/>
      <c r="E4" s="357" t="s">
        <v>116</v>
      </c>
      <c r="F4" s="356">
        <v>26103.0</v>
      </c>
      <c r="G4" s="358"/>
      <c r="H4" s="356">
        <v>47.5</v>
      </c>
      <c r="I4" s="356">
        <v>12398.925</v>
      </c>
      <c r="J4" s="357" t="s">
        <v>6636</v>
      </c>
      <c r="K4" s="359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ht="15.75" customHeight="1">
      <c r="A5" s="356">
        <v>4.0</v>
      </c>
      <c r="B5" s="357" t="s">
        <v>7498</v>
      </c>
      <c r="C5" s="357" t="s">
        <v>1395</v>
      </c>
      <c r="D5" s="357"/>
      <c r="E5" s="357" t="s">
        <v>116</v>
      </c>
      <c r="F5" s="356">
        <v>25753.0</v>
      </c>
      <c r="G5" s="358"/>
      <c r="H5" s="356">
        <v>47.5</v>
      </c>
      <c r="I5" s="356">
        <v>12232.675</v>
      </c>
      <c r="J5" s="357" t="s">
        <v>6636</v>
      </c>
      <c r="K5" s="359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 ht="15.75" customHeight="1">
      <c r="A6" s="356">
        <v>5.0</v>
      </c>
      <c r="B6" s="357" t="s">
        <v>7499</v>
      </c>
      <c r="C6" s="357" t="s">
        <v>7118</v>
      </c>
      <c r="D6" s="357"/>
      <c r="E6" s="357" t="s">
        <v>668</v>
      </c>
      <c r="F6" s="356">
        <v>7947.0</v>
      </c>
      <c r="G6" s="358"/>
      <c r="H6" s="356">
        <v>30.0</v>
      </c>
      <c r="I6" s="356">
        <v>2384.1</v>
      </c>
      <c r="J6" s="357" t="s">
        <v>6636</v>
      </c>
      <c r="K6" s="359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ht="15.75" customHeight="1">
      <c r="A7" s="360"/>
      <c r="B7" s="360"/>
      <c r="C7" s="360"/>
      <c r="D7" s="360"/>
      <c r="E7" s="360"/>
      <c r="F7" s="360"/>
      <c r="G7" s="360"/>
      <c r="H7" s="360"/>
      <c r="I7" s="361"/>
      <c r="J7" s="361"/>
      <c r="K7" s="362" t="s">
        <v>7500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ht="15.75" customHeight="1">
      <c r="A8" s="318">
        <v>1.0</v>
      </c>
      <c r="B8" s="363" t="s">
        <v>7501</v>
      </c>
      <c r="C8" s="364"/>
      <c r="D8" s="364"/>
      <c r="E8" s="364"/>
      <c r="F8" s="364"/>
      <c r="G8" s="365">
        <v>14439.0</v>
      </c>
      <c r="H8" s="364"/>
      <c r="I8" s="365">
        <v>1420.0</v>
      </c>
      <c r="J8" s="366"/>
      <c r="K8" s="359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ht="15.75" customHeight="1">
      <c r="A9" s="367">
        <v>2.0</v>
      </c>
      <c r="B9" s="368" t="s">
        <v>7502</v>
      </c>
      <c r="C9" s="368" t="s">
        <v>1395</v>
      </c>
      <c r="D9" s="368"/>
      <c r="E9" s="368" t="s">
        <v>116</v>
      </c>
      <c r="F9" s="369">
        <v>17374.0</v>
      </c>
      <c r="G9" s="370"/>
      <c r="H9" s="369">
        <v>47.5</v>
      </c>
      <c r="I9" s="369">
        <v>8252.65</v>
      </c>
      <c r="J9" s="368" t="s">
        <v>6636</v>
      </c>
      <c r="K9" s="359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</row>
    <row r="10" ht="15.75" customHeight="1">
      <c r="A10" s="367">
        <v>3.0</v>
      </c>
      <c r="B10" s="368" t="s">
        <v>7503</v>
      </c>
      <c r="C10" s="368" t="s">
        <v>1395</v>
      </c>
      <c r="D10" s="368"/>
      <c r="E10" s="368" t="s">
        <v>116</v>
      </c>
      <c r="F10" s="369">
        <v>17344.0</v>
      </c>
      <c r="G10" s="370"/>
      <c r="H10" s="369">
        <v>47.5</v>
      </c>
      <c r="I10" s="369">
        <v>8238.4</v>
      </c>
      <c r="J10" s="368" t="s">
        <v>6636</v>
      </c>
      <c r="K10" s="359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 ht="15.75" customHeight="1">
      <c r="A11" s="367">
        <v>4.0</v>
      </c>
      <c r="B11" s="371" t="s">
        <v>7504</v>
      </c>
      <c r="C11" s="371" t="s">
        <v>1395</v>
      </c>
      <c r="D11" s="371"/>
      <c r="E11" s="371" t="s">
        <v>116</v>
      </c>
      <c r="F11" s="372">
        <v>16891.0</v>
      </c>
      <c r="G11" s="373"/>
      <c r="H11" s="372">
        <v>50.0</v>
      </c>
      <c r="I11" s="372">
        <v>8445.5</v>
      </c>
      <c r="J11" s="371" t="s">
        <v>6636</v>
      </c>
      <c r="K11" s="36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ht="15.75" customHeight="1">
      <c r="A12" s="367">
        <v>5.0</v>
      </c>
      <c r="B12" s="371" t="s">
        <v>7505</v>
      </c>
      <c r="C12" s="371" t="s">
        <v>1395</v>
      </c>
      <c r="D12" s="371"/>
      <c r="E12" s="371" t="s">
        <v>116</v>
      </c>
      <c r="F12" s="372">
        <v>25759.0</v>
      </c>
      <c r="G12" s="373"/>
      <c r="H12" s="372">
        <v>50.0</v>
      </c>
      <c r="I12" s="372">
        <v>12879.5</v>
      </c>
      <c r="J12" s="371" t="s">
        <v>6636</v>
      </c>
      <c r="K12" s="36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 ht="15.75" customHeight="1">
      <c r="A13" s="367">
        <v>6.0</v>
      </c>
      <c r="B13" s="371" t="s">
        <v>7506</v>
      </c>
      <c r="C13" s="371" t="s">
        <v>21</v>
      </c>
      <c r="D13" s="371"/>
      <c r="E13" s="371" t="s">
        <v>116</v>
      </c>
      <c r="F13" s="372">
        <v>51138.0</v>
      </c>
      <c r="G13" s="372">
        <v>57700.0</v>
      </c>
      <c r="H13" s="372">
        <v>15.0</v>
      </c>
      <c r="I13" s="372">
        <v>7670.7</v>
      </c>
      <c r="J13" s="371" t="s">
        <v>7507</v>
      </c>
      <c r="K13" s="36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ht="15.75" customHeight="1">
      <c r="A14" s="367">
        <v>7.0</v>
      </c>
      <c r="B14" s="371" t="s">
        <v>7508</v>
      </c>
      <c r="C14" s="371" t="s">
        <v>1395</v>
      </c>
      <c r="D14" s="371"/>
      <c r="E14" s="371" t="s">
        <v>116</v>
      </c>
      <c r="F14" s="372">
        <v>25435.0</v>
      </c>
      <c r="G14" s="373"/>
      <c r="H14" s="372">
        <v>50.0</v>
      </c>
      <c r="I14" s="372">
        <v>12717.5</v>
      </c>
      <c r="J14" s="371" t="s">
        <v>6636</v>
      </c>
      <c r="K14" s="36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ht="15.75" customHeight="1">
      <c r="A15" s="367">
        <v>8.0</v>
      </c>
      <c r="B15" s="371" t="s">
        <v>7509</v>
      </c>
      <c r="C15" s="371" t="s">
        <v>1395</v>
      </c>
      <c r="D15" s="371"/>
      <c r="E15" s="371" t="s">
        <v>116</v>
      </c>
      <c r="F15" s="372">
        <v>18697.0</v>
      </c>
      <c r="G15" s="373"/>
      <c r="H15" s="372">
        <v>50.0</v>
      </c>
      <c r="I15" s="372">
        <v>9348.5</v>
      </c>
      <c r="J15" s="371" t="s">
        <v>6636</v>
      </c>
      <c r="K15" s="36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ht="15.75" customHeight="1">
      <c r="A16" s="367">
        <v>9.0</v>
      </c>
      <c r="B16" s="371" t="s">
        <v>7510</v>
      </c>
      <c r="C16" s="371" t="s">
        <v>7118</v>
      </c>
      <c r="D16" s="371"/>
      <c r="E16" s="371" t="s">
        <v>668</v>
      </c>
      <c r="F16" s="372">
        <v>3416.0</v>
      </c>
      <c r="G16" s="373"/>
      <c r="H16" s="372">
        <v>33.0</v>
      </c>
      <c r="I16" s="372">
        <v>1127.28</v>
      </c>
      <c r="J16" s="371" t="s">
        <v>6636</v>
      </c>
      <c r="K16" s="36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 ht="15.75" customHeight="1">
      <c r="A17" s="367">
        <v>10.0</v>
      </c>
      <c r="B17" s="371" t="s">
        <v>7511</v>
      </c>
      <c r="C17" s="371" t="s">
        <v>7118</v>
      </c>
      <c r="D17" s="371"/>
      <c r="E17" s="371" t="s">
        <v>668</v>
      </c>
      <c r="F17" s="372">
        <v>3416.0</v>
      </c>
      <c r="G17" s="373"/>
      <c r="H17" s="372">
        <v>20.0</v>
      </c>
      <c r="I17" s="372">
        <v>683.2</v>
      </c>
      <c r="J17" s="371" t="s">
        <v>6636</v>
      </c>
      <c r="K17" s="36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ht="15.75" customHeight="1">
      <c r="A18" s="367">
        <v>11.0</v>
      </c>
      <c r="B18" s="371" t="s">
        <v>7512</v>
      </c>
      <c r="C18" s="371" t="s">
        <v>7134</v>
      </c>
      <c r="D18" s="371"/>
      <c r="E18" s="371" t="s">
        <v>668</v>
      </c>
      <c r="F18" s="372">
        <v>35363.0</v>
      </c>
      <c r="G18" s="373"/>
      <c r="H18" s="372">
        <v>36.0</v>
      </c>
      <c r="I18" s="372">
        <v>12730.68</v>
      </c>
      <c r="J18" s="371" t="s">
        <v>6636</v>
      </c>
      <c r="K18" s="36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ht="15.75" customHeight="1">
      <c r="A19" s="367">
        <v>12.0</v>
      </c>
      <c r="B19" s="371" t="s">
        <v>3746</v>
      </c>
      <c r="C19" s="371" t="s">
        <v>1395</v>
      </c>
      <c r="D19" s="371"/>
      <c r="E19" s="371" t="s">
        <v>116</v>
      </c>
      <c r="F19" s="372">
        <v>18005.0</v>
      </c>
      <c r="G19" s="372">
        <v>20277.0</v>
      </c>
      <c r="H19" s="372">
        <v>50.0</v>
      </c>
      <c r="I19" s="372">
        <v>9002.5</v>
      </c>
      <c r="J19" s="371" t="s">
        <v>7507</v>
      </c>
      <c r="K19" s="36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 ht="15.75" customHeight="1">
      <c r="A20" s="367">
        <v>13.0</v>
      </c>
      <c r="B20" s="371" t="s">
        <v>7513</v>
      </c>
      <c r="C20" s="371" t="s">
        <v>1395</v>
      </c>
      <c r="D20" s="371"/>
      <c r="E20" s="371" t="s">
        <v>116</v>
      </c>
      <c r="F20" s="372">
        <v>30215.0</v>
      </c>
      <c r="G20" s="372">
        <v>34685.0</v>
      </c>
      <c r="H20" s="372">
        <v>50.0</v>
      </c>
      <c r="I20" s="372">
        <v>15107.5</v>
      </c>
      <c r="J20" s="371" t="s">
        <v>7507</v>
      </c>
      <c r="K20" s="36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ht="15.75" customHeight="1">
      <c r="A21" s="367">
        <v>14.0</v>
      </c>
      <c r="B21" s="371" t="s">
        <v>7514</v>
      </c>
      <c r="C21" s="371" t="s">
        <v>21</v>
      </c>
      <c r="D21" s="371"/>
      <c r="E21" s="371" t="s">
        <v>116</v>
      </c>
      <c r="F21" s="372">
        <v>17661.0</v>
      </c>
      <c r="G21" s="373"/>
      <c r="H21" s="372">
        <v>35.0</v>
      </c>
      <c r="I21" s="372">
        <v>6181.35</v>
      </c>
      <c r="J21" s="371" t="s">
        <v>6636</v>
      </c>
      <c r="K21" s="36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 ht="15.75" customHeight="1">
      <c r="A22" s="367">
        <v>15.0</v>
      </c>
      <c r="B22" s="371" t="s">
        <v>7515</v>
      </c>
      <c r="C22" s="371" t="s">
        <v>1395</v>
      </c>
      <c r="D22" s="371"/>
      <c r="E22" s="371" t="s">
        <v>116</v>
      </c>
      <c r="F22" s="372">
        <v>27079.0</v>
      </c>
      <c r="G22" s="373"/>
      <c r="H22" s="372">
        <v>50.0</v>
      </c>
      <c r="I22" s="372">
        <v>13539.5</v>
      </c>
      <c r="J22" s="371" t="s">
        <v>6636</v>
      </c>
      <c r="K22" s="36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ht="15.75" customHeight="1">
      <c r="A23" s="367">
        <v>16.0</v>
      </c>
      <c r="B23" s="371" t="s">
        <v>7516</v>
      </c>
      <c r="C23" s="371" t="s">
        <v>7118</v>
      </c>
      <c r="D23" s="371"/>
      <c r="E23" s="371" t="s">
        <v>668</v>
      </c>
      <c r="F23" s="372">
        <v>7947.0</v>
      </c>
      <c r="G23" s="373"/>
      <c r="H23" s="372">
        <v>20.0</v>
      </c>
      <c r="I23" s="372">
        <v>1589.4</v>
      </c>
      <c r="J23" s="371" t="s">
        <v>6636</v>
      </c>
      <c r="K23" s="36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ht="15.75" customHeight="1">
      <c r="A24" s="367">
        <v>17.0</v>
      </c>
      <c r="B24" s="371" t="s">
        <v>7517</v>
      </c>
      <c r="C24" s="371" t="s">
        <v>7118</v>
      </c>
      <c r="D24" s="371"/>
      <c r="E24" s="371" t="s">
        <v>143</v>
      </c>
      <c r="F24" s="372">
        <v>3466.0</v>
      </c>
      <c r="G24" s="373"/>
      <c r="H24" s="372">
        <v>22.0</v>
      </c>
      <c r="I24" s="372">
        <v>762.52</v>
      </c>
      <c r="J24" s="371" t="s">
        <v>6636</v>
      </c>
      <c r="K24" s="36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ht="15.75" customHeight="1">
      <c r="A25" s="367">
        <v>18.0</v>
      </c>
      <c r="B25" s="371" t="s">
        <v>7518</v>
      </c>
      <c r="C25" s="371" t="s">
        <v>1395</v>
      </c>
      <c r="D25" s="371"/>
      <c r="E25" s="371" t="s">
        <v>116</v>
      </c>
      <c r="F25" s="372">
        <v>18547.0</v>
      </c>
      <c r="G25" s="373"/>
      <c r="H25" s="372">
        <v>50.0</v>
      </c>
      <c r="I25" s="372">
        <v>9273.5</v>
      </c>
      <c r="J25" s="371" t="s">
        <v>6636</v>
      </c>
      <c r="K25" s="36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</row>
    <row r="26" ht="15.75" customHeight="1">
      <c r="A26" s="367">
        <v>19.0</v>
      </c>
      <c r="B26" s="371" t="s">
        <v>7519</v>
      </c>
      <c r="C26" s="371" t="s">
        <v>7118</v>
      </c>
      <c r="D26" s="371"/>
      <c r="E26" s="371" t="s">
        <v>668</v>
      </c>
      <c r="F26" s="372">
        <v>3466.0</v>
      </c>
      <c r="G26" s="373"/>
      <c r="H26" s="372">
        <v>33.0</v>
      </c>
      <c r="I26" s="372">
        <v>1143.78</v>
      </c>
      <c r="J26" s="371" t="s">
        <v>6636</v>
      </c>
      <c r="K26" s="36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ht="15.75" customHeight="1">
      <c r="A27" s="367">
        <v>20.0</v>
      </c>
      <c r="B27" s="371" t="s">
        <v>7520</v>
      </c>
      <c r="C27" s="371" t="s">
        <v>1395</v>
      </c>
      <c r="D27" s="371"/>
      <c r="E27" s="371" t="s">
        <v>116</v>
      </c>
      <c r="F27" s="372">
        <v>25652.0</v>
      </c>
      <c r="G27" s="373"/>
      <c r="H27" s="372">
        <v>50.0</v>
      </c>
      <c r="I27" s="372">
        <v>12826.0</v>
      </c>
      <c r="J27" s="371" t="s">
        <v>6636</v>
      </c>
      <c r="K27" s="36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 ht="15.75" customHeight="1">
      <c r="A28" s="367">
        <v>21.0</v>
      </c>
      <c r="B28" s="371" t="s">
        <v>7521</v>
      </c>
      <c r="C28" s="371" t="s">
        <v>1395</v>
      </c>
      <c r="D28" s="371"/>
      <c r="E28" s="371" t="s">
        <v>116</v>
      </c>
      <c r="F28" s="372">
        <v>25190.0</v>
      </c>
      <c r="G28" s="373"/>
      <c r="H28" s="372">
        <v>50.0</v>
      </c>
      <c r="I28" s="372">
        <v>12595.0</v>
      </c>
      <c r="J28" s="371" t="s">
        <v>6636</v>
      </c>
      <c r="K28" s="36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 ht="15.75" customHeight="1">
      <c r="A29" s="367">
        <v>22.0</v>
      </c>
      <c r="B29" s="371" t="s">
        <v>7522</v>
      </c>
      <c r="C29" s="371" t="s">
        <v>1395</v>
      </c>
      <c r="D29" s="371"/>
      <c r="E29" s="371" t="s">
        <v>116</v>
      </c>
      <c r="F29" s="372">
        <v>18110.0</v>
      </c>
      <c r="G29" s="373"/>
      <c r="H29" s="372">
        <v>50.0</v>
      </c>
      <c r="I29" s="372">
        <v>9055.0</v>
      </c>
      <c r="J29" s="371" t="s">
        <v>6636</v>
      </c>
      <c r="K29" s="36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 ht="15.75" customHeight="1">
      <c r="A30" s="367">
        <v>23.0</v>
      </c>
      <c r="B30" s="371" t="s">
        <v>7523</v>
      </c>
      <c r="C30" s="371" t="s">
        <v>7134</v>
      </c>
      <c r="D30" s="371"/>
      <c r="E30" s="371" t="s">
        <v>668</v>
      </c>
      <c r="F30" s="372">
        <v>44050.0</v>
      </c>
      <c r="G30" s="373"/>
      <c r="H30" s="372">
        <v>40.0</v>
      </c>
      <c r="I30" s="372">
        <v>17620.0</v>
      </c>
      <c r="J30" s="371" t="s">
        <v>6636</v>
      </c>
      <c r="K30" s="36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ht="15.75" customHeight="1">
      <c r="A31" s="367">
        <v>24.0</v>
      </c>
      <c r="B31" s="371" t="s">
        <v>3864</v>
      </c>
      <c r="C31" s="371" t="s">
        <v>1395</v>
      </c>
      <c r="D31" s="371"/>
      <c r="E31" s="371" t="s">
        <v>116</v>
      </c>
      <c r="F31" s="372">
        <v>17153.0</v>
      </c>
      <c r="G31" s="372">
        <v>19271.0</v>
      </c>
      <c r="H31" s="372">
        <v>50.0</v>
      </c>
      <c r="I31" s="372">
        <v>8576.5</v>
      </c>
      <c r="J31" s="371" t="s">
        <v>7507</v>
      </c>
      <c r="K31" s="36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ht="15.75" customHeight="1">
      <c r="A32" s="367">
        <v>25.0</v>
      </c>
      <c r="B32" s="371" t="s">
        <v>7524</v>
      </c>
      <c r="C32" s="371" t="s">
        <v>1395</v>
      </c>
      <c r="D32" s="371"/>
      <c r="E32" s="371" t="s">
        <v>116</v>
      </c>
      <c r="F32" s="372">
        <v>19054.0</v>
      </c>
      <c r="G32" s="372">
        <v>21514.0</v>
      </c>
      <c r="H32" s="372">
        <v>50.0</v>
      </c>
      <c r="I32" s="372">
        <v>9527.0</v>
      </c>
      <c r="J32" s="371" t="s">
        <v>7507</v>
      </c>
      <c r="K32" s="36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ht="15.75" customHeight="1">
      <c r="A33" s="367">
        <v>26.0</v>
      </c>
      <c r="B33" s="371" t="s">
        <v>7525</v>
      </c>
      <c r="C33" s="371" t="s">
        <v>1395</v>
      </c>
      <c r="D33" s="371"/>
      <c r="E33" s="371" t="s">
        <v>116</v>
      </c>
      <c r="F33" s="372">
        <v>17899.0</v>
      </c>
      <c r="G33" s="373"/>
      <c r="H33" s="372">
        <v>50.0</v>
      </c>
      <c r="I33" s="372">
        <v>8949.5</v>
      </c>
      <c r="J33" s="371" t="s">
        <v>6636</v>
      </c>
      <c r="K33" s="36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 ht="15.75" customHeight="1">
      <c r="A34" s="367">
        <v>27.0</v>
      </c>
      <c r="B34" s="371" t="s">
        <v>3922</v>
      </c>
      <c r="C34" s="371" t="s">
        <v>1395</v>
      </c>
      <c r="D34" s="371"/>
      <c r="E34" s="371" t="s">
        <v>116</v>
      </c>
      <c r="F34" s="372">
        <v>17883.0</v>
      </c>
      <c r="G34" s="373"/>
      <c r="H34" s="372">
        <v>50.0</v>
      </c>
      <c r="I34" s="372">
        <v>8941.5</v>
      </c>
      <c r="J34" s="371" t="s">
        <v>6636</v>
      </c>
      <c r="K34" s="36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 ht="15.75" customHeight="1">
      <c r="A35" s="367">
        <v>28.0</v>
      </c>
      <c r="B35" s="368" t="s">
        <v>7526</v>
      </c>
      <c r="C35" s="368" t="s">
        <v>1395</v>
      </c>
      <c r="D35" s="368"/>
      <c r="E35" s="368" t="s">
        <v>116</v>
      </c>
      <c r="F35" s="369">
        <v>17967.0</v>
      </c>
      <c r="G35" s="369">
        <v>20231.0</v>
      </c>
      <c r="H35" s="369">
        <v>50.0</v>
      </c>
      <c r="I35" s="369">
        <v>8983.5</v>
      </c>
      <c r="J35" s="368" t="s">
        <v>7507</v>
      </c>
      <c r="K35" s="359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 ht="15.75" customHeight="1">
      <c r="A36" s="367">
        <v>29.0</v>
      </c>
      <c r="B36" s="368" t="s">
        <v>7527</v>
      </c>
      <c r="C36" s="368" t="s">
        <v>1395</v>
      </c>
      <c r="D36" s="368"/>
      <c r="E36" s="368" t="s">
        <v>116</v>
      </c>
      <c r="F36" s="369">
        <v>17854.0</v>
      </c>
      <c r="G36" s="369">
        <v>20098.0</v>
      </c>
      <c r="H36" s="369">
        <v>50.0</v>
      </c>
      <c r="I36" s="369">
        <v>8927.0</v>
      </c>
      <c r="J36" s="368" t="s">
        <v>7507</v>
      </c>
      <c r="K36" s="359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 ht="15.75" customHeight="1">
      <c r="A37" s="367">
        <v>30.0</v>
      </c>
      <c r="B37" s="368" t="s">
        <v>7528</v>
      </c>
      <c r="C37" s="368" t="s">
        <v>1395</v>
      </c>
      <c r="D37" s="368"/>
      <c r="E37" s="368" t="s">
        <v>116</v>
      </c>
      <c r="F37" s="369">
        <v>17555.0</v>
      </c>
      <c r="G37" s="369">
        <v>19745.0</v>
      </c>
      <c r="H37" s="369">
        <v>50.0</v>
      </c>
      <c r="I37" s="369">
        <v>8777.5</v>
      </c>
      <c r="J37" s="368" t="s">
        <v>7507</v>
      </c>
      <c r="K37" s="359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 ht="15.75" customHeight="1">
      <c r="A38" s="367">
        <v>31.0</v>
      </c>
      <c r="B38" s="368" t="s">
        <v>7529</v>
      </c>
      <c r="C38" s="368" t="s">
        <v>7134</v>
      </c>
      <c r="D38" s="368"/>
      <c r="E38" s="368" t="s">
        <v>297</v>
      </c>
      <c r="F38" s="369">
        <v>27286.0</v>
      </c>
      <c r="G38" s="369">
        <v>30566.0</v>
      </c>
      <c r="H38" s="369">
        <v>33.0</v>
      </c>
      <c r="I38" s="369">
        <v>9004.38</v>
      </c>
      <c r="J38" s="368" t="s">
        <v>7507</v>
      </c>
      <c r="K38" s="359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 ht="15.75" customHeight="1">
      <c r="A39" s="367">
        <v>32.0</v>
      </c>
      <c r="B39" s="368" t="s">
        <v>7530</v>
      </c>
      <c r="C39" s="368" t="s">
        <v>1395</v>
      </c>
      <c r="D39" s="368"/>
      <c r="E39" s="368" t="s">
        <v>116</v>
      </c>
      <c r="F39" s="369">
        <v>17134.0</v>
      </c>
      <c r="G39" s="369">
        <v>19248.0</v>
      </c>
      <c r="H39" s="369">
        <v>50.0</v>
      </c>
      <c r="I39" s="369">
        <v>8567.0</v>
      </c>
      <c r="J39" s="368" t="s">
        <v>7507</v>
      </c>
      <c r="K39" s="359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</row>
    <row r="40" ht="15.75" customHeight="1">
      <c r="A40" s="367">
        <v>33.0</v>
      </c>
      <c r="B40" s="368" t="s">
        <v>7531</v>
      </c>
      <c r="C40" s="368" t="s">
        <v>1395</v>
      </c>
      <c r="D40" s="368"/>
      <c r="E40" s="368" t="s">
        <v>116</v>
      </c>
      <c r="F40" s="369">
        <v>18490.0</v>
      </c>
      <c r="G40" s="370"/>
      <c r="H40" s="369">
        <v>50.0</v>
      </c>
      <c r="I40" s="369">
        <v>9245.0</v>
      </c>
      <c r="J40" s="368" t="s">
        <v>6636</v>
      </c>
      <c r="K40" s="359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 ht="15.75" customHeight="1">
      <c r="A41" s="367">
        <v>34.0</v>
      </c>
      <c r="B41" s="368" t="s">
        <v>7532</v>
      </c>
      <c r="C41" s="368" t="s">
        <v>1395</v>
      </c>
      <c r="D41" s="368"/>
      <c r="E41" s="368" t="s">
        <v>116</v>
      </c>
      <c r="F41" s="369">
        <v>17899.0</v>
      </c>
      <c r="G41" s="369">
        <v>20151.0</v>
      </c>
      <c r="H41" s="369">
        <v>50.0</v>
      </c>
      <c r="I41" s="369">
        <v>8949.5</v>
      </c>
      <c r="J41" s="368" t="s">
        <v>7507</v>
      </c>
      <c r="K41" s="359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 ht="15.75" customHeight="1">
      <c r="A42" s="367">
        <v>35.0</v>
      </c>
      <c r="B42" s="368" t="s">
        <v>7533</v>
      </c>
      <c r="C42" s="368" t="s">
        <v>7134</v>
      </c>
      <c r="D42" s="368"/>
      <c r="E42" s="368" t="s">
        <v>668</v>
      </c>
      <c r="F42" s="369">
        <v>35788.0</v>
      </c>
      <c r="G42" s="370"/>
      <c r="H42" s="369">
        <v>36.0</v>
      </c>
      <c r="I42" s="369">
        <v>12883.68</v>
      </c>
      <c r="J42" s="368" t="s">
        <v>6636</v>
      </c>
      <c r="K42" s="359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 ht="15.75" customHeight="1">
      <c r="A43" s="367">
        <v>36.0</v>
      </c>
      <c r="B43" s="368" t="s">
        <v>7534</v>
      </c>
      <c r="C43" s="368" t="s">
        <v>1395</v>
      </c>
      <c r="D43" s="368"/>
      <c r="E43" s="368" t="s">
        <v>116</v>
      </c>
      <c r="F43" s="369">
        <v>17329.0</v>
      </c>
      <c r="G43" s="370"/>
      <c r="H43" s="369">
        <v>50.0</v>
      </c>
      <c r="I43" s="369">
        <v>8664.5</v>
      </c>
      <c r="J43" s="368" t="s">
        <v>6636</v>
      </c>
      <c r="K43" s="359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 ht="15.75" customHeight="1">
      <c r="A44" s="367">
        <v>37.0</v>
      </c>
      <c r="B44" s="368" t="s">
        <v>7535</v>
      </c>
      <c r="C44" s="368" t="s">
        <v>1395</v>
      </c>
      <c r="D44" s="368"/>
      <c r="E44" s="368" t="s">
        <v>116</v>
      </c>
      <c r="F44" s="369">
        <v>18204.0</v>
      </c>
      <c r="G44" s="370"/>
      <c r="H44" s="369">
        <v>50.0</v>
      </c>
      <c r="I44" s="369">
        <v>9102.0</v>
      </c>
      <c r="J44" s="368" t="s">
        <v>6636</v>
      </c>
      <c r="K44" s="359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</row>
    <row r="45" ht="15.75" customHeight="1">
      <c r="A45" s="367">
        <v>38.0</v>
      </c>
      <c r="B45" s="368" t="s">
        <v>7536</v>
      </c>
      <c r="C45" s="368" t="s">
        <v>1395</v>
      </c>
      <c r="D45" s="368"/>
      <c r="E45" s="368" t="s">
        <v>116</v>
      </c>
      <c r="F45" s="369">
        <v>18269.0</v>
      </c>
      <c r="G45" s="369">
        <v>20589.0</v>
      </c>
      <c r="H45" s="369">
        <v>50.0</v>
      </c>
      <c r="I45" s="369">
        <v>9134.5</v>
      </c>
      <c r="J45" s="368" t="s">
        <v>7507</v>
      </c>
      <c r="K45" s="356">
        <v>11454.5</v>
      </c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 ht="15.75" customHeight="1">
      <c r="A46" s="367">
        <v>39.0</v>
      </c>
      <c r="B46" s="368" t="s">
        <v>7537</v>
      </c>
      <c r="C46" s="368" t="s">
        <v>1395</v>
      </c>
      <c r="D46" s="368"/>
      <c r="E46" s="368" t="s">
        <v>116</v>
      </c>
      <c r="F46" s="369">
        <v>17276.0</v>
      </c>
      <c r="G46" s="369">
        <v>19416.0</v>
      </c>
      <c r="H46" s="369">
        <v>50.0</v>
      </c>
      <c r="I46" s="369">
        <v>8638.0</v>
      </c>
      <c r="J46" s="368" t="s">
        <v>7507</v>
      </c>
      <c r="K46" s="356">
        <v>10778.0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 ht="15.75" customHeight="1">
      <c r="A47" s="367">
        <v>40.0</v>
      </c>
      <c r="B47" s="368" t="s">
        <v>7538</v>
      </c>
      <c r="C47" s="368" t="s">
        <v>7134</v>
      </c>
      <c r="D47" s="368"/>
      <c r="E47" s="368" t="s">
        <v>668</v>
      </c>
      <c r="F47" s="369">
        <v>44050.0</v>
      </c>
      <c r="G47" s="370"/>
      <c r="H47" s="369">
        <v>36.0</v>
      </c>
      <c r="I47" s="369">
        <v>15858.0</v>
      </c>
      <c r="J47" s="368" t="s">
        <v>6636</v>
      </c>
      <c r="K47" s="359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 ht="15.75" customHeight="1">
      <c r="A48" s="367">
        <v>41.0</v>
      </c>
      <c r="B48" s="368" t="s">
        <v>7539</v>
      </c>
      <c r="C48" s="368" t="s">
        <v>1395</v>
      </c>
      <c r="D48" s="368"/>
      <c r="E48" s="368" t="s">
        <v>116</v>
      </c>
      <c r="F48" s="369">
        <v>17991.0</v>
      </c>
      <c r="G48" s="370"/>
      <c r="H48" s="369">
        <v>50.0</v>
      </c>
      <c r="I48" s="369">
        <v>8995.5</v>
      </c>
      <c r="J48" s="368" t="s">
        <v>6636</v>
      </c>
      <c r="K48" s="359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 ht="15.75" customHeight="1">
      <c r="A49" s="367">
        <v>42.0</v>
      </c>
      <c r="B49" s="368" t="s">
        <v>4137</v>
      </c>
      <c r="C49" s="368" t="s">
        <v>7134</v>
      </c>
      <c r="D49" s="368"/>
      <c r="E49" s="368" t="s">
        <v>668</v>
      </c>
      <c r="F49" s="369">
        <v>44050.0</v>
      </c>
      <c r="G49" s="370"/>
      <c r="H49" s="369">
        <v>36.0</v>
      </c>
      <c r="I49" s="369">
        <v>15858.0</v>
      </c>
      <c r="J49" s="368" t="s">
        <v>6636</v>
      </c>
      <c r="K49" s="359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 ht="15.75" customHeight="1">
      <c r="A50" s="367">
        <v>43.0</v>
      </c>
      <c r="B50" s="368" t="s">
        <v>7540</v>
      </c>
      <c r="C50" s="368" t="s">
        <v>1395</v>
      </c>
      <c r="D50" s="368"/>
      <c r="E50" s="368" t="s">
        <v>116</v>
      </c>
      <c r="F50" s="369">
        <v>28252.0</v>
      </c>
      <c r="G50" s="370"/>
      <c r="H50" s="369">
        <v>50.0</v>
      </c>
      <c r="I50" s="369">
        <v>14126.0</v>
      </c>
      <c r="J50" s="368" t="s">
        <v>6636</v>
      </c>
      <c r="K50" s="359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</row>
    <row r="51" ht="15.75" customHeight="1">
      <c r="A51" s="367">
        <v>44.0</v>
      </c>
      <c r="B51" s="368" t="s">
        <v>7541</v>
      </c>
      <c r="C51" s="368" t="s">
        <v>1395</v>
      </c>
      <c r="D51" s="368"/>
      <c r="E51" s="368" t="s">
        <v>116</v>
      </c>
      <c r="F51" s="369">
        <v>17724.0</v>
      </c>
      <c r="G51" s="370"/>
      <c r="H51" s="369">
        <v>50.0</v>
      </c>
      <c r="I51" s="369">
        <v>8862.0</v>
      </c>
      <c r="J51" s="368" t="s">
        <v>6636</v>
      </c>
      <c r="K51" s="359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 ht="15.75" customHeight="1">
      <c r="A52" s="367">
        <v>45.0</v>
      </c>
      <c r="B52" s="368" t="s">
        <v>7542</v>
      </c>
      <c r="C52" s="368" t="s">
        <v>7134</v>
      </c>
      <c r="D52" s="368"/>
      <c r="E52" s="368" t="s">
        <v>668</v>
      </c>
      <c r="F52" s="369">
        <v>44435.0</v>
      </c>
      <c r="G52" s="369">
        <v>49797.0</v>
      </c>
      <c r="H52" s="369">
        <v>36.0</v>
      </c>
      <c r="I52" s="369">
        <v>15996.6</v>
      </c>
      <c r="J52" s="368" t="s">
        <v>7507</v>
      </c>
      <c r="K52" s="356">
        <v>33800.4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 ht="15.75" customHeight="1">
      <c r="A53" s="367">
        <v>46.0</v>
      </c>
      <c r="B53" s="368" t="s">
        <v>7543</v>
      </c>
      <c r="C53" s="368" t="s">
        <v>2749</v>
      </c>
      <c r="D53" s="368"/>
      <c r="E53" s="368" t="s">
        <v>1424</v>
      </c>
      <c r="F53" s="369">
        <v>15529.0</v>
      </c>
      <c r="G53" s="369">
        <v>18325.0</v>
      </c>
      <c r="H53" s="369">
        <v>25.0</v>
      </c>
      <c r="I53" s="369">
        <v>3882.25</v>
      </c>
      <c r="J53" s="368" t="s">
        <v>7507</v>
      </c>
      <c r="K53" s="356">
        <v>14442.75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</row>
    <row r="54" ht="15.75" customHeight="1">
      <c r="A54" s="367">
        <v>47.0</v>
      </c>
      <c r="B54" s="368" t="s">
        <v>7544</v>
      </c>
      <c r="C54" s="368" t="s">
        <v>1395</v>
      </c>
      <c r="D54" s="368"/>
      <c r="E54" s="368" t="s">
        <v>116</v>
      </c>
      <c r="F54" s="369">
        <v>26681.0</v>
      </c>
      <c r="G54" s="369">
        <v>30515.0</v>
      </c>
      <c r="H54" s="369">
        <v>50.0</v>
      </c>
      <c r="I54" s="369">
        <v>13340.5</v>
      </c>
      <c r="J54" s="368" t="s">
        <v>7507</v>
      </c>
      <c r="K54" s="356">
        <v>17174.5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</row>
    <row r="55" ht="15.75" customHeight="1">
      <c r="A55" s="367">
        <v>48.0</v>
      </c>
      <c r="B55" s="368" t="s">
        <v>7545</v>
      </c>
      <c r="C55" s="368" t="s">
        <v>1395</v>
      </c>
      <c r="D55" s="368"/>
      <c r="E55" s="368" t="s">
        <v>116</v>
      </c>
      <c r="F55" s="369">
        <v>17933.0</v>
      </c>
      <c r="G55" s="369">
        <v>20191.0</v>
      </c>
      <c r="H55" s="369">
        <v>50.0</v>
      </c>
      <c r="I55" s="369">
        <v>8966.5</v>
      </c>
      <c r="J55" s="368" t="s">
        <v>7507</v>
      </c>
      <c r="K55" s="356">
        <v>11224.5</v>
      </c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</row>
    <row r="56" ht="15.75" customHeight="1">
      <c r="A56" s="367">
        <v>49.0</v>
      </c>
      <c r="B56" s="368" t="s">
        <v>7546</v>
      </c>
      <c r="C56" s="368" t="s">
        <v>1395</v>
      </c>
      <c r="D56" s="368"/>
      <c r="E56" s="368" t="s">
        <v>116</v>
      </c>
      <c r="F56" s="369">
        <v>27763.0</v>
      </c>
      <c r="G56" s="370"/>
      <c r="H56" s="369">
        <v>50.0</v>
      </c>
      <c r="I56" s="369">
        <v>13881.5</v>
      </c>
      <c r="J56" s="368" t="s">
        <v>6636</v>
      </c>
      <c r="K56" s="359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</row>
    <row r="57" ht="15.75" customHeight="1">
      <c r="A57" s="367">
        <v>50.0</v>
      </c>
      <c r="B57" s="371" t="s">
        <v>7547</v>
      </c>
      <c r="C57" s="371" t="s">
        <v>1395</v>
      </c>
      <c r="D57" s="371"/>
      <c r="E57" s="371" t="s">
        <v>116</v>
      </c>
      <c r="F57" s="372">
        <v>17652.0</v>
      </c>
      <c r="G57" s="373"/>
      <c r="H57" s="372">
        <v>50.0</v>
      </c>
      <c r="I57" s="372">
        <v>8826.0</v>
      </c>
      <c r="J57" s="371" t="s">
        <v>6636</v>
      </c>
      <c r="K57" s="359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</row>
    <row r="58" ht="15.75" customHeight="1">
      <c r="A58" s="367">
        <v>51.0</v>
      </c>
      <c r="B58" s="371" t="s">
        <v>7548</v>
      </c>
      <c r="C58" s="371" t="s">
        <v>1395</v>
      </c>
      <c r="D58" s="371"/>
      <c r="E58" s="371" t="s">
        <v>116</v>
      </c>
      <c r="F58" s="372">
        <v>17594.0</v>
      </c>
      <c r="G58" s="373"/>
      <c r="H58" s="372">
        <v>50.0</v>
      </c>
      <c r="I58" s="372">
        <v>8797.0</v>
      </c>
      <c r="J58" s="371" t="s">
        <v>6636</v>
      </c>
      <c r="K58" s="359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</row>
    <row r="59" ht="15.75" customHeight="1">
      <c r="A59" s="367">
        <v>52.0</v>
      </c>
      <c r="B59" s="371" t="s">
        <v>7549</v>
      </c>
      <c r="C59" s="371" t="s">
        <v>1395</v>
      </c>
      <c r="D59" s="371"/>
      <c r="E59" s="371" t="s">
        <v>116</v>
      </c>
      <c r="F59" s="372">
        <v>18558.0</v>
      </c>
      <c r="G59" s="373"/>
      <c r="H59" s="372">
        <v>50.0</v>
      </c>
      <c r="I59" s="372">
        <v>9279.0</v>
      </c>
      <c r="J59" s="371" t="s">
        <v>6636</v>
      </c>
      <c r="K59" s="359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</row>
    <row r="60" ht="15.75" customHeight="1">
      <c r="A60" s="367">
        <v>53.0</v>
      </c>
      <c r="B60" s="371" t="s">
        <v>7550</v>
      </c>
      <c r="C60" s="371" t="s">
        <v>7134</v>
      </c>
      <c r="D60" s="371"/>
      <c r="E60" s="371" t="s">
        <v>668</v>
      </c>
      <c r="F60" s="372">
        <v>44425.0</v>
      </c>
      <c r="G60" s="373"/>
      <c r="H60" s="372">
        <v>36.0</v>
      </c>
      <c r="I60" s="372">
        <v>15993.0</v>
      </c>
      <c r="J60" s="371" t="s">
        <v>6636</v>
      </c>
      <c r="K60" s="359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</row>
    <row r="61" ht="15.75" customHeight="1">
      <c r="A61" s="367">
        <v>54.0</v>
      </c>
      <c r="B61" s="371" t="s">
        <v>7551</v>
      </c>
      <c r="C61" s="371" t="s">
        <v>7118</v>
      </c>
      <c r="D61" s="371"/>
      <c r="E61" s="371" t="s">
        <v>143</v>
      </c>
      <c r="F61" s="372">
        <v>3416.0</v>
      </c>
      <c r="G61" s="373"/>
      <c r="H61" s="372">
        <v>22.0</v>
      </c>
      <c r="I61" s="372">
        <v>751.52</v>
      </c>
      <c r="J61" s="371" t="s">
        <v>6636</v>
      </c>
      <c r="K61" s="359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</row>
    <row r="62" ht="15.75" customHeight="1">
      <c r="A62" s="367">
        <v>55.0</v>
      </c>
      <c r="B62" s="371" t="s">
        <v>7552</v>
      </c>
      <c r="C62" s="371" t="s">
        <v>1395</v>
      </c>
      <c r="D62" s="371"/>
      <c r="E62" s="371" t="s">
        <v>116</v>
      </c>
      <c r="F62" s="372">
        <v>19153.0</v>
      </c>
      <c r="G62" s="372">
        <v>21631.0</v>
      </c>
      <c r="H62" s="372">
        <v>50.0</v>
      </c>
      <c r="I62" s="372">
        <v>9576.5</v>
      </c>
      <c r="J62" s="371" t="s">
        <v>7507</v>
      </c>
      <c r="K62" s="356">
        <v>12054.5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</row>
    <row r="63" ht="15.75" customHeight="1">
      <c r="A63" s="367">
        <v>56.0</v>
      </c>
      <c r="B63" s="371" t="s">
        <v>7553</v>
      </c>
      <c r="C63" s="371" t="s">
        <v>7118</v>
      </c>
      <c r="D63" s="371"/>
      <c r="E63" s="371" t="s">
        <v>143</v>
      </c>
      <c r="F63" s="372">
        <v>3841.0</v>
      </c>
      <c r="G63" s="372">
        <v>4532.0</v>
      </c>
      <c r="H63" s="372">
        <v>22.0</v>
      </c>
      <c r="I63" s="372">
        <v>845.02</v>
      </c>
      <c r="J63" s="371" t="s">
        <v>7507</v>
      </c>
      <c r="K63" s="356">
        <v>3686.98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</row>
    <row r="64" ht="15.75" customHeight="1">
      <c r="A64" s="367">
        <v>57.0</v>
      </c>
      <c r="B64" s="371" t="s">
        <v>7554</v>
      </c>
      <c r="C64" s="371" t="s">
        <v>1395</v>
      </c>
      <c r="D64" s="371"/>
      <c r="E64" s="371" t="s">
        <v>116</v>
      </c>
      <c r="F64" s="372">
        <v>26466.0</v>
      </c>
      <c r="G64" s="372">
        <v>30258.0</v>
      </c>
      <c r="H64" s="372">
        <v>50.0</v>
      </c>
      <c r="I64" s="372">
        <v>13233.0</v>
      </c>
      <c r="J64" s="371" t="s">
        <v>7507</v>
      </c>
      <c r="K64" s="356">
        <v>17025.0</v>
      </c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</row>
    <row r="65" ht="15.75" customHeight="1">
      <c r="A65" s="367">
        <v>58.0</v>
      </c>
      <c r="B65" s="371" t="s">
        <v>7555</v>
      </c>
      <c r="C65" s="371" t="s">
        <v>1395</v>
      </c>
      <c r="D65" s="371"/>
      <c r="E65" s="371" t="s">
        <v>116</v>
      </c>
      <c r="F65" s="372">
        <v>18538.0</v>
      </c>
      <c r="G65" s="372">
        <v>20906.0</v>
      </c>
      <c r="H65" s="372">
        <v>50.0</v>
      </c>
      <c r="I65" s="372">
        <v>9269.0</v>
      </c>
      <c r="J65" s="371" t="s">
        <v>7507</v>
      </c>
      <c r="K65" s="356">
        <v>11637.0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</row>
    <row r="66" ht="15.75" customHeight="1">
      <c r="A66" s="367">
        <v>59.0</v>
      </c>
      <c r="B66" s="371" t="s">
        <v>7556</v>
      </c>
      <c r="C66" s="371" t="s">
        <v>1395</v>
      </c>
      <c r="D66" s="371"/>
      <c r="E66" s="371" t="s">
        <v>116</v>
      </c>
      <c r="F66" s="372">
        <v>27728.0</v>
      </c>
      <c r="G66" s="373"/>
      <c r="H66" s="372">
        <v>50.0</v>
      </c>
      <c r="I66" s="372">
        <v>13864.0</v>
      </c>
      <c r="J66" s="371" t="s">
        <v>6636</v>
      </c>
      <c r="K66" s="359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</row>
    <row r="67" ht="15.75" customHeight="1">
      <c r="A67" s="367">
        <v>60.0</v>
      </c>
      <c r="B67" s="371" t="s">
        <v>7557</v>
      </c>
      <c r="C67" s="371" t="s">
        <v>1395</v>
      </c>
      <c r="D67" s="371"/>
      <c r="E67" s="371" t="s">
        <v>116</v>
      </c>
      <c r="F67" s="372">
        <v>17347.0</v>
      </c>
      <c r="G67" s="372">
        <v>19501.0</v>
      </c>
      <c r="H67" s="372">
        <v>50.0</v>
      </c>
      <c r="I67" s="372">
        <v>8673.5</v>
      </c>
      <c r="J67" s="371" t="s">
        <v>7507</v>
      </c>
      <c r="K67" s="356">
        <v>10827.5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</row>
    <row r="68" ht="15.75" customHeight="1">
      <c r="A68" s="367">
        <v>61.0</v>
      </c>
      <c r="B68" s="371" t="s">
        <v>7558</v>
      </c>
      <c r="C68" s="371" t="s">
        <v>1395</v>
      </c>
      <c r="D68" s="371"/>
      <c r="E68" s="371" t="s">
        <v>116</v>
      </c>
      <c r="F68" s="372">
        <v>17308.0</v>
      </c>
      <c r="G68" s="373"/>
      <c r="H68" s="372">
        <v>50.0</v>
      </c>
      <c r="I68" s="372">
        <v>8654.0</v>
      </c>
      <c r="J68" s="371" t="s">
        <v>6636</v>
      </c>
      <c r="K68" s="359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</row>
    <row r="69" ht="15.75" customHeight="1">
      <c r="A69" s="367">
        <v>62.0</v>
      </c>
      <c r="B69" s="371" t="s">
        <v>4105</v>
      </c>
      <c r="C69" s="371" t="s">
        <v>1395</v>
      </c>
      <c r="D69" s="371"/>
      <c r="E69" s="371" t="s">
        <v>733</v>
      </c>
      <c r="F69" s="372">
        <v>12106.0</v>
      </c>
      <c r="G69" s="373"/>
      <c r="H69" s="372">
        <v>7.0</v>
      </c>
      <c r="I69" s="372">
        <v>847.42</v>
      </c>
      <c r="J69" s="371" t="s">
        <v>6636</v>
      </c>
      <c r="K69" s="359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</row>
    <row r="70" ht="15.75" customHeight="1">
      <c r="A70" s="367">
        <v>63.0</v>
      </c>
      <c r="B70" s="371" t="s">
        <v>7559</v>
      </c>
      <c r="C70" s="371" t="s">
        <v>7118</v>
      </c>
      <c r="D70" s="371"/>
      <c r="E70" s="371" t="s">
        <v>143</v>
      </c>
      <c r="F70" s="372">
        <v>3841.0</v>
      </c>
      <c r="G70" s="373"/>
      <c r="H70" s="372">
        <v>22.0</v>
      </c>
      <c r="I70" s="372">
        <v>845.02</v>
      </c>
      <c r="J70" s="371" t="s">
        <v>6636</v>
      </c>
      <c r="K70" s="359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</row>
    <row r="71" ht="15.75" customHeight="1">
      <c r="A71" s="367">
        <v>64.0</v>
      </c>
      <c r="B71" s="371" t="s">
        <v>7560</v>
      </c>
      <c r="C71" s="371" t="s">
        <v>1395</v>
      </c>
      <c r="D71" s="371"/>
      <c r="E71" s="371" t="s">
        <v>116</v>
      </c>
      <c r="F71" s="372">
        <v>18856.0</v>
      </c>
      <c r="G71" s="373"/>
      <c r="H71" s="372">
        <v>50.0</v>
      </c>
      <c r="I71" s="372">
        <v>9428.0</v>
      </c>
      <c r="J71" s="371" t="s">
        <v>6636</v>
      </c>
      <c r="K71" s="359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</row>
    <row r="72" ht="15.75" customHeight="1">
      <c r="A72" s="367">
        <v>65.0</v>
      </c>
      <c r="B72" s="371" t="s">
        <v>7561</v>
      </c>
      <c r="C72" s="371" t="s">
        <v>7562</v>
      </c>
      <c r="D72" s="371"/>
      <c r="E72" s="371" t="s">
        <v>116</v>
      </c>
      <c r="F72" s="372">
        <v>16149.0</v>
      </c>
      <c r="G72" s="373"/>
      <c r="H72" s="372">
        <v>32.0</v>
      </c>
      <c r="I72" s="372">
        <v>5167.68</v>
      </c>
      <c r="J72" s="371" t="s">
        <v>6636</v>
      </c>
      <c r="K72" s="359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</row>
    <row r="73" ht="15.75" customHeight="1">
      <c r="A73" s="367">
        <v>66.0</v>
      </c>
      <c r="B73" s="371" t="s">
        <v>7563</v>
      </c>
      <c r="C73" s="371" t="s">
        <v>1395</v>
      </c>
      <c r="D73" s="371"/>
      <c r="E73" s="371" t="s">
        <v>116</v>
      </c>
      <c r="F73" s="372">
        <v>25274.0</v>
      </c>
      <c r="G73" s="373"/>
      <c r="H73" s="372">
        <v>50.0</v>
      </c>
      <c r="I73" s="372">
        <v>12637.0</v>
      </c>
      <c r="J73" s="371" t="s">
        <v>6636</v>
      </c>
      <c r="K73" s="359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</row>
    <row r="74" ht="15.75" customHeight="1">
      <c r="A74" s="367">
        <v>67.0</v>
      </c>
      <c r="B74" s="371" t="s">
        <v>7564</v>
      </c>
      <c r="C74" s="371" t="s">
        <v>1395</v>
      </c>
      <c r="D74" s="371"/>
      <c r="E74" s="371" t="s">
        <v>116</v>
      </c>
      <c r="F74" s="372">
        <v>25091.0</v>
      </c>
      <c r="G74" s="373"/>
      <c r="H74" s="372">
        <v>50.0</v>
      </c>
      <c r="I74" s="372">
        <v>12545.5</v>
      </c>
      <c r="J74" s="371" t="s">
        <v>6636</v>
      </c>
      <c r="K74" s="359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</row>
    <row r="75" ht="15.75" customHeight="1">
      <c r="A75" s="367">
        <v>68.0</v>
      </c>
      <c r="B75" s="371" t="s">
        <v>7565</v>
      </c>
      <c r="C75" s="371" t="s">
        <v>1395</v>
      </c>
      <c r="D75" s="371"/>
      <c r="E75" s="371" t="s">
        <v>116</v>
      </c>
      <c r="F75" s="372">
        <v>26921.0</v>
      </c>
      <c r="G75" s="373"/>
      <c r="H75" s="372">
        <v>50.0</v>
      </c>
      <c r="I75" s="372">
        <v>13460.5</v>
      </c>
      <c r="J75" s="371" t="s">
        <v>6636</v>
      </c>
      <c r="K75" s="359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</row>
    <row r="76" ht="15.75" customHeight="1">
      <c r="A76" s="367">
        <v>69.0</v>
      </c>
      <c r="B76" s="371" t="s">
        <v>7566</v>
      </c>
      <c r="C76" s="371" t="s">
        <v>1395</v>
      </c>
      <c r="D76" s="371"/>
      <c r="E76" s="371" t="s">
        <v>116</v>
      </c>
      <c r="F76" s="372">
        <v>26921.0</v>
      </c>
      <c r="G76" s="373"/>
      <c r="H76" s="372">
        <v>50.0</v>
      </c>
      <c r="I76" s="372">
        <v>13460.5</v>
      </c>
      <c r="J76" s="371" t="s">
        <v>6636</v>
      </c>
      <c r="K76" s="359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</row>
    <row r="77" ht="15.75" customHeight="1">
      <c r="A77" s="367">
        <v>70.0</v>
      </c>
      <c r="B77" s="371" t="s">
        <v>7567</v>
      </c>
      <c r="C77" s="371" t="s">
        <v>1395</v>
      </c>
      <c r="D77" s="371"/>
      <c r="E77" s="371" t="s">
        <v>116</v>
      </c>
      <c r="F77" s="372">
        <v>27809.0</v>
      </c>
      <c r="G77" s="372">
        <v>31845.0</v>
      </c>
      <c r="H77" s="372">
        <v>50.0</v>
      </c>
      <c r="I77" s="372">
        <v>13904.5</v>
      </c>
      <c r="J77" s="371" t="s">
        <v>7507</v>
      </c>
      <c r="K77" s="356">
        <v>17940.5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</row>
    <row r="78" ht="15.75" customHeight="1">
      <c r="A78" s="367">
        <v>71.0</v>
      </c>
      <c r="B78" s="371" t="s">
        <v>7568</v>
      </c>
      <c r="C78" s="371" t="s">
        <v>1395</v>
      </c>
      <c r="D78" s="371"/>
      <c r="E78" s="371" t="s">
        <v>116</v>
      </c>
      <c r="F78" s="372">
        <v>22736.0</v>
      </c>
      <c r="G78" s="372">
        <v>25860.0</v>
      </c>
      <c r="H78" s="372">
        <v>50.0</v>
      </c>
      <c r="I78" s="372">
        <v>11368.0</v>
      </c>
      <c r="J78" s="371" t="s">
        <v>7507</v>
      </c>
      <c r="K78" s="356">
        <v>14492.0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</row>
    <row r="79" ht="15.75" customHeight="1">
      <c r="A79" s="367">
        <v>72.0</v>
      </c>
      <c r="B79" s="371" t="s">
        <v>7569</v>
      </c>
      <c r="C79" s="371" t="s">
        <v>1395</v>
      </c>
      <c r="D79" s="371"/>
      <c r="E79" s="371" t="s">
        <v>116</v>
      </c>
      <c r="F79" s="372">
        <v>17474.0</v>
      </c>
      <c r="G79" s="372">
        <v>19650.0</v>
      </c>
      <c r="H79" s="372">
        <v>50.0</v>
      </c>
      <c r="I79" s="372">
        <v>8737.0</v>
      </c>
      <c r="J79" s="371" t="s">
        <v>7507</v>
      </c>
      <c r="K79" s="356">
        <v>10913.0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</row>
    <row r="80" ht="15.75" customHeight="1">
      <c r="A80" s="374">
        <v>73.0</v>
      </c>
      <c r="B80" s="371" t="s">
        <v>4470</v>
      </c>
      <c r="C80" s="371" t="s">
        <v>1395</v>
      </c>
      <c r="D80" s="371"/>
      <c r="E80" s="371" t="s">
        <v>116</v>
      </c>
      <c r="F80" s="372">
        <v>17307.0</v>
      </c>
      <c r="G80" s="372">
        <v>19454.0</v>
      </c>
      <c r="H80" s="372">
        <v>50.0</v>
      </c>
      <c r="I80" s="372">
        <f t="shared" ref="I80:I146" si="1">(F80*H80)/100</f>
        <v>8653.5</v>
      </c>
      <c r="J80" s="371" t="s">
        <v>7507</v>
      </c>
      <c r="K80" s="361">
        <f t="shared" ref="K80:K220" si="2">G80-I80</f>
        <v>10800.5</v>
      </c>
      <c r="L80" s="340"/>
      <c r="M80" s="340"/>
      <c r="N80" s="340"/>
      <c r="O80" s="340"/>
      <c r="P80" s="340"/>
      <c r="Q80" s="340"/>
      <c r="R80" s="340"/>
      <c r="S80" s="340"/>
      <c r="T80" s="340"/>
      <c r="U80" s="340"/>
      <c r="V80" s="340"/>
      <c r="W80" s="340"/>
      <c r="X80" s="340"/>
    </row>
    <row r="81" ht="15.75" customHeight="1">
      <c r="A81" s="374">
        <v>74.0</v>
      </c>
      <c r="B81" s="371" t="s">
        <v>7570</v>
      </c>
      <c r="C81" s="371" t="s">
        <v>7118</v>
      </c>
      <c r="D81" s="371"/>
      <c r="E81" s="371" t="s">
        <v>668</v>
      </c>
      <c r="F81" s="372">
        <v>3416.0</v>
      </c>
      <c r="G81" s="373"/>
      <c r="H81" s="372">
        <v>36.0</v>
      </c>
      <c r="I81" s="372">
        <f t="shared" si="1"/>
        <v>1229.76</v>
      </c>
      <c r="J81" s="371" t="s">
        <v>6636</v>
      </c>
      <c r="K81" s="361">
        <f t="shared" si="2"/>
        <v>-1229.76</v>
      </c>
      <c r="L81" s="340"/>
      <c r="M81" s="340"/>
      <c r="N81" s="340"/>
      <c r="O81" s="340"/>
      <c r="P81" s="340"/>
      <c r="Q81" s="340"/>
      <c r="R81" s="340"/>
      <c r="S81" s="340"/>
      <c r="T81" s="340"/>
      <c r="U81" s="340"/>
      <c r="V81" s="340"/>
      <c r="W81" s="340"/>
      <c r="X81" s="340"/>
    </row>
    <row r="82" ht="15.75" customHeight="1">
      <c r="A82" s="374">
        <v>75.0</v>
      </c>
      <c r="B82" s="371" t="s">
        <v>7571</v>
      </c>
      <c r="C82" s="371" t="s">
        <v>7118</v>
      </c>
      <c r="D82" s="371"/>
      <c r="E82" s="371" t="s">
        <v>668</v>
      </c>
      <c r="F82" s="372">
        <v>3416.0</v>
      </c>
      <c r="G82" s="373"/>
      <c r="H82" s="372">
        <v>36.0</v>
      </c>
      <c r="I82" s="372">
        <f t="shared" si="1"/>
        <v>1229.76</v>
      </c>
      <c r="J82" s="371" t="s">
        <v>6636</v>
      </c>
      <c r="K82" s="361">
        <f t="shared" si="2"/>
        <v>-1229.76</v>
      </c>
      <c r="L82" s="340"/>
      <c r="M82" s="340"/>
      <c r="N82" s="340"/>
      <c r="O82" s="340"/>
      <c r="P82" s="340"/>
      <c r="Q82" s="340"/>
      <c r="R82" s="340"/>
      <c r="S82" s="340"/>
      <c r="T82" s="340"/>
      <c r="U82" s="340"/>
      <c r="V82" s="340"/>
      <c r="W82" s="340"/>
      <c r="X82" s="340"/>
    </row>
    <row r="83" ht="15.75" customHeight="1">
      <c r="A83" s="374">
        <v>76.0</v>
      </c>
      <c r="B83" s="371" t="s">
        <v>7572</v>
      </c>
      <c r="C83" s="371" t="s">
        <v>7134</v>
      </c>
      <c r="D83" s="371"/>
      <c r="E83" s="371" t="s">
        <v>297</v>
      </c>
      <c r="F83" s="372">
        <v>27601.0</v>
      </c>
      <c r="G83" s="372">
        <v>30938.0</v>
      </c>
      <c r="H83" s="372">
        <v>33.0</v>
      </c>
      <c r="I83" s="372">
        <f t="shared" si="1"/>
        <v>9108.33</v>
      </c>
      <c r="J83" s="371" t="s">
        <v>7507</v>
      </c>
      <c r="K83" s="361">
        <f t="shared" si="2"/>
        <v>21829.67</v>
      </c>
      <c r="L83" s="340"/>
      <c r="M83" s="340"/>
      <c r="N83" s="340"/>
      <c r="O83" s="340"/>
      <c r="P83" s="340"/>
      <c r="Q83" s="340"/>
      <c r="R83" s="340"/>
      <c r="S83" s="340"/>
      <c r="T83" s="340"/>
      <c r="U83" s="340"/>
      <c r="V83" s="340"/>
      <c r="W83" s="340"/>
      <c r="X83" s="340"/>
    </row>
    <row r="84" ht="15.75" customHeight="1">
      <c r="A84" s="374">
        <v>77.0</v>
      </c>
      <c r="B84" s="371" t="s">
        <v>7573</v>
      </c>
      <c r="C84" s="371" t="s">
        <v>7118</v>
      </c>
      <c r="D84" s="371"/>
      <c r="E84" s="371" t="s">
        <v>668</v>
      </c>
      <c r="F84" s="372">
        <v>3466.0</v>
      </c>
      <c r="G84" s="373"/>
      <c r="H84" s="372">
        <v>36.0</v>
      </c>
      <c r="I84" s="372">
        <f t="shared" si="1"/>
        <v>1247.76</v>
      </c>
      <c r="J84" s="371" t="s">
        <v>6636</v>
      </c>
      <c r="K84" s="361">
        <f t="shared" si="2"/>
        <v>-1247.76</v>
      </c>
      <c r="L84" s="340"/>
      <c r="M84" s="340"/>
      <c r="N84" s="340"/>
      <c r="O84" s="340"/>
      <c r="P84" s="340"/>
      <c r="Q84" s="340"/>
      <c r="R84" s="340"/>
      <c r="S84" s="340"/>
      <c r="T84" s="340"/>
      <c r="U84" s="340"/>
      <c r="V84" s="340"/>
      <c r="W84" s="340"/>
      <c r="X84" s="340"/>
    </row>
    <row r="85" ht="15.75" customHeight="1">
      <c r="A85" s="374">
        <v>78.0</v>
      </c>
      <c r="B85" s="371" t="s">
        <v>7574</v>
      </c>
      <c r="C85" s="371" t="s">
        <v>7118</v>
      </c>
      <c r="D85" s="371"/>
      <c r="E85" s="371" t="s">
        <v>668</v>
      </c>
      <c r="F85" s="371">
        <v>3416.0</v>
      </c>
      <c r="G85" s="373"/>
      <c r="H85" s="371">
        <v>20.0</v>
      </c>
      <c r="I85" s="372">
        <f t="shared" si="1"/>
        <v>683.2</v>
      </c>
      <c r="J85" s="371" t="s">
        <v>6636</v>
      </c>
      <c r="K85" s="361">
        <f t="shared" si="2"/>
        <v>-683.2</v>
      </c>
      <c r="L85" s="340"/>
      <c r="M85" s="340"/>
      <c r="N85" s="340"/>
      <c r="O85" s="340"/>
      <c r="P85" s="340"/>
      <c r="Q85" s="340"/>
      <c r="R85" s="340"/>
      <c r="S85" s="340"/>
      <c r="T85" s="340"/>
      <c r="U85" s="340"/>
      <c r="V85" s="340"/>
      <c r="W85" s="340"/>
      <c r="X85" s="340"/>
    </row>
    <row r="86" ht="15.75" customHeight="1">
      <c r="A86" s="374">
        <v>80.0</v>
      </c>
      <c r="B86" s="371" t="s">
        <v>4368</v>
      </c>
      <c r="C86" s="371" t="s">
        <v>1395</v>
      </c>
      <c r="D86" s="371"/>
      <c r="E86" s="371" t="s">
        <v>116</v>
      </c>
      <c r="F86" s="371">
        <v>27601.0</v>
      </c>
      <c r="G86" s="372"/>
      <c r="H86" s="371">
        <v>50.0</v>
      </c>
      <c r="I86" s="372">
        <f t="shared" si="1"/>
        <v>13800.5</v>
      </c>
      <c r="J86" s="371" t="s">
        <v>6636</v>
      </c>
      <c r="K86" s="361">
        <f t="shared" si="2"/>
        <v>-13800.5</v>
      </c>
      <c r="L86" s="340"/>
      <c r="M86" s="340"/>
      <c r="N86" s="340"/>
      <c r="O86" s="340"/>
      <c r="P86" s="340"/>
      <c r="Q86" s="340"/>
      <c r="R86" s="340"/>
      <c r="S86" s="340"/>
      <c r="T86" s="340"/>
      <c r="U86" s="340"/>
      <c r="V86" s="340"/>
      <c r="W86" s="340"/>
      <c r="X86" s="340"/>
    </row>
    <row r="87" ht="15.75" customHeight="1">
      <c r="A87" s="374">
        <v>81.0</v>
      </c>
      <c r="B87" s="371" t="s">
        <v>7575</v>
      </c>
      <c r="C87" s="371" t="s">
        <v>1395</v>
      </c>
      <c r="D87" s="371"/>
      <c r="E87" s="371" t="s">
        <v>116</v>
      </c>
      <c r="F87" s="371">
        <v>18152.0</v>
      </c>
      <c r="G87" s="372"/>
      <c r="H87" s="371">
        <v>50.0</v>
      </c>
      <c r="I87" s="372">
        <f t="shared" si="1"/>
        <v>9076</v>
      </c>
      <c r="J87" s="371" t="s">
        <v>6636</v>
      </c>
      <c r="K87" s="361">
        <f t="shared" si="2"/>
        <v>-9076</v>
      </c>
      <c r="L87" s="340"/>
      <c r="M87" s="340"/>
      <c r="N87" s="340"/>
      <c r="O87" s="340"/>
      <c r="P87" s="340"/>
      <c r="Q87" s="340"/>
      <c r="R87" s="340"/>
      <c r="S87" s="340"/>
      <c r="T87" s="340"/>
      <c r="U87" s="340"/>
      <c r="V87" s="340"/>
      <c r="W87" s="340"/>
      <c r="X87" s="340"/>
    </row>
    <row r="88" ht="15.75" customHeight="1">
      <c r="A88" s="374">
        <v>82.0</v>
      </c>
      <c r="B88" s="371" t="s">
        <v>7576</v>
      </c>
      <c r="C88" s="371" t="s">
        <v>966</v>
      </c>
      <c r="D88" s="371"/>
      <c r="E88" s="371" t="s">
        <v>116</v>
      </c>
      <c r="F88" s="371">
        <v>9880.0</v>
      </c>
      <c r="G88" s="372">
        <v>11658.0</v>
      </c>
      <c r="H88" s="371">
        <v>15.0</v>
      </c>
      <c r="I88" s="372">
        <f t="shared" si="1"/>
        <v>1482</v>
      </c>
      <c r="J88" s="371" t="s">
        <v>7507</v>
      </c>
      <c r="K88" s="361">
        <f t="shared" si="2"/>
        <v>10176</v>
      </c>
      <c r="L88" s="340"/>
      <c r="M88" s="340"/>
      <c r="N88" s="340"/>
      <c r="O88" s="340"/>
      <c r="P88" s="340"/>
      <c r="Q88" s="340"/>
      <c r="R88" s="340"/>
      <c r="S88" s="340"/>
      <c r="T88" s="340"/>
      <c r="U88" s="340"/>
      <c r="V88" s="340"/>
      <c r="W88" s="340"/>
      <c r="X88" s="340"/>
    </row>
    <row r="89" ht="15.75" customHeight="1">
      <c r="A89" s="374">
        <v>83.0</v>
      </c>
      <c r="B89" s="371" t="s">
        <v>7577</v>
      </c>
      <c r="C89" s="371" t="s">
        <v>1395</v>
      </c>
      <c r="D89" s="371"/>
      <c r="E89" s="371" t="s">
        <v>116</v>
      </c>
      <c r="F89" s="371">
        <v>25205.0</v>
      </c>
      <c r="G89" s="372">
        <v>28769.0</v>
      </c>
      <c r="H89" s="371">
        <v>50.0</v>
      </c>
      <c r="I89" s="372">
        <f t="shared" si="1"/>
        <v>12602.5</v>
      </c>
      <c r="J89" s="371" t="s">
        <v>7507</v>
      </c>
      <c r="K89" s="361">
        <f t="shared" si="2"/>
        <v>16166.5</v>
      </c>
      <c r="L89" s="340"/>
      <c r="M89" s="340"/>
      <c r="N89" s="340"/>
      <c r="O89" s="340"/>
      <c r="P89" s="340"/>
      <c r="Q89" s="340"/>
      <c r="R89" s="340"/>
      <c r="S89" s="340"/>
      <c r="T89" s="340"/>
      <c r="U89" s="340"/>
      <c r="V89" s="340"/>
      <c r="W89" s="340"/>
      <c r="X89" s="340"/>
    </row>
    <row r="90" ht="15.75" customHeight="1">
      <c r="A90" s="374">
        <v>84.0</v>
      </c>
      <c r="B90" s="371" t="s">
        <v>7578</v>
      </c>
      <c r="C90" s="371" t="s">
        <v>1395</v>
      </c>
      <c r="D90" s="371"/>
      <c r="E90" s="371" t="s">
        <v>116</v>
      </c>
      <c r="F90" s="371">
        <v>18457.0</v>
      </c>
      <c r="G90" s="372">
        <v>20813.0</v>
      </c>
      <c r="H90" s="371">
        <v>50.0</v>
      </c>
      <c r="I90" s="372">
        <f t="shared" si="1"/>
        <v>9228.5</v>
      </c>
      <c r="J90" s="371" t="s">
        <v>7507</v>
      </c>
      <c r="K90" s="361">
        <f t="shared" si="2"/>
        <v>11584.5</v>
      </c>
      <c r="L90" s="340"/>
      <c r="M90" s="340"/>
      <c r="N90" s="340"/>
      <c r="O90" s="340"/>
      <c r="P90" s="340"/>
      <c r="Q90" s="340"/>
      <c r="R90" s="340"/>
      <c r="S90" s="340"/>
      <c r="T90" s="340"/>
      <c r="U90" s="340"/>
      <c r="V90" s="340"/>
      <c r="W90" s="340"/>
      <c r="X90" s="340"/>
    </row>
    <row r="91" ht="15.75" customHeight="1">
      <c r="A91" s="374">
        <v>85.0</v>
      </c>
      <c r="B91" s="371" t="s">
        <v>7579</v>
      </c>
      <c r="C91" s="371" t="s">
        <v>21</v>
      </c>
      <c r="D91" s="371"/>
      <c r="E91" s="371" t="s">
        <v>116</v>
      </c>
      <c r="F91" s="371">
        <v>19066.0</v>
      </c>
      <c r="G91" s="372"/>
      <c r="H91" s="371">
        <v>32.0</v>
      </c>
      <c r="I91" s="372">
        <f t="shared" si="1"/>
        <v>6101.12</v>
      </c>
      <c r="J91" s="371" t="s">
        <v>6636</v>
      </c>
      <c r="K91" s="361">
        <f t="shared" si="2"/>
        <v>-6101.12</v>
      </c>
      <c r="L91" s="340"/>
      <c r="M91" s="340"/>
      <c r="N91" s="340"/>
      <c r="O91" s="340"/>
      <c r="P91" s="340"/>
      <c r="Q91" s="340"/>
      <c r="R91" s="340"/>
      <c r="S91" s="340"/>
      <c r="T91" s="340"/>
      <c r="U91" s="340"/>
      <c r="V91" s="340"/>
      <c r="W91" s="340"/>
      <c r="X91" s="340"/>
    </row>
    <row r="92" ht="15.75" customHeight="1">
      <c r="A92" s="374">
        <v>86.0</v>
      </c>
      <c r="B92" s="371" t="s">
        <v>7580</v>
      </c>
      <c r="C92" s="371" t="s">
        <v>1395</v>
      </c>
      <c r="D92" s="371"/>
      <c r="E92" s="371" t="s">
        <v>116</v>
      </c>
      <c r="F92" s="371">
        <v>17431.0</v>
      </c>
      <c r="G92" s="372"/>
      <c r="H92" s="371">
        <v>50.0</v>
      </c>
      <c r="I92" s="372">
        <f t="shared" si="1"/>
        <v>8715.5</v>
      </c>
      <c r="J92" s="371" t="s">
        <v>6636</v>
      </c>
      <c r="K92" s="361">
        <f t="shared" si="2"/>
        <v>-8715.5</v>
      </c>
      <c r="L92" s="340"/>
      <c r="M92" s="340"/>
      <c r="N92" s="340"/>
      <c r="O92" s="340"/>
      <c r="P92" s="340"/>
      <c r="Q92" s="340"/>
      <c r="R92" s="340"/>
      <c r="S92" s="340"/>
      <c r="T92" s="340"/>
      <c r="U92" s="340"/>
      <c r="V92" s="340"/>
      <c r="W92" s="340"/>
      <c r="X92" s="340"/>
    </row>
    <row r="93" ht="15.75" customHeight="1">
      <c r="A93" s="374">
        <v>87.0</v>
      </c>
      <c r="B93" s="371" t="s">
        <v>7581</v>
      </c>
      <c r="C93" s="371" t="s">
        <v>21</v>
      </c>
      <c r="D93" s="371"/>
      <c r="E93" s="371" t="s">
        <v>116</v>
      </c>
      <c r="F93" s="371">
        <v>16899.0</v>
      </c>
      <c r="G93" s="372"/>
      <c r="H93" s="371">
        <v>32.0</v>
      </c>
      <c r="I93" s="372">
        <f t="shared" si="1"/>
        <v>5407.68</v>
      </c>
      <c r="J93" s="371" t="s">
        <v>6636</v>
      </c>
      <c r="K93" s="361">
        <f t="shared" si="2"/>
        <v>-5407.68</v>
      </c>
      <c r="L93" s="340"/>
      <c r="M93" s="340"/>
      <c r="N93" s="340"/>
      <c r="O93" s="340"/>
      <c r="P93" s="340"/>
      <c r="Q93" s="340"/>
      <c r="R93" s="340"/>
      <c r="S93" s="340"/>
      <c r="T93" s="340"/>
      <c r="U93" s="340"/>
      <c r="V93" s="340"/>
      <c r="W93" s="340"/>
      <c r="X93" s="340"/>
    </row>
    <row r="94" ht="15.75" customHeight="1">
      <c r="A94" s="374">
        <v>88.0</v>
      </c>
      <c r="B94" s="371" t="s">
        <v>7582</v>
      </c>
      <c r="C94" s="371" t="s">
        <v>1395</v>
      </c>
      <c r="D94" s="371"/>
      <c r="E94" s="371" t="s">
        <v>116</v>
      </c>
      <c r="F94" s="371">
        <v>18707.0</v>
      </c>
      <c r="G94" s="372">
        <v>21109.0</v>
      </c>
      <c r="H94" s="371">
        <v>50.0</v>
      </c>
      <c r="I94" s="372">
        <f t="shared" si="1"/>
        <v>9353.5</v>
      </c>
      <c r="J94" s="371" t="s">
        <v>7507</v>
      </c>
      <c r="K94" s="361">
        <f t="shared" si="2"/>
        <v>11755.5</v>
      </c>
      <c r="L94" s="340"/>
      <c r="M94" s="340"/>
      <c r="N94" s="340"/>
      <c r="O94" s="340"/>
      <c r="P94" s="340"/>
      <c r="Q94" s="340"/>
      <c r="R94" s="340"/>
      <c r="S94" s="340"/>
      <c r="T94" s="340"/>
      <c r="U94" s="340"/>
      <c r="V94" s="340"/>
      <c r="W94" s="340"/>
      <c r="X94" s="340"/>
    </row>
    <row r="95" ht="15.75" customHeight="1">
      <c r="A95" s="374">
        <v>89.0</v>
      </c>
      <c r="B95" s="371" t="s">
        <v>7583</v>
      </c>
      <c r="C95" s="371" t="s">
        <v>1395</v>
      </c>
      <c r="D95" s="371"/>
      <c r="E95" s="371" t="s">
        <v>116</v>
      </c>
      <c r="F95" s="371">
        <v>28873.0</v>
      </c>
      <c r="G95" s="372"/>
      <c r="H95" s="371">
        <v>50.0</v>
      </c>
      <c r="I95" s="372">
        <f t="shared" si="1"/>
        <v>14436.5</v>
      </c>
      <c r="J95" s="371" t="s">
        <v>6636</v>
      </c>
      <c r="K95" s="361">
        <f t="shared" si="2"/>
        <v>-14436.5</v>
      </c>
      <c r="L95" s="340"/>
      <c r="M95" s="340"/>
      <c r="N95" s="340"/>
      <c r="O95" s="340"/>
      <c r="P95" s="340"/>
      <c r="Q95" s="340"/>
      <c r="R95" s="340"/>
      <c r="S95" s="340"/>
      <c r="T95" s="340"/>
      <c r="U95" s="340"/>
      <c r="V95" s="340"/>
      <c r="W95" s="340"/>
      <c r="X95" s="340"/>
    </row>
    <row r="96" ht="15.75" customHeight="1">
      <c r="A96" s="374">
        <v>90.0</v>
      </c>
      <c r="B96" s="371" t="s">
        <v>7584</v>
      </c>
      <c r="C96" s="371" t="s">
        <v>7118</v>
      </c>
      <c r="D96" s="371"/>
      <c r="E96" s="371" t="s">
        <v>7099</v>
      </c>
      <c r="F96" s="371">
        <v>3796.0</v>
      </c>
      <c r="G96" s="373"/>
      <c r="H96" s="371">
        <v>23.0</v>
      </c>
      <c r="I96" s="372">
        <f t="shared" si="1"/>
        <v>873.08</v>
      </c>
      <c r="J96" s="371" t="s">
        <v>6636</v>
      </c>
      <c r="K96" s="361">
        <f t="shared" si="2"/>
        <v>-873.08</v>
      </c>
      <c r="L96" s="340"/>
      <c r="M96" s="340"/>
      <c r="N96" s="340"/>
      <c r="O96" s="340"/>
      <c r="P96" s="340"/>
      <c r="Q96" s="340"/>
      <c r="R96" s="340"/>
      <c r="S96" s="340"/>
      <c r="T96" s="340"/>
      <c r="U96" s="340"/>
      <c r="V96" s="340"/>
      <c r="W96" s="340"/>
      <c r="X96" s="340"/>
    </row>
    <row r="97" ht="15.75" customHeight="1">
      <c r="A97" s="374">
        <v>91.0</v>
      </c>
      <c r="B97" s="371" t="s">
        <v>7585</v>
      </c>
      <c r="C97" s="371" t="s">
        <v>1395</v>
      </c>
      <c r="D97" s="371"/>
      <c r="E97" s="371" t="s">
        <v>116</v>
      </c>
      <c r="F97" s="371">
        <v>16961.0</v>
      </c>
      <c r="G97" s="371">
        <v>19045.0</v>
      </c>
      <c r="H97" s="371">
        <v>50.0</v>
      </c>
      <c r="I97" s="372">
        <f t="shared" si="1"/>
        <v>8480.5</v>
      </c>
      <c r="J97" s="371" t="s">
        <v>7507</v>
      </c>
      <c r="K97" s="361">
        <f t="shared" si="2"/>
        <v>10564.5</v>
      </c>
      <c r="L97" s="340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</row>
    <row r="98" ht="15.75" customHeight="1">
      <c r="A98" s="374">
        <v>92.0</v>
      </c>
      <c r="B98" s="371" t="s">
        <v>7586</v>
      </c>
      <c r="C98" s="371" t="s">
        <v>1395</v>
      </c>
      <c r="D98" s="371"/>
      <c r="E98" s="371" t="s">
        <v>116</v>
      </c>
      <c r="F98" s="371">
        <v>29219.0</v>
      </c>
      <c r="G98" s="373"/>
      <c r="H98" s="371">
        <v>50.0</v>
      </c>
      <c r="I98" s="372">
        <f t="shared" si="1"/>
        <v>14609.5</v>
      </c>
      <c r="J98" s="371" t="s">
        <v>6636</v>
      </c>
      <c r="K98" s="361">
        <f t="shared" si="2"/>
        <v>-14609.5</v>
      </c>
      <c r="L98" s="340"/>
      <c r="M98" s="340"/>
      <c r="N98" s="340"/>
      <c r="O98" s="340"/>
      <c r="P98" s="340"/>
      <c r="Q98" s="340"/>
      <c r="R98" s="340"/>
      <c r="S98" s="340"/>
      <c r="T98" s="340"/>
      <c r="U98" s="340"/>
      <c r="V98" s="340"/>
      <c r="W98" s="340"/>
      <c r="X98" s="340"/>
    </row>
    <row r="99" ht="15.75" customHeight="1">
      <c r="A99" s="374">
        <v>93.0</v>
      </c>
      <c r="B99" s="371" t="s">
        <v>7587</v>
      </c>
      <c r="C99" s="371" t="s">
        <v>1395</v>
      </c>
      <c r="D99" s="371"/>
      <c r="E99" s="371" t="s">
        <v>116</v>
      </c>
      <c r="F99" s="371">
        <v>26278.0</v>
      </c>
      <c r="G99" s="373"/>
      <c r="H99" s="371">
        <v>50.0</v>
      </c>
      <c r="I99" s="372">
        <f t="shared" si="1"/>
        <v>13139</v>
      </c>
      <c r="J99" s="371" t="s">
        <v>6636</v>
      </c>
      <c r="K99" s="361">
        <f t="shared" si="2"/>
        <v>-13139</v>
      </c>
      <c r="L99" s="340"/>
      <c r="M99" s="340"/>
      <c r="N99" s="340"/>
      <c r="O99" s="340"/>
      <c r="P99" s="340"/>
      <c r="Q99" s="340"/>
      <c r="R99" s="340"/>
      <c r="S99" s="340"/>
      <c r="T99" s="340"/>
      <c r="U99" s="340"/>
      <c r="V99" s="340"/>
      <c r="W99" s="340"/>
      <c r="X99" s="340"/>
    </row>
    <row r="100" ht="15.75" customHeight="1">
      <c r="A100" s="374">
        <v>94.0</v>
      </c>
      <c r="B100" s="371" t="s">
        <v>7588</v>
      </c>
      <c r="C100" s="371" t="s">
        <v>1395</v>
      </c>
      <c r="D100" s="371"/>
      <c r="E100" s="371" t="s">
        <v>116</v>
      </c>
      <c r="F100" s="371">
        <v>28172.0</v>
      </c>
      <c r="G100" s="371">
        <v>32275.0</v>
      </c>
      <c r="H100" s="371">
        <v>50.0</v>
      </c>
      <c r="I100" s="372">
        <f t="shared" si="1"/>
        <v>14086</v>
      </c>
      <c r="J100" s="371" t="s">
        <v>7507</v>
      </c>
      <c r="K100" s="361">
        <f t="shared" si="2"/>
        <v>18189</v>
      </c>
      <c r="L100" s="340"/>
      <c r="M100" s="340"/>
      <c r="N100" s="340"/>
      <c r="O100" s="340"/>
      <c r="P100" s="340"/>
      <c r="Q100" s="340"/>
      <c r="R100" s="340"/>
      <c r="S100" s="340"/>
      <c r="T100" s="340"/>
      <c r="U100" s="340"/>
      <c r="V100" s="340"/>
      <c r="W100" s="340"/>
      <c r="X100" s="340"/>
    </row>
    <row r="101" ht="15.75" customHeight="1">
      <c r="A101" s="374">
        <v>95.0</v>
      </c>
      <c r="B101" s="371" t="s">
        <v>7589</v>
      </c>
      <c r="C101" s="371" t="s">
        <v>1395</v>
      </c>
      <c r="D101" s="371"/>
      <c r="E101" s="371" t="s">
        <v>116</v>
      </c>
      <c r="F101" s="371">
        <v>18066.0</v>
      </c>
      <c r="G101" s="373"/>
      <c r="H101" s="371">
        <v>50.0</v>
      </c>
      <c r="I101" s="372">
        <f t="shared" si="1"/>
        <v>9033</v>
      </c>
      <c r="J101" s="371" t="s">
        <v>6636</v>
      </c>
      <c r="K101" s="361">
        <f t="shared" si="2"/>
        <v>-9033</v>
      </c>
      <c r="L101" s="340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</row>
    <row r="102" ht="15.75" customHeight="1">
      <c r="A102" s="374">
        <v>96.0</v>
      </c>
      <c r="B102" s="371" t="s">
        <v>7590</v>
      </c>
      <c r="C102" s="371" t="s">
        <v>1395</v>
      </c>
      <c r="D102" s="371"/>
      <c r="E102" s="371" t="s">
        <v>116</v>
      </c>
      <c r="F102" s="371">
        <v>18115.0</v>
      </c>
      <c r="G102" s="373"/>
      <c r="H102" s="371">
        <v>50.0</v>
      </c>
      <c r="I102" s="372">
        <f t="shared" si="1"/>
        <v>9057.5</v>
      </c>
      <c r="J102" s="371" t="s">
        <v>6636</v>
      </c>
      <c r="K102" s="361">
        <f t="shared" si="2"/>
        <v>-9057.5</v>
      </c>
      <c r="L102" s="34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</row>
    <row r="103" ht="15.75" customHeight="1">
      <c r="A103" s="374">
        <v>97.0</v>
      </c>
      <c r="B103" s="371" t="s">
        <v>7591</v>
      </c>
      <c r="C103" s="371" t="s">
        <v>1395</v>
      </c>
      <c r="D103" s="371"/>
      <c r="E103" s="371" t="s">
        <v>116</v>
      </c>
      <c r="F103" s="371">
        <v>18152.0</v>
      </c>
      <c r="G103" s="371">
        <v>20450.0</v>
      </c>
      <c r="H103" s="371">
        <v>50.0</v>
      </c>
      <c r="I103" s="372">
        <f t="shared" si="1"/>
        <v>9076</v>
      </c>
      <c r="J103" s="371" t="s">
        <v>7507</v>
      </c>
      <c r="K103" s="361">
        <f t="shared" si="2"/>
        <v>11374</v>
      </c>
      <c r="L103" s="340"/>
      <c r="M103" s="340"/>
      <c r="N103" s="340"/>
      <c r="O103" s="340"/>
      <c r="P103" s="340"/>
      <c r="Q103" s="340"/>
      <c r="R103" s="340"/>
      <c r="S103" s="340"/>
      <c r="T103" s="340"/>
      <c r="U103" s="340"/>
      <c r="V103" s="340"/>
      <c r="W103" s="340"/>
      <c r="X103" s="340"/>
    </row>
    <row r="104" ht="15.75" customHeight="1">
      <c r="A104" s="374">
        <v>98.0</v>
      </c>
      <c r="B104" s="371" t="s">
        <v>7464</v>
      </c>
      <c r="C104" s="371" t="s">
        <v>1395</v>
      </c>
      <c r="D104" s="371"/>
      <c r="E104" s="371" t="s">
        <v>116</v>
      </c>
      <c r="F104" s="371">
        <v>19017.0</v>
      </c>
      <c r="G104" s="371">
        <v>21471.0</v>
      </c>
      <c r="H104" s="371">
        <v>50.0</v>
      </c>
      <c r="I104" s="372">
        <f t="shared" si="1"/>
        <v>9508.5</v>
      </c>
      <c r="J104" s="371" t="s">
        <v>7507</v>
      </c>
      <c r="K104" s="361">
        <f t="shared" si="2"/>
        <v>11962.5</v>
      </c>
      <c r="L104" s="340"/>
      <c r="M104" s="340"/>
      <c r="N104" s="340"/>
      <c r="O104" s="340"/>
      <c r="P104" s="340"/>
      <c r="Q104" s="340"/>
      <c r="R104" s="340"/>
      <c r="S104" s="340"/>
      <c r="T104" s="340"/>
      <c r="U104" s="340"/>
      <c r="V104" s="340"/>
      <c r="W104" s="340"/>
      <c r="X104" s="340"/>
    </row>
    <row r="105" ht="15.75" customHeight="1">
      <c r="A105" s="374">
        <v>99.0</v>
      </c>
      <c r="B105" s="371" t="s">
        <v>7592</v>
      </c>
      <c r="C105" s="371" t="s">
        <v>1395</v>
      </c>
      <c r="D105" s="371"/>
      <c r="E105" s="371" t="s">
        <v>116</v>
      </c>
      <c r="F105" s="371">
        <v>17911.0</v>
      </c>
      <c r="G105" s="373"/>
      <c r="H105" s="371">
        <v>50.0</v>
      </c>
      <c r="I105" s="372">
        <f t="shared" si="1"/>
        <v>8955.5</v>
      </c>
      <c r="J105" s="371" t="s">
        <v>6636</v>
      </c>
      <c r="K105" s="361">
        <f t="shared" si="2"/>
        <v>-8955.5</v>
      </c>
      <c r="L105" s="340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</row>
    <row r="106" ht="15.75" customHeight="1">
      <c r="A106" s="374">
        <v>100.0</v>
      </c>
      <c r="B106" s="371" t="s">
        <v>7593</v>
      </c>
      <c r="C106" s="371" t="s">
        <v>1395</v>
      </c>
      <c r="D106" s="371"/>
      <c r="E106" s="371" t="s">
        <v>116</v>
      </c>
      <c r="F106" s="371">
        <v>28420.0</v>
      </c>
      <c r="G106" s="371">
        <v>32564.0</v>
      </c>
      <c r="H106" s="371">
        <v>50.0</v>
      </c>
      <c r="I106" s="372">
        <f t="shared" si="1"/>
        <v>14210</v>
      </c>
      <c r="J106" s="371" t="s">
        <v>7507</v>
      </c>
      <c r="K106" s="361">
        <f t="shared" si="2"/>
        <v>18354</v>
      </c>
      <c r="L106" s="340"/>
      <c r="M106" s="340"/>
      <c r="N106" s="340"/>
      <c r="O106" s="340"/>
      <c r="P106" s="340"/>
      <c r="Q106" s="340"/>
      <c r="R106" s="340"/>
      <c r="S106" s="340"/>
      <c r="T106" s="340"/>
      <c r="U106" s="340"/>
      <c r="V106" s="340"/>
      <c r="W106" s="340"/>
      <c r="X106" s="340"/>
    </row>
    <row r="107" ht="15.75" customHeight="1">
      <c r="A107" s="374">
        <v>101.0</v>
      </c>
      <c r="B107" s="371" t="s">
        <v>7594</v>
      </c>
      <c r="C107" s="371" t="s">
        <v>1395</v>
      </c>
      <c r="D107" s="371"/>
      <c r="E107" s="371" t="s">
        <v>116</v>
      </c>
      <c r="F107" s="371">
        <v>17672.0</v>
      </c>
      <c r="G107" s="373"/>
      <c r="H107" s="371">
        <v>50.0</v>
      </c>
      <c r="I107" s="372">
        <f t="shared" si="1"/>
        <v>8836</v>
      </c>
      <c r="J107" s="371" t="s">
        <v>6636</v>
      </c>
      <c r="K107" s="361">
        <f t="shared" si="2"/>
        <v>-8836</v>
      </c>
      <c r="L107" s="340"/>
      <c r="M107" s="340"/>
      <c r="N107" s="340"/>
      <c r="O107" s="340"/>
      <c r="P107" s="340"/>
      <c r="Q107" s="340"/>
      <c r="R107" s="340"/>
      <c r="S107" s="340"/>
      <c r="T107" s="340"/>
      <c r="U107" s="340"/>
      <c r="V107" s="340"/>
      <c r="W107" s="340"/>
      <c r="X107" s="340"/>
    </row>
    <row r="108" ht="15.75" customHeight="1">
      <c r="A108" s="374">
        <v>102.0</v>
      </c>
      <c r="B108" s="371" t="s">
        <v>7595</v>
      </c>
      <c r="C108" s="371" t="s">
        <v>1395</v>
      </c>
      <c r="D108" s="371"/>
      <c r="E108" s="371" t="s">
        <v>116</v>
      </c>
      <c r="F108" s="371">
        <v>26226.0</v>
      </c>
      <c r="G108" s="373"/>
      <c r="H108" s="371">
        <v>50.0</v>
      </c>
      <c r="I108" s="372">
        <f t="shared" si="1"/>
        <v>13113</v>
      </c>
      <c r="J108" s="371" t="s">
        <v>6636</v>
      </c>
      <c r="K108" s="361">
        <f t="shared" si="2"/>
        <v>-13113</v>
      </c>
      <c r="L108" s="340"/>
      <c r="M108" s="340"/>
      <c r="N108" s="340"/>
      <c r="O108" s="340"/>
      <c r="P108" s="340"/>
      <c r="Q108" s="340"/>
      <c r="R108" s="340"/>
      <c r="S108" s="340"/>
      <c r="T108" s="340"/>
      <c r="U108" s="340"/>
      <c r="V108" s="340"/>
      <c r="W108" s="340"/>
      <c r="X108" s="340"/>
    </row>
    <row r="109" ht="15.75" customHeight="1">
      <c r="A109" s="374">
        <v>103.0</v>
      </c>
      <c r="B109" s="371" t="s">
        <v>7596</v>
      </c>
      <c r="C109" s="371" t="s">
        <v>1395</v>
      </c>
      <c r="D109" s="371"/>
      <c r="E109" s="371" t="s">
        <v>116</v>
      </c>
      <c r="F109" s="371">
        <v>17815.0</v>
      </c>
      <c r="G109" s="371">
        <v>20052.0</v>
      </c>
      <c r="H109" s="371">
        <v>50.0</v>
      </c>
      <c r="I109" s="372">
        <f t="shared" si="1"/>
        <v>8907.5</v>
      </c>
      <c r="J109" s="371" t="s">
        <v>7507</v>
      </c>
      <c r="K109" s="361">
        <f t="shared" si="2"/>
        <v>11144.5</v>
      </c>
      <c r="L109" s="34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</row>
    <row r="110" ht="15.75" customHeight="1">
      <c r="A110" s="374">
        <v>104.0</v>
      </c>
      <c r="B110" s="371" t="s">
        <v>7597</v>
      </c>
      <c r="C110" s="371" t="s">
        <v>1395</v>
      </c>
      <c r="D110" s="371"/>
      <c r="E110" s="371" t="s">
        <v>116</v>
      </c>
      <c r="F110" s="371">
        <v>18194.0</v>
      </c>
      <c r="G110" s="373"/>
      <c r="H110" s="371">
        <v>50.0</v>
      </c>
      <c r="I110" s="372">
        <f t="shared" si="1"/>
        <v>9097</v>
      </c>
      <c r="J110" s="371" t="s">
        <v>6636</v>
      </c>
      <c r="K110" s="361">
        <f t="shared" si="2"/>
        <v>-9097</v>
      </c>
      <c r="L110" s="34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</row>
    <row r="111" ht="15.75" customHeight="1">
      <c r="A111" s="374">
        <v>105.0</v>
      </c>
      <c r="B111" s="371" t="s">
        <v>7598</v>
      </c>
      <c r="C111" s="371" t="s">
        <v>1395</v>
      </c>
      <c r="D111" s="371"/>
      <c r="E111" s="371" t="s">
        <v>116</v>
      </c>
      <c r="F111" s="371">
        <v>27393.0</v>
      </c>
      <c r="G111" s="371">
        <v>31355.0</v>
      </c>
      <c r="H111" s="371">
        <v>51.0</v>
      </c>
      <c r="I111" s="372">
        <f t="shared" si="1"/>
        <v>13970.43</v>
      </c>
      <c r="J111" s="371" t="s">
        <v>7507</v>
      </c>
      <c r="K111" s="361">
        <f t="shared" si="2"/>
        <v>17384.57</v>
      </c>
      <c r="L111" s="340"/>
      <c r="M111" s="340"/>
      <c r="N111" s="340"/>
      <c r="O111" s="340"/>
      <c r="P111" s="340"/>
      <c r="Q111" s="340"/>
      <c r="R111" s="340"/>
      <c r="S111" s="340"/>
      <c r="T111" s="340"/>
      <c r="U111" s="340"/>
      <c r="V111" s="340"/>
      <c r="W111" s="340"/>
      <c r="X111" s="340"/>
    </row>
    <row r="112" ht="15.75" customHeight="1">
      <c r="A112" s="374">
        <v>106.0</v>
      </c>
      <c r="B112" s="371" t="s">
        <v>7599</v>
      </c>
      <c r="C112" s="371" t="s">
        <v>1395</v>
      </c>
      <c r="D112" s="371"/>
      <c r="E112" s="371" t="s">
        <v>116</v>
      </c>
      <c r="F112" s="371">
        <v>18080.0</v>
      </c>
      <c r="G112" s="371">
        <v>20366.0</v>
      </c>
      <c r="H112" s="371">
        <v>51.0</v>
      </c>
      <c r="I112" s="372">
        <f t="shared" si="1"/>
        <v>9220.8</v>
      </c>
      <c r="J112" s="371" t="s">
        <v>7507</v>
      </c>
      <c r="K112" s="361">
        <f t="shared" si="2"/>
        <v>11145.2</v>
      </c>
      <c r="L112" s="340"/>
      <c r="M112" s="340"/>
      <c r="N112" s="340"/>
      <c r="O112" s="340"/>
      <c r="P112" s="340"/>
      <c r="Q112" s="340"/>
      <c r="R112" s="340"/>
      <c r="S112" s="340"/>
      <c r="T112" s="340"/>
      <c r="U112" s="340"/>
      <c r="V112" s="340"/>
      <c r="W112" s="340"/>
      <c r="X112" s="340"/>
    </row>
    <row r="113" ht="15.75" customHeight="1">
      <c r="A113" s="374">
        <v>107.0</v>
      </c>
      <c r="B113" s="371" t="s">
        <v>7600</v>
      </c>
      <c r="C113" s="371" t="s">
        <v>1395</v>
      </c>
      <c r="D113" s="371"/>
      <c r="E113" s="371" t="s">
        <v>116</v>
      </c>
      <c r="F113" s="371">
        <v>27485.0</v>
      </c>
      <c r="G113" s="371">
        <v>31463.0</v>
      </c>
      <c r="H113" s="371">
        <v>51.0</v>
      </c>
      <c r="I113" s="372">
        <f t="shared" si="1"/>
        <v>14017.35</v>
      </c>
      <c r="J113" s="371" t="s">
        <v>7507</v>
      </c>
      <c r="K113" s="361">
        <f t="shared" si="2"/>
        <v>17445.65</v>
      </c>
      <c r="L113" s="340"/>
      <c r="M113" s="340"/>
      <c r="N113" s="340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</row>
    <row r="114" ht="15.75" customHeight="1">
      <c r="A114" s="374">
        <v>108.0</v>
      </c>
      <c r="B114" s="371" t="s">
        <v>7601</v>
      </c>
      <c r="C114" s="371" t="s">
        <v>1395</v>
      </c>
      <c r="D114" s="371"/>
      <c r="E114" s="371" t="s">
        <v>116</v>
      </c>
      <c r="F114" s="371">
        <v>18040.0</v>
      </c>
      <c r="G114" s="373"/>
      <c r="H114" s="371">
        <v>51.0</v>
      </c>
      <c r="I114" s="372">
        <f t="shared" si="1"/>
        <v>9200.4</v>
      </c>
      <c r="J114" s="371" t="s">
        <v>6636</v>
      </c>
      <c r="K114" s="361">
        <f t="shared" si="2"/>
        <v>-9200.4</v>
      </c>
      <c r="L114" s="340"/>
      <c r="M114" s="340"/>
      <c r="N114" s="340"/>
      <c r="O114" s="340"/>
      <c r="P114" s="340"/>
      <c r="Q114" s="340"/>
      <c r="R114" s="340"/>
      <c r="S114" s="340"/>
      <c r="T114" s="340"/>
      <c r="U114" s="340"/>
      <c r="V114" s="340"/>
      <c r="W114" s="340"/>
      <c r="X114" s="340"/>
    </row>
    <row r="115" ht="15.75" customHeight="1">
      <c r="A115" s="374">
        <v>109.0</v>
      </c>
      <c r="B115" s="371" t="s">
        <v>7602</v>
      </c>
      <c r="C115" s="371" t="s">
        <v>1395</v>
      </c>
      <c r="D115" s="371"/>
      <c r="E115" s="371" t="s">
        <v>116</v>
      </c>
      <c r="F115" s="371">
        <v>17940.0</v>
      </c>
      <c r="G115" s="373"/>
      <c r="H115" s="371">
        <v>51.0</v>
      </c>
      <c r="I115" s="372">
        <f t="shared" si="1"/>
        <v>9149.4</v>
      </c>
      <c r="J115" s="371" t="s">
        <v>6636</v>
      </c>
      <c r="K115" s="361">
        <f t="shared" si="2"/>
        <v>-9149.4</v>
      </c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</row>
    <row r="116" ht="15.75" customHeight="1">
      <c r="A116" s="374">
        <v>110.0</v>
      </c>
      <c r="B116" s="371" t="s">
        <v>7603</v>
      </c>
      <c r="C116" s="371" t="s">
        <v>2749</v>
      </c>
      <c r="D116" s="371"/>
      <c r="E116" s="371" t="s">
        <v>2752</v>
      </c>
      <c r="F116" s="371">
        <v>24370.0</v>
      </c>
      <c r="G116" s="373"/>
      <c r="H116" s="371">
        <v>20.0</v>
      </c>
      <c r="I116" s="372">
        <f t="shared" si="1"/>
        <v>4874</v>
      </c>
      <c r="J116" s="371" t="s">
        <v>6636</v>
      </c>
      <c r="K116" s="361">
        <f t="shared" si="2"/>
        <v>-4874</v>
      </c>
      <c r="L116" s="340"/>
      <c r="M116" s="340"/>
      <c r="N116" s="340"/>
      <c r="O116" s="340"/>
      <c r="P116" s="340"/>
      <c r="Q116" s="340"/>
      <c r="R116" s="340"/>
      <c r="S116" s="340"/>
      <c r="T116" s="340"/>
      <c r="U116" s="340"/>
      <c r="V116" s="340"/>
      <c r="W116" s="340"/>
      <c r="X116" s="340"/>
    </row>
    <row r="117" ht="15.75" customHeight="1">
      <c r="A117" s="374">
        <v>111.0</v>
      </c>
      <c r="B117" s="371" t="s">
        <v>7604</v>
      </c>
      <c r="C117" s="371" t="s">
        <v>1395</v>
      </c>
      <c r="D117" s="371"/>
      <c r="E117" s="371" t="s">
        <v>116</v>
      </c>
      <c r="F117" s="371">
        <v>18658.0</v>
      </c>
      <c r="G117" s="371">
        <v>21048.0</v>
      </c>
      <c r="H117" s="371">
        <v>51.0</v>
      </c>
      <c r="I117" s="372">
        <f t="shared" si="1"/>
        <v>9515.58</v>
      </c>
      <c r="J117" s="371" t="s">
        <v>7507</v>
      </c>
      <c r="K117" s="361">
        <f t="shared" si="2"/>
        <v>11532.42</v>
      </c>
      <c r="L117" s="340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</row>
    <row r="118" ht="15.75" customHeight="1">
      <c r="A118" s="374">
        <v>112.0</v>
      </c>
      <c r="B118" s="371" t="s">
        <v>7605</v>
      </c>
      <c r="C118" s="371" t="s">
        <v>1395</v>
      </c>
      <c r="D118" s="371"/>
      <c r="E118" s="371" t="s">
        <v>116</v>
      </c>
      <c r="F118" s="371">
        <v>26440.0</v>
      </c>
      <c r="G118" s="373"/>
      <c r="H118" s="371">
        <v>51.0</v>
      </c>
      <c r="I118" s="372">
        <f t="shared" si="1"/>
        <v>13484.4</v>
      </c>
      <c r="J118" s="371" t="s">
        <v>6636</v>
      </c>
      <c r="K118" s="361">
        <f t="shared" si="2"/>
        <v>-13484.4</v>
      </c>
      <c r="L118" s="340"/>
      <c r="M118" s="340"/>
      <c r="N118" s="340"/>
      <c r="O118" s="340"/>
      <c r="P118" s="340"/>
      <c r="Q118" s="340"/>
      <c r="R118" s="340"/>
      <c r="S118" s="340"/>
      <c r="T118" s="340"/>
      <c r="U118" s="340"/>
      <c r="V118" s="340"/>
      <c r="W118" s="340"/>
      <c r="X118" s="340"/>
    </row>
    <row r="119" ht="15.75" customHeight="1">
      <c r="A119" s="374">
        <v>113.0</v>
      </c>
      <c r="B119" s="371" t="s">
        <v>7606</v>
      </c>
      <c r="C119" s="371" t="s">
        <v>1395</v>
      </c>
      <c r="D119" s="371"/>
      <c r="E119" s="371" t="s">
        <v>116</v>
      </c>
      <c r="F119" s="371">
        <v>28029.0</v>
      </c>
      <c r="G119" s="371">
        <v>32105.0</v>
      </c>
      <c r="H119" s="371">
        <v>51.0</v>
      </c>
      <c r="I119" s="372">
        <f t="shared" si="1"/>
        <v>14294.79</v>
      </c>
      <c r="J119" s="371" t="s">
        <v>7507</v>
      </c>
      <c r="K119" s="361">
        <f t="shared" si="2"/>
        <v>17810.21</v>
      </c>
      <c r="L119" s="34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</row>
    <row r="120" ht="15.75" customHeight="1">
      <c r="A120" s="374">
        <v>114.0</v>
      </c>
      <c r="B120" s="371" t="s">
        <v>7607</v>
      </c>
      <c r="C120" s="371" t="s">
        <v>1395</v>
      </c>
      <c r="D120" s="371"/>
      <c r="E120" s="371" t="s">
        <v>116</v>
      </c>
      <c r="F120" s="371">
        <v>25185.0</v>
      </c>
      <c r="G120" s="373"/>
      <c r="H120" s="371">
        <v>51.0</v>
      </c>
      <c r="I120" s="372">
        <f t="shared" si="1"/>
        <v>12844.35</v>
      </c>
      <c r="J120" s="371" t="s">
        <v>6636</v>
      </c>
      <c r="K120" s="361">
        <f t="shared" si="2"/>
        <v>-12844.35</v>
      </c>
      <c r="L120" s="340"/>
      <c r="M120" s="340"/>
      <c r="N120" s="340"/>
      <c r="O120" s="340"/>
      <c r="P120" s="340"/>
      <c r="Q120" s="340"/>
      <c r="R120" s="340"/>
      <c r="S120" s="340"/>
      <c r="T120" s="340"/>
      <c r="U120" s="340"/>
      <c r="V120" s="340"/>
      <c r="W120" s="340"/>
      <c r="X120" s="340"/>
    </row>
    <row r="121" ht="15.75" customHeight="1">
      <c r="A121" s="374">
        <v>115.0</v>
      </c>
      <c r="B121" s="371" t="s">
        <v>7608</v>
      </c>
      <c r="C121" s="371" t="s">
        <v>1395</v>
      </c>
      <c r="D121" s="371"/>
      <c r="E121" s="371" t="s">
        <v>116</v>
      </c>
      <c r="F121" s="371">
        <v>17068.0</v>
      </c>
      <c r="G121" s="373"/>
      <c r="H121" s="371">
        <v>51.0</v>
      </c>
      <c r="I121" s="372">
        <f t="shared" si="1"/>
        <v>8704.68</v>
      </c>
      <c r="J121" s="371" t="s">
        <v>6636</v>
      </c>
      <c r="K121" s="361">
        <f t="shared" si="2"/>
        <v>-8704.68</v>
      </c>
      <c r="L121" s="340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</row>
    <row r="122" ht="15.75" customHeight="1">
      <c r="A122" s="374">
        <v>116.0</v>
      </c>
      <c r="B122" s="371" t="s">
        <v>7609</v>
      </c>
      <c r="C122" s="371" t="s">
        <v>7134</v>
      </c>
      <c r="D122" s="371"/>
      <c r="E122" s="371" t="s">
        <v>65</v>
      </c>
      <c r="F122" s="371">
        <v>44050.0</v>
      </c>
      <c r="G122" s="373"/>
      <c r="H122" s="371">
        <v>39.0</v>
      </c>
      <c r="I122" s="372">
        <f t="shared" si="1"/>
        <v>17179.5</v>
      </c>
      <c r="J122" s="371" t="s">
        <v>6636</v>
      </c>
      <c r="K122" s="361">
        <f t="shared" si="2"/>
        <v>-17179.5</v>
      </c>
      <c r="L122" s="340"/>
      <c r="M122" s="340"/>
      <c r="N122" s="340"/>
      <c r="O122" s="340"/>
      <c r="P122" s="340"/>
      <c r="Q122" s="340"/>
      <c r="R122" s="340"/>
      <c r="S122" s="340"/>
      <c r="T122" s="340"/>
      <c r="U122" s="340"/>
      <c r="V122" s="340"/>
      <c r="W122" s="340"/>
      <c r="X122" s="340"/>
    </row>
    <row r="123" ht="15.75" customHeight="1">
      <c r="A123" s="374">
        <v>117.0</v>
      </c>
      <c r="B123" s="371" t="s">
        <v>7610</v>
      </c>
      <c r="C123" s="373"/>
      <c r="D123" s="373"/>
      <c r="E123" s="373"/>
      <c r="F123" s="373"/>
      <c r="G123" s="371">
        <v>2842.0</v>
      </c>
      <c r="H123" s="373"/>
      <c r="I123" s="372">
        <f t="shared" si="1"/>
        <v>0</v>
      </c>
      <c r="J123" s="375"/>
      <c r="K123" s="361">
        <f t="shared" si="2"/>
        <v>2842</v>
      </c>
      <c r="L123" s="340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  <c r="W123" s="340"/>
      <c r="X123" s="340"/>
    </row>
    <row r="124" ht="15.75" customHeight="1">
      <c r="A124" s="374">
        <v>118.0</v>
      </c>
      <c r="B124" s="371" t="s">
        <v>7611</v>
      </c>
      <c r="C124" s="371" t="s">
        <v>1395</v>
      </c>
      <c r="D124" s="371"/>
      <c r="E124" s="371" t="s">
        <v>116</v>
      </c>
      <c r="F124" s="371">
        <v>18559.0</v>
      </c>
      <c r="G124" s="371">
        <v>20931.0</v>
      </c>
      <c r="H124" s="371">
        <v>51.0</v>
      </c>
      <c r="I124" s="372">
        <f t="shared" si="1"/>
        <v>9465.09</v>
      </c>
      <c r="J124" s="371" t="s">
        <v>7507</v>
      </c>
      <c r="K124" s="361">
        <f t="shared" si="2"/>
        <v>11465.91</v>
      </c>
      <c r="L124" s="340"/>
      <c r="M124" s="340"/>
      <c r="N124" s="340"/>
      <c r="O124" s="340"/>
      <c r="P124" s="340"/>
      <c r="Q124" s="340"/>
      <c r="R124" s="340"/>
      <c r="S124" s="340"/>
      <c r="T124" s="340"/>
      <c r="U124" s="340"/>
      <c r="V124" s="340"/>
      <c r="W124" s="340"/>
      <c r="X124" s="340"/>
    </row>
    <row r="125" ht="15.75" customHeight="1">
      <c r="A125" s="374">
        <v>119.0</v>
      </c>
      <c r="B125" s="371" t="s">
        <v>7612</v>
      </c>
      <c r="C125" s="371" t="s">
        <v>1395</v>
      </c>
      <c r="D125" s="371"/>
      <c r="E125" s="371" t="s">
        <v>116</v>
      </c>
      <c r="F125" s="371">
        <v>26212.0</v>
      </c>
      <c r="G125" s="371">
        <v>29960.0</v>
      </c>
      <c r="H125" s="371">
        <v>51.0</v>
      </c>
      <c r="I125" s="372">
        <f t="shared" si="1"/>
        <v>13368.12</v>
      </c>
      <c r="J125" s="371" t="s">
        <v>7507</v>
      </c>
      <c r="K125" s="361">
        <f t="shared" si="2"/>
        <v>16591.88</v>
      </c>
      <c r="L125" s="340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</row>
    <row r="126" ht="15.75" customHeight="1">
      <c r="A126" s="374">
        <v>120.0</v>
      </c>
      <c r="B126" s="371" t="s">
        <v>7613</v>
      </c>
      <c r="C126" s="371" t="s">
        <v>1395</v>
      </c>
      <c r="D126" s="371"/>
      <c r="E126" s="371" t="s">
        <v>116</v>
      </c>
      <c r="F126" s="371">
        <v>17332.0</v>
      </c>
      <c r="G126" s="371">
        <v>19482.0</v>
      </c>
      <c r="H126" s="371">
        <v>51.0</v>
      </c>
      <c r="I126" s="372">
        <f t="shared" si="1"/>
        <v>8839.32</v>
      </c>
      <c r="J126" s="371" t="s">
        <v>7507</v>
      </c>
      <c r="K126" s="361">
        <f t="shared" si="2"/>
        <v>10642.68</v>
      </c>
      <c r="L126" s="340"/>
      <c r="M126" s="340"/>
      <c r="N126" s="340"/>
      <c r="O126" s="340"/>
      <c r="P126" s="340"/>
      <c r="Q126" s="340"/>
      <c r="R126" s="340"/>
      <c r="S126" s="340"/>
      <c r="T126" s="340"/>
      <c r="U126" s="340"/>
      <c r="V126" s="340"/>
      <c r="W126" s="340"/>
      <c r="X126" s="340"/>
    </row>
    <row r="127" ht="15.75" customHeight="1">
      <c r="A127" s="374">
        <v>121.0</v>
      </c>
      <c r="B127" s="371" t="s">
        <v>4744</v>
      </c>
      <c r="C127" s="371" t="s">
        <v>93</v>
      </c>
      <c r="D127" s="371"/>
      <c r="E127" s="371" t="s">
        <v>116</v>
      </c>
      <c r="F127" s="371">
        <v>17481.0</v>
      </c>
      <c r="G127" s="371">
        <v>19659.0</v>
      </c>
      <c r="H127" s="371">
        <v>32.0</v>
      </c>
      <c r="I127" s="372">
        <f t="shared" si="1"/>
        <v>5593.92</v>
      </c>
      <c r="J127" s="371" t="s">
        <v>7507</v>
      </c>
      <c r="K127" s="361">
        <f t="shared" si="2"/>
        <v>14065.08</v>
      </c>
      <c r="L127" s="340"/>
      <c r="M127" s="340"/>
      <c r="N127" s="340"/>
      <c r="O127" s="340"/>
      <c r="P127" s="340"/>
      <c r="Q127" s="340"/>
      <c r="R127" s="340"/>
      <c r="S127" s="340"/>
      <c r="T127" s="340"/>
      <c r="U127" s="340"/>
      <c r="V127" s="340"/>
      <c r="W127" s="340"/>
      <c r="X127" s="340"/>
    </row>
    <row r="128" ht="15.75" customHeight="1">
      <c r="A128" s="374">
        <v>122.0</v>
      </c>
      <c r="B128" s="371" t="s">
        <v>7614</v>
      </c>
      <c r="C128" s="371" t="s">
        <v>1395</v>
      </c>
      <c r="D128" s="371"/>
      <c r="E128" s="371" t="s">
        <v>116</v>
      </c>
      <c r="F128" s="371">
        <v>17824.0</v>
      </c>
      <c r="G128" s="371">
        <v>20064.0</v>
      </c>
      <c r="H128" s="371">
        <v>51.0</v>
      </c>
      <c r="I128" s="372">
        <f t="shared" si="1"/>
        <v>9090.24</v>
      </c>
      <c r="J128" s="371" t="s">
        <v>7507</v>
      </c>
      <c r="K128" s="361">
        <f t="shared" si="2"/>
        <v>10973.76</v>
      </c>
      <c r="L128" s="340"/>
      <c r="M128" s="340"/>
      <c r="N128" s="340"/>
      <c r="O128" s="340"/>
      <c r="P128" s="340"/>
      <c r="Q128" s="340"/>
      <c r="R128" s="340"/>
      <c r="S128" s="340"/>
      <c r="T128" s="340"/>
      <c r="U128" s="340"/>
      <c r="V128" s="340"/>
      <c r="W128" s="340"/>
      <c r="X128" s="340"/>
    </row>
    <row r="129" ht="15.75" customHeight="1">
      <c r="A129" s="374">
        <v>123.0</v>
      </c>
      <c r="B129" s="371" t="s">
        <v>7615</v>
      </c>
      <c r="C129" s="371" t="s">
        <v>1395</v>
      </c>
      <c r="D129" s="371"/>
      <c r="E129" s="371" t="s">
        <v>116</v>
      </c>
      <c r="F129" s="371">
        <v>17877.0</v>
      </c>
      <c r="G129" s="371">
        <v>20125.0</v>
      </c>
      <c r="H129" s="371">
        <v>51.0</v>
      </c>
      <c r="I129" s="372">
        <f t="shared" si="1"/>
        <v>9117.27</v>
      </c>
      <c r="J129" s="371" t="s">
        <v>7507</v>
      </c>
      <c r="K129" s="361">
        <f t="shared" si="2"/>
        <v>11007.73</v>
      </c>
      <c r="L129" s="340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</row>
    <row r="130" ht="15.75" customHeight="1">
      <c r="A130" s="374">
        <v>124.0</v>
      </c>
      <c r="B130" s="371" t="s">
        <v>7616</v>
      </c>
      <c r="C130" s="371" t="s">
        <v>1395</v>
      </c>
      <c r="D130" s="371"/>
      <c r="E130" s="371" t="s">
        <v>116</v>
      </c>
      <c r="F130" s="371">
        <v>25323.0</v>
      </c>
      <c r="G130" s="371">
        <v>28911.0</v>
      </c>
      <c r="H130" s="371">
        <v>51.0</v>
      </c>
      <c r="I130" s="372">
        <f t="shared" si="1"/>
        <v>12914.73</v>
      </c>
      <c r="J130" s="371" t="s">
        <v>7507</v>
      </c>
      <c r="K130" s="361">
        <f t="shared" si="2"/>
        <v>15996.27</v>
      </c>
      <c r="L130" s="340"/>
      <c r="M130" s="340"/>
      <c r="N130" s="340"/>
      <c r="O130" s="340"/>
      <c r="P130" s="340"/>
      <c r="Q130" s="340"/>
      <c r="R130" s="340"/>
      <c r="S130" s="340"/>
      <c r="T130" s="340"/>
      <c r="U130" s="340"/>
      <c r="V130" s="340"/>
      <c r="W130" s="340"/>
      <c r="X130" s="340"/>
    </row>
    <row r="131" ht="15.75" customHeight="1">
      <c r="A131" s="374">
        <v>125.0</v>
      </c>
      <c r="B131" s="371" t="s">
        <v>7617</v>
      </c>
      <c r="C131" s="371" t="s">
        <v>1395</v>
      </c>
      <c r="D131" s="371"/>
      <c r="E131" s="371" t="s">
        <v>116</v>
      </c>
      <c r="F131" s="371">
        <v>28452.0</v>
      </c>
      <c r="G131" s="373"/>
      <c r="H131" s="371">
        <v>51.0</v>
      </c>
      <c r="I131" s="372">
        <f t="shared" si="1"/>
        <v>14510.52</v>
      </c>
      <c r="J131" s="371" t="s">
        <v>6636</v>
      </c>
      <c r="K131" s="361">
        <f t="shared" si="2"/>
        <v>-14510.52</v>
      </c>
      <c r="L131" s="340"/>
      <c r="M131" s="340"/>
      <c r="N131" s="340"/>
      <c r="O131" s="340"/>
      <c r="P131" s="340"/>
      <c r="Q131" s="340"/>
      <c r="R131" s="340"/>
      <c r="S131" s="340"/>
      <c r="T131" s="340"/>
      <c r="U131" s="340"/>
      <c r="V131" s="340"/>
      <c r="W131" s="340"/>
      <c r="X131" s="340"/>
    </row>
    <row r="132" ht="15.75" customHeight="1">
      <c r="A132" s="374">
        <v>126.0</v>
      </c>
      <c r="B132" s="371" t="s">
        <v>7618</v>
      </c>
      <c r="C132" s="371" t="s">
        <v>1395</v>
      </c>
      <c r="D132" s="371"/>
      <c r="E132" s="371" t="s">
        <v>116</v>
      </c>
      <c r="F132" s="371">
        <v>18192.0</v>
      </c>
      <c r="G132" s="373"/>
      <c r="H132" s="371">
        <v>51.0</v>
      </c>
      <c r="I132" s="372">
        <f t="shared" si="1"/>
        <v>9277.92</v>
      </c>
      <c r="J132" s="371" t="s">
        <v>6636</v>
      </c>
      <c r="K132" s="361">
        <f t="shared" si="2"/>
        <v>-9277.92</v>
      </c>
      <c r="L132" s="340"/>
      <c r="M132" s="340"/>
      <c r="N132" s="340"/>
      <c r="O132" s="340"/>
      <c r="P132" s="340"/>
      <c r="Q132" s="340"/>
      <c r="R132" s="340"/>
      <c r="S132" s="340"/>
      <c r="T132" s="340"/>
      <c r="U132" s="340"/>
      <c r="V132" s="340"/>
      <c r="W132" s="340"/>
      <c r="X132" s="340"/>
    </row>
    <row r="133" ht="15.75" customHeight="1">
      <c r="A133" s="374">
        <v>127.0</v>
      </c>
      <c r="B133" s="371" t="s">
        <v>7619</v>
      </c>
      <c r="C133" s="371" t="s">
        <v>1395</v>
      </c>
      <c r="D133" s="371"/>
      <c r="E133" s="371" t="s">
        <v>116</v>
      </c>
      <c r="F133" s="371">
        <v>16691.0</v>
      </c>
      <c r="G133" s="371">
        <v>18727.0</v>
      </c>
      <c r="H133" s="371">
        <v>51.0</v>
      </c>
      <c r="I133" s="372">
        <f t="shared" si="1"/>
        <v>8512.41</v>
      </c>
      <c r="J133" s="371" t="s">
        <v>7507</v>
      </c>
      <c r="K133" s="361">
        <f t="shared" si="2"/>
        <v>10214.59</v>
      </c>
      <c r="L133" s="340"/>
      <c r="M133" s="340"/>
      <c r="N133" s="340"/>
      <c r="O133" s="340"/>
      <c r="P133" s="340"/>
      <c r="Q133" s="340"/>
      <c r="R133" s="340"/>
      <c r="S133" s="340"/>
      <c r="T133" s="340"/>
      <c r="U133" s="340"/>
      <c r="V133" s="340"/>
      <c r="W133" s="340"/>
      <c r="X133" s="340"/>
    </row>
    <row r="134" ht="15.75" customHeight="1">
      <c r="A134" s="374">
        <v>128.0</v>
      </c>
      <c r="B134" s="371" t="s">
        <v>7620</v>
      </c>
      <c r="C134" s="371" t="s">
        <v>1395</v>
      </c>
      <c r="D134" s="371"/>
      <c r="E134" s="371" t="s">
        <v>116</v>
      </c>
      <c r="F134" s="371">
        <v>16691.0</v>
      </c>
      <c r="G134" s="371">
        <v>18727.0</v>
      </c>
      <c r="H134" s="371">
        <v>51.0</v>
      </c>
      <c r="I134" s="372">
        <f t="shared" si="1"/>
        <v>8512.41</v>
      </c>
      <c r="J134" s="371" t="s">
        <v>7507</v>
      </c>
      <c r="K134" s="361">
        <f t="shared" si="2"/>
        <v>10214.59</v>
      </c>
      <c r="L134" s="340"/>
      <c r="M134" s="340"/>
      <c r="N134" s="340"/>
      <c r="O134" s="340"/>
      <c r="P134" s="340"/>
      <c r="Q134" s="340"/>
      <c r="R134" s="340"/>
      <c r="S134" s="340"/>
      <c r="T134" s="340"/>
      <c r="U134" s="340"/>
      <c r="V134" s="340"/>
      <c r="W134" s="340"/>
      <c r="X134" s="340"/>
    </row>
    <row r="135" ht="15.75" customHeight="1">
      <c r="A135" s="374">
        <v>129.0</v>
      </c>
      <c r="B135" s="371" t="s">
        <v>7621</v>
      </c>
      <c r="C135" s="371" t="s">
        <v>1395</v>
      </c>
      <c r="D135" s="371"/>
      <c r="E135" s="371" t="s">
        <v>116</v>
      </c>
      <c r="F135" s="371">
        <v>18956.0</v>
      </c>
      <c r="G135" s="371">
        <v>21398.0</v>
      </c>
      <c r="H135" s="371">
        <v>51.0</v>
      </c>
      <c r="I135" s="372">
        <f t="shared" si="1"/>
        <v>9667.56</v>
      </c>
      <c r="J135" s="371" t="s">
        <v>7507</v>
      </c>
      <c r="K135" s="361">
        <f t="shared" si="2"/>
        <v>11730.44</v>
      </c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</row>
    <row r="136" ht="15.75" customHeight="1">
      <c r="A136" s="374">
        <v>130.0</v>
      </c>
      <c r="B136" s="371" t="s">
        <v>7622</v>
      </c>
      <c r="C136" s="371" t="s">
        <v>21</v>
      </c>
      <c r="D136" s="371"/>
      <c r="E136" s="371" t="s">
        <v>70</v>
      </c>
      <c r="F136" s="371">
        <v>55966.0</v>
      </c>
      <c r="G136" s="373"/>
      <c r="H136" s="371">
        <v>14.0</v>
      </c>
      <c r="I136" s="372">
        <f t="shared" si="1"/>
        <v>7835.24</v>
      </c>
      <c r="J136" s="371" t="s">
        <v>6636</v>
      </c>
      <c r="K136" s="361">
        <f t="shared" si="2"/>
        <v>-7835.24</v>
      </c>
      <c r="L136" s="340"/>
      <c r="M136" s="340"/>
      <c r="N136" s="340"/>
      <c r="O136" s="340"/>
      <c r="P136" s="340"/>
      <c r="Q136" s="340"/>
      <c r="R136" s="340"/>
      <c r="S136" s="340"/>
      <c r="T136" s="340"/>
      <c r="U136" s="340"/>
      <c r="V136" s="340"/>
      <c r="W136" s="340"/>
      <c r="X136" s="340"/>
    </row>
    <row r="137" ht="15.75" customHeight="1">
      <c r="A137" s="374">
        <v>131.0</v>
      </c>
      <c r="B137" s="371" t="s">
        <v>7623</v>
      </c>
      <c r="C137" s="371" t="s">
        <v>21</v>
      </c>
      <c r="D137" s="371"/>
      <c r="E137" s="371" t="s">
        <v>70</v>
      </c>
      <c r="F137" s="371">
        <v>55966.0</v>
      </c>
      <c r="G137" s="373"/>
      <c r="H137" s="371">
        <v>14.0</v>
      </c>
      <c r="I137" s="372">
        <f t="shared" si="1"/>
        <v>7835.24</v>
      </c>
      <c r="J137" s="371" t="s">
        <v>6636</v>
      </c>
      <c r="K137" s="361">
        <f t="shared" si="2"/>
        <v>-7835.24</v>
      </c>
      <c r="L137" s="340"/>
      <c r="M137" s="340"/>
      <c r="N137" s="340"/>
      <c r="O137" s="340"/>
      <c r="P137" s="340"/>
      <c r="Q137" s="340"/>
      <c r="R137" s="340"/>
      <c r="S137" s="340"/>
      <c r="T137" s="340"/>
      <c r="U137" s="340"/>
      <c r="V137" s="340"/>
      <c r="W137" s="340"/>
      <c r="X137" s="340"/>
    </row>
    <row r="138" ht="15.75" customHeight="1">
      <c r="A138" s="374">
        <v>132.0</v>
      </c>
      <c r="B138" s="371" t="s">
        <v>7624</v>
      </c>
      <c r="C138" s="371" t="s">
        <v>1395</v>
      </c>
      <c r="D138" s="371"/>
      <c r="E138" s="371" t="s">
        <v>116</v>
      </c>
      <c r="F138" s="371">
        <v>18449.0</v>
      </c>
      <c r="G138" s="371">
        <v>20801.0</v>
      </c>
      <c r="H138" s="371">
        <v>51.0</v>
      </c>
      <c r="I138" s="372">
        <f t="shared" si="1"/>
        <v>9408.99</v>
      </c>
      <c r="J138" s="371" t="s">
        <v>7507</v>
      </c>
      <c r="K138" s="361">
        <f t="shared" si="2"/>
        <v>11392.01</v>
      </c>
      <c r="L138" s="340"/>
      <c r="M138" s="340"/>
      <c r="N138" s="340"/>
      <c r="O138" s="340"/>
      <c r="P138" s="340"/>
      <c r="Q138" s="340"/>
      <c r="R138" s="340"/>
      <c r="S138" s="340"/>
      <c r="T138" s="340"/>
      <c r="U138" s="340"/>
      <c r="V138" s="340"/>
      <c r="W138" s="340"/>
      <c r="X138" s="340"/>
    </row>
    <row r="139" ht="15.75" customHeight="1">
      <c r="A139" s="374">
        <v>133.0</v>
      </c>
      <c r="B139" s="371" t="s">
        <v>7625</v>
      </c>
      <c r="C139" s="371" t="s">
        <v>1395</v>
      </c>
      <c r="D139" s="371"/>
      <c r="E139" s="371" t="s">
        <v>116</v>
      </c>
      <c r="F139" s="371">
        <v>18332.0</v>
      </c>
      <c r="G139" s="371">
        <v>20664.0</v>
      </c>
      <c r="H139" s="371">
        <v>51.0</v>
      </c>
      <c r="I139" s="372">
        <f t="shared" si="1"/>
        <v>9349.32</v>
      </c>
      <c r="J139" s="371" t="s">
        <v>7507</v>
      </c>
      <c r="K139" s="361">
        <f t="shared" si="2"/>
        <v>11314.68</v>
      </c>
      <c r="L139" s="340"/>
      <c r="M139" s="340"/>
      <c r="N139" s="340"/>
      <c r="O139" s="340"/>
      <c r="P139" s="340"/>
      <c r="Q139" s="340"/>
      <c r="R139" s="340"/>
      <c r="S139" s="340"/>
      <c r="T139" s="340"/>
      <c r="U139" s="340"/>
      <c r="V139" s="340"/>
      <c r="W139" s="340"/>
      <c r="X139" s="340"/>
    </row>
    <row r="140" ht="15.75" customHeight="1">
      <c r="A140" s="374">
        <v>134.0</v>
      </c>
      <c r="B140" s="371" t="s">
        <v>7626</v>
      </c>
      <c r="C140" s="371" t="s">
        <v>1395</v>
      </c>
      <c r="D140" s="371"/>
      <c r="E140" s="371" t="s">
        <v>1424</v>
      </c>
      <c r="F140" s="371">
        <v>17623.0</v>
      </c>
      <c r="G140" s="371">
        <v>19833.0</v>
      </c>
      <c r="H140" s="371">
        <v>53.0</v>
      </c>
      <c r="I140" s="372">
        <f t="shared" si="1"/>
        <v>9340.19</v>
      </c>
      <c r="J140" s="371" t="s">
        <v>6636</v>
      </c>
      <c r="K140" s="361">
        <f t="shared" si="2"/>
        <v>10492.81</v>
      </c>
      <c r="L140" s="340"/>
      <c r="M140" s="340"/>
      <c r="N140" s="340"/>
      <c r="O140" s="340"/>
      <c r="P140" s="340"/>
      <c r="Q140" s="340"/>
      <c r="R140" s="340"/>
      <c r="S140" s="340"/>
      <c r="T140" s="340"/>
      <c r="U140" s="340"/>
      <c r="V140" s="340"/>
      <c r="W140" s="340"/>
      <c r="X140" s="340"/>
    </row>
    <row r="141" ht="15.75" customHeight="1">
      <c r="A141" s="374">
        <v>135.0</v>
      </c>
      <c r="B141" s="371" t="s">
        <v>4863</v>
      </c>
      <c r="C141" s="371" t="s">
        <v>21</v>
      </c>
      <c r="D141" s="371"/>
      <c r="E141" s="371" t="s">
        <v>116</v>
      </c>
      <c r="F141" s="371">
        <v>40660.0</v>
      </c>
      <c r="G141" s="373"/>
      <c r="H141" s="371">
        <v>17.0</v>
      </c>
      <c r="I141" s="372">
        <f t="shared" si="1"/>
        <v>6912.2</v>
      </c>
      <c r="J141" s="371" t="s">
        <v>6636</v>
      </c>
      <c r="K141" s="361">
        <f t="shared" si="2"/>
        <v>-6912.2</v>
      </c>
      <c r="L141" s="340"/>
      <c r="M141" s="340"/>
      <c r="N141" s="340"/>
      <c r="O141" s="340"/>
      <c r="P141" s="340"/>
      <c r="Q141" s="340"/>
      <c r="R141" s="340"/>
      <c r="S141" s="340"/>
      <c r="T141" s="340"/>
      <c r="U141" s="340"/>
      <c r="V141" s="340"/>
      <c r="W141" s="340"/>
      <c r="X141" s="340"/>
    </row>
    <row r="142" ht="15.75" customHeight="1">
      <c r="A142" s="374">
        <v>136.0</v>
      </c>
      <c r="B142" s="371" t="s">
        <v>7627</v>
      </c>
      <c r="C142" s="371" t="s">
        <v>21</v>
      </c>
      <c r="D142" s="371"/>
      <c r="E142" s="371" t="s">
        <v>48</v>
      </c>
      <c r="F142" s="371">
        <v>79203.0</v>
      </c>
      <c r="G142" s="373"/>
      <c r="H142" s="371">
        <v>20.0</v>
      </c>
      <c r="I142" s="372">
        <f t="shared" si="1"/>
        <v>15840.6</v>
      </c>
      <c r="J142" s="371" t="s">
        <v>6636</v>
      </c>
      <c r="K142" s="361">
        <f t="shared" si="2"/>
        <v>-15840.6</v>
      </c>
      <c r="L142" s="340"/>
      <c r="M142" s="340"/>
      <c r="N142" s="340"/>
      <c r="O142" s="340"/>
      <c r="P142" s="340"/>
      <c r="Q142" s="340"/>
      <c r="R142" s="340"/>
      <c r="S142" s="340"/>
      <c r="T142" s="340"/>
      <c r="U142" s="340"/>
      <c r="V142" s="340"/>
      <c r="W142" s="340"/>
      <c r="X142" s="340"/>
    </row>
    <row r="143" ht="15.75" customHeight="1">
      <c r="A143" s="374">
        <v>137.0</v>
      </c>
      <c r="B143" s="371" t="s">
        <v>7628</v>
      </c>
      <c r="C143" s="371" t="s">
        <v>3035</v>
      </c>
      <c r="D143" s="371"/>
      <c r="E143" s="371" t="s">
        <v>78</v>
      </c>
      <c r="F143" s="371">
        <v>8549.0</v>
      </c>
      <c r="G143" s="373"/>
      <c r="H143" s="371">
        <v>45.0</v>
      </c>
      <c r="I143" s="372">
        <f t="shared" si="1"/>
        <v>3847.05</v>
      </c>
      <c r="J143" s="371" t="s">
        <v>6636</v>
      </c>
      <c r="K143" s="361">
        <f t="shared" si="2"/>
        <v>-3847.05</v>
      </c>
      <c r="L143" s="340"/>
      <c r="M143" s="340"/>
      <c r="N143" s="340"/>
      <c r="O143" s="340"/>
      <c r="P143" s="340"/>
      <c r="Q143" s="340"/>
      <c r="R143" s="340"/>
      <c r="S143" s="340"/>
      <c r="T143" s="340"/>
      <c r="U143" s="340"/>
      <c r="V143" s="340"/>
      <c r="W143" s="340"/>
      <c r="X143" s="340"/>
    </row>
    <row r="144" ht="15.75" customHeight="1">
      <c r="A144" s="374">
        <v>138.0</v>
      </c>
      <c r="B144" s="371" t="s">
        <v>7629</v>
      </c>
      <c r="C144" s="371" t="s">
        <v>21</v>
      </c>
      <c r="D144" s="371"/>
      <c r="E144" s="371" t="s">
        <v>4916</v>
      </c>
      <c r="F144" s="371">
        <v>47439.0</v>
      </c>
      <c r="G144" s="373"/>
      <c r="H144" s="371">
        <v>17.0</v>
      </c>
      <c r="I144" s="372">
        <f t="shared" si="1"/>
        <v>8064.63</v>
      </c>
      <c r="J144" s="371" t="s">
        <v>6636</v>
      </c>
      <c r="K144" s="361">
        <f t="shared" si="2"/>
        <v>-8064.63</v>
      </c>
      <c r="L144" s="340"/>
      <c r="M144" s="340"/>
      <c r="N144" s="340"/>
      <c r="O144" s="340"/>
      <c r="P144" s="340"/>
      <c r="Q144" s="340"/>
      <c r="R144" s="340"/>
      <c r="S144" s="340"/>
      <c r="T144" s="340"/>
      <c r="U144" s="340"/>
      <c r="V144" s="340"/>
      <c r="W144" s="340"/>
      <c r="X144" s="340"/>
    </row>
    <row r="145" ht="15.75" customHeight="1">
      <c r="A145" s="374">
        <v>139.0</v>
      </c>
      <c r="B145" s="371" t="s">
        <v>4153</v>
      </c>
      <c r="C145" s="371" t="s">
        <v>21</v>
      </c>
      <c r="D145" s="371"/>
      <c r="E145" s="371" t="s">
        <v>48</v>
      </c>
      <c r="F145" s="371">
        <v>50349.0</v>
      </c>
      <c r="G145" s="373"/>
      <c r="H145" s="371">
        <v>20.0</v>
      </c>
      <c r="I145" s="372">
        <f t="shared" si="1"/>
        <v>10069.8</v>
      </c>
      <c r="J145" s="371" t="s">
        <v>6636</v>
      </c>
      <c r="K145" s="361">
        <f t="shared" si="2"/>
        <v>-10069.8</v>
      </c>
      <c r="L145" s="340"/>
      <c r="M145" s="340"/>
      <c r="N145" s="340"/>
      <c r="O145" s="340"/>
      <c r="P145" s="340"/>
      <c r="Q145" s="340"/>
      <c r="R145" s="340"/>
      <c r="S145" s="340"/>
      <c r="T145" s="340"/>
      <c r="U145" s="340"/>
      <c r="V145" s="340"/>
      <c r="W145" s="340"/>
      <c r="X145" s="340"/>
    </row>
    <row r="146" ht="15.75" customHeight="1">
      <c r="A146" s="374">
        <v>140.0</v>
      </c>
      <c r="B146" s="371" t="s">
        <v>7630</v>
      </c>
      <c r="C146" s="371" t="s">
        <v>7118</v>
      </c>
      <c r="D146" s="371"/>
      <c r="E146" s="371" t="s">
        <v>65</v>
      </c>
      <c r="F146" s="371">
        <v>2475.0</v>
      </c>
      <c r="G146" s="373"/>
      <c r="H146" s="371">
        <v>20.0</v>
      </c>
      <c r="I146" s="372">
        <f t="shared" si="1"/>
        <v>495</v>
      </c>
      <c r="J146" s="371" t="s">
        <v>6636</v>
      </c>
      <c r="K146" s="361">
        <f t="shared" si="2"/>
        <v>-495</v>
      </c>
      <c r="L146" s="340"/>
      <c r="M146" s="340"/>
      <c r="N146" s="340"/>
      <c r="O146" s="340"/>
      <c r="P146" s="340"/>
      <c r="Q146" s="340"/>
      <c r="R146" s="340"/>
      <c r="S146" s="340"/>
      <c r="T146" s="340"/>
      <c r="U146" s="340"/>
      <c r="V146" s="340"/>
      <c r="W146" s="340"/>
      <c r="X146" s="340"/>
    </row>
    <row r="147" ht="15.75" customHeight="1">
      <c r="A147" s="376">
        <v>141.0</v>
      </c>
      <c r="B147" s="377" t="s">
        <v>7631</v>
      </c>
      <c r="C147" s="377" t="s">
        <v>21</v>
      </c>
      <c r="D147" s="377"/>
      <c r="E147" s="377" t="s">
        <v>48</v>
      </c>
      <c r="F147" s="377">
        <v>30242.0</v>
      </c>
      <c r="G147" s="378"/>
      <c r="H147" s="377">
        <v>20.0</v>
      </c>
      <c r="I147" s="379">
        <v>0.0</v>
      </c>
      <c r="J147" s="377" t="s">
        <v>6636</v>
      </c>
      <c r="K147" s="380">
        <f t="shared" si="2"/>
        <v>0</v>
      </c>
      <c r="L147" s="381"/>
      <c r="M147" s="381"/>
      <c r="N147" s="381"/>
      <c r="O147" s="381"/>
      <c r="P147" s="381"/>
      <c r="Q147" s="381"/>
      <c r="R147" s="381"/>
      <c r="S147" s="381"/>
      <c r="T147" s="381"/>
      <c r="U147" s="381"/>
      <c r="V147" s="381"/>
      <c r="W147" s="381"/>
      <c r="X147" s="381"/>
    </row>
    <row r="148" ht="15.75" customHeight="1">
      <c r="A148" s="374">
        <v>142.0</v>
      </c>
      <c r="B148" s="371" t="s">
        <v>7632</v>
      </c>
      <c r="C148" s="371" t="s">
        <v>21</v>
      </c>
      <c r="D148" s="371"/>
      <c r="E148" s="371" t="s">
        <v>48</v>
      </c>
      <c r="F148" s="371">
        <v>53058.0</v>
      </c>
      <c r="G148" s="373"/>
      <c r="H148" s="371">
        <v>20.0</v>
      </c>
      <c r="I148" s="372">
        <f t="shared" ref="I148:I219" si="3">(F148*H148)/100</f>
        <v>10611.6</v>
      </c>
      <c r="J148" s="371" t="s">
        <v>6636</v>
      </c>
      <c r="K148" s="361">
        <f t="shared" si="2"/>
        <v>-10611.6</v>
      </c>
      <c r="L148" s="340"/>
      <c r="M148" s="340"/>
      <c r="N148" s="340"/>
      <c r="O148" s="340"/>
      <c r="P148" s="340"/>
      <c r="Q148" s="340"/>
      <c r="R148" s="340"/>
      <c r="S148" s="340"/>
      <c r="T148" s="340"/>
      <c r="U148" s="340"/>
      <c r="V148" s="340"/>
      <c r="W148" s="340"/>
      <c r="X148" s="340"/>
    </row>
    <row r="149" ht="15.75" customHeight="1">
      <c r="A149" s="374">
        <v>143.0</v>
      </c>
      <c r="B149" s="371" t="s">
        <v>2651</v>
      </c>
      <c r="C149" s="371" t="s">
        <v>21</v>
      </c>
      <c r="D149" s="371"/>
      <c r="E149" s="371" t="s">
        <v>48</v>
      </c>
      <c r="F149" s="371">
        <v>47902.0</v>
      </c>
      <c r="G149" s="373"/>
      <c r="H149" s="371">
        <v>20.0</v>
      </c>
      <c r="I149" s="372">
        <f t="shared" si="3"/>
        <v>9580.4</v>
      </c>
      <c r="J149" s="371" t="s">
        <v>6636</v>
      </c>
      <c r="K149" s="361">
        <f t="shared" si="2"/>
        <v>-9580.4</v>
      </c>
      <c r="L149" s="340"/>
      <c r="M149" s="340"/>
      <c r="N149" s="340"/>
      <c r="O149" s="340"/>
      <c r="P149" s="340"/>
      <c r="Q149" s="340"/>
      <c r="R149" s="340"/>
      <c r="S149" s="340"/>
      <c r="T149" s="340"/>
      <c r="U149" s="340"/>
      <c r="V149" s="340"/>
      <c r="W149" s="340"/>
      <c r="X149" s="340"/>
    </row>
    <row r="150" ht="15.75" customHeight="1">
      <c r="A150" s="374">
        <v>144.0</v>
      </c>
      <c r="B150" s="371" t="s">
        <v>7633</v>
      </c>
      <c r="C150" s="371" t="s">
        <v>7134</v>
      </c>
      <c r="D150" s="371"/>
      <c r="E150" s="371" t="s">
        <v>65</v>
      </c>
      <c r="F150" s="371">
        <v>44441.0</v>
      </c>
      <c r="G150" s="373"/>
      <c r="H150" s="371">
        <v>39.0</v>
      </c>
      <c r="I150" s="372">
        <f t="shared" si="3"/>
        <v>17331.99</v>
      </c>
      <c r="J150" s="371" t="s">
        <v>6636</v>
      </c>
      <c r="K150" s="361">
        <f t="shared" si="2"/>
        <v>-17331.99</v>
      </c>
      <c r="L150" s="340"/>
      <c r="M150" s="340"/>
      <c r="N150" s="340"/>
      <c r="O150" s="340"/>
      <c r="P150" s="340"/>
      <c r="Q150" s="340"/>
      <c r="R150" s="340"/>
      <c r="S150" s="340"/>
      <c r="T150" s="340"/>
      <c r="U150" s="340"/>
      <c r="V150" s="340"/>
      <c r="W150" s="340"/>
      <c r="X150" s="340"/>
    </row>
    <row r="151" ht="15.75" customHeight="1">
      <c r="A151" s="374">
        <v>145.0</v>
      </c>
      <c r="B151" s="371" t="s">
        <v>7634</v>
      </c>
      <c r="C151" s="371" t="s">
        <v>21</v>
      </c>
      <c r="D151" s="371"/>
      <c r="E151" s="371" t="s">
        <v>48</v>
      </c>
      <c r="F151" s="371">
        <v>48007.0</v>
      </c>
      <c r="G151" s="373"/>
      <c r="H151" s="371">
        <v>20.0</v>
      </c>
      <c r="I151" s="372">
        <f t="shared" si="3"/>
        <v>9601.4</v>
      </c>
      <c r="J151" s="371" t="s">
        <v>6636</v>
      </c>
      <c r="K151" s="361">
        <f t="shared" si="2"/>
        <v>-9601.4</v>
      </c>
      <c r="L151" s="340"/>
      <c r="M151" s="340"/>
      <c r="N151" s="340"/>
      <c r="O151" s="340"/>
      <c r="P151" s="340"/>
      <c r="Q151" s="340"/>
      <c r="R151" s="340"/>
      <c r="S151" s="340"/>
      <c r="T151" s="340"/>
      <c r="U151" s="340"/>
      <c r="V151" s="340"/>
      <c r="W151" s="340"/>
      <c r="X151" s="340"/>
    </row>
    <row r="152" ht="15.75" customHeight="1">
      <c r="A152" s="374">
        <v>146.0</v>
      </c>
      <c r="B152" s="371" t="s">
        <v>7635</v>
      </c>
      <c r="C152" s="371" t="s">
        <v>21</v>
      </c>
      <c r="D152" s="371"/>
      <c r="E152" s="371" t="s">
        <v>48</v>
      </c>
      <c r="F152" s="371">
        <v>46711.0</v>
      </c>
      <c r="G152" s="373"/>
      <c r="H152" s="371">
        <v>20.0</v>
      </c>
      <c r="I152" s="372">
        <f t="shared" si="3"/>
        <v>9342.2</v>
      </c>
      <c r="J152" s="371" t="s">
        <v>6636</v>
      </c>
      <c r="K152" s="361">
        <f t="shared" si="2"/>
        <v>-9342.2</v>
      </c>
      <c r="L152" s="340"/>
      <c r="M152" s="340"/>
      <c r="N152" s="340"/>
      <c r="O152" s="340"/>
      <c r="P152" s="340"/>
      <c r="Q152" s="340"/>
      <c r="R152" s="340"/>
      <c r="S152" s="340"/>
      <c r="T152" s="340"/>
      <c r="U152" s="340"/>
      <c r="V152" s="340"/>
      <c r="W152" s="340"/>
      <c r="X152" s="340"/>
    </row>
    <row r="153" ht="15.75" customHeight="1">
      <c r="A153" s="374">
        <v>147.0</v>
      </c>
      <c r="B153" s="371" t="s">
        <v>7636</v>
      </c>
      <c r="C153" s="371" t="s">
        <v>7134</v>
      </c>
      <c r="D153" s="371"/>
      <c r="E153" s="371" t="s">
        <v>65</v>
      </c>
      <c r="F153" s="371">
        <v>44381.0</v>
      </c>
      <c r="G153" s="373"/>
      <c r="H153" s="371">
        <v>39.0</v>
      </c>
      <c r="I153" s="372">
        <f t="shared" si="3"/>
        <v>17308.59</v>
      </c>
      <c r="J153" s="371" t="s">
        <v>6636</v>
      </c>
      <c r="K153" s="361">
        <f t="shared" si="2"/>
        <v>-17308.59</v>
      </c>
      <c r="L153" s="340"/>
      <c r="M153" s="340"/>
      <c r="N153" s="340"/>
      <c r="O153" s="340"/>
      <c r="P153" s="340"/>
      <c r="Q153" s="340"/>
      <c r="R153" s="340"/>
      <c r="S153" s="340"/>
      <c r="T153" s="340"/>
      <c r="U153" s="340"/>
      <c r="V153" s="340"/>
      <c r="W153" s="340"/>
      <c r="X153" s="340"/>
    </row>
    <row r="154" ht="15.75" customHeight="1">
      <c r="A154" s="374">
        <v>148.0</v>
      </c>
      <c r="B154" s="371" t="s">
        <v>7637</v>
      </c>
      <c r="C154" s="371" t="s">
        <v>21</v>
      </c>
      <c r="D154" s="371"/>
      <c r="E154" s="371" t="s">
        <v>48</v>
      </c>
      <c r="F154" s="371">
        <v>48490.0</v>
      </c>
      <c r="G154" s="373"/>
      <c r="H154" s="371">
        <v>20.0</v>
      </c>
      <c r="I154" s="372">
        <f t="shared" si="3"/>
        <v>9698</v>
      </c>
      <c r="J154" s="371" t="s">
        <v>6636</v>
      </c>
      <c r="K154" s="361">
        <f t="shared" si="2"/>
        <v>-9698</v>
      </c>
      <c r="L154" s="340"/>
      <c r="M154" s="340"/>
      <c r="N154" s="340"/>
      <c r="O154" s="340"/>
      <c r="P154" s="340"/>
      <c r="Q154" s="340"/>
      <c r="R154" s="340"/>
      <c r="S154" s="340"/>
      <c r="T154" s="340"/>
      <c r="U154" s="340"/>
      <c r="V154" s="340"/>
      <c r="W154" s="340"/>
      <c r="X154" s="340"/>
    </row>
    <row r="155" ht="15.75" customHeight="1">
      <c r="A155" s="374">
        <v>149.0</v>
      </c>
      <c r="B155" s="371" t="s">
        <v>4867</v>
      </c>
      <c r="C155" s="371" t="s">
        <v>1395</v>
      </c>
      <c r="D155" s="371"/>
      <c r="E155" s="371" t="s">
        <v>1424</v>
      </c>
      <c r="F155" s="371">
        <v>18941.0</v>
      </c>
      <c r="G155" s="373"/>
      <c r="H155" s="371">
        <v>52.0</v>
      </c>
      <c r="I155" s="372">
        <f t="shared" si="3"/>
        <v>9849.32</v>
      </c>
      <c r="J155" s="371" t="s">
        <v>6636</v>
      </c>
      <c r="K155" s="361">
        <f t="shared" si="2"/>
        <v>-9849.32</v>
      </c>
      <c r="L155" s="340"/>
      <c r="M155" s="340"/>
      <c r="N155" s="340"/>
      <c r="O155" s="340"/>
      <c r="P155" s="340"/>
      <c r="Q155" s="340"/>
      <c r="R155" s="340"/>
      <c r="S155" s="340"/>
      <c r="T155" s="340"/>
      <c r="U155" s="340"/>
      <c r="V155" s="340"/>
      <c r="W155" s="340"/>
      <c r="X155" s="340"/>
    </row>
    <row r="156" ht="15.75" customHeight="1">
      <c r="A156" s="374">
        <v>150.0</v>
      </c>
      <c r="B156" s="371" t="s">
        <v>7638</v>
      </c>
      <c r="C156" s="371" t="s">
        <v>1759</v>
      </c>
      <c r="D156" s="371"/>
      <c r="E156" s="371" t="s">
        <v>1424</v>
      </c>
      <c r="F156" s="371">
        <v>6606.0</v>
      </c>
      <c r="G156" s="373"/>
      <c r="H156" s="371">
        <v>57.0</v>
      </c>
      <c r="I156" s="372">
        <f t="shared" si="3"/>
        <v>3765.42</v>
      </c>
      <c r="J156" s="371" t="s">
        <v>6636</v>
      </c>
      <c r="K156" s="361">
        <f t="shared" si="2"/>
        <v>-3765.42</v>
      </c>
      <c r="L156" s="340"/>
      <c r="M156" s="340"/>
      <c r="N156" s="340"/>
      <c r="O156" s="340"/>
      <c r="P156" s="340"/>
      <c r="Q156" s="340"/>
      <c r="R156" s="340"/>
      <c r="S156" s="340"/>
      <c r="T156" s="340"/>
      <c r="U156" s="340"/>
      <c r="V156" s="340"/>
      <c r="W156" s="340"/>
      <c r="X156" s="340"/>
    </row>
    <row r="157" ht="15.75" customHeight="1">
      <c r="A157" s="374">
        <v>151.0</v>
      </c>
      <c r="B157" s="323" t="s">
        <v>7639</v>
      </c>
      <c r="C157" s="323" t="s">
        <v>21</v>
      </c>
      <c r="D157" s="323"/>
      <c r="E157" s="323" t="s">
        <v>48</v>
      </c>
      <c r="F157" s="323">
        <v>30242.0</v>
      </c>
      <c r="G157" s="382"/>
      <c r="H157" s="323">
        <v>20.0</v>
      </c>
      <c r="I157" s="322">
        <f t="shared" si="3"/>
        <v>6048.4</v>
      </c>
      <c r="J157" s="323" t="s">
        <v>6636</v>
      </c>
      <c r="K157" s="361">
        <f t="shared" si="2"/>
        <v>-6048.4</v>
      </c>
      <c r="L157" s="340"/>
      <c r="M157" s="340"/>
      <c r="N157" s="340"/>
      <c r="O157" s="340"/>
      <c r="P157" s="340"/>
      <c r="Q157" s="340"/>
      <c r="R157" s="340"/>
      <c r="S157" s="340"/>
      <c r="T157" s="340"/>
      <c r="U157" s="340"/>
      <c r="V157" s="340"/>
      <c r="W157" s="340"/>
      <c r="X157" s="340"/>
    </row>
    <row r="158" ht="15.75" customHeight="1">
      <c r="A158" s="374">
        <v>152.0</v>
      </c>
      <c r="B158" s="323" t="s">
        <v>7640</v>
      </c>
      <c r="C158" s="323" t="s">
        <v>21</v>
      </c>
      <c r="D158" s="323"/>
      <c r="E158" s="323" t="s">
        <v>48</v>
      </c>
      <c r="F158" s="323">
        <v>50647.0</v>
      </c>
      <c r="G158" s="383"/>
      <c r="H158" s="323">
        <v>20.0</v>
      </c>
      <c r="I158" s="322">
        <f t="shared" si="3"/>
        <v>10129.4</v>
      </c>
      <c r="J158" s="323" t="s">
        <v>6636</v>
      </c>
      <c r="K158" s="361">
        <f t="shared" si="2"/>
        <v>-10129.4</v>
      </c>
      <c r="L158" s="340"/>
      <c r="M158" s="340"/>
      <c r="N158" s="340"/>
      <c r="O158" s="340"/>
      <c r="P158" s="340"/>
      <c r="Q158" s="340"/>
      <c r="R158" s="340"/>
      <c r="S158" s="340"/>
      <c r="T158" s="340"/>
      <c r="U158" s="340"/>
      <c r="V158" s="340"/>
      <c r="W158" s="340"/>
      <c r="X158" s="340"/>
    </row>
    <row r="159" ht="15.75" customHeight="1">
      <c r="A159" s="374">
        <v>153.0</v>
      </c>
      <c r="B159" s="323" t="s">
        <v>7641</v>
      </c>
      <c r="C159" s="323" t="s">
        <v>7118</v>
      </c>
      <c r="D159" s="323"/>
      <c r="E159" s="323" t="s">
        <v>7642</v>
      </c>
      <c r="F159" s="323">
        <v>3416.0</v>
      </c>
      <c r="G159" s="383"/>
      <c r="H159" s="323">
        <v>24.0</v>
      </c>
      <c r="I159" s="322">
        <f t="shared" si="3"/>
        <v>819.84</v>
      </c>
      <c r="J159" s="323" t="s">
        <v>6636</v>
      </c>
      <c r="K159" s="361">
        <f t="shared" si="2"/>
        <v>-819.84</v>
      </c>
      <c r="L159" s="340"/>
      <c r="M159" s="340"/>
      <c r="N159" s="340"/>
      <c r="O159" s="340"/>
      <c r="P159" s="340"/>
      <c r="Q159" s="340"/>
      <c r="R159" s="340"/>
      <c r="S159" s="340"/>
      <c r="T159" s="340"/>
      <c r="U159" s="340"/>
      <c r="V159" s="340"/>
      <c r="W159" s="340"/>
      <c r="X159" s="340"/>
    </row>
    <row r="160" ht="15.75" customHeight="1">
      <c r="A160" s="374">
        <v>154.0</v>
      </c>
      <c r="B160" s="323" t="s">
        <v>7643</v>
      </c>
      <c r="C160" s="323" t="s">
        <v>1759</v>
      </c>
      <c r="D160" s="323"/>
      <c r="E160" s="323" t="s">
        <v>1424</v>
      </c>
      <c r="F160" s="323">
        <v>6763.0</v>
      </c>
      <c r="G160" s="383"/>
      <c r="H160" s="323">
        <v>58.0</v>
      </c>
      <c r="I160" s="322">
        <f t="shared" si="3"/>
        <v>3922.54</v>
      </c>
      <c r="J160" s="323" t="s">
        <v>6636</v>
      </c>
      <c r="K160" s="361">
        <f t="shared" si="2"/>
        <v>-3922.54</v>
      </c>
      <c r="L160" s="340"/>
      <c r="M160" s="340"/>
      <c r="N160" s="340"/>
      <c r="O160" s="340"/>
      <c r="P160" s="340"/>
      <c r="Q160" s="340"/>
      <c r="R160" s="340"/>
      <c r="S160" s="340"/>
      <c r="T160" s="340"/>
      <c r="U160" s="340"/>
      <c r="V160" s="340"/>
      <c r="W160" s="340"/>
      <c r="X160" s="340"/>
    </row>
    <row r="161" ht="15.75" customHeight="1">
      <c r="A161" s="374">
        <v>155.0</v>
      </c>
      <c r="B161" s="323" t="s">
        <v>7644</v>
      </c>
      <c r="C161" s="323" t="s">
        <v>7118</v>
      </c>
      <c r="D161" s="323"/>
      <c r="E161" s="323" t="s">
        <v>7099</v>
      </c>
      <c r="F161" s="323">
        <v>3416.0</v>
      </c>
      <c r="G161" s="383"/>
      <c r="H161" s="323">
        <v>23.0</v>
      </c>
      <c r="I161" s="322">
        <f t="shared" si="3"/>
        <v>785.68</v>
      </c>
      <c r="J161" s="323" t="s">
        <v>6636</v>
      </c>
      <c r="K161" s="361">
        <f t="shared" si="2"/>
        <v>-785.68</v>
      </c>
      <c r="L161" s="340"/>
      <c r="M161" s="340"/>
      <c r="N161" s="340"/>
      <c r="O161" s="340"/>
      <c r="P161" s="340"/>
      <c r="Q161" s="340"/>
      <c r="R161" s="340"/>
      <c r="S161" s="340"/>
      <c r="T161" s="340"/>
      <c r="U161" s="340"/>
      <c r="V161" s="340"/>
      <c r="W161" s="340"/>
      <c r="X161" s="340"/>
    </row>
    <row r="162" ht="15.75" customHeight="1">
      <c r="A162" s="374">
        <v>156.0</v>
      </c>
      <c r="B162" s="323" t="s">
        <v>7645</v>
      </c>
      <c r="C162" s="323" t="s">
        <v>1759</v>
      </c>
      <c r="D162" s="323"/>
      <c r="E162" s="323" t="s">
        <v>1424</v>
      </c>
      <c r="F162" s="323">
        <v>6669.0</v>
      </c>
      <c r="G162" s="383"/>
      <c r="H162" s="323">
        <v>58.0</v>
      </c>
      <c r="I162" s="322">
        <f t="shared" si="3"/>
        <v>3868.02</v>
      </c>
      <c r="J162" s="323" t="s">
        <v>6636</v>
      </c>
      <c r="K162" s="361">
        <f t="shared" si="2"/>
        <v>-3868.02</v>
      </c>
      <c r="L162" s="340"/>
      <c r="M162" s="340"/>
      <c r="N162" s="340"/>
      <c r="O162" s="340"/>
      <c r="P162" s="340"/>
      <c r="Q162" s="340"/>
      <c r="R162" s="340"/>
      <c r="S162" s="340"/>
      <c r="T162" s="340"/>
      <c r="U162" s="340"/>
      <c r="V162" s="340"/>
      <c r="W162" s="340"/>
      <c r="X162" s="340"/>
    </row>
    <row r="163" ht="15.75" customHeight="1">
      <c r="A163" s="374">
        <v>157.0</v>
      </c>
      <c r="B163" s="323" t="s">
        <v>7646</v>
      </c>
      <c r="C163" s="323" t="s">
        <v>21</v>
      </c>
      <c r="D163" s="323"/>
      <c r="E163" s="323" t="s">
        <v>48</v>
      </c>
      <c r="F163" s="323">
        <v>37798.0</v>
      </c>
      <c r="G163" s="383"/>
      <c r="H163" s="323">
        <v>20.0</v>
      </c>
      <c r="I163" s="322">
        <f t="shared" si="3"/>
        <v>7559.6</v>
      </c>
      <c r="J163" s="323" t="s">
        <v>6636</v>
      </c>
      <c r="K163" s="361">
        <f t="shared" si="2"/>
        <v>-7559.6</v>
      </c>
      <c r="L163" s="340"/>
      <c r="M163" s="340"/>
      <c r="N163" s="340"/>
      <c r="O163" s="340"/>
      <c r="P163" s="340"/>
      <c r="Q163" s="340"/>
      <c r="R163" s="340"/>
      <c r="S163" s="340"/>
      <c r="T163" s="340"/>
      <c r="U163" s="340"/>
      <c r="V163" s="340"/>
      <c r="W163" s="340"/>
      <c r="X163" s="340"/>
    </row>
    <row r="164" ht="15.75" customHeight="1">
      <c r="A164" s="374">
        <v>158.0</v>
      </c>
      <c r="B164" s="323" t="s">
        <v>7647</v>
      </c>
      <c r="C164" s="323" t="s">
        <v>7134</v>
      </c>
      <c r="D164" s="323"/>
      <c r="E164" s="323" t="s">
        <v>668</v>
      </c>
      <c r="F164" s="323">
        <v>27286.0</v>
      </c>
      <c r="G164" s="322"/>
      <c r="H164" s="322">
        <v>36.0</v>
      </c>
      <c r="I164" s="322">
        <f t="shared" si="3"/>
        <v>9822.96</v>
      </c>
      <c r="J164" s="323" t="s">
        <v>6636</v>
      </c>
      <c r="K164" s="361">
        <f t="shared" si="2"/>
        <v>-9822.96</v>
      </c>
      <c r="L164" s="340"/>
      <c r="M164" s="340"/>
      <c r="N164" s="340"/>
      <c r="O164" s="340"/>
      <c r="P164" s="340"/>
      <c r="Q164" s="340"/>
      <c r="R164" s="340"/>
      <c r="S164" s="340"/>
      <c r="T164" s="340"/>
      <c r="U164" s="340"/>
      <c r="V164" s="340"/>
      <c r="W164" s="340"/>
      <c r="X164" s="340"/>
    </row>
    <row r="165" ht="15.75" customHeight="1">
      <c r="A165" s="374">
        <v>159.0</v>
      </c>
      <c r="B165" s="323" t="s">
        <v>7648</v>
      </c>
      <c r="C165" s="323" t="s">
        <v>782</v>
      </c>
      <c r="D165" s="323"/>
      <c r="E165" s="323" t="s">
        <v>116</v>
      </c>
      <c r="F165" s="323">
        <v>7317.0</v>
      </c>
      <c r="G165" s="322"/>
      <c r="H165" s="322">
        <v>35.0</v>
      </c>
      <c r="I165" s="322">
        <f t="shared" si="3"/>
        <v>2560.95</v>
      </c>
      <c r="J165" s="323" t="s">
        <v>6636</v>
      </c>
      <c r="K165" s="361">
        <f t="shared" si="2"/>
        <v>-2560.95</v>
      </c>
      <c r="L165" s="340"/>
      <c r="M165" s="340"/>
      <c r="N165" s="340"/>
      <c r="O165" s="340"/>
      <c r="P165" s="340"/>
      <c r="Q165" s="340"/>
      <c r="R165" s="340"/>
      <c r="S165" s="340"/>
      <c r="T165" s="340"/>
      <c r="U165" s="340"/>
      <c r="V165" s="340"/>
      <c r="W165" s="340"/>
      <c r="X165" s="340"/>
    </row>
    <row r="166" ht="15.75" customHeight="1">
      <c r="A166" s="374">
        <v>160.0</v>
      </c>
      <c r="B166" s="323" t="s">
        <v>7649</v>
      </c>
      <c r="C166" s="323" t="s">
        <v>1395</v>
      </c>
      <c r="D166" s="323"/>
      <c r="E166" s="323" t="s">
        <v>116</v>
      </c>
      <c r="F166" s="323">
        <v>17368.0</v>
      </c>
      <c r="G166" s="322">
        <v>19524.0</v>
      </c>
      <c r="H166" s="322">
        <v>51.0</v>
      </c>
      <c r="I166" s="322">
        <f t="shared" si="3"/>
        <v>8857.68</v>
      </c>
      <c r="J166" s="323" t="s">
        <v>7507</v>
      </c>
      <c r="K166" s="361">
        <f t="shared" si="2"/>
        <v>10666.32</v>
      </c>
      <c r="L166" s="340"/>
      <c r="M166" s="340"/>
      <c r="N166" s="340"/>
      <c r="O166" s="340"/>
      <c r="P166" s="340"/>
      <c r="Q166" s="340"/>
      <c r="R166" s="340"/>
      <c r="S166" s="340"/>
      <c r="T166" s="340"/>
      <c r="U166" s="340"/>
      <c r="V166" s="340"/>
      <c r="W166" s="340"/>
      <c r="X166" s="340"/>
    </row>
    <row r="167" ht="15.75" customHeight="1">
      <c r="A167" s="374">
        <v>161.0</v>
      </c>
      <c r="B167" s="323" t="s">
        <v>7650</v>
      </c>
      <c r="C167" s="323" t="s">
        <v>1395</v>
      </c>
      <c r="D167" s="323"/>
      <c r="E167" s="323" t="s">
        <v>116</v>
      </c>
      <c r="F167" s="323">
        <v>25134.0</v>
      </c>
      <c r="G167" s="322">
        <v>28688.0</v>
      </c>
      <c r="H167" s="322">
        <v>51.0</v>
      </c>
      <c r="I167" s="322">
        <f t="shared" si="3"/>
        <v>12818.34</v>
      </c>
      <c r="J167" s="323" t="s">
        <v>7507</v>
      </c>
      <c r="K167" s="361">
        <f t="shared" si="2"/>
        <v>15869.66</v>
      </c>
      <c r="L167" s="340"/>
      <c r="M167" s="340"/>
      <c r="N167" s="340"/>
      <c r="O167" s="340"/>
      <c r="P167" s="340"/>
      <c r="Q167" s="340"/>
      <c r="R167" s="340"/>
      <c r="S167" s="340"/>
      <c r="T167" s="340"/>
      <c r="U167" s="340"/>
      <c r="V167" s="340"/>
      <c r="W167" s="340"/>
      <c r="X167" s="340"/>
    </row>
    <row r="168" ht="15.75" customHeight="1">
      <c r="A168" s="374">
        <v>162.0</v>
      </c>
      <c r="B168" s="323" t="s">
        <v>7651</v>
      </c>
      <c r="C168" s="323" t="s">
        <v>1395</v>
      </c>
      <c r="D168" s="323"/>
      <c r="E168" s="323" t="s">
        <v>1424</v>
      </c>
      <c r="F168" s="323">
        <v>18974.0</v>
      </c>
      <c r="G168" s="322">
        <v>21426.0</v>
      </c>
      <c r="H168" s="322">
        <v>52.0</v>
      </c>
      <c r="I168" s="322">
        <f t="shared" si="3"/>
        <v>9866.48</v>
      </c>
      <c r="J168" s="323" t="s">
        <v>7507</v>
      </c>
      <c r="K168" s="361">
        <f t="shared" si="2"/>
        <v>11559.52</v>
      </c>
      <c r="L168" s="340"/>
      <c r="M168" s="340"/>
      <c r="N168" s="340"/>
      <c r="O168" s="340"/>
      <c r="P168" s="340"/>
      <c r="Q168" s="340"/>
      <c r="R168" s="340"/>
      <c r="S168" s="340"/>
      <c r="T168" s="340"/>
      <c r="U168" s="340"/>
      <c r="V168" s="340"/>
      <c r="W168" s="340"/>
      <c r="X168" s="340"/>
    </row>
    <row r="169" ht="15.75" customHeight="1">
      <c r="A169" s="374">
        <v>163.0</v>
      </c>
      <c r="B169" s="323" t="s">
        <v>7652</v>
      </c>
      <c r="C169" s="323" t="s">
        <v>7118</v>
      </c>
      <c r="D169" s="323"/>
      <c r="E169" s="323" t="s">
        <v>65</v>
      </c>
      <c r="F169" s="323">
        <v>3797.0</v>
      </c>
      <c r="G169" s="322"/>
      <c r="H169" s="322">
        <v>15.0</v>
      </c>
      <c r="I169" s="322">
        <f t="shared" si="3"/>
        <v>569.55</v>
      </c>
      <c r="J169" s="323" t="s">
        <v>6636</v>
      </c>
      <c r="K169" s="361">
        <f t="shared" si="2"/>
        <v>-569.55</v>
      </c>
      <c r="L169" s="340"/>
      <c r="M169" s="340"/>
      <c r="N169" s="340"/>
      <c r="O169" s="340"/>
      <c r="P169" s="340"/>
      <c r="Q169" s="340"/>
      <c r="R169" s="340"/>
      <c r="S169" s="340"/>
      <c r="T169" s="340"/>
      <c r="U169" s="340"/>
      <c r="V169" s="340"/>
      <c r="W169" s="340"/>
      <c r="X169" s="340"/>
    </row>
    <row r="170" ht="15.75" customHeight="1">
      <c r="A170" s="374">
        <v>164.0</v>
      </c>
      <c r="B170" s="323" t="s">
        <v>7653</v>
      </c>
      <c r="C170" s="323" t="s">
        <v>7118</v>
      </c>
      <c r="D170" s="323"/>
      <c r="E170" s="323" t="s">
        <v>65</v>
      </c>
      <c r="F170" s="323">
        <v>3797.0</v>
      </c>
      <c r="G170" s="322"/>
      <c r="H170" s="322">
        <v>15.0</v>
      </c>
      <c r="I170" s="322">
        <f t="shared" si="3"/>
        <v>569.55</v>
      </c>
      <c r="J170" s="323" t="s">
        <v>6636</v>
      </c>
      <c r="K170" s="361">
        <f t="shared" si="2"/>
        <v>-569.55</v>
      </c>
      <c r="L170" s="340"/>
      <c r="M170" s="340"/>
      <c r="N170" s="340"/>
      <c r="O170" s="340"/>
      <c r="P170" s="340"/>
      <c r="Q170" s="340"/>
      <c r="R170" s="340"/>
      <c r="S170" s="340"/>
      <c r="T170" s="340"/>
      <c r="U170" s="340"/>
      <c r="V170" s="340"/>
      <c r="W170" s="340"/>
      <c r="X170" s="340"/>
    </row>
    <row r="171" ht="15.75" customHeight="1">
      <c r="A171" s="374">
        <v>165.0</v>
      </c>
      <c r="B171" s="323" t="s">
        <v>7654</v>
      </c>
      <c r="C171" s="323" t="s">
        <v>21</v>
      </c>
      <c r="D171" s="323"/>
      <c r="E171" s="323" t="s">
        <v>48</v>
      </c>
      <c r="F171" s="323">
        <v>29695.0</v>
      </c>
      <c r="G171" s="322"/>
      <c r="H171" s="322">
        <v>20.0</v>
      </c>
      <c r="I171" s="322">
        <f t="shared" si="3"/>
        <v>5939</v>
      </c>
      <c r="J171" s="323" t="s">
        <v>6636</v>
      </c>
      <c r="K171" s="361">
        <f t="shared" si="2"/>
        <v>-5939</v>
      </c>
      <c r="L171" s="340"/>
      <c r="M171" s="340"/>
      <c r="N171" s="340"/>
      <c r="O171" s="340"/>
      <c r="P171" s="340"/>
      <c r="Q171" s="340"/>
      <c r="R171" s="340"/>
      <c r="S171" s="340"/>
      <c r="T171" s="340"/>
      <c r="U171" s="340"/>
      <c r="V171" s="340"/>
      <c r="W171" s="340"/>
      <c r="X171" s="340"/>
    </row>
    <row r="172" ht="15.75" customHeight="1">
      <c r="A172" s="374">
        <v>166.0</v>
      </c>
      <c r="B172" s="323" t="s">
        <v>7655</v>
      </c>
      <c r="C172" s="323" t="s">
        <v>1395</v>
      </c>
      <c r="D172" s="323"/>
      <c r="E172" s="323" t="s">
        <v>116</v>
      </c>
      <c r="F172" s="323">
        <v>27682.0</v>
      </c>
      <c r="G172" s="322">
        <v>31696.0</v>
      </c>
      <c r="H172" s="322">
        <v>51.0</v>
      </c>
      <c r="I172" s="322">
        <f t="shared" si="3"/>
        <v>14117.82</v>
      </c>
      <c r="J172" s="323" t="s">
        <v>7507</v>
      </c>
      <c r="K172" s="361">
        <f t="shared" si="2"/>
        <v>17578.18</v>
      </c>
      <c r="L172" s="340"/>
      <c r="M172" s="340"/>
      <c r="N172" s="340"/>
      <c r="O172" s="340"/>
      <c r="P172" s="340"/>
      <c r="Q172" s="340"/>
      <c r="R172" s="340"/>
      <c r="S172" s="340"/>
      <c r="T172" s="340"/>
      <c r="U172" s="340"/>
      <c r="V172" s="340"/>
      <c r="W172" s="340"/>
      <c r="X172" s="340"/>
    </row>
    <row r="173" ht="15.75" customHeight="1">
      <c r="A173" s="374">
        <v>167.0</v>
      </c>
      <c r="B173" s="323" t="s">
        <v>7656</v>
      </c>
      <c r="C173" s="323" t="s">
        <v>1395</v>
      </c>
      <c r="D173" s="323"/>
      <c r="E173" s="323" t="s">
        <v>116</v>
      </c>
      <c r="F173" s="323">
        <v>19528.0</v>
      </c>
      <c r="G173" s="322">
        <v>22074.0</v>
      </c>
      <c r="H173" s="322">
        <v>51.0</v>
      </c>
      <c r="I173" s="322">
        <f t="shared" si="3"/>
        <v>9959.28</v>
      </c>
      <c r="J173" s="323" t="s">
        <v>7507</v>
      </c>
      <c r="K173" s="361">
        <f t="shared" si="2"/>
        <v>12114.72</v>
      </c>
      <c r="L173" s="340"/>
      <c r="M173" s="340"/>
      <c r="N173" s="340"/>
      <c r="O173" s="340"/>
      <c r="P173" s="340"/>
      <c r="Q173" s="340"/>
      <c r="R173" s="340"/>
      <c r="S173" s="340"/>
      <c r="T173" s="340"/>
      <c r="U173" s="340"/>
      <c r="V173" s="340"/>
      <c r="W173" s="340"/>
      <c r="X173" s="340"/>
    </row>
    <row r="174" ht="15.75" customHeight="1">
      <c r="A174" s="374">
        <v>168.0</v>
      </c>
      <c r="B174" s="323" t="s">
        <v>7657</v>
      </c>
      <c r="C174" s="323" t="s">
        <v>1395</v>
      </c>
      <c r="D174" s="323"/>
      <c r="E174" s="323" t="s">
        <v>116</v>
      </c>
      <c r="F174" s="323">
        <v>18930.0</v>
      </c>
      <c r="G174" s="322">
        <v>21368.0</v>
      </c>
      <c r="H174" s="322">
        <v>51.0</v>
      </c>
      <c r="I174" s="322">
        <f t="shared" si="3"/>
        <v>9654.3</v>
      </c>
      <c r="J174" s="323" t="s">
        <v>7507</v>
      </c>
      <c r="K174" s="361">
        <f t="shared" si="2"/>
        <v>11713.7</v>
      </c>
      <c r="L174" s="340"/>
      <c r="M174" s="340"/>
      <c r="N174" s="340"/>
      <c r="O174" s="340"/>
      <c r="P174" s="340"/>
      <c r="Q174" s="340"/>
      <c r="R174" s="340"/>
      <c r="S174" s="340"/>
      <c r="T174" s="340"/>
      <c r="U174" s="340"/>
      <c r="V174" s="340"/>
      <c r="W174" s="340"/>
      <c r="X174" s="340"/>
    </row>
    <row r="175" ht="15.75" customHeight="1">
      <c r="A175" s="374">
        <v>169.0</v>
      </c>
      <c r="B175" s="323" t="s">
        <v>7658</v>
      </c>
      <c r="C175" s="323" t="s">
        <v>1759</v>
      </c>
      <c r="D175" s="323"/>
      <c r="E175" s="323" t="s">
        <v>1424</v>
      </c>
      <c r="F175" s="323">
        <v>6814.0</v>
      </c>
      <c r="G175" s="322"/>
      <c r="H175" s="322">
        <v>58.0</v>
      </c>
      <c r="I175" s="322">
        <f t="shared" si="3"/>
        <v>3952.12</v>
      </c>
      <c r="J175" s="323" t="s">
        <v>6636</v>
      </c>
      <c r="K175" s="361">
        <f t="shared" si="2"/>
        <v>-3952.12</v>
      </c>
      <c r="L175" s="340"/>
      <c r="M175" s="340"/>
      <c r="N175" s="340"/>
      <c r="O175" s="340"/>
      <c r="P175" s="340"/>
      <c r="Q175" s="340"/>
      <c r="R175" s="340"/>
      <c r="S175" s="340"/>
      <c r="T175" s="340"/>
      <c r="U175" s="340"/>
      <c r="V175" s="340"/>
      <c r="W175" s="340"/>
      <c r="X175" s="340"/>
    </row>
    <row r="176" ht="15.75" customHeight="1">
      <c r="A176" s="374">
        <v>170.0</v>
      </c>
      <c r="B176" s="323" t="s">
        <v>7659</v>
      </c>
      <c r="C176" s="323" t="s">
        <v>1395</v>
      </c>
      <c r="D176" s="323"/>
      <c r="E176" s="323" t="s">
        <v>1424</v>
      </c>
      <c r="F176" s="323">
        <v>19484.0</v>
      </c>
      <c r="G176" s="322"/>
      <c r="H176" s="322">
        <v>52.0</v>
      </c>
      <c r="I176" s="322">
        <f t="shared" si="3"/>
        <v>10131.68</v>
      </c>
      <c r="J176" s="323" t="s">
        <v>6636</v>
      </c>
      <c r="K176" s="361">
        <f t="shared" si="2"/>
        <v>-10131.68</v>
      </c>
      <c r="L176" s="340"/>
      <c r="M176" s="340"/>
      <c r="N176" s="340"/>
      <c r="O176" s="340"/>
      <c r="P176" s="340"/>
      <c r="Q176" s="340"/>
      <c r="R176" s="340"/>
      <c r="S176" s="340"/>
      <c r="T176" s="340"/>
      <c r="U176" s="340"/>
      <c r="V176" s="340"/>
      <c r="W176" s="340"/>
      <c r="X176" s="340"/>
    </row>
    <row r="177" ht="15.75" customHeight="1">
      <c r="A177" s="374">
        <v>171.0</v>
      </c>
      <c r="B177" s="323" t="s">
        <v>7660</v>
      </c>
      <c r="C177" s="323" t="s">
        <v>966</v>
      </c>
      <c r="D177" s="323"/>
      <c r="E177" s="323" t="s">
        <v>297</v>
      </c>
      <c r="F177" s="323">
        <v>3416.0</v>
      </c>
      <c r="G177" s="322"/>
      <c r="H177" s="322">
        <v>21.0</v>
      </c>
      <c r="I177" s="322">
        <f t="shared" si="3"/>
        <v>717.36</v>
      </c>
      <c r="J177" s="323" t="s">
        <v>6636</v>
      </c>
      <c r="K177" s="361">
        <f t="shared" si="2"/>
        <v>-717.36</v>
      </c>
      <c r="L177" s="340"/>
      <c r="M177" s="340"/>
      <c r="N177" s="340"/>
      <c r="O177" s="340"/>
      <c r="P177" s="340"/>
      <c r="Q177" s="340"/>
      <c r="R177" s="340"/>
      <c r="S177" s="340"/>
      <c r="T177" s="340"/>
      <c r="U177" s="340"/>
      <c r="V177" s="340"/>
      <c r="W177" s="340"/>
      <c r="X177" s="340"/>
    </row>
    <row r="178" ht="15.75" customHeight="1">
      <c r="A178" s="374">
        <v>172.0</v>
      </c>
      <c r="B178" s="323" t="s">
        <v>7661</v>
      </c>
      <c r="C178" s="323" t="s">
        <v>75</v>
      </c>
      <c r="D178" s="323"/>
      <c r="E178" s="323" t="s">
        <v>668</v>
      </c>
      <c r="F178" s="323">
        <v>4806.0</v>
      </c>
      <c r="G178" s="322"/>
      <c r="H178" s="322">
        <v>52.0</v>
      </c>
      <c r="I178" s="322">
        <f t="shared" si="3"/>
        <v>2499.12</v>
      </c>
      <c r="J178" s="323" t="s">
        <v>6636</v>
      </c>
      <c r="K178" s="361">
        <f t="shared" si="2"/>
        <v>-2499.12</v>
      </c>
      <c r="L178" s="340"/>
      <c r="M178" s="340"/>
      <c r="N178" s="340"/>
      <c r="O178" s="340"/>
      <c r="P178" s="340"/>
      <c r="Q178" s="340"/>
      <c r="R178" s="340"/>
      <c r="S178" s="340"/>
      <c r="T178" s="340"/>
      <c r="U178" s="340"/>
      <c r="V178" s="340"/>
      <c r="W178" s="340"/>
      <c r="X178" s="340"/>
    </row>
    <row r="179" ht="15.75" customHeight="1">
      <c r="A179" s="374">
        <v>173.0</v>
      </c>
      <c r="B179" s="323" t="s">
        <v>7662</v>
      </c>
      <c r="C179" s="323" t="s">
        <v>1395</v>
      </c>
      <c r="D179" s="323"/>
      <c r="E179" s="323" t="s">
        <v>668</v>
      </c>
      <c r="F179" s="323">
        <v>22098.0</v>
      </c>
      <c r="G179" s="322">
        <v>25112.0</v>
      </c>
      <c r="H179" s="322">
        <v>52.0</v>
      </c>
      <c r="I179" s="322">
        <f t="shared" si="3"/>
        <v>11490.96</v>
      </c>
      <c r="J179" s="323" t="s">
        <v>7507</v>
      </c>
      <c r="K179" s="361">
        <f t="shared" si="2"/>
        <v>13621.04</v>
      </c>
      <c r="L179" s="340"/>
      <c r="M179" s="340"/>
      <c r="N179" s="340"/>
      <c r="O179" s="340"/>
      <c r="P179" s="340"/>
      <c r="Q179" s="340"/>
      <c r="R179" s="340"/>
      <c r="S179" s="340"/>
      <c r="T179" s="340"/>
      <c r="U179" s="340"/>
      <c r="V179" s="340"/>
      <c r="W179" s="340"/>
      <c r="X179" s="340"/>
    </row>
    <row r="180" ht="15.75" customHeight="1">
      <c r="A180" s="374">
        <v>174.0</v>
      </c>
      <c r="B180" s="384" t="s">
        <v>7663</v>
      </c>
      <c r="C180" s="384" t="s">
        <v>1395</v>
      </c>
      <c r="D180" s="384" t="s">
        <v>7664</v>
      </c>
      <c r="E180" s="385" t="s">
        <v>7665</v>
      </c>
      <c r="F180" s="385">
        <v>17454.0</v>
      </c>
      <c r="G180" s="385">
        <v>19626.0</v>
      </c>
      <c r="H180" s="386">
        <v>51.0</v>
      </c>
      <c r="I180" s="322">
        <f t="shared" si="3"/>
        <v>8901.54</v>
      </c>
      <c r="J180" s="387"/>
      <c r="K180" s="361">
        <f t="shared" si="2"/>
        <v>10724.46</v>
      </c>
      <c r="L180" s="267"/>
      <c r="M180" s="267"/>
      <c r="N180" s="385"/>
      <c r="O180" s="340"/>
      <c r="P180" s="340"/>
      <c r="Q180" s="340"/>
      <c r="R180" s="340"/>
      <c r="S180" s="340"/>
      <c r="T180" s="340"/>
      <c r="U180" s="340"/>
      <c r="V180" s="340"/>
      <c r="W180" s="340"/>
      <c r="X180" s="340"/>
    </row>
    <row r="181" ht="15.75" customHeight="1">
      <c r="A181" s="374">
        <v>175.0</v>
      </c>
      <c r="B181" s="388" t="s">
        <v>7666</v>
      </c>
      <c r="C181" s="388" t="s">
        <v>1395</v>
      </c>
      <c r="D181" s="388" t="s">
        <v>7667</v>
      </c>
      <c r="E181" s="389" t="s">
        <v>7665</v>
      </c>
      <c r="F181" s="389">
        <v>19551.0</v>
      </c>
      <c r="G181" s="389">
        <v>22101.0</v>
      </c>
      <c r="H181" s="390">
        <v>51.0</v>
      </c>
      <c r="I181" s="322">
        <f t="shared" si="3"/>
        <v>9971.01</v>
      </c>
      <c r="J181" s="391"/>
      <c r="K181" s="361">
        <f t="shared" si="2"/>
        <v>12129.99</v>
      </c>
      <c r="L181" s="267"/>
      <c r="M181" s="267"/>
      <c r="N181" s="389"/>
      <c r="O181" s="340"/>
      <c r="P181" s="340"/>
      <c r="Q181" s="340"/>
      <c r="R181" s="340"/>
      <c r="S181" s="340"/>
      <c r="T181" s="340"/>
      <c r="U181" s="340"/>
      <c r="V181" s="340"/>
      <c r="W181" s="340"/>
      <c r="X181" s="340"/>
    </row>
    <row r="182" ht="15.75" customHeight="1">
      <c r="A182" s="374">
        <v>176.0</v>
      </c>
      <c r="B182" s="388" t="s">
        <v>7668</v>
      </c>
      <c r="C182" s="388" t="s">
        <v>533</v>
      </c>
      <c r="D182" s="388" t="s">
        <v>7669</v>
      </c>
      <c r="E182" s="389"/>
      <c r="F182" s="389"/>
      <c r="G182" s="389"/>
      <c r="H182" s="388"/>
      <c r="I182" s="322">
        <f t="shared" si="3"/>
        <v>0</v>
      </c>
      <c r="J182" s="391"/>
      <c r="K182" s="361">
        <f t="shared" si="2"/>
        <v>0</v>
      </c>
      <c r="L182" s="267"/>
      <c r="M182" s="267"/>
      <c r="N182" s="389"/>
      <c r="O182" s="340"/>
      <c r="P182" s="340"/>
      <c r="Q182" s="340"/>
      <c r="R182" s="340"/>
      <c r="S182" s="340"/>
      <c r="T182" s="340"/>
      <c r="U182" s="340"/>
      <c r="V182" s="340"/>
      <c r="W182" s="340"/>
      <c r="X182" s="340"/>
    </row>
    <row r="183" ht="15.75" customHeight="1">
      <c r="A183" s="374">
        <v>177.0</v>
      </c>
      <c r="B183" s="388" t="s">
        <v>7670</v>
      </c>
      <c r="C183" s="388" t="s">
        <v>21</v>
      </c>
      <c r="D183" s="388" t="s">
        <v>7671</v>
      </c>
      <c r="E183" s="389" t="s">
        <v>48</v>
      </c>
      <c r="F183" s="389">
        <v>47838.0</v>
      </c>
      <c r="G183" s="389"/>
      <c r="H183" s="390">
        <v>18.0</v>
      </c>
      <c r="I183" s="322">
        <f t="shared" si="3"/>
        <v>8610.84</v>
      </c>
      <c r="J183" s="391"/>
      <c r="K183" s="361">
        <f t="shared" si="2"/>
        <v>-8610.84</v>
      </c>
      <c r="L183" s="267"/>
      <c r="M183" s="267"/>
      <c r="N183" s="389"/>
      <c r="O183" s="340"/>
      <c r="P183" s="340"/>
      <c r="Q183" s="340"/>
      <c r="R183" s="340"/>
      <c r="S183" s="340"/>
      <c r="T183" s="340"/>
      <c r="U183" s="340"/>
      <c r="V183" s="340"/>
      <c r="W183" s="340"/>
      <c r="X183" s="340"/>
    </row>
    <row r="184" ht="15.75" customHeight="1">
      <c r="A184" s="374">
        <v>178.0</v>
      </c>
      <c r="B184" s="388" t="s">
        <v>7672</v>
      </c>
      <c r="C184" s="388" t="s">
        <v>966</v>
      </c>
      <c r="D184" s="388" t="s">
        <v>7673</v>
      </c>
      <c r="E184" s="389" t="s">
        <v>7674</v>
      </c>
      <c r="F184" s="389">
        <v>3796.0</v>
      </c>
      <c r="G184" s="389"/>
      <c r="H184" s="390">
        <v>22.0</v>
      </c>
      <c r="I184" s="322">
        <f t="shared" si="3"/>
        <v>835.12</v>
      </c>
      <c r="J184" s="391"/>
      <c r="K184" s="361">
        <f t="shared" si="2"/>
        <v>-835.12</v>
      </c>
      <c r="L184" s="267"/>
      <c r="M184" s="267"/>
      <c r="N184" s="389"/>
      <c r="O184" s="340"/>
      <c r="P184" s="340"/>
      <c r="Q184" s="340"/>
      <c r="R184" s="340"/>
      <c r="S184" s="340"/>
      <c r="T184" s="340"/>
      <c r="U184" s="340"/>
      <c r="V184" s="340"/>
      <c r="W184" s="340"/>
      <c r="X184" s="340"/>
    </row>
    <row r="185" ht="15.75" customHeight="1">
      <c r="A185" s="374">
        <v>179.0</v>
      </c>
      <c r="B185" s="388" t="s">
        <v>7675</v>
      </c>
      <c r="C185" s="388" t="s">
        <v>1395</v>
      </c>
      <c r="D185" s="388" t="s">
        <v>7676</v>
      </c>
      <c r="E185" s="389" t="s">
        <v>116</v>
      </c>
      <c r="F185" s="389">
        <v>27842.0</v>
      </c>
      <c r="G185" s="389"/>
      <c r="H185" s="390">
        <v>51.0</v>
      </c>
      <c r="I185" s="322">
        <f t="shared" si="3"/>
        <v>14199.42</v>
      </c>
      <c r="J185" s="391"/>
      <c r="K185" s="361">
        <f t="shared" si="2"/>
        <v>-14199.42</v>
      </c>
      <c r="L185" s="267"/>
      <c r="M185" s="267"/>
      <c r="N185" s="389"/>
      <c r="O185" s="340"/>
      <c r="P185" s="340"/>
      <c r="Q185" s="340"/>
      <c r="R185" s="340"/>
      <c r="S185" s="340"/>
      <c r="T185" s="340"/>
      <c r="U185" s="340"/>
      <c r="V185" s="340"/>
      <c r="W185" s="340"/>
      <c r="X185" s="340"/>
    </row>
    <row r="186" ht="15.75" customHeight="1">
      <c r="A186" s="374">
        <v>180.0</v>
      </c>
      <c r="B186" s="388" t="s">
        <v>900</v>
      </c>
      <c r="C186" s="388" t="s">
        <v>1395</v>
      </c>
      <c r="D186" s="388" t="s">
        <v>903</v>
      </c>
      <c r="E186" s="389" t="s">
        <v>116</v>
      </c>
      <c r="F186" s="389">
        <v>17558.0</v>
      </c>
      <c r="G186" s="389"/>
      <c r="H186" s="390">
        <v>51.0</v>
      </c>
      <c r="I186" s="322">
        <f t="shared" si="3"/>
        <v>8954.58</v>
      </c>
      <c r="J186" s="391"/>
      <c r="K186" s="361">
        <f t="shared" si="2"/>
        <v>-8954.58</v>
      </c>
      <c r="L186" s="267"/>
      <c r="M186" s="267"/>
      <c r="N186" s="389"/>
      <c r="O186" s="340"/>
      <c r="P186" s="340"/>
      <c r="Q186" s="340"/>
      <c r="R186" s="340"/>
      <c r="S186" s="340"/>
      <c r="T186" s="340"/>
      <c r="U186" s="340"/>
      <c r="V186" s="340"/>
      <c r="W186" s="340"/>
      <c r="X186" s="340"/>
    </row>
    <row r="187" ht="15.75" customHeight="1">
      <c r="A187" s="374">
        <v>181.0</v>
      </c>
      <c r="B187" s="388" t="s">
        <v>2229</v>
      </c>
      <c r="C187" s="388" t="s">
        <v>21</v>
      </c>
      <c r="D187" s="388" t="s">
        <v>7677</v>
      </c>
      <c r="E187" s="389" t="s">
        <v>2681</v>
      </c>
      <c r="F187" s="389">
        <v>44425.0</v>
      </c>
      <c r="G187" s="389">
        <v>49785.0</v>
      </c>
      <c r="H187" s="390">
        <v>36.0</v>
      </c>
      <c r="I187" s="322">
        <f t="shared" si="3"/>
        <v>15993</v>
      </c>
      <c r="J187" s="391"/>
      <c r="K187" s="361">
        <f t="shared" si="2"/>
        <v>33792</v>
      </c>
      <c r="L187" s="267"/>
      <c r="M187" s="267"/>
      <c r="N187" s="389"/>
      <c r="O187" s="340"/>
      <c r="P187" s="340"/>
      <c r="Q187" s="340"/>
      <c r="R187" s="340"/>
      <c r="S187" s="340"/>
      <c r="T187" s="340"/>
      <c r="U187" s="340"/>
      <c r="V187" s="340"/>
      <c r="W187" s="340"/>
      <c r="X187" s="340"/>
    </row>
    <row r="188" ht="15.75" customHeight="1">
      <c r="A188" s="374">
        <v>182.0</v>
      </c>
      <c r="B188" s="388" t="s">
        <v>7678</v>
      </c>
      <c r="C188" s="388" t="s">
        <v>21</v>
      </c>
      <c r="D188" s="388" t="s">
        <v>7679</v>
      </c>
      <c r="E188" s="389" t="s">
        <v>2681</v>
      </c>
      <c r="F188" s="389">
        <v>44425.0</v>
      </c>
      <c r="G188" s="389"/>
      <c r="H188" s="390">
        <v>36.0</v>
      </c>
      <c r="I188" s="322">
        <f t="shared" si="3"/>
        <v>15993</v>
      </c>
      <c r="J188" s="391"/>
      <c r="K188" s="361">
        <f t="shared" si="2"/>
        <v>-15993</v>
      </c>
      <c r="L188" s="267"/>
      <c r="M188" s="267"/>
      <c r="N188" s="389"/>
      <c r="O188" s="340"/>
      <c r="P188" s="340"/>
      <c r="Q188" s="340"/>
      <c r="R188" s="340"/>
      <c r="S188" s="340"/>
      <c r="T188" s="340"/>
      <c r="U188" s="340"/>
      <c r="V188" s="340"/>
      <c r="W188" s="340"/>
      <c r="X188" s="340"/>
    </row>
    <row r="189" ht="15.75" customHeight="1">
      <c r="A189" s="374">
        <v>183.0</v>
      </c>
      <c r="B189" s="388" t="s">
        <v>7680</v>
      </c>
      <c r="C189" s="388" t="s">
        <v>75</v>
      </c>
      <c r="D189" s="388" t="s">
        <v>7681</v>
      </c>
      <c r="E189" s="389" t="s">
        <v>2681</v>
      </c>
      <c r="F189" s="389">
        <v>5655.0</v>
      </c>
      <c r="G189" s="389"/>
      <c r="H189" s="390">
        <v>52.0</v>
      </c>
      <c r="I189" s="322">
        <f t="shared" si="3"/>
        <v>2940.6</v>
      </c>
      <c r="J189" s="391"/>
      <c r="K189" s="361">
        <f t="shared" si="2"/>
        <v>-2940.6</v>
      </c>
      <c r="L189" s="267"/>
      <c r="M189" s="267"/>
      <c r="N189" s="389"/>
      <c r="O189" s="340"/>
      <c r="P189" s="340"/>
      <c r="Q189" s="340"/>
      <c r="R189" s="340"/>
      <c r="S189" s="340"/>
      <c r="T189" s="340"/>
      <c r="U189" s="340"/>
      <c r="V189" s="340"/>
      <c r="W189" s="340"/>
      <c r="X189" s="340"/>
    </row>
    <row r="190" ht="15.75" customHeight="1">
      <c r="A190" s="374">
        <v>184.0</v>
      </c>
      <c r="B190" s="388" t="s">
        <v>7682</v>
      </c>
      <c r="C190" s="388" t="s">
        <v>1395</v>
      </c>
      <c r="D190" s="390" t="s">
        <v>7683</v>
      </c>
      <c r="E190" s="389" t="s">
        <v>70</v>
      </c>
      <c r="F190" s="389">
        <v>17664.0</v>
      </c>
      <c r="G190" s="389"/>
      <c r="H190" s="390">
        <v>56.0</v>
      </c>
      <c r="I190" s="322">
        <f t="shared" si="3"/>
        <v>9891.84</v>
      </c>
      <c r="J190" s="391"/>
      <c r="K190" s="361">
        <f t="shared" si="2"/>
        <v>-9891.84</v>
      </c>
      <c r="L190" s="267"/>
      <c r="M190" s="267"/>
      <c r="N190" s="389"/>
      <c r="O190" s="340"/>
      <c r="P190" s="340"/>
      <c r="Q190" s="340"/>
      <c r="R190" s="340"/>
      <c r="S190" s="340"/>
      <c r="T190" s="340"/>
      <c r="U190" s="340"/>
      <c r="V190" s="340"/>
      <c r="W190" s="340"/>
      <c r="X190" s="340"/>
    </row>
    <row r="191" ht="15.75" customHeight="1">
      <c r="A191" s="374">
        <v>185.0</v>
      </c>
      <c r="B191" s="388" t="s">
        <v>7684</v>
      </c>
      <c r="C191" s="388" t="s">
        <v>966</v>
      </c>
      <c r="D191" s="388" t="s">
        <v>7685</v>
      </c>
      <c r="E191" s="389" t="s">
        <v>7686</v>
      </c>
      <c r="F191" s="389">
        <v>3416.0</v>
      </c>
      <c r="G191" s="389"/>
      <c r="H191" s="390">
        <v>21.0</v>
      </c>
      <c r="I191" s="322">
        <f t="shared" si="3"/>
        <v>717.36</v>
      </c>
      <c r="J191" s="391"/>
      <c r="K191" s="361">
        <f t="shared" si="2"/>
        <v>-717.36</v>
      </c>
      <c r="L191" s="267"/>
      <c r="M191" s="267"/>
      <c r="N191" s="389"/>
      <c r="O191" s="340"/>
      <c r="P191" s="340"/>
      <c r="Q191" s="340"/>
      <c r="R191" s="340"/>
      <c r="S191" s="340"/>
      <c r="T191" s="340"/>
      <c r="U191" s="340"/>
      <c r="V191" s="340"/>
      <c r="W191" s="340"/>
      <c r="X191" s="340"/>
    </row>
    <row r="192" ht="15.75" customHeight="1">
      <c r="A192" s="374">
        <v>186.0</v>
      </c>
      <c r="B192" s="388" t="s">
        <v>7687</v>
      </c>
      <c r="C192" s="388" t="s">
        <v>1395</v>
      </c>
      <c r="D192" s="388" t="s">
        <v>7688</v>
      </c>
      <c r="E192" s="389" t="s">
        <v>116</v>
      </c>
      <c r="F192" s="389">
        <v>17749.0</v>
      </c>
      <c r="G192" s="389">
        <v>19975.0</v>
      </c>
      <c r="H192" s="390">
        <v>51.0</v>
      </c>
      <c r="I192" s="322">
        <f t="shared" si="3"/>
        <v>9051.99</v>
      </c>
      <c r="J192" s="391"/>
      <c r="K192" s="361">
        <f t="shared" si="2"/>
        <v>10923.01</v>
      </c>
      <c r="L192" s="267"/>
      <c r="M192" s="267"/>
      <c r="N192" s="389"/>
      <c r="O192" s="340"/>
      <c r="P192" s="340"/>
      <c r="Q192" s="340"/>
      <c r="R192" s="340"/>
      <c r="S192" s="340"/>
      <c r="T192" s="340"/>
      <c r="U192" s="340"/>
      <c r="V192" s="340"/>
      <c r="W192" s="340"/>
      <c r="X192" s="340"/>
    </row>
    <row r="193" ht="15.75" customHeight="1">
      <c r="A193" s="374">
        <v>187.0</v>
      </c>
      <c r="B193" s="388" t="s">
        <v>7689</v>
      </c>
      <c r="C193" s="388" t="s">
        <v>1395</v>
      </c>
      <c r="D193" s="388" t="s">
        <v>7690</v>
      </c>
      <c r="E193" s="389" t="s">
        <v>116</v>
      </c>
      <c r="F193" s="389">
        <v>17776.0</v>
      </c>
      <c r="G193" s="389">
        <v>20005.0</v>
      </c>
      <c r="H193" s="390">
        <v>51.0</v>
      </c>
      <c r="I193" s="322">
        <f t="shared" si="3"/>
        <v>9065.76</v>
      </c>
      <c r="J193" s="391"/>
      <c r="K193" s="361">
        <f t="shared" si="2"/>
        <v>10939.24</v>
      </c>
      <c r="L193" s="267"/>
      <c r="M193" s="267"/>
      <c r="N193" s="389"/>
      <c r="O193" s="340"/>
      <c r="P193" s="340"/>
      <c r="Q193" s="340"/>
      <c r="R193" s="340"/>
      <c r="S193" s="340"/>
      <c r="T193" s="340"/>
      <c r="U193" s="340"/>
      <c r="V193" s="340"/>
      <c r="W193" s="340"/>
      <c r="X193" s="340"/>
    </row>
    <row r="194" ht="15.75" customHeight="1">
      <c r="A194" s="374">
        <v>188.0</v>
      </c>
      <c r="B194" s="388" t="s">
        <v>4931</v>
      </c>
      <c r="C194" s="388" t="s">
        <v>1395</v>
      </c>
      <c r="D194" s="388" t="s">
        <v>7691</v>
      </c>
      <c r="E194" s="389" t="s">
        <v>116</v>
      </c>
      <c r="F194" s="389">
        <v>17508.0</v>
      </c>
      <c r="G194" s="389">
        <v>19690.0</v>
      </c>
      <c r="H194" s="390">
        <v>51.0</v>
      </c>
      <c r="I194" s="322">
        <f t="shared" si="3"/>
        <v>8929.08</v>
      </c>
      <c r="J194" s="389"/>
      <c r="K194" s="361">
        <f t="shared" si="2"/>
        <v>10760.92</v>
      </c>
      <c r="L194" s="267"/>
      <c r="M194" s="267"/>
      <c r="N194" s="389"/>
      <c r="O194" s="340"/>
      <c r="P194" s="340"/>
      <c r="Q194" s="340"/>
      <c r="R194" s="340"/>
      <c r="S194" s="340"/>
      <c r="T194" s="340"/>
      <c r="U194" s="340"/>
      <c r="V194" s="340"/>
      <c r="W194" s="340"/>
      <c r="X194" s="340"/>
    </row>
    <row r="195" ht="15.75" customHeight="1">
      <c r="A195" s="374">
        <v>189.0</v>
      </c>
      <c r="B195" s="388" t="s">
        <v>5222</v>
      </c>
      <c r="C195" s="388" t="s">
        <v>21</v>
      </c>
      <c r="D195" s="388" t="s">
        <v>7692</v>
      </c>
      <c r="E195" s="389" t="s">
        <v>70</v>
      </c>
      <c r="F195" s="389">
        <v>47369.0</v>
      </c>
      <c r="G195" s="389"/>
      <c r="H195" s="390">
        <v>23.0</v>
      </c>
      <c r="I195" s="322">
        <f t="shared" si="3"/>
        <v>10894.87</v>
      </c>
      <c r="J195" s="391"/>
      <c r="K195" s="361">
        <f t="shared" si="2"/>
        <v>-10894.87</v>
      </c>
      <c r="L195" s="267"/>
      <c r="M195" s="267"/>
      <c r="N195" s="389"/>
      <c r="O195" s="340"/>
      <c r="P195" s="340"/>
      <c r="Q195" s="340"/>
      <c r="R195" s="340"/>
      <c r="S195" s="340"/>
      <c r="T195" s="340"/>
      <c r="U195" s="340"/>
      <c r="V195" s="340"/>
      <c r="W195" s="340"/>
      <c r="X195" s="340"/>
    </row>
    <row r="196" ht="15.75" customHeight="1">
      <c r="A196" s="374">
        <v>190.0</v>
      </c>
      <c r="B196" s="388" t="s">
        <v>7693</v>
      </c>
      <c r="C196" s="388" t="s">
        <v>1395</v>
      </c>
      <c r="D196" s="388" t="s">
        <v>7694</v>
      </c>
      <c r="E196" s="389" t="s">
        <v>116</v>
      </c>
      <c r="F196" s="389">
        <v>25853.0</v>
      </c>
      <c r="G196" s="389">
        <v>29537.0</v>
      </c>
      <c r="H196" s="390">
        <v>51.0</v>
      </c>
      <c r="I196" s="322">
        <f t="shared" si="3"/>
        <v>13185.03</v>
      </c>
      <c r="J196" s="389"/>
      <c r="K196" s="361">
        <f t="shared" si="2"/>
        <v>16351.97</v>
      </c>
      <c r="L196" s="267"/>
      <c r="M196" s="267"/>
      <c r="N196" s="389"/>
      <c r="O196" s="340"/>
      <c r="P196" s="340"/>
      <c r="Q196" s="340"/>
      <c r="R196" s="340"/>
      <c r="S196" s="340"/>
      <c r="T196" s="340"/>
      <c r="U196" s="340"/>
      <c r="V196" s="340"/>
      <c r="W196" s="340"/>
      <c r="X196" s="340"/>
    </row>
    <row r="197" ht="15.75" customHeight="1">
      <c r="A197" s="374">
        <v>191.0</v>
      </c>
      <c r="B197" s="388" t="s">
        <v>7695</v>
      </c>
      <c r="C197" s="388" t="s">
        <v>1395</v>
      </c>
      <c r="D197" s="388" t="s">
        <v>7696</v>
      </c>
      <c r="E197" s="389" t="s">
        <v>116</v>
      </c>
      <c r="F197" s="389">
        <v>18721.0</v>
      </c>
      <c r="G197" s="389">
        <v>21121.0</v>
      </c>
      <c r="H197" s="390">
        <v>51.0</v>
      </c>
      <c r="I197" s="322">
        <f t="shared" si="3"/>
        <v>9547.71</v>
      </c>
      <c r="J197" s="391"/>
      <c r="K197" s="361">
        <f t="shared" si="2"/>
        <v>11573.29</v>
      </c>
      <c r="L197" s="267"/>
      <c r="M197" s="267"/>
      <c r="N197" s="389"/>
      <c r="O197" s="340"/>
      <c r="P197" s="340"/>
      <c r="Q197" s="340"/>
      <c r="R197" s="340"/>
      <c r="S197" s="340"/>
      <c r="T197" s="340"/>
      <c r="U197" s="340"/>
      <c r="V197" s="340"/>
      <c r="W197" s="340"/>
      <c r="X197" s="340"/>
    </row>
    <row r="198" ht="15.75" customHeight="1">
      <c r="A198" s="374">
        <v>192.0</v>
      </c>
      <c r="B198" s="388" t="s">
        <v>7697</v>
      </c>
      <c r="C198" s="388" t="s">
        <v>1395</v>
      </c>
      <c r="D198" s="388" t="s">
        <v>7698</v>
      </c>
      <c r="E198" s="389" t="s">
        <v>116</v>
      </c>
      <c r="F198" s="389">
        <v>27259.0</v>
      </c>
      <c r="G198" s="389">
        <v>31197.0</v>
      </c>
      <c r="H198" s="390">
        <v>51.0</v>
      </c>
      <c r="I198" s="322">
        <f t="shared" si="3"/>
        <v>13902.09</v>
      </c>
      <c r="J198" s="389"/>
      <c r="K198" s="361">
        <f t="shared" si="2"/>
        <v>17294.91</v>
      </c>
      <c r="L198" s="267"/>
      <c r="M198" s="267"/>
      <c r="N198" s="389"/>
      <c r="O198" s="340"/>
      <c r="P198" s="340"/>
      <c r="Q198" s="340"/>
      <c r="R198" s="340"/>
      <c r="S198" s="340"/>
      <c r="T198" s="340"/>
      <c r="U198" s="340"/>
      <c r="V198" s="340"/>
      <c r="W198" s="340"/>
      <c r="X198" s="340"/>
    </row>
    <row r="199" ht="15.75" customHeight="1">
      <c r="A199" s="374">
        <v>193.0</v>
      </c>
      <c r="B199" s="388" t="s">
        <v>7699</v>
      </c>
      <c r="C199" s="388" t="s">
        <v>1395</v>
      </c>
      <c r="D199" s="388" t="s">
        <v>7700</v>
      </c>
      <c r="E199" s="389" t="s">
        <v>116</v>
      </c>
      <c r="F199" s="389">
        <v>19353.0</v>
      </c>
      <c r="G199" s="389">
        <v>21867.0</v>
      </c>
      <c r="H199" s="390">
        <v>51.0</v>
      </c>
      <c r="I199" s="322">
        <f t="shared" si="3"/>
        <v>9870.03</v>
      </c>
      <c r="J199" s="391"/>
      <c r="K199" s="361">
        <f t="shared" si="2"/>
        <v>11996.97</v>
      </c>
      <c r="L199" s="267"/>
      <c r="M199" s="267"/>
      <c r="N199" s="389"/>
      <c r="O199" s="340"/>
      <c r="P199" s="340"/>
      <c r="Q199" s="340"/>
      <c r="R199" s="340"/>
      <c r="S199" s="340"/>
      <c r="T199" s="340"/>
      <c r="U199" s="340"/>
      <c r="V199" s="340"/>
      <c r="W199" s="340"/>
      <c r="X199" s="340"/>
    </row>
    <row r="200" ht="15.75" customHeight="1">
      <c r="A200" s="374">
        <v>194.0</v>
      </c>
      <c r="B200" s="388" t="s">
        <v>7701</v>
      </c>
      <c r="C200" s="388" t="s">
        <v>966</v>
      </c>
      <c r="D200" s="388" t="s">
        <v>7702</v>
      </c>
      <c r="E200" s="389" t="s">
        <v>2681</v>
      </c>
      <c r="F200" s="389">
        <v>3841.0</v>
      </c>
      <c r="G200" s="389"/>
      <c r="H200" s="390">
        <v>33.0</v>
      </c>
      <c r="I200" s="322">
        <f t="shared" si="3"/>
        <v>1267.53</v>
      </c>
      <c r="J200" s="389"/>
      <c r="K200" s="361">
        <f t="shared" si="2"/>
        <v>-1267.53</v>
      </c>
      <c r="L200" s="267"/>
      <c r="M200" s="267"/>
      <c r="N200" s="389"/>
      <c r="O200" s="340"/>
      <c r="P200" s="340"/>
      <c r="Q200" s="340"/>
      <c r="R200" s="340"/>
      <c r="S200" s="340"/>
      <c r="T200" s="340"/>
      <c r="U200" s="340"/>
      <c r="V200" s="340"/>
      <c r="W200" s="340"/>
      <c r="X200" s="340"/>
    </row>
    <row r="201" ht="15.75" customHeight="1">
      <c r="A201" s="374">
        <v>195.0</v>
      </c>
      <c r="B201" s="388" t="s">
        <v>7703</v>
      </c>
      <c r="C201" s="388" t="s">
        <v>21</v>
      </c>
      <c r="D201" s="388" t="s">
        <v>7704</v>
      </c>
      <c r="E201" s="389" t="s">
        <v>2681</v>
      </c>
      <c r="F201" s="389">
        <v>44050.0</v>
      </c>
      <c r="G201" s="389"/>
      <c r="H201" s="390">
        <v>41.0</v>
      </c>
      <c r="I201" s="322">
        <f t="shared" si="3"/>
        <v>18060.5</v>
      </c>
      <c r="J201" s="389"/>
      <c r="K201" s="361">
        <f t="shared" si="2"/>
        <v>-18060.5</v>
      </c>
      <c r="L201" s="267"/>
      <c r="M201" s="267"/>
      <c r="N201" s="389"/>
      <c r="O201" s="340"/>
      <c r="P201" s="340"/>
      <c r="Q201" s="340"/>
      <c r="R201" s="340"/>
      <c r="S201" s="340"/>
      <c r="T201" s="340"/>
      <c r="U201" s="340"/>
      <c r="V201" s="340"/>
      <c r="W201" s="340"/>
      <c r="X201" s="340"/>
    </row>
    <row r="202" ht="15.75" customHeight="1">
      <c r="A202" s="374">
        <v>196.0</v>
      </c>
      <c r="B202" s="388" t="s">
        <v>7705</v>
      </c>
      <c r="C202" s="388" t="s">
        <v>6650</v>
      </c>
      <c r="D202" s="388" t="s">
        <v>7706</v>
      </c>
      <c r="E202" s="389" t="s">
        <v>7707</v>
      </c>
      <c r="F202" s="389">
        <v>6946.0</v>
      </c>
      <c r="G202" s="389"/>
      <c r="H202" s="390">
        <v>57.0</v>
      </c>
      <c r="I202" s="322">
        <f t="shared" si="3"/>
        <v>3959.22</v>
      </c>
      <c r="J202" s="389"/>
      <c r="K202" s="361">
        <f t="shared" si="2"/>
        <v>-3959.22</v>
      </c>
      <c r="L202" s="267"/>
      <c r="M202" s="267"/>
      <c r="N202" s="389"/>
      <c r="O202" s="340"/>
      <c r="P202" s="340"/>
      <c r="Q202" s="340"/>
      <c r="R202" s="340"/>
      <c r="S202" s="340"/>
      <c r="T202" s="340"/>
      <c r="U202" s="340"/>
      <c r="V202" s="340"/>
      <c r="W202" s="340"/>
      <c r="X202" s="340"/>
    </row>
    <row r="203" ht="15.75" customHeight="1">
      <c r="A203" s="374">
        <v>197.0</v>
      </c>
      <c r="B203" s="388" t="s">
        <v>7708</v>
      </c>
      <c r="C203" s="388" t="s">
        <v>1395</v>
      </c>
      <c r="D203" s="388" t="s">
        <v>7709</v>
      </c>
      <c r="E203" s="389" t="s">
        <v>116</v>
      </c>
      <c r="F203" s="389">
        <v>18563.0</v>
      </c>
      <c r="G203" s="389">
        <v>20935.0</v>
      </c>
      <c r="H203" s="390">
        <v>51.0</v>
      </c>
      <c r="I203" s="322">
        <f t="shared" si="3"/>
        <v>9467.13</v>
      </c>
      <c r="J203" s="389"/>
      <c r="K203" s="361">
        <f t="shared" si="2"/>
        <v>11467.87</v>
      </c>
      <c r="L203" s="267"/>
      <c r="M203" s="267"/>
      <c r="N203" s="389"/>
      <c r="O203" s="340"/>
      <c r="P203" s="340"/>
      <c r="Q203" s="340"/>
      <c r="R203" s="340"/>
      <c r="S203" s="340"/>
      <c r="T203" s="340"/>
      <c r="U203" s="340"/>
      <c r="V203" s="340"/>
      <c r="W203" s="340"/>
      <c r="X203" s="340"/>
    </row>
    <row r="204" ht="15.75" customHeight="1">
      <c r="A204" s="374">
        <v>198.0</v>
      </c>
      <c r="B204" s="388" t="s">
        <v>7710</v>
      </c>
      <c r="C204" s="388" t="s">
        <v>21</v>
      </c>
      <c r="D204" s="388" t="s">
        <v>7711</v>
      </c>
      <c r="E204" s="389" t="s">
        <v>48</v>
      </c>
      <c r="F204" s="389">
        <v>37813.0</v>
      </c>
      <c r="G204" s="389"/>
      <c r="H204" s="390">
        <v>20.0</v>
      </c>
      <c r="I204" s="322">
        <f t="shared" si="3"/>
        <v>7562.6</v>
      </c>
      <c r="J204" s="389"/>
      <c r="K204" s="361">
        <f t="shared" si="2"/>
        <v>-7562.6</v>
      </c>
      <c r="L204" s="267"/>
      <c r="M204" s="267"/>
      <c r="N204" s="389"/>
      <c r="O204" s="340"/>
      <c r="P204" s="340"/>
      <c r="Q204" s="340"/>
      <c r="R204" s="340"/>
      <c r="S204" s="340"/>
      <c r="T204" s="340"/>
      <c r="U204" s="340"/>
      <c r="V204" s="340"/>
      <c r="W204" s="340"/>
      <c r="X204" s="340"/>
    </row>
    <row r="205" ht="15.75" customHeight="1">
      <c r="A205" s="374">
        <v>200.0</v>
      </c>
      <c r="B205" s="388" t="s">
        <v>7712</v>
      </c>
      <c r="C205" s="388" t="s">
        <v>1395</v>
      </c>
      <c r="D205" s="388" t="s">
        <v>7713</v>
      </c>
      <c r="E205" s="389" t="s">
        <v>116</v>
      </c>
      <c r="F205" s="389">
        <v>18658.0</v>
      </c>
      <c r="G205" s="389"/>
      <c r="H205" s="390">
        <v>51.0</v>
      </c>
      <c r="I205" s="322">
        <f t="shared" si="3"/>
        <v>9515.58</v>
      </c>
      <c r="J205" s="389"/>
      <c r="K205" s="361">
        <f t="shared" si="2"/>
        <v>-9515.58</v>
      </c>
      <c r="L205" s="267"/>
      <c r="M205" s="267"/>
      <c r="N205" s="389"/>
      <c r="O205" s="340"/>
      <c r="P205" s="340"/>
      <c r="Q205" s="340"/>
      <c r="R205" s="340"/>
      <c r="S205" s="340"/>
      <c r="T205" s="340"/>
      <c r="U205" s="340"/>
      <c r="V205" s="340"/>
      <c r="W205" s="340"/>
      <c r="X205" s="340"/>
    </row>
    <row r="206" ht="15.75" customHeight="1">
      <c r="A206" s="374">
        <v>201.0</v>
      </c>
      <c r="B206" s="388" t="s">
        <v>7714</v>
      </c>
      <c r="C206" s="388" t="s">
        <v>966</v>
      </c>
      <c r="D206" s="388" t="s">
        <v>7715</v>
      </c>
      <c r="E206" s="389" t="s">
        <v>2752</v>
      </c>
      <c r="F206" s="389">
        <v>24040.0</v>
      </c>
      <c r="G206" s="389"/>
      <c r="H206" s="390">
        <v>18.0</v>
      </c>
      <c r="I206" s="322">
        <f t="shared" si="3"/>
        <v>4327.2</v>
      </c>
      <c r="J206" s="389"/>
      <c r="K206" s="361">
        <f t="shared" si="2"/>
        <v>-4327.2</v>
      </c>
      <c r="L206" s="267"/>
      <c r="M206" s="267"/>
      <c r="N206" s="389"/>
      <c r="O206" s="340"/>
      <c r="P206" s="340"/>
      <c r="Q206" s="340"/>
      <c r="R206" s="340"/>
      <c r="S206" s="340"/>
      <c r="T206" s="340"/>
      <c r="U206" s="340"/>
      <c r="V206" s="340"/>
      <c r="W206" s="340"/>
      <c r="X206" s="340"/>
    </row>
    <row r="207" ht="15.75" customHeight="1">
      <c r="A207" s="374">
        <v>202.0</v>
      </c>
      <c r="B207" s="388" t="s">
        <v>7716</v>
      </c>
      <c r="C207" s="388" t="s">
        <v>21</v>
      </c>
      <c r="D207" s="388" t="s">
        <v>7717</v>
      </c>
      <c r="E207" s="389" t="s">
        <v>116</v>
      </c>
      <c r="F207" s="389">
        <v>19722.0</v>
      </c>
      <c r="G207" s="389"/>
      <c r="H207" s="390">
        <v>32.5</v>
      </c>
      <c r="I207" s="322">
        <f t="shared" si="3"/>
        <v>6409.65</v>
      </c>
      <c r="J207" s="389"/>
      <c r="K207" s="361">
        <f t="shared" si="2"/>
        <v>-6409.65</v>
      </c>
      <c r="L207" s="267"/>
      <c r="M207" s="267"/>
      <c r="N207" s="389"/>
      <c r="O207" s="340"/>
      <c r="P207" s="340"/>
      <c r="Q207" s="340"/>
      <c r="R207" s="340"/>
      <c r="S207" s="340"/>
      <c r="T207" s="340"/>
      <c r="U207" s="340"/>
      <c r="V207" s="340"/>
      <c r="W207" s="340"/>
      <c r="X207" s="340"/>
    </row>
    <row r="208" ht="15.75" customHeight="1">
      <c r="A208" s="374">
        <v>203.0</v>
      </c>
      <c r="B208" s="388" t="s">
        <v>7718</v>
      </c>
      <c r="C208" s="388" t="s">
        <v>1395</v>
      </c>
      <c r="D208" s="388" t="s">
        <v>7719</v>
      </c>
      <c r="E208" s="389" t="s">
        <v>116</v>
      </c>
      <c r="F208" s="389">
        <v>18019.0</v>
      </c>
      <c r="G208" s="389"/>
      <c r="H208" s="390">
        <v>51.0</v>
      </c>
      <c r="I208" s="322">
        <f t="shared" si="3"/>
        <v>9189.69</v>
      </c>
      <c r="J208" s="389"/>
      <c r="K208" s="361">
        <f t="shared" si="2"/>
        <v>-9189.69</v>
      </c>
      <c r="L208" s="267"/>
      <c r="M208" s="267"/>
      <c r="N208" s="389"/>
      <c r="O208" s="340"/>
      <c r="P208" s="340"/>
      <c r="Q208" s="340"/>
      <c r="R208" s="340"/>
      <c r="S208" s="340"/>
      <c r="T208" s="340"/>
      <c r="U208" s="340"/>
      <c r="V208" s="340"/>
      <c r="W208" s="340"/>
      <c r="X208" s="340"/>
    </row>
    <row r="209" ht="15.75" customHeight="1">
      <c r="A209" s="374">
        <v>204.0</v>
      </c>
      <c r="B209" s="388" t="s">
        <v>7720</v>
      </c>
      <c r="C209" s="388" t="s">
        <v>1395</v>
      </c>
      <c r="D209" s="388" t="s">
        <v>7721</v>
      </c>
      <c r="E209" s="389" t="s">
        <v>116</v>
      </c>
      <c r="F209" s="389">
        <v>17553.0</v>
      </c>
      <c r="G209" s="389">
        <v>19744.0</v>
      </c>
      <c r="H209" s="390">
        <v>51.0</v>
      </c>
      <c r="I209" s="322">
        <f t="shared" si="3"/>
        <v>8952.03</v>
      </c>
      <c r="J209" s="389"/>
      <c r="K209" s="361">
        <f t="shared" si="2"/>
        <v>10791.97</v>
      </c>
      <c r="L209" s="267"/>
      <c r="M209" s="267"/>
      <c r="N209" s="389"/>
      <c r="O209" s="340"/>
      <c r="P209" s="340"/>
      <c r="Q209" s="340"/>
      <c r="R209" s="340"/>
      <c r="S209" s="340"/>
      <c r="T209" s="340"/>
      <c r="U209" s="340"/>
      <c r="V209" s="340"/>
      <c r="W209" s="340"/>
      <c r="X209" s="340"/>
    </row>
    <row r="210" ht="15.75" customHeight="1">
      <c r="A210" s="374">
        <v>205.0</v>
      </c>
      <c r="B210" s="388" t="s">
        <v>7722</v>
      </c>
      <c r="C210" s="388" t="s">
        <v>1395</v>
      </c>
      <c r="D210" s="388" t="s">
        <v>7723</v>
      </c>
      <c r="E210" s="389" t="s">
        <v>116</v>
      </c>
      <c r="F210" s="389">
        <v>18956.0</v>
      </c>
      <c r="G210" s="389">
        <v>21398.0</v>
      </c>
      <c r="H210" s="390">
        <v>51.0</v>
      </c>
      <c r="I210" s="322">
        <f t="shared" si="3"/>
        <v>9667.56</v>
      </c>
      <c r="J210" s="389"/>
      <c r="K210" s="361">
        <f t="shared" si="2"/>
        <v>11730.44</v>
      </c>
      <c r="L210" s="267"/>
      <c r="M210" s="267"/>
      <c r="N210" s="389"/>
      <c r="O210" s="340"/>
      <c r="P210" s="340"/>
      <c r="Q210" s="340"/>
      <c r="R210" s="340"/>
      <c r="S210" s="340"/>
      <c r="T210" s="340"/>
      <c r="U210" s="340"/>
      <c r="V210" s="340"/>
      <c r="W210" s="340"/>
      <c r="X210" s="340"/>
    </row>
    <row r="211" ht="15.75" customHeight="1">
      <c r="A211" s="374">
        <v>206.0</v>
      </c>
      <c r="B211" s="388" t="s">
        <v>7724</v>
      </c>
      <c r="C211" s="388" t="s">
        <v>1395</v>
      </c>
      <c r="D211" s="388" t="s">
        <v>7725</v>
      </c>
      <c r="E211" s="389" t="s">
        <v>116</v>
      </c>
      <c r="F211" s="389">
        <v>17690.0</v>
      </c>
      <c r="G211" s="389">
        <v>19904.0</v>
      </c>
      <c r="H211" s="390">
        <v>51.0</v>
      </c>
      <c r="I211" s="322">
        <f t="shared" si="3"/>
        <v>9021.9</v>
      </c>
      <c r="J211" s="389"/>
      <c r="K211" s="361">
        <f t="shared" si="2"/>
        <v>10882.1</v>
      </c>
      <c r="L211" s="267"/>
      <c r="M211" s="267"/>
      <c r="N211" s="389"/>
      <c r="O211" s="340"/>
      <c r="P211" s="340"/>
      <c r="Q211" s="340"/>
      <c r="R211" s="340"/>
      <c r="S211" s="340"/>
      <c r="T211" s="340"/>
      <c r="U211" s="340"/>
      <c r="V211" s="340"/>
      <c r="W211" s="340"/>
      <c r="X211" s="340"/>
    </row>
    <row r="212" ht="15.75" customHeight="1">
      <c r="A212" s="374">
        <v>207.0</v>
      </c>
      <c r="B212" s="388" t="s">
        <v>7726</v>
      </c>
      <c r="C212" s="388" t="s">
        <v>75</v>
      </c>
      <c r="D212" s="388" t="s">
        <v>7727</v>
      </c>
      <c r="E212" s="388" t="s">
        <v>2681</v>
      </c>
      <c r="F212" s="388">
        <v>6314.0</v>
      </c>
      <c r="G212" s="392"/>
      <c r="H212" s="390">
        <v>51.0</v>
      </c>
      <c r="I212" s="322">
        <f t="shared" si="3"/>
        <v>3220.14</v>
      </c>
      <c r="J212" s="375"/>
      <c r="K212" s="361">
        <f t="shared" si="2"/>
        <v>-3220.14</v>
      </c>
      <c r="L212" s="267"/>
      <c r="M212" s="267"/>
      <c r="N212" s="393"/>
      <c r="O212" s="340"/>
      <c r="P212" s="340"/>
      <c r="Q212" s="340"/>
      <c r="R212" s="340"/>
      <c r="S212" s="340"/>
      <c r="T212" s="340"/>
      <c r="U212" s="340"/>
      <c r="V212" s="340"/>
      <c r="W212" s="340"/>
      <c r="X212" s="340"/>
    </row>
    <row r="213" ht="15.75" customHeight="1">
      <c r="A213" s="374">
        <v>208.0</v>
      </c>
      <c r="B213" s="388" t="s">
        <v>7728</v>
      </c>
      <c r="C213" s="388" t="s">
        <v>21</v>
      </c>
      <c r="D213" s="388" t="s">
        <v>7079</v>
      </c>
      <c r="E213" s="388" t="s">
        <v>48</v>
      </c>
      <c r="F213" s="388">
        <v>49184.0</v>
      </c>
      <c r="G213" s="392"/>
      <c r="H213" s="390">
        <v>20.0</v>
      </c>
      <c r="I213" s="322">
        <f t="shared" si="3"/>
        <v>9836.8</v>
      </c>
      <c r="J213" s="375"/>
      <c r="K213" s="361">
        <f t="shared" si="2"/>
        <v>-9836.8</v>
      </c>
      <c r="L213" s="267"/>
      <c r="M213" s="267"/>
      <c r="N213" s="393"/>
      <c r="O213" s="340"/>
      <c r="P213" s="340"/>
      <c r="Q213" s="340"/>
      <c r="R213" s="340"/>
      <c r="S213" s="340"/>
      <c r="T213" s="340"/>
      <c r="U213" s="340"/>
      <c r="V213" s="340"/>
      <c r="W213" s="340"/>
      <c r="X213" s="340"/>
    </row>
    <row r="214" ht="15.75" customHeight="1">
      <c r="A214" s="374">
        <v>209.0</v>
      </c>
      <c r="B214" s="388" t="s">
        <v>7729</v>
      </c>
      <c r="C214" s="388" t="s">
        <v>7118</v>
      </c>
      <c r="D214" s="388" t="s">
        <v>7730</v>
      </c>
      <c r="E214" s="388" t="s">
        <v>2681</v>
      </c>
      <c r="F214" s="388">
        <v>2144.0</v>
      </c>
      <c r="G214" s="392"/>
      <c r="H214" s="390">
        <v>33.0</v>
      </c>
      <c r="I214" s="322">
        <f t="shared" si="3"/>
        <v>707.52</v>
      </c>
      <c r="J214" s="375"/>
      <c r="K214" s="361">
        <f t="shared" si="2"/>
        <v>-707.52</v>
      </c>
      <c r="L214" s="267"/>
      <c r="M214" s="267"/>
      <c r="N214" s="393"/>
      <c r="O214" s="340"/>
      <c r="P214" s="340"/>
      <c r="Q214" s="340"/>
      <c r="R214" s="340"/>
      <c r="S214" s="340"/>
      <c r="T214" s="340"/>
      <c r="U214" s="340"/>
      <c r="V214" s="340"/>
      <c r="W214" s="340"/>
      <c r="X214" s="340"/>
    </row>
    <row r="215" ht="15.75" customHeight="1">
      <c r="A215" s="374">
        <v>210.0</v>
      </c>
      <c r="B215" s="388" t="s">
        <v>7731</v>
      </c>
      <c r="C215" s="388" t="s">
        <v>7118</v>
      </c>
      <c r="D215" s="388" t="s">
        <v>7732</v>
      </c>
      <c r="E215" s="388" t="s">
        <v>7674</v>
      </c>
      <c r="F215" s="388">
        <v>2144.0</v>
      </c>
      <c r="G215" s="392"/>
      <c r="H215" s="390">
        <v>25.0</v>
      </c>
      <c r="I215" s="322">
        <f t="shared" si="3"/>
        <v>536</v>
      </c>
      <c r="J215" s="375"/>
      <c r="K215" s="361">
        <f t="shared" si="2"/>
        <v>-536</v>
      </c>
      <c r="L215" s="267"/>
      <c r="M215" s="267"/>
      <c r="N215" s="393"/>
      <c r="O215" s="340"/>
      <c r="P215" s="340"/>
      <c r="Q215" s="340"/>
      <c r="R215" s="340"/>
      <c r="S215" s="340"/>
      <c r="T215" s="340"/>
      <c r="U215" s="340"/>
      <c r="V215" s="340"/>
      <c r="W215" s="340"/>
      <c r="X215" s="340"/>
    </row>
    <row r="216" ht="15.75" customHeight="1">
      <c r="A216" s="374">
        <v>211.0</v>
      </c>
      <c r="B216" s="388" t="s">
        <v>7733</v>
      </c>
      <c r="C216" s="388" t="s">
        <v>75</v>
      </c>
      <c r="D216" s="388" t="s">
        <v>6860</v>
      </c>
      <c r="E216" s="388" t="s">
        <v>2681</v>
      </c>
      <c r="F216" s="388">
        <v>4947.0</v>
      </c>
      <c r="G216" s="392"/>
      <c r="H216" s="390">
        <v>52.0</v>
      </c>
      <c r="I216" s="322">
        <f t="shared" si="3"/>
        <v>2572.44</v>
      </c>
      <c r="J216" s="375"/>
      <c r="K216" s="361">
        <f t="shared" si="2"/>
        <v>-2572.44</v>
      </c>
      <c r="L216" s="267"/>
      <c r="M216" s="267"/>
      <c r="N216" s="393"/>
      <c r="O216" s="340"/>
      <c r="P216" s="340"/>
      <c r="Q216" s="340"/>
      <c r="R216" s="340"/>
      <c r="S216" s="340"/>
      <c r="T216" s="340"/>
      <c r="U216" s="340"/>
      <c r="V216" s="340"/>
      <c r="W216" s="340"/>
      <c r="X216" s="340"/>
    </row>
    <row r="217" ht="15.75" customHeight="1">
      <c r="A217" s="374">
        <v>212.0</v>
      </c>
      <c r="B217" s="388" t="s">
        <v>7734</v>
      </c>
      <c r="C217" s="388" t="s">
        <v>1395</v>
      </c>
      <c r="D217" s="388" t="s">
        <v>7735</v>
      </c>
      <c r="E217" s="388" t="s">
        <v>70</v>
      </c>
      <c r="F217" s="388">
        <v>16993.0</v>
      </c>
      <c r="G217" s="392"/>
      <c r="H217" s="390">
        <v>55.0</v>
      </c>
      <c r="I217" s="322">
        <f t="shared" si="3"/>
        <v>9346.15</v>
      </c>
      <c r="J217" s="375"/>
      <c r="K217" s="361">
        <f t="shared" si="2"/>
        <v>-9346.15</v>
      </c>
      <c r="L217" s="267"/>
      <c r="M217" s="267"/>
      <c r="N217" s="393"/>
      <c r="O217" s="340"/>
      <c r="P217" s="340"/>
      <c r="Q217" s="340"/>
      <c r="R217" s="340"/>
      <c r="S217" s="340"/>
      <c r="T217" s="340"/>
      <c r="U217" s="340"/>
      <c r="V217" s="340"/>
      <c r="W217" s="340"/>
      <c r="X217" s="340"/>
    </row>
    <row r="218" ht="15.75" customHeight="1">
      <c r="A218" s="374">
        <v>213.0</v>
      </c>
      <c r="B218" s="388" t="s">
        <v>7736</v>
      </c>
      <c r="C218" s="388" t="s">
        <v>21</v>
      </c>
      <c r="D218" s="388" t="s">
        <v>7737</v>
      </c>
      <c r="E218" s="388" t="s">
        <v>1424</v>
      </c>
      <c r="F218" s="388">
        <v>51701.0</v>
      </c>
      <c r="G218" s="392"/>
      <c r="H218" s="390">
        <v>21.0</v>
      </c>
      <c r="I218" s="322">
        <f t="shared" si="3"/>
        <v>10857.21</v>
      </c>
      <c r="J218" s="375"/>
      <c r="K218" s="361">
        <f t="shared" si="2"/>
        <v>-10857.21</v>
      </c>
      <c r="L218" s="267"/>
      <c r="M218" s="267"/>
      <c r="N218" s="393"/>
      <c r="O218" s="340"/>
      <c r="P218" s="340"/>
      <c r="Q218" s="340"/>
      <c r="R218" s="340"/>
      <c r="S218" s="340"/>
      <c r="T218" s="340"/>
      <c r="U218" s="340"/>
      <c r="V218" s="340"/>
      <c r="W218" s="340"/>
      <c r="X218" s="340"/>
    </row>
    <row r="219" ht="15.75" customHeight="1">
      <c r="A219" s="367">
        <v>214.0</v>
      </c>
      <c r="B219" s="394" t="s">
        <v>7738</v>
      </c>
      <c r="C219" s="394" t="s">
        <v>1759</v>
      </c>
      <c r="D219" s="394" t="s">
        <v>7739</v>
      </c>
      <c r="E219" s="394" t="s">
        <v>1424</v>
      </c>
      <c r="F219" s="394">
        <v>6787.0</v>
      </c>
      <c r="G219" s="395"/>
      <c r="H219" s="396">
        <v>57.0</v>
      </c>
      <c r="I219" s="318">
        <f t="shared" si="3"/>
        <v>3868.59</v>
      </c>
      <c r="J219" s="397"/>
      <c r="K219" s="359">
        <f t="shared" si="2"/>
        <v>-3868.59</v>
      </c>
      <c r="N219" s="398"/>
      <c r="O219" s="31"/>
      <c r="P219" s="31"/>
      <c r="Q219" s="31"/>
      <c r="R219" s="31"/>
      <c r="S219" s="31"/>
      <c r="T219" s="31"/>
      <c r="U219" s="31"/>
      <c r="V219" s="31"/>
      <c r="W219" s="31"/>
      <c r="X219" s="31"/>
    </row>
    <row r="220" ht="15.75" customHeight="1">
      <c r="A220" s="367">
        <v>215.0</v>
      </c>
      <c r="B220" s="394"/>
      <c r="C220" s="394"/>
      <c r="D220" s="394"/>
      <c r="E220" s="394"/>
      <c r="F220" s="394"/>
      <c r="G220" s="395"/>
      <c r="H220" s="399"/>
      <c r="I220" s="400"/>
      <c r="J220" s="397"/>
      <c r="K220" s="359">
        <f t="shared" si="2"/>
        <v>0</v>
      </c>
      <c r="N220" s="398"/>
      <c r="O220" s="31"/>
      <c r="P220" s="31"/>
      <c r="Q220" s="31"/>
      <c r="R220" s="31"/>
      <c r="S220" s="31"/>
      <c r="T220" s="31"/>
      <c r="U220" s="31"/>
      <c r="V220" s="31"/>
      <c r="W220" s="31"/>
      <c r="X220" s="31"/>
    </row>
    <row r="221" ht="15.75" customHeight="1">
      <c r="A221" s="367">
        <v>216.0</v>
      </c>
      <c r="B221" s="370"/>
      <c r="C221" s="370"/>
      <c r="D221" s="370"/>
      <c r="E221" s="370"/>
      <c r="F221" s="370"/>
      <c r="G221" s="395"/>
      <c r="H221" s="399"/>
      <c r="I221" s="400"/>
      <c r="J221" s="397"/>
      <c r="K221" s="359"/>
      <c r="N221" s="398"/>
      <c r="O221" s="31"/>
      <c r="P221" s="31"/>
      <c r="Q221" s="31"/>
      <c r="R221" s="31"/>
      <c r="S221" s="31"/>
      <c r="T221" s="31"/>
      <c r="U221" s="31"/>
      <c r="V221" s="31"/>
      <c r="W221" s="31"/>
      <c r="X221" s="31"/>
    </row>
    <row r="222" ht="15.75" customHeight="1">
      <c r="A222" s="367">
        <v>217.0</v>
      </c>
      <c r="B222" s="370"/>
      <c r="C222" s="370"/>
      <c r="D222" s="370"/>
      <c r="E222" s="370"/>
      <c r="F222" s="370"/>
      <c r="G222" s="395"/>
      <c r="H222" s="399"/>
      <c r="I222" s="400"/>
      <c r="J222" s="397"/>
      <c r="K222" s="359"/>
      <c r="N222" s="398"/>
      <c r="O222" s="31"/>
      <c r="P222" s="31"/>
      <c r="Q222" s="31"/>
      <c r="R222" s="31"/>
      <c r="S222" s="31"/>
      <c r="T222" s="31"/>
      <c r="U222" s="31"/>
      <c r="V222" s="31"/>
      <c r="W222" s="31"/>
      <c r="X222" s="31"/>
    </row>
    <row r="223" ht="15.75" customHeight="1">
      <c r="A223" s="367">
        <v>218.0</v>
      </c>
      <c r="B223" s="370"/>
      <c r="C223" s="370"/>
      <c r="D223" s="370"/>
      <c r="E223" s="370"/>
      <c r="F223" s="370"/>
      <c r="G223" s="395"/>
      <c r="H223" s="399"/>
      <c r="I223" s="400"/>
      <c r="J223" s="397"/>
      <c r="K223" s="359"/>
      <c r="N223" s="398"/>
      <c r="O223" s="31"/>
      <c r="P223" s="31"/>
      <c r="Q223" s="31"/>
      <c r="R223" s="31"/>
      <c r="S223" s="31"/>
      <c r="T223" s="31"/>
      <c r="U223" s="31"/>
      <c r="V223" s="31"/>
      <c r="W223" s="31"/>
      <c r="X223" s="31"/>
    </row>
    <row r="224" ht="15.75" customHeight="1">
      <c r="A224" s="367">
        <v>219.0</v>
      </c>
      <c r="B224" s="370"/>
      <c r="C224" s="370"/>
      <c r="D224" s="370"/>
      <c r="E224" s="370"/>
      <c r="F224" s="370"/>
      <c r="G224" s="395"/>
      <c r="H224" s="399"/>
      <c r="I224" s="400"/>
      <c r="J224" s="397"/>
      <c r="K224" s="359"/>
      <c r="N224" s="398"/>
      <c r="O224" s="31"/>
      <c r="P224" s="31"/>
      <c r="Q224" s="31"/>
      <c r="R224" s="31"/>
      <c r="S224" s="31"/>
      <c r="T224" s="31"/>
      <c r="U224" s="31"/>
      <c r="V224" s="31"/>
      <c r="W224" s="31"/>
      <c r="X224" s="31"/>
    </row>
    <row r="225" ht="15.75" customHeight="1">
      <c r="A225" s="367">
        <v>220.0</v>
      </c>
      <c r="B225" s="370"/>
      <c r="C225" s="370"/>
      <c r="D225" s="370"/>
      <c r="E225" s="370"/>
      <c r="F225" s="370"/>
      <c r="G225" s="395"/>
      <c r="H225" s="399"/>
      <c r="I225" s="400"/>
      <c r="J225" s="397"/>
      <c r="K225" s="359"/>
      <c r="N225" s="398"/>
      <c r="O225" s="31"/>
      <c r="P225" s="31"/>
      <c r="Q225" s="31"/>
      <c r="R225" s="31"/>
      <c r="S225" s="31"/>
      <c r="T225" s="31"/>
      <c r="U225" s="31"/>
      <c r="V225" s="31"/>
      <c r="W225" s="31"/>
      <c r="X225" s="31"/>
    </row>
    <row r="226" ht="15.75" customHeight="1">
      <c r="A226" s="367">
        <v>221.0</v>
      </c>
      <c r="B226" s="370"/>
      <c r="C226" s="370"/>
      <c r="D226" s="370"/>
      <c r="E226" s="370"/>
      <c r="F226" s="370"/>
      <c r="G226" s="395"/>
      <c r="H226" s="399"/>
      <c r="I226" s="400"/>
      <c r="J226" s="397"/>
      <c r="K226" s="359"/>
      <c r="N226" s="398"/>
      <c r="O226" s="31"/>
      <c r="P226" s="31"/>
      <c r="Q226" s="31"/>
      <c r="R226" s="31"/>
      <c r="S226" s="31"/>
      <c r="T226" s="31"/>
      <c r="U226" s="31"/>
      <c r="V226" s="31"/>
      <c r="W226" s="31"/>
      <c r="X226" s="31"/>
    </row>
    <row r="227" ht="15.75" customHeight="1">
      <c r="A227" s="367">
        <v>222.0</v>
      </c>
      <c r="B227" s="370"/>
      <c r="C227" s="370"/>
      <c r="D227" s="370"/>
      <c r="E227" s="370"/>
      <c r="F227" s="370"/>
      <c r="G227" s="395"/>
      <c r="H227" s="399"/>
      <c r="I227" s="400"/>
      <c r="J227" s="397"/>
      <c r="K227" s="359"/>
      <c r="N227" s="398"/>
      <c r="O227" s="31"/>
      <c r="P227" s="31"/>
      <c r="Q227" s="31"/>
      <c r="R227" s="31"/>
      <c r="S227" s="31"/>
      <c r="T227" s="31"/>
      <c r="U227" s="31"/>
      <c r="V227" s="31"/>
      <c r="W227" s="31"/>
      <c r="X227" s="31"/>
    </row>
    <row r="228" ht="15.75" customHeight="1">
      <c r="A228" s="367">
        <v>223.0</v>
      </c>
      <c r="B228" s="370"/>
      <c r="C228" s="370"/>
      <c r="D228" s="370"/>
      <c r="E228" s="370"/>
      <c r="F228" s="370"/>
      <c r="G228" s="395"/>
      <c r="H228" s="399"/>
      <c r="I228" s="400"/>
      <c r="J228" s="397"/>
      <c r="K228" s="359"/>
      <c r="N228" s="398"/>
      <c r="O228" s="31"/>
      <c r="P228" s="31"/>
      <c r="Q228" s="31"/>
      <c r="R228" s="31"/>
      <c r="S228" s="31"/>
      <c r="T228" s="31"/>
      <c r="U228" s="31"/>
      <c r="V228" s="31"/>
      <c r="W228" s="31"/>
      <c r="X228" s="31"/>
    </row>
    <row r="229" ht="15.75" customHeight="1">
      <c r="A229" s="367">
        <v>224.0</v>
      </c>
      <c r="B229" s="370"/>
      <c r="C229" s="370"/>
      <c r="D229" s="370"/>
      <c r="E229" s="370"/>
      <c r="F229" s="370"/>
      <c r="G229" s="395"/>
      <c r="H229" s="399"/>
      <c r="I229" s="400"/>
      <c r="J229" s="397"/>
      <c r="K229" s="359"/>
      <c r="N229" s="398"/>
      <c r="O229" s="31"/>
      <c r="P229" s="31"/>
      <c r="Q229" s="31"/>
      <c r="R229" s="31"/>
      <c r="S229" s="31"/>
      <c r="T229" s="31"/>
      <c r="U229" s="31"/>
      <c r="V229" s="31"/>
      <c r="W229" s="31"/>
      <c r="X229" s="31"/>
    </row>
    <row r="230" ht="15.75" customHeight="1">
      <c r="A230" s="367">
        <v>225.0</v>
      </c>
      <c r="B230" s="370"/>
      <c r="C230" s="370"/>
      <c r="D230" s="370"/>
      <c r="E230" s="370"/>
      <c r="F230" s="370"/>
      <c r="G230" s="395"/>
      <c r="H230" s="399"/>
      <c r="I230" s="400"/>
      <c r="J230" s="397"/>
      <c r="K230" s="359"/>
      <c r="N230" s="398"/>
      <c r="O230" s="31"/>
      <c r="P230" s="31"/>
      <c r="Q230" s="31"/>
      <c r="R230" s="31"/>
      <c r="S230" s="31"/>
      <c r="T230" s="31"/>
      <c r="U230" s="31"/>
      <c r="V230" s="31"/>
      <c r="W230" s="31"/>
      <c r="X230" s="31"/>
    </row>
    <row r="231" ht="15.75" customHeight="1">
      <c r="A231" s="367"/>
      <c r="B231" s="320"/>
      <c r="C231" s="320"/>
      <c r="D231" s="320"/>
      <c r="E231" s="320"/>
      <c r="F231" s="320"/>
      <c r="G231" s="315">
        <f>SUM(G8:G230)</f>
        <v>1834773</v>
      </c>
      <c r="H231" s="401"/>
      <c r="I231" s="341">
        <f>SUM(I8:I230)</f>
        <v>1840222.03</v>
      </c>
      <c r="J231" s="321"/>
      <c r="K231" s="32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</row>
    <row r="232" ht="15.75" customHeight="1">
      <c r="A232" s="320"/>
      <c r="B232" s="320"/>
      <c r="C232" s="320"/>
      <c r="D232" s="320"/>
      <c r="E232" s="320"/>
      <c r="F232" s="320"/>
      <c r="G232" s="315" t="s">
        <v>7740</v>
      </c>
      <c r="H232" s="401">
        <f>I231-G231</f>
        <v>5449.03</v>
      </c>
      <c r="I232" s="321"/>
      <c r="J232" s="321"/>
      <c r="K232" s="32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</row>
    <row r="233" ht="15.75" customHeight="1">
      <c r="A233" s="5"/>
      <c r="B233" s="5"/>
      <c r="C233" s="5"/>
      <c r="D233" s="5"/>
      <c r="E233" s="5"/>
      <c r="F233" s="5"/>
      <c r="G233" s="402"/>
      <c r="H233" s="403"/>
      <c r="I233" s="398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</row>
    <row r="234" ht="15.75" customHeight="1">
      <c r="A234" s="5"/>
      <c r="B234" s="5"/>
      <c r="C234" s="5"/>
      <c r="D234" s="5"/>
      <c r="E234" s="5"/>
      <c r="F234" s="5"/>
      <c r="G234" s="402"/>
      <c r="H234" s="403"/>
      <c r="I234" s="398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</row>
    <row r="235" ht="15.75" customHeight="1">
      <c r="A235" s="5"/>
      <c r="B235" s="404" t="s">
        <v>7741</v>
      </c>
      <c r="C235" s="5"/>
      <c r="D235" s="5"/>
      <c r="E235" s="5"/>
      <c r="F235" s="5"/>
      <c r="G235" s="402"/>
      <c r="H235" s="403"/>
      <c r="I235" s="398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</row>
    <row r="236" ht="15.75" customHeight="1">
      <c r="A236" s="5"/>
      <c r="B236" s="5"/>
      <c r="C236" s="5"/>
      <c r="D236" s="5"/>
      <c r="E236" s="5"/>
      <c r="F236" s="5"/>
      <c r="G236" s="402"/>
      <c r="H236" s="403"/>
      <c r="I236" s="398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</row>
    <row r="237" ht="15.75" customHeight="1">
      <c r="A237" s="5"/>
      <c r="B237" s="5"/>
      <c r="C237" s="5"/>
      <c r="D237" s="5"/>
      <c r="E237" s="5"/>
      <c r="F237" s="5"/>
      <c r="G237" s="402"/>
      <c r="H237" s="403"/>
      <c r="I237" s="398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</row>
    <row r="1001" ht="15.7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</row>
    <row r="1002" ht="15.7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</row>
    <row r="1003" ht="15.7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</row>
    <row r="1004" ht="15.7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</row>
    <row r="1005" ht="15.75" customHeight="1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</row>
    <row r="1006" ht="15.75" customHeight="1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</row>
    <row r="1007" ht="15.75" customHeight="1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</row>
    <row r="1008" ht="15.75" customHeight="1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</row>
    <row r="1009" ht="15.75" customHeight="1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</row>
    <row r="1010" ht="15.75" customHeight="1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</row>
    <row r="1011" ht="15.75" customHeight="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</row>
    <row r="1012" ht="15.75" customHeight="1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</row>
    <row r="1013" ht="15.75" customHeight="1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</row>
    <row r="1014" ht="15.75" customHeight="1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</row>
    <row r="1015" ht="15.75" customHeight="1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</row>
    <row r="1016" ht="15.75" customHeight="1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</row>
    <row r="1017" ht="15.75" customHeight="1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</row>
    <row r="1018" ht="15.75" customHeight="1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</row>
    <row r="1019" ht="15.75" customHeight="1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</row>
    <row r="1020" ht="15.75" customHeight="1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</row>
    <row r="1021" ht="15.75" customHeight="1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</row>
    <row r="1022" ht="15.75" customHeight="1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</row>
    <row r="1023" ht="15.75" customHeight="1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</row>
    <row r="1024" ht="15.75" customHeight="1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</row>
    <row r="1025" ht="15.75" customHeight="1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</row>
    <row r="1026" ht="15.75" customHeight="1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</row>
    <row r="1027" ht="15.75" customHeight="1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</row>
    <row r="1028" ht="15.75" customHeight="1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</row>
    <row r="1029" ht="15.75" customHeight="1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</row>
    <row r="1030" ht="15.75" customHeight="1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</row>
    <row r="1031" ht="15.75" customHeight="1">
      <c r="A1031" s="31"/>
      <c r="B1031" s="31"/>
      <c r="C1031" s="31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</row>
    <row r="1032" ht="15.75" customHeight="1">
      <c r="A1032" s="31"/>
      <c r="B1032" s="31"/>
      <c r="C1032" s="31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</row>
    <row r="1033" ht="15.75" customHeight="1">
      <c r="A1033" s="31"/>
      <c r="B1033" s="31"/>
      <c r="C1033" s="31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</row>
    <row r="1034" ht="15.75" customHeight="1">
      <c r="A1034" s="31"/>
      <c r="B1034" s="31"/>
      <c r="C1034" s="31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</row>
    <row r="1035" ht="15.75" customHeight="1">
      <c r="A1035" s="31"/>
      <c r="B1035" s="31"/>
      <c r="C1035" s="31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</row>
    <row r="1036" ht="15.75" customHeight="1">
      <c r="A1036" s="31"/>
      <c r="B1036" s="31"/>
      <c r="C1036" s="31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</row>
    <row r="1037" ht="15.75" customHeight="1">
      <c r="A1037" s="31"/>
      <c r="B1037" s="31"/>
      <c r="C1037" s="31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</row>
    <row r="1038" ht="15.75" customHeight="1">
      <c r="A1038" s="31"/>
      <c r="B1038" s="31"/>
      <c r="C1038" s="31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</row>
    <row r="1039" ht="15.75" customHeight="1">
      <c r="A1039" s="31"/>
      <c r="B1039" s="31"/>
      <c r="C1039" s="31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</row>
    <row r="1040" ht="15.75" customHeight="1">
      <c r="A1040" s="31"/>
      <c r="B1040" s="31"/>
      <c r="C1040" s="31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</row>
    <row r="1041" ht="15.75" customHeight="1">
      <c r="A1041" s="31"/>
      <c r="B1041" s="31"/>
      <c r="C1041" s="31"/>
      <c r="D1041" s="31"/>
      <c r="E1041" s="31"/>
      <c r="F1041" s="31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</row>
    <row r="1042" ht="15.75" customHeight="1">
      <c r="A1042" s="31"/>
      <c r="B1042" s="31"/>
      <c r="C1042" s="31"/>
      <c r="D1042" s="31"/>
      <c r="E1042" s="31"/>
      <c r="F1042" s="31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</row>
    <row r="1043" ht="15.75" customHeight="1">
      <c r="A1043" s="31"/>
      <c r="B1043" s="31"/>
      <c r="C1043" s="31"/>
      <c r="D1043" s="31"/>
      <c r="E1043" s="31"/>
      <c r="F1043" s="31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</row>
    <row r="1044" ht="15.75" customHeight="1">
      <c r="A1044" s="31"/>
      <c r="B1044" s="31"/>
      <c r="C1044" s="31"/>
      <c r="D1044" s="31"/>
      <c r="E1044" s="31"/>
      <c r="F1044" s="31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</row>
    <row r="1045" ht="15.75" customHeight="1">
      <c r="A1045" s="31"/>
      <c r="B1045" s="31"/>
      <c r="C1045" s="31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</row>
    <row r="1046" ht="15.75" customHeight="1">
      <c r="A1046" s="31"/>
      <c r="B1046" s="31"/>
      <c r="C1046" s="31"/>
      <c r="D1046" s="31"/>
      <c r="E1046" s="31"/>
      <c r="F1046" s="31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</row>
    <row r="1047" ht="15.75" customHeight="1">
      <c r="A1047" s="31"/>
      <c r="B1047" s="31"/>
      <c r="C1047" s="31"/>
      <c r="D1047" s="31"/>
      <c r="E1047" s="31"/>
      <c r="F1047" s="31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</row>
    <row r="1048" ht="15.75" customHeight="1">
      <c r="A1048" s="31"/>
      <c r="B1048" s="31"/>
      <c r="C1048" s="31"/>
      <c r="D1048" s="31"/>
      <c r="E1048" s="31"/>
      <c r="F1048" s="31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</row>
    <row r="1049" ht="15.75" customHeight="1">
      <c r="A1049" s="31"/>
      <c r="B1049" s="31"/>
      <c r="C1049" s="31"/>
      <c r="D1049" s="31"/>
      <c r="E1049" s="31"/>
      <c r="F1049" s="31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</row>
    <row r="1050" ht="15.75" customHeight="1">
      <c r="A1050" s="31"/>
      <c r="B1050" s="31"/>
      <c r="C1050" s="31"/>
      <c r="D1050" s="31"/>
      <c r="E1050" s="31"/>
      <c r="F1050" s="31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</row>
    <row r="1051" ht="15.75" customHeight="1">
      <c r="A1051" s="31"/>
      <c r="B1051" s="31"/>
      <c r="C1051" s="31"/>
      <c r="D1051" s="31"/>
      <c r="E1051" s="31"/>
      <c r="F1051" s="31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</row>
    <row r="1052" ht="15.75" customHeight="1">
      <c r="A1052" s="31"/>
      <c r="B1052" s="31"/>
      <c r="C1052" s="31"/>
      <c r="D1052" s="31"/>
      <c r="E1052" s="31"/>
      <c r="F1052" s="31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</row>
    <row r="1053" ht="15.75" customHeight="1">
      <c r="A1053" s="31"/>
      <c r="B1053" s="31"/>
      <c r="C1053" s="31"/>
      <c r="D1053" s="31"/>
      <c r="E1053" s="31"/>
      <c r="F1053" s="31"/>
      <c r="G1053" s="31"/>
      <c r="H1053" s="31"/>
      <c r="I1053" s="31"/>
      <c r="J1053" s="31"/>
      <c r="K1053" s="31"/>
      <c r="L1053" s="31"/>
      <c r="M1053" s="31"/>
      <c r="N1053" s="31"/>
      <c r="O1053" s="31"/>
      <c r="P1053" s="31"/>
      <c r="Q1053" s="31"/>
      <c r="R1053" s="31"/>
      <c r="S1053" s="31"/>
      <c r="T1053" s="31"/>
      <c r="U1053" s="31"/>
      <c r="V1053" s="31"/>
      <c r="W1053" s="31"/>
      <c r="X1053" s="31"/>
    </row>
    <row r="1054" ht="15.75" customHeight="1">
      <c r="A1054" s="31"/>
      <c r="B1054" s="31"/>
      <c r="C1054" s="31"/>
      <c r="D1054" s="31"/>
      <c r="E1054" s="31"/>
      <c r="F1054" s="31"/>
      <c r="G1054" s="31"/>
      <c r="H1054" s="31"/>
      <c r="I1054" s="31"/>
      <c r="J1054" s="31"/>
      <c r="K1054" s="31"/>
      <c r="L1054" s="31"/>
      <c r="M1054" s="31"/>
      <c r="N1054" s="31"/>
      <c r="O1054" s="31"/>
      <c r="P1054" s="31"/>
      <c r="Q1054" s="31"/>
      <c r="R1054" s="31"/>
      <c r="S1054" s="31"/>
      <c r="T1054" s="31"/>
      <c r="U1054" s="31"/>
      <c r="V1054" s="31"/>
      <c r="W1054" s="31"/>
      <c r="X1054" s="31"/>
    </row>
    <row r="1055" ht="15.75" customHeight="1">
      <c r="A1055" s="31"/>
      <c r="B1055" s="31"/>
      <c r="C1055" s="31"/>
      <c r="D1055" s="31"/>
      <c r="E1055" s="31"/>
      <c r="F1055" s="31"/>
      <c r="G1055" s="31"/>
      <c r="H1055" s="31"/>
      <c r="I1055" s="31"/>
      <c r="J1055" s="31"/>
      <c r="K1055" s="31"/>
      <c r="L1055" s="31"/>
      <c r="M1055" s="31"/>
      <c r="N1055" s="31"/>
      <c r="O1055" s="31"/>
      <c r="P1055" s="31"/>
      <c r="Q1055" s="31"/>
      <c r="R1055" s="31"/>
      <c r="S1055" s="31"/>
      <c r="T1055" s="31"/>
      <c r="U1055" s="31"/>
      <c r="V1055" s="31"/>
      <c r="W1055" s="31"/>
      <c r="X1055" s="31"/>
    </row>
    <row r="1056" ht="15.75" customHeight="1">
      <c r="A1056" s="31"/>
      <c r="B1056" s="31"/>
      <c r="C1056" s="31"/>
      <c r="D1056" s="31"/>
      <c r="E1056" s="31"/>
      <c r="F1056" s="31"/>
      <c r="G1056" s="31"/>
      <c r="H1056" s="31"/>
      <c r="I1056" s="31"/>
      <c r="J1056" s="31"/>
      <c r="K1056" s="31"/>
      <c r="L1056" s="31"/>
      <c r="M1056" s="31"/>
      <c r="N1056" s="31"/>
      <c r="O1056" s="31"/>
      <c r="P1056" s="31"/>
      <c r="Q1056" s="31"/>
      <c r="R1056" s="31"/>
      <c r="S1056" s="31"/>
      <c r="T1056" s="31"/>
      <c r="U1056" s="31"/>
      <c r="V1056" s="31"/>
      <c r="W1056" s="31"/>
      <c r="X1056" s="31"/>
    </row>
    <row r="1057" ht="15.75" customHeight="1">
      <c r="A1057" s="31"/>
      <c r="B1057" s="31"/>
      <c r="C1057" s="31"/>
      <c r="D1057" s="31"/>
      <c r="E1057" s="31"/>
      <c r="F1057" s="31"/>
      <c r="G1057" s="31"/>
      <c r="H1057" s="31"/>
      <c r="I1057" s="31"/>
      <c r="J1057" s="31"/>
      <c r="K1057" s="31"/>
      <c r="L1057" s="31"/>
      <c r="M1057" s="31"/>
      <c r="N1057" s="31"/>
      <c r="O1057" s="31"/>
      <c r="P1057" s="31"/>
      <c r="Q1057" s="31"/>
      <c r="R1057" s="31"/>
      <c r="S1057" s="31"/>
      <c r="T1057" s="31"/>
      <c r="U1057" s="31"/>
      <c r="V1057" s="31"/>
      <c r="W1057" s="31"/>
      <c r="X1057" s="31"/>
    </row>
    <row r="1058" ht="15.75" customHeight="1">
      <c r="A1058" s="31"/>
      <c r="B1058" s="31"/>
      <c r="C1058" s="31"/>
      <c r="D1058" s="31"/>
      <c r="E1058" s="31"/>
      <c r="F1058" s="31"/>
      <c r="G1058" s="31"/>
      <c r="H1058" s="31"/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1"/>
    </row>
    <row r="1059" ht="15.75" customHeight="1">
      <c r="A1059" s="31"/>
      <c r="B1059" s="31"/>
      <c r="C1059" s="31"/>
      <c r="D1059" s="31"/>
      <c r="E1059" s="31"/>
      <c r="F1059" s="31"/>
      <c r="G1059" s="31"/>
      <c r="H1059" s="31"/>
      <c r="I1059" s="31"/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1"/>
    </row>
    <row r="1060" ht="15.75" customHeight="1">
      <c r="A1060" s="31"/>
      <c r="B1060" s="31"/>
      <c r="C1060" s="31"/>
      <c r="D1060" s="31"/>
      <c r="E1060" s="31"/>
      <c r="F1060" s="31"/>
      <c r="G1060" s="31"/>
      <c r="H1060" s="31"/>
      <c r="I1060" s="31"/>
      <c r="J1060" s="31"/>
      <c r="K1060" s="31"/>
      <c r="L1060" s="31"/>
      <c r="M1060" s="31"/>
      <c r="N1060" s="31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</row>
    <row r="1061" ht="15.75" customHeight="1">
      <c r="A1061" s="31"/>
      <c r="B1061" s="31"/>
      <c r="C1061" s="31"/>
      <c r="D1061" s="31"/>
      <c r="E1061" s="31"/>
      <c r="F1061" s="31"/>
      <c r="G1061" s="31"/>
      <c r="H1061" s="31"/>
      <c r="I1061" s="31"/>
      <c r="J1061" s="31"/>
      <c r="K1061" s="31"/>
      <c r="L1061" s="31"/>
      <c r="M1061" s="31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</row>
    <row r="1062" ht="15.75" customHeight="1">
      <c r="A1062" s="31"/>
      <c r="B1062" s="31"/>
      <c r="C1062" s="31"/>
      <c r="D1062" s="31"/>
      <c r="E1062" s="31"/>
      <c r="F1062" s="31"/>
      <c r="G1062" s="31"/>
      <c r="H1062" s="31"/>
      <c r="I1062" s="31"/>
      <c r="J1062" s="31"/>
      <c r="K1062" s="31"/>
      <c r="L1062" s="31"/>
      <c r="M1062" s="31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</row>
    <row r="1063" ht="15.75" customHeight="1">
      <c r="A1063" s="31"/>
      <c r="B1063" s="31"/>
      <c r="C1063" s="31"/>
      <c r="D1063" s="31"/>
      <c r="E1063" s="31"/>
      <c r="F1063" s="31"/>
      <c r="G1063" s="31"/>
      <c r="H1063" s="31"/>
      <c r="I1063" s="31"/>
      <c r="J1063" s="31"/>
      <c r="K1063" s="31"/>
      <c r="L1063" s="31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</row>
    <row r="1064" ht="15.75" customHeight="1">
      <c r="A1064" s="31"/>
      <c r="B1064" s="31"/>
      <c r="C1064" s="31"/>
      <c r="D1064" s="31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</row>
    <row r="1065" ht="15.75" customHeight="1">
      <c r="A1065" s="31"/>
      <c r="B1065" s="31"/>
      <c r="C1065" s="31"/>
      <c r="D1065" s="31"/>
      <c r="E1065" s="31"/>
      <c r="F1065" s="31"/>
      <c r="G1065" s="31"/>
      <c r="H1065" s="31"/>
      <c r="I1065" s="31"/>
      <c r="J1065" s="31"/>
      <c r="K1065" s="31"/>
      <c r="L1065" s="31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</row>
    <row r="1066" ht="15.75" customHeight="1">
      <c r="A1066" s="31"/>
      <c r="B1066" s="31"/>
      <c r="C1066" s="31"/>
      <c r="D1066" s="31"/>
      <c r="E1066" s="31"/>
      <c r="F1066" s="31"/>
      <c r="G1066" s="31"/>
      <c r="H1066" s="31"/>
      <c r="I1066" s="31"/>
      <c r="J1066" s="31"/>
      <c r="K1066" s="31"/>
      <c r="L1066" s="31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</row>
    <row r="1067" ht="15.75" customHeight="1">
      <c r="A1067" s="31"/>
      <c r="B1067" s="31"/>
      <c r="C1067" s="31"/>
      <c r="D1067" s="31"/>
      <c r="E1067" s="31"/>
      <c r="F1067" s="31"/>
      <c r="G1067" s="31"/>
      <c r="H1067" s="31"/>
      <c r="I1067" s="31"/>
      <c r="J1067" s="31"/>
      <c r="K1067" s="31"/>
      <c r="L1067" s="31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</row>
    <row r="1068" ht="15.75" customHeight="1">
      <c r="A1068" s="31"/>
      <c r="B1068" s="31"/>
      <c r="C1068" s="31"/>
      <c r="D1068" s="31"/>
      <c r="E1068" s="31"/>
      <c r="F1068" s="31"/>
      <c r="G1068" s="31"/>
      <c r="H1068" s="31"/>
      <c r="I1068" s="31"/>
      <c r="J1068" s="31"/>
      <c r="K1068" s="31"/>
      <c r="L1068" s="31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</row>
    <row r="1069" ht="15.75" customHeight="1">
      <c r="A1069" s="31"/>
      <c r="B1069" s="31"/>
      <c r="C1069" s="31"/>
      <c r="D1069" s="31"/>
      <c r="E1069" s="31"/>
      <c r="F1069" s="31"/>
      <c r="G1069" s="31"/>
      <c r="H1069" s="31"/>
      <c r="I1069" s="31"/>
      <c r="J1069" s="31"/>
      <c r="K1069" s="31"/>
      <c r="L1069" s="31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</row>
    <row r="1070" ht="15.75" customHeight="1">
      <c r="A1070" s="31"/>
      <c r="B1070" s="31"/>
      <c r="C1070" s="31"/>
      <c r="D1070" s="31"/>
      <c r="E1070" s="31"/>
      <c r="F1070" s="31"/>
      <c r="G1070" s="31"/>
      <c r="H1070" s="31"/>
      <c r="I1070" s="31"/>
      <c r="J1070" s="31"/>
      <c r="K1070" s="31"/>
      <c r="L1070" s="31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</row>
    <row r="1071" ht="15.75" customHeight="1">
      <c r="A1071" s="31"/>
      <c r="B1071" s="31"/>
      <c r="C1071" s="31"/>
      <c r="D1071" s="31"/>
      <c r="E1071" s="31"/>
      <c r="F1071" s="31"/>
      <c r="G1071" s="31"/>
      <c r="H1071" s="31"/>
      <c r="I1071" s="31"/>
      <c r="J1071" s="31"/>
      <c r="K1071" s="31"/>
      <c r="L1071" s="31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</row>
    <row r="1072" ht="15.75" customHeight="1">
      <c r="A1072" s="31"/>
      <c r="B1072" s="31"/>
      <c r="C1072" s="31"/>
      <c r="D1072" s="31"/>
      <c r="E1072" s="31"/>
      <c r="F1072" s="31"/>
      <c r="G1072" s="31"/>
      <c r="H1072" s="31"/>
      <c r="I1072" s="31"/>
      <c r="J1072" s="31"/>
      <c r="K1072" s="31"/>
      <c r="L1072" s="31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</row>
    <row r="1073" ht="15.75" customHeight="1">
      <c r="A1073" s="31"/>
      <c r="B1073" s="31"/>
      <c r="C1073" s="31"/>
      <c r="D1073" s="31"/>
      <c r="E1073" s="31"/>
      <c r="F1073" s="31"/>
      <c r="G1073" s="31"/>
      <c r="H1073" s="31"/>
      <c r="I1073" s="31"/>
      <c r="J1073" s="31"/>
      <c r="K1073" s="31"/>
      <c r="L1073" s="31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</row>
    <row r="1074" ht="15.75" customHeight="1">
      <c r="A1074" s="31"/>
      <c r="B1074" s="31"/>
      <c r="C1074" s="31"/>
      <c r="D1074" s="31"/>
      <c r="E1074" s="31"/>
      <c r="F1074" s="31"/>
      <c r="G1074" s="31"/>
      <c r="H1074" s="31"/>
      <c r="I1074" s="31"/>
      <c r="J1074" s="31"/>
      <c r="K1074" s="31"/>
      <c r="L1074" s="31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</row>
    <row r="1075" ht="15.75" customHeight="1">
      <c r="A1075" s="31"/>
      <c r="B1075" s="31"/>
      <c r="C1075" s="31"/>
      <c r="D1075" s="31"/>
      <c r="E1075" s="31"/>
      <c r="F1075" s="31"/>
      <c r="G1075" s="31"/>
      <c r="H1075" s="31"/>
      <c r="I1075" s="31"/>
      <c r="J1075" s="31"/>
      <c r="K1075" s="31"/>
      <c r="L1075" s="31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</row>
    <row r="1076" ht="15.75" customHeight="1">
      <c r="A1076" s="31"/>
      <c r="B1076" s="31"/>
      <c r="C1076" s="31"/>
      <c r="D1076" s="31"/>
      <c r="E1076" s="31"/>
      <c r="F1076" s="31"/>
      <c r="G1076" s="31"/>
      <c r="H1076" s="31"/>
      <c r="I1076" s="31"/>
      <c r="J1076" s="31"/>
      <c r="K1076" s="31"/>
      <c r="L1076" s="31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</row>
    <row r="1077" ht="15.75" customHeight="1">
      <c r="A1077" s="31"/>
      <c r="B1077" s="31"/>
      <c r="C1077" s="31"/>
      <c r="D1077" s="31"/>
      <c r="E1077" s="31"/>
      <c r="F1077" s="31"/>
      <c r="G1077" s="31"/>
      <c r="H1077" s="31"/>
      <c r="I1077" s="31"/>
      <c r="J1077" s="31"/>
      <c r="K1077" s="31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</row>
    <row r="1078" ht="15.75" customHeight="1">
      <c r="A1078" s="31"/>
      <c r="B1078" s="31"/>
      <c r="C1078" s="31"/>
      <c r="D1078" s="31"/>
      <c r="E1078" s="31"/>
      <c r="F1078" s="31"/>
      <c r="G1078" s="31"/>
      <c r="H1078" s="31"/>
      <c r="I1078" s="31"/>
      <c r="J1078" s="31"/>
      <c r="K1078" s="31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</row>
    <row r="1079" ht="15.75" customHeight="1">
      <c r="A1079" s="31"/>
      <c r="B1079" s="31"/>
      <c r="C1079" s="31"/>
      <c r="D1079" s="31"/>
      <c r="E1079" s="31"/>
      <c r="F1079" s="31"/>
      <c r="G1079" s="31"/>
      <c r="H1079" s="31"/>
      <c r="I1079" s="31"/>
      <c r="J1079" s="31"/>
      <c r="K1079" s="31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</row>
    <row r="1080" ht="15.75" customHeight="1">
      <c r="A1080" s="31"/>
      <c r="B1080" s="31"/>
      <c r="C1080" s="31"/>
      <c r="D1080" s="31"/>
      <c r="E1080" s="31"/>
      <c r="F1080" s="31"/>
      <c r="G1080" s="31"/>
      <c r="H1080" s="31"/>
      <c r="I1080" s="31"/>
      <c r="J1080" s="31"/>
      <c r="K1080" s="31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</row>
    <row r="1081" ht="15.75" customHeight="1">
      <c r="A1081" s="31"/>
      <c r="B1081" s="31"/>
      <c r="C1081" s="31"/>
      <c r="D1081" s="31"/>
      <c r="E1081" s="31"/>
      <c r="F1081" s="31"/>
      <c r="G1081" s="31"/>
      <c r="H1081" s="31"/>
      <c r="I1081" s="31"/>
      <c r="J1081" s="31"/>
      <c r="K1081" s="31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</row>
    <row r="1082" ht="15.75" customHeight="1">
      <c r="A1082" s="31"/>
      <c r="B1082" s="31"/>
      <c r="C1082" s="31"/>
      <c r="D1082" s="31"/>
      <c r="E1082" s="31"/>
      <c r="F1082" s="31"/>
      <c r="G1082" s="31"/>
      <c r="H1082" s="31"/>
      <c r="I1082" s="31"/>
      <c r="J1082" s="31"/>
      <c r="K1082" s="31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</row>
    <row r="1083" ht="15.75" customHeight="1">
      <c r="A1083" s="31"/>
      <c r="B1083" s="31"/>
      <c r="C1083" s="31"/>
      <c r="D1083" s="31"/>
      <c r="E1083" s="31"/>
      <c r="F1083" s="31"/>
      <c r="G1083" s="31"/>
      <c r="H1083" s="31"/>
      <c r="I1083" s="31"/>
      <c r="J1083" s="31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</row>
    <row r="1084" ht="15.75" customHeight="1">
      <c r="A1084" s="31"/>
      <c r="B1084" s="31"/>
      <c r="C1084" s="31"/>
      <c r="D1084" s="31"/>
      <c r="E1084" s="31"/>
      <c r="F1084" s="31"/>
      <c r="G1084" s="31"/>
      <c r="H1084" s="31"/>
      <c r="I1084" s="31"/>
      <c r="J1084" s="31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</row>
    <row r="1085" ht="15.75" customHeight="1">
      <c r="A1085" s="31"/>
      <c r="B1085" s="31"/>
      <c r="C1085" s="31"/>
      <c r="D1085" s="31"/>
      <c r="E1085" s="31"/>
      <c r="F1085" s="31"/>
      <c r="G1085" s="31"/>
      <c r="H1085" s="31"/>
      <c r="I1085" s="31"/>
      <c r="J1085" s="31"/>
      <c r="K1085" s="31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</row>
    <row r="1086" ht="15.75" customHeight="1">
      <c r="A1086" s="31"/>
      <c r="B1086" s="31"/>
      <c r="C1086" s="31"/>
      <c r="D1086" s="31"/>
      <c r="E1086" s="31"/>
      <c r="F1086" s="31"/>
      <c r="G1086" s="31"/>
      <c r="H1086" s="31"/>
      <c r="I1086" s="31"/>
      <c r="J1086" s="31"/>
      <c r="K1086" s="31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</row>
    <row r="1087" ht="15.75" customHeight="1">
      <c r="A1087" s="31"/>
      <c r="B1087" s="31"/>
      <c r="C1087" s="31"/>
      <c r="D1087" s="31"/>
      <c r="E1087" s="31"/>
      <c r="F1087" s="31"/>
      <c r="G1087" s="31"/>
      <c r="H1087" s="31"/>
      <c r="I1087" s="31"/>
      <c r="J1087" s="31"/>
      <c r="K1087" s="31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</row>
    <row r="1088" ht="15.75" customHeight="1">
      <c r="A1088" s="31"/>
      <c r="B1088" s="31"/>
      <c r="C1088" s="31"/>
      <c r="D1088" s="31"/>
      <c r="E1088" s="31"/>
      <c r="F1088" s="31"/>
      <c r="G1088" s="31"/>
      <c r="H1088" s="31"/>
      <c r="I1088" s="31"/>
      <c r="J1088" s="31"/>
      <c r="K1088" s="31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</row>
    <row r="1089" ht="15.75" customHeight="1">
      <c r="A1089" s="31"/>
      <c r="B1089" s="31"/>
      <c r="C1089" s="31"/>
      <c r="D1089" s="31"/>
      <c r="E1089" s="31"/>
      <c r="F1089" s="31"/>
      <c r="G1089" s="31"/>
      <c r="H1089" s="31"/>
      <c r="I1089" s="31"/>
      <c r="J1089" s="31"/>
      <c r="K1089" s="31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</row>
    <row r="1090" ht="15.75" customHeight="1">
      <c r="A1090" s="31"/>
      <c r="B1090" s="31"/>
      <c r="C1090" s="31"/>
      <c r="D1090" s="31"/>
      <c r="E1090" s="31"/>
      <c r="F1090" s="31"/>
      <c r="G1090" s="31"/>
      <c r="H1090" s="31"/>
      <c r="I1090" s="31"/>
      <c r="J1090" s="31"/>
      <c r="K1090" s="31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</row>
    <row r="1091" ht="15.75" customHeight="1">
      <c r="A1091" s="31"/>
      <c r="B1091" s="31"/>
      <c r="C1091" s="31"/>
      <c r="D1091" s="31"/>
      <c r="E1091" s="31"/>
      <c r="F1091" s="31"/>
      <c r="G1091" s="31"/>
      <c r="H1091" s="31"/>
      <c r="I1091" s="31"/>
      <c r="J1091" s="31"/>
      <c r="K1091" s="31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</row>
    <row r="1092" ht="15.75" customHeight="1">
      <c r="A1092" s="31"/>
      <c r="B1092" s="31"/>
      <c r="C1092" s="31"/>
      <c r="D1092" s="31"/>
      <c r="E1092" s="31"/>
      <c r="F1092" s="31"/>
      <c r="G1092" s="31"/>
      <c r="H1092" s="31"/>
      <c r="I1092" s="31"/>
      <c r="J1092" s="31"/>
      <c r="K1092" s="31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</row>
    <row r="1093" ht="15.75" customHeight="1">
      <c r="A1093" s="31"/>
      <c r="B1093" s="31"/>
      <c r="C1093" s="31"/>
      <c r="D1093" s="31"/>
      <c r="E1093" s="31"/>
      <c r="F1093" s="31"/>
      <c r="G1093" s="31"/>
      <c r="H1093" s="31"/>
      <c r="I1093" s="31"/>
      <c r="J1093" s="31"/>
      <c r="K1093" s="31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</row>
    <row r="1094" ht="15.75" customHeight="1">
      <c r="A1094" s="31"/>
      <c r="B1094" s="31"/>
      <c r="C1094" s="31"/>
      <c r="D1094" s="31"/>
      <c r="E1094" s="31"/>
      <c r="F1094" s="31"/>
      <c r="G1094" s="31"/>
      <c r="H1094" s="31"/>
      <c r="I1094" s="31"/>
      <c r="J1094" s="31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</row>
    <row r="1095" ht="15.75" customHeight="1">
      <c r="A1095" s="31"/>
      <c r="B1095" s="31"/>
      <c r="C1095" s="31"/>
      <c r="D1095" s="31"/>
      <c r="E1095" s="31"/>
      <c r="F1095" s="31"/>
      <c r="G1095" s="31"/>
      <c r="H1095" s="31"/>
      <c r="I1095" s="31"/>
      <c r="J1095" s="31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</row>
    <row r="1096" ht="15.75" customHeight="1">
      <c r="A1096" s="31"/>
      <c r="B1096" s="31"/>
      <c r="C1096" s="31"/>
      <c r="D1096" s="31"/>
      <c r="E1096" s="31"/>
      <c r="F1096" s="31"/>
      <c r="G1096" s="31"/>
      <c r="H1096" s="31"/>
      <c r="I1096" s="31"/>
      <c r="J1096" s="31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</row>
    <row r="1097" ht="15.75" customHeight="1">
      <c r="A1097" s="31"/>
      <c r="B1097" s="31"/>
      <c r="C1097" s="31"/>
      <c r="D1097" s="31"/>
      <c r="E1097" s="31"/>
      <c r="F1097" s="31"/>
      <c r="G1097" s="31"/>
      <c r="H1097" s="31"/>
      <c r="I1097" s="31"/>
      <c r="J1097" s="31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</row>
    <row r="1098" ht="15.75" customHeight="1">
      <c r="A1098" s="31"/>
      <c r="B1098" s="31"/>
      <c r="C1098" s="31"/>
      <c r="D1098" s="31"/>
      <c r="E1098" s="31"/>
      <c r="F1098" s="31"/>
      <c r="G1098" s="31"/>
      <c r="H1098" s="31"/>
      <c r="I1098" s="31"/>
      <c r="J1098" s="31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</row>
    <row r="1099" ht="15.75" customHeight="1">
      <c r="A1099" s="31"/>
      <c r="B1099" s="31"/>
      <c r="C1099" s="31"/>
      <c r="D1099" s="31"/>
      <c r="E1099" s="31"/>
      <c r="F1099" s="31"/>
      <c r="G1099" s="31"/>
      <c r="H1099" s="31"/>
      <c r="I1099" s="31"/>
      <c r="J1099" s="31"/>
      <c r="K1099" s="31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  <c r="V1099" s="31"/>
      <c r="W1099" s="31"/>
      <c r="X1099" s="31"/>
    </row>
    <row r="1100" ht="15.75" customHeight="1">
      <c r="A1100" s="31"/>
      <c r="B1100" s="31"/>
      <c r="C1100" s="31"/>
      <c r="D1100" s="31"/>
      <c r="E1100" s="31"/>
      <c r="F1100" s="31"/>
      <c r="G1100" s="31"/>
      <c r="H1100" s="31"/>
      <c r="I1100" s="31"/>
      <c r="J1100" s="31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  <c r="V1100" s="31"/>
      <c r="W1100" s="31"/>
      <c r="X1100" s="31"/>
    </row>
    <row r="1101" ht="15.75" customHeight="1">
      <c r="A1101" s="31"/>
      <c r="B1101" s="31"/>
      <c r="C1101" s="31"/>
      <c r="D1101" s="31"/>
      <c r="E1101" s="31"/>
      <c r="F1101" s="31"/>
      <c r="G1101" s="31"/>
      <c r="H1101" s="31"/>
      <c r="I1101" s="31"/>
      <c r="J1101" s="31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  <c r="V1101" s="31"/>
      <c r="W1101" s="31"/>
      <c r="X1101" s="31"/>
    </row>
    <row r="1102" ht="15.75" customHeight="1">
      <c r="A1102" s="31"/>
      <c r="B1102" s="31"/>
      <c r="C1102" s="31"/>
      <c r="D1102" s="31"/>
      <c r="E1102" s="31"/>
      <c r="F1102" s="31"/>
      <c r="G1102" s="31"/>
      <c r="H1102" s="31"/>
      <c r="I1102" s="31"/>
      <c r="J1102" s="31"/>
      <c r="K1102" s="31"/>
      <c r="L1102" s="31"/>
      <c r="M1102" s="31"/>
      <c r="N1102" s="31"/>
      <c r="O1102" s="31"/>
      <c r="P1102" s="31"/>
      <c r="Q1102" s="31"/>
      <c r="R1102" s="31"/>
      <c r="S1102" s="31"/>
      <c r="T1102" s="31"/>
      <c r="U1102" s="31"/>
      <c r="V1102" s="31"/>
      <c r="W1102" s="31"/>
      <c r="X1102" s="31"/>
    </row>
    <row r="1103" ht="15.75" customHeight="1">
      <c r="A1103" s="31"/>
      <c r="B1103" s="31"/>
      <c r="C1103" s="31"/>
      <c r="D1103" s="31"/>
      <c r="E1103" s="31"/>
      <c r="F1103" s="31"/>
      <c r="G1103" s="31"/>
      <c r="H1103" s="31"/>
      <c r="I1103" s="31"/>
      <c r="J1103" s="31"/>
      <c r="K1103" s="31"/>
      <c r="L1103" s="31"/>
      <c r="M1103" s="31"/>
      <c r="N1103" s="31"/>
      <c r="O1103" s="31"/>
      <c r="P1103" s="31"/>
      <c r="Q1103" s="31"/>
      <c r="R1103" s="31"/>
      <c r="S1103" s="31"/>
      <c r="T1103" s="31"/>
      <c r="U1103" s="31"/>
      <c r="V1103" s="31"/>
      <c r="W1103" s="31"/>
      <c r="X1103" s="31"/>
    </row>
    <row r="1104" ht="15.75" customHeight="1">
      <c r="A1104" s="31"/>
      <c r="B1104" s="31"/>
      <c r="C1104" s="31"/>
      <c r="D1104" s="31"/>
      <c r="E1104" s="31"/>
      <c r="F1104" s="31"/>
      <c r="G1104" s="31"/>
      <c r="H1104" s="31"/>
      <c r="I1104" s="31"/>
      <c r="J1104" s="31"/>
      <c r="K1104" s="31"/>
      <c r="L1104" s="31"/>
      <c r="M1104" s="31"/>
      <c r="N1104" s="31"/>
      <c r="O1104" s="31"/>
      <c r="P1104" s="31"/>
      <c r="Q1104" s="31"/>
      <c r="R1104" s="31"/>
      <c r="S1104" s="31"/>
      <c r="T1104" s="31"/>
      <c r="U1104" s="31"/>
      <c r="V1104" s="31"/>
      <c r="W1104" s="31"/>
      <c r="X1104" s="31"/>
    </row>
    <row r="1105" ht="15.75" customHeight="1">
      <c r="A1105" s="31"/>
      <c r="B1105" s="31"/>
      <c r="C1105" s="31"/>
      <c r="D1105" s="31"/>
      <c r="E1105" s="31"/>
      <c r="F1105" s="31"/>
      <c r="G1105" s="31"/>
      <c r="H1105" s="31"/>
      <c r="I1105" s="31"/>
      <c r="J1105" s="31"/>
      <c r="K1105" s="31"/>
      <c r="L1105" s="31"/>
      <c r="M1105" s="31"/>
      <c r="N1105" s="31"/>
      <c r="O1105" s="31"/>
      <c r="P1105" s="31"/>
      <c r="Q1105" s="31"/>
      <c r="R1105" s="31"/>
      <c r="S1105" s="31"/>
      <c r="T1105" s="31"/>
      <c r="U1105" s="31"/>
      <c r="V1105" s="31"/>
      <c r="W1105" s="31"/>
      <c r="X1105" s="31"/>
    </row>
    <row r="1106" ht="15.75" customHeight="1">
      <c r="A1106" s="31"/>
      <c r="B1106" s="31"/>
      <c r="C1106" s="31"/>
      <c r="D1106" s="31"/>
      <c r="E1106" s="31"/>
      <c r="F1106" s="31"/>
      <c r="G1106" s="31"/>
      <c r="H1106" s="31"/>
      <c r="I1106" s="31"/>
      <c r="J1106" s="31"/>
      <c r="K1106" s="31"/>
      <c r="L1106" s="31"/>
      <c r="M1106" s="31"/>
      <c r="N1106" s="31"/>
      <c r="O1106" s="31"/>
      <c r="P1106" s="31"/>
      <c r="Q1106" s="31"/>
      <c r="R1106" s="31"/>
      <c r="S1106" s="31"/>
      <c r="T1106" s="31"/>
      <c r="U1106" s="31"/>
      <c r="V1106" s="31"/>
      <c r="W1106" s="31"/>
      <c r="X1106" s="31"/>
    </row>
    <row r="1107" ht="15.75" customHeight="1">
      <c r="A1107" s="31"/>
      <c r="B1107" s="31"/>
      <c r="C1107" s="31"/>
      <c r="D1107" s="31"/>
      <c r="E1107" s="31"/>
      <c r="F1107" s="31"/>
      <c r="G1107" s="31"/>
      <c r="H1107" s="31"/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1"/>
    </row>
    <row r="1108" ht="15.75" customHeight="1">
      <c r="A1108" s="31"/>
      <c r="B1108" s="31"/>
      <c r="C1108" s="31"/>
      <c r="D1108" s="31"/>
      <c r="E1108" s="31"/>
      <c r="F1108" s="31"/>
      <c r="G1108" s="31"/>
      <c r="H1108" s="31"/>
      <c r="I1108" s="31"/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1"/>
    </row>
    <row r="1109" ht="15.75" customHeight="1">
      <c r="A1109" s="31"/>
      <c r="B1109" s="31"/>
      <c r="C1109" s="31"/>
      <c r="D1109" s="31"/>
      <c r="E1109" s="31"/>
      <c r="F1109" s="31"/>
      <c r="G1109" s="31"/>
      <c r="H1109" s="31"/>
      <c r="I1109" s="31"/>
      <c r="J1109" s="31"/>
      <c r="K1109" s="31"/>
      <c r="L1109" s="31"/>
      <c r="M1109" s="31"/>
      <c r="N1109" s="31"/>
      <c r="O1109" s="31"/>
      <c r="P1109" s="31"/>
      <c r="Q1109" s="31"/>
      <c r="R1109" s="31"/>
      <c r="S1109" s="31"/>
      <c r="T1109" s="31"/>
      <c r="U1109" s="31"/>
      <c r="V1109" s="31"/>
      <c r="W1109" s="31"/>
      <c r="X1109" s="31"/>
    </row>
    <row r="1110" ht="15.75" customHeight="1">
      <c r="A1110" s="31"/>
      <c r="B1110" s="31"/>
      <c r="C1110" s="31"/>
      <c r="D1110" s="31"/>
      <c r="E1110" s="31"/>
      <c r="F1110" s="31"/>
      <c r="G1110" s="31"/>
      <c r="H1110" s="31"/>
      <c r="I1110" s="31"/>
      <c r="J1110" s="31"/>
      <c r="K1110" s="31"/>
      <c r="L1110" s="31"/>
      <c r="M1110" s="31"/>
      <c r="N1110" s="31"/>
      <c r="O1110" s="31"/>
      <c r="P1110" s="31"/>
      <c r="Q1110" s="31"/>
      <c r="R1110" s="31"/>
      <c r="S1110" s="31"/>
      <c r="T1110" s="31"/>
      <c r="U1110" s="31"/>
      <c r="V1110" s="31"/>
      <c r="W1110" s="31"/>
      <c r="X1110" s="31"/>
    </row>
    <row r="1111" ht="15.75" customHeight="1">
      <c r="A1111" s="31"/>
      <c r="B1111" s="31"/>
      <c r="C1111" s="31"/>
      <c r="D1111" s="31"/>
      <c r="E1111" s="31"/>
      <c r="F1111" s="31"/>
      <c r="G1111" s="31"/>
      <c r="H1111" s="31"/>
      <c r="I1111" s="31"/>
      <c r="J1111" s="31"/>
      <c r="K1111" s="31"/>
      <c r="L1111" s="31"/>
      <c r="M1111" s="31"/>
      <c r="N1111" s="31"/>
      <c r="O1111" s="31"/>
      <c r="P1111" s="31"/>
      <c r="Q1111" s="31"/>
      <c r="R1111" s="31"/>
      <c r="S1111" s="31"/>
      <c r="T1111" s="31"/>
      <c r="U1111" s="31"/>
      <c r="V1111" s="31"/>
      <c r="W1111" s="31"/>
      <c r="X1111" s="31"/>
    </row>
    <row r="1112" ht="15.75" customHeight="1">
      <c r="A1112" s="31"/>
      <c r="B1112" s="31"/>
      <c r="C1112" s="31"/>
      <c r="D1112" s="31"/>
      <c r="E1112" s="31"/>
      <c r="F1112" s="31"/>
      <c r="G1112" s="31"/>
      <c r="H1112" s="31"/>
      <c r="I1112" s="31"/>
      <c r="J1112" s="31"/>
      <c r="K1112" s="31"/>
      <c r="L1112" s="31"/>
      <c r="M1112" s="31"/>
      <c r="N1112" s="31"/>
      <c r="O1112" s="31"/>
      <c r="P1112" s="31"/>
      <c r="Q1112" s="31"/>
      <c r="R1112" s="31"/>
      <c r="S1112" s="31"/>
      <c r="T1112" s="31"/>
      <c r="U1112" s="31"/>
      <c r="V1112" s="31"/>
      <c r="W1112" s="31"/>
      <c r="X1112" s="31"/>
    </row>
    <row r="1113" ht="15.75" customHeight="1">
      <c r="A1113" s="31"/>
      <c r="B1113" s="31"/>
      <c r="C1113" s="31"/>
      <c r="D1113" s="31"/>
      <c r="E1113" s="31"/>
      <c r="F1113" s="31"/>
      <c r="G1113" s="31"/>
      <c r="H1113" s="31"/>
      <c r="I1113" s="31"/>
      <c r="J1113" s="31"/>
      <c r="K1113" s="31"/>
      <c r="L1113" s="31"/>
      <c r="M1113" s="31"/>
      <c r="N1113" s="31"/>
      <c r="O1113" s="31"/>
      <c r="P1113" s="31"/>
      <c r="Q1113" s="31"/>
      <c r="R1113" s="31"/>
      <c r="S1113" s="31"/>
      <c r="T1113" s="31"/>
      <c r="U1113" s="31"/>
      <c r="V1113" s="31"/>
      <c r="W1113" s="31"/>
      <c r="X1113" s="31"/>
    </row>
    <row r="1114" ht="15.75" customHeight="1">
      <c r="A1114" s="31"/>
      <c r="B1114" s="31"/>
      <c r="C1114" s="31"/>
      <c r="D1114" s="31"/>
      <c r="E1114" s="31"/>
      <c r="F1114" s="31"/>
      <c r="G1114" s="31"/>
      <c r="H1114" s="31"/>
      <c r="I1114" s="31"/>
      <c r="J1114" s="31"/>
      <c r="K1114" s="31"/>
      <c r="L1114" s="31"/>
      <c r="M1114" s="31"/>
      <c r="N1114" s="31"/>
      <c r="O1114" s="31"/>
      <c r="P1114" s="31"/>
      <c r="Q1114" s="31"/>
      <c r="R1114" s="31"/>
      <c r="S1114" s="31"/>
      <c r="T1114" s="31"/>
      <c r="U1114" s="31"/>
      <c r="V1114" s="31"/>
      <c r="W1114" s="31"/>
      <c r="X1114" s="31"/>
    </row>
    <row r="1115" ht="15.75" customHeight="1">
      <c r="A1115" s="31"/>
      <c r="B1115" s="31"/>
      <c r="C1115" s="31"/>
      <c r="D1115" s="31"/>
      <c r="E1115" s="31"/>
      <c r="F1115" s="31"/>
      <c r="G1115" s="31"/>
      <c r="H1115" s="31"/>
      <c r="I1115" s="31"/>
      <c r="J1115" s="31"/>
      <c r="K1115" s="31"/>
      <c r="L1115" s="31"/>
      <c r="M1115" s="31"/>
      <c r="N1115" s="31"/>
      <c r="O1115" s="31"/>
      <c r="P1115" s="31"/>
      <c r="Q1115" s="31"/>
      <c r="R1115" s="31"/>
      <c r="S1115" s="31"/>
      <c r="T1115" s="31"/>
      <c r="U1115" s="31"/>
      <c r="V1115" s="31"/>
      <c r="W1115" s="31"/>
      <c r="X1115" s="31"/>
    </row>
    <row r="1116" ht="15.75" customHeight="1">
      <c r="A1116" s="31"/>
      <c r="B1116" s="31"/>
      <c r="C1116" s="31"/>
      <c r="D1116" s="31"/>
      <c r="E1116" s="31"/>
      <c r="F1116" s="31"/>
      <c r="G1116" s="31"/>
      <c r="H1116" s="31"/>
      <c r="I1116" s="31"/>
      <c r="J1116" s="31"/>
      <c r="K1116" s="31"/>
      <c r="L1116" s="31"/>
      <c r="M1116" s="31"/>
      <c r="N1116" s="31"/>
      <c r="O1116" s="31"/>
      <c r="P1116" s="31"/>
      <c r="Q1116" s="31"/>
      <c r="R1116" s="31"/>
      <c r="S1116" s="31"/>
      <c r="T1116" s="31"/>
      <c r="U1116" s="31"/>
      <c r="V1116" s="31"/>
      <c r="W1116" s="31"/>
      <c r="X1116" s="31"/>
    </row>
    <row r="1117" ht="15.75" customHeight="1">
      <c r="A1117" s="31"/>
      <c r="B1117" s="31"/>
      <c r="C1117" s="31"/>
      <c r="D1117" s="31"/>
      <c r="E1117" s="31"/>
      <c r="F1117" s="31"/>
      <c r="G1117" s="31"/>
      <c r="H1117" s="31"/>
      <c r="I1117" s="31"/>
      <c r="J1117" s="31"/>
      <c r="K1117" s="31"/>
      <c r="L1117" s="31"/>
      <c r="M1117" s="31"/>
      <c r="N1117" s="31"/>
      <c r="O1117" s="31"/>
      <c r="P1117" s="31"/>
      <c r="Q1117" s="31"/>
      <c r="R1117" s="31"/>
      <c r="S1117" s="31"/>
      <c r="T1117" s="31"/>
      <c r="U1117" s="31"/>
      <c r="V1117" s="31"/>
      <c r="W1117" s="31"/>
      <c r="X1117" s="31"/>
    </row>
    <row r="1118" ht="15.75" customHeight="1">
      <c r="A1118" s="31"/>
      <c r="B1118" s="31"/>
      <c r="C1118" s="31"/>
      <c r="D1118" s="31"/>
      <c r="E1118" s="31"/>
      <c r="F1118" s="31"/>
      <c r="G1118" s="31"/>
      <c r="H1118" s="31"/>
      <c r="I1118" s="31"/>
      <c r="J1118" s="31"/>
      <c r="K1118" s="31"/>
      <c r="L1118" s="31"/>
      <c r="M1118" s="31"/>
      <c r="N1118" s="31"/>
      <c r="O1118" s="31"/>
      <c r="P1118" s="31"/>
      <c r="Q1118" s="31"/>
      <c r="R1118" s="31"/>
      <c r="S1118" s="31"/>
      <c r="T1118" s="31"/>
      <c r="U1118" s="31"/>
      <c r="V1118" s="31"/>
      <c r="W1118" s="31"/>
      <c r="X1118" s="31"/>
    </row>
    <row r="1119" ht="15.75" customHeight="1">
      <c r="A1119" s="31"/>
      <c r="B1119" s="31"/>
      <c r="C1119" s="31"/>
      <c r="D1119" s="31"/>
      <c r="E1119" s="31"/>
      <c r="F1119" s="31"/>
      <c r="G1119" s="31"/>
      <c r="H1119" s="31"/>
      <c r="I1119" s="31"/>
      <c r="J1119" s="31"/>
      <c r="K1119" s="31"/>
      <c r="L1119" s="31"/>
      <c r="M1119" s="31"/>
      <c r="N1119" s="31"/>
      <c r="O1119" s="31"/>
      <c r="P1119" s="31"/>
      <c r="Q1119" s="31"/>
      <c r="R1119" s="31"/>
      <c r="S1119" s="31"/>
      <c r="T1119" s="31"/>
      <c r="U1119" s="31"/>
      <c r="V1119" s="31"/>
      <c r="W1119" s="31"/>
      <c r="X1119" s="31"/>
    </row>
    <row r="1120" ht="15.75" customHeight="1">
      <c r="A1120" s="31"/>
      <c r="B1120" s="31"/>
      <c r="C1120" s="31"/>
      <c r="D1120" s="31"/>
      <c r="E1120" s="31"/>
      <c r="F1120" s="31"/>
      <c r="G1120" s="31"/>
      <c r="H1120" s="31"/>
      <c r="I1120" s="31"/>
      <c r="J1120" s="31"/>
      <c r="K1120" s="31"/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</row>
    <row r="1121" ht="15.75" customHeight="1">
      <c r="A1121" s="31"/>
      <c r="B1121" s="31"/>
      <c r="C1121" s="31"/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  <c r="P1121" s="31"/>
      <c r="Q1121" s="31"/>
      <c r="R1121" s="31"/>
      <c r="S1121" s="31"/>
      <c r="T1121" s="31"/>
      <c r="U1121" s="31"/>
      <c r="V1121" s="31"/>
      <c r="W1121" s="31"/>
      <c r="X1121" s="31"/>
    </row>
    <row r="1122" ht="15.75" customHeight="1">
      <c r="A1122" s="31"/>
      <c r="B1122" s="31"/>
      <c r="C1122" s="31"/>
      <c r="D1122" s="31"/>
      <c r="E1122" s="31"/>
      <c r="F1122" s="31"/>
      <c r="G1122" s="31"/>
      <c r="H1122" s="31"/>
      <c r="I1122" s="31"/>
      <c r="J1122" s="31"/>
      <c r="K1122" s="31"/>
      <c r="L1122" s="31"/>
      <c r="M1122" s="31"/>
      <c r="N1122" s="31"/>
      <c r="O1122" s="31"/>
      <c r="P1122" s="31"/>
      <c r="Q1122" s="31"/>
      <c r="R1122" s="31"/>
      <c r="S1122" s="31"/>
      <c r="T1122" s="31"/>
      <c r="U1122" s="31"/>
      <c r="V1122" s="31"/>
      <c r="W1122" s="31"/>
      <c r="X1122" s="31"/>
    </row>
    <row r="1123" ht="15.75" customHeight="1">
      <c r="A1123" s="31"/>
      <c r="B1123" s="31"/>
      <c r="C1123" s="31"/>
      <c r="D1123" s="31"/>
      <c r="E1123" s="31"/>
      <c r="F1123" s="31"/>
      <c r="G1123" s="31"/>
      <c r="H1123" s="31"/>
      <c r="I1123" s="31"/>
      <c r="J1123" s="31"/>
      <c r="K1123" s="31"/>
      <c r="L1123" s="31"/>
      <c r="M1123" s="31"/>
      <c r="N1123" s="31"/>
      <c r="O1123" s="31"/>
      <c r="P1123" s="31"/>
      <c r="Q1123" s="31"/>
      <c r="R1123" s="31"/>
      <c r="S1123" s="31"/>
      <c r="T1123" s="31"/>
      <c r="U1123" s="31"/>
      <c r="V1123" s="31"/>
      <c r="W1123" s="31"/>
      <c r="X1123" s="31"/>
    </row>
    <row r="1124" ht="15.75" customHeight="1">
      <c r="A1124" s="31"/>
      <c r="B1124" s="31"/>
      <c r="C1124" s="31"/>
      <c r="D1124" s="31"/>
      <c r="E1124" s="31"/>
      <c r="F1124" s="31"/>
      <c r="G1124" s="31"/>
      <c r="H1124" s="31"/>
      <c r="I1124" s="31"/>
      <c r="J1124" s="31"/>
      <c r="K1124" s="31"/>
      <c r="L1124" s="31"/>
      <c r="M1124" s="31"/>
      <c r="N1124" s="31"/>
      <c r="O1124" s="31"/>
      <c r="P1124" s="31"/>
      <c r="Q1124" s="31"/>
      <c r="R1124" s="31"/>
      <c r="S1124" s="31"/>
      <c r="T1124" s="31"/>
      <c r="U1124" s="31"/>
      <c r="V1124" s="31"/>
      <c r="W1124" s="31"/>
      <c r="X1124" s="31"/>
    </row>
    <row r="1125" ht="15.75" customHeight="1">
      <c r="A1125" s="31"/>
      <c r="B1125" s="31"/>
      <c r="C1125" s="31"/>
      <c r="D1125" s="31"/>
      <c r="E1125" s="31"/>
      <c r="F1125" s="31"/>
      <c r="G1125" s="31"/>
      <c r="H1125" s="31"/>
      <c r="I1125" s="31"/>
      <c r="J1125" s="31"/>
      <c r="K1125" s="31"/>
      <c r="L1125" s="31"/>
      <c r="M1125" s="31"/>
      <c r="N1125" s="31"/>
      <c r="O1125" s="31"/>
      <c r="P1125" s="31"/>
      <c r="Q1125" s="31"/>
      <c r="R1125" s="31"/>
      <c r="S1125" s="31"/>
      <c r="T1125" s="31"/>
      <c r="U1125" s="31"/>
      <c r="V1125" s="31"/>
      <c r="W1125" s="31"/>
      <c r="X1125" s="31"/>
    </row>
    <row r="1126" ht="15.75" customHeight="1">
      <c r="A1126" s="31"/>
      <c r="B1126" s="31"/>
      <c r="C1126" s="31"/>
      <c r="D1126" s="31"/>
      <c r="E1126" s="31"/>
      <c r="F1126" s="31"/>
      <c r="G1126" s="31"/>
      <c r="H1126" s="31"/>
      <c r="I1126" s="31"/>
      <c r="J1126" s="31"/>
      <c r="K1126" s="31"/>
      <c r="L1126" s="31"/>
      <c r="M1126" s="31"/>
      <c r="N1126" s="31"/>
      <c r="O1126" s="31"/>
      <c r="P1126" s="31"/>
      <c r="Q1126" s="31"/>
      <c r="R1126" s="31"/>
      <c r="S1126" s="31"/>
      <c r="T1126" s="31"/>
      <c r="U1126" s="31"/>
      <c r="V1126" s="31"/>
      <c r="W1126" s="31"/>
      <c r="X1126" s="31"/>
    </row>
    <row r="1127" ht="15.75" customHeight="1">
      <c r="A1127" s="31"/>
      <c r="B1127" s="31"/>
      <c r="C1127" s="31"/>
      <c r="D1127" s="31"/>
      <c r="E1127" s="31"/>
      <c r="F1127" s="31"/>
      <c r="G1127" s="31"/>
      <c r="H1127" s="31"/>
      <c r="I1127" s="31"/>
      <c r="J1127" s="31"/>
      <c r="K1127" s="31"/>
      <c r="L1127" s="31"/>
      <c r="M1127" s="31"/>
      <c r="N1127" s="31"/>
      <c r="O1127" s="31"/>
      <c r="P1127" s="31"/>
      <c r="Q1127" s="31"/>
      <c r="R1127" s="31"/>
      <c r="S1127" s="31"/>
      <c r="T1127" s="31"/>
      <c r="U1127" s="31"/>
      <c r="V1127" s="31"/>
      <c r="W1127" s="31"/>
      <c r="X1127" s="31"/>
    </row>
    <row r="1128" ht="15.75" customHeight="1">
      <c r="A1128" s="31"/>
      <c r="B1128" s="31"/>
      <c r="C1128" s="31"/>
      <c r="D1128" s="31"/>
      <c r="E1128" s="31"/>
      <c r="F1128" s="31"/>
      <c r="G1128" s="31"/>
      <c r="H1128" s="31"/>
      <c r="I1128" s="31"/>
      <c r="J1128" s="31"/>
      <c r="K1128" s="31"/>
      <c r="L1128" s="31"/>
      <c r="M1128" s="31"/>
      <c r="N1128" s="31"/>
      <c r="O1128" s="31"/>
      <c r="P1128" s="31"/>
      <c r="Q1128" s="31"/>
      <c r="R1128" s="31"/>
      <c r="S1128" s="31"/>
      <c r="T1128" s="31"/>
      <c r="U1128" s="31"/>
      <c r="V1128" s="31"/>
      <c r="W1128" s="31"/>
      <c r="X1128" s="31"/>
    </row>
    <row r="1129" ht="15.75" customHeight="1">
      <c r="A1129" s="31"/>
      <c r="B1129" s="31"/>
      <c r="C1129" s="31"/>
      <c r="D1129" s="31"/>
      <c r="E1129" s="31"/>
      <c r="F1129" s="31"/>
      <c r="G1129" s="31"/>
      <c r="H1129" s="31"/>
      <c r="I1129" s="31"/>
      <c r="J1129" s="31"/>
      <c r="K1129" s="31"/>
      <c r="L1129" s="31"/>
      <c r="M1129" s="31"/>
      <c r="N1129" s="31"/>
      <c r="O1129" s="31"/>
      <c r="P1129" s="31"/>
      <c r="Q1129" s="31"/>
      <c r="R1129" s="31"/>
      <c r="S1129" s="31"/>
      <c r="T1129" s="31"/>
      <c r="U1129" s="31"/>
      <c r="V1129" s="31"/>
      <c r="W1129" s="31"/>
      <c r="X1129" s="31"/>
    </row>
    <row r="1130" ht="15.75" customHeight="1">
      <c r="A1130" s="31"/>
      <c r="B1130" s="31"/>
      <c r="C1130" s="31"/>
      <c r="D1130" s="31"/>
      <c r="E1130" s="31"/>
      <c r="F1130" s="31"/>
      <c r="G1130" s="31"/>
      <c r="H1130" s="31"/>
      <c r="I1130" s="31"/>
      <c r="J1130" s="31"/>
      <c r="K1130" s="31"/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</row>
    <row r="1131" ht="15.75" customHeight="1">
      <c r="A1131" s="31"/>
      <c r="B1131" s="31"/>
      <c r="C1131" s="31"/>
      <c r="D1131" s="31"/>
      <c r="E1131" s="31"/>
      <c r="F1131" s="31"/>
      <c r="G1131" s="31"/>
      <c r="H1131" s="31"/>
      <c r="I1131" s="31"/>
      <c r="J1131" s="31"/>
      <c r="K1131" s="31"/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1"/>
    </row>
    <row r="1132" ht="15.75" customHeight="1">
      <c r="A1132" s="31"/>
      <c r="B1132" s="31"/>
      <c r="C1132" s="31"/>
      <c r="D1132" s="31"/>
      <c r="E1132" s="31"/>
      <c r="F1132" s="31"/>
      <c r="G1132" s="31"/>
      <c r="H1132" s="31"/>
      <c r="I1132" s="31"/>
      <c r="J1132" s="31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1"/>
    </row>
    <row r="1133" ht="15.75" customHeight="1">
      <c r="A1133" s="31"/>
      <c r="B1133" s="31"/>
      <c r="C1133" s="31"/>
      <c r="D1133" s="31"/>
      <c r="E1133" s="31"/>
      <c r="F1133" s="31"/>
      <c r="G1133" s="31"/>
      <c r="H1133" s="31"/>
      <c r="I1133" s="31"/>
      <c r="J1133" s="31"/>
      <c r="K1133" s="31"/>
      <c r="L1133" s="31"/>
      <c r="M1133" s="31"/>
      <c r="N1133" s="31"/>
      <c r="O1133" s="31"/>
      <c r="P1133" s="31"/>
      <c r="Q1133" s="31"/>
      <c r="R1133" s="31"/>
      <c r="S1133" s="31"/>
      <c r="T1133" s="31"/>
      <c r="U1133" s="31"/>
      <c r="V1133" s="31"/>
      <c r="W1133" s="31"/>
      <c r="X1133" s="31"/>
    </row>
    <row r="1134" ht="15.75" customHeight="1">
      <c r="A1134" s="31"/>
      <c r="B1134" s="31"/>
      <c r="C1134" s="31"/>
      <c r="D1134" s="31"/>
      <c r="E1134" s="31"/>
      <c r="F1134" s="31"/>
      <c r="G1134" s="31"/>
      <c r="H1134" s="31"/>
      <c r="I1134" s="31"/>
      <c r="J1134" s="31"/>
      <c r="K1134" s="31"/>
      <c r="L1134" s="31"/>
      <c r="M1134" s="31"/>
      <c r="N1134" s="31"/>
      <c r="O1134" s="31"/>
      <c r="P1134" s="31"/>
      <c r="Q1134" s="31"/>
      <c r="R1134" s="31"/>
      <c r="S1134" s="31"/>
      <c r="T1134" s="31"/>
      <c r="U1134" s="31"/>
      <c r="V1134" s="31"/>
      <c r="W1134" s="31"/>
      <c r="X1134" s="31"/>
    </row>
    <row r="1135" ht="15.75" customHeight="1">
      <c r="A1135" s="31"/>
      <c r="B1135" s="31"/>
      <c r="C1135" s="31"/>
      <c r="D1135" s="31"/>
      <c r="E1135" s="31"/>
      <c r="F1135" s="31"/>
      <c r="G1135" s="31"/>
      <c r="H1135" s="31"/>
      <c r="I1135" s="31"/>
      <c r="J1135" s="31"/>
      <c r="K1135" s="31"/>
      <c r="L1135" s="31"/>
      <c r="M1135" s="31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</row>
    <row r="1136" ht="15.75" customHeight="1">
      <c r="A1136" s="31"/>
      <c r="B1136" s="31"/>
      <c r="C1136" s="31"/>
      <c r="D1136" s="31"/>
      <c r="E1136" s="31"/>
      <c r="F1136" s="31"/>
      <c r="G1136" s="31"/>
      <c r="H1136" s="31"/>
      <c r="I1136" s="31"/>
      <c r="J1136" s="31"/>
      <c r="K1136" s="31"/>
      <c r="L1136" s="31"/>
      <c r="M1136" s="31"/>
      <c r="N1136" s="31"/>
      <c r="O1136" s="31"/>
      <c r="P1136" s="31"/>
      <c r="Q1136" s="31"/>
      <c r="R1136" s="31"/>
      <c r="S1136" s="31"/>
      <c r="T1136" s="31"/>
      <c r="U1136" s="31"/>
      <c r="V1136" s="31"/>
      <c r="W1136" s="31"/>
      <c r="X1136" s="31"/>
    </row>
    <row r="1137" ht="15.75" customHeight="1">
      <c r="A1137" s="31"/>
      <c r="B1137" s="31"/>
      <c r="C1137" s="31"/>
      <c r="D1137" s="31"/>
      <c r="E1137" s="31"/>
      <c r="F1137" s="31"/>
      <c r="G1137" s="31"/>
      <c r="H1137" s="31"/>
      <c r="I1137" s="31"/>
      <c r="J1137" s="31"/>
      <c r="K1137" s="31"/>
      <c r="L1137" s="31"/>
      <c r="M1137" s="31"/>
      <c r="N1137" s="31"/>
      <c r="O1137" s="31"/>
      <c r="P1137" s="31"/>
      <c r="Q1137" s="31"/>
      <c r="R1137" s="31"/>
      <c r="S1137" s="31"/>
      <c r="T1137" s="31"/>
      <c r="U1137" s="31"/>
      <c r="V1137" s="31"/>
      <c r="W1137" s="31"/>
      <c r="X1137" s="31"/>
    </row>
    <row r="1138" ht="15.75" customHeight="1">
      <c r="A1138" s="31"/>
      <c r="B1138" s="31"/>
      <c r="C1138" s="31"/>
      <c r="D1138" s="31"/>
      <c r="E1138" s="31"/>
      <c r="F1138" s="31"/>
      <c r="G1138" s="31"/>
      <c r="H1138" s="31"/>
      <c r="I1138" s="31"/>
      <c r="J1138" s="31"/>
      <c r="K1138" s="31"/>
      <c r="L1138" s="31"/>
      <c r="M1138" s="31"/>
      <c r="N1138" s="31"/>
      <c r="O1138" s="31"/>
      <c r="P1138" s="31"/>
      <c r="Q1138" s="31"/>
      <c r="R1138" s="31"/>
      <c r="S1138" s="31"/>
      <c r="T1138" s="31"/>
      <c r="U1138" s="31"/>
      <c r="V1138" s="31"/>
      <c r="W1138" s="31"/>
      <c r="X1138" s="31"/>
    </row>
    <row r="1139" ht="15.75" customHeight="1">
      <c r="A1139" s="31"/>
      <c r="B1139" s="31"/>
      <c r="C1139" s="31"/>
      <c r="D1139" s="31"/>
      <c r="E1139" s="31"/>
      <c r="F1139" s="31"/>
      <c r="G1139" s="31"/>
      <c r="H1139" s="31"/>
      <c r="I1139" s="31"/>
      <c r="J1139" s="31"/>
      <c r="K1139" s="31"/>
      <c r="L1139" s="31"/>
      <c r="M1139" s="31"/>
      <c r="N1139" s="31"/>
      <c r="O1139" s="31"/>
      <c r="P1139" s="31"/>
      <c r="Q1139" s="31"/>
      <c r="R1139" s="31"/>
      <c r="S1139" s="31"/>
      <c r="T1139" s="31"/>
      <c r="U1139" s="31"/>
      <c r="V1139" s="31"/>
      <c r="W1139" s="31"/>
      <c r="X1139" s="31"/>
    </row>
    <row r="1140" ht="15.75" customHeight="1">
      <c r="A1140" s="31"/>
      <c r="B1140" s="31"/>
      <c r="C1140" s="31"/>
      <c r="D1140" s="31"/>
      <c r="E1140" s="31"/>
      <c r="F1140" s="31"/>
      <c r="G1140" s="31"/>
      <c r="H1140" s="31"/>
      <c r="I1140" s="31"/>
      <c r="J1140" s="31"/>
      <c r="K1140" s="31"/>
      <c r="L1140" s="31"/>
      <c r="M1140" s="31"/>
      <c r="N1140" s="31"/>
      <c r="O1140" s="31"/>
      <c r="P1140" s="31"/>
      <c r="Q1140" s="31"/>
      <c r="R1140" s="31"/>
      <c r="S1140" s="31"/>
      <c r="T1140" s="31"/>
      <c r="U1140" s="31"/>
      <c r="V1140" s="31"/>
      <c r="W1140" s="31"/>
      <c r="X1140" s="31"/>
    </row>
    <row r="1141" ht="15.75" customHeight="1">
      <c r="A1141" s="31"/>
      <c r="B1141" s="31"/>
      <c r="C1141" s="31"/>
      <c r="D1141" s="31"/>
      <c r="E1141" s="31"/>
      <c r="F1141" s="31"/>
      <c r="G1141" s="31"/>
      <c r="H1141" s="31"/>
      <c r="I1141" s="31"/>
      <c r="J1141" s="31"/>
      <c r="K1141" s="31"/>
      <c r="L1141" s="31"/>
      <c r="M1141" s="31"/>
      <c r="N1141" s="31"/>
      <c r="O1141" s="31"/>
      <c r="P1141" s="31"/>
      <c r="Q1141" s="31"/>
      <c r="R1141" s="31"/>
      <c r="S1141" s="31"/>
      <c r="T1141" s="31"/>
      <c r="U1141" s="31"/>
      <c r="V1141" s="31"/>
      <c r="W1141" s="31"/>
      <c r="X1141" s="31"/>
    </row>
    <row r="1142" ht="15.75" customHeight="1">
      <c r="A1142" s="31"/>
      <c r="B1142" s="31"/>
      <c r="C1142" s="31"/>
      <c r="D1142" s="31"/>
      <c r="E1142" s="31"/>
      <c r="F1142" s="31"/>
      <c r="G1142" s="31"/>
      <c r="H1142" s="31"/>
      <c r="I1142" s="31"/>
      <c r="J1142" s="31"/>
      <c r="K1142" s="31"/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</row>
    <row r="1143" ht="15.75" customHeight="1">
      <c r="A1143" s="31"/>
      <c r="B1143" s="31"/>
      <c r="C1143" s="31"/>
      <c r="D1143" s="31"/>
      <c r="E1143" s="31"/>
      <c r="F1143" s="31"/>
      <c r="G1143" s="31"/>
      <c r="H1143" s="31"/>
      <c r="I1143" s="31"/>
      <c r="J1143" s="31"/>
      <c r="K1143" s="31"/>
      <c r="L1143" s="31"/>
      <c r="M1143" s="31"/>
      <c r="N1143" s="31"/>
      <c r="O1143" s="31"/>
      <c r="P1143" s="31"/>
      <c r="Q1143" s="31"/>
      <c r="R1143" s="31"/>
      <c r="S1143" s="31"/>
      <c r="T1143" s="31"/>
      <c r="U1143" s="31"/>
      <c r="V1143" s="31"/>
      <c r="W1143" s="31"/>
      <c r="X1143" s="31"/>
    </row>
    <row r="1144" ht="15.75" customHeight="1">
      <c r="A1144" s="31"/>
      <c r="B1144" s="31"/>
      <c r="C1144" s="31"/>
      <c r="D1144" s="31"/>
      <c r="E1144" s="31"/>
      <c r="F1144" s="31"/>
      <c r="G1144" s="31"/>
      <c r="H1144" s="31"/>
      <c r="I1144" s="31"/>
      <c r="J1144" s="31"/>
      <c r="K1144" s="31"/>
      <c r="L1144" s="31"/>
      <c r="M1144" s="31"/>
      <c r="N1144" s="31"/>
      <c r="O1144" s="31"/>
      <c r="P1144" s="31"/>
      <c r="Q1144" s="31"/>
      <c r="R1144" s="31"/>
      <c r="S1144" s="31"/>
      <c r="T1144" s="31"/>
      <c r="U1144" s="31"/>
      <c r="V1144" s="31"/>
      <c r="W1144" s="31"/>
      <c r="X1144" s="31"/>
    </row>
    <row r="1145" ht="15.75" customHeight="1">
      <c r="A1145" s="31"/>
      <c r="B1145" s="31"/>
      <c r="C1145" s="31"/>
      <c r="D1145" s="31"/>
      <c r="E1145" s="31"/>
      <c r="F1145" s="31"/>
      <c r="G1145" s="31"/>
      <c r="H1145" s="31"/>
      <c r="I1145" s="31"/>
      <c r="J1145" s="31"/>
      <c r="K1145" s="31"/>
      <c r="L1145" s="31"/>
      <c r="M1145" s="31"/>
      <c r="N1145" s="31"/>
      <c r="O1145" s="31"/>
      <c r="P1145" s="31"/>
      <c r="Q1145" s="31"/>
      <c r="R1145" s="31"/>
      <c r="S1145" s="31"/>
      <c r="T1145" s="31"/>
      <c r="U1145" s="31"/>
      <c r="V1145" s="31"/>
      <c r="W1145" s="31"/>
      <c r="X1145" s="31"/>
    </row>
    <row r="1146" ht="15.75" customHeight="1">
      <c r="A1146" s="31"/>
      <c r="B1146" s="31"/>
      <c r="C1146" s="31"/>
      <c r="D1146" s="31"/>
      <c r="E1146" s="31"/>
      <c r="F1146" s="31"/>
      <c r="G1146" s="31"/>
      <c r="H1146" s="31"/>
      <c r="I1146" s="31"/>
      <c r="J1146" s="31"/>
      <c r="K1146" s="31"/>
      <c r="L1146" s="31"/>
      <c r="M1146" s="31"/>
      <c r="N1146" s="31"/>
      <c r="O1146" s="31"/>
      <c r="P1146" s="31"/>
      <c r="Q1146" s="31"/>
      <c r="R1146" s="31"/>
      <c r="S1146" s="31"/>
      <c r="T1146" s="31"/>
      <c r="U1146" s="31"/>
      <c r="V1146" s="31"/>
      <c r="W1146" s="31"/>
      <c r="X1146" s="31"/>
    </row>
    <row r="1147" ht="15.75" customHeight="1">
      <c r="A1147" s="31"/>
      <c r="B1147" s="31"/>
      <c r="C1147" s="31"/>
      <c r="D1147" s="31"/>
      <c r="E1147" s="31"/>
      <c r="F1147" s="31"/>
      <c r="G1147" s="31"/>
      <c r="H1147" s="31"/>
      <c r="I1147" s="31"/>
      <c r="J1147" s="31"/>
      <c r="K1147" s="31"/>
      <c r="L1147" s="31"/>
      <c r="M1147" s="31"/>
      <c r="N1147" s="31"/>
      <c r="O1147" s="31"/>
      <c r="P1147" s="31"/>
      <c r="Q1147" s="31"/>
      <c r="R1147" s="31"/>
      <c r="S1147" s="31"/>
      <c r="T1147" s="31"/>
      <c r="U1147" s="31"/>
      <c r="V1147" s="31"/>
      <c r="W1147" s="31"/>
      <c r="X1147" s="31"/>
    </row>
    <row r="1148" ht="15.75" customHeight="1">
      <c r="A1148" s="31"/>
      <c r="B1148" s="31"/>
      <c r="C1148" s="31"/>
      <c r="D1148" s="31"/>
      <c r="E1148" s="31"/>
      <c r="F1148" s="31"/>
      <c r="G1148" s="31"/>
      <c r="H1148" s="31"/>
      <c r="I1148" s="31"/>
      <c r="J1148" s="31"/>
      <c r="K1148" s="31"/>
      <c r="L1148" s="31"/>
      <c r="M1148" s="31"/>
      <c r="N1148" s="31"/>
      <c r="O1148" s="31"/>
      <c r="P1148" s="31"/>
      <c r="Q1148" s="31"/>
      <c r="R1148" s="31"/>
      <c r="S1148" s="31"/>
      <c r="T1148" s="31"/>
      <c r="U1148" s="31"/>
      <c r="V1148" s="31"/>
      <c r="W1148" s="31"/>
      <c r="X1148" s="3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3" max="3" width="13.44"/>
    <col customWidth="1" min="5" max="5" width="24.67"/>
    <col customWidth="1" min="6" max="6" width="42.0"/>
    <col customWidth="1" hidden="1" min="7" max="7" width="11.78"/>
    <col hidden="1" min="8" max="8" width="11.22"/>
    <col customWidth="1" hidden="1" min="10" max="10" width="12.78"/>
    <col customWidth="1" min="11" max="11" width="19.33"/>
    <col hidden="1" min="12" max="13" width="11.22"/>
    <col customWidth="1" min="16" max="16" width="15.67"/>
    <col customWidth="1" min="18" max="18" width="12.33"/>
    <col customWidth="1" min="19" max="19" width="14.33"/>
  </cols>
  <sheetData>
    <row r="1">
      <c r="A1" s="3" t="s">
        <v>6629</v>
      </c>
      <c r="B1" s="4" t="s">
        <v>0</v>
      </c>
      <c r="C1" s="1" t="s">
        <v>1</v>
      </c>
      <c r="D1" s="3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 t="s">
        <v>6633</v>
      </c>
      <c r="T1" s="31"/>
      <c r="U1" s="31"/>
      <c r="V1" s="31"/>
      <c r="W1" s="31"/>
      <c r="X1" s="31"/>
      <c r="Y1" s="31"/>
    </row>
    <row r="2">
      <c r="A2" s="31"/>
      <c r="B2" s="405" t="s">
        <v>7742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42"/>
      <c r="R2" s="406">
        <v>29758.0</v>
      </c>
      <c r="S2" s="31">
        <f t="shared" ref="S2:S159" si="1">R2-P2</f>
        <v>29758</v>
      </c>
      <c r="T2" s="31"/>
      <c r="U2" s="31"/>
      <c r="V2" s="31"/>
      <c r="W2" s="31"/>
      <c r="X2" s="31"/>
      <c r="Y2" s="31"/>
    </row>
    <row r="3">
      <c r="A3" s="160">
        <v>92.0</v>
      </c>
      <c r="B3" s="262" t="s">
        <v>7743</v>
      </c>
      <c r="C3" s="159" t="s">
        <v>7744</v>
      </c>
      <c r="D3" s="160" t="s">
        <v>1395</v>
      </c>
      <c r="E3" s="159" t="s">
        <v>528</v>
      </c>
      <c r="F3" s="160" t="s">
        <v>7745</v>
      </c>
      <c r="G3" s="262">
        <v>9.87002269E9</v>
      </c>
      <c r="H3" s="262"/>
      <c r="I3" s="262">
        <v>3425.0</v>
      </c>
      <c r="J3" s="262" t="s">
        <v>7746</v>
      </c>
      <c r="K3" s="159" t="s">
        <v>116</v>
      </c>
      <c r="L3" s="160" t="s">
        <v>49</v>
      </c>
      <c r="M3" s="160" t="s">
        <v>3028</v>
      </c>
      <c r="N3" s="160" t="s">
        <v>28</v>
      </c>
      <c r="O3" s="160">
        <v>18531.0</v>
      </c>
      <c r="P3" s="160">
        <v>20897.0</v>
      </c>
      <c r="Q3" s="407">
        <v>51.0</v>
      </c>
      <c r="R3" s="340">
        <f t="shared" ref="R3:R11" si="2">O3*Q3%</f>
        <v>9450.81</v>
      </c>
      <c r="S3" s="340">
        <f t="shared" si="1"/>
        <v>-11446.19</v>
      </c>
      <c r="T3" s="340"/>
      <c r="U3" s="340"/>
      <c r="V3" s="340"/>
      <c r="W3" s="340"/>
      <c r="X3" s="340"/>
      <c r="Y3" s="340"/>
    </row>
    <row r="4">
      <c r="A4" s="160">
        <v>94.0</v>
      </c>
      <c r="B4" s="262" t="s">
        <v>7747</v>
      </c>
      <c r="C4" s="159" t="s">
        <v>7748</v>
      </c>
      <c r="D4" s="160" t="s">
        <v>6650</v>
      </c>
      <c r="E4" s="159" t="s">
        <v>7749</v>
      </c>
      <c r="F4" s="160" t="s">
        <v>7750</v>
      </c>
      <c r="G4" s="262">
        <v>9.925067445E9</v>
      </c>
      <c r="H4" s="262"/>
      <c r="I4" s="262"/>
      <c r="J4" s="262" t="s">
        <v>7751</v>
      </c>
      <c r="K4" s="159" t="s">
        <v>7752</v>
      </c>
      <c r="L4" s="160" t="s">
        <v>49</v>
      </c>
      <c r="M4" s="160" t="s">
        <v>1616</v>
      </c>
      <c r="N4" s="160" t="s">
        <v>28</v>
      </c>
      <c r="O4" s="160">
        <v>6660.0</v>
      </c>
      <c r="P4" s="160"/>
      <c r="Q4" s="407">
        <v>57.0</v>
      </c>
      <c r="R4" s="340">
        <f t="shared" si="2"/>
        <v>3796.2</v>
      </c>
      <c r="S4" s="340">
        <f t="shared" si="1"/>
        <v>3796.2</v>
      </c>
      <c r="T4" s="340"/>
      <c r="U4" s="340"/>
      <c r="V4" s="340"/>
      <c r="W4" s="340"/>
      <c r="X4" s="340"/>
      <c r="Y4" s="340"/>
    </row>
    <row r="5">
      <c r="A5" s="160">
        <v>96.0</v>
      </c>
      <c r="B5" s="262" t="s">
        <v>7747</v>
      </c>
      <c r="C5" s="159" t="s">
        <v>7753</v>
      </c>
      <c r="D5" s="160" t="s">
        <v>1395</v>
      </c>
      <c r="E5" s="159" t="s">
        <v>528</v>
      </c>
      <c r="F5" s="160" t="s">
        <v>7754</v>
      </c>
      <c r="G5" s="262">
        <v>6.35532659E9</v>
      </c>
      <c r="H5" s="262"/>
      <c r="I5" s="262">
        <v>3490.0</v>
      </c>
      <c r="J5" s="262" t="s">
        <v>7755</v>
      </c>
      <c r="K5" s="159" t="s">
        <v>116</v>
      </c>
      <c r="L5" s="160" t="s">
        <v>49</v>
      </c>
      <c r="M5" s="160" t="s">
        <v>1456</v>
      </c>
      <c r="N5" s="160" t="s">
        <v>28</v>
      </c>
      <c r="O5" s="160">
        <v>27178.0</v>
      </c>
      <c r="P5" s="160">
        <v>31101.0</v>
      </c>
      <c r="Q5" s="407">
        <v>51.0</v>
      </c>
      <c r="R5" s="340">
        <f t="shared" si="2"/>
        <v>13860.78</v>
      </c>
      <c r="S5" s="340">
        <f t="shared" si="1"/>
        <v>-17240.22</v>
      </c>
      <c r="T5" s="340"/>
      <c r="U5" s="340"/>
      <c r="V5" s="340"/>
      <c r="W5" s="340"/>
      <c r="X5" s="340"/>
      <c r="Y5" s="340"/>
    </row>
    <row r="6">
      <c r="A6" s="160">
        <v>98.0</v>
      </c>
      <c r="B6" s="262" t="s">
        <v>7747</v>
      </c>
      <c r="C6" s="159" t="s">
        <v>7756</v>
      </c>
      <c r="D6" s="160" t="s">
        <v>21</v>
      </c>
      <c r="E6" s="159">
        <v>4825.0</v>
      </c>
      <c r="F6" s="160" t="s">
        <v>7757</v>
      </c>
      <c r="G6" s="262">
        <v>9.979861378E9</v>
      </c>
      <c r="H6" s="262"/>
      <c r="I6" s="262">
        <v>47500.0</v>
      </c>
      <c r="J6" s="262" t="s">
        <v>7758</v>
      </c>
      <c r="K6" s="159" t="s">
        <v>48</v>
      </c>
      <c r="L6" s="160" t="s">
        <v>49</v>
      </c>
      <c r="M6" s="160" t="s">
        <v>7759</v>
      </c>
      <c r="N6" s="160" t="s">
        <v>28</v>
      </c>
      <c r="O6" s="160">
        <v>55544.0</v>
      </c>
      <c r="P6" s="160"/>
      <c r="Q6" s="407">
        <v>18.0</v>
      </c>
      <c r="R6" s="340">
        <f t="shared" si="2"/>
        <v>9997.92</v>
      </c>
      <c r="S6" s="340">
        <f t="shared" si="1"/>
        <v>9997.92</v>
      </c>
      <c r="T6" s="340"/>
      <c r="U6" s="340"/>
      <c r="V6" s="340"/>
      <c r="W6" s="340"/>
      <c r="X6" s="340"/>
      <c r="Y6" s="340"/>
    </row>
    <row r="7">
      <c r="A7" s="160">
        <v>99.0</v>
      </c>
      <c r="B7" s="262" t="s">
        <v>7747</v>
      </c>
      <c r="C7" s="159" t="s">
        <v>7760</v>
      </c>
      <c r="D7" s="160" t="s">
        <v>6650</v>
      </c>
      <c r="E7" s="159" t="s">
        <v>7761</v>
      </c>
      <c r="F7" s="160" t="s">
        <v>7762</v>
      </c>
      <c r="G7" s="262">
        <v>9.099377271E9</v>
      </c>
      <c r="H7" s="262"/>
      <c r="I7" s="262"/>
      <c r="J7" s="262" t="s">
        <v>7758</v>
      </c>
      <c r="K7" s="159" t="s">
        <v>7752</v>
      </c>
      <c r="L7" s="160" t="s">
        <v>49</v>
      </c>
      <c r="M7" s="160" t="s">
        <v>1616</v>
      </c>
      <c r="N7" s="160" t="s">
        <v>28</v>
      </c>
      <c r="O7" s="160">
        <v>7005.0</v>
      </c>
      <c r="P7" s="160"/>
      <c r="Q7" s="407">
        <v>57.0</v>
      </c>
      <c r="R7" s="340">
        <f t="shared" si="2"/>
        <v>3992.85</v>
      </c>
      <c r="S7" s="340">
        <f t="shared" si="1"/>
        <v>3992.85</v>
      </c>
      <c r="T7" s="340"/>
      <c r="U7" s="340"/>
      <c r="V7" s="340"/>
      <c r="W7" s="340"/>
      <c r="X7" s="340"/>
      <c r="Y7" s="340"/>
    </row>
    <row r="8">
      <c r="A8" s="160">
        <v>104.0</v>
      </c>
      <c r="B8" s="262" t="s">
        <v>7763</v>
      </c>
      <c r="C8" s="159" t="s">
        <v>7764</v>
      </c>
      <c r="D8" s="160" t="s">
        <v>6650</v>
      </c>
      <c r="E8" s="159" t="s">
        <v>7765</v>
      </c>
      <c r="F8" s="160" t="s">
        <v>7766</v>
      </c>
      <c r="G8" s="262">
        <v>9.979074341E9</v>
      </c>
      <c r="H8" s="262"/>
      <c r="I8" s="262">
        <v>990.0</v>
      </c>
      <c r="J8" s="262" t="s">
        <v>7767</v>
      </c>
      <c r="K8" s="159" t="s">
        <v>668</v>
      </c>
      <c r="L8" s="160" t="s">
        <v>49</v>
      </c>
      <c r="M8" s="160" t="s">
        <v>27</v>
      </c>
      <c r="N8" s="160" t="s">
        <v>28</v>
      </c>
      <c r="O8" s="160">
        <v>6189.0</v>
      </c>
      <c r="P8" s="160">
        <v>7035.0</v>
      </c>
      <c r="Q8" s="407">
        <v>51.0</v>
      </c>
      <c r="R8" s="340">
        <f t="shared" si="2"/>
        <v>3156.39</v>
      </c>
      <c r="S8" s="340">
        <f t="shared" si="1"/>
        <v>-3878.61</v>
      </c>
      <c r="T8" s="340"/>
      <c r="U8" s="340"/>
      <c r="V8" s="340"/>
      <c r="W8" s="340"/>
      <c r="X8" s="340"/>
      <c r="Y8" s="340"/>
    </row>
    <row r="9">
      <c r="A9" s="160">
        <v>105.0</v>
      </c>
      <c r="B9" s="262" t="s">
        <v>7763</v>
      </c>
      <c r="C9" s="159" t="s">
        <v>7768</v>
      </c>
      <c r="D9" s="160" t="s">
        <v>21</v>
      </c>
      <c r="E9" s="159" t="s">
        <v>7769</v>
      </c>
      <c r="F9" s="160" t="s">
        <v>7770</v>
      </c>
      <c r="G9" s="262">
        <v>8.200181106E9</v>
      </c>
      <c r="H9" s="262"/>
      <c r="I9" s="262">
        <v>7490.0</v>
      </c>
      <c r="J9" s="262" t="s">
        <v>7751</v>
      </c>
      <c r="K9" s="159" t="s">
        <v>116</v>
      </c>
      <c r="L9" s="160" t="s">
        <v>49</v>
      </c>
      <c r="M9" s="160" t="s">
        <v>27</v>
      </c>
      <c r="N9" s="160" t="s">
        <v>28</v>
      </c>
      <c r="O9" s="160">
        <v>20745.0</v>
      </c>
      <c r="P9" s="160">
        <v>23511.0</v>
      </c>
      <c r="Q9" s="407">
        <v>42.0</v>
      </c>
      <c r="R9" s="340">
        <f t="shared" si="2"/>
        <v>8712.9</v>
      </c>
      <c r="S9" s="340">
        <f t="shared" si="1"/>
        <v>-14798.1</v>
      </c>
      <c r="T9" s="340"/>
      <c r="U9" s="340"/>
      <c r="V9" s="340"/>
      <c r="W9" s="340"/>
      <c r="X9" s="340"/>
      <c r="Y9" s="340"/>
    </row>
    <row r="10">
      <c r="A10" s="160">
        <v>106.0</v>
      </c>
      <c r="B10" s="262" t="s">
        <v>7771</v>
      </c>
      <c r="C10" s="159" t="s">
        <v>7772</v>
      </c>
      <c r="D10" s="160" t="s">
        <v>966</v>
      </c>
      <c r="E10" s="159" t="s">
        <v>7773</v>
      </c>
      <c r="F10" s="160" t="s">
        <v>7774</v>
      </c>
      <c r="G10" s="262">
        <v>9.714204447E9</v>
      </c>
      <c r="H10" s="262"/>
      <c r="I10" s="262"/>
      <c r="J10" s="262" t="s">
        <v>7767</v>
      </c>
      <c r="K10" s="159" t="s">
        <v>7674</v>
      </c>
      <c r="L10" s="160" t="s">
        <v>26</v>
      </c>
      <c r="M10" s="160" t="s">
        <v>27</v>
      </c>
      <c r="N10" s="160" t="s">
        <v>28</v>
      </c>
      <c r="O10" s="160">
        <v>3796.0</v>
      </c>
      <c r="P10" s="160"/>
      <c r="Q10" s="407">
        <v>25.0</v>
      </c>
      <c r="R10" s="340">
        <f t="shared" si="2"/>
        <v>949</v>
      </c>
      <c r="S10" s="340">
        <f t="shared" si="1"/>
        <v>949</v>
      </c>
      <c r="T10" s="340"/>
      <c r="U10" s="340"/>
      <c r="V10" s="340"/>
      <c r="W10" s="340"/>
      <c r="X10" s="340"/>
      <c r="Y10" s="340"/>
    </row>
    <row r="11">
      <c r="A11" s="160">
        <v>107.0</v>
      </c>
      <c r="B11" s="262" t="s">
        <v>7771</v>
      </c>
      <c r="C11" s="159" t="s">
        <v>7775</v>
      </c>
      <c r="D11" s="160" t="s">
        <v>1395</v>
      </c>
      <c r="E11" s="159" t="s">
        <v>262</v>
      </c>
      <c r="F11" s="160" t="s">
        <v>7776</v>
      </c>
      <c r="G11" s="262">
        <v>9.624873389E9</v>
      </c>
      <c r="H11" s="262"/>
      <c r="I11" s="262">
        <v>1600.0</v>
      </c>
      <c r="J11" s="262" t="s">
        <v>7777</v>
      </c>
      <c r="K11" s="159" t="s">
        <v>116</v>
      </c>
      <c r="L11" s="160" t="s">
        <v>49</v>
      </c>
      <c r="M11" s="160" t="s">
        <v>27</v>
      </c>
      <c r="N11" s="160" t="s">
        <v>28</v>
      </c>
      <c r="O11" s="160">
        <v>17628.0</v>
      </c>
      <c r="P11" s="160">
        <v>19828.0</v>
      </c>
      <c r="Q11" s="407">
        <v>51.0</v>
      </c>
      <c r="R11" s="340">
        <f t="shared" si="2"/>
        <v>8990.28</v>
      </c>
      <c r="S11" s="340">
        <f t="shared" si="1"/>
        <v>-10837.72</v>
      </c>
      <c r="T11" s="340"/>
      <c r="U11" s="340"/>
      <c r="V11" s="340"/>
      <c r="W11" s="340"/>
      <c r="X11" s="340"/>
      <c r="Y11" s="340"/>
    </row>
    <row r="12">
      <c r="A12" s="160">
        <v>108.0</v>
      </c>
      <c r="B12" s="262" t="s">
        <v>7771</v>
      </c>
      <c r="C12" s="159" t="s">
        <v>7778</v>
      </c>
      <c r="D12" s="160" t="s">
        <v>21</v>
      </c>
      <c r="E12" s="159">
        <v>3118.0</v>
      </c>
      <c r="F12" s="160" t="s">
        <v>7779</v>
      </c>
      <c r="G12" s="262">
        <v>9.979078037E9</v>
      </c>
      <c r="H12" s="262"/>
      <c r="I12" s="262">
        <v>35000.0</v>
      </c>
      <c r="J12" s="262" t="s">
        <v>7767</v>
      </c>
      <c r="K12" s="159" t="s">
        <v>48</v>
      </c>
      <c r="L12" s="160" t="s">
        <v>49</v>
      </c>
      <c r="M12" s="160" t="s">
        <v>7780</v>
      </c>
      <c r="N12" s="160" t="s">
        <v>28</v>
      </c>
      <c r="O12" s="408">
        <v>48423.0</v>
      </c>
      <c r="P12" s="160"/>
      <c r="Q12" s="407">
        <v>20.5</v>
      </c>
      <c r="R12" s="407">
        <v>9885.0</v>
      </c>
      <c r="S12" s="340">
        <f t="shared" si="1"/>
        <v>9885</v>
      </c>
      <c r="T12" s="340"/>
      <c r="U12" s="340"/>
      <c r="V12" s="340"/>
      <c r="W12" s="340"/>
      <c r="X12" s="340"/>
      <c r="Y12" s="340"/>
    </row>
    <row r="13">
      <c r="A13" s="160">
        <v>109.0</v>
      </c>
      <c r="B13" s="262" t="s">
        <v>7771</v>
      </c>
      <c r="C13" s="159" t="s">
        <v>7781</v>
      </c>
      <c r="D13" s="160" t="s">
        <v>1395</v>
      </c>
      <c r="E13" s="159" t="s">
        <v>7782</v>
      </c>
      <c r="F13" s="160" t="s">
        <v>7783</v>
      </c>
      <c r="G13" s="262">
        <v>9.723958244E9</v>
      </c>
      <c r="H13" s="262"/>
      <c r="I13" s="262">
        <v>2500.0</v>
      </c>
      <c r="J13" s="262" t="s">
        <v>7767</v>
      </c>
      <c r="K13" s="159" t="s">
        <v>116</v>
      </c>
      <c r="L13" s="160" t="s">
        <v>49</v>
      </c>
      <c r="M13" s="160" t="s">
        <v>7759</v>
      </c>
      <c r="N13" s="160" t="s">
        <v>28</v>
      </c>
      <c r="O13" s="160">
        <v>18406.0</v>
      </c>
      <c r="P13" s="160">
        <v>20750.0</v>
      </c>
      <c r="Q13" s="407">
        <v>51.0</v>
      </c>
      <c r="R13" s="340">
        <f t="shared" ref="R13:R125" si="3">O13*Q13%</f>
        <v>9387.06</v>
      </c>
      <c r="S13" s="340">
        <f t="shared" si="1"/>
        <v>-11362.94</v>
      </c>
      <c r="T13" s="340"/>
      <c r="U13" s="340"/>
      <c r="V13" s="340"/>
      <c r="W13" s="340"/>
      <c r="X13" s="340"/>
      <c r="Y13" s="340"/>
    </row>
    <row r="14">
      <c r="A14" s="160">
        <v>111.0</v>
      </c>
      <c r="B14" s="262" t="s">
        <v>7771</v>
      </c>
      <c r="C14" s="159" t="s">
        <v>7784</v>
      </c>
      <c r="D14" s="160" t="s">
        <v>21</v>
      </c>
      <c r="E14" s="159">
        <v>3525.0</v>
      </c>
      <c r="F14" s="160" t="s">
        <v>7785</v>
      </c>
      <c r="G14" s="262">
        <v>9.712903202E9</v>
      </c>
      <c r="H14" s="262"/>
      <c r="I14" s="262">
        <v>35000.0</v>
      </c>
      <c r="J14" s="262" t="s">
        <v>7755</v>
      </c>
      <c r="K14" s="159" t="s">
        <v>48</v>
      </c>
      <c r="L14" s="160" t="s">
        <v>49</v>
      </c>
      <c r="M14" s="160" t="s">
        <v>1456</v>
      </c>
      <c r="N14" s="160" t="s">
        <v>28</v>
      </c>
      <c r="O14" s="160">
        <v>76254.0</v>
      </c>
      <c r="P14" s="160"/>
      <c r="Q14" s="407">
        <v>20.0</v>
      </c>
      <c r="R14" s="340">
        <f t="shared" si="3"/>
        <v>15250.8</v>
      </c>
      <c r="S14" s="340">
        <f t="shared" si="1"/>
        <v>15250.8</v>
      </c>
      <c r="T14" s="340"/>
      <c r="U14" s="340"/>
      <c r="V14" s="340"/>
      <c r="W14" s="340"/>
      <c r="X14" s="340"/>
      <c r="Y14" s="340"/>
    </row>
    <row r="15">
      <c r="A15" s="160">
        <v>112.0</v>
      </c>
      <c r="B15" s="262" t="s">
        <v>7771</v>
      </c>
      <c r="C15" s="409" t="s">
        <v>7786</v>
      </c>
      <c r="D15" s="160" t="s">
        <v>21</v>
      </c>
      <c r="E15" s="159">
        <v>3525.0</v>
      </c>
      <c r="F15" s="160" t="s">
        <v>7785</v>
      </c>
      <c r="G15" s="262">
        <v>9.712903202E9</v>
      </c>
      <c r="H15" s="262"/>
      <c r="I15" s="262">
        <v>35000.0</v>
      </c>
      <c r="J15" s="262" t="s">
        <v>7755</v>
      </c>
      <c r="K15" s="159" t="s">
        <v>48</v>
      </c>
      <c r="L15" s="160" t="s">
        <v>49</v>
      </c>
      <c r="M15" s="160" t="s">
        <v>1456</v>
      </c>
      <c r="N15" s="160" t="s">
        <v>28</v>
      </c>
      <c r="O15" s="160">
        <v>76254.0</v>
      </c>
      <c r="P15" s="160"/>
      <c r="Q15" s="407">
        <v>20.0</v>
      </c>
      <c r="R15" s="340">
        <f t="shared" si="3"/>
        <v>15250.8</v>
      </c>
      <c r="S15" s="340">
        <f t="shared" si="1"/>
        <v>15250.8</v>
      </c>
      <c r="T15" s="340"/>
      <c r="U15" s="340"/>
      <c r="V15" s="340"/>
      <c r="W15" s="340"/>
      <c r="X15" s="340"/>
      <c r="Y15" s="340"/>
    </row>
    <row r="16">
      <c r="A16" s="160">
        <v>113.0</v>
      </c>
      <c r="B16" s="262" t="s">
        <v>7771</v>
      </c>
      <c r="C16" s="159" t="s">
        <v>7787</v>
      </c>
      <c r="D16" s="160" t="s">
        <v>21</v>
      </c>
      <c r="E16" s="159">
        <v>3525.0</v>
      </c>
      <c r="F16" s="160" t="s">
        <v>7785</v>
      </c>
      <c r="G16" s="262">
        <v>9.712903202E9</v>
      </c>
      <c r="H16" s="262"/>
      <c r="I16" s="262">
        <v>35000.0</v>
      </c>
      <c r="J16" s="262" t="s">
        <v>7755</v>
      </c>
      <c r="K16" s="159" t="s">
        <v>48</v>
      </c>
      <c r="L16" s="160" t="s">
        <v>49</v>
      </c>
      <c r="M16" s="160" t="s">
        <v>1456</v>
      </c>
      <c r="N16" s="160" t="s">
        <v>28</v>
      </c>
      <c r="O16" s="160">
        <v>76254.0</v>
      </c>
      <c r="P16" s="160"/>
      <c r="Q16" s="407">
        <v>20.0</v>
      </c>
      <c r="R16" s="340">
        <f t="shared" si="3"/>
        <v>15250.8</v>
      </c>
      <c r="S16" s="340">
        <f t="shared" si="1"/>
        <v>15250.8</v>
      </c>
      <c r="T16" s="340"/>
      <c r="U16" s="340"/>
      <c r="V16" s="340"/>
      <c r="W16" s="340"/>
      <c r="X16" s="340"/>
      <c r="Y16" s="340"/>
    </row>
    <row r="17">
      <c r="A17" s="160">
        <v>119.0</v>
      </c>
      <c r="B17" s="262" t="s">
        <v>7788</v>
      </c>
      <c r="C17" s="159" t="s">
        <v>7789</v>
      </c>
      <c r="D17" s="160" t="s">
        <v>966</v>
      </c>
      <c r="E17" s="159" t="s">
        <v>3541</v>
      </c>
      <c r="F17" s="160" t="s">
        <v>7790</v>
      </c>
      <c r="G17" s="262">
        <v>9.825238101E9</v>
      </c>
      <c r="H17" s="262"/>
      <c r="I17" s="262"/>
      <c r="J17" s="262" t="s">
        <v>7791</v>
      </c>
      <c r="K17" s="159" t="s">
        <v>65</v>
      </c>
      <c r="L17" s="160" t="s">
        <v>26</v>
      </c>
      <c r="M17" s="160" t="s">
        <v>27</v>
      </c>
      <c r="N17" s="160" t="s">
        <v>28</v>
      </c>
      <c r="O17" s="160">
        <v>3416.0</v>
      </c>
      <c r="P17" s="160"/>
      <c r="Q17" s="407">
        <v>20.0</v>
      </c>
      <c r="R17" s="340">
        <f t="shared" si="3"/>
        <v>683.2</v>
      </c>
      <c r="S17" s="340">
        <f t="shared" si="1"/>
        <v>683.2</v>
      </c>
      <c r="T17" s="340"/>
      <c r="U17" s="340"/>
      <c r="V17" s="340"/>
      <c r="W17" s="340"/>
      <c r="X17" s="340"/>
      <c r="Y17" s="340"/>
    </row>
    <row r="18">
      <c r="A18" s="160">
        <v>120.0</v>
      </c>
      <c r="B18" s="262" t="s">
        <v>7788</v>
      </c>
      <c r="C18" s="159" t="s">
        <v>7792</v>
      </c>
      <c r="D18" s="160" t="s">
        <v>6650</v>
      </c>
      <c r="E18" s="159" t="s">
        <v>7793</v>
      </c>
      <c r="F18" s="160" t="s">
        <v>7794</v>
      </c>
      <c r="G18" s="262">
        <v>9.558583793E9</v>
      </c>
      <c r="H18" s="262"/>
      <c r="I18" s="262">
        <v>1250.0</v>
      </c>
      <c r="J18" s="262" t="s">
        <v>7795</v>
      </c>
      <c r="K18" s="159" t="s">
        <v>668</v>
      </c>
      <c r="L18" s="160" t="s">
        <v>49</v>
      </c>
      <c r="M18" s="160" t="s">
        <v>27</v>
      </c>
      <c r="N18" s="160" t="s">
        <v>28</v>
      </c>
      <c r="O18" s="160">
        <v>5512.0</v>
      </c>
      <c r="P18" s="160"/>
      <c r="Q18" s="407">
        <v>52.0</v>
      </c>
      <c r="R18" s="340">
        <f t="shared" si="3"/>
        <v>2866.24</v>
      </c>
      <c r="S18" s="340">
        <f t="shared" si="1"/>
        <v>2866.24</v>
      </c>
      <c r="T18" s="340"/>
      <c r="U18" s="340"/>
      <c r="V18" s="340"/>
      <c r="W18" s="340"/>
      <c r="X18" s="340"/>
      <c r="Y18" s="340"/>
    </row>
    <row r="19">
      <c r="A19" s="160">
        <v>121.0</v>
      </c>
      <c r="B19" s="262" t="s">
        <v>7788</v>
      </c>
      <c r="C19" s="159" t="s">
        <v>7796</v>
      </c>
      <c r="D19" s="160" t="s">
        <v>1395</v>
      </c>
      <c r="E19" s="159" t="s">
        <v>528</v>
      </c>
      <c r="F19" s="160" t="s">
        <v>7797</v>
      </c>
      <c r="G19" s="262" t="s">
        <v>7798</v>
      </c>
      <c r="H19" s="262"/>
      <c r="I19" s="262">
        <v>2700.0</v>
      </c>
      <c r="J19" s="262" t="s">
        <v>7795</v>
      </c>
      <c r="K19" s="159" t="s">
        <v>116</v>
      </c>
      <c r="L19" s="160" t="s">
        <v>49</v>
      </c>
      <c r="M19" s="160" t="s">
        <v>27</v>
      </c>
      <c r="N19" s="160" t="s">
        <v>28</v>
      </c>
      <c r="O19" s="160">
        <v>18010.0</v>
      </c>
      <c r="P19" s="160">
        <v>20282.0</v>
      </c>
      <c r="Q19" s="407">
        <v>51.0</v>
      </c>
      <c r="R19" s="340">
        <f t="shared" si="3"/>
        <v>9185.1</v>
      </c>
      <c r="S19" s="340">
        <f t="shared" si="1"/>
        <v>-11096.9</v>
      </c>
      <c r="T19" s="340"/>
      <c r="U19" s="340"/>
      <c r="V19" s="340"/>
      <c r="W19" s="340"/>
      <c r="X19" s="340"/>
      <c r="Y19" s="340"/>
    </row>
    <row r="20">
      <c r="A20" s="160">
        <v>122.0</v>
      </c>
      <c r="B20" s="262" t="s">
        <v>7788</v>
      </c>
      <c r="C20" s="159" t="s">
        <v>7799</v>
      </c>
      <c r="D20" s="160" t="s">
        <v>1395</v>
      </c>
      <c r="E20" s="159" t="s">
        <v>528</v>
      </c>
      <c r="F20" s="160" t="s">
        <v>7800</v>
      </c>
      <c r="G20" s="262" t="s">
        <v>7801</v>
      </c>
      <c r="H20" s="262"/>
      <c r="I20" s="262">
        <v>3425.0</v>
      </c>
      <c r="J20" s="262" t="s">
        <v>7795</v>
      </c>
      <c r="K20" s="159" t="s">
        <v>116</v>
      </c>
      <c r="L20" s="160" t="s">
        <v>49</v>
      </c>
      <c r="M20" s="160" t="s">
        <v>7780</v>
      </c>
      <c r="N20" s="160" t="s">
        <v>28</v>
      </c>
      <c r="O20" s="160">
        <v>27980.0</v>
      </c>
      <c r="P20" s="160">
        <v>32048.0</v>
      </c>
      <c r="Q20" s="407">
        <v>51.0</v>
      </c>
      <c r="R20" s="340">
        <f t="shared" si="3"/>
        <v>14269.8</v>
      </c>
      <c r="S20" s="340">
        <f t="shared" si="1"/>
        <v>-17778.2</v>
      </c>
      <c r="T20" s="340"/>
      <c r="U20" s="340"/>
      <c r="V20" s="340"/>
      <c r="W20" s="340"/>
      <c r="X20" s="340"/>
      <c r="Y20" s="340"/>
    </row>
    <row r="21">
      <c r="A21" s="160">
        <v>123.0</v>
      </c>
      <c r="B21" s="262" t="s">
        <v>7788</v>
      </c>
      <c r="C21" s="159" t="s">
        <v>7802</v>
      </c>
      <c r="D21" s="160" t="s">
        <v>1395</v>
      </c>
      <c r="E21" s="159" t="s">
        <v>528</v>
      </c>
      <c r="F21" s="160" t="s">
        <v>7803</v>
      </c>
      <c r="G21" s="262" t="s">
        <v>7804</v>
      </c>
      <c r="H21" s="262"/>
      <c r="I21" s="262">
        <v>2700.0</v>
      </c>
      <c r="J21" s="262" t="s">
        <v>7805</v>
      </c>
      <c r="K21" s="159" t="s">
        <v>116</v>
      </c>
      <c r="L21" s="160" t="s">
        <v>49</v>
      </c>
      <c r="M21" s="160" t="s">
        <v>3028</v>
      </c>
      <c r="N21" s="160" t="s">
        <v>28</v>
      </c>
      <c r="O21" s="160">
        <v>17529.0</v>
      </c>
      <c r="P21" s="160">
        <v>19715.0</v>
      </c>
      <c r="Q21" s="407">
        <v>51.0</v>
      </c>
      <c r="R21" s="340">
        <f t="shared" si="3"/>
        <v>8939.79</v>
      </c>
      <c r="S21" s="340">
        <f t="shared" si="1"/>
        <v>-10775.21</v>
      </c>
      <c r="T21" s="340"/>
      <c r="U21" s="340"/>
      <c r="V21" s="340"/>
      <c r="W21" s="340"/>
      <c r="X21" s="340"/>
      <c r="Y21" s="340"/>
    </row>
    <row r="22">
      <c r="A22" s="160">
        <v>124.0</v>
      </c>
      <c r="B22" s="262" t="s">
        <v>7788</v>
      </c>
      <c r="C22" s="159" t="s">
        <v>7806</v>
      </c>
      <c r="D22" s="160" t="s">
        <v>966</v>
      </c>
      <c r="E22" s="159" t="s">
        <v>7773</v>
      </c>
      <c r="F22" s="160" t="s">
        <v>7807</v>
      </c>
      <c r="G22" s="262" t="s">
        <v>7808</v>
      </c>
      <c r="H22" s="262"/>
      <c r="I22" s="262"/>
      <c r="J22" s="262" t="s">
        <v>7809</v>
      </c>
      <c r="K22" s="159" t="s">
        <v>7674</v>
      </c>
      <c r="L22" s="160" t="s">
        <v>26</v>
      </c>
      <c r="M22" s="160" t="s">
        <v>27</v>
      </c>
      <c r="N22" s="160" t="s">
        <v>28</v>
      </c>
      <c r="O22" s="160">
        <v>3796.0</v>
      </c>
      <c r="P22" s="160"/>
      <c r="Q22" s="407">
        <v>25.0</v>
      </c>
      <c r="R22" s="340">
        <f t="shared" si="3"/>
        <v>949</v>
      </c>
      <c r="S22" s="340">
        <f t="shared" si="1"/>
        <v>949</v>
      </c>
      <c r="T22" s="340"/>
      <c r="U22" s="340"/>
      <c r="V22" s="340"/>
      <c r="W22" s="340"/>
      <c r="X22" s="340"/>
      <c r="Y22" s="340"/>
    </row>
    <row r="23">
      <c r="A23" s="160">
        <v>125.0</v>
      </c>
      <c r="B23" s="262" t="s">
        <v>7810</v>
      </c>
      <c r="C23" s="159" t="s">
        <v>7811</v>
      </c>
      <c r="D23" s="160" t="s">
        <v>1395</v>
      </c>
      <c r="E23" s="159" t="s">
        <v>528</v>
      </c>
      <c r="F23" s="160" t="s">
        <v>7812</v>
      </c>
      <c r="G23" s="262" t="s">
        <v>7813</v>
      </c>
      <c r="H23" s="262"/>
      <c r="I23" s="262">
        <v>2700.0</v>
      </c>
      <c r="J23" s="262" t="s">
        <v>7795</v>
      </c>
      <c r="K23" s="159" t="s">
        <v>116</v>
      </c>
      <c r="L23" s="160" t="s">
        <v>49</v>
      </c>
      <c r="M23" s="160" t="s">
        <v>27</v>
      </c>
      <c r="N23" s="160" t="s">
        <v>28</v>
      </c>
      <c r="O23" s="160">
        <v>17355.0</v>
      </c>
      <c r="P23" s="160">
        <v>19509.0</v>
      </c>
      <c r="Q23" s="407">
        <v>51.0</v>
      </c>
      <c r="R23" s="340">
        <f t="shared" si="3"/>
        <v>8851.05</v>
      </c>
      <c r="S23" s="340">
        <f t="shared" si="1"/>
        <v>-10657.95</v>
      </c>
      <c r="T23" s="340"/>
      <c r="U23" s="340"/>
      <c r="V23" s="340"/>
      <c r="W23" s="340"/>
      <c r="X23" s="340"/>
      <c r="Y23" s="340"/>
    </row>
    <row r="24">
      <c r="A24" s="160">
        <v>126.0</v>
      </c>
      <c r="B24" s="262" t="s">
        <v>7810</v>
      </c>
      <c r="C24" s="159" t="s">
        <v>7814</v>
      </c>
      <c r="D24" s="160" t="s">
        <v>1395</v>
      </c>
      <c r="E24" s="159" t="s">
        <v>528</v>
      </c>
      <c r="F24" s="160" t="s">
        <v>7815</v>
      </c>
      <c r="G24" s="262" t="s">
        <v>7816</v>
      </c>
      <c r="H24" s="262"/>
      <c r="I24" s="262">
        <v>2735.0</v>
      </c>
      <c r="J24" s="261">
        <v>45301.0</v>
      </c>
      <c r="K24" s="159" t="s">
        <v>7752</v>
      </c>
      <c r="L24" s="160" t="s">
        <v>49</v>
      </c>
      <c r="M24" s="160" t="s">
        <v>27</v>
      </c>
      <c r="N24" s="160" t="s">
        <v>28</v>
      </c>
      <c r="O24" s="160">
        <v>18062.0</v>
      </c>
      <c r="P24" s="160">
        <v>20335.0</v>
      </c>
      <c r="Q24" s="407">
        <v>53.0</v>
      </c>
      <c r="R24" s="340">
        <f t="shared" si="3"/>
        <v>9572.86</v>
      </c>
      <c r="S24" s="340">
        <f t="shared" si="1"/>
        <v>-10762.14</v>
      </c>
      <c r="T24" s="340"/>
      <c r="U24" s="340"/>
      <c r="V24" s="340"/>
      <c r="W24" s="340"/>
      <c r="X24" s="340"/>
      <c r="Y24" s="340"/>
    </row>
    <row r="25">
      <c r="A25" s="160">
        <v>127.0</v>
      </c>
      <c r="B25" s="262" t="s">
        <v>7810</v>
      </c>
      <c r="C25" s="159" t="s">
        <v>7817</v>
      </c>
      <c r="D25" s="160" t="s">
        <v>1759</v>
      </c>
      <c r="E25" s="159" t="s">
        <v>7818</v>
      </c>
      <c r="F25" s="160" t="s">
        <v>7819</v>
      </c>
      <c r="G25" s="262"/>
      <c r="H25" s="262"/>
      <c r="I25" s="262"/>
      <c r="J25" s="262" t="s">
        <v>7755</v>
      </c>
      <c r="K25" s="159" t="s">
        <v>7752</v>
      </c>
      <c r="L25" s="160" t="s">
        <v>49</v>
      </c>
      <c r="M25" s="160" t="s">
        <v>27</v>
      </c>
      <c r="N25" s="160" t="s">
        <v>28</v>
      </c>
      <c r="O25" s="160">
        <v>6738.0</v>
      </c>
      <c r="P25" s="160">
        <v>7950.0</v>
      </c>
      <c r="Q25" s="407">
        <v>57.0</v>
      </c>
      <c r="R25" s="340">
        <f t="shared" si="3"/>
        <v>3840.66</v>
      </c>
      <c r="S25" s="340">
        <f t="shared" si="1"/>
        <v>-4109.34</v>
      </c>
      <c r="T25" s="340"/>
      <c r="U25" s="340"/>
      <c r="V25" s="340"/>
      <c r="W25" s="340"/>
      <c r="X25" s="340"/>
      <c r="Y25" s="340"/>
    </row>
    <row r="26">
      <c r="A26" s="160">
        <v>128.0</v>
      </c>
      <c r="B26" s="262" t="s">
        <v>7810</v>
      </c>
      <c r="C26" s="159" t="s">
        <v>5054</v>
      </c>
      <c r="D26" s="160" t="s">
        <v>21</v>
      </c>
      <c r="E26" s="159">
        <v>2514.0</v>
      </c>
      <c r="F26" s="160" t="s">
        <v>7820</v>
      </c>
      <c r="G26" s="262" t="s">
        <v>1951</v>
      </c>
      <c r="H26" s="262"/>
      <c r="I26" s="262">
        <v>28000.0</v>
      </c>
      <c r="J26" s="262" t="s">
        <v>7795</v>
      </c>
      <c r="K26" s="159" t="s">
        <v>668</v>
      </c>
      <c r="L26" s="160" t="s">
        <v>26</v>
      </c>
      <c r="M26" s="160" t="s">
        <v>27</v>
      </c>
      <c r="N26" s="160" t="s">
        <v>28</v>
      </c>
      <c r="O26" s="160">
        <v>44050.0</v>
      </c>
      <c r="P26" s="160"/>
      <c r="Q26" s="407">
        <v>41.0</v>
      </c>
      <c r="R26" s="340">
        <f t="shared" si="3"/>
        <v>18060.5</v>
      </c>
      <c r="S26" s="340">
        <f t="shared" si="1"/>
        <v>18060.5</v>
      </c>
      <c r="T26" s="340"/>
      <c r="U26" s="340"/>
      <c r="V26" s="340"/>
      <c r="W26" s="340"/>
      <c r="X26" s="340"/>
      <c r="Y26" s="340"/>
    </row>
    <row r="27">
      <c r="A27" s="160">
        <v>129.0</v>
      </c>
      <c r="B27" s="262" t="s">
        <v>7810</v>
      </c>
      <c r="C27" s="159" t="s">
        <v>7821</v>
      </c>
      <c r="D27" s="160" t="s">
        <v>21</v>
      </c>
      <c r="E27" s="159">
        <v>2516.0</v>
      </c>
      <c r="F27" s="160" t="s">
        <v>7822</v>
      </c>
      <c r="G27" s="262" t="s">
        <v>1933</v>
      </c>
      <c r="H27" s="262"/>
      <c r="I27" s="262">
        <v>28000.0</v>
      </c>
      <c r="J27" s="262" t="s">
        <v>7755</v>
      </c>
      <c r="K27" s="159" t="s">
        <v>7752</v>
      </c>
      <c r="L27" s="160" t="s">
        <v>49</v>
      </c>
      <c r="M27" s="160" t="s">
        <v>7780</v>
      </c>
      <c r="N27" s="160" t="s">
        <v>28</v>
      </c>
      <c r="O27" s="160">
        <v>50074.0</v>
      </c>
      <c r="P27" s="160"/>
      <c r="Q27" s="407">
        <v>22.0</v>
      </c>
      <c r="R27" s="340">
        <f t="shared" si="3"/>
        <v>11016.28</v>
      </c>
      <c r="S27" s="340">
        <f t="shared" si="1"/>
        <v>11016.28</v>
      </c>
      <c r="T27" s="340"/>
      <c r="U27" s="340"/>
      <c r="V27" s="340"/>
      <c r="W27" s="340"/>
      <c r="X27" s="340"/>
      <c r="Y27" s="340"/>
    </row>
    <row r="28">
      <c r="A28" s="160">
        <v>130.0</v>
      </c>
      <c r="B28" s="262" t="s">
        <v>7810</v>
      </c>
      <c r="C28" s="159" t="s">
        <v>7823</v>
      </c>
      <c r="D28" s="160" t="s">
        <v>1395</v>
      </c>
      <c r="E28" s="159" t="s">
        <v>528</v>
      </c>
      <c r="F28" s="160" t="s">
        <v>7824</v>
      </c>
      <c r="G28" s="262">
        <v>9.09914289E9</v>
      </c>
      <c r="H28" s="262"/>
      <c r="I28" s="262">
        <v>3490.0</v>
      </c>
      <c r="J28" s="262" t="s">
        <v>7795</v>
      </c>
      <c r="K28" s="159" t="s">
        <v>116</v>
      </c>
      <c r="L28" s="160" t="s">
        <v>49</v>
      </c>
      <c r="M28" s="160" t="s">
        <v>1456</v>
      </c>
      <c r="N28" s="160" t="s">
        <v>28</v>
      </c>
      <c r="O28" s="160">
        <v>27178.0</v>
      </c>
      <c r="P28" s="160">
        <v>31101.0</v>
      </c>
      <c r="Q28" s="407">
        <v>51.0</v>
      </c>
      <c r="R28" s="340">
        <f t="shared" si="3"/>
        <v>13860.78</v>
      </c>
      <c r="S28" s="340">
        <f t="shared" si="1"/>
        <v>-17240.22</v>
      </c>
      <c r="T28" s="340"/>
      <c r="U28" s="340"/>
      <c r="V28" s="340"/>
      <c r="W28" s="340"/>
      <c r="X28" s="340"/>
      <c r="Y28" s="340"/>
    </row>
    <row r="29">
      <c r="A29" s="160">
        <v>131.0</v>
      </c>
      <c r="B29" s="262" t="s">
        <v>7825</v>
      </c>
      <c r="C29" s="159" t="s">
        <v>7826</v>
      </c>
      <c r="D29" s="160" t="s">
        <v>21</v>
      </c>
      <c r="E29" s="159">
        <v>3718.0</v>
      </c>
      <c r="F29" s="160" t="s">
        <v>7827</v>
      </c>
      <c r="G29" s="262" t="s">
        <v>7828</v>
      </c>
      <c r="H29" s="262"/>
      <c r="I29" s="262">
        <v>42000.0</v>
      </c>
      <c r="J29" s="262" t="s">
        <v>7777</v>
      </c>
      <c r="K29" s="159" t="s">
        <v>70</v>
      </c>
      <c r="L29" s="160" t="s">
        <v>49</v>
      </c>
      <c r="M29" s="160" t="s">
        <v>27</v>
      </c>
      <c r="N29" s="160" t="s">
        <v>28</v>
      </c>
      <c r="O29" s="160">
        <v>47048.0</v>
      </c>
      <c r="P29" s="160"/>
      <c r="Q29" s="407">
        <v>23.0</v>
      </c>
      <c r="R29" s="340">
        <f t="shared" si="3"/>
        <v>10821.04</v>
      </c>
      <c r="S29" s="340">
        <f t="shared" si="1"/>
        <v>10821.04</v>
      </c>
      <c r="T29" s="340"/>
      <c r="U29" s="340"/>
      <c r="V29" s="340"/>
      <c r="W29" s="340"/>
      <c r="X29" s="340"/>
      <c r="Y29" s="340"/>
    </row>
    <row r="30">
      <c r="A30" s="160">
        <v>132.0</v>
      </c>
      <c r="B30" s="262" t="s">
        <v>7829</v>
      </c>
      <c r="C30" s="159" t="s">
        <v>5063</v>
      </c>
      <c r="D30" s="160" t="s">
        <v>1395</v>
      </c>
      <c r="E30" s="159" t="s">
        <v>528</v>
      </c>
      <c r="F30" s="160" t="s">
        <v>7830</v>
      </c>
      <c r="G30" s="262" t="s">
        <v>5067</v>
      </c>
      <c r="H30" s="262" t="s">
        <v>7831</v>
      </c>
      <c r="I30" s="262">
        <v>2735.0</v>
      </c>
      <c r="J30" s="262" t="s">
        <v>7832</v>
      </c>
      <c r="K30" s="159" t="s">
        <v>116</v>
      </c>
      <c r="L30" s="160" t="s">
        <v>49</v>
      </c>
      <c r="M30" s="160" t="s">
        <v>27</v>
      </c>
      <c r="N30" s="160" t="s">
        <v>28</v>
      </c>
      <c r="O30" s="160">
        <v>17975.0</v>
      </c>
      <c r="P30" s="160">
        <v>20240.0</v>
      </c>
      <c r="Q30" s="407">
        <v>51.0</v>
      </c>
      <c r="R30" s="340">
        <f t="shared" si="3"/>
        <v>9167.25</v>
      </c>
      <c r="S30" s="340">
        <f t="shared" si="1"/>
        <v>-11072.75</v>
      </c>
      <c r="T30" s="340"/>
      <c r="U30" s="340"/>
      <c r="V30" s="340"/>
      <c r="W30" s="340"/>
      <c r="X30" s="340"/>
      <c r="Y30" s="340"/>
    </row>
    <row r="31">
      <c r="A31" s="160">
        <v>133.0</v>
      </c>
      <c r="B31" s="262" t="s">
        <v>7829</v>
      </c>
      <c r="C31" s="159" t="s">
        <v>5025</v>
      </c>
      <c r="D31" s="160" t="s">
        <v>75</v>
      </c>
      <c r="E31" s="159" t="s">
        <v>7833</v>
      </c>
      <c r="F31" s="160" t="s">
        <v>7834</v>
      </c>
      <c r="G31" s="262" t="s">
        <v>7835</v>
      </c>
      <c r="H31" s="262"/>
      <c r="I31" s="262">
        <v>1020.0</v>
      </c>
      <c r="J31" s="262" t="s">
        <v>7836</v>
      </c>
      <c r="K31" s="159" t="s">
        <v>668</v>
      </c>
      <c r="L31" s="160" t="s">
        <v>49</v>
      </c>
      <c r="M31" s="160" t="s">
        <v>1616</v>
      </c>
      <c r="N31" s="160" t="s">
        <v>28</v>
      </c>
      <c r="O31" s="160">
        <v>5206.0</v>
      </c>
      <c r="P31" s="160"/>
      <c r="Q31" s="407">
        <v>52.0</v>
      </c>
      <c r="R31" s="340">
        <f t="shared" si="3"/>
        <v>2707.12</v>
      </c>
      <c r="S31" s="340">
        <f t="shared" si="1"/>
        <v>2707.12</v>
      </c>
      <c r="T31" s="340"/>
      <c r="U31" s="340"/>
      <c r="V31" s="340"/>
      <c r="W31" s="340"/>
      <c r="X31" s="340"/>
      <c r="Y31" s="340"/>
    </row>
    <row r="32">
      <c r="A32" s="160">
        <v>134.0</v>
      </c>
      <c r="B32" s="261">
        <v>44936.0</v>
      </c>
      <c r="C32" s="159" t="s">
        <v>7837</v>
      </c>
      <c r="D32" s="160" t="s">
        <v>1759</v>
      </c>
      <c r="E32" s="159" t="s">
        <v>7838</v>
      </c>
      <c r="F32" s="160" t="s">
        <v>7839</v>
      </c>
      <c r="G32" s="262" t="s">
        <v>7840</v>
      </c>
      <c r="H32" s="262"/>
      <c r="I32" s="262"/>
      <c r="J32" s="262" t="s">
        <v>7832</v>
      </c>
      <c r="K32" s="159" t="s">
        <v>7752</v>
      </c>
      <c r="L32" s="160" t="s">
        <v>49</v>
      </c>
      <c r="M32" s="160" t="s">
        <v>27</v>
      </c>
      <c r="N32" s="160" t="s">
        <v>28</v>
      </c>
      <c r="O32" s="160">
        <v>7067.0</v>
      </c>
      <c r="P32" s="160"/>
      <c r="Q32" s="407">
        <v>57.0</v>
      </c>
      <c r="R32" s="340">
        <f t="shared" si="3"/>
        <v>4028.19</v>
      </c>
      <c r="S32" s="340">
        <f t="shared" si="1"/>
        <v>4028.19</v>
      </c>
      <c r="T32" s="340"/>
      <c r="U32" s="340"/>
      <c r="V32" s="340"/>
      <c r="W32" s="340"/>
      <c r="X32" s="340"/>
      <c r="Y32" s="340"/>
    </row>
    <row r="33">
      <c r="A33" s="160">
        <v>135.0</v>
      </c>
      <c r="B33" s="261">
        <v>44936.0</v>
      </c>
      <c r="C33" s="159" t="s">
        <v>7841</v>
      </c>
      <c r="D33" s="160" t="s">
        <v>1395</v>
      </c>
      <c r="E33" s="159" t="s">
        <v>528</v>
      </c>
      <c r="F33" s="160" t="s">
        <v>7842</v>
      </c>
      <c r="G33" s="262">
        <v>8.488956134E9</v>
      </c>
      <c r="H33" s="262"/>
      <c r="I33" s="262">
        <v>2700.0</v>
      </c>
      <c r="J33" s="261">
        <v>45301.0</v>
      </c>
      <c r="K33" s="159" t="s">
        <v>116</v>
      </c>
      <c r="L33" s="160" t="s">
        <v>49</v>
      </c>
      <c r="M33" s="160" t="s">
        <v>27</v>
      </c>
      <c r="N33" s="160" t="s">
        <v>28</v>
      </c>
      <c r="O33" s="160">
        <v>17797.0</v>
      </c>
      <c r="P33" s="160"/>
      <c r="Q33" s="408">
        <v>51.0</v>
      </c>
      <c r="R33" s="340">
        <f t="shared" si="3"/>
        <v>9076.47</v>
      </c>
      <c r="S33" s="340">
        <f t="shared" si="1"/>
        <v>9076.47</v>
      </c>
      <c r="T33" s="340"/>
      <c r="U33" s="340"/>
      <c r="V33" s="340"/>
      <c r="W33" s="340"/>
      <c r="X33" s="340"/>
      <c r="Y33" s="340"/>
    </row>
    <row r="34">
      <c r="A34" s="160">
        <v>136.0</v>
      </c>
      <c r="B34" s="261">
        <v>44936.0</v>
      </c>
      <c r="C34" s="159" t="s">
        <v>7843</v>
      </c>
      <c r="D34" s="160" t="s">
        <v>1395</v>
      </c>
      <c r="E34" s="159" t="s">
        <v>528</v>
      </c>
      <c r="F34" s="160" t="s">
        <v>7844</v>
      </c>
      <c r="G34" s="262">
        <v>9.016223758E9</v>
      </c>
      <c r="H34" s="262"/>
      <c r="I34" s="262">
        <v>2775.0</v>
      </c>
      <c r="J34" s="261">
        <v>45301.0</v>
      </c>
      <c r="K34" s="159" t="s">
        <v>116</v>
      </c>
      <c r="L34" s="160" t="s">
        <v>49</v>
      </c>
      <c r="M34" s="160" t="s">
        <v>1456</v>
      </c>
      <c r="N34" s="160" t="s">
        <v>28</v>
      </c>
      <c r="O34" s="160">
        <v>25853.0</v>
      </c>
      <c r="P34" s="160">
        <v>29537.0</v>
      </c>
      <c r="Q34" s="408">
        <v>51.0</v>
      </c>
      <c r="R34" s="340">
        <f t="shared" si="3"/>
        <v>13185.03</v>
      </c>
      <c r="S34" s="340">
        <f t="shared" si="1"/>
        <v>-16351.97</v>
      </c>
      <c r="T34" s="340"/>
      <c r="U34" s="340"/>
      <c r="V34" s="340"/>
      <c r="W34" s="340"/>
      <c r="X34" s="340"/>
      <c r="Y34" s="340"/>
    </row>
    <row r="35">
      <c r="A35" s="160">
        <v>137.0</v>
      </c>
      <c r="B35" s="261">
        <v>44995.0</v>
      </c>
      <c r="C35" s="159" t="s">
        <v>7845</v>
      </c>
      <c r="D35" s="160" t="s">
        <v>1395</v>
      </c>
      <c r="E35" s="159" t="s">
        <v>4044</v>
      </c>
      <c r="F35" s="160" t="s">
        <v>7846</v>
      </c>
      <c r="G35" s="262">
        <v>8.000227996E9</v>
      </c>
      <c r="H35" s="262"/>
      <c r="I35" s="262">
        <v>2100.0</v>
      </c>
      <c r="J35" s="261">
        <v>45392.0</v>
      </c>
      <c r="K35" s="159" t="s">
        <v>70</v>
      </c>
      <c r="L35" s="160" t="s">
        <v>49</v>
      </c>
      <c r="M35" s="160" t="s">
        <v>27</v>
      </c>
      <c r="N35" s="160" t="s">
        <v>28</v>
      </c>
      <c r="O35" s="160">
        <v>17114.0</v>
      </c>
      <c r="P35" s="160"/>
      <c r="Q35" s="408">
        <v>55.0</v>
      </c>
      <c r="R35" s="340">
        <f t="shared" si="3"/>
        <v>9412.7</v>
      </c>
      <c r="S35" s="340">
        <f t="shared" si="1"/>
        <v>9412.7</v>
      </c>
      <c r="T35" s="340"/>
      <c r="U35" s="340"/>
      <c r="V35" s="340"/>
      <c r="W35" s="340"/>
      <c r="X35" s="340"/>
      <c r="Y35" s="340"/>
    </row>
    <row r="36">
      <c r="A36" s="160">
        <v>138.0</v>
      </c>
      <c r="B36" s="261">
        <v>44995.0</v>
      </c>
      <c r="C36" s="159" t="s">
        <v>7847</v>
      </c>
      <c r="D36" s="160" t="s">
        <v>1395</v>
      </c>
      <c r="E36" s="159" t="s">
        <v>528</v>
      </c>
      <c r="F36" s="160" t="s">
        <v>7848</v>
      </c>
      <c r="G36" s="262">
        <v>9.824953588E9</v>
      </c>
      <c r="H36" s="262"/>
      <c r="I36" s="262">
        <v>2710.0</v>
      </c>
      <c r="J36" s="261">
        <v>45332.0</v>
      </c>
      <c r="K36" s="159" t="s">
        <v>116</v>
      </c>
      <c r="L36" s="160" t="s">
        <v>49</v>
      </c>
      <c r="M36" s="160" t="s">
        <v>7780</v>
      </c>
      <c r="N36" s="160" t="s">
        <v>28</v>
      </c>
      <c r="O36" s="160">
        <v>28511.0</v>
      </c>
      <c r="P36" s="160">
        <v>32675.0</v>
      </c>
      <c r="Q36" s="408">
        <v>51.0</v>
      </c>
      <c r="R36" s="340">
        <f t="shared" si="3"/>
        <v>14540.61</v>
      </c>
      <c r="S36" s="340">
        <f t="shared" si="1"/>
        <v>-18134.39</v>
      </c>
      <c r="T36" s="340"/>
      <c r="U36" s="340"/>
      <c r="V36" s="340"/>
      <c r="W36" s="340"/>
      <c r="X36" s="340"/>
      <c r="Y36" s="340"/>
    </row>
    <row r="37">
      <c r="A37" s="160">
        <v>139.0</v>
      </c>
      <c r="B37" s="261">
        <v>44995.0</v>
      </c>
      <c r="C37" s="159" t="s">
        <v>7849</v>
      </c>
      <c r="D37" s="160" t="s">
        <v>1759</v>
      </c>
      <c r="E37" s="159" t="s">
        <v>7761</v>
      </c>
      <c r="F37" s="160" t="s">
        <v>7850</v>
      </c>
      <c r="G37" s="262">
        <v>6.355886716E9</v>
      </c>
      <c r="H37" s="262"/>
      <c r="I37" s="262"/>
      <c r="J37" s="261">
        <v>45453.0</v>
      </c>
      <c r="K37" s="159" t="s">
        <v>7752</v>
      </c>
      <c r="L37" s="160" t="s">
        <v>49</v>
      </c>
      <c r="M37" s="160" t="s">
        <v>1616</v>
      </c>
      <c r="N37" s="160" t="s">
        <v>28</v>
      </c>
      <c r="O37" s="160">
        <v>7012.0</v>
      </c>
      <c r="P37" s="160"/>
      <c r="Q37" s="408">
        <v>57.0</v>
      </c>
      <c r="R37" s="340">
        <f t="shared" si="3"/>
        <v>3996.84</v>
      </c>
      <c r="S37" s="340">
        <f t="shared" si="1"/>
        <v>3996.84</v>
      </c>
      <c r="T37" s="340"/>
      <c r="U37" s="340"/>
      <c r="V37" s="340"/>
      <c r="W37" s="340"/>
      <c r="X37" s="340"/>
      <c r="Y37" s="340"/>
    </row>
    <row r="38">
      <c r="A38" s="160">
        <v>140.0</v>
      </c>
      <c r="B38" s="261">
        <v>44995.0</v>
      </c>
      <c r="C38" s="159" t="s">
        <v>7851</v>
      </c>
      <c r="D38" s="160" t="s">
        <v>1759</v>
      </c>
      <c r="E38" s="159" t="s">
        <v>7761</v>
      </c>
      <c r="F38" s="160" t="s">
        <v>7852</v>
      </c>
      <c r="G38" s="262">
        <v>9.77301785E9</v>
      </c>
      <c r="H38" s="262"/>
      <c r="I38" s="262"/>
      <c r="J38" s="261">
        <v>45422.0</v>
      </c>
      <c r="K38" s="159" t="s">
        <v>7752</v>
      </c>
      <c r="L38" s="160" t="s">
        <v>49</v>
      </c>
      <c r="M38" s="160" t="s">
        <v>27</v>
      </c>
      <c r="N38" s="160" t="s">
        <v>28</v>
      </c>
      <c r="O38" s="160">
        <v>6775.0</v>
      </c>
      <c r="P38" s="160"/>
      <c r="Q38" s="408">
        <v>57.0</v>
      </c>
      <c r="R38" s="340">
        <f t="shared" si="3"/>
        <v>3861.75</v>
      </c>
      <c r="S38" s="340">
        <f t="shared" si="1"/>
        <v>3861.75</v>
      </c>
      <c r="T38" s="340"/>
      <c r="U38" s="340"/>
      <c r="V38" s="340"/>
      <c r="W38" s="340"/>
      <c r="X38" s="340"/>
      <c r="Y38" s="340"/>
    </row>
    <row r="39">
      <c r="A39" s="410">
        <v>141.0</v>
      </c>
      <c r="B39" s="411">
        <v>45026.0</v>
      </c>
      <c r="C39" s="412" t="s">
        <v>7853</v>
      </c>
      <c r="D39" s="410" t="s">
        <v>1395</v>
      </c>
      <c r="E39" s="412" t="s">
        <v>528</v>
      </c>
      <c r="F39" s="410" t="s">
        <v>7854</v>
      </c>
      <c r="G39" s="413" t="s">
        <v>7855</v>
      </c>
      <c r="H39" s="413"/>
      <c r="I39" s="413">
        <v>3425.0</v>
      </c>
      <c r="J39" s="411">
        <v>45361.0</v>
      </c>
      <c r="K39" s="412" t="s">
        <v>116</v>
      </c>
      <c r="L39" s="410" t="s">
        <v>49</v>
      </c>
      <c r="M39" s="410" t="s">
        <v>27</v>
      </c>
      <c r="N39" s="410" t="s">
        <v>28</v>
      </c>
      <c r="O39" s="414">
        <v>18514.0</v>
      </c>
      <c r="P39" s="414">
        <v>20878.0</v>
      </c>
      <c r="Q39" s="415">
        <v>51.0</v>
      </c>
      <c r="R39" s="416">
        <f t="shared" si="3"/>
        <v>9442.14</v>
      </c>
      <c r="S39" s="417">
        <f t="shared" si="1"/>
        <v>-11435.86</v>
      </c>
      <c r="T39" s="416"/>
      <c r="U39" s="416"/>
      <c r="V39" s="416"/>
      <c r="W39" s="416"/>
      <c r="X39" s="416"/>
      <c r="Y39" s="416"/>
    </row>
    <row r="40">
      <c r="A40" s="160">
        <v>142.0</v>
      </c>
      <c r="B40" s="261">
        <v>45026.0</v>
      </c>
      <c r="C40" s="159" t="s">
        <v>7856</v>
      </c>
      <c r="D40" s="160" t="s">
        <v>1395</v>
      </c>
      <c r="E40" s="159" t="s">
        <v>528</v>
      </c>
      <c r="F40" s="160" t="s">
        <v>7857</v>
      </c>
      <c r="G40" s="262" t="s">
        <v>7858</v>
      </c>
      <c r="H40" s="262"/>
      <c r="I40" s="262">
        <v>3425.0</v>
      </c>
      <c r="J40" s="261">
        <v>45453.0</v>
      </c>
      <c r="K40" s="159" t="s">
        <v>116</v>
      </c>
      <c r="L40" s="160" t="s">
        <v>49</v>
      </c>
      <c r="M40" s="160" t="s">
        <v>3028</v>
      </c>
      <c r="N40" s="160" t="s">
        <v>28</v>
      </c>
      <c r="O40" s="418">
        <v>19948.0</v>
      </c>
      <c r="P40" s="418"/>
      <c r="Q40" s="407">
        <v>51.0</v>
      </c>
      <c r="R40" s="340">
        <f t="shared" si="3"/>
        <v>10173.48</v>
      </c>
      <c r="S40" s="419">
        <f t="shared" si="1"/>
        <v>10173.48</v>
      </c>
      <c r="T40" s="340"/>
      <c r="U40" s="340"/>
      <c r="V40" s="340"/>
      <c r="W40" s="340"/>
      <c r="X40" s="340"/>
      <c r="Y40" s="340"/>
    </row>
    <row r="41">
      <c r="A41" s="160">
        <v>143.0</v>
      </c>
      <c r="B41" s="261">
        <v>45026.0</v>
      </c>
      <c r="C41" s="159" t="s">
        <v>5114</v>
      </c>
      <c r="D41" s="160" t="s">
        <v>966</v>
      </c>
      <c r="E41" s="159" t="s">
        <v>3541</v>
      </c>
      <c r="F41" s="160" t="s">
        <v>5117</v>
      </c>
      <c r="G41" s="262">
        <v>9.978762415E9</v>
      </c>
      <c r="H41" s="262"/>
      <c r="I41" s="262"/>
      <c r="J41" s="261">
        <v>45422.0</v>
      </c>
      <c r="K41" s="159" t="s">
        <v>65</v>
      </c>
      <c r="L41" s="160" t="s">
        <v>26</v>
      </c>
      <c r="M41" s="160" t="s">
        <v>27</v>
      </c>
      <c r="N41" s="160" t="s">
        <v>28</v>
      </c>
      <c r="O41" s="160">
        <v>4047.0</v>
      </c>
      <c r="P41" s="160"/>
      <c r="Q41" s="407">
        <v>25.0</v>
      </c>
      <c r="R41" s="340">
        <f t="shared" si="3"/>
        <v>1011.75</v>
      </c>
      <c r="S41" s="340">
        <f t="shared" si="1"/>
        <v>1011.75</v>
      </c>
      <c r="T41" s="340"/>
      <c r="U41" s="340"/>
      <c r="V41" s="340"/>
      <c r="W41" s="340"/>
      <c r="X41" s="340"/>
      <c r="Y41" s="340"/>
    </row>
    <row r="42">
      <c r="A42" s="160">
        <v>144.0</v>
      </c>
      <c r="B42" s="261">
        <v>45026.0</v>
      </c>
      <c r="C42" s="159" t="s">
        <v>7859</v>
      </c>
      <c r="D42" s="160" t="s">
        <v>966</v>
      </c>
      <c r="E42" s="159" t="s">
        <v>7860</v>
      </c>
      <c r="F42" s="160" t="s">
        <v>7861</v>
      </c>
      <c r="G42" s="262" t="s">
        <v>7862</v>
      </c>
      <c r="H42" s="262"/>
      <c r="I42" s="262"/>
      <c r="J42" s="261">
        <v>45422.0</v>
      </c>
      <c r="K42" s="159" t="s">
        <v>7642</v>
      </c>
      <c r="L42" s="160" t="s">
        <v>26</v>
      </c>
      <c r="M42" s="160" t="s">
        <v>27</v>
      </c>
      <c r="N42" s="160" t="s">
        <v>28</v>
      </c>
      <c r="O42" s="408">
        <v>3796.0</v>
      </c>
      <c r="P42" s="160"/>
      <c r="Q42" s="407">
        <v>25.0</v>
      </c>
      <c r="R42" s="340">
        <f t="shared" si="3"/>
        <v>949</v>
      </c>
      <c r="S42" s="340">
        <f t="shared" si="1"/>
        <v>949</v>
      </c>
      <c r="T42" s="340"/>
      <c r="U42" s="340"/>
      <c r="V42" s="340"/>
      <c r="W42" s="340"/>
      <c r="X42" s="340"/>
      <c r="Y42" s="340"/>
    </row>
    <row r="43">
      <c r="A43" s="160">
        <v>145.0</v>
      </c>
      <c r="B43" s="261">
        <v>45026.0</v>
      </c>
      <c r="C43" s="159" t="s">
        <v>7863</v>
      </c>
      <c r="D43" s="160" t="s">
        <v>21</v>
      </c>
      <c r="E43" s="159" t="s">
        <v>7864</v>
      </c>
      <c r="F43" s="160" t="s">
        <v>7865</v>
      </c>
      <c r="G43" s="262" t="s">
        <v>2361</v>
      </c>
      <c r="H43" s="262"/>
      <c r="I43" s="262">
        <v>42000.0</v>
      </c>
      <c r="J43" s="261">
        <v>45334.0</v>
      </c>
      <c r="K43" s="159" t="s">
        <v>70</v>
      </c>
      <c r="L43" s="160" t="s">
        <v>49</v>
      </c>
      <c r="M43" s="160" t="s">
        <v>27</v>
      </c>
      <c r="N43" s="160" t="s">
        <v>28</v>
      </c>
      <c r="O43" s="408">
        <v>49076.0</v>
      </c>
      <c r="P43" s="160"/>
      <c r="Q43" s="407">
        <v>25.0</v>
      </c>
      <c r="R43" s="340">
        <f t="shared" si="3"/>
        <v>12269</v>
      </c>
      <c r="S43" s="340">
        <f t="shared" si="1"/>
        <v>12269</v>
      </c>
      <c r="T43" s="340"/>
      <c r="U43" s="340"/>
      <c r="V43" s="340"/>
      <c r="W43" s="340"/>
      <c r="X43" s="340"/>
      <c r="Y43" s="340"/>
    </row>
    <row r="44">
      <c r="A44" s="160">
        <v>146.0</v>
      </c>
      <c r="B44" s="261">
        <v>45056.0</v>
      </c>
      <c r="C44" s="159" t="s">
        <v>7866</v>
      </c>
      <c r="D44" s="160" t="s">
        <v>21</v>
      </c>
      <c r="E44" s="159" t="s">
        <v>7867</v>
      </c>
      <c r="F44" s="160" t="s">
        <v>7868</v>
      </c>
      <c r="G44" s="262" t="s">
        <v>7869</v>
      </c>
      <c r="H44" s="262"/>
      <c r="I44" s="262">
        <v>11990.0</v>
      </c>
      <c r="J44" s="261">
        <v>45422.0</v>
      </c>
      <c r="K44" s="159" t="s">
        <v>668</v>
      </c>
      <c r="L44" s="160" t="s">
        <v>26</v>
      </c>
      <c r="M44" s="160" t="s">
        <v>27</v>
      </c>
      <c r="N44" s="160" t="s">
        <v>28</v>
      </c>
      <c r="O44" s="160">
        <v>27361.0</v>
      </c>
      <c r="P44" s="160"/>
      <c r="Q44" s="407">
        <v>38.0</v>
      </c>
      <c r="R44" s="340">
        <f t="shared" si="3"/>
        <v>10397.18</v>
      </c>
      <c r="S44" s="340">
        <f t="shared" si="1"/>
        <v>10397.18</v>
      </c>
      <c r="T44" s="340"/>
      <c r="U44" s="340"/>
      <c r="V44" s="340"/>
      <c r="W44" s="340"/>
      <c r="X44" s="340"/>
      <c r="Y44" s="340"/>
    </row>
    <row r="45">
      <c r="A45" s="160">
        <v>147.0</v>
      </c>
      <c r="B45" s="261">
        <v>45056.0</v>
      </c>
      <c r="C45" s="159" t="s">
        <v>7870</v>
      </c>
      <c r="D45" s="160" t="s">
        <v>1759</v>
      </c>
      <c r="E45" s="159" t="s">
        <v>7871</v>
      </c>
      <c r="F45" s="160" t="s">
        <v>7872</v>
      </c>
      <c r="G45" s="262">
        <v>8.490970605E9</v>
      </c>
      <c r="H45" s="262"/>
      <c r="I45" s="262"/>
      <c r="J45" s="261">
        <v>45392.0</v>
      </c>
      <c r="K45" s="159" t="s">
        <v>1424</v>
      </c>
      <c r="L45" s="160" t="s">
        <v>49</v>
      </c>
      <c r="M45" s="160" t="s">
        <v>27</v>
      </c>
      <c r="N45" s="160" t="s">
        <v>28</v>
      </c>
      <c r="O45" s="160">
        <v>7140.0</v>
      </c>
      <c r="P45" s="160"/>
      <c r="Q45" s="407">
        <v>57.0</v>
      </c>
      <c r="R45" s="340">
        <f t="shared" si="3"/>
        <v>4069.8</v>
      </c>
      <c r="S45" s="340">
        <f t="shared" si="1"/>
        <v>4069.8</v>
      </c>
      <c r="T45" s="340"/>
      <c r="U45" s="340"/>
      <c r="V45" s="340"/>
      <c r="W45" s="340"/>
      <c r="X45" s="340"/>
      <c r="Y45" s="340"/>
    </row>
    <row r="46">
      <c r="A46" s="160">
        <v>148.0</v>
      </c>
      <c r="B46" s="261">
        <v>45087.0</v>
      </c>
      <c r="C46" s="159" t="s">
        <v>7873</v>
      </c>
      <c r="D46" s="160" t="s">
        <v>1395</v>
      </c>
      <c r="E46" s="159" t="s">
        <v>528</v>
      </c>
      <c r="F46" s="160" t="s">
        <v>7874</v>
      </c>
      <c r="G46" s="262">
        <v>8.490970605E9</v>
      </c>
      <c r="H46" s="262"/>
      <c r="I46" s="262">
        <v>2710.0</v>
      </c>
      <c r="J46" s="261">
        <v>45392.0</v>
      </c>
      <c r="K46" s="159" t="s">
        <v>116</v>
      </c>
      <c r="L46" s="160" t="s">
        <v>49</v>
      </c>
      <c r="M46" s="160" t="s">
        <v>7780</v>
      </c>
      <c r="N46" s="160" t="s">
        <v>28</v>
      </c>
      <c r="O46" s="418">
        <v>27769.0</v>
      </c>
      <c r="P46" s="418">
        <v>31799.0</v>
      </c>
      <c r="Q46" s="407">
        <v>51.0</v>
      </c>
      <c r="R46" s="340">
        <f t="shared" si="3"/>
        <v>14162.19</v>
      </c>
      <c r="S46" s="419">
        <f t="shared" si="1"/>
        <v>-17636.81</v>
      </c>
      <c r="T46" s="340"/>
      <c r="U46" s="340"/>
      <c r="V46" s="340"/>
      <c r="W46" s="340"/>
      <c r="X46" s="340"/>
      <c r="Y46" s="340"/>
    </row>
    <row r="47">
      <c r="A47" s="160">
        <v>149.0</v>
      </c>
      <c r="B47" s="261">
        <v>45087.0</v>
      </c>
      <c r="C47" s="159" t="s">
        <v>7875</v>
      </c>
      <c r="D47" s="160" t="s">
        <v>1395</v>
      </c>
      <c r="E47" s="159" t="s">
        <v>528</v>
      </c>
      <c r="F47" s="160" t="s">
        <v>7876</v>
      </c>
      <c r="G47" s="262" t="s">
        <v>7877</v>
      </c>
      <c r="H47" s="262"/>
      <c r="I47" s="262">
        <v>2995.0</v>
      </c>
      <c r="J47" s="261">
        <v>45392.0</v>
      </c>
      <c r="K47" s="159" t="s">
        <v>116</v>
      </c>
      <c r="L47" s="160" t="s">
        <v>49</v>
      </c>
      <c r="M47" s="160" t="s">
        <v>27</v>
      </c>
      <c r="N47" s="160" t="s">
        <v>28</v>
      </c>
      <c r="O47" s="418">
        <v>19026.0</v>
      </c>
      <c r="P47" s="418">
        <v>21478.0</v>
      </c>
      <c r="Q47" s="407">
        <v>51.0</v>
      </c>
      <c r="R47" s="340">
        <f t="shared" si="3"/>
        <v>9703.26</v>
      </c>
      <c r="S47" s="419">
        <f t="shared" si="1"/>
        <v>-11774.74</v>
      </c>
      <c r="T47" s="340"/>
      <c r="U47" s="340"/>
      <c r="V47" s="340"/>
      <c r="W47" s="340"/>
      <c r="X47" s="340"/>
      <c r="Y47" s="340"/>
    </row>
    <row r="48">
      <c r="A48" s="160">
        <v>150.0</v>
      </c>
      <c r="B48" s="261">
        <v>45179.0</v>
      </c>
      <c r="C48" s="159" t="s">
        <v>7878</v>
      </c>
      <c r="D48" s="160" t="s">
        <v>1395</v>
      </c>
      <c r="E48" s="159" t="s">
        <v>528</v>
      </c>
      <c r="F48" s="160" t="s">
        <v>7879</v>
      </c>
      <c r="G48" s="262" t="s">
        <v>7880</v>
      </c>
      <c r="H48" s="262"/>
      <c r="I48" s="262">
        <v>3425.0</v>
      </c>
      <c r="J48" s="261">
        <v>45453.0</v>
      </c>
      <c r="K48" s="159" t="s">
        <v>116</v>
      </c>
      <c r="L48" s="160" t="s">
        <v>49</v>
      </c>
      <c r="M48" s="160" t="s">
        <v>27</v>
      </c>
      <c r="N48" s="160" t="s">
        <v>28</v>
      </c>
      <c r="O48" s="418">
        <v>26367.0</v>
      </c>
      <c r="P48" s="420">
        <v>30143.0</v>
      </c>
      <c r="Q48" s="407">
        <v>51.0</v>
      </c>
      <c r="R48" s="340">
        <f t="shared" si="3"/>
        <v>13447.17</v>
      </c>
      <c r="S48" s="421">
        <f t="shared" si="1"/>
        <v>-16695.83</v>
      </c>
      <c r="T48" s="340"/>
      <c r="U48" s="340"/>
      <c r="V48" s="340"/>
      <c r="W48" s="340"/>
      <c r="X48" s="340"/>
      <c r="Y48" s="340"/>
    </row>
    <row r="49">
      <c r="A49" s="160">
        <v>151.0</v>
      </c>
      <c r="B49" s="261">
        <v>45179.0</v>
      </c>
      <c r="C49" s="159" t="s">
        <v>7881</v>
      </c>
      <c r="D49" s="160" t="s">
        <v>1395</v>
      </c>
      <c r="E49" s="159" t="s">
        <v>528</v>
      </c>
      <c r="F49" s="160" t="s">
        <v>7882</v>
      </c>
      <c r="G49" s="262" t="s">
        <v>7883</v>
      </c>
      <c r="H49" s="262"/>
      <c r="I49" s="262">
        <v>3425.0</v>
      </c>
      <c r="J49" s="261">
        <v>45453.0</v>
      </c>
      <c r="K49" s="159" t="s">
        <v>116</v>
      </c>
      <c r="L49" s="160" t="s">
        <v>49</v>
      </c>
      <c r="M49" s="160" t="s">
        <v>27</v>
      </c>
      <c r="N49" s="160" t="s">
        <v>28</v>
      </c>
      <c r="O49" s="160">
        <v>17666.0</v>
      </c>
      <c r="P49" s="160">
        <v>19878.0</v>
      </c>
      <c r="Q49" s="407">
        <v>51.0</v>
      </c>
      <c r="R49" s="340">
        <f t="shared" si="3"/>
        <v>9009.66</v>
      </c>
      <c r="S49" s="340">
        <f t="shared" si="1"/>
        <v>-10868.34</v>
      </c>
      <c r="T49" s="340"/>
      <c r="U49" s="340"/>
      <c r="V49" s="340"/>
      <c r="W49" s="340"/>
      <c r="X49" s="340"/>
      <c r="Y49" s="340"/>
    </row>
    <row r="50">
      <c r="A50" s="160">
        <v>152.0</v>
      </c>
      <c r="B50" s="261">
        <v>45179.0</v>
      </c>
      <c r="C50" s="159" t="s">
        <v>7884</v>
      </c>
      <c r="D50" s="160" t="s">
        <v>1759</v>
      </c>
      <c r="E50" s="159" t="s">
        <v>7885</v>
      </c>
      <c r="F50" s="160" t="s">
        <v>7886</v>
      </c>
      <c r="G50" s="262">
        <v>9.327239734E9</v>
      </c>
      <c r="H50" s="262"/>
      <c r="I50" s="262"/>
      <c r="J50" s="422">
        <v>45606.0</v>
      </c>
      <c r="K50" s="159" t="s">
        <v>1424</v>
      </c>
      <c r="L50" s="160" t="s">
        <v>49</v>
      </c>
      <c r="M50" s="160" t="s">
        <v>1616</v>
      </c>
      <c r="N50" s="160" t="s">
        <v>28</v>
      </c>
      <c r="O50" s="160">
        <v>6975.0</v>
      </c>
      <c r="P50" s="160"/>
      <c r="Q50" s="407">
        <v>57.0</v>
      </c>
      <c r="R50" s="340">
        <f t="shared" si="3"/>
        <v>3975.75</v>
      </c>
      <c r="S50" s="340">
        <f t="shared" si="1"/>
        <v>3975.75</v>
      </c>
      <c r="T50" s="340"/>
      <c r="U50" s="340"/>
      <c r="V50" s="340"/>
      <c r="W50" s="340"/>
      <c r="X50" s="340"/>
      <c r="Y50" s="340"/>
    </row>
    <row r="51">
      <c r="A51" s="160">
        <v>153.0</v>
      </c>
      <c r="B51" s="261">
        <v>45179.0</v>
      </c>
      <c r="C51" s="159" t="s">
        <v>7887</v>
      </c>
      <c r="D51" s="160" t="s">
        <v>966</v>
      </c>
      <c r="E51" s="159" t="s">
        <v>3541</v>
      </c>
      <c r="F51" s="160" t="s">
        <v>7888</v>
      </c>
      <c r="G51" s="262" t="s">
        <v>7889</v>
      </c>
      <c r="H51" s="262"/>
      <c r="I51" s="262"/>
      <c r="J51" s="422">
        <v>45545.0</v>
      </c>
      <c r="K51" s="159" t="s">
        <v>65</v>
      </c>
      <c r="L51" s="160" t="s">
        <v>26</v>
      </c>
      <c r="M51" s="160" t="s">
        <v>27</v>
      </c>
      <c r="N51" s="160" t="s">
        <v>28</v>
      </c>
      <c r="O51" s="418">
        <v>4107.0</v>
      </c>
      <c r="P51" s="418"/>
      <c r="Q51" s="407">
        <v>25.0</v>
      </c>
      <c r="R51" s="340">
        <f t="shared" si="3"/>
        <v>1026.75</v>
      </c>
      <c r="S51" s="419">
        <f t="shared" si="1"/>
        <v>1026.75</v>
      </c>
      <c r="T51" s="340"/>
      <c r="U51" s="340"/>
      <c r="V51" s="340"/>
      <c r="W51" s="340"/>
      <c r="X51" s="340"/>
      <c r="Y51" s="340"/>
    </row>
    <row r="52">
      <c r="A52" s="160">
        <v>154.0</v>
      </c>
      <c r="B52" s="261">
        <v>45179.0</v>
      </c>
      <c r="C52" s="159" t="s">
        <v>7890</v>
      </c>
      <c r="D52" s="160" t="s">
        <v>21</v>
      </c>
      <c r="E52" s="159" t="s">
        <v>7891</v>
      </c>
      <c r="F52" s="160" t="s">
        <v>7711</v>
      </c>
      <c r="G52" s="262" t="s">
        <v>7892</v>
      </c>
      <c r="H52" s="262"/>
      <c r="I52" s="262">
        <v>18500.0</v>
      </c>
      <c r="J52" s="422">
        <v>45514.0</v>
      </c>
      <c r="K52" s="159" t="s">
        <v>48</v>
      </c>
      <c r="L52" s="160" t="s">
        <v>49</v>
      </c>
      <c r="M52" s="160" t="s">
        <v>27</v>
      </c>
      <c r="N52" s="160" t="s">
        <v>28</v>
      </c>
      <c r="O52" s="160">
        <v>38464.0</v>
      </c>
      <c r="P52" s="160"/>
      <c r="Q52" s="407">
        <v>20.0</v>
      </c>
      <c r="R52" s="340">
        <f t="shared" si="3"/>
        <v>7692.8</v>
      </c>
      <c r="S52" s="340">
        <f t="shared" si="1"/>
        <v>7692.8</v>
      </c>
      <c r="T52" s="340"/>
      <c r="U52" s="340"/>
      <c r="V52" s="340"/>
      <c r="W52" s="340"/>
      <c r="X52" s="340"/>
      <c r="Y52" s="340"/>
    </row>
    <row r="53">
      <c r="A53" s="160">
        <v>155.0</v>
      </c>
      <c r="B53" s="261">
        <v>45179.0</v>
      </c>
      <c r="C53" s="159" t="s">
        <v>7893</v>
      </c>
      <c r="D53" s="160" t="s">
        <v>21</v>
      </c>
      <c r="E53" s="159" t="s">
        <v>7894</v>
      </c>
      <c r="F53" s="160" t="s">
        <v>7895</v>
      </c>
      <c r="G53" s="262" t="s">
        <v>1000</v>
      </c>
      <c r="H53" s="262" t="s">
        <v>7896</v>
      </c>
      <c r="I53" s="262">
        <v>28000.0</v>
      </c>
      <c r="J53" s="261">
        <v>45483.0</v>
      </c>
      <c r="K53" s="159" t="s">
        <v>668</v>
      </c>
      <c r="L53" s="160" t="s">
        <v>26</v>
      </c>
      <c r="M53" s="160" t="s">
        <v>27</v>
      </c>
      <c r="N53" s="160" t="s">
        <v>28</v>
      </c>
      <c r="O53" s="160">
        <v>44050.0</v>
      </c>
      <c r="P53" s="160"/>
      <c r="Q53" s="407">
        <v>41.0</v>
      </c>
      <c r="R53" s="340">
        <f t="shared" si="3"/>
        <v>18060.5</v>
      </c>
      <c r="S53" s="340">
        <f t="shared" si="1"/>
        <v>18060.5</v>
      </c>
      <c r="T53" s="340"/>
      <c r="U53" s="340"/>
      <c r="V53" s="340"/>
      <c r="W53" s="340"/>
      <c r="X53" s="340"/>
      <c r="Y53" s="340"/>
    </row>
    <row r="54">
      <c r="A54" s="160">
        <v>156.0</v>
      </c>
      <c r="B54" s="261">
        <v>45179.0</v>
      </c>
      <c r="C54" s="159" t="s">
        <v>7897</v>
      </c>
      <c r="D54" s="160" t="s">
        <v>966</v>
      </c>
      <c r="E54" s="159" t="s">
        <v>7898</v>
      </c>
      <c r="F54" s="160" t="s">
        <v>7899</v>
      </c>
      <c r="G54" s="262">
        <v>9.925465777E9</v>
      </c>
      <c r="H54" s="262"/>
      <c r="I54" s="262"/>
      <c r="J54" s="262" t="s">
        <v>7900</v>
      </c>
      <c r="K54" s="159" t="s">
        <v>7901</v>
      </c>
      <c r="L54" s="160" t="s">
        <v>26</v>
      </c>
      <c r="M54" s="160" t="s">
        <v>27</v>
      </c>
      <c r="N54" s="160" t="s">
        <v>28</v>
      </c>
      <c r="O54" s="418">
        <v>2144.0</v>
      </c>
      <c r="P54" s="418"/>
      <c r="Q54" s="407">
        <v>25.0</v>
      </c>
      <c r="R54" s="340">
        <f t="shared" si="3"/>
        <v>536</v>
      </c>
      <c r="S54" s="419">
        <f t="shared" si="1"/>
        <v>536</v>
      </c>
      <c r="T54" s="340"/>
      <c r="U54" s="340"/>
      <c r="V54" s="340"/>
      <c r="W54" s="340"/>
      <c r="X54" s="340"/>
      <c r="Y54" s="340"/>
    </row>
    <row r="55">
      <c r="A55" s="44">
        <v>157.0</v>
      </c>
      <c r="B55" s="56">
        <v>45179.0</v>
      </c>
      <c r="C55" s="423" t="s">
        <v>7902</v>
      </c>
      <c r="D55" s="44" t="s">
        <v>21</v>
      </c>
      <c r="E55" s="423" t="s">
        <v>7903</v>
      </c>
      <c r="F55" s="44" t="s">
        <v>7904</v>
      </c>
      <c r="G55" s="43">
        <v>9.023578078E9</v>
      </c>
      <c r="H55" s="43"/>
      <c r="I55" s="43">
        <v>25000.0</v>
      </c>
      <c r="J55" s="55">
        <v>45514.0</v>
      </c>
      <c r="K55" s="423" t="s">
        <v>70</v>
      </c>
      <c r="L55" s="44" t="s">
        <v>49</v>
      </c>
      <c r="M55" s="44" t="s">
        <v>27</v>
      </c>
      <c r="N55" s="44" t="s">
        <v>28</v>
      </c>
      <c r="O55" s="424">
        <v>45447.0</v>
      </c>
      <c r="P55" s="44"/>
      <c r="Q55" s="48">
        <v>23.0</v>
      </c>
      <c r="R55" s="425">
        <f t="shared" si="3"/>
        <v>10452.81</v>
      </c>
      <c r="S55" s="425">
        <f t="shared" si="1"/>
        <v>10452.81</v>
      </c>
      <c r="T55" s="425"/>
      <c r="U55" s="425"/>
      <c r="V55" s="425"/>
      <c r="W55" s="425"/>
      <c r="X55" s="425"/>
      <c r="Y55" s="425"/>
    </row>
    <row r="56">
      <c r="A56" s="160">
        <v>158.0</v>
      </c>
      <c r="B56" s="261">
        <v>45209.0</v>
      </c>
      <c r="C56" s="159" t="s">
        <v>7905</v>
      </c>
      <c r="D56" s="160" t="s">
        <v>1395</v>
      </c>
      <c r="E56" s="159" t="s">
        <v>2143</v>
      </c>
      <c r="F56" s="160" t="s">
        <v>7906</v>
      </c>
      <c r="G56" s="262" t="s">
        <v>7907</v>
      </c>
      <c r="H56" s="262"/>
      <c r="I56" s="262">
        <v>3490.0</v>
      </c>
      <c r="J56" s="261">
        <v>45422.0</v>
      </c>
      <c r="K56" s="159" t="s">
        <v>116</v>
      </c>
      <c r="L56" s="160" t="s">
        <v>49</v>
      </c>
      <c r="M56" s="160" t="s">
        <v>7780</v>
      </c>
      <c r="N56" s="160" t="s">
        <v>28</v>
      </c>
      <c r="O56" s="426">
        <v>27504.0</v>
      </c>
      <c r="P56" s="418"/>
      <c r="Q56" s="407">
        <v>51.0</v>
      </c>
      <c r="R56" s="340">
        <f t="shared" si="3"/>
        <v>14027.04</v>
      </c>
      <c r="S56" s="419">
        <f t="shared" si="1"/>
        <v>14027.04</v>
      </c>
      <c r="T56" s="340"/>
      <c r="U56" s="340"/>
      <c r="V56" s="340"/>
      <c r="W56" s="340"/>
      <c r="X56" s="340"/>
      <c r="Y56" s="340"/>
    </row>
    <row r="57">
      <c r="A57" s="160">
        <v>159.0</v>
      </c>
      <c r="B57" s="261">
        <v>45209.0</v>
      </c>
      <c r="C57" s="159" t="s">
        <v>7908</v>
      </c>
      <c r="D57" s="160" t="s">
        <v>1395</v>
      </c>
      <c r="E57" s="159" t="s">
        <v>7909</v>
      </c>
      <c r="F57" s="160" t="s">
        <v>7910</v>
      </c>
      <c r="G57" s="262" t="s">
        <v>7911</v>
      </c>
      <c r="H57" s="262"/>
      <c r="I57" s="262">
        <v>2537.0</v>
      </c>
      <c r="J57" s="262" t="s">
        <v>7900</v>
      </c>
      <c r="K57" s="159" t="s">
        <v>70</v>
      </c>
      <c r="L57" s="160" t="s">
        <v>49</v>
      </c>
      <c r="M57" s="160" t="s">
        <v>27</v>
      </c>
      <c r="N57" s="160" t="s">
        <v>28</v>
      </c>
      <c r="O57" s="408">
        <v>17212.0</v>
      </c>
      <c r="P57" s="160"/>
      <c r="Q57" s="407">
        <v>55.0</v>
      </c>
      <c r="R57" s="340">
        <f t="shared" si="3"/>
        <v>9466.6</v>
      </c>
      <c r="S57" s="340">
        <f t="shared" si="1"/>
        <v>9466.6</v>
      </c>
      <c r="T57" s="340"/>
      <c r="U57" s="340"/>
      <c r="V57" s="340"/>
      <c r="W57" s="340"/>
      <c r="X57" s="340"/>
      <c r="Y57" s="340"/>
    </row>
    <row r="58">
      <c r="A58" s="160">
        <v>160.0</v>
      </c>
      <c r="B58" s="261">
        <v>45240.0</v>
      </c>
      <c r="C58" s="159" t="s">
        <v>7912</v>
      </c>
      <c r="D58" s="160" t="s">
        <v>1395</v>
      </c>
      <c r="E58" s="159" t="s">
        <v>528</v>
      </c>
      <c r="F58" s="160" t="s">
        <v>7913</v>
      </c>
      <c r="G58" s="262" t="s">
        <v>7914</v>
      </c>
      <c r="H58" s="262"/>
      <c r="I58" s="262" t="s">
        <v>7915</v>
      </c>
      <c r="J58" s="422">
        <v>45636.0</v>
      </c>
      <c r="K58" s="159" t="s">
        <v>116</v>
      </c>
      <c r="L58" s="160" t="s">
        <v>49</v>
      </c>
      <c r="M58" s="160" t="s">
        <v>27</v>
      </c>
      <c r="N58" s="160" t="s">
        <v>28</v>
      </c>
      <c r="O58" s="426">
        <v>17856.0</v>
      </c>
      <c r="P58" s="418">
        <v>20100.0</v>
      </c>
      <c r="Q58" s="407">
        <v>51.0</v>
      </c>
      <c r="R58" s="340">
        <f t="shared" si="3"/>
        <v>9106.56</v>
      </c>
      <c r="S58" s="419">
        <f t="shared" si="1"/>
        <v>-10993.44</v>
      </c>
      <c r="T58" s="340"/>
      <c r="U58" s="340"/>
      <c r="V58" s="340"/>
      <c r="W58" s="340"/>
      <c r="X58" s="340"/>
      <c r="Y58" s="340"/>
    </row>
    <row r="59">
      <c r="A59" s="160">
        <v>161.0</v>
      </c>
      <c r="B59" s="261">
        <v>45240.0</v>
      </c>
      <c r="C59" s="159" t="s">
        <v>7916</v>
      </c>
      <c r="D59" s="160" t="s">
        <v>21</v>
      </c>
      <c r="E59" s="159" t="s">
        <v>7917</v>
      </c>
      <c r="F59" s="160" t="s">
        <v>7918</v>
      </c>
      <c r="G59" s="262" t="s">
        <v>7919</v>
      </c>
      <c r="H59" s="262" t="s">
        <v>7920</v>
      </c>
      <c r="I59" s="262">
        <v>35000.0</v>
      </c>
      <c r="J59" s="422">
        <v>45575.0</v>
      </c>
      <c r="K59" s="159" t="s">
        <v>48</v>
      </c>
      <c r="L59" s="160" t="s">
        <v>49</v>
      </c>
      <c r="M59" s="160" t="s">
        <v>27</v>
      </c>
      <c r="N59" s="160" t="s">
        <v>28</v>
      </c>
      <c r="O59" s="408">
        <v>48203.0</v>
      </c>
      <c r="P59" s="160"/>
      <c r="Q59" s="407">
        <v>20.0</v>
      </c>
      <c r="R59" s="340">
        <f t="shared" si="3"/>
        <v>9640.6</v>
      </c>
      <c r="S59" s="340">
        <f t="shared" si="1"/>
        <v>9640.6</v>
      </c>
      <c r="T59" s="340"/>
      <c r="U59" s="340"/>
      <c r="V59" s="340"/>
      <c r="W59" s="340"/>
      <c r="X59" s="340"/>
      <c r="Y59" s="340"/>
    </row>
    <row r="60">
      <c r="A60" s="160">
        <v>162.0</v>
      </c>
      <c r="B60" s="261">
        <v>45240.0</v>
      </c>
      <c r="C60" s="159" t="s">
        <v>7921</v>
      </c>
      <c r="D60" s="160" t="s">
        <v>1395</v>
      </c>
      <c r="E60" s="159" t="s">
        <v>528</v>
      </c>
      <c r="F60" s="160" t="s">
        <v>7922</v>
      </c>
      <c r="G60" s="262">
        <v>9.726156263E9</v>
      </c>
      <c r="H60" s="262"/>
      <c r="I60" s="262">
        <v>3425.0</v>
      </c>
      <c r="J60" s="422">
        <v>45606.0</v>
      </c>
      <c r="K60" s="159" t="s">
        <v>116</v>
      </c>
      <c r="L60" s="160" t="s">
        <v>49</v>
      </c>
      <c r="M60" s="418" t="s">
        <v>1456</v>
      </c>
      <c r="N60" s="160" t="s">
        <v>28</v>
      </c>
      <c r="O60" s="426">
        <v>27221.0</v>
      </c>
      <c r="P60" s="418">
        <v>31151.0</v>
      </c>
      <c r="Q60" s="407">
        <v>51.0</v>
      </c>
      <c r="R60" s="340">
        <f t="shared" si="3"/>
        <v>13882.71</v>
      </c>
      <c r="S60" s="419">
        <f t="shared" si="1"/>
        <v>-17268.29</v>
      </c>
      <c r="T60" s="340"/>
      <c r="U60" s="340"/>
      <c r="V60" s="340"/>
      <c r="W60" s="340"/>
      <c r="X60" s="340"/>
      <c r="Y60" s="340"/>
    </row>
    <row r="61">
      <c r="A61" s="160">
        <v>163.0</v>
      </c>
      <c r="B61" s="261">
        <v>45240.0</v>
      </c>
      <c r="C61" s="159" t="s">
        <v>7923</v>
      </c>
      <c r="D61" s="160" t="s">
        <v>1395</v>
      </c>
      <c r="E61" s="159" t="s">
        <v>528</v>
      </c>
      <c r="F61" s="160" t="s">
        <v>7924</v>
      </c>
      <c r="G61" s="262" t="s">
        <v>7925</v>
      </c>
      <c r="H61" s="262" t="s">
        <v>7926</v>
      </c>
      <c r="I61" s="262">
        <v>2620.0</v>
      </c>
      <c r="J61" s="422">
        <v>45636.0</v>
      </c>
      <c r="K61" s="159" t="s">
        <v>116</v>
      </c>
      <c r="L61" s="160" t="s">
        <v>49</v>
      </c>
      <c r="M61" s="160" t="s">
        <v>27</v>
      </c>
      <c r="N61" s="160" t="s">
        <v>28</v>
      </c>
      <c r="O61" s="426">
        <v>17559.0</v>
      </c>
      <c r="P61" s="420">
        <v>19751.0</v>
      </c>
      <c r="Q61" s="407">
        <v>51.0</v>
      </c>
      <c r="R61" s="340">
        <f t="shared" si="3"/>
        <v>8955.09</v>
      </c>
      <c r="S61" s="421">
        <f t="shared" si="1"/>
        <v>-10795.91</v>
      </c>
      <c r="T61" s="340"/>
      <c r="U61" s="340"/>
      <c r="V61" s="340"/>
      <c r="W61" s="340"/>
      <c r="X61" s="340"/>
      <c r="Y61" s="340"/>
    </row>
    <row r="62">
      <c r="A62" s="160">
        <v>164.0</v>
      </c>
      <c r="B62" s="261">
        <v>45240.0</v>
      </c>
      <c r="C62" s="159" t="s">
        <v>7927</v>
      </c>
      <c r="D62" s="160" t="s">
        <v>21</v>
      </c>
      <c r="E62" s="159" t="s">
        <v>7917</v>
      </c>
      <c r="F62" s="160" t="s">
        <v>7928</v>
      </c>
      <c r="G62" s="262" t="s">
        <v>7929</v>
      </c>
      <c r="H62" s="262"/>
      <c r="I62" s="262">
        <v>35000.0</v>
      </c>
      <c r="J62" s="422">
        <v>45545.0</v>
      </c>
      <c r="K62" s="159" t="s">
        <v>48</v>
      </c>
      <c r="L62" s="160" t="s">
        <v>49</v>
      </c>
      <c r="M62" s="160" t="s">
        <v>3028</v>
      </c>
      <c r="N62" s="160" t="s">
        <v>28</v>
      </c>
      <c r="O62" s="408">
        <v>47072.0</v>
      </c>
      <c r="P62" s="160"/>
      <c r="Q62" s="407">
        <v>20.0</v>
      </c>
      <c r="R62" s="340">
        <f t="shared" si="3"/>
        <v>9414.4</v>
      </c>
      <c r="S62" s="340">
        <f t="shared" si="1"/>
        <v>9414.4</v>
      </c>
      <c r="T62" s="340"/>
      <c r="U62" s="340"/>
      <c r="V62" s="340"/>
      <c r="W62" s="340"/>
      <c r="X62" s="340"/>
      <c r="Y62" s="340"/>
    </row>
    <row r="63">
      <c r="A63" s="160">
        <v>165.0</v>
      </c>
      <c r="B63" s="261">
        <v>45240.0</v>
      </c>
      <c r="C63" s="159" t="s">
        <v>7930</v>
      </c>
      <c r="D63" s="160" t="s">
        <v>1759</v>
      </c>
      <c r="E63" s="159" t="s">
        <v>7885</v>
      </c>
      <c r="F63" s="160" t="s">
        <v>7931</v>
      </c>
      <c r="G63" s="262">
        <v>7.69801029E9</v>
      </c>
      <c r="H63" s="262"/>
      <c r="I63" s="262"/>
      <c r="J63" s="422">
        <v>45575.0</v>
      </c>
      <c r="K63" s="159" t="s">
        <v>1424</v>
      </c>
      <c r="L63" s="160" t="s">
        <v>49</v>
      </c>
      <c r="M63" s="160" t="s">
        <v>27</v>
      </c>
      <c r="N63" s="160" t="s">
        <v>28</v>
      </c>
      <c r="O63" s="160">
        <v>7036.0</v>
      </c>
      <c r="P63" s="160"/>
      <c r="Q63" s="407">
        <v>57.0</v>
      </c>
      <c r="R63" s="340">
        <f t="shared" si="3"/>
        <v>4010.52</v>
      </c>
      <c r="S63" s="340">
        <f t="shared" si="1"/>
        <v>4010.52</v>
      </c>
      <c r="T63" s="340"/>
      <c r="U63" s="340"/>
      <c r="V63" s="340"/>
      <c r="W63" s="340"/>
      <c r="X63" s="340"/>
      <c r="Y63" s="340"/>
    </row>
    <row r="64">
      <c r="A64" s="160">
        <v>166.0</v>
      </c>
      <c r="B64" s="261">
        <v>45240.0</v>
      </c>
      <c r="C64" s="159" t="s">
        <v>7932</v>
      </c>
      <c r="D64" s="160" t="s">
        <v>1759</v>
      </c>
      <c r="E64" s="159" t="s">
        <v>7885</v>
      </c>
      <c r="F64" s="160" t="s">
        <v>7933</v>
      </c>
      <c r="G64" s="262">
        <v>9.327379445E9</v>
      </c>
      <c r="H64" s="262"/>
      <c r="I64" s="262"/>
      <c r="J64" s="422">
        <v>45606.0</v>
      </c>
      <c r="K64" s="159" t="s">
        <v>1424</v>
      </c>
      <c r="L64" s="160" t="s">
        <v>49</v>
      </c>
      <c r="M64" s="160" t="s">
        <v>1616</v>
      </c>
      <c r="N64" s="160" t="s">
        <v>28</v>
      </c>
      <c r="O64" s="160">
        <v>7024.0</v>
      </c>
      <c r="P64" s="160"/>
      <c r="Q64" s="407">
        <v>57.0</v>
      </c>
      <c r="R64" s="340">
        <f t="shared" si="3"/>
        <v>4003.68</v>
      </c>
      <c r="S64" s="340">
        <f t="shared" si="1"/>
        <v>4003.68</v>
      </c>
      <c r="T64" s="340"/>
      <c r="U64" s="340"/>
      <c r="V64" s="340"/>
      <c r="W64" s="340"/>
      <c r="X64" s="340"/>
      <c r="Y64" s="340"/>
    </row>
    <row r="65">
      <c r="A65" s="160">
        <v>167.0</v>
      </c>
      <c r="B65" s="261">
        <v>45240.0</v>
      </c>
      <c r="C65" s="159" t="s">
        <v>7934</v>
      </c>
      <c r="D65" s="160" t="s">
        <v>1759</v>
      </c>
      <c r="E65" s="159" t="s">
        <v>7885</v>
      </c>
      <c r="F65" s="160" t="s">
        <v>7935</v>
      </c>
      <c r="G65" s="262">
        <v>9.023313192E9</v>
      </c>
      <c r="H65" s="262"/>
      <c r="I65" s="262"/>
      <c r="J65" s="422">
        <v>45575.0</v>
      </c>
      <c r="K65" s="159" t="s">
        <v>1424</v>
      </c>
      <c r="L65" s="160" t="s">
        <v>49</v>
      </c>
      <c r="M65" s="160" t="s">
        <v>1616</v>
      </c>
      <c r="N65" s="160" t="s">
        <v>28</v>
      </c>
      <c r="O65" s="160">
        <v>7220.0</v>
      </c>
      <c r="P65" s="160"/>
      <c r="Q65" s="407">
        <v>57.0</v>
      </c>
      <c r="R65" s="340">
        <f t="shared" si="3"/>
        <v>4115.4</v>
      </c>
      <c r="S65" s="340">
        <f t="shared" si="1"/>
        <v>4115.4</v>
      </c>
      <c r="T65" s="340"/>
      <c r="U65" s="340"/>
      <c r="V65" s="340"/>
      <c r="W65" s="340"/>
      <c r="X65" s="340"/>
      <c r="Y65" s="340"/>
    </row>
    <row r="66">
      <c r="A66" s="160">
        <v>168.0</v>
      </c>
      <c r="B66" s="261">
        <v>45240.0</v>
      </c>
      <c r="C66" s="159" t="s">
        <v>7936</v>
      </c>
      <c r="D66" s="160" t="s">
        <v>21</v>
      </c>
      <c r="E66" s="159" t="s">
        <v>7937</v>
      </c>
      <c r="F66" s="160" t="s">
        <v>7938</v>
      </c>
      <c r="G66" s="262" t="s">
        <v>7939</v>
      </c>
      <c r="H66" s="262"/>
      <c r="I66" s="262">
        <v>28000.0</v>
      </c>
      <c r="J66" s="422">
        <v>45606.0</v>
      </c>
      <c r="K66" s="159" t="s">
        <v>48</v>
      </c>
      <c r="L66" s="160" t="s">
        <v>49</v>
      </c>
      <c r="M66" s="160" t="s">
        <v>3028</v>
      </c>
      <c r="N66" s="160" t="s">
        <v>28</v>
      </c>
      <c r="O66" s="408">
        <v>48167.0</v>
      </c>
      <c r="P66" s="160"/>
      <c r="Q66" s="407">
        <v>20.0</v>
      </c>
      <c r="R66" s="340">
        <f t="shared" si="3"/>
        <v>9633.4</v>
      </c>
      <c r="S66" s="340">
        <f t="shared" si="1"/>
        <v>9633.4</v>
      </c>
      <c r="T66" s="340"/>
      <c r="U66" s="340"/>
      <c r="V66" s="340"/>
      <c r="W66" s="340"/>
      <c r="X66" s="340"/>
      <c r="Y66" s="340"/>
    </row>
    <row r="67">
      <c r="A67" s="160">
        <v>169.0</v>
      </c>
      <c r="B67" s="261">
        <v>45240.0</v>
      </c>
      <c r="C67" s="159" t="s">
        <v>7940</v>
      </c>
      <c r="D67" s="160" t="s">
        <v>21</v>
      </c>
      <c r="E67" s="159" t="s">
        <v>7937</v>
      </c>
      <c r="F67" s="160" t="s">
        <v>7938</v>
      </c>
      <c r="G67" s="262" t="s">
        <v>7939</v>
      </c>
      <c r="H67" s="262"/>
      <c r="I67" s="262">
        <v>28000.0</v>
      </c>
      <c r="J67" s="422">
        <v>45606.0</v>
      </c>
      <c r="K67" s="159" t="s">
        <v>48</v>
      </c>
      <c r="L67" s="160" t="s">
        <v>49</v>
      </c>
      <c r="M67" s="160" t="s">
        <v>3028</v>
      </c>
      <c r="N67" s="160" t="s">
        <v>28</v>
      </c>
      <c r="O67" s="408">
        <v>48167.0</v>
      </c>
      <c r="P67" s="160"/>
      <c r="Q67" s="407">
        <v>20.0</v>
      </c>
      <c r="R67" s="340">
        <f t="shared" si="3"/>
        <v>9633.4</v>
      </c>
      <c r="S67" s="340">
        <f t="shared" si="1"/>
        <v>9633.4</v>
      </c>
      <c r="T67" s="340"/>
      <c r="U67" s="340"/>
      <c r="V67" s="340"/>
      <c r="W67" s="340"/>
      <c r="X67" s="340"/>
      <c r="Y67" s="340"/>
    </row>
    <row r="68">
      <c r="A68" s="160">
        <v>170.0</v>
      </c>
      <c r="B68" s="261">
        <v>45240.0</v>
      </c>
      <c r="C68" s="159" t="s">
        <v>7941</v>
      </c>
      <c r="D68" s="160" t="s">
        <v>1395</v>
      </c>
      <c r="E68" s="159" t="s">
        <v>528</v>
      </c>
      <c r="F68" s="160" t="s">
        <v>7942</v>
      </c>
      <c r="G68" s="262" t="s">
        <v>7943</v>
      </c>
      <c r="H68" s="262"/>
      <c r="I68" s="262">
        <v>3425.0</v>
      </c>
      <c r="J68" s="262" t="s">
        <v>7944</v>
      </c>
      <c r="K68" s="159" t="s">
        <v>116</v>
      </c>
      <c r="L68" s="160" t="s">
        <v>49</v>
      </c>
      <c r="M68" s="160" t="s">
        <v>3028</v>
      </c>
      <c r="N68" s="160" t="s">
        <v>28</v>
      </c>
      <c r="O68" s="420">
        <v>18956.0</v>
      </c>
      <c r="P68" s="420">
        <v>21398.0</v>
      </c>
      <c r="Q68" s="407">
        <v>51.0</v>
      </c>
      <c r="R68" s="340">
        <f t="shared" si="3"/>
        <v>9667.56</v>
      </c>
      <c r="S68" s="421">
        <f t="shared" si="1"/>
        <v>-11730.44</v>
      </c>
      <c r="T68" s="340"/>
      <c r="U68" s="340"/>
      <c r="V68" s="340"/>
      <c r="W68" s="340"/>
      <c r="X68" s="340"/>
      <c r="Y68" s="340"/>
    </row>
    <row r="69">
      <c r="A69" s="160">
        <v>171.0</v>
      </c>
      <c r="B69" s="261">
        <v>45270.0</v>
      </c>
      <c r="C69" s="159" t="s">
        <v>7945</v>
      </c>
      <c r="D69" s="160" t="s">
        <v>1759</v>
      </c>
      <c r="E69" s="159" t="s">
        <v>7946</v>
      </c>
      <c r="F69" s="160" t="s">
        <v>7947</v>
      </c>
      <c r="G69" s="262" t="s">
        <v>7948</v>
      </c>
      <c r="H69" s="262"/>
      <c r="I69" s="262"/>
      <c r="J69" s="262" t="s">
        <v>7949</v>
      </c>
      <c r="K69" s="159" t="s">
        <v>1424</v>
      </c>
      <c r="L69" s="160" t="s">
        <v>49</v>
      </c>
      <c r="M69" s="160" t="s">
        <v>27</v>
      </c>
      <c r="N69" s="160" t="s">
        <v>28</v>
      </c>
      <c r="O69" s="160">
        <v>6833.0</v>
      </c>
      <c r="P69" s="160"/>
      <c r="Q69" s="407">
        <v>57.0</v>
      </c>
      <c r="R69" s="340">
        <f t="shared" si="3"/>
        <v>3894.81</v>
      </c>
      <c r="S69" s="340">
        <f t="shared" si="1"/>
        <v>3894.81</v>
      </c>
      <c r="T69" s="340"/>
      <c r="U69" s="340"/>
      <c r="V69" s="340"/>
      <c r="W69" s="340"/>
      <c r="X69" s="340"/>
      <c r="Y69" s="340"/>
    </row>
    <row r="70">
      <c r="A70" s="160">
        <v>172.0</v>
      </c>
      <c r="B70" s="261">
        <v>45270.0</v>
      </c>
      <c r="C70" s="159" t="s">
        <v>7950</v>
      </c>
      <c r="D70" s="160" t="s">
        <v>1395</v>
      </c>
      <c r="E70" s="159" t="s">
        <v>528</v>
      </c>
      <c r="F70" s="160" t="s">
        <v>7951</v>
      </c>
      <c r="G70" s="262" t="s">
        <v>7952</v>
      </c>
      <c r="H70" s="262"/>
      <c r="I70" s="262">
        <v>2620.0</v>
      </c>
      <c r="J70" s="262" t="s">
        <v>7944</v>
      </c>
      <c r="K70" s="159" t="s">
        <v>116</v>
      </c>
      <c r="L70" s="160" t="s">
        <v>49</v>
      </c>
      <c r="M70" s="160" t="s">
        <v>27</v>
      </c>
      <c r="N70" s="160" t="s">
        <v>28</v>
      </c>
      <c r="O70" s="427">
        <v>26980.0</v>
      </c>
      <c r="P70" s="418">
        <v>30868.0</v>
      </c>
      <c r="Q70" s="407">
        <v>51.0</v>
      </c>
      <c r="R70" s="340">
        <f t="shared" si="3"/>
        <v>13759.8</v>
      </c>
      <c r="S70" s="419">
        <f t="shared" si="1"/>
        <v>-17108.2</v>
      </c>
      <c r="T70" s="340"/>
      <c r="U70" s="340"/>
      <c r="V70" s="340"/>
      <c r="W70" s="340"/>
      <c r="X70" s="340"/>
      <c r="Y70" s="340"/>
    </row>
    <row r="71">
      <c r="A71" s="160">
        <v>173.0</v>
      </c>
      <c r="B71" s="261">
        <v>45270.0</v>
      </c>
      <c r="C71" s="159" t="s">
        <v>7953</v>
      </c>
      <c r="D71" s="160" t="s">
        <v>966</v>
      </c>
      <c r="E71" s="159" t="s">
        <v>7954</v>
      </c>
      <c r="F71" s="160" t="s">
        <v>7955</v>
      </c>
      <c r="G71" s="262" t="s">
        <v>7956</v>
      </c>
      <c r="H71" s="262" t="s">
        <v>7957</v>
      </c>
      <c r="I71" s="262"/>
      <c r="J71" s="422">
        <v>45636.0</v>
      </c>
      <c r="K71" s="159" t="s">
        <v>668</v>
      </c>
      <c r="L71" s="160" t="s">
        <v>26</v>
      </c>
      <c r="M71" s="160" t="s">
        <v>27</v>
      </c>
      <c r="N71" s="160" t="s">
        <v>28</v>
      </c>
      <c r="O71" s="418">
        <v>3526.0</v>
      </c>
      <c r="P71" s="160"/>
      <c r="Q71" s="407">
        <v>33.0</v>
      </c>
      <c r="R71" s="340">
        <f t="shared" si="3"/>
        <v>1163.58</v>
      </c>
      <c r="S71" s="340">
        <f t="shared" si="1"/>
        <v>1163.58</v>
      </c>
      <c r="T71" s="340"/>
      <c r="U71" s="340"/>
      <c r="V71" s="340"/>
      <c r="W71" s="340"/>
      <c r="X71" s="340"/>
      <c r="Y71" s="340"/>
    </row>
    <row r="72">
      <c r="A72" s="160">
        <v>174.0</v>
      </c>
      <c r="B72" s="261">
        <v>45270.0</v>
      </c>
      <c r="C72" s="159" t="s">
        <v>7958</v>
      </c>
      <c r="D72" s="160" t="s">
        <v>966</v>
      </c>
      <c r="E72" s="159" t="s">
        <v>7959</v>
      </c>
      <c r="F72" s="160" t="s">
        <v>7960</v>
      </c>
      <c r="G72" s="262" t="s">
        <v>7961</v>
      </c>
      <c r="H72" s="262"/>
      <c r="I72" s="262"/>
      <c r="J72" s="422">
        <v>45636.0</v>
      </c>
      <c r="K72" s="159" t="s">
        <v>668</v>
      </c>
      <c r="L72" s="160" t="s">
        <v>26</v>
      </c>
      <c r="M72" s="160" t="s">
        <v>27</v>
      </c>
      <c r="N72" s="160" t="s">
        <v>28</v>
      </c>
      <c r="O72" s="418">
        <v>3526.0</v>
      </c>
      <c r="P72" s="160"/>
      <c r="Q72" s="407">
        <v>33.0</v>
      </c>
      <c r="R72" s="340">
        <f t="shared" si="3"/>
        <v>1163.58</v>
      </c>
      <c r="S72" s="340">
        <f t="shared" si="1"/>
        <v>1163.58</v>
      </c>
      <c r="T72" s="340"/>
      <c r="U72" s="340"/>
      <c r="V72" s="340"/>
      <c r="W72" s="340"/>
      <c r="X72" s="340"/>
      <c r="Y72" s="340"/>
    </row>
    <row r="73">
      <c r="A73" s="160">
        <v>175.0</v>
      </c>
      <c r="B73" s="261">
        <v>45270.0</v>
      </c>
      <c r="C73" s="159" t="s">
        <v>7962</v>
      </c>
      <c r="D73" s="160" t="s">
        <v>966</v>
      </c>
      <c r="E73" s="159" t="s">
        <v>7963</v>
      </c>
      <c r="F73" s="160" t="s">
        <v>7964</v>
      </c>
      <c r="G73" s="262" t="s">
        <v>7965</v>
      </c>
      <c r="H73" s="262"/>
      <c r="I73" s="262"/>
      <c r="J73" s="422">
        <v>45636.0</v>
      </c>
      <c r="K73" s="159" t="s">
        <v>7901</v>
      </c>
      <c r="L73" s="160" t="s">
        <v>26</v>
      </c>
      <c r="M73" s="160" t="s">
        <v>27</v>
      </c>
      <c r="N73" s="160" t="s">
        <v>28</v>
      </c>
      <c r="O73" s="418">
        <v>3416.0</v>
      </c>
      <c r="P73" s="418"/>
      <c r="Q73" s="407">
        <v>20.0</v>
      </c>
      <c r="R73" s="340">
        <f t="shared" si="3"/>
        <v>683.2</v>
      </c>
      <c r="S73" s="419">
        <f t="shared" si="1"/>
        <v>683.2</v>
      </c>
      <c r="T73" s="340"/>
      <c r="U73" s="340"/>
      <c r="V73" s="340"/>
      <c r="W73" s="340"/>
      <c r="X73" s="340"/>
      <c r="Y73" s="340"/>
    </row>
    <row r="74">
      <c r="A74" s="160">
        <v>176.0</v>
      </c>
      <c r="B74" s="261">
        <v>45270.0</v>
      </c>
      <c r="C74" s="159" t="s">
        <v>7966</v>
      </c>
      <c r="D74" s="160" t="s">
        <v>1395</v>
      </c>
      <c r="E74" s="159" t="s">
        <v>7909</v>
      </c>
      <c r="F74" s="160" t="s">
        <v>7967</v>
      </c>
      <c r="G74" s="262">
        <v>9.313149673E9</v>
      </c>
      <c r="H74" s="262"/>
      <c r="I74" s="262">
        <v>2435.0</v>
      </c>
      <c r="J74" s="422">
        <v>45606.0</v>
      </c>
      <c r="K74" s="159" t="s">
        <v>116</v>
      </c>
      <c r="L74" s="160" t="s">
        <v>49</v>
      </c>
      <c r="M74" s="160" t="s">
        <v>1456</v>
      </c>
      <c r="N74" s="160" t="s">
        <v>28</v>
      </c>
      <c r="O74" s="418">
        <v>18479.0</v>
      </c>
      <c r="P74" s="418">
        <v>20835.0</v>
      </c>
      <c r="Q74" s="407">
        <v>51.0</v>
      </c>
      <c r="R74" s="340">
        <f t="shared" si="3"/>
        <v>9424.29</v>
      </c>
      <c r="S74" s="419">
        <f t="shared" si="1"/>
        <v>-11410.71</v>
      </c>
      <c r="T74" s="340"/>
      <c r="U74" s="340"/>
      <c r="V74" s="340"/>
      <c r="W74" s="340"/>
      <c r="X74" s="340"/>
      <c r="Y74" s="340"/>
    </row>
    <row r="75">
      <c r="A75" s="160">
        <v>177.0</v>
      </c>
      <c r="B75" s="261">
        <v>45270.0</v>
      </c>
      <c r="C75" s="159" t="s">
        <v>3680</v>
      </c>
      <c r="D75" s="160" t="s">
        <v>1395</v>
      </c>
      <c r="E75" s="159" t="s">
        <v>7909</v>
      </c>
      <c r="F75" s="160" t="s">
        <v>7968</v>
      </c>
      <c r="G75" s="262">
        <v>9.925725581E9</v>
      </c>
      <c r="H75" s="262"/>
      <c r="I75" s="262">
        <v>2750.0</v>
      </c>
      <c r="J75" s="422">
        <v>45606.0</v>
      </c>
      <c r="K75" s="159" t="s">
        <v>116</v>
      </c>
      <c r="L75" s="160" t="s">
        <v>49</v>
      </c>
      <c r="M75" s="160" t="s">
        <v>1456</v>
      </c>
      <c r="N75" s="160" t="s">
        <v>28</v>
      </c>
      <c r="O75" s="418">
        <v>24102.0</v>
      </c>
      <c r="P75" s="418">
        <v>27472.0</v>
      </c>
      <c r="Q75" s="407">
        <v>51.0</v>
      </c>
      <c r="R75" s="340">
        <f t="shared" si="3"/>
        <v>12292.02</v>
      </c>
      <c r="S75" s="419">
        <f t="shared" si="1"/>
        <v>-15179.98</v>
      </c>
      <c r="T75" s="340"/>
      <c r="U75" s="340"/>
      <c r="V75" s="340"/>
      <c r="W75" s="340"/>
      <c r="X75" s="340"/>
      <c r="Y75" s="340"/>
    </row>
    <row r="76">
      <c r="A76" s="160">
        <v>178.0</v>
      </c>
      <c r="B76" s="261">
        <v>45270.0</v>
      </c>
      <c r="C76" s="159" t="s">
        <v>7969</v>
      </c>
      <c r="D76" s="160" t="s">
        <v>21</v>
      </c>
      <c r="E76" s="159" t="s">
        <v>7970</v>
      </c>
      <c r="F76" s="160" t="s">
        <v>7971</v>
      </c>
      <c r="G76" s="262" t="s">
        <v>7972</v>
      </c>
      <c r="H76" s="262"/>
      <c r="I76" s="262">
        <v>25000.0</v>
      </c>
      <c r="J76" s="422">
        <v>45636.0</v>
      </c>
      <c r="K76" s="159" t="s">
        <v>70</v>
      </c>
      <c r="L76" s="160" t="s">
        <v>49</v>
      </c>
      <c r="M76" s="160" t="s">
        <v>27</v>
      </c>
      <c r="N76" s="160" t="s">
        <v>28</v>
      </c>
      <c r="O76" s="408">
        <v>45873.0</v>
      </c>
      <c r="P76" s="160"/>
      <c r="Q76" s="407">
        <v>22.0</v>
      </c>
      <c r="R76" s="340">
        <f t="shared" si="3"/>
        <v>10092.06</v>
      </c>
      <c r="S76" s="340">
        <f t="shared" si="1"/>
        <v>10092.06</v>
      </c>
      <c r="T76" s="340"/>
      <c r="U76" s="340"/>
      <c r="V76" s="340"/>
      <c r="W76" s="340"/>
      <c r="X76" s="340"/>
      <c r="Y76" s="340"/>
    </row>
    <row r="77">
      <c r="A77" s="160">
        <v>179.0</v>
      </c>
      <c r="B77" s="261">
        <v>45270.0</v>
      </c>
      <c r="C77" s="159" t="s">
        <v>7973</v>
      </c>
      <c r="D77" s="160" t="s">
        <v>1759</v>
      </c>
      <c r="E77" s="159" t="s">
        <v>7885</v>
      </c>
      <c r="F77" s="160" t="s">
        <v>7974</v>
      </c>
      <c r="G77" s="262" t="s">
        <v>7975</v>
      </c>
      <c r="H77" s="262"/>
      <c r="I77" s="262"/>
      <c r="J77" s="422">
        <v>45636.0</v>
      </c>
      <c r="K77" s="159" t="s">
        <v>1424</v>
      </c>
      <c r="L77" s="160" t="s">
        <v>49</v>
      </c>
      <c r="M77" s="408" t="s">
        <v>7976</v>
      </c>
      <c r="N77" s="160" t="s">
        <v>28</v>
      </c>
      <c r="O77" s="160">
        <v>7220.0</v>
      </c>
      <c r="P77" s="160"/>
      <c r="Q77" s="407">
        <v>57.0</v>
      </c>
      <c r="R77" s="340">
        <f t="shared" si="3"/>
        <v>4115.4</v>
      </c>
      <c r="S77" s="340">
        <f t="shared" si="1"/>
        <v>4115.4</v>
      </c>
      <c r="T77" s="340"/>
      <c r="U77" s="340"/>
      <c r="V77" s="340"/>
      <c r="W77" s="340"/>
      <c r="X77" s="340"/>
      <c r="Y77" s="340"/>
    </row>
    <row r="78">
      <c r="A78" s="160">
        <v>180.0</v>
      </c>
      <c r="B78" s="262" t="s">
        <v>7977</v>
      </c>
      <c r="C78" s="159" t="s">
        <v>7978</v>
      </c>
      <c r="D78" s="160" t="s">
        <v>1759</v>
      </c>
      <c r="E78" s="159" t="s">
        <v>7885</v>
      </c>
      <c r="F78" s="160" t="s">
        <v>7979</v>
      </c>
      <c r="G78" s="262" t="s">
        <v>5352</v>
      </c>
      <c r="H78" s="262"/>
      <c r="I78" s="262"/>
      <c r="J78" s="422">
        <v>45636.0</v>
      </c>
      <c r="K78" s="159" t="s">
        <v>1424</v>
      </c>
      <c r="L78" s="160" t="s">
        <v>49</v>
      </c>
      <c r="M78" s="160" t="s">
        <v>27</v>
      </c>
      <c r="N78" s="160" t="s">
        <v>28</v>
      </c>
      <c r="O78" s="160">
        <v>6752.0</v>
      </c>
      <c r="P78" s="160"/>
      <c r="Q78" s="407">
        <v>57.0</v>
      </c>
      <c r="R78" s="340">
        <f t="shared" si="3"/>
        <v>3848.64</v>
      </c>
      <c r="S78" s="340">
        <f t="shared" si="1"/>
        <v>3848.64</v>
      </c>
      <c r="T78" s="340"/>
      <c r="U78" s="340"/>
      <c r="V78" s="340"/>
      <c r="W78" s="340"/>
      <c r="X78" s="340"/>
      <c r="Y78" s="340"/>
    </row>
    <row r="79">
      <c r="A79" s="160">
        <v>181.0</v>
      </c>
      <c r="B79" s="262" t="s">
        <v>7977</v>
      </c>
      <c r="C79" s="159" t="s">
        <v>7980</v>
      </c>
      <c r="D79" s="160" t="s">
        <v>1395</v>
      </c>
      <c r="E79" s="159" t="s">
        <v>7909</v>
      </c>
      <c r="F79" s="160" t="s">
        <v>7981</v>
      </c>
      <c r="G79" s="262" t="s">
        <v>7982</v>
      </c>
      <c r="H79" s="262"/>
      <c r="I79" s="262">
        <v>2500.0</v>
      </c>
      <c r="J79" s="262" t="s">
        <v>7944</v>
      </c>
      <c r="K79" s="159" t="s">
        <v>70</v>
      </c>
      <c r="L79" s="160" t="s">
        <v>26</v>
      </c>
      <c r="M79" s="160" t="s">
        <v>27</v>
      </c>
      <c r="N79" s="160" t="s">
        <v>28</v>
      </c>
      <c r="O79" s="160">
        <v>16149.0</v>
      </c>
      <c r="P79" s="160"/>
      <c r="Q79" s="407">
        <v>55.0</v>
      </c>
      <c r="R79" s="340">
        <f t="shared" si="3"/>
        <v>8881.95</v>
      </c>
      <c r="S79" s="340">
        <f t="shared" si="1"/>
        <v>8881.95</v>
      </c>
      <c r="T79" s="340"/>
      <c r="U79" s="340"/>
      <c r="V79" s="340"/>
      <c r="W79" s="340"/>
      <c r="X79" s="340"/>
      <c r="Y79" s="340"/>
    </row>
    <row r="80">
      <c r="A80" s="206">
        <v>182.0</v>
      </c>
      <c r="B80" s="10" t="s">
        <v>7977</v>
      </c>
      <c r="C80" s="428" t="s">
        <v>7983</v>
      </c>
      <c r="D80" s="206" t="s">
        <v>21</v>
      </c>
      <c r="E80" s="428" t="s">
        <v>7984</v>
      </c>
      <c r="F80" s="206" t="s">
        <v>7985</v>
      </c>
      <c r="G80" s="10" t="s">
        <v>7986</v>
      </c>
      <c r="H80" s="10"/>
      <c r="I80" s="10">
        <v>15700.0</v>
      </c>
      <c r="J80" s="429">
        <v>45636.0</v>
      </c>
      <c r="K80" s="428" t="s">
        <v>48</v>
      </c>
      <c r="L80" s="206" t="s">
        <v>49</v>
      </c>
      <c r="M80" s="206" t="s">
        <v>27</v>
      </c>
      <c r="N80" s="206" t="s">
        <v>28</v>
      </c>
      <c r="O80" s="206"/>
      <c r="P80" s="206"/>
      <c r="Q80" s="381"/>
      <c r="R80" s="381">
        <f t="shared" si="3"/>
        <v>0</v>
      </c>
      <c r="S80" s="381">
        <f t="shared" si="1"/>
        <v>0</v>
      </c>
      <c r="T80" s="381"/>
      <c r="U80" s="381"/>
      <c r="V80" s="381"/>
      <c r="W80" s="381"/>
      <c r="X80" s="381"/>
      <c r="Y80" s="381"/>
    </row>
    <row r="81">
      <c r="A81" s="160">
        <v>183.0</v>
      </c>
      <c r="B81" s="262" t="s">
        <v>7987</v>
      </c>
      <c r="C81" s="159" t="s">
        <v>5552</v>
      </c>
      <c r="D81" s="160" t="s">
        <v>1759</v>
      </c>
      <c r="E81" s="159" t="s">
        <v>7885</v>
      </c>
      <c r="F81" s="160" t="s">
        <v>7988</v>
      </c>
      <c r="G81" s="262" t="s">
        <v>7989</v>
      </c>
      <c r="H81" s="262"/>
      <c r="I81" s="262"/>
      <c r="J81" s="262" t="s">
        <v>7990</v>
      </c>
      <c r="K81" s="159" t="s">
        <v>668</v>
      </c>
      <c r="L81" s="160" t="s">
        <v>49</v>
      </c>
      <c r="M81" s="160" t="s">
        <v>27</v>
      </c>
      <c r="N81" s="160" t="s">
        <v>28</v>
      </c>
      <c r="O81" s="160">
        <v>6894.0</v>
      </c>
      <c r="P81" s="160"/>
      <c r="Q81" s="407">
        <v>50.0</v>
      </c>
      <c r="R81" s="340">
        <f t="shared" si="3"/>
        <v>3447</v>
      </c>
      <c r="S81" s="340">
        <f t="shared" si="1"/>
        <v>3447</v>
      </c>
      <c r="T81" s="340"/>
      <c r="U81" s="340"/>
      <c r="V81" s="340"/>
      <c r="W81" s="340"/>
      <c r="X81" s="340"/>
      <c r="Y81" s="340"/>
    </row>
    <row r="82">
      <c r="A82" s="160">
        <v>185.0</v>
      </c>
      <c r="B82" s="262" t="s">
        <v>7991</v>
      </c>
      <c r="C82" s="159" t="s">
        <v>7992</v>
      </c>
      <c r="D82" s="160" t="s">
        <v>1395</v>
      </c>
      <c r="E82" s="159" t="s">
        <v>528</v>
      </c>
      <c r="F82" s="160" t="s">
        <v>7993</v>
      </c>
      <c r="G82" s="262">
        <v>9.913783285E9</v>
      </c>
      <c r="H82" s="262"/>
      <c r="I82" s="262"/>
      <c r="J82" s="261">
        <v>45302.0</v>
      </c>
      <c r="K82" s="159" t="s">
        <v>116</v>
      </c>
      <c r="L82" s="160" t="s">
        <v>49</v>
      </c>
      <c r="M82" s="160" t="s">
        <v>27</v>
      </c>
      <c r="N82" s="160" t="s">
        <v>28</v>
      </c>
      <c r="O82" s="418">
        <v>25323.0</v>
      </c>
      <c r="P82" s="418">
        <v>28911.0</v>
      </c>
      <c r="Q82" s="407">
        <v>51.0</v>
      </c>
      <c r="R82" s="340">
        <f t="shared" si="3"/>
        <v>12914.73</v>
      </c>
      <c r="S82" s="419">
        <f t="shared" si="1"/>
        <v>-15996.27</v>
      </c>
      <c r="T82" s="340"/>
      <c r="U82" s="340"/>
      <c r="V82" s="340"/>
      <c r="W82" s="340"/>
      <c r="X82" s="340"/>
      <c r="Y82" s="340"/>
    </row>
    <row r="83">
      <c r="A83" s="160">
        <v>186.0</v>
      </c>
      <c r="B83" s="262" t="s">
        <v>7991</v>
      </c>
      <c r="C83" s="159" t="s">
        <v>7994</v>
      </c>
      <c r="D83" s="160" t="s">
        <v>1759</v>
      </c>
      <c r="E83" s="159" t="s">
        <v>7885</v>
      </c>
      <c r="F83" s="160" t="s">
        <v>7995</v>
      </c>
      <c r="G83" s="262" t="s">
        <v>7996</v>
      </c>
      <c r="H83" s="262"/>
      <c r="I83" s="262"/>
      <c r="J83" s="262" t="s">
        <v>7997</v>
      </c>
      <c r="K83" s="159" t="s">
        <v>1424</v>
      </c>
      <c r="L83" s="160" t="s">
        <v>49</v>
      </c>
      <c r="M83" s="160" t="s">
        <v>27</v>
      </c>
      <c r="N83" s="160" t="s">
        <v>28</v>
      </c>
      <c r="O83" s="160">
        <v>6913.0</v>
      </c>
      <c r="P83" s="160"/>
      <c r="Q83" s="407">
        <v>57.0</v>
      </c>
      <c r="R83" s="340">
        <f t="shared" si="3"/>
        <v>3940.41</v>
      </c>
      <c r="S83" s="340">
        <f t="shared" si="1"/>
        <v>3940.41</v>
      </c>
      <c r="T83" s="340"/>
      <c r="U83" s="340"/>
      <c r="V83" s="340"/>
      <c r="W83" s="340"/>
      <c r="X83" s="340"/>
      <c r="Y83" s="340"/>
    </row>
    <row r="84">
      <c r="A84" s="160">
        <v>187.0</v>
      </c>
      <c r="B84" s="262" t="s">
        <v>7991</v>
      </c>
      <c r="C84" s="159" t="s">
        <v>7998</v>
      </c>
      <c r="D84" s="160" t="s">
        <v>1405</v>
      </c>
      <c r="E84" s="159" t="s">
        <v>7999</v>
      </c>
      <c r="F84" s="160" t="s">
        <v>8000</v>
      </c>
      <c r="G84" s="262">
        <v>9.033344181E9</v>
      </c>
      <c r="H84" s="262"/>
      <c r="I84" s="262"/>
      <c r="J84" s="262" t="s">
        <v>7990</v>
      </c>
      <c r="K84" s="159" t="s">
        <v>668</v>
      </c>
      <c r="L84" s="160" t="s">
        <v>49</v>
      </c>
      <c r="M84" s="160" t="s">
        <v>27</v>
      </c>
      <c r="N84" s="160" t="s">
        <v>28</v>
      </c>
      <c r="O84" s="160">
        <v>5019.0</v>
      </c>
      <c r="P84" s="160"/>
      <c r="Q84" s="407">
        <v>51.0</v>
      </c>
      <c r="R84" s="340">
        <f t="shared" si="3"/>
        <v>2559.69</v>
      </c>
      <c r="S84" s="340">
        <f t="shared" si="1"/>
        <v>2559.69</v>
      </c>
      <c r="T84" s="340"/>
      <c r="U84" s="340"/>
      <c r="V84" s="340"/>
      <c r="W84" s="340"/>
      <c r="X84" s="340"/>
      <c r="Y84" s="340"/>
    </row>
    <row r="85">
      <c r="A85" s="160">
        <v>188.0</v>
      </c>
      <c r="B85" s="262" t="s">
        <v>8001</v>
      </c>
      <c r="C85" s="159" t="s">
        <v>8002</v>
      </c>
      <c r="D85" s="160" t="s">
        <v>1395</v>
      </c>
      <c r="E85" s="159" t="s">
        <v>528</v>
      </c>
      <c r="F85" s="160" t="s">
        <v>8003</v>
      </c>
      <c r="G85" s="262" t="s">
        <v>8004</v>
      </c>
      <c r="H85" s="262"/>
      <c r="I85" s="262"/>
      <c r="J85" s="262" t="s">
        <v>7900</v>
      </c>
      <c r="K85" s="159" t="s">
        <v>116</v>
      </c>
      <c r="L85" s="160" t="s">
        <v>26</v>
      </c>
      <c r="M85" s="160" t="s">
        <v>3028</v>
      </c>
      <c r="N85" s="160" t="s">
        <v>28</v>
      </c>
      <c r="O85" s="418">
        <v>16099.0</v>
      </c>
      <c r="P85" s="418">
        <v>18031.0</v>
      </c>
      <c r="Q85" s="407">
        <v>51.0</v>
      </c>
      <c r="R85" s="340">
        <f t="shared" si="3"/>
        <v>8210.49</v>
      </c>
      <c r="S85" s="419">
        <f t="shared" si="1"/>
        <v>-9820.51</v>
      </c>
      <c r="T85" s="340"/>
      <c r="U85" s="340"/>
      <c r="V85" s="340"/>
      <c r="W85" s="340"/>
      <c r="X85" s="340"/>
      <c r="Y85" s="340"/>
    </row>
    <row r="86">
      <c r="A86" s="160">
        <v>189.0</v>
      </c>
      <c r="B86" s="262" t="s">
        <v>8001</v>
      </c>
      <c r="C86" s="159" t="s">
        <v>8005</v>
      </c>
      <c r="D86" s="160" t="s">
        <v>1395</v>
      </c>
      <c r="E86" s="159" t="s">
        <v>7909</v>
      </c>
      <c r="F86" s="160" t="s">
        <v>8006</v>
      </c>
      <c r="G86" s="262" t="s">
        <v>8007</v>
      </c>
      <c r="H86" s="262"/>
      <c r="I86" s="262"/>
      <c r="J86" s="262" t="s">
        <v>7990</v>
      </c>
      <c r="K86" s="159" t="s">
        <v>70</v>
      </c>
      <c r="L86" s="160" t="s">
        <v>49</v>
      </c>
      <c r="M86" s="160" t="s">
        <v>27</v>
      </c>
      <c r="N86" s="160" t="s">
        <v>28</v>
      </c>
      <c r="O86" s="408">
        <v>17104.0</v>
      </c>
      <c r="P86" s="160"/>
      <c r="Q86" s="407">
        <v>55.0</v>
      </c>
      <c r="R86" s="340">
        <f t="shared" si="3"/>
        <v>9407.2</v>
      </c>
      <c r="S86" s="340">
        <f t="shared" si="1"/>
        <v>9407.2</v>
      </c>
      <c r="T86" s="340"/>
      <c r="U86" s="340"/>
      <c r="V86" s="340"/>
      <c r="W86" s="340"/>
      <c r="X86" s="340"/>
      <c r="Y86" s="340"/>
    </row>
    <row r="87">
      <c r="A87" s="160">
        <v>190.0</v>
      </c>
      <c r="B87" s="262" t="s">
        <v>8001</v>
      </c>
      <c r="C87" s="159" t="s">
        <v>8008</v>
      </c>
      <c r="D87" s="160" t="s">
        <v>533</v>
      </c>
      <c r="E87" s="159" t="s">
        <v>3035</v>
      </c>
      <c r="F87" s="160" t="s">
        <v>8009</v>
      </c>
      <c r="G87" s="262">
        <v>8.866612412E9</v>
      </c>
      <c r="H87" s="262"/>
      <c r="I87" s="262" t="s">
        <v>285</v>
      </c>
      <c r="J87" s="262" t="s">
        <v>7900</v>
      </c>
      <c r="K87" s="159" t="s">
        <v>116</v>
      </c>
      <c r="L87" s="160" t="s">
        <v>26</v>
      </c>
      <c r="M87" s="160" t="s">
        <v>27</v>
      </c>
      <c r="N87" s="160" t="s">
        <v>28</v>
      </c>
      <c r="O87" s="427">
        <v>7742.0</v>
      </c>
      <c r="P87" s="420"/>
      <c r="Q87" s="407">
        <v>45.0</v>
      </c>
      <c r="R87" s="340">
        <f t="shared" si="3"/>
        <v>3483.9</v>
      </c>
      <c r="S87" s="421">
        <f t="shared" si="1"/>
        <v>3483.9</v>
      </c>
      <c r="T87" s="340"/>
      <c r="U87" s="340"/>
      <c r="V87" s="340"/>
      <c r="W87" s="340"/>
      <c r="X87" s="340"/>
      <c r="Y87" s="340"/>
    </row>
    <row r="88">
      <c r="A88" s="160">
        <v>191.0</v>
      </c>
      <c r="B88" s="262" t="s">
        <v>8010</v>
      </c>
      <c r="C88" s="159" t="s">
        <v>6283</v>
      </c>
      <c r="D88" s="160" t="s">
        <v>21</v>
      </c>
      <c r="E88" s="159" t="s">
        <v>8011</v>
      </c>
      <c r="F88" s="160" t="s">
        <v>8012</v>
      </c>
      <c r="G88" s="262" t="s">
        <v>8013</v>
      </c>
      <c r="H88" s="262"/>
      <c r="I88" s="262"/>
      <c r="J88" s="262" t="s">
        <v>8014</v>
      </c>
      <c r="K88" s="159" t="s">
        <v>668</v>
      </c>
      <c r="L88" s="160" t="s">
        <v>26</v>
      </c>
      <c r="M88" s="160" t="s">
        <v>27</v>
      </c>
      <c r="N88" s="160" t="s">
        <v>28</v>
      </c>
      <c r="O88" s="160">
        <v>35463.0</v>
      </c>
      <c r="P88" s="160"/>
      <c r="Q88" s="407">
        <v>41.0</v>
      </c>
      <c r="R88" s="340">
        <f t="shared" si="3"/>
        <v>14539.83</v>
      </c>
      <c r="S88" s="340">
        <f t="shared" si="1"/>
        <v>14539.83</v>
      </c>
      <c r="T88" s="340"/>
      <c r="U88" s="340"/>
      <c r="V88" s="340"/>
      <c r="W88" s="340"/>
      <c r="X88" s="340"/>
      <c r="Y88" s="340"/>
    </row>
    <row r="89">
      <c r="A89" s="160">
        <v>192.0</v>
      </c>
      <c r="B89" s="262" t="s">
        <v>8010</v>
      </c>
      <c r="C89" s="159" t="s">
        <v>8015</v>
      </c>
      <c r="D89" s="160" t="s">
        <v>1395</v>
      </c>
      <c r="E89" s="159" t="s">
        <v>528</v>
      </c>
      <c r="F89" s="160" t="s">
        <v>8016</v>
      </c>
      <c r="G89" s="262" t="s">
        <v>8017</v>
      </c>
      <c r="H89" s="262"/>
      <c r="I89" s="262">
        <v>3425.0</v>
      </c>
      <c r="J89" s="262" t="s">
        <v>8014</v>
      </c>
      <c r="K89" s="159" t="s">
        <v>116</v>
      </c>
      <c r="L89" s="160" t="s">
        <v>49</v>
      </c>
      <c r="M89" s="160" t="s">
        <v>27</v>
      </c>
      <c r="N89" s="160" t="s">
        <v>28</v>
      </c>
      <c r="O89" s="418">
        <v>27473.0</v>
      </c>
      <c r="P89" s="418"/>
      <c r="Q89" s="407">
        <v>51.0</v>
      </c>
      <c r="R89" s="340">
        <f t="shared" si="3"/>
        <v>14011.23</v>
      </c>
      <c r="S89" s="419">
        <f t="shared" si="1"/>
        <v>14011.23</v>
      </c>
      <c r="T89" s="340"/>
      <c r="U89" s="340"/>
      <c r="V89" s="340"/>
      <c r="W89" s="340"/>
      <c r="X89" s="340"/>
      <c r="Y89" s="340"/>
    </row>
    <row r="90">
      <c r="A90" s="160">
        <v>193.0</v>
      </c>
      <c r="B90" s="262" t="s">
        <v>8010</v>
      </c>
      <c r="C90" s="159" t="s">
        <v>5541</v>
      </c>
      <c r="D90" s="160" t="s">
        <v>21</v>
      </c>
      <c r="E90" s="159" t="s">
        <v>8018</v>
      </c>
      <c r="F90" s="160" t="s">
        <v>8019</v>
      </c>
      <c r="G90" s="262" t="s">
        <v>8020</v>
      </c>
      <c r="H90" s="262"/>
      <c r="I90" s="262">
        <v>11120.0</v>
      </c>
      <c r="J90" s="422">
        <v>45576.0</v>
      </c>
      <c r="K90" s="159" t="s">
        <v>1424</v>
      </c>
      <c r="L90" s="160" t="s">
        <v>49</v>
      </c>
      <c r="M90" s="160" t="s">
        <v>27</v>
      </c>
      <c r="N90" s="160" t="s">
        <v>28</v>
      </c>
      <c r="O90" s="160">
        <v>32310.0</v>
      </c>
      <c r="P90" s="160"/>
      <c r="Q90" s="407">
        <v>21.0</v>
      </c>
      <c r="R90" s="340">
        <f t="shared" si="3"/>
        <v>6785.1</v>
      </c>
      <c r="S90" s="340">
        <f t="shared" si="1"/>
        <v>6785.1</v>
      </c>
      <c r="T90" s="340"/>
      <c r="U90" s="340"/>
      <c r="V90" s="340"/>
      <c r="W90" s="340"/>
      <c r="X90" s="340"/>
      <c r="Y90" s="340"/>
    </row>
    <row r="91">
      <c r="A91" s="160">
        <v>194.0</v>
      </c>
      <c r="B91" s="262" t="s">
        <v>8021</v>
      </c>
      <c r="C91" s="159" t="s">
        <v>8022</v>
      </c>
      <c r="D91" s="160" t="s">
        <v>1395</v>
      </c>
      <c r="E91" s="159" t="s">
        <v>528</v>
      </c>
      <c r="F91" s="160" t="s">
        <v>8023</v>
      </c>
      <c r="G91" s="262" t="s">
        <v>8024</v>
      </c>
      <c r="H91" s="262"/>
      <c r="I91" s="262">
        <v>2990.0</v>
      </c>
      <c r="J91" s="262" t="s">
        <v>7949</v>
      </c>
      <c r="K91" s="159" t="s">
        <v>25</v>
      </c>
      <c r="L91" s="160" t="s">
        <v>49</v>
      </c>
      <c r="M91" s="160" t="s">
        <v>27</v>
      </c>
      <c r="N91" s="160" t="s">
        <v>28</v>
      </c>
      <c r="O91" s="427">
        <v>21498.0</v>
      </c>
      <c r="P91" s="426">
        <v>24405.0</v>
      </c>
      <c r="Q91" s="407">
        <v>42.0</v>
      </c>
      <c r="R91" s="340">
        <f t="shared" si="3"/>
        <v>9029.16</v>
      </c>
      <c r="S91" s="419">
        <f t="shared" si="1"/>
        <v>-15375.84</v>
      </c>
      <c r="T91" s="340"/>
      <c r="U91" s="340"/>
      <c r="V91" s="340"/>
      <c r="W91" s="340"/>
      <c r="X91" s="340"/>
      <c r="Y91" s="340"/>
    </row>
    <row r="92">
      <c r="A92" s="160">
        <v>195.0</v>
      </c>
      <c r="B92" s="262" t="s">
        <v>8021</v>
      </c>
      <c r="C92" s="159" t="s">
        <v>8025</v>
      </c>
      <c r="D92" s="160" t="s">
        <v>1395</v>
      </c>
      <c r="E92" s="159" t="s">
        <v>528</v>
      </c>
      <c r="F92" s="160" t="s">
        <v>8026</v>
      </c>
      <c r="G92" s="262" t="s">
        <v>8027</v>
      </c>
      <c r="H92" s="262"/>
      <c r="I92" s="262">
        <v>2620.0</v>
      </c>
      <c r="J92" s="262" t="s">
        <v>7949</v>
      </c>
      <c r="K92" s="159" t="s">
        <v>25</v>
      </c>
      <c r="L92" s="160" t="s">
        <v>49</v>
      </c>
      <c r="M92" s="160" t="s">
        <v>1616</v>
      </c>
      <c r="N92" s="160" t="s">
        <v>28</v>
      </c>
      <c r="O92" s="418">
        <v>18029.0</v>
      </c>
      <c r="P92" s="420">
        <v>20311.0</v>
      </c>
      <c r="Q92" s="407">
        <v>42.0</v>
      </c>
      <c r="R92" s="340">
        <f t="shared" si="3"/>
        <v>7572.18</v>
      </c>
      <c r="S92" s="421">
        <f t="shared" si="1"/>
        <v>-12738.82</v>
      </c>
      <c r="T92" s="340"/>
      <c r="U92" s="340"/>
      <c r="V92" s="340"/>
      <c r="W92" s="340"/>
      <c r="X92" s="340"/>
      <c r="Y92" s="340"/>
    </row>
    <row r="93">
      <c r="A93" s="160">
        <v>196.0</v>
      </c>
      <c r="B93" s="262" t="s">
        <v>8021</v>
      </c>
      <c r="C93" s="159" t="s">
        <v>2994</v>
      </c>
      <c r="D93" s="160" t="s">
        <v>1395</v>
      </c>
      <c r="E93" s="159" t="s">
        <v>528</v>
      </c>
      <c r="F93" s="160" t="s">
        <v>8028</v>
      </c>
      <c r="G93" s="262" t="s">
        <v>8029</v>
      </c>
      <c r="H93" s="262"/>
      <c r="I93" s="262">
        <v>2995.0</v>
      </c>
      <c r="J93" s="262" t="s">
        <v>8030</v>
      </c>
      <c r="K93" s="159" t="s">
        <v>116</v>
      </c>
      <c r="L93" s="160" t="s">
        <v>49</v>
      </c>
      <c r="M93" s="160" t="s">
        <v>27</v>
      </c>
      <c r="N93" s="160" t="s">
        <v>28</v>
      </c>
      <c r="O93" s="418">
        <v>25840.0</v>
      </c>
      <c r="P93" s="418">
        <v>29522.0</v>
      </c>
      <c r="Q93" s="407">
        <v>51.0</v>
      </c>
      <c r="R93" s="340">
        <f t="shared" si="3"/>
        <v>13178.4</v>
      </c>
      <c r="S93" s="419">
        <f t="shared" si="1"/>
        <v>-16343.6</v>
      </c>
      <c r="T93" s="340"/>
      <c r="U93" s="340"/>
      <c r="V93" s="340"/>
      <c r="W93" s="340"/>
      <c r="X93" s="340"/>
      <c r="Y93" s="340"/>
    </row>
    <row r="94">
      <c r="A94" s="160">
        <v>197.0</v>
      </c>
      <c r="B94" s="430" t="s">
        <v>8031</v>
      </c>
      <c r="C94" s="159" t="s">
        <v>8032</v>
      </c>
      <c r="D94" s="160"/>
      <c r="E94" s="159" t="s">
        <v>8033</v>
      </c>
      <c r="F94" s="160" t="s">
        <v>8034</v>
      </c>
      <c r="G94" s="262"/>
      <c r="H94" s="262"/>
      <c r="I94" s="262"/>
      <c r="J94" s="262" t="s">
        <v>8035</v>
      </c>
      <c r="K94" s="159" t="s">
        <v>116</v>
      </c>
      <c r="L94" s="160" t="s">
        <v>49</v>
      </c>
      <c r="M94" s="160" t="s">
        <v>7976</v>
      </c>
      <c r="N94" s="160" t="s">
        <v>28</v>
      </c>
      <c r="O94" s="431">
        <v>16574.0</v>
      </c>
      <c r="P94" s="163"/>
      <c r="Q94" s="407">
        <v>51.0</v>
      </c>
      <c r="R94" s="340">
        <f t="shared" si="3"/>
        <v>8452.74</v>
      </c>
      <c r="S94" s="421">
        <f t="shared" si="1"/>
        <v>8452.74</v>
      </c>
      <c r="T94" s="340"/>
      <c r="U94" s="340"/>
      <c r="V94" s="340"/>
      <c r="W94" s="340"/>
      <c r="X94" s="340"/>
      <c r="Y94" s="340"/>
    </row>
    <row r="95">
      <c r="A95" s="160">
        <v>198.0</v>
      </c>
      <c r="B95" s="430" t="s">
        <v>8036</v>
      </c>
      <c r="C95" s="159" t="s">
        <v>8037</v>
      </c>
      <c r="D95" s="160"/>
      <c r="E95" s="159" t="s">
        <v>2275</v>
      </c>
      <c r="F95" s="160" t="s">
        <v>8038</v>
      </c>
      <c r="G95" s="262"/>
      <c r="H95" s="262"/>
      <c r="I95" s="262"/>
      <c r="J95" s="261">
        <v>45302.0</v>
      </c>
      <c r="K95" s="159" t="s">
        <v>116</v>
      </c>
      <c r="L95" s="160" t="s">
        <v>26</v>
      </c>
      <c r="M95" s="160" t="s">
        <v>27</v>
      </c>
      <c r="N95" s="160" t="s">
        <v>28</v>
      </c>
      <c r="O95" s="432">
        <v>7317.0</v>
      </c>
      <c r="P95" s="432"/>
      <c r="Q95" s="407">
        <v>35.0</v>
      </c>
      <c r="R95" s="340">
        <f t="shared" si="3"/>
        <v>2560.95</v>
      </c>
      <c r="S95" s="419">
        <f t="shared" si="1"/>
        <v>2560.95</v>
      </c>
      <c r="T95" s="340"/>
      <c r="U95" s="340"/>
      <c r="V95" s="340"/>
      <c r="W95" s="340"/>
      <c r="X95" s="340"/>
      <c r="Y95" s="340"/>
    </row>
    <row r="96">
      <c r="A96" s="160">
        <v>199.0</v>
      </c>
      <c r="B96" s="430" t="s">
        <v>8031</v>
      </c>
      <c r="C96" s="159" t="s">
        <v>5457</v>
      </c>
      <c r="D96" s="160"/>
      <c r="E96" s="159" t="s">
        <v>8039</v>
      </c>
      <c r="F96" s="160" t="s">
        <v>3755</v>
      </c>
      <c r="G96" s="262"/>
      <c r="H96" s="262"/>
      <c r="I96" s="262"/>
      <c r="J96" s="261">
        <v>45302.0</v>
      </c>
      <c r="K96" s="159" t="s">
        <v>116</v>
      </c>
      <c r="L96" s="160" t="s">
        <v>26</v>
      </c>
      <c r="M96" s="160" t="s">
        <v>27</v>
      </c>
      <c r="N96" s="160" t="s">
        <v>28</v>
      </c>
      <c r="O96" s="432">
        <v>7317.0</v>
      </c>
      <c r="P96" s="432"/>
      <c r="Q96" s="407">
        <v>35.0</v>
      </c>
      <c r="R96" s="340">
        <f t="shared" si="3"/>
        <v>2560.95</v>
      </c>
      <c r="S96" s="419">
        <f t="shared" si="1"/>
        <v>2560.95</v>
      </c>
      <c r="T96" s="340"/>
      <c r="U96" s="340"/>
      <c r="V96" s="340"/>
      <c r="W96" s="340"/>
      <c r="X96" s="340"/>
      <c r="Y96" s="340"/>
    </row>
    <row r="97">
      <c r="A97" s="160">
        <v>200.0</v>
      </c>
      <c r="B97" s="261">
        <v>44996.0</v>
      </c>
      <c r="C97" s="159" t="s">
        <v>8040</v>
      </c>
      <c r="D97" s="160"/>
      <c r="E97" s="159" t="s">
        <v>5482</v>
      </c>
      <c r="F97" s="160" t="s">
        <v>8041</v>
      </c>
      <c r="G97" s="262"/>
      <c r="H97" s="262"/>
      <c r="I97" s="262"/>
      <c r="J97" s="261">
        <v>45333.0</v>
      </c>
      <c r="K97" s="159" t="s">
        <v>1424</v>
      </c>
      <c r="L97" s="160" t="s">
        <v>49</v>
      </c>
      <c r="M97" s="160" t="s">
        <v>27</v>
      </c>
      <c r="N97" s="160" t="s">
        <v>28</v>
      </c>
      <c r="O97" s="161">
        <v>7098.0</v>
      </c>
      <c r="P97" s="161"/>
      <c r="Q97" s="407">
        <v>57.0</v>
      </c>
      <c r="R97" s="340">
        <f t="shared" si="3"/>
        <v>4045.86</v>
      </c>
      <c r="S97" s="340">
        <f t="shared" si="1"/>
        <v>4045.86</v>
      </c>
      <c r="T97" s="340"/>
      <c r="U97" s="340"/>
      <c r="V97" s="340"/>
      <c r="W97" s="340"/>
      <c r="X97" s="340"/>
      <c r="Y97" s="340"/>
    </row>
    <row r="98">
      <c r="A98" s="44">
        <v>201.0</v>
      </c>
      <c r="B98" s="56">
        <v>45088.0</v>
      </c>
      <c r="C98" s="423" t="s">
        <v>8042</v>
      </c>
      <c r="D98" s="44"/>
      <c r="E98" s="423" t="s">
        <v>8043</v>
      </c>
      <c r="F98" s="44" t="s">
        <v>8044</v>
      </c>
      <c r="G98" s="43"/>
      <c r="H98" s="43"/>
      <c r="I98" s="43"/>
      <c r="J98" s="56">
        <v>45423.0</v>
      </c>
      <c r="K98" s="423" t="s">
        <v>8045</v>
      </c>
      <c r="L98" s="44" t="s">
        <v>26</v>
      </c>
      <c r="M98" s="44" t="s">
        <v>27</v>
      </c>
      <c r="N98" s="44" t="s">
        <v>28</v>
      </c>
      <c r="O98" s="433">
        <v>28031.0</v>
      </c>
      <c r="P98" s="433"/>
      <c r="Q98" s="48">
        <v>12.0</v>
      </c>
      <c r="R98" s="425">
        <f t="shared" si="3"/>
        <v>3363.72</v>
      </c>
      <c r="S98" s="425">
        <f t="shared" si="1"/>
        <v>3363.72</v>
      </c>
      <c r="T98" s="425"/>
      <c r="U98" s="425"/>
      <c r="V98" s="425"/>
      <c r="W98" s="425"/>
      <c r="X98" s="425"/>
      <c r="Y98" s="425"/>
    </row>
    <row r="99">
      <c r="A99" s="160">
        <v>202.0</v>
      </c>
      <c r="B99" s="261">
        <v>45180.0</v>
      </c>
      <c r="C99" s="159" t="s">
        <v>8046</v>
      </c>
      <c r="D99" s="160"/>
      <c r="E99" s="159" t="s">
        <v>8047</v>
      </c>
      <c r="F99" s="160" t="s">
        <v>8048</v>
      </c>
      <c r="G99" s="262"/>
      <c r="H99" s="262"/>
      <c r="I99" s="262"/>
      <c r="J99" s="261">
        <v>45546.0</v>
      </c>
      <c r="K99" s="159" t="s">
        <v>25</v>
      </c>
      <c r="L99" s="160" t="s">
        <v>49</v>
      </c>
      <c r="M99" s="160" t="s">
        <v>27</v>
      </c>
      <c r="N99" s="160" t="s">
        <v>28</v>
      </c>
      <c r="O99" s="432">
        <v>31074.0</v>
      </c>
      <c r="P99" s="432"/>
      <c r="Q99" s="407">
        <v>27.0</v>
      </c>
      <c r="R99" s="340">
        <f t="shared" si="3"/>
        <v>8389.98</v>
      </c>
      <c r="S99" s="419">
        <f t="shared" si="1"/>
        <v>8389.98</v>
      </c>
      <c r="T99" s="340"/>
      <c r="U99" s="340"/>
      <c r="V99" s="340"/>
      <c r="W99" s="340"/>
      <c r="X99" s="340"/>
      <c r="Y99" s="340"/>
    </row>
    <row r="100">
      <c r="A100" s="160">
        <v>203.0</v>
      </c>
      <c r="B100" s="261">
        <v>45180.0</v>
      </c>
      <c r="C100" s="159" t="s">
        <v>127</v>
      </c>
      <c r="D100" s="160"/>
      <c r="E100" s="159" t="s">
        <v>8049</v>
      </c>
      <c r="F100" s="160" t="s">
        <v>8050</v>
      </c>
      <c r="G100" s="262"/>
      <c r="H100" s="262"/>
      <c r="I100" s="262"/>
      <c r="J100" s="261">
        <v>45576.0</v>
      </c>
      <c r="K100" s="159" t="s">
        <v>668</v>
      </c>
      <c r="L100" s="160" t="s">
        <v>26</v>
      </c>
      <c r="M100" s="160" t="s">
        <v>27</v>
      </c>
      <c r="N100" s="160" t="s">
        <v>28</v>
      </c>
      <c r="O100" s="434">
        <v>5751.0</v>
      </c>
      <c r="P100" s="434"/>
      <c r="Q100" s="407">
        <v>52.0</v>
      </c>
      <c r="R100" s="340">
        <f t="shared" si="3"/>
        <v>2990.52</v>
      </c>
      <c r="S100" s="340">
        <f t="shared" si="1"/>
        <v>2990.52</v>
      </c>
      <c r="T100" s="340"/>
      <c r="U100" s="340"/>
      <c r="V100" s="340"/>
      <c r="W100" s="340"/>
      <c r="X100" s="340"/>
      <c r="Y100" s="340"/>
    </row>
    <row r="101">
      <c r="A101" s="160">
        <v>204.0</v>
      </c>
      <c r="B101" s="422">
        <v>45210.0</v>
      </c>
      <c r="C101" s="159" t="s">
        <v>8051</v>
      </c>
      <c r="D101" s="160"/>
      <c r="E101" s="159" t="s">
        <v>8052</v>
      </c>
      <c r="F101" s="160" t="s">
        <v>8053</v>
      </c>
      <c r="G101" s="262"/>
      <c r="H101" s="262"/>
      <c r="I101" s="262"/>
      <c r="J101" s="261">
        <v>45576.0</v>
      </c>
      <c r="K101" s="159" t="s">
        <v>70</v>
      </c>
      <c r="L101" s="160" t="s">
        <v>26</v>
      </c>
      <c r="M101" s="160" t="s">
        <v>27</v>
      </c>
      <c r="N101" s="160" t="s">
        <v>28</v>
      </c>
      <c r="O101" s="434">
        <v>16209.0</v>
      </c>
      <c r="P101" s="161"/>
      <c r="Q101" s="407">
        <v>55.0</v>
      </c>
      <c r="R101" s="340">
        <f t="shared" si="3"/>
        <v>8914.95</v>
      </c>
      <c r="S101" s="340">
        <f t="shared" si="1"/>
        <v>8914.95</v>
      </c>
      <c r="T101" s="340"/>
      <c r="U101" s="340"/>
      <c r="V101" s="340"/>
      <c r="W101" s="340"/>
      <c r="X101" s="340"/>
      <c r="Y101" s="340"/>
    </row>
    <row r="102">
      <c r="A102" s="160">
        <v>205.0</v>
      </c>
      <c r="B102" s="422">
        <v>45210.0</v>
      </c>
      <c r="C102" s="159" t="s">
        <v>8054</v>
      </c>
      <c r="D102" s="160"/>
      <c r="E102" s="159" t="s">
        <v>262</v>
      </c>
      <c r="F102" s="160" t="s">
        <v>8055</v>
      </c>
      <c r="G102" s="262"/>
      <c r="H102" s="262"/>
      <c r="I102" s="262"/>
      <c r="J102" s="262" t="s">
        <v>8056</v>
      </c>
      <c r="K102" s="159" t="s">
        <v>70</v>
      </c>
      <c r="L102" s="160" t="s">
        <v>26</v>
      </c>
      <c r="M102" s="160" t="s">
        <v>27</v>
      </c>
      <c r="N102" s="160" t="s">
        <v>28</v>
      </c>
      <c r="O102" s="434">
        <v>16209.0</v>
      </c>
      <c r="P102" s="161"/>
      <c r="Q102" s="407">
        <v>55.0</v>
      </c>
      <c r="R102" s="340">
        <f t="shared" si="3"/>
        <v>8914.95</v>
      </c>
      <c r="S102" s="340">
        <f t="shared" si="1"/>
        <v>8914.95</v>
      </c>
      <c r="T102" s="340"/>
      <c r="U102" s="340"/>
      <c r="V102" s="340"/>
      <c r="W102" s="340"/>
      <c r="X102" s="340"/>
      <c r="Y102" s="340"/>
    </row>
    <row r="103">
      <c r="A103" s="340"/>
      <c r="B103" s="422">
        <v>45241.0</v>
      </c>
      <c r="C103" s="385" t="s">
        <v>8057</v>
      </c>
      <c r="D103" s="385" t="s">
        <v>8058</v>
      </c>
      <c r="E103" s="385" t="s">
        <v>8059</v>
      </c>
      <c r="F103" s="385" t="s">
        <v>8060</v>
      </c>
      <c r="G103" s="385" t="s">
        <v>8061</v>
      </c>
      <c r="H103" s="385"/>
      <c r="I103" s="435"/>
      <c r="J103" s="436">
        <v>45241.0</v>
      </c>
      <c r="K103" s="385" t="s">
        <v>668</v>
      </c>
      <c r="L103" s="385" t="s">
        <v>49</v>
      </c>
      <c r="M103" s="385" t="s">
        <v>27</v>
      </c>
      <c r="N103" s="385" t="s">
        <v>28</v>
      </c>
      <c r="O103" s="437">
        <v>6851.0</v>
      </c>
      <c r="P103" s="438"/>
      <c r="Q103" s="407">
        <v>52.0</v>
      </c>
      <c r="R103" s="340">
        <f t="shared" si="3"/>
        <v>3562.52</v>
      </c>
      <c r="S103" s="340">
        <f t="shared" si="1"/>
        <v>3562.52</v>
      </c>
      <c r="T103" s="340"/>
      <c r="U103" s="340"/>
      <c r="V103" s="340"/>
      <c r="W103" s="340"/>
      <c r="X103" s="340"/>
      <c r="Y103" s="340"/>
    </row>
    <row r="104">
      <c r="A104" s="31"/>
      <c r="B104" s="439">
        <v>45271.0</v>
      </c>
      <c r="C104" s="440" t="s">
        <v>8062</v>
      </c>
      <c r="D104" s="440" t="s">
        <v>44</v>
      </c>
      <c r="E104" s="440" t="s">
        <v>528</v>
      </c>
      <c r="F104" s="440" t="s">
        <v>8063</v>
      </c>
      <c r="G104" s="440" t="s">
        <v>8064</v>
      </c>
      <c r="H104" s="440"/>
      <c r="I104" s="441"/>
      <c r="J104" s="442">
        <v>45607.0</v>
      </c>
      <c r="K104" s="440" t="s">
        <v>116</v>
      </c>
      <c r="L104" s="440" t="s">
        <v>49</v>
      </c>
      <c r="M104" s="440" t="s">
        <v>27</v>
      </c>
      <c r="N104" s="440" t="s">
        <v>28</v>
      </c>
      <c r="O104" s="443">
        <v>18797.0</v>
      </c>
      <c r="P104" s="443"/>
      <c r="Q104" s="5">
        <v>51.0</v>
      </c>
      <c r="R104" s="31">
        <f t="shared" si="3"/>
        <v>9586.47</v>
      </c>
      <c r="S104" s="444">
        <f t="shared" si="1"/>
        <v>9586.47</v>
      </c>
      <c r="T104" s="31"/>
      <c r="U104" s="31"/>
      <c r="V104" s="31"/>
      <c r="W104" s="31"/>
      <c r="X104" s="31"/>
      <c r="Y104" s="31"/>
    </row>
    <row r="105">
      <c r="A105" s="340"/>
      <c r="B105" s="445" t="s">
        <v>8065</v>
      </c>
      <c r="C105" s="389" t="s">
        <v>8066</v>
      </c>
      <c r="D105" s="389" t="s">
        <v>8058</v>
      </c>
      <c r="E105" s="389" t="s">
        <v>8067</v>
      </c>
      <c r="F105" s="389" t="s">
        <v>8068</v>
      </c>
      <c r="G105" s="389" t="s">
        <v>8069</v>
      </c>
      <c r="H105" s="389"/>
      <c r="I105" s="446"/>
      <c r="J105" s="447">
        <v>45637.0</v>
      </c>
      <c r="K105" s="389" t="s">
        <v>1424</v>
      </c>
      <c r="L105" s="389" t="s">
        <v>49</v>
      </c>
      <c r="M105" s="389" t="s">
        <v>27</v>
      </c>
      <c r="N105" s="389" t="s">
        <v>28</v>
      </c>
      <c r="O105" s="448">
        <v>6835.0</v>
      </c>
      <c r="P105" s="448"/>
      <c r="Q105" s="407">
        <v>57.0</v>
      </c>
      <c r="R105" s="340">
        <f t="shared" si="3"/>
        <v>3895.95</v>
      </c>
      <c r="S105" s="340">
        <f t="shared" si="1"/>
        <v>3895.95</v>
      </c>
      <c r="T105" s="340"/>
      <c r="U105" s="340"/>
      <c r="V105" s="340"/>
      <c r="W105" s="340"/>
      <c r="X105" s="340"/>
      <c r="Y105" s="340"/>
    </row>
    <row r="106">
      <c r="A106" s="340"/>
      <c r="B106" s="445" t="s">
        <v>8065</v>
      </c>
      <c r="C106" s="389" t="s">
        <v>8070</v>
      </c>
      <c r="D106" s="389" t="s">
        <v>8058</v>
      </c>
      <c r="E106" s="389" t="s">
        <v>5482</v>
      </c>
      <c r="F106" s="389" t="s">
        <v>8071</v>
      </c>
      <c r="G106" s="389" t="s">
        <v>8072</v>
      </c>
      <c r="H106" s="389"/>
      <c r="I106" s="446"/>
      <c r="J106" s="447">
        <v>45637.0</v>
      </c>
      <c r="K106" s="389" t="s">
        <v>1424</v>
      </c>
      <c r="L106" s="389" t="s">
        <v>49</v>
      </c>
      <c r="M106" s="389" t="s">
        <v>27</v>
      </c>
      <c r="N106" s="389" t="s">
        <v>28</v>
      </c>
      <c r="O106" s="448">
        <v>7082.0</v>
      </c>
      <c r="P106" s="448"/>
      <c r="Q106" s="407">
        <v>57.0</v>
      </c>
      <c r="R106" s="340">
        <f t="shared" si="3"/>
        <v>4036.74</v>
      </c>
      <c r="S106" s="340">
        <f t="shared" si="1"/>
        <v>4036.74</v>
      </c>
      <c r="T106" s="340"/>
      <c r="U106" s="340"/>
      <c r="V106" s="340"/>
      <c r="W106" s="340"/>
      <c r="X106" s="340"/>
      <c r="Y106" s="340"/>
    </row>
    <row r="107">
      <c r="A107" s="425"/>
      <c r="B107" s="449" t="s">
        <v>8065</v>
      </c>
      <c r="C107" s="450" t="s">
        <v>8073</v>
      </c>
      <c r="D107" s="450" t="s">
        <v>21</v>
      </c>
      <c r="E107" s="450" t="s">
        <v>8074</v>
      </c>
      <c r="F107" s="450" t="s">
        <v>5144</v>
      </c>
      <c r="G107" s="450">
        <v>7.990273796E9</v>
      </c>
      <c r="H107" s="450"/>
      <c r="I107" s="451">
        <v>35000.0</v>
      </c>
      <c r="J107" s="452">
        <v>45607.0</v>
      </c>
      <c r="K107" s="450" t="s">
        <v>70</v>
      </c>
      <c r="L107" s="450" t="s">
        <v>49</v>
      </c>
      <c r="M107" s="450" t="s">
        <v>27</v>
      </c>
      <c r="N107" s="450" t="s">
        <v>28</v>
      </c>
      <c r="O107" s="453">
        <v>50378.0</v>
      </c>
      <c r="P107" s="453"/>
      <c r="Q107" s="48">
        <v>23.0</v>
      </c>
      <c r="R107" s="425">
        <f t="shared" si="3"/>
        <v>11586.94</v>
      </c>
      <c r="S107" s="425">
        <f t="shared" si="1"/>
        <v>11586.94</v>
      </c>
      <c r="T107" s="425"/>
      <c r="U107" s="425"/>
      <c r="V107" s="425"/>
      <c r="W107" s="425"/>
      <c r="X107" s="425"/>
      <c r="Y107" s="425"/>
    </row>
    <row r="108">
      <c r="A108" s="340"/>
      <c r="B108" s="445" t="s">
        <v>8065</v>
      </c>
      <c r="C108" s="389" t="s">
        <v>8075</v>
      </c>
      <c r="D108" s="389" t="s">
        <v>44</v>
      </c>
      <c r="E108" s="389" t="s">
        <v>8076</v>
      </c>
      <c r="F108" s="389" t="s">
        <v>8077</v>
      </c>
      <c r="G108" s="389" t="s">
        <v>8078</v>
      </c>
      <c r="H108" s="389"/>
      <c r="I108" s="446"/>
      <c r="J108" s="447">
        <v>45637.0</v>
      </c>
      <c r="K108" s="389" t="s">
        <v>116</v>
      </c>
      <c r="L108" s="389" t="s">
        <v>49</v>
      </c>
      <c r="M108" s="389" t="s">
        <v>1456</v>
      </c>
      <c r="N108" s="389" t="s">
        <v>28</v>
      </c>
      <c r="O108" s="454">
        <v>24473.0</v>
      </c>
      <c r="P108" s="454"/>
      <c r="Q108" s="407">
        <v>51.0</v>
      </c>
      <c r="R108" s="340">
        <f t="shared" si="3"/>
        <v>12481.23</v>
      </c>
      <c r="S108" s="419">
        <f t="shared" si="1"/>
        <v>12481.23</v>
      </c>
      <c r="T108" s="340"/>
      <c r="U108" s="340"/>
      <c r="V108" s="340"/>
      <c r="W108" s="340"/>
      <c r="X108" s="340"/>
      <c r="Y108" s="340"/>
    </row>
    <row r="109">
      <c r="A109" s="425"/>
      <c r="B109" s="449" t="s">
        <v>8065</v>
      </c>
      <c r="C109" s="450" t="s">
        <v>5529</v>
      </c>
      <c r="D109" s="450" t="s">
        <v>8058</v>
      </c>
      <c r="E109" s="450" t="s">
        <v>8079</v>
      </c>
      <c r="F109" s="450" t="s">
        <v>8080</v>
      </c>
      <c r="G109" s="450" t="s">
        <v>8081</v>
      </c>
      <c r="H109" s="450"/>
      <c r="I109" s="451"/>
      <c r="J109" s="452">
        <v>45637.0</v>
      </c>
      <c r="K109" s="450" t="s">
        <v>668</v>
      </c>
      <c r="L109" s="450" t="s">
        <v>49</v>
      </c>
      <c r="M109" s="450" t="s">
        <v>27</v>
      </c>
      <c r="N109" s="450" t="s">
        <v>28</v>
      </c>
      <c r="O109" s="453">
        <v>6986.0</v>
      </c>
      <c r="P109" s="453"/>
      <c r="Q109" s="48">
        <v>52.0</v>
      </c>
      <c r="R109" s="425">
        <f t="shared" si="3"/>
        <v>3632.72</v>
      </c>
      <c r="S109" s="425">
        <f t="shared" si="1"/>
        <v>3632.72</v>
      </c>
      <c r="T109" s="425"/>
      <c r="U109" s="425"/>
      <c r="V109" s="425"/>
      <c r="W109" s="425"/>
      <c r="X109" s="425"/>
      <c r="Y109" s="425"/>
    </row>
    <row r="110">
      <c r="A110" s="31"/>
      <c r="B110" s="455" t="s">
        <v>8082</v>
      </c>
      <c r="C110" s="440" t="s">
        <v>8083</v>
      </c>
      <c r="D110" s="440" t="s">
        <v>44</v>
      </c>
      <c r="E110" s="440" t="s">
        <v>8084</v>
      </c>
      <c r="F110" s="440" t="s">
        <v>1067</v>
      </c>
      <c r="G110" s="440" t="s">
        <v>8085</v>
      </c>
      <c r="H110" s="440"/>
      <c r="I110" s="441"/>
      <c r="J110" s="440" t="s">
        <v>8056</v>
      </c>
      <c r="K110" s="440" t="s">
        <v>116</v>
      </c>
      <c r="L110" s="440" t="s">
        <v>49</v>
      </c>
      <c r="M110" s="440" t="s">
        <v>27</v>
      </c>
      <c r="N110" s="440" t="s">
        <v>28</v>
      </c>
      <c r="O110" s="443">
        <v>18416.0</v>
      </c>
      <c r="P110" s="443"/>
      <c r="Q110" s="5">
        <v>51.0</v>
      </c>
      <c r="R110" s="31">
        <f t="shared" si="3"/>
        <v>9392.16</v>
      </c>
      <c r="S110" s="444">
        <f t="shared" si="1"/>
        <v>9392.16</v>
      </c>
      <c r="T110" s="31"/>
      <c r="U110" s="31"/>
      <c r="V110" s="31"/>
      <c r="W110" s="31"/>
      <c r="X110" s="31"/>
      <c r="Y110" s="31"/>
    </row>
    <row r="111">
      <c r="A111" s="425"/>
      <c r="B111" s="449" t="s">
        <v>8086</v>
      </c>
      <c r="C111" s="450" t="s">
        <v>6078</v>
      </c>
      <c r="D111" s="450" t="s">
        <v>8058</v>
      </c>
      <c r="E111" s="450" t="s">
        <v>8087</v>
      </c>
      <c r="F111" s="450" t="s">
        <v>8088</v>
      </c>
      <c r="G111" s="450" t="s">
        <v>8089</v>
      </c>
      <c r="H111" s="450"/>
      <c r="I111" s="451"/>
      <c r="J111" s="450" t="s">
        <v>8090</v>
      </c>
      <c r="K111" s="450" t="s">
        <v>668</v>
      </c>
      <c r="L111" s="450" t="s">
        <v>49</v>
      </c>
      <c r="M111" s="450" t="s">
        <v>27</v>
      </c>
      <c r="N111" s="450" t="s">
        <v>28</v>
      </c>
      <c r="O111" s="453">
        <v>5528.0</v>
      </c>
      <c r="P111" s="456">
        <v>6256.0</v>
      </c>
      <c r="Q111" s="48">
        <v>52.0</v>
      </c>
      <c r="R111" s="425">
        <f t="shared" si="3"/>
        <v>2874.56</v>
      </c>
      <c r="S111" s="425">
        <f t="shared" si="1"/>
        <v>-3381.44</v>
      </c>
      <c r="T111" s="425"/>
      <c r="U111" s="425"/>
      <c r="V111" s="425"/>
      <c r="W111" s="425"/>
      <c r="X111" s="425"/>
      <c r="Y111" s="425"/>
    </row>
    <row r="112">
      <c r="A112" s="340"/>
      <c r="B112" s="445" t="s">
        <v>8086</v>
      </c>
      <c r="C112" s="389" t="s">
        <v>8091</v>
      </c>
      <c r="D112" s="389" t="s">
        <v>93</v>
      </c>
      <c r="E112" s="389" t="s">
        <v>8092</v>
      </c>
      <c r="F112" s="389" t="s">
        <v>8093</v>
      </c>
      <c r="G112" s="389" t="s">
        <v>8094</v>
      </c>
      <c r="H112" s="389"/>
      <c r="I112" s="446"/>
      <c r="J112" s="389" t="s">
        <v>8095</v>
      </c>
      <c r="K112" s="389" t="s">
        <v>25</v>
      </c>
      <c r="L112" s="389" t="s">
        <v>49</v>
      </c>
      <c r="M112" s="389" t="s">
        <v>27</v>
      </c>
      <c r="N112" s="389" t="s">
        <v>28</v>
      </c>
      <c r="O112" s="457">
        <v>30725.0</v>
      </c>
      <c r="P112" s="454">
        <v>34624.0</v>
      </c>
      <c r="Q112" s="407">
        <v>27.0</v>
      </c>
      <c r="R112" s="340">
        <f t="shared" si="3"/>
        <v>8295.75</v>
      </c>
      <c r="S112" s="419">
        <f t="shared" si="1"/>
        <v>-26328.25</v>
      </c>
      <c r="T112" s="340"/>
      <c r="U112" s="340"/>
      <c r="V112" s="340"/>
      <c r="W112" s="340"/>
      <c r="X112" s="340"/>
      <c r="Y112" s="340"/>
    </row>
    <row r="113">
      <c r="A113" s="340"/>
      <c r="B113" s="445" t="s">
        <v>8086</v>
      </c>
      <c r="C113" s="389" t="s">
        <v>8096</v>
      </c>
      <c r="D113" s="389" t="s">
        <v>44</v>
      </c>
      <c r="E113" s="389" t="s">
        <v>8084</v>
      </c>
      <c r="F113" s="389" t="s">
        <v>8097</v>
      </c>
      <c r="G113" s="389" t="s">
        <v>8098</v>
      </c>
      <c r="H113" s="389"/>
      <c r="I113" s="446"/>
      <c r="J113" s="389" t="s">
        <v>8095</v>
      </c>
      <c r="K113" s="389" t="s">
        <v>116</v>
      </c>
      <c r="L113" s="389" t="s">
        <v>49</v>
      </c>
      <c r="M113" s="389" t="s">
        <v>27</v>
      </c>
      <c r="N113" s="389" t="s">
        <v>28</v>
      </c>
      <c r="O113" s="457">
        <v>17103.0</v>
      </c>
      <c r="P113" s="454">
        <v>19213.0</v>
      </c>
      <c r="Q113" s="407">
        <v>51.0</v>
      </c>
      <c r="R113" s="340">
        <f t="shared" si="3"/>
        <v>8722.53</v>
      </c>
      <c r="S113" s="419">
        <f t="shared" si="1"/>
        <v>-10490.47</v>
      </c>
      <c r="T113" s="340"/>
      <c r="U113" s="340"/>
      <c r="V113" s="340"/>
      <c r="W113" s="340"/>
      <c r="X113" s="340"/>
      <c r="Y113" s="340"/>
    </row>
    <row r="114">
      <c r="A114" s="340"/>
      <c r="B114" s="445" t="s">
        <v>8086</v>
      </c>
      <c r="C114" s="389" t="s">
        <v>8099</v>
      </c>
      <c r="D114" s="389" t="s">
        <v>44</v>
      </c>
      <c r="E114" s="389" t="s">
        <v>8084</v>
      </c>
      <c r="F114" s="389" t="s">
        <v>8100</v>
      </c>
      <c r="G114" s="389" t="s">
        <v>8101</v>
      </c>
      <c r="H114" s="389" t="s">
        <v>8102</v>
      </c>
      <c r="I114" s="446"/>
      <c r="J114" s="389" t="s">
        <v>8103</v>
      </c>
      <c r="K114" s="389" t="s">
        <v>116</v>
      </c>
      <c r="L114" s="389" t="s">
        <v>49</v>
      </c>
      <c r="M114" s="389" t="s">
        <v>27</v>
      </c>
      <c r="N114" s="389" t="s">
        <v>28</v>
      </c>
      <c r="O114" s="454">
        <v>27389.0</v>
      </c>
      <c r="P114" s="454">
        <v>31351.0</v>
      </c>
      <c r="Q114" s="407">
        <v>51.0</v>
      </c>
      <c r="R114" s="340">
        <f t="shared" si="3"/>
        <v>13968.39</v>
      </c>
      <c r="S114" s="419">
        <f t="shared" si="1"/>
        <v>-17382.61</v>
      </c>
      <c r="T114" s="340"/>
      <c r="U114" s="340"/>
      <c r="V114" s="340"/>
      <c r="W114" s="340"/>
      <c r="X114" s="340"/>
      <c r="Y114" s="340"/>
    </row>
    <row r="115">
      <c r="A115" s="340"/>
      <c r="B115" s="445" t="s">
        <v>8086</v>
      </c>
      <c r="C115" s="389" t="s">
        <v>8104</v>
      </c>
      <c r="D115" s="389" t="s">
        <v>21</v>
      </c>
      <c r="E115" s="389" t="s">
        <v>8105</v>
      </c>
      <c r="F115" s="389" t="s">
        <v>8106</v>
      </c>
      <c r="G115" s="389" t="s">
        <v>8107</v>
      </c>
      <c r="H115" s="389"/>
      <c r="I115" s="446">
        <v>16200.0</v>
      </c>
      <c r="J115" s="389" t="s">
        <v>8095</v>
      </c>
      <c r="K115" s="389" t="s">
        <v>297</v>
      </c>
      <c r="L115" s="389" t="s">
        <v>26</v>
      </c>
      <c r="M115" s="389" t="s">
        <v>27</v>
      </c>
      <c r="N115" s="389" t="s">
        <v>28</v>
      </c>
      <c r="O115" s="454">
        <v>35413.0</v>
      </c>
      <c r="P115" s="454">
        <v>39668.0</v>
      </c>
      <c r="Q115" s="407">
        <v>38.0</v>
      </c>
      <c r="R115" s="340">
        <f t="shared" si="3"/>
        <v>13456.94</v>
      </c>
      <c r="S115" s="419">
        <f t="shared" si="1"/>
        <v>-26211.06</v>
      </c>
      <c r="T115" s="340"/>
      <c r="U115" s="340"/>
      <c r="V115" s="340"/>
      <c r="W115" s="340"/>
      <c r="X115" s="340"/>
      <c r="Y115" s="340"/>
    </row>
    <row r="116">
      <c r="A116" s="340"/>
      <c r="B116" s="445" t="s">
        <v>8108</v>
      </c>
      <c r="C116" s="389" t="s">
        <v>8109</v>
      </c>
      <c r="D116" s="389" t="s">
        <v>21</v>
      </c>
      <c r="E116" s="389" t="s">
        <v>8074</v>
      </c>
      <c r="F116" s="389" t="s">
        <v>681</v>
      </c>
      <c r="G116" s="389" t="s">
        <v>8110</v>
      </c>
      <c r="H116" s="389"/>
      <c r="I116" s="446">
        <v>18500.0</v>
      </c>
      <c r="J116" s="389" t="s">
        <v>8111</v>
      </c>
      <c r="K116" s="389" t="s">
        <v>297</v>
      </c>
      <c r="L116" s="389" t="s">
        <v>26</v>
      </c>
      <c r="M116" s="389" t="s">
        <v>71</v>
      </c>
      <c r="N116" s="389" t="s">
        <v>28</v>
      </c>
      <c r="O116" s="454">
        <v>35413.0</v>
      </c>
      <c r="P116" s="454"/>
      <c r="Q116" s="407">
        <v>38.0</v>
      </c>
      <c r="R116" s="340">
        <f t="shared" si="3"/>
        <v>13456.94</v>
      </c>
      <c r="S116" s="419">
        <f t="shared" si="1"/>
        <v>13456.94</v>
      </c>
      <c r="T116" s="340"/>
      <c r="U116" s="340"/>
      <c r="V116" s="340"/>
      <c r="W116" s="340"/>
      <c r="X116" s="340"/>
      <c r="Y116" s="340"/>
    </row>
    <row r="117">
      <c r="A117" s="340"/>
      <c r="B117" s="445" t="s">
        <v>8112</v>
      </c>
      <c r="C117" s="389" t="s">
        <v>8113</v>
      </c>
      <c r="D117" s="389" t="s">
        <v>8058</v>
      </c>
      <c r="E117" s="389" t="s">
        <v>5482</v>
      </c>
      <c r="F117" s="389" t="s">
        <v>8114</v>
      </c>
      <c r="G117" s="389" t="s">
        <v>8115</v>
      </c>
      <c r="H117" s="389"/>
      <c r="I117" s="446"/>
      <c r="J117" s="389" t="s">
        <v>8116</v>
      </c>
      <c r="K117" s="389" t="s">
        <v>1424</v>
      </c>
      <c r="L117" s="389" t="s">
        <v>49</v>
      </c>
      <c r="M117" s="389" t="s">
        <v>1357</v>
      </c>
      <c r="N117" s="389" t="s">
        <v>28</v>
      </c>
      <c r="O117" s="448">
        <v>6929.0</v>
      </c>
      <c r="P117" s="448"/>
      <c r="Q117" s="407">
        <v>57.0</v>
      </c>
      <c r="R117" s="340">
        <f t="shared" si="3"/>
        <v>3949.53</v>
      </c>
      <c r="S117" s="340">
        <f t="shared" si="1"/>
        <v>3949.53</v>
      </c>
      <c r="T117" s="340"/>
      <c r="U117" s="340"/>
      <c r="V117" s="340"/>
      <c r="W117" s="340"/>
      <c r="X117" s="340"/>
      <c r="Y117" s="340"/>
    </row>
    <row r="118">
      <c r="A118" s="340"/>
      <c r="B118" s="445" t="s">
        <v>8112</v>
      </c>
      <c r="C118" s="389" t="s">
        <v>8117</v>
      </c>
      <c r="D118" s="389" t="s">
        <v>21</v>
      </c>
      <c r="E118" s="389" t="s">
        <v>8105</v>
      </c>
      <c r="F118" s="389" t="s">
        <v>8118</v>
      </c>
      <c r="G118" s="389" t="s">
        <v>2361</v>
      </c>
      <c r="H118" s="389" t="s">
        <v>2362</v>
      </c>
      <c r="I118" s="446">
        <v>18500.0</v>
      </c>
      <c r="J118" s="389" t="s">
        <v>8119</v>
      </c>
      <c r="K118" s="389" t="s">
        <v>297</v>
      </c>
      <c r="L118" s="389" t="s">
        <v>26</v>
      </c>
      <c r="M118" s="389" t="s">
        <v>27</v>
      </c>
      <c r="N118" s="389" t="s">
        <v>28</v>
      </c>
      <c r="O118" s="454">
        <v>35413.0</v>
      </c>
      <c r="P118" s="454"/>
      <c r="Q118" s="407">
        <v>38.0</v>
      </c>
      <c r="R118" s="340">
        <f t="shared" si="3"/>
        <v>13456.94</v>
      </c>
      <c r="S118" s="419">
        <f t="shared" si="1"/>
        <v>13456.94</v>
      </c>
      <c r="T118" s="340"/>
      <c r="U118" s="340"/>
      <c r="V118" s="340"/>
      <c r="W118" s="340"/>
      <c r="X118" s="340"/>
      <c r="Y118" s="340"/>
    </row>
    <row r="119">
      <c r="A119" s="340"/>
      <c r="B119" s="445" t="s">
        <v>8112</v>
      </c>
      <c r="C119" s="389" t="s">
        <v>8120</v>
      </c>
      <c r="D119" s="389" t="s">
        <v>44</v>
      </c>
      <c r="E119" s="389" t="s">
        <v>8121</v>
      </c>
      <c r="F119" s="389" t="s">
        <v>8122</v>
      </c>
      <c r="G119" s="389" t="s">
        <v>5841</v>
      </c>
      <c r="H119" s="389" t="s">
        <v>5842</v>
      </c>
      <c r="I119" s="446"/>
      <c r="J119" s="389" t="s">
        <v>8123</v>
      </c>
      <c r="K119" s="389" t="s">
        <v>65</v>
      </c>
      <c r="L119" s="389" t="s">
        <v>26</v>
      </c>
      <c r="M119" s="389" t="s">
        <v>71</v>
      </c>
      <c r="N119" s="389" t="s">
        <v>28</v>
      </c>
      <c r="O119" s="448">
        <v>16530.0</v>
      </c>
      <c r="P119" s="448"/>
      <c r="Q119" s="407">
        <v>36.0</v>
      </c>
      <c r="R119" s="340">
        <f t="shared" si="3"/>
        <v>5950.8</v>
      </c>
      <c r="S119" s="340">
        <f t="shared" si="1"/>
        <v>5950.8</v>
      </c>
      <c r="T119" s="340"/>
      <c r="U119" s="340"/>
      <c r="V119" s="340"/>
      <c r="W119" s="340"/>
      <c r="X119" s="340"/>
      <c r="Y119" s="340"/>
    </row>
    <row r="120">
      <c r="A120" s="340"/>
      <c r="B120" s="445" t="s">
        <v>8112</v>
      </c>
      <c r="C120" s="389" t="s">
        <v>8124</v>
      </c>
      <c r="D120" s="389" t="s">
        <v>44</v>
      </c>
      <c r="E120" s="389" t="s">
        <v>8125</v>
      </c>
      <c r="F120" s="389" t="s">
        <v>8126</v>
      </c>
      <c r="G120" s="389" t="s">
        <v>8127</v>
      </c>
      <c r="H120" s="389"/>
      <c r="I120" s="446"/>
      <c r="J120" s="389" t="s">
        <v>8116</v>
      </c>
      <c r="K120" s="389" t="s">
        <v>116</v>
      </c>
      <c r="L120" s="389" t="s">
        <v>49</v>
      </c>
      <c r="M120" s="389" t="s">
        <v>71</v>
      </c>
      <c r="N120" s="389" t="s">
        <v>28</v>
      </c>
      <c r="O120" s="454">
        <v>17914.0</v>
      </c>
      <c r="P120" s="454">
        <v>20170.0</v>
      </c>
      <c r="Q120" s="407">
        <v>51.0</v>
      </c>
      <c r="R120" s="340">
        <f t="shared" si="3"/>
        <v>9136.14</v>
      </c>
      <c r="S120" s="419">
        <f t="shared" si="1"/>
        <v>-11033.86</v>
      </c>
      <c r="T120" s="340"/>
      <c r="U120" s="340"/>
      <c r="V120" s="340"/>
      <c r="W120" s="340"/>
      <c r="X120" s="340"/>
      <c r="Y120" s="340"/>
    </row>
    <row r="121">
      <c r="A121" s="340"/>
      <c r="B121" s="445" t="s">
        <v>8112</v>
      </c>
      <c r="C121" s="389" t="s">
        <v>8128</v>
      </c>
      <c r="D121" s="389" t="s">
        <v>44</v>
      </c>
      <c r="E121" s="389" t="s">
        <v>8125</v>
      </c>
      <c r="F121" s="389" t="s">
        <v>8129</v>
      </c>
      <c r="G121" s="389" t="s">
        <v>8130</v>
      </c>
      <c r="H121" s="389"/>
      <c r="I121" s="446"/>
      <c r="J121" s="389" t="s">
        <v>8116</v>
      </c>
      <c r="K121" s="389" t="s">
        <v>116</v>
      </c>
      <c r="L121" s="389" t="s">
        <v>49</v>
      </c>
      <c r="M121" s="389" t="s">
        <v>71</v>
      </c>
      <c r="N121" s="389" t="s">
        <v>28</v>
      </c>
      <c r="O121" s="454">
        <v>18063.0</v>
      </c>
      <c r="P121" s="454">
        <v>20345.0</v>
      </c>
      <c r="Q121" s="407">
        <v>51.0</v>
      </c>
      <c r="R121" s="340">
        <f t="shared" si="3"/>
        <v>9212.13</v>
      </c>
      <c r="S121" s="419">
        <f t="shared" si="1"/>
        <v>-11132.87</v>
      </c>
      <c r="T121" s="340"/>
      <c r="U121" s="340"/>
      <c r="V121" s="340"/>
      <c r="W121" s="340"/>
      <c r="X121" s="340"/>
      <c r="Y121" s="340"/>
    </row>
    <row r="122">
      <c r="A122" s="340"/>
      <c r="B122" s="445" t="s">
        <v>8112</v>
      </c>
      <c r="C122" s="389" t="s">
        <v>8131</v>
      </c>
      <c r="D122" s="389" t="s">
        <v>44</v>
      </c>
      <c r="E122" s="389" t="s">
        <v>528</v>
      </c>
      <c r="F122" s="389" t="s">
        <v>8132</v>
      </c>
      <c r="G122" s="389" t="s">
        <v>8133</v>
      </c>
      <c r="H122" s="389"/>
      <c r="I122" s="446"/>
      <c r="J122" s="389" t="s">
        <v>8116</v>
      </c>
      <c r="K122" s="389" t="s">
        <v>116</v>
      </c>
      <c r="L122" s="389" t="s">
        <v>49</v>
      </c>
      <c r="M122" s="389" t="s">
        <v>27</v>
      </c>
      <c r="N122" s="389" t="s">
        <v>28</v>
      </c>
      <c r="O122" s="454">
        <v>27673.0</v>
      </c>
      <c r="P122" s="454">
        <v>31685.0</v>
      </c>
      <c r="Q122" s="407">
        <v>51.0</v>
      </c>
      <c r="R122" s="340">
        <f t="shared" si="3"/>
        <v>14113.23</v>
      </c>
      <c r="S122" s="419">
        <f t="shared" si="1"/>
        <v>-17571.77</v>
      </c>
      <c r="T122" s="340"/>
      <c r="U122" s="340"/>
      <c r="V122" s="340"/>
      <c r="W122" s="340"/>
      <c r="X122" s="340"/>
      <c r="Y122" s="340"/>
    </row>
    <row r="123">
      <c r="A123" s="340"/>
      <c r="B123" s="445" t="s">
        <v>8112</v>
      </c>
      <c r="C123" s="389" t="s">
        <v>8134</v>
      </c>
      <c r="D123" s="389" t="s">
        <v>21</v>
      </c>
      <c r="E123" s="389" t="s">
        <v>748</v>
      </c>
      <c r="F123" s="389" t="s">
        <v>8135</v>
      </c>
      <c r="G123" s="389" t="s">
        <v>8136</v>
      </c>
      <c r="H123" s="389"/>
      <c r="I123" s="446">
        <v>25000.0</v>
      </c>
      <c r="J123" s="389" t="s">
        <v>8119</v>
      </c>
      <c r="K123" s="389" t="s">
        <v>1424</v>
      </c>
      <c r="L123" s="389" t="s">
        <v>49</v>
      </c>
      <c r="M123" s="389" t="s">
        <v>27</v>
      </c>
      <c r="N123" s="389" t="s">
        <v>28</v>
      </c>
      <c r="O123" s="448">
        <v>46465.0</v>
      </c>
      <c r="P123" s="448"/>
      <c r="Q123" s="407">
        <v>22.0</v>
      </c>
      <c r="R123" s="340">
        <f t="shared" si="3"/>
        <v>10222.3</v>
      </c>
      <c r="S123" s="340">
        <f t="shared" si="1"/>
        <v>10222.3</v>
      </c>
      <c r="T123" s="340"/>
      <c r="U123" s="340"/>
      <c r="V123" s="340"/>
      <c r="W123" s="340"/>
      <c r="X123" s="340"/>
      <c r="Y123" s="340"/>
    </row>
    <row r="124">
      <c r="A124" s="340"/>
      <c r="B124" s="445" t="s">
        <v>8137</v>
      </c>
      <c r="C124" s="389" t="s">
        <v>8138</v>
      </c>
      <c r="D124" s="389" t="s">
        <v>21</v>
      </c>
      <c r="E124" s="389" t="s">
        <v>8074</v>
      </c>
      <c r="F124" s="389" t="s">
        <v>8139</v>
      </c>
      <c r="G124" s="389" t="s">
        <v>8140</v>
      </c>
      <c r="H124" s="389"/>
      <c r="I124" s="446">
        <v>28000.0</v>
      </c>
      <c r="J124" s="389" t="s">
        <v>8123</v>
      </c>
      <c r="K124" s="389" t="s">
        <v>297</v>
      </c>
      <c r="L124" s="389" t="s">
        <v>26</v>
      </c>
      <c r="M124" s="389" t="s">
        <v>27</v>
      </c>
      <c r="N124" s="389" t="s">
        <v>28</v>
      </c>
      <c r="O124" s="454">
        <v>44365.0</v>
      </c>
      <c r="P124" s="454"/>
      <c r="Q124" s="407">
        <v>38.0</v>
      </c>
      <c r="R124" s="340">
        <f t="shared" si="3"/>
        <v>16858.7</v>
      </c>
      <c r="S124" s="419">
        <f t="shared" si="1"/>
        <v>16858.7</v>
      </c>
      <c r="T124" s="340"/>
      <c r="U124" s="340"/>
      <c r="V124" s="340"/>
      <c r="W124" s="340"/>
      <c r="X124" s="340"/>
      <c r="Y124" s="340"/>
    </row>
    <row r="125">
      <c r="A125" s="381"/>
      <c r="B125" s="458" t="s">
        <v>8137</v>
      </c>
      <c r="C125" s="459" t="s">
        <v>8141</v>
      </c>
      <c r="D125" s="459" t="s">
        <v>21</v>
      </c>
      <c r="E125" s="459" t="s">
        <v>8074</v>
      </c>
      <c r="F125" s="459" t="s">
        <v>8142</v>
      </c>
      <c r="G125" s="459" t="s">
        <v>2624</v>
      </c>
      <c r="H125" s="459"/>
      <c r="I125" s="460">
        <v>42000.0</v>
      </c>
      <c r="J125" s="459" t="s">
        <v>8119</v>
      </c>
      <c r="K125" s="459" t="s">
        <v>48</v>
      </c>
      <c r="L125" s="459" t="s">
        <v>49</v>
      </c>
      <c r="M125" s="459" t="s">
        <v>27</v>
      </c>
      <c r="N125" s="459" t="s">
        <v>28</v>
      </c>
      <c r="O125" s="461">
        <v>0.0</v>
      </c>
      <c r="P125" s="461">
        <v>0.0</v>
      </c>
      <c r="Q125" s="381"/>
      <c r="R125" s="381">
        <f t="shared" si="3"/>
        <v>0</v>
      </c>
      <c r="S125" s="381">
        <f t="shared" si="1"/>
        <v>0</v>
      </c>
      <c r="T125" s="36" t="s">
        <v>8143</v>
      </c>
      <c r="U125" s="381"/>
      <c r="V125" s="381"/>
      <c r="W125" s="381"/>
      <c r="X125" s="381"/>
      <c r="Y125" s="381"/>
    </row>
    <row r="126">
      <c r="A126" s="381"/>
      <c r="B126" s="458" t="s">
        <v>8137</v>
      </c>
      <c r="C126" s="459" t="s">
        <v>8144</v>
      </c>
      <c r="D126" s="459" t="s">
        <v>21</v>
      </c>
      <c r="E126" s="459" t="s">
        <v>8145</v>
      </c>
      <c r="F126" s="459" t="s">
        <v>8146</v>
      </c>
      <c r="G126" s="459" t="s">
        <v>8147</v>
      </c>
      <c r="H126" s="459"/>
      <c r="I126" s="460">
        <v>12500.0</v>
      </c>
      <c r="J126" s="459" t="s">
        <v>8119</v>
      </c>
      <c r="K126" s="459" t="s">
        <v>70</v>
      </c>
      <c r="L126" s="459" t="s">
        <v>49</v>
      </c>
      <c r="M126" s="459" t="s">
        <v>27</v>
      </c>
      <c r="N126" s="459" t="s">
        <v>28</v>
      </c>
      <c r="O126" s="461">
        <v>37278.0</v>
      </c>
      <c r="P126" s="462"/>
      <c r="Q126" s="36">
        <v>0.0</v>
      </c>
      <c r="R126" s="36">
        <v>0.0</v>
      </c>
      <c r="S126" s="381">
        <f t="shared" si="1"/>
        <v>0</v>
      </c>
      <c r="T126" s="36" t="s">
        <v>8143</v>
      </c>
      <c r="U126" s="381"/>
      <c r="V126" s="381"/>
      <c r="W126" s="381"/>
      <c r="X126" s="381"/>
      <c r="Y126" s="381"/>
    </row>
    <row r="127">
      <c r="A127" s="340"/>
      <c r="B127" s="445" t="s">
        <v>8148</v>
      </c>
      <c r="C127" s="389" t="s">
        <v>8149</v>
      </c>
      <c r="D127" s="389" t="s">
        <v>44</v>
      </c>
      <c r="E127" s="389" t="s">
        <v>528</v>
      </c>
      <c r="F127" s="389" t="s">
        <v>8150</v>
      </c>
      <c r="G127" s="389" t="s">
        <v>8151</v>
      </c>
      <c r="H127" s="389"/>
      <c r="I127" s="446"/>
      <c r="J127" s="389" t="s">
        <v>8123</v>
      </c>
      <c r="K127" s="389" t="s">
        <v>116</v>
      </c>
      <c r="L127" s="389" t="s">
        <v>49</v>
      </c>
      <c r="M127" s="389" t="s">
        <v>71</v>
      </c>
      <c r="N127" s="389" t="s">
        <v>28</v>
      </c>
      <c r="O127" s="457">
        <v>17562.0</v>
      </c>
      <c r="P127" s="454">
        <v>19750.0</v>
      </c>
      <c r="Q127" s="407">
        <v>51.0</v>
      </c>
      <c r="R127" s="340">
        <f t="shared" ref="R127:R159" si="4">O127*Q127%</f>
        <v>8956.62</v>
      </c>
      <c r="S127" s="419">
        <f t="shared" si="1"/>
        <v>-10793.38</v>
      </c>
      <c r="T127" s="340"/>
      <c r="U127" s="340"/>
      <c r="V127" s="340"/>
      <c r="W127" s="340"/>
      <c r="X127" s="340"/>
      <c r="Y127" s="340"/>
    </row>
    <row r="128">
      <c r="A128" s="340"/>
      <c r="B128" s="445" t="s">
        <v>8148</v>
      </c>
      <c r="C128" s="389" t="s">
        <v>8152</v>
      </c>
      <c r="D128" s="389" t="s">
        <v>44</v>
      </c>
      <c r="E128" s="389" t="s">
        <v>528</v>
      </c>
      <c r="F128" s="389" t="s">
        <v>8153</v>
      </c>
      <c r="G128" s="389" t="s">
        <v>8154</v>
      </c>
      <c r="H128" s="389"/>
      <c r="I128" s="446"/>
      <c r="J128" s="389" t="s">
        <v>8123</v>
      </c>
      <c r="K128" s="389" t="s">
        <v>116</v>
      </c>
      <c r="L128" s="389" t="s">
        <v>49</v>
      </c>
      <c r="M128" s="389" t="s">
        <v>27</v>
      </c>
      <c r="N128" s="389" t="s">
        <v>28</v>
      </c>
      <c r="O128" s="457">
        <v>19274.0</v>
      </c>
      <c r="P128" s="454">
        <v>21774.0</v>
      </c>
      <c r="Q128" s="407">
        <v>51.0</v>
      </c>
      <c r="R128" s="340">
        <f t="shared" si="4"/>
        <v>9829.74</v>
      </c>
      <c r="S128" s="419">
        <f t="shared" si="1"/>
        <v>-11944.26</v>
      </c>
      <c r="T128" s="340"/>
      <c r="U128" s="340"/>
      <c r="V128" s="340"/>
      <c r="W128" s="340"/>
      <c r="X128" s="340"/>
      <c r="Y128" s="340"/>
    </row>
    <row r="129">
      <c r="A129" s="340"/>
      <c r="B129" s="445" t="s">
        <v>8148</v>
      </c>
      <c r="C129" s="389" t="s">
        <v>8155</v>
      </c>
      <c r="D129" s="389" t="s">
        <v>21</v>
      </c>
      <c r="E129" s="389" t="s">
        <v>8047</v>
      </c>
      <c r="F129" s="389" t="s">
        <v>8156</v>
      </c>
      <c r="G129" s="389" t="s">
        <v>8157</v>
      </c>
      <c r="H129" s="389"/>
      <c r="I129" s="446">
        <v>28000.0</v>
      </c>
      <c r="J129" s="389" t="s">
        <v>8119</v>
      </c>
      <c r="K129" s="389" t="s">
        <v>48</v>
      </c>
      <c r="L129" s="389" t="s">
        <v>49</v>
      </c>
      <c r="M129" s="389" t="s">
        <v>27</v>
      </c>
      <c r="N129" s="389" t="s">
        <v>28</v>
      </c>
      <c r="O129" s="463">
        <v>47230.0</v>
      </c>
      <c r="P129" s="448"/>
      <c r="Q129" s="407">
        <v>21.0</v>
      </c>
      <c r="R129" s="340">
        <f t="shared" si="4"/>
        <v>9918.3</v>
      </c>
      <c r="S129" s="340">
        <f t="shared" si="1"/>
        <v>9918.3</v>
      </c>
      <c r="T129" s="340"/>
      <c r="U129" s="340"/>
      <c r="V129" s="340"/>
      <c r="W129" s="340"/>
      <c r="X129" s="340"/>
      <c r="Y129" s="340"/>
    </row>
    <row r="130">
      <c r="A130" s="31"/>
      <c r="B130" s="455" t="s">
        <v>8148</v>
      </c>
      <c r="C130" s="440" t="s">
        <v>8158</v>
      </c>
      <c r="D130" s="440" t="s">
        <v>44</v>
      </c>
      <c r="E130" s="440" t="s">
        <v>423</v>
      </c>
      <c r="F130" s="440" t="s">
        <v>8159</v>
      </c>
      <c r="G130" s="440" t="s">
        <v>8160</v>
      </c>
      <c r="H130" s="440"/>
      <c r="I130" s="441"/>
      <c r="J130" s="440" t="s">
        <v>8123</v>
      </c>
      <c r="K130" s="440" t="s">
        <v>1424</v>
      </c>
      <c r="L130" s="440" t="s">
        <v>49</v>
      </c>
      <c r="M130" s="440" t="s">
        <v>71</v>
      </c>
      <c r="N130" s="440" t="s">
        <v>28</v>
      </c>
      <c r="O130" s="464">
        <v>20093.0</v>
      </c>
      <c r="P130" s="464"/>
      <c r="Q130" s="5">
        <v>53.0</v>
      </c>
      <c r="R130" s="31">
        <f t="shared" si="4"/>
        <v>10649.29</v>
      </c>
      <c r="S130" s="31">
        <f t="shared" si="1"/>
        <v>10649.29</v>
      </c>
      <c r="T130" s="31"/>
      <c r="U130" s="31"/>
      <c r="V130" s="31"/>
      <c r="W130" s="31"/>
      <c r="X130" s="31"/>
      <c r="Y130" s="31"/>
    </row>
    <row r="131">
      <c r="A131" s="340"/>
      <c r="B131" s="445" t="s">
        <v>8161</v>
      </c>
      <c r="C131" s="389" t="s">
        <v>8162</v>
      </c>
      <c r="D131" s="389" t="s">
        <v>93</v>
      </c>
      <c r="E131" s="389" t="s">
        <v>8011</v>
      </c>
      <c r="F131" s="389" t="s">
        <v>8163</v>
      </c>
      <c r="G131" s="389" t="s">
        <v>8164</v>
      </c>
      <c r="H131" s="389" t="s">
        <v>5842</v>
      </c>
      <c r="I131" s="446"/>
      <c r="J131" s="389" t="s">
        <v>8165</v>
      </c>
      <c r="K131" s="389" t="s">
        <v>25</v>
      </c>
      <c r="L131" s="389" t="s">
        <v>49</v>
      </c>
      <c r="M131" s="389" t="s">
        <v>71</v>
      </c>
      <c r="N131" s="389" t="s">
        <v>28</v>
      </c>
      <c r="O131" s="457">
        <v>28015.0</v>
      </c>
      <c r="P131" s="454">
        <v>31427.0</v>
      </c>
      <c r="Q131" s="407">
        <v>27.0</v>
      </c>
      <c r="R131" s="340">
        <f t="shared" si="4"/>
        <v>7564.05</v>
      </c>
      <c r="S131" s="419">
        <f t="shared" si="1"/>
        <v>-23862.95</v>
      </c>
      <c r="T131" s="340"/>
      <c r="U131" s="340"/>
      <c r="V131" s="340"/>
      <c r="W131" s="340"/>
      <c r="X131" s="340"/>
      <c r="Y131" s="340"/>
    </row>
    <row r="132">
      <c r="A132" s="31"/>
      <c r="B132" s="455" t="s">
        <v>8161</v>
      </c>
      <c r="C132" s="440" t="s">
        <v>8166</v>
      </c>
      <c r="D132" s="440" t="s">
        <v>21</v>
      </c>
      <c r="E132" s="440" t="s">
        <v>8074</v>
      </c>
      <c r="F132" s="440" t="s">
        <v>8167</v>
      </c>
      <c r="G132" s="440" t="s">
        <v>8168</v>
      </c>
      <c r="H132" s="440"/>
      <c r="I132" s="441">
        <v>28000.0</v>
      </c>
      <c r="J132" s="440" t="s">
        <v>8169</v>
      </c>
      <c r="K132" s="440" t="s">
        <v>297</v>
      </c>
      <c r="L132" s="440" t="s">
        <v>26</v>
      </c>
      <c r="M132" s="440" t="s">
        <v>71</v>
      </c>
      <c r="N132" s="440" t="s">
        <v>28</v>
      </c>
      <c r="O132" s="443">
        <v>44050.0</v>
      </c>
      <c r="P132" s="465"/>
      <c r="Q132" s="5">
        <v>38.0</v>
      </c>
      <c r="R132" s="31">
        <f t="shared" si="4"/>
        <v>16739</v>
      </c>
      <c r="S132" s="466">
        <f t="shared" si="1"/>
        <v>16739</v>
      </c>
      <c r="T132" s="31"/>
      <c r="U132" s="31"/>
      <c r="V132" s="31"/>
      <c r="W132" s="31"/>
      <c r="X132" s="31"/>
      <c r="Y132" s="31"/>
    </row>
    <row r="133">
      <c r="A133" s="340"/>
      <c r="B133" s="445" t="s">
        <v>8170</v>
      </c>
      <c r="C133" s="389" t="s">
        <v>8171</v>
      </c>
      <c r="D133" s="389" t="s">
        <v>8058</v>
      </c>
      <c r="E133" s="389" t="s">
        <v>5482</v>
      </c>
      <c r="F133" s="389" t="s">
        <v>8172</v>
      </c>
      <c r="G133" s="389" t="s">
        <v>8173</v>
      </c>
      <c r="H133" s="389"/>
      <c r="I133" s="446"/>
      <c r="J133" s="389" t="s">
        <v>8169</v>
      </c>
      <c r="K133" s="389" t="s">
        <v>1424</v>
      </c>
      <c r="L133" s="389" t="s">
        <v>49</v>
      </c>
      <c r="M133" s="389" t="s">
        <v>71</v>
      </c>
      <c r="N133" s="389" t="s">
        <v>28</v>
      </c>
      <c r="O133" s="448">
        <v>6811.0</v>
      </c>
      <c r="P133" s="448"/>
      <c r="Q133" s="407">
        <v>57.0</v>
      </c>
      <c r="R133" s="340">
        <f t="shared" si="4"/>
        <v>3882.27</v>
      </c>
      <c r="S133" s="340">
        <f t="shared" si="1"/>
        <v>3882.27</v>
      </c>
      <c r="T133" s="340"/>
      <c r="U133" s="340"/>
      <c r="V133" s="340"/>
      <c r="W133" s="340"/>
      <c r="X133" s="340"/>
      <c r="Y133" s="340"/>
    </row>
    <row r="134">
      <c r="A134" s="340"/>
      <c r="B134" s="445" t="s">
        <v>8170</v>
      </c>
      <c r="C134" s="389" t="s">
        <v>5662</v>
      </c>
      <c r="D134" s="389" t="s">
        <v>21</v>
      </c>
      <c r="E134" s="389" t="s">
        <v>8047</v>
      </c>
      <c r="F134" s="389" t="s">
        <v>756</v>
      </c>
      <c r="G134" s="389" t="s">
        <v>8174</v>
      </c>
      <c r="H134" s="389"/>
      <c r="I134" s="446">
        <v>42000.0</v>
      </c>
      <c r="J134" s="389" t="s">
        <v>8169</v>
      </c>
      <c r="K134" s="389" t="s">
        <v>48</v>
      </c>
      <c r="L134" s="389" t="s">
        <v>49</v>
      </c>
      <c r="M134" s="389" t="s">
        <v>27</v>
      </c>
      <c r="N134" s="389" t="s">
        <v>28</v>
      </c>
      <c r="O134" s="463">
        <v>48088.0</v>
      </c>
      <c r="P134" s="448">
        <v>54089.0</v>
      </c>
      <c r="Q134" s="407">
        <v>19.0</v>
      </c>
      <c r="R134" s="340">
        <f t="shared" si="4"/>
        <v>9136.72</v>
      </c>
      <c r="S134" s="340">
        <f t="shared" si="1"/>
        <v>-44952.28</v>
      </c>
      <c r="T134" s="340"/>
      <c r="U134" s="340"/>
      <c r="V134" s="340"/>
      <c r="W134" s="340"/>
      <c r="X134" s="340"/>
      <c r="Y134" s="340"/>
    </row>
    <row r="135">
      <c r="A135" s="340"/>
      <c r="B135" s="445" t="s">
        <v>8170</v>
      </c>
      <c r="C135" s="389" t="s">
        <v>8175</v>
      </c>
      <c r="D135" s="389" t="s">
        <v>44</v>
      </c>
      <c r="E135" s="389" t="s">
        <v>528</v>
      </c>
      <c r="F135" s="389" t="s">
        <v>8176</v>
      </c>
      <c r="G135" s="389" t="s">
        <v>8177</v>
      </c>
      <c r="H135" s="389"/>
      <c r="I135" s="446"/>
      <c r="J135" s="389" t="s">
        <v>8169</v>
      </c>
      <c r="K135" s="389" t="s">
        <v>116</v>
      </c>
      <c r="L135" s="389" t="s">
        <v>49</v>
      </c>
      <c r="M135" s="389" t="s">
        <v>27</v>
      </c>
      <c r="N135" s="389" t="s">
        <v>28</v>
      </c>
      <c r="O135" s="457">
        <v>17902.0</v>
      </c>
      <c r="P135" s="454">
        <v>20156.0</v>
      </c>
      <c r="Q135" s="407">
        <v>51.0</v>
      </c>
      <c r="R135" s="340">
        <f t="shared" si="4"/>
        <v>9130.02</v>
      </c>
      <c r="S135" s="419">
        <f t="shared" si="1"/>
        <v>-11025.98</v>
      </c>
      <c r="T135" s="340"/>
      <c r="U135" s="340"/>
      <c r="V135" s="340"/>
      <c r="W135" s="340"/>
      <c r="X135" s="340"/>
      <c r="Y135" s="340"/>
    </row>
    <row r="136">
      <c r="A136" s="31"/>
      <c r="B136" s="455" t="s">
        <v>8170</v>
      </c>
      <c r="C136" s="440" t="s">
        <v>8178</v>
      </c>
      <c r="D136" s="440" t="s">
        <v>21</v>
      </c>
      <c r="E136" s="440" t="s">
        <v>8074</v>
      </c>
      <c r="F136" s="440" t="s">
        <v>8179</v>
      </c>
      <c r="G136" s="440" t="s">
        <v>2313</v>
      </c>
      <c r="H136" s="440"/>
      <c r="I136" s="441">
        <v>42000.0</v>
      </c>
      <c r="J136" s="440" t="s">
        <v>8169</v>
      </c>
      <c r="K136" s="440" t="s">
        <v>70</v>
      </c>
      <c r="L136" s="440" t="s">
        <v>49</v>
      </c>
      <c r="M136" s="440" t="s">
        <v>27</v>
      </c>
      <c r="N136" s="440" t="s">
        <v>28</v>
      </c>
      <c r="O136" s="467">
        <v>50129.0</v>
      </c>
      <c r="P136" s="464"/>
      <c r="Q136" s="5">
        <v>24.0</v>
      </c>
      <c r="R136" s="31">
        <f t="shared" si="4"/>
        <v>12030.96</v>
      </c>
      <c r="S136" s="31">
        <f t="shared" si="1"/>
        <v>12030.96</v>
      </c>
      <c r="T136" s="31"/>
      <c r="U136" s="31"/>
      <c r="V136" s="31"/>
      <c r="W136" s="31"/>
      <c r="X136" s="31"/>
      <c r="Y136" s="31"/>
    </row>
    <row r="137">
      <c r="A137" s="425"/>
      <c r="B137" s="449" t="s">
        <v>8180</v>
      </c>
      <c r="C137" s="450" t="s">
        <v>8181</v>
      </c>
      <c r="D137" s="450" t="s">
        <v>21</v>
      </c>
      <c r="E137" s="450" t="s">
        <v>8074</v>
      </c>
      <c r="F137" s="450" t="s">
        <v>8182</v>
      </c>
      <c r="G137" s="450" t="s">
        <v>8183</v>
      </c>
      <c r="H137" s="450"/>
      <c r="I137" s="451">
        <v>35000.0</v>
      </c>
      <c r="J137" s="450" t="s">
        <v>8169</v>
      </c>
      <c r="K137" s="450" t="s">
        <v>70</v>
      </c>
      <c r="L137" s="450" t="s">
        <v>49</v>
      </c>
      <c r="M137" s="450" t="s">
        <v>27</v>
      </c>
      <c r="N137" s="450" t="s">
        <v>28</v>
      </c>
      <c r="O137" s="456">
        <v>47015.0</v>
      </c>
      <c r="P137" s="456">
        <v>52841.0</v>
      </c>
      <c r="Q137" s="48">
        <v>23.0</v>
      </c>
      <c r="R137" s="425">
        <f t="shared" si="4"/>
        <v>10813.45</v>
      </c>
      <c r="S137" s="425">
        <f t="shared" si="1"/>
        <v>-42027.55</v>
      </c>
      <c r="T137" s="425"/>
      <c r="U137" s="425"/>
      <c r="V137" s="425"/>
      <c r="W137" s="425"/>
      <c r="X137" s="425"/>
      <c r="Y137" s="425"/>
    </row>
    <row r="138">
      <c r="A138" s="31"/>
      <c r="B138" s="455" t="s">
        <v>8184</v>
      </c>
      <c r="C138" s="440" t="s">
        <v>947</v>
      </c>
      <c r="D138" s="440" t="s">
        <v>93</v>
      </c>
      <c r="E138" s="440" t="s">
        <v>1866</v>
      </c>
      <c r="F138" s="440" t="s">
        <v>8185</v>
      </c>
      <c r="G138" s="440">
        <v>9.327433618E9</v>
      </c>
      <c r="H138" s="440"/>
      <c r="I138" s="441"/>
      <c r="J138" s="440" t="s">
        <v>8186</v>
      </c>
      <c r="K138" s="440" t="s">
        <v>297</v>
      </c>
      <c r="L138" s="440" t="s">
        <v>26</v>
      </c>
      <c r="M138" s="440" t="s">
        <v>71</v>
      </c>
      <c r="N138" s="440" t="s">
        <v>28</v>
      </c>
      <c r="O138" s="443">
        <v>27601.0</v>
      </c>
      <c r="P138" s="443"/>
      <c r="Q138" s="5">
        <v>38.0</v>
      </c>
      <c r="R138" s="31">
        <f t="shared" si="4"/>
        <v>10488.38</v>
      </c>
      <c r="S138" s="444">
        <f t="shared" si="1"/>
        <v>10488.38</v>
      </c>
      <c r="T138" s="31"/>
      <c r="U138" s="31"/>
      <c r="V138" s="31"/>
      <c r="W138" s="31"/>
      <c r="X138" s="31"/>
      <c r="Y138" s="31"/>
    </row>
    <row r="139">
      <c r="A139" s="340"/>
      <c r="B139" s="445" t="s">
        <v>8184</v>
      </c>
      <c r="C139" s="389" t="s">
        <v>8187</v>
      </c>
      <c r="D139" s="389" t="s">
        <v>21</v>
      </c>
      <c r="E139" s="389" t="s">
        <v>8074</v>
      </c>
      <c r="F139" s="389" t="s">
        <v>8188</v>
      </c>
      <c r="G139" s="389" t="s">
        <v>8189</v>
      </c>
      <c r="H139" s="389"/>
      <c r="I139" s="446">
        <v>18500.0</v>
      </c>
      <c r="J139" s="389" t="s">
        <v>8186</v>
      </c>
      <c r="K139" s="389" t="s">
        <v>297</v>
      </c>
      <c r="L139" s="389" t="s">
        <v>26</v>
      </c>
      <c r="M139" s="389" t="s">
        <v>71</v>
      </c>
      <c r="N139" s="389" t="s">
        <v>28</v>
      </c>
      <c r="O139" s="454">
        <v>35413.0</v>
      </c>
      <c r="P139" s="454"/>
      <c r="Q139" s="407">
        <v>38.0</v>
      </c>
      <c r="R139" s="340">
        <f t="shared" si="4"/>
        <v>13456.94</v>
      </c>
      <c r="S139" s="419">
        <f t="shared" si="1"/>
        <v>13456.94</v>
      </c>
      <c r="T139" s="340"/>
      <c r="U139" s="340"/>
      <c r="V139" s="340"/>
      <c r="W139" s="340"/>
      <c r="X139" s="340"/>
      <c r="Y139" s="340"/>
    </row>
    <row r="140">
      <c r="A140" s="425"/>
      <c r="B140" s="449" t="s">
        <v>8184</v>
      </c>
      <c r="C140" s="468" t="s">
        <v>8190</v>
      </c>
      <c r="D140" s="450" t="s">
        <v>8058</v>
      </c>
      <c r="E140" s="450" t="s">
        <v>5482</v>
      </c>
      <c r="F140" s="450" t="s">
        <v>8191</v>
      </c>
      <c r="G140" s="450" t="s">
        <v>8192</v>
      </c>
      <c r="H140" s="450"/>
      <c r="I140" s="451"/>
      <c r="J140" s="450" t="s">
        <v>8193</v>
      </c>
      <c r="K140" s="450" t="s">
        <v>1424</v>
      </c>
      <c r="L140" s="450" t="s">
        <v>49</v>
      </c>
      <c r="M140" s="450" t="s">
        <v>27</v>
      </c>
      <c r="N140" s="450" t="s">
        <v>28</v>
      </c>
      <c r="O140" s="453">
        <v>6485.0</v>
      </c>
      <c r="P140" s="453"/>
      <c r="Q140" s="48">
        <v>55.0</v>
      </c>
      <c r="R140" s="425">
        <f t="shared" si="4"/>
        <v>3566.75</v>
      </c>
      <c r="S140" s="425">
        <f t="shared" si="1"/>
        <v>3566.75</v>
      </c>
      <c r="T140" s="425"/>
      <c r="U140" s="425"/>
      <c r="V140" s="425"/>
      <c r="W140" s="425"/>
      <c r="X140" s="425"/>
      <c r="Y140" s="425"/>
    </row>
    <row r="141">
      <c r="A141" s="340"/>
      <c r="B141" s="445" t="s">
        <v>8184</v>
      </c>
      <c r="C141" s="389" t="s">
        <v>8194</v>
      </c>
      <c r="D141" s="389" t="s">
        <v>44</v>
      </c>
      <c r="E141" s="389" t="s">
        <v>748</v>
      </c>
      <c r="F141" s="389" t="s">
        <v>8195</v>
      </c>
      <c r="G141" s="389" t="s">
        <v>8196</v>
      </c>
      <c r="H141" s="389"/>
      <c r="I141" s="446"/>
      <c r="J141" s="389" t="s">
        <v>8193</v>
      </c>
      <c r="K141" s="389" t="s">
        <v>1424</v>
      </c>
      <c r="L141" s="389" t="s">
        <v>49</v>
      </c>
      <c r="M141" s="389" t="s">
        <v>71</v>
      </c>
      <c r="N141" s="389" t="s">
        <v>28</v>
      </c>
      <c r="O141" s="448">
        <v>20246.0</v>
      </c>
      <c r="P141" s="448">
        <v>22928.0</v>
      </c>
      <c r="Q141" s="407">
        <v>53.0</v>
      </c>
      <c r="R141" s="340">
        <f t="shared" si="4"/>
        <v>10730.38</v>
      </c>
      <c r="S141" s="340">
        <f t="shared" si="1"/>
        <v>-12197.62</v>
      </c>
      <c r="T141" s="340"/>
      <c r="U141" s="340"/>
      <c r="V141" s="340"/>
      <c r="W141" s="340"/>
      <c r="X141" s="340"/>
      <c r="Y141" s="340"/>
    </row>
    <row r="142">
      <c r="A142" s="340"/>
      <c r="B142" s="445" t="s">
        <v>8184</v>
      </c>
      <c r="C142" s="389" t="s">
        <v>6676</v>
      </c>
      <c r="D142" s="389" t="s">
        <v>44</v>
      </c>
      <c r="E142" s="389" t="s">
        <v>262</v>
      </c>
      <c r="F142" s="389" t="s">
        <v>8197</v>
      </c>
      <c r="G142" s="389" t="s">
        <v>8198</v>
      </c>
      <c r="H142" s="389"/>
      <c r="I142" s="446"/>
      <c r="J142" s="389" t="s">
        <v>8199</v>
      </c>
      <c r="K142" s="389" t="s">
        <v>1424</v>
      </c>
      <c r="L142" s="389" t="s">
        <v>49</v>
      </c>
      <c r="M142" s="389" t="s">
        <v>71</v>
      </c>
      <c r="N142" s="389" t="s">
        <v>28</v>
      </c>
      <c r="O142" s="448">
        <v>20054.0</v>
      </c>
      <c r="P142" s="448"/>
      <c r="Q142" s="407">
        <v>53.0</v>
      </c>
      <c r="R142" s="340">
        <f t="shared" si="4"/>
        <v>10628.62</v>
      </c>
      <c r="S142" s="340">
        <f t="shared" si="1"/>
        <v>10628.62</v>
      </c>
      <c r="T142" s="340"/>
      <c r="U142" s="340"/>
      <c r="V142" s="340"/>
      <c r="W142" s="340"/>
      <c r="X142" s="340"/>
      <c r="Y142" s="340"/>
    </row>
    <row r="143">
      <c r="A143" s="31"/>
      <c r="B143" s="455" t="s">
        <v>8184</v>
      </c>
      <c r="C143" s="440" t="s">
        <v>8200</v>
      </c>
      <c r="D143" s="440" t="s">
        <v>21</v>
      </c>
      <c r="E143" s="440" t="s">
        <v>8047</v>
      </c>
      <c r="F143" s="440" t="s">
        <v>8201</v>
      </c>
      <c r="G143" s="440" t="s">
        <v>8202</v>
      </c>
      <c r="H143" s="440"/>
      <c r="I143" s="441">
        <v>18500.0</v>
      </c>
      <c r="J143" s="440" t="s">
        <v>8169</v>
      </c>
      <c r="K143" s="440" t="s">
        <v>48</v>
      </c>
      <c r="L143" s="440" t="s">
        <v>49</v>
      </c>
      <c r="M143" s="440" t="s">
        <v>71</v>
      </c>
      <c r="N143" s="440" t="s">
        <v>28</v>
      </c>
      <c r="O143" s="467">
        <v>37691.0</v>
      </c>
      <c r="P143" s="464"/>
      <c r="Q143" s="5">
        <v>20.0</v>
      </c>
      <c r="R143" s="31">
        <f t="shared" si="4"/>
        <v>7538.2</v>
      </c>
      <c r="S143" s="31">
        <f t="shared" si="1"/>
        <v>7538.2</v>
      </c>
      <c r="T143" s="31"/>
      <c r="U143" s="31"/>
      <c r="V143" s="31"/>
      <c r="W143" s="31"/>
      <c r="X143" s="31"/>
      <c r="Y143" s="31"/>
    </row>
    <row r="144">
      <c r="A144" s="340"/>
      <c r="B144" s="445" t="s">
        <v>8203</v>
      </c>
      <c r="C144" s="389" t="s">
        <v>8204</v>
      </c>
      <c r="D144" s="389" t="s">
        <v>533</v>
      </c>
      <c r="E144" s="389">
        <v>5310.0</v>
      </c>
      <c r="F144" s="389" t="s">
        <v>8205</v>
      </c>
      <c r="G144" s="389" t="s">
        <v>8206</v>
      </c>
      <c r="H144" s="389"/>
      <c r="I144" s="446"/>
      <c r="J144" s="389" t="s">
        <v>8193</v>
      </c>
      <c r="K144" s="389" t="s">
        <v>116</v>
      </c>
      <c r="L144" s="389" t="s">
        <v>49</v>
      </c>
      <c r="M144" s="389" t="s">
        <v>27</v>
      </c>
      <c r="N144" s="389" t="s">
        <v>28</v>
      </c>
      <c r="O144" s="457">
        <v>9995.0</v>
      </c>
      <c r="P144" s="454"/>
      <c r="Q144" s="407">
        <v>40.0</v>
      </c>
      <c r="R144" s="340">
        <f t="shared" si="4"/>
        <v>3998</v>
      </c>
      <c r="S144" s="419">
        <f t="shared" si="1"/>
        <v>3998</v>
      </c>
      <c r="T144" s="340"/>
      <c r="U144" s="340"/>
      <c r="V144" s="340"/>
      <c r="W144" s="340"/>
      <c r="X144" s="340"/>
      <c r="Y144" s="340"/>
    </row>
    <row r="145">
      <c r="A145" s="31"/>
      <c r="B145" s="455" t="s">
        <v>8203</v>
      </c>
      <c r="C145" s="440" t="s">
        <v>8207</v>
      </c>
      <c r="D145" s="440" t="s">
        <v>8058</v>
      </c>
      <c r="E145" s="440" t="s">
        <v>5482</v>
      </c>
      <c r="F145" s="440" t="s">
        <v>8208</v>
      </c>
      <c r="G145" s="440" t="s">
        <v>8209</v>
      </c>
      <c r="H145" s="440"/>
      <c r="I145" s="441"/>
      <c r="J145" s="440" t="s">
        <v>8199</v>
      </c>
      <c r="K145" s="440" t="s">
        <v>668</v>
      </c>
      <c r="L145" s="440" t="s">
        <v>49</v>
      </c>
      <c r="M145" s="440" t="s">
        <v>71</v>
      </c>
      <c r="N145" s="440" t="s">
        <v>28</v>
      </c>
      <c r="O145" s="467">
        <v>6402.0</v>
      </c>
      <c r="P145" s="464"/>
      <c r="Q145" s="5">
        <v>52.0</v>
      </c>
      <c r="R145" s="31">
        <f t="shared" si="4"/>
        <v>3329.04</v>
      </c>
      <c r="S145" s="31">
        <f t="shared" si="1"/>
        <v>3329.04</v>
      </c>
      <c r="T145" s="31"/>
      <c r="U145" s="31"/>
      <c r="V145" s="31"/>
      <c r="W145" s="31"/>
      <c r="X145" s="31"/>
      <c r="Y145" s="31"/>
    </row>
    <row r="146">
      <c r="A146" s="340"/>
      <c r="B146" s="445" t="s">
        <v>8203</v>
      </c>
      <c r="C146" s="389" t="s">
        <v>8210</v>
      </c>
      <c r="D146" s="389" t="s">
        <v>21</v>
      </c>
      <c r="E146" s="389" t="s">
        <v>8211</v>
      </c>
      <c r="F146" s="389" t="s">
        <v>1961</v>
      </c>
      <c r="G146" s="389" t="s">
        <v>1962</v>
      </c>
      <c r="H146" s="389"/>
      <c r="I146" s="446">
        <v>35000.0</v>
      </c>
      <c r="J146" s="389" t="s">
        <v>8212</v>
      </c>
      <c r="K146" s="389" t="s">
        <v>48</v>
      </c>
      <c r="L146" s="389" t="s">
        <v>49</v>
      </c>
      <c r="M146" s="389" t="s">
        <v>71</v>
      </c>
      <c r="N146" s="389" t="s">
        <v>28</v>
      </c>
      <c r="O146" s="463">
        <v>45761.0</v>
      </c>
      <c r="P146" s="448"/>
      <c r="Q146" s="407">
        <v>20.0</v>
      </c>
      <c r="R146" s="340">
        <f t="shared" si="4"/>
        <v>9152.2</v>
      </c>
      <c r="S146" s="340">
        <f t="shared" si="1"/>
        <v>9152.2</v>
      </c>
      <c r="T146" s="340"/>
      <c r="U146" s="340"/>
      <c r="V146" s="340"/>
      <c r="W146" s="340"/>
      <c r="X146" s="340"/>
      <c r="Y146" s="340"/>
    </row>
    <row r="147">
      <c r="A147" s="340"/>
      <c r="B147" s="445" t="s">
        <v>8203</v>
      </c>
      <c r="C147" s="389" t="s">
        <v>8213</v>
      </c>
      <c r="D147" s="389" t="s">
        <v>44</v>
      </c>
      <c r="E147" s="389" t="s">
        <v>528</v>
      </c>
      <c r="F147" s="389" t="s">
        <v>8214</v>
      </c>
      <c r="G147" s="389" t="s">
        <v>8215</v>
      </c>
      <c r="H147" s="389"/>
      <c r="I147" s="446"/>
      <c r="J147" s="389" t="s">
        <v>1909</v>
      </c>
      <c r="K147" s="389" t="s">
        <v>116</v>
      </c>
      <c r="L147" s="389" t="s">
        <v>49</v>
      </c>
      <c r="M147" s="389" t="s">
        <v>27</v>
      </c>
      <c r="N147" s="389" t="s">
        <v>28</v>
      </c>
      <c r="O147" s="457">
        <v>18372.0</v>
      </c>
      <c r="P147" s="454">
        <v>20710.0</v>
      </c>
      <c r="Q147" s="407">
        <v>51.0</v>
      </c>
      <c r="R147" s="340">
        <f t="shared" si="4"/>
        <v>9369.72</v>
      </c>
      <c r="S147" s="419">
        <f t="shared" si="1"/>
        <v>-11340.28</v>
      </c>
      <c r="T147" s="340"/>
      <c r="U147" s="340"/>
      <c r="V147" s="340"/>
      <c r="W147" s="340"/>
      <c r="X147" s="340"/>
      <c r="Y147" s="340"/>
    </row>
    <row r="148">
      <c r="A148" s="340"/>
      <c r="B148" s="445" t="s">
        <v>8203</v>
      </c>
      <c r="C148" s="389" t="s">
        <v>289</v>
      </c>
      <c r="D148" s="389" t="s">
        <v>8058</v>
      </c>
      <c r="E148" s="389" t="s">
        <v>7761</v>
      </c>
      <c r="F148" s="389" t="s">
        <v>8216</v>
      </c>
      <c r="G148" s="389" t="s">
        <v>8217</v>
      </c>
      <c r="H148" s="389"/>
      <c r="I148" s="446"/>
      <c r="J148" s="389" t="s">
        <v>8212</v>
      </c>
      <c r="K148" s="389" t="s">
        <v>116</v>
      </c>
      <c r="L148" s="389" t="s">
        <v>49</v>
      </c>
      <c r="M148" s="389" t="s">
        <v>71</v>
      </c>
      <c r="N148" s="389" t="s">
        <v>28</v>
      </c>
      <c r="O148" s="457">
        <v>5625.0</v>
      </c>
      <c r="P148" s="454"/>
      <c r="Q148" s="407">
        <v>51.0</v>
      </c>
      <c r="R148" s="340">
        <f t="shared" si="4"/>
        <v>2868.75</v>
      </c>
      <c r="S148" s="419">
        <f t="shared" si="1"/>
        <v>2868.75</v>
      </c>
      <c r="T148" s="340"/>
      <c r="U148" s="340"/>
      <c r="V148" s="340"/>
      <c r="W148" s="340"/>
      <c r="X148" s="340"/>
      <c r="Y148" s="340"/>
    </row>
    <row r="149">
      <c r="A149" s="425"/>
      <c r="B149" s="449" t="s">
        <v>8203</v>
      </c>
      <c r="C149" s="450" t="s">
        <v>8218</v>
      </c>
      <c r="D149" s="450" t="s">
        <v>21</v>
      </c>
      <c r="E149" s="450" t="s">
        <v>8219</v>
      </c>
      <c r="F149" s="450" t="s">
        <v>8220</v>
      </c>
      <c r="G149" s="450" t="s">
        <v>8221</v>
      </c>
      <c r="H149" s="450"/>
      <c r="I149" s="451">
        <v>35000.0</v>
      </c>
      <c r="J149" s="450" t="s">
        <v>8222</v>
      </c>
      <c r="K149" s="450" t="s">
        <v>70</v>
      </c>
      <c r="L149" s="450" t="s">
        <v>49</v>
      </c>
      <c r="M149" s="450" t="s">
        <v>71</v>
      </c>
      <c r="N149" s="450" t="s">
        <v>28</v>
      </c>
      <c r="O149" s="456">
        <v>48632.0</v>
      </c>
      <c r="P149" s="453">
        <v>54749.0</v>
      </c>
      <c r="Q149" s="48">
        <v>23.0</v>
      </c>
      <c r="R149" s="425">
        <f t="shared" si="4"/>
        <v>11185.36</v>
      </c>
      <c r="S149" s="425">
        <f t="shared" si="1"/>
        <v>-43563.64</v>
      </c>
      <c r="T149" s="425"/>
      <c r="U149" s="425"/>
      <c r="V149" s="425"/>
      <c r="W149" s="425"/>
      <c r="X149" s="425"/>
      <c r="Y149" s="425"/>
    </row>
    <row r="150">
      <c r="A150" s="31"/>
      <c r="B150" s="455" t="s">
        <v>8223</v>
      </c>
      <c r="C150" s="440" t="s">
        <v>8224</v>
      </c>
      <c r="D150" s="440" t="s">
        <v>21</v>
      </c>
      <c r="E150" s="440" t="s">
        <v>8074</v>
      </c>
      <c r="F150" s="440" t="s">
        <v>8225</v>
      </c>
      <c r="G150" s="440" t="s">
        <v>8226</v>
      </c>
      <c r="H150" s="440" t="s">
        <v>8227</v>
      </c>
      <c r="I150" s="441">
        <v>28000.0</v>
      </c>
      <c r="J150" s="440" t="s">
        <v>8199</v>
      </c>
      <c r="K150" s="440" t="s">
        <v>297</v>
      </c>
      <c r="L150" s="440" t="s">
        <v>26</v>
      </c>
      <c r="M150" s="440" t="s">
        <v>27</v>
      </c>
      <c r="N150" s="440" t="s">
        <v>28</v>
      </c>
      <c r="O150" s="443">
        <v>44365.0</v>
      </c>
      <c r="P150" s="443"/>
      <c r="Q150" s="5">
        <v>38.0</v>
      </c>
      <c r="R150" s="31">
        <f t="shared" si="4"/>
        <v>16858.7</v>
      </c>
      <c r="S150" s="444">
        <f t="shared" si="1"/>
        <v>16858.7</v>
      </c>
      <c r="T150" s="31"/>
      <c r="U150" s="31"/>
      <c r="V150" s="31"/>
      <c r="W150" s="31"/>
      <c r="X150" s="31"/>
      <c r="Y150" s="31"/>
    </row>
    <row r="151">
      <c r="A151" s="340"/>
      <c r="B151" s="445" t="s">
        <v>8223</v>
      </c>
      <c r="C151" s="389" t="s">
        <v>8228</v>
      </c>
      <c r="D151" s="389" t="s">
        <v>44</v>
      </c>
      <c r="E151" s="389" t="s">
        <v>528</v>
      </c>
      <c r="F151" s="389" t="s">
        <v>8229</v>
      </c>
      <c r="G151" s="389" t="s">
        <v>8230</v>
      </c>
      <c r="H151" s="389"/>
      <c r="I151" s="446"/>
      <c r="J151" s="389" t="s">
        <v>8231</v>
      </c>
      <c r="K151" s="389" t="s">
        <v>116</v>
      </c>
      <c r="L151" s="389" t="s">
        <v>49</v>
      </c>
      <c r="M151" s="389" t="s">
        <v>27</v>
      </c>
      <c r="N151" s="389" t="s">
        <v>28</v>
      </c>
      <c r="O151" s="469">
        <v>17470.0</v>
      </c>
      <c r="P151" s="454"/>
      <c r="Q151" s="407">
        <v>51.0</v>
      </c>
      <c r="R151" s="340">
        <f t="shared" si="4"/>
        <v>8909.7</v>
      </c>
      <c r="S151" s="419">
        <f t="shared" si="1"/>
        <v>8909.7</v>
      </c>
      <c r="T151" s="340"/>
      <c r="U151" s="340"/>
      <c r="V151" s="340"/>
      <c r="W151" s="340"/>
      <c r="X151" s="340"/>
      <c r="Y151" s="340"/>
    </row>
    <row r="152">
      <c r="A152" s="340"/>
      <c r="B152" s="445" t="s">
        <v>8223</v>
      </c>
      <c r="C152" s="389" t="s">
        <v>8232</v>
      </c>
      <c r="D152" s="389" t="s">
        <v>8058</v>
      </c>
      <c r="E152" s="389" t="s">
        <v>7761</v>
      </c>
      <c r="F152" s="389" t="s">
        <v>8233</v>
      </c>
      <c r="G152" s="389" t="s">
        <v>8192</v>
      </c>
      <c r="H152" s="389"/>
      <c r="I152" s="446"/>
      <c r="J152" s="389" t="s">
        <v>8199</v>
      </c>
      <c r="K152" s="389" t="s">
        <v>1424</v>
      </c>
      <c r="L152" s="389" t="s">
        <v>49</v>
      </c>
      <c r="M152" s="389" t="s">
        <v>27</v>
      </c>
      <c r="N152" s="389" t="s">
        <v>28</v>
      </c>
      <c r="O152" s="448">
        <v>6710.0</v>
      </c>
      <c r="P152" s="448"/>
      <c r="Q152" s="407">
        <v>57.0</v>
      </c>
      <c r="R152" s="340">
        <f t="shared" si="4"/>
        <v>3824.7</v>
      </c>
      <c r="S152" s="340">
        <f t="shared" si="1"/>
        <v>3824.7</v>
      </c>
      <c r="T152" s="340"/>
      <c r="U152" s="340"/>
      <c r="V152" s="340"/>
      <c r="W152" s="340"/>
      <c r="X152" s="340"/>
      <c r="Y152" s="340"/>
    </row>
    <row r="153">
      <c r="A153" s="340"/>
      <c r="B153" s="445" t="s">
        <v>8223</v>
      </c>
      <c r="C153" s="389" t="s">
        <v>8234</v>
      </c>
      <c r="D153" s="389" t="s">
        <v>8058</v>
      </c>
      <c r="E153" s="389" t="s">
        <v>5482</v>
      </c>
      <c r="F153" s="389" t="s">
        <v>8235</v>
      </c>
      <c r="G153" s="389" t="s">
        <v>8236</v>
      </c>
      <c r="H153" s="389"/>
      <c r="I153" s="446"/>
      <c r="J153" s="389" t="s">
        <v>8199</v>
      </c>
      <c r="K153" s="389" t="s">
        <v>1424</v>
      </c>
      <c r="L153" s="389" t="s">
        <v>49</v>
      </c>
      <c r="M153" s="389" t="s">
        <v>27</v>
      </c>
      <c r="N153" s="389" t="s">
        <v>28</v>
      </c>
      <c r="O153" s="448">
        <v>6614.0</v>
      </c>
      <c r="P153" s="448"/>
      <c r="Q153" s="407">
        <v>57.0</v>
      </c>
      <c r="R153" s="340">
        <f t="shared" si="4"/>
        <v>3769.98</v>
      </c>
      <c r="S153" s="340">
        <f t="shared" si="1"/>
        <v>3769.98</v>
      </c>
      <c r="T153" s="340"/>
      <c r="U153" s="340"/>
      <c r="V153" s="340"/>
      <c r="W153" s="340"/>
      <c r="X153" s="340"/>
      <c r="Y153" s="340"/>
    </row>
    <row r="154">
      <c r="A154" s="31"/>
      <c r="B154" s="455" t="s">
        <v>8223</v>
      </c>
      <c r="C154" s="440" t="s">
        <v>8237</v>
      </c>
      <c r="D154" s="440" t="s">
        <v>21</v>
      </c>
      <c r="E154" s="440" t="s">
        <v>8092</v>
      </c>
      <c r="F154" s="440" t="s">
        <v>8238</v>
      </c>
      <c r="G154" s="440" t="s">
        <v>8239</v>
      </c>
      <c r="H154" s="440" t="s">
        <v>8240</v>
      </c>
      <c r="I154" s="441">
        <v>35000.0</v>
      </c>
      <c r="J154" s="440" t="s">
        <v>8199</v>
      </c>
      <c r="K154" s="440" t="s">
        <v>48</v>
      </c>
      <c r="L154" s="440" t="s">
        <v>49</v>
      </c>
      <c r="M154" s="440" t="s">
        <v>27</v>
      </c>
      <c r="N154" s="440" t="s">
        <v>28</v>
      </c>
      <c r="O154" s="467">
        <v>47431.0</v>
      </c>
      <c r="P154" s="464"/>
      <c r="Q154" s="5">
        <v>20.0</v>
      </c>
      <c r="R154" s="31">
        <f t="shared" si="4"/>
        <v>9486.2</v>
      </c>
      <c r="S154" s="31">
        <f t="shared" si="1"/>
        <v>9486.2</v>
      </c>
      <c r="T154" s="31"/>
      <c r="U154" s="31"/>
      <c r="V154" s="31"/>
      <c r="W154" s="31"/>
      <c r="X154" s="31"/>
      <c r="Y154" s="31"/>
    </row>
    <row r="155">
      <c r="A155" s="340"/>
      <c r="B155" s="445" t="s">
        <v>8223</v>
      </c>
      <c r="C155" s="389" t="s">
        <v>8241</v>
      </c>
      <c r="D155" s="389" t="s">
        <v>8058</v>
      </c>
      <c r="E155" s="389" t="s">
        <v>7761</v>
      </c>
      <c r="F155" s="389" t="s">
        <v>8242</v>
      </c>
      <c r="G155" s="389" t="s">
        <v>8243</v>
      </c>
      <c r="H155" s="389"/>
      <c r="I155" s="446"/>
      <c r="J155" s="389" t="s">
        <v>8199</v>
      </c>
      <c r="K155" s="389" t="s">
        <v>116</v>
      </c>
      <c r="L155" s="389" t="s">
        <v>49</v>
      </c>
      <c r="M155" s="389" t="s">
        <v>1357</v>
      </c>
      <c r="N155" s="389" t="s">
        <v>28</v>
      </c>
      <c r="O155" s="457">
        <v>5574.0</v>
      </c>
      <c r="P155" s="454">
        <v>6300.0</v>
      </c>
      <c r="Q155" s="407">
        <v>51.0</v>
      </c>
      <c r="R155" s="340">
        <f t="shared" si="4"/>
        <v>2842.74</v>
      </c>
      <c r="S155" s="419">
        <f t="shared" si="1"/>
        <v>-3457.26</v>
      </c>
      <c r="T155" s="340"/>
      <c r="U155" s="340"/>
      <c r="V155" s="340"/>
      <c r="W155" s="340"/>
      <c r="X155" s="340"/>
      <c r="Y155" s="340"/>
    </row>
    <row r="156">
      <c r="A156" s="340"/>
      <c r="B156" s="445" t="s">
        <v>8244</v>
      </c>
      <c r="C156" s="389" t="s">
        <v>8245</v>
      </c>
      <c r="D156" s="389" t="s">
        <v>44</v>
      </c>
      <c r="E156" s="389" t="s">
        <v>8246</v>
      </c>
      <c r="F156" s="389" t="s">
        <v>8247</v>
      </c>
      <c r="G156" s="389"/>
      <c r="H156" s="389"/>
      <c r="I156" s="446"/>
      <c r="J156" s="470" t="s">
        <v>8248</v>
      </c>
      <c r="K156" s="389" t="s">
        <v>1424</v>
      </c>
      <c r="L156" s="389" t="s">
        <v>49</v>
      </c>
      <c r="M156" s="389" t="s">
        <v>71</v>
      </c>
      <c r="N156" s="389" t="s">
        <v>28</v>
      </c>
      <c r="O156" s="448">
        <v>19347.0</v>
      </c>
      <c r="P156" s="448">
        <v>21867.0</v>
      </c>
      <c r="Q156" s="407">
        <v>53.0</v>
      </c>
      <c r="R156" s="340">
        <f t="shared" si="4"/>
        <v>10253.91</v>
      </c>
      <c r="S156" s="340">
        <f t="shared" si="1"/>
        <v>-11613.09</v>
      </c>
      <c r="T156" s="340"/>
      <c r="U156" s="340"/>
      <c r="V156" s="340"/>
      <c r="W156" s="340"/>
      <c r="X156" s="340"/>
      <c r="Y156" s="340"/>
    </row>
    <row r="157">
      <c r="A157" s="31"/>
      <c r="B157" s="455" t="s">
        <v>8244</v>
      </c>
      <c r="C157" s="440" t="s">
        <v>8249</v>
      </c>
      <c r="D157" s="440" t="s">
        <v>8058</v>
      </c>
      <c r="E157" s="440" t="s">
        <v>8250</v>
      </c>
      <c r="F157" s="440" t="s">
        <v>8251</v>
      </c>
      <c r="G157" s="440"/>
      <c r="H157" s="440"/>
      <c r="I157" s="441"/>
      <c r="J157" s="471" t="s">
        <v>8252</v>
      </c>
      <c r="K157" s="440" t="s">
        <v>1424</v>
      </c>
      <c r="L157" s="440" t="s">
        <v>49</v>
      </c>
      <c r="M157" s="440" t="s">
        <v>71</v>
      </c>
      <c r="N157" s="440" t="s">
        <v>28</v>
      </c>
      <c r="O157" s="464">
        <v>6798.0</v>
      </c>
      <c r="P157" s="464"/>
      <c r="Q157" s="5">
        <v>57.0</v>
      </c>
      <c r="R157" s="31">
        <f t="shared" si="4"/>
        <v>3874.86</v>
      </c>
      <c r="S157" s="31">
        <f t="shared" si="1"/>
        <v>3874.86</v>
      </c>
      <c r="T157" s="31"/>
      <c r="U157" s="31"/>
      <c r="V157" s="31"/>
      <c r="W157" s="31"/>
      <c r="X157" s="31"/>
      <c r="Y157" s="31"/>
    </row>
    <row r="158">
      <c r="A158" s="31"/>
      <c r="B158" s="455" t="s">
        <v>8244</v>
      </c>
      <c r="C158" s="440" t="s">
        <v>8253</v>
      </c>
      <c r="D158" s="440" t="s">
        <v>44</v>
      </c>
      <c r="E158" s="440" t="s">
        <v>262</v>
      </c>
      <c r="F158" s="440" t="s">
        <v>8254</v>
      </c>
      <c r="G158" s="440"/>
      <c r="H158" s="440"/>
      <c r="I158" s="441"/>
      <c r="J158" s="471" t="s">
        <v>8252</v>
      </c>
      <c r="K158" s="440" t="s">
        <v>1424</v>
      </c>
      <c r="L158" s="440" t="s">
        <v>49</v>
      </c>
      <c r="M158" s="440" t="s">
        <v>1436</v>
      </c>
      <c r="N158" s="440" t="s">
        <v>28</v>
      </c>
      <c r="O158" s="464">
        <v>17379.0</v>
      </c>
      <c r="P158" s="464"/>
      <c r="Q158" s="5">
        <v>53.0</v>
      </c>
      <c r="R158" s="31">
        <f t="shared" si="4"/>
        <v>9210.87</v>
      </c>
      <c r="S158" s="31">
        <f t="shared" si="1"/>
        <v>9210.87</v>
      </c>
      <c r="T158" s="31"/>
      <c r="U158" s="31"/>
      <c r="V158" s="31"/>
      <c r="W158" s="31"/>
      <c r="X158" s="31"/>
      <c r="Y158" s="31"/>
    </row>
    <row r="159">
      <c r="A159" s="340"/>
      <c r="B159" s="262" t="s">
        <v>8244</v>
      </c>
      <c r="C159" s="160" t="s">
        <v>8255</v>
      </c>
      <c r="D159" s="160" t="s">
        <v>8058</v>
      </c>
      <c r="E159" s="160" t="s">
        <v>8067</v>
      </c>
      <c r="F159" s="160" t="s">
        <v>8256</v>
      </c>
      <c r="G159" s="160">
        <v>9.925885406E9</v>
      </c>
      <c r="H159" s="160"/>
      <c r="I159" s="262"/>
      <c r="J159" s="160" t="s">
        <v>8252</v>
      </c>
      <c r="K159" s="160" t="s">
        <v>1424</v>
      </c>
      <c r="L159" s="160" t="s">
        <v>49</v>
      </c>
      <c r="M159" s="160" t="s">
        <v>1357</v>
      </c>
      <c r="N159" s="160" t="s">
        <v>28</v>
      </c>
      <c r="O159" s="161">
        <v>6803.0</v>
      </c>
      <c r="P159" s="161"/>
      <c r="Q159" s="407">
        <v>57.0</v>
      </c>
      <c r="R159" s="340">
        <f t="shared" si="4"/>
        <v>3877.71</v>
      </c>
      <c r="S159" s="340">
        <f t="shared" si="1"/>
        <v>3877.71</v>
      </c>
      <c r="T159" s="340"/>
      <c r="U159" s="340"/>
      <c r="V159" s="340"/>
      <c r="W159" s="340"/>
      <c r="X159" s="340"/>
      <c r="Y159" s="340"/>
    </row>
    <row r="160">
      <c r="A160" s="31"/>
      <c r="B160" s="14"/>
      <c r="C160" s="8"/>
      <c r="D160" s="8"/>
      <c r="E160" s="8"/>
      <c r="F160" s="8"/>
      <c r="G160" s="8"/>
      <c r="H160" s="8"/>
      <c r="I160" s="7"/>
      <c r="J160" s="22"/>
      <c r="K160" s="8"/>
      <c r="L160" s="8"/>
      <c r="M160" s="8"/>
      <c r="N160" s="8"/>
      <c r="O160" s="96"/>
      <c r="P160" s="96"/>
      <c r="Q160" s="5"/>
      <c r="R160" s="31"/>
      <c r="S160" s="31"/>
      <c r="T160" s="31"/>
      <c r="U160" s="31"/>
      <c r="V160" s="31"/>
      <c r="W160" s="31"/>
      <c r="X160" s="31"/>
      <c r="Y160" s="31"/>
    </row>
    <row r="161">
      <c r="A161" s="340"/>
      <c r="B161" s="261">
        <v>44938.0</v>
      </c>
      <c r="C161" s="160" t="s">
        <v>8257</v>
      </c>
      <c r="D161" s="160" t="s">
        <v>44</v>
      </c>
      <c r="E161" s="160" t="s">
        <v>528</v>
      </c>
      <c r="F161" s="160" t="s">
        <v>8258</v>
      </c>
      <c r="G161" s="160"/>
      <c r="H161" s="160"/>
      <c r="I161" s="262"/>
      <c r="J161" s="162">
        <v>45363.0</v>
      </c>
      <c r="K161" s="160" t="s">
        <v>116</v>
      </c>
      <c r="L161" s="160" t="s">
        <v>49</v>
      </c>
      <c r="M161" s="160" t="s">
        <v>71</v>
      </c>
      <c r="N161" s="160" t="s">
        <v>8259</v>
      </c>
      <c r="O161" s="432">
        <v>17666.0</v>
      </c>
      <c r="P161" s="432">
        <v>19876.0</v>
      </c>
      <c r="Q161" s="407">
        <v>51.0</v>
      </c>
      <c r="R161" s="340">
        <f t="shared" ref="R161:R162" si="5">O161*Q161%</f>
        <v>9009.66</v>
      </c>
      <c r="S161" s="419">
        <f t="shared" ref="S161:S258" si="6">R161-P161</f>
        <v>-10866.34</v>
      </c>
      <c r="T161" s="340"/>
      <c r="U161" s="340"/>
      <c r="V161" s="340"/>
      <c r="W161" s="340"/>
      <c r="X161" s="340"/>
      <c r="Y161" s="340"/>
    </row>
    <row r="162">
      <c r="A162" s="425"/>
      <c r="B162" s="56">
        <v>44938.0</v>
      </c>
      <c r="C162" s="44" t="s">
        <v>8260</v>
      </c>
      <c r="D162" s="44" t="s">
        <v>21</v>
      </c>
      <c r="E162" s="44" t="s">
        <v>8074</v>
      </c>
      <c r="F162" s="44" t="s">
        <v>8261</v>
      </c>
      <c r="G162" s="44"/>
      <c r="H162" s="44"/>
      <c r="I162" s="43">
        <v>35000.0</v>
      </c>
      <c r="J162" s="472">
        <v>45303.0</v>
      </c>
      <c r="K162" s="44" t="s">
        <v>4272</v>
      </c>
      <c r="L162" s="425"/>
      <c r="M162" s="44" t="s">
        <v>71</v>
      </c>
      <c r="N162" s="44" t="s">
        <v>8262</v>
      </c>
      <c r="O162" s="433">
        <v>46609.0</v>
      </c>
      <c r="P162" s="433"/>
      <c r="Q162" s="48">
        <v>23.0</v>
      </c>
      <c r="R162" s="425">
        <f t="shared" si="5"/>
        <v>10720.07</v>
      </c>
      <c r="S162" s="425">
        <f t="shared" si="6"/>
        <v>10720.07</v>
      </c>
      <c r="T162" s="425"/>
      <c r="U162" s="425"/>
      <c r="V162" s="425"/>
      <c r="W162" s="425"/>
      <c r="X162" s="425"/>
      <c r="Y162" s="425"/>
    </row>
    <row r="163">
      <c r="A163" s="340"/>
      <c r="B163" s="261">
        <v>44938.0</v>
      </c>
      <c r="C163" s="473" t="s">
        <v>8263</v>
      </c>
      <c r="D163" s="213"/>
      <c r="E163" s="213"/>
      <c r="F163" s="213"/>
      <c r="G163" s="213"/>
      <c r="H163" s="213"/>
      <c r="I163" s="213"/>
      <c r="J163" s="213"/>
      <c r="K163" s="213"/>
      <c r="L163" s="474"/>
      <c r="M163" s="474"/>
      <c r="N163" s="474"/>
      <c r="O163" s="474"/>
      <c r="P163" s="474"/>
      <c r="Q163" s="475"/>
      <c r="R163" s="407">
        <v>23000.0</v>
      </c>
      <c r="S163" s="340">
        <f t="shared" si="6"/>
        <v>23000</v>
      </c>
      <c r="T163" s="340"/>
      <c r="U163" s="340"/>
      <c r="V163" s="340"/>
      <c r="W163" s="340"/>
      <c r="X163" s="340"/>
      <c r="Y163" s="340"/>
    </row>
    <row r="164">
      <c r="A164" s="340"/>
      <c r="B164" s="261">
        <v>44969.0</v>
      </c>
      <c r="C164" s="160" t="s">
        <v>8264</v>
      </c>
      <c r="D164" s="160" t="s">
        <v>1395</v>
      </c>
      <c r="E164" s="160" t="s">
        <v>3930</v>
      </c>
      <c r="F164" s="160" t="s">
        <v>8265</v>
      </c>
      <c r="G164" s="160">
        <v>9.636001977E9</v>
      </c>
      <c r="H164" s="160"/>
      <c r="I164" s="262">
        <v>3490.0</v>
      </c>
      <c r="J164" s="160" t="s">
        <v>8266</v>
      </c>
      <c r="K164" s="160" t="s">
        <v>116</v>
      </c>
      <c r="L164" s="160" t="s">
        <v>49</v>
      </c>
      <c r="M164" s="160" t="s">
        <v>27</v>
      </c>
      <c r="N164" s="160" t="s">
        <v>8262</v>
      </c>
      <c r="O164" s="161">
        <v>27179.0</v>
      </c>
      <c r="P164" s="161"/>
      <c r="Q164" s="407">
        <v>51.0</v>
      </c>
      <c r="R164" s="340">
        <f t="shared" ref="R164:R239" si="7">O164*Q164%</f>
        <v>13861.29</v>
      </c>
      <c r="S164" s="340">
        <f t="shared" si="6"/>
        <v>13861.29</v>
      </c>
      <c r="T164" s="340"/>
      <c r="U164" s="340"/>
      <c r="V164" s="340"/>
      <c r="W164" s="340"/>
      <c r="X164" s="340"/>
      <c r="Y164" s="340"/>
    </row>
    <row r="165">
      <c r="A165" s="340"/>
      <c r="B165" s="261">
        <v>44969.0</v>
      </c>
      <c r="C165" s="160" t="s">
        <v>8267</v>
      </c>
      <c r="D165" s="160" t="s">
        <v>21</v>
      </c>
      <c r="E165" s="160" t="s">
        <v>8268</v>
      </c>
      <c r="F165" s="160" t="s">
        <v>8269</v>
      </c>
      <c r="G165" s="160"/>
      <c r="H165" s="160"/>
      <c r="I165" s="262">
        <v>16200.0</v>
      </c>
      <c r="J165" s="476">
        <v>45303.0</v>
      </c>
      <c r="K165" s="160" t="s">
        <v>48</v>
      </c>
      <c r="L165" s="160" t="s">
        <v>49</v>
      </c>
      <c r="M165" s="160" t="s">
        <v>27</v>
      </c>
      <c r="N165" s="160" t="s">
        <v>8262</v>
      </c>
      <c r="O165" s="161">
        <v>39510.0</v>
      </c>
      <c r="P165" s="161"/>
      <c r="Q165" s="407">
        <v>20.0</v>
      </c>
      <c r="R165" s="340">
        <f t="shared" si="7"/>
        <v>7902</v>
      </c>
      <c r="S165" s="340">
        <f t="shared" si="6"/>
        <v>7902</v>
      </c>
      <c r="T165" s="340"/>
      <c r="U165" s="340"/>
      <c r="V165" s="340"/>
      <c r="W165" s="340"/>
      <c r="X165" s="340"/>
      <c r="Y165" s="340"/>
    </row>
    <row r="166">
      <c r="A166" s="31"/>
      <c r="B166" s="14">
        <v>44969.0</v>
      </c>
      <c r="C166" s="8" t="s">
        <v>5755</v>
      </c>
      <c r="D166" s="8" t="s">
        <v>21</v>
      </c>
      <c r="E166" s="8" t="s">
        <v>2071</v>
      </c>
      <c r="F166" s="8" t="s">
        <v>8270</v>
      </c>
      <c r="G166" s="8">
        <v>9.879783545E9</v>
      </c>
      <c r="H166" s="8"/>
      <c r="I166" s="7">
        <v>18500.0</v>
      </c>
      <c r="J166" s="215">
        <v>45394.0</v>
      </c>
      <c r="K166" s="8" t="s">
        <v>48</v>
      </c>
      <c r="L166" s="8" t="s">
        <v>49</v>
      </c>
      <c r="M166" s="8" t="s">
        <v>71</v>
      </c>
      <c r="N166" s="8" t="s">
        <v>8262</v>
      </c>
      <c r="O166" s="21">
        <v>36462.0</v>
      </c>
      <c r="P166" s="21"/>
      <c r="Q166" s="5">
        <v>20.0</v>
      </c>
      <c r="R166" s="31">
        <f t="shared" si="7"/>
        <v>7292.4</v>
      </c>
      <c r="S166" s="31">
        <f t="shared" si="6"/>
        <v>7292.4</v>
      </c>
      <c r="T166" s="31"/>
      <c r="U166" s="31"/>
      <c r="V166" s="31"/>
      <c r="W166" s="31"/>
      <c r="X166" s="31"/>
      <c r="Y166" s="31"/>
    </row>
    <row r="167">
      <c r="A167" s="31"/>
      <c r="B167" s="14">
        <v>44969.0</v>
      </c>
      <c r="C167" s="8" t="s">
        <v>8271</v>
      </c>
      <c r="D167" s="8" t="s">
        <v>75</v>
      </c>
      <c r="E167" s="8" t="s">
        <v>1760</v>
      </c>
      <c r="F167" s="8" t="s">
        <v>8272</v>
      </c>
      <c r="G167" s="8"/>
      <c r="H167" s="8"/>
      <c r="I167" s="7"/>
      <c r="J167" s="215">
        <v>45303.0</v>
      </c>
      <c r="K167" s="8" t="s">
        <v>668</v>
      </c>
      <c r="L167" s="8" t="s">
        <v>49</v>
      </c>
      <c r="M167" s="8" t="s">
        <v>27</v>
      </c>
      <c r="N167" s="8" t="s">
        <v>8262</v>
      </c>
      <c r="O167" s="21">
        <v>5751.0</v>
      </c>
      <c r="P167" s="21"/>
      <c r="Q167" s="5">
        <v>52.0</v>
      </c>
      <c r="R167" s="31">
        <f t="shared" si="7"/>
        <v>2990.52</v>
      </c>
      <c r="S167" s="31">
        <f t="shared" si="6"/>
        <v>2990.52</v>
      </c>
      <c r="T167" s="31"/>
      <c r="U167" s="31"/>
      <c r="V167" s="31"/>
      <c r="W167" s="31"/>
      <c r="X167" s="31"/>
      <c r="Y167" s="31"/>
    </row>
    <row r="168">
      <c r="A168" s="425"/>
      <c r="B168" s="56">
        <v>44969.0</v>
      </c>
      <c r="C168" s="44" t="s">
        <v>8273</v>
      </c>
      <c r="D168" s="44" t="s">
        <v>1395</v>
      </c>
      <c r="E168" s="44" t="s">
        <v>4044</v>
      </c>
      <c r="F168" s="44" t="s">
        <v>8274</v>
      </c>
      <c r="G168" s="44">
        <v>9.913036552E9</v>
      </c>
      <c r="H168" s="44"/>
      <c r="I168" s="43">
        <v>1550.0</v>
      </c>
      <c r="J168" s="472">
        <v>45516.0</v>
      </c>
      <c r="K168" s="44" t="s">
        <v>70</v>
      </c>
      <c r="L168" s="44" t="s">
        <v>49</v>
      </c>
      <c r="M168" s="44" t="s">
        <v>1456</v>
      </c>
      <c r="N168" s="44" t="s">
        <v>8259</v>
      </c>
      <c r="O168" s="433">
        <v>17257.0</v>
      </c>
      <c r="P168" s="433">
        <v>19400.0</v>
      </c>
      <c r="Q168" s="48">
        <v>55.0</v>
      </c>
      <c r="R168" s="425">
        <f t="shared" si="7"/>
        <v>9491.35</v>
      </c>
      <c r="S168" s="425">
        <f t="shared" si="6"/>
        <v>-9908.65</v>
      </c>
      <c r="T168" s="425"/>
      <c r="U168" s="425"/>
      <c r="V168" s="425"/>
      <c r="W168" s="425"/>
      <c r="X168" s="425"/>
      <c r="Y168" s="425"/>
    </row>
    <row r="169">
      <c r="A169" s="340"/>
      <c r="B169" s="261">
        <v>44969.0</v>
      </c>
      <c r="C169" s="160" t="s">
        <v>5783</v>
      </c>
      <c r="D169" s="160" t="s">
        <v>1395</v>
      </c>
      <c r="E169" s="160" t="s">
        <v>3930</v>
      </c>
      <c r="F169" s="160" t="s">
        <v>8275</v>
      </c>
      <c r="G169" s="160"/>
      <c r="H169" s="160"/>
      <c r="I169" s="262">
        <v>2960.0</v>
      </c>
      <c r="J169" s="476">
        <v>45303.0</v>
      </c>
      <c r="K169" s="160" t="s">
        <v>116</v>
      </c>
      <c r="L169" s="160" t="s">
        <v>49</v>
      </c>
      <c r="M169" s="160" t="s">
        <v>71</v>
      </c>
      <c r="N169" s="160" t="s">
        <v>8262</v>
      </c>
      <c r="O169" s="161">
        <v>18103.0</v>
      </c>
      <c r="P169" s="161"/>
      <c r="Q169" s="407">
        <v>51.0</v>
      </c>
      <c r="R169" s="340">
        <f t="shared" si="7"/>
        <v>9232.53</v>
      </c>
      <c r="S169" s="340">
        <f t="shared" si="6"/>
        <v>9232.53</v>
      </c>
      <c r="T169" s="340"/>
      <c r="U169" s="340"/>
      <c r="V169" s="340"/>
      <c r="W169" s="340"/>
      <c r="X169" s="340"/>
      <c r="Y169" s="340"/>
    </row>
    <row r="170">
      <c r="A170" s="340"/>
      <c r="B170" s="261">
        <v>45058.0</v>
      </c>
      <c r="C170" s="160" t="s">
        <v>8276</v>
      </c>
      <c r="D170" s="160" t="s">
        <v>93</v>
      </c>
      <c r="E170" s="160" t="s">
        <v>8047</v>
      </c>
      <c r="F170" s="160" t="s">
        <v>8277</v>
      </c>
      <c r="G170" s="160" t="s">
        <v>8278</v>
      </c>
      <c r="H170" s="160"/>
      <c r="I170" s="160"/>
      <c r="J170" s="476">
        <v>45363.0</v>
      </c>
      <c r="K170" s="160" t="s">
        <v>48</v>
      </c>
      <c r="L170" s="160" t="s">
        <v>49</v>
      </c>
      <c r="M170" s="160" t="s">
        <v>27</v>
      </c>
      <c r="N170" s="160" t="s">
        <v>8259</v>
      </c>
      <c r="O170" s="161">
        <v>31631.0</v>
      </c>
      <c r="P170" s="161">
        <v>35693.0</v>
      </c>
      <c r="Q170" s="407">
        <v>20.0</v>
      </c>
      <c r="R170" s="340">
        <f t="shared" si="7"/>
        <v>6326.2</v>
      </c>
      <c r="S170" s="340">
        <f t="shared" si="6"/>
        <v>-29366.8</v>
      </c>
      <c r="T170" s="340"/>
      <c r="U170" s="340"/>
      <c r="V170" s="340"/>
      <c r="W170" s="340"/>
      <c r="X170" s="340"/>
      <c r="Y170" s="340"/>
    </row>
    <row r="171">
      <c r="A171" s="340"/>
      <c r="B171" s="261">
        <v>45058.0</v>
      </c>
      <c r="C171" s="160" t="s">
        <v>6064</v>
      </c>
      <c r="D171" s="160" t="s">
        <v>8058</v>
      </c>
      <c r="E171" s="160" t="s">
        <v>7761</v>
      </c>
      <c r="F171" s="160" t="s">
        <v>8279</v>
      </c>
      <c r="G171" s="160" t="s">
        <v>8280</v>
      </c>
      <c r="H171" s="160"/>
      <c r="I171" s="160"/>
      <c r="J171" s="162">
        <v>45363.0</v>
      </c>
      <c r="K171" s="160" t="s">
        <v>116</v>
      </c>
      <c r="L171" s="160" t="s">
        <v>49</v>
      </c>
      <c r="M171" s="160" t="s">
        <v>1357</v>
      </c>
      <c r="N171" s="160" t="s">
        <v>8262</v>
      </c>
      <c r="O171" s="432">
        <v>5653.0</v>
      </c>
      <c r="P171" s="163"/>
      <c r="Q171" s="407">
        <v>51.0</v>
      </c>
      <c r="R171" s="340">
        <f t="shared" si="7"/>
        <v>2883.03</v>
      </c>
      <c r="S171" s="421">
        <f t="shared" si="6"/>
        <v>2883.03</v>
      </c>
      <c r="T171" s="340"/>
      <c r="U171" s="340"/>
      <c r="V171" s="340"/>
      <c r="W171" s="340"/>
      <c r="X171" s="340"/>
      <c r="Y171" s="340"/>
    </row>
    <row r="172">
      <c r="A172" s="340"/>
      <c r="B172" s="261">
        <v>45058.0</v>
      </c>
      <c r="C172" s="160" t="s">
        <v>8281</v>
      </c>
      <c r="D172" s="160" t="s">
        <v>93</v>
      </c>
      <c r="E172" s="160" t="s">
        <v>8047</v>
      </c>
      <c r="F172" s="160" t="s">
        <v>8282</v>
      </c>
      <c r="G172" s="160" t="s">
        <v>8283</v>
      </c>
      <c r="H172" s="160"/>
      <c r="I172" s="160"/>
      <c r="J172" s="476">
        <v>45363.0</v>
      </c>
      <c r="K172" s="160" t="s">
        <v>48</v>
      </c>
      <c r="L172" s="160" t="s">
        <v>49</v>
      </c>
      <c r="M172" s="160" t="s">
        <v>27</v>
      </c>
      <c r="N172" s="160" t="s">
        <v>8259</v>
      </c>
      <c r="O172" s="161">
        <v>30242.0</v>
      </c>
      <c r="P172" s="161">
        <v>34054.0</v>
      </c>
      <c r="Q172" s="407">
        <v>20.0</v>
      </c>
      <c r="R172" s="340">
        <f t="shared" si="7"/>
        <v>6048.4</v>
      </c>
      <c r="S172" s="340">
        <f t="shared" si="6"/>
        <v>-28005.6</v>
      </c>
      <c r="T172" s="340"/>
      <c r="U172" s="340"/>
      <c r="V172" s="340"/>
      <c r="W172" s="340"/>
      <c r="X172" s="340"/>
      <c r="Y172" s="340"/>
    </row>
    <row r="173">
      <c r="A173" s="31"/>
      <c r="B173" s="14">
        <v>45058.0</v>
      </c>
      <c r="C173" s="8" t="s">
        <v>8284</v>
      </c>
      <c r="D173" s="8"/>
      <c r="E173" s="8" t="s">
        <v>8047</v>
      </c>
      <c r="F173" s="8" t="s">
        <v>999</v>
      </c>
      <c r="G173" s="8" t="s">
        <v>1000</v>
      </c>
      <c r="H173" s="8" t="s">
        <v>7896</v>
      </c>
      <c r="I173" s="8"/>
      <c r="J173" s="215">
        <v>45363.0</v>
      </c>
      <c r="K173" s="8" t="s">
        <v>48</v>
      </c>
      <c r="L173" s="8" t="s">
        <v>49</v>
      </c>
      <c r="M173" s="8" t="s">
        <v>71</v>
      </c>
      <c r="N173" s="8" t="s">
        <v>8262</v>
      </c>
      <c r="O173" s="21">
        <v>52134.0</v>
      </c>
      <c r="P173" s="21"/>
      <c r="Q173" s="5">
        <v>20.0</v>
      </c>
      <c r="R173" s="31">
        <f t="shared" si="7"/>
        <v>10426.8</v>
      </c>
      <c r="S173" s="31">
        <f t="shared" si="6"/>
        <v>10426.8</v>
      </c>
      <c r="T173" s="31"/>
      <c r="U173" s="31"/>
      <c r="V173" s="31"/>
      <c r="W173" s="31"/>
      <c r="X173" s="31"/>
      <c r="Y173" s="31"/>
    </row>
    <row r="174">
      <c r="A174" s="425"/>
      <c r="B174" s="56">
        <v>45058.0</v>
      </c>
      <c r="C174" s="44" t="s">
        <v>8285</v>
      </c>
      <c r="D174" s="44"/>
      <c r="E174" s="44" t="s">
        <v>8074</v>
      </c>
      <c r="F174" s="44" t="s">
        <v>8286</v>
      </c>
      <c r="G174" s="44" t="s">
        <v>8107</v>
      </c>
      <c r="H174" s="44"/>
      <c r="I174" s="44"/>
      <c r="J174" s="472">
        <v>45363.0</v>
      </c>
      <c r="K174" s="44" t="s">
        <v>70</v>
      </c>
      <c r="L174" s="44" t="s">
        <v>49</v>
      </c>
      <c r="M174" s="44" t="s">
        <v>27</v>
      </c>
      <c r="N174" s="44" t="s">
        <v>8259</v>
      </c>
      <c r="O174" s="477">
        <v>37621.0</v>
      </c>
      <c r="P174" s="477">
        <v>42274.0</v>
      </c>
      <c r="Q174" s="48">
        <v>24.0</v>
      </c>
      <c r="R174" s="425">
        <f t="shared" si="7"/>
        <v>9029.04</v>
      </c>
      <c r="S174" s="425">
        <f t="shared" si="6"/>
        <v>-33244.96</v>
      </c>
      <c r="T174" s="425"/>
      <c r="U174" s="425"/>
      <c r="V174" s="425"/>
      <c r="W174" s="425"/>
      <c r="X174" s="425"/>
      <c r="Y174" s="425"/>
    </row>
    <row r="175">
      <c r="A175" s="340"/>
      <c r="B175" s="261">
        <v>45058.0</v>
      </c>
      <c r="C175" s="160" t="s">
        <v>6682</v>
      </c>
      <c r="D175" s="160"/>
      <c r="E175" s="160" t="s">
        <v>373</v>
      </c>
      <c r="F175" s="160" t="s">
        <v>8287</v>
      </c>
      <c r="G175" s="160" t="s">
        <v>8288</v>
      </c>
      <c r="H175" s="160"/>
      <c r="I175" s="160"/>
      <c r="J175" s="162">
        <v>45363.0</v>
      </c>
      <c r="K175" s="160" t="s">
        <v>116</v>
      </c>
      <c r="L175" s="160" t="s">
        <v>49</v>
      </c>
      <c r="M175" s="160" t="s">
        <v>71</v>
      </c>
      <c r="N175" s="160" t="s">
        <v>8262</v>
      </c>
      <c r="O175" s="432">
        <v>17858.0</v>
      </c>
      <c r="P175" s="432"/>
      <c r="Q175" s="407">
        <v>51.0</v>
      </c>
      <c r="R175" s="340">
        <f t="shared" si="7"/>
        <v>9107.58</v>
      </c>
      <c r="S175" s="419">
        <f t="shared" si="6"/>
        <v>9107.58</v>
      </c>
      <c r="T175" s="340"/>
      <c r="U175" s="340"/>
      <c r="V175" s="340"/>
      <c r="W175" s="340"/>
      <c r="X175" s="340"/>
      <c r="Y175" s="340"/>
    </row>
    <row r="176">
      <c r="A176" s="340"/>
      <c r="B176" s="261">
        <v>45058.0</v>
      </c>
      <c r="C176" s="160" t="s">
        <v>5797</v>
      </c>
      <c r="D176" s="160"/>
      <c r="E176" s="160" t="s">
        <v>8289</v>
      </c>
      <c r="F176" s="160" t="s">
        <v>5800</v>
      </c>
      <c r="G176" s="160" t="s">
        <v>8290</v>
      </c>
      <c r="H176" s="160"/>
      <c r="I176" s="160"/>
      <c r="J176" s="162">
        <v>45394.0</v>
      </c>
      <c r="K176" s="160" t="s">
        <v>1424</v>
      </c>
      <c r="L176" s="160" t="s">
        <v>49</v>
      </c>
      <c r="M176" s="160" t="s">
        <v>1436</v>
      </c>
      <c r="N176" s="160" t="s">
        <v>8262</v>
      </c>
      <c r="O176" s="161">
        <v>19647.0</v>
      </c>
      <c r="P176" s="161"/>
      <c r="Q176" s="407">
        <v>53.0</v>
      </c>
      <c r="R176" s="340">
        <f t="shared" si="7"/>
        <v>10412.91</v>
      </c>
      <c r="S176" s="340">
        <f t="shared" si="6"/>
        <v>10412.91</v>
      </c>
      <c r="T176" s="340"/>
      <c r="U176" s="340"/>
      <c r="V176" s="340"/>
      <c r="W176" s="340"/>
      <c r="X176" s="340"/>
      <c r="Y176" s="340"/>
    </row>
    <row r="177">
      <c r="A177" s="340"/>
      <c r="B177" s="261">
        <v>45058.0</v>
      </c>
      <c r="C177" s="160" t="s">
        <v>8291</v>
      </c>
      <c r="D177" s="160"/>
      <c r="E177" s="160" t="s">
        <v>5482</v>
      </c>
      <c r="F177" s="160" t="s">
        <v>8292</v>
      </c>
      <c r="G177" s="160"/>
      <c r="H177" s="160"/>
      <c r="I177" s="160"/>
      <c r="J177" s="162">
        <v>45394.0</v>
      </c>
      <c r="K177" s="160" t="s">
        <v>1424</v>
      </c>
      <c r="L177" s="160" t="s">
        <v>49</v>
      </c>
      <c r="M177" s="160" t="s">
        <v>27</v>
      </c>
      <c r="N177" s="160" t="s">
        <v>8262</v>
      </c>
      <c r="O177" s="161">
        <v>6858.0</v>
      </c>
      <c r="P177" s="161"/>
      <c r="Q177" s="407">
        <v>57.0</v>
      </c>
      <c r="R177" s="340">
        <f t="shared" si="7"/>
        <v>3909.06</v>
      </c>
      <c r="S177" s="340">
        <f t="shared" si="6"/>
        <v>3909.06</v>
      </c>
      <c r="T177" s="340"/>
      <c r="U177" s="340"/>
      <c r="V177" s="340"/>
      <c r="W177" s="340"/>
      <c r="X177" s="340"/>
      <c r="Y177" s="340"/>
    </row>
    <row r="178">
      <c r="A178" s="340"/>
      <c r="B178" s="261">
        <v>45058.0</v>
      </c>
      <c r="C178" s="160" t="s">
        <v>8293</v>
      </c>
      <c r="D178" s="160"/>
      <c r="E178" s="160" t="s">
        <v>8067</v>
      </c>
      <c r="F178" s="160" t="s">
        <v>8294</v>
      </c>
      <c r="G178" s="160" t="s">
        <v>5145</v>
      </c>
      <c r="H178" s="160"/>
      <c r="I178" s="160"/>
      <c r="J178" s="162">
        <v>45394.0</v>
      </c>
      <c r="K178" s="160" t="s">
        <v>1424</v>
      </c>
      <c r="L178" s="160" t="s">
        <v>49</v>
      </c>
      <c r="M178" s="160" t="s">
        <v>71</v>
      </c>
      <c r="N178" s="160" t="s">
        <v>8262</v>
      </c>
      <c r="O178" s="161">
        <v>7067.0</v>
      </c>
      <c r="P178" s="161"/>
      <c r="Q178" s="407">
        <v>57.0</v>
      </c>
      <c r="R178" s="340">
        <f t="shared" si="7"/>
        <v>4028.19</v>
      </c>
      <c r="S178" s="340">
        <f t="shared" si="6"/>
        <v>4028.19</v>
      </c>
      <c r="T178" s="340"/>
      <c r="U178" s="340"/>
      <c r="V178" s="340"/>
      <c r="W178" s="340"/>
      <c r="X178" s="340"/>
      <c r="Y178" s="340"/>
    </row>
    <row r="179">
      <c r="A179" s="340"/>
      <c r="B179" s="261">
        <v>45058.0</v>
      </c>
      <c r="C179" s="160" t="s">
        <v>6702</v>
      </c>
      <c r="D179" s="160"/>
      <c r="E179" s="160" t="s">
        <v>8295</v>
      </c>
      <c r="F179" s="160" t="s">
        <v>8296</v>
      </c>
      <c r="G179" s="160" t="s">
        <v>8297</v>
      </c>
      <c r="H179" s="160"/>
      <c r="I179" s="160"/>
      <c r="J179" s="162">
        <v>45516.0</v>
      </c>
      <c r="K179" s="160" t="s">
        <v>1424</v>
      </c>
      <c r="L179" s="160" t="s">
        <v>49</v>
      </c>
      <c r="M179" s="160" t="s">
        <v>71</v>
      </c>
      <c r="N179" s="160" t="s">
        <v>8262</v>
      </c>
      <c r="O179" s="161">
        <v>18137.0</v>
      </c>
      <c r="P179" s="161"/>
      <c r="Q179" s="407">
        <v>53.0</v>
      </c>
      <c r="R179" s="340">
        <f t="shared" si="7"/>
        <v>9612.61</v>
      </c>
      <c r="S179" s="340">
        <f t="shared" si="6"/>
        <v>9612.61</v>
      </c>
      <c r="T179" s="340"/>
      <c r="U179" s="340"/>
      <c r="V179" s="340"/>
      <c r="W179" s="340"/>
      <c r="X179" s="340"/>
      <c r="Y179" s="340"/>
    </row>
    <row r="180">
      <c r="A180" s="31"/>
      <c r="B180" s="14">
        <v>45058.0</v>
      </c>
      <c r="C180" s="8" t="s">
        <v>8298</v>
      </c>
      <c r="D180" s="8"/>
      <c r="E180" s="8" t="s">
        <v>8047</v>
      </c>
      <c r="F180" s="8" t="s">
        <v>8299</v>
      </c>
      <c r="G180" s="8" t="s">
        <v>2308</v>
      </c>
      <c r="H180" s="8"/>
      <c r="I180" s="8"/>
      <c r="J180" s="215">
        <v>45363.0</v>
      </c>
      <c r="K180" s="8" t="s">
        <v>48</v>
      </c>
      <c r="L180" s="8" t="s">
        <v>49</v>
      </c>
      <c r="M180" s="8" t="s">
        <v>71</v>
      </c>
      <c r="N180" s="8" t="s">
        <v>8262</v>
      </c>
      <c r="O180" s="21">
        <v>54299.0</v>
      </c>
      <c r="P180" s="21"/>
      <c r="Q180" s="5">
        <v>20.0</v>
      </c>
      <c r="R180" s="31">
        <f t="shared" si="7"/>
        <v>10859.8</v>
      </c>
      <c r="S180" s="31">
        <f t="shared" si="6"/>
        <v>10859.8</v>
      </c>
      <c r="T180" s="31"/>
      <c r="U180" s="31"/>
      <c r="V180" s="31"/>
      <c r="W180" s="31"/>
      <c r="X180" s="31"/>
      <c r="Y180" s="31"/>
    </row>
    <row r="181">
      <c r="A181" s="425"/>
      <c r="B181" s="56">
        <v>45455.0</v>
      </c>
      <c r="C181" s="44" t="s">
        <v>6700</v>
      </c>
      <c r="D181" s="44" t="s">
        <v>44</v>
      </c>
      <c r="E181" s="44" t="s">
        <v>528</v>
      </c>
      <c r="F181" s="44" t="s">
        <v>1132</v>
      </c>
      <c r="G181" s="44"/>
      <c r="H181" s="44"/>
      <c r="I181" s="44"/>
      <c r="J181" s="472">
        <v>45485.0</v>
      </c>
      <c r="K181" s="44" t="s">
        <v>48</v>
      </c>
      <c r="L181" s="44" t="s">
        <v>49</v>
      </c>
      <c r="M181" s="44" t="s">
        <v>71</v>
      </c>
      <c r="N181" s="44" t="s">
        <v>8262</v>
      </c>
      <c r="O181" s="433">
        <v>24626.0</v>
      </c>
      <c r="P181" s="433"/>
      <c r="Q181" s="48">
        <v>38.0</v>
      </c>
      <c r="R181" s="425">
        <f t="shared" si="7"/>
        <v>9357.88</v>
      </c>
      <c r="S181" s="425">
        <f t="shared" si="6"/>
        <v>9357.88</v>
      </c>
      <c r="T181" s="425"/>
      <c r="U181" s="425"/>
      <c r="V181" s="425"/>
      <c r="W181" s="425"/>
      <c r="X181" s="425"/>
      <c r="Y181" s="425"/>
    </row>
    <row r="182">
      <c r="A182" s="31"/>
      <c r="B182" s="14">
        <v>45455.0</v>
      </c>
      <c r="C182" s="8" t="s">
        <v>8300</v>
      </c>
      <c r="D182" s="8" t="s">
        <v>21</v>
      </c>
      <c r="E182" s="8" t="s">
        <v>8074</v>
      </c>
      <c r="F182" s="8" t="s">
        <v>8301</v>
      </c>
      <c r="G182" s="8" t="s">
        <v>8226</v>
      </c>
      <c r="H182" s="8"/>
      <c r="I182" s="8">
        <v>28000.0</v>
      </c>
      <c r="J182" s="215">
        <v>45424.0</v>
      </c>
      <c r="K182" s="8" t="s">
        <v>70</v>
      </c>
      <c r="L182" s="8" t="s">
        <v>49</v>
      </c>
      <c r="M182" s="8" t="s">
        <v>27</v>
      </c>
      <c r="N182" s="8" t="s">
        <v>8262</v>
      </c>
      <c r="O182" s="21">
        <v>46901.0</v>
      </c>
      <c r="P182" s="21"/>
      <c r="Q182" s="5">
        <v>23.0</v>
      </c>
      <c r="R182" s="31">
        <f t="shared" si="7"/>
        <v>10787.23</v>
      </c>
      <c r="S182" s="31">
        <f t="shared" si="6"/>
        <v>10787.23</v>
      </c>
      <c r="T182" s="31"/>
      <c r="U182" s="31"/>
      <c r="V182" s="31"/>
      <c r="W182" s="31"/>
      <c r="X182" s="31"/>
      <c r="Y182" s="31"/>
    </row>
    <row r="183">
      <c r="A183" s="31"/>
      <c r="B183" s="14">
        <v>45455.0</v>
      </c>
      <c r="C183" s="8" t="s">
        <v>8302</v>
      </c>
      <c r="D183" s="8" t="s">
        <v>44</v>
      </c>
      <c r="E183" s="8" t="s">
        <v>8246</v>
      </c>
      <c r="F183" s="8" t="s">
        <v>8303</v>
      </c>
      <c r="G183" s="8"/>
      <c r="H183" s="8"/>
      <c r="I183" s="8"/>
      <c r="J183" s="22">
        <v>45424.0</v>
      </c>
      <c r="K183" s="8" t="s">
        <v>1424</v>
      </c>
      <c r="L183" s="8" t="s">
        <v>49</v>
      </c>
      <c r="M183" s="8" t="s">
        <v>71</v>
      </c>
      <c r="N183" s="8" t="s">
        <v>8262</v>
      </c>
      <c r="O183" s="21">
        <v>19502.0</v>
      </c>
      <c r="P183" s="21"/>
      <c r="Q183" s="5">
        <v>53.0</v>
      </c>
      <c r="R183" s="31">
        <f t="shared" si="7"/>
        <v>10336.06</v>
      </c>
      <c r="S183" s="31">
        <f t="shared" si="6"/>
        <v>10336.06</v>
      </c>
      <c r="T183" s="31"/>
      <c r="U183" s="31"/>
      <c r="V183" s="31"/>
      <c r="W183" s="31"/>
      <c r="X183" s="31"/>
      <c r="Y183" s="31"/>
    </row>
    <row r="184">
      <c r="A184" s="340"/>
      <c r="B184" s="261">
        <v>45455.0</v>
      </c>
      <c r="C184" s="160" t="s">
        <v>8304</v>
      </c>
      <c r="D184" s="160" t="s">
        <v>44</v>
      </c>
      <c r="E184" s="160" t="s">
        <v>528</v>
      </c>
      <c r="F184" s="160" t="s">
        <v>8305</v>
      </c>
      <c r="G184" s="160"/>
      <c r="H184" s="160"/>
      <c r="I184" s="160"/>
      <c r="J184" s="162">
        <v>45455.0</v>
      </c>
      <c r="K184" s="160" t="s">
        <v>116</v>
      </c>
      <c r="L184" s="160" t="s">
        <v>49</v>
      </c>
      <c r="M184" s="160" t="s">
        <v>71</v>
      </c>
      <c r="N184" s="160" t="s">
        <v>8259</v>
      </c>
      <c r="O184" s="432">
        <v>17684.0</v>
      </c>
      <c r="P184" s="432">
        <v>19898.0</v>
      </c>
      <c r="Q184" s="407">
        <v>51.0</v>
      </c>
      <c r="R184" s="340">
        <f t="shared" si="7"/>
        <v>9018.84</v>
      </c>
      <c r="S184" s="419">
        <f t="shared" si="6"/>
        <v>-10879.16</v>
      </c>
      <c r="T184" s="340"/>
      <c r="U184" s="340"/>
      <c r="V184" s="340"/>
      <c r="W184" s="340"/>
      <c r="X184" s="340"/>
      <c r="Y184" s="340"/>
    </row>
    <row r="185">
      <c r="A185" s="340"/>
      <c r="B185" s="261">
        <v>45455.0</v>
      </c>
      <c r="C185" s="160" t="s">
        <v>6651</v>
      </c>
      <c r="D185" s="160" t="s">
        <v>44</v>
      </c>
      <c r="E185" s="160" t="s">
        <v>528</v>
      </c>
      <c r="F185" s="160" t="s">
        <v>8306</v>
      </c>
      <c r="G185" s="160"/>
      <c r="H185" s="160"/>
      <c r="I185" s="160"/>
      <c r="J185" s="162">
        <v>45424.0</v>
      </c>
      <c r="K185" s="160" t="s">
        <v>116</v>
      </c>
      <c r="L185" s="160" t="s">
        <v>49</v>
      </c>
      <c r="M185" s="160" t="s">
        <v>71</v>
      </c>
      <c r="N185" s="160" t="s">
        <v>8259</v>
      </c>
      <c r="O185" s="432">
        <v>17398.0</v>
      </c>
      <c r="P185" s="432">
        <v>19560.0</v>
      </c>
      <c r="Q185" s="407">
        <v>51.0</v>
      </c>
      <c r="R185" s="340">
        <f t="shared" si="7"/>
        <v>8872.98</v>
      </c>
      <c r="S185" s="419">
        <f t="shared" si="6"/>
        <v>-10687.02</v>
      </c>
      <c r="T185" s="340"/>
      <c r="U185" s="340"/>
      <c r="V185" s="340"/>
      <c r="W185" s="340"/>
      <c r="X185" s="340"/>
      <c r="Y185" s="340"/>
    </row>
    <row r="186">
      <c r="A186" s="340"/>
      <c r="B186" s="261">
        <v>45455.0</v>
      </c>
      <c r="C186" s="160" t="s">
        <v>6710</v>
      </c>
      <c r="D186" s="160" t="s">
        <v>44</v>
      </c>
      <c r="E186" s="160" t="s">
        <v>528</v>
      </c>
      <c r="F186" s="160" t="s">
        <v>8307</v>
      </c>
      <c r="G186" s="160"/>
      <c r="H186" s="160"/>
      <c r="I186" s="160"/>
      <c r="J186" s="162">
        <v>45547.0</v>
      </c>
      <c r="K186" s="160" t="s">
        <v>116</v>
      </c>
      <c r="L186" s="160" t="s">
        <v>49</v>
      </c>
      <c r="M186" s="160" t="s">
        <v>71</v>
      </c>
      <c r="N186" s="160" t="s">
        <v>8259</v>
      </c>
      <c r="O186" s="432">
        <v>17249.0</v>
      </c>
      <c r="P186" s="163">
        <v>19381.0</v>
      </c>
      <c r="Q186" s="407">
        <v>51.0</v>
      </c>
      <c r="R186" s="340">
        <f t="shared" si="7"/>
        <v>8796.99</v>
      </c>
      <c r="S186" s="421">
        <f t="shared" si="6"/>
        <v>-10584.01</v>
      </c>
      <c r="T186" s="340"/>
      <c r="U186" s="340"/>
      <c r="V186" s="340"/>
      <c r="W186" s="340"/>
      <c r="X186" s="340"/>
      <c r="Y186" s="340"/>
    </row>
    <row r="187">
      <c r="A187" s="340"/>
      <c r="B187" s="261">
        <v>45119.0</v>
      </c>
      <c r="C187" s="160" t="s">
        <v>6722</v>
      </c>
      <c r="D187" s="160" t="s">
        <v>44</v>
      </c>
      <c r="E187" s="160" t="s">
        <v>528</v>
      </c>
      <c r="F187" s="160" t="s">
        <v>8308</v>
      </c>
      <c r="G187" s="160" t="s">
        <v>8309</v>
      </c>
      <c r="H187" s="160"/>
      <c r="I187" s="160"/>
      <c r="J187" s="478">
        <v>45638.0</v>
      </c>
      <c r="K187" s="160" t="s">
        <v>116</v>
      </c>
      <c r="L187" s="160" t="s">
        <v>49</v>
      </c>
      <c r="M187" s="160" t="s">
        <v>71</v>
      </c>
      <c r="N187" s="160" t="s">
        <v>8259</v>
      </c>
      <c r="O187" s="432">
        <v>17368.0</v>
      </c>
      <c r="P187" s="432">
        <v>19524.0</v>
      </c>
      <c r="Q187" s="407">
        <v>51.0</v>
      </c>
      <c r="R187" s="340">
        <f t="shared" si="7"/>
        <v>8857.68</v>
      </c>
      <c r="S187" s="419">
        <f t="shared" si="6"/>
        <v>-10666.32</v>
      </c>
      <c r="T187" s="340"/>
      <c r="U187" s="340"/>
      <c r="V187" s="340"/>
      <c r="W187" s="340"/>
      <c r="X187" s="340"/>
      <c r="Y187" s="340"/>
    </row>
    <row r="188">
      <c r="A188" s="340"/>
      <c r="B188" s="261">
        <v>45150.0</v>
      </c>
      <c r="C188" s="160" t="s">
        <v>8310</v>
      </c>
      <c r="D188" s="160" t="s">
        <v>44</v>
      </c>
      <c r="E188" s="160" t="s">
        <v>528</v>
      </c>
      <c r="F188" s="160" t="s">
        <v>2257</v>
      </c>
      <c r="G188" s="160" t="s">
        <v>8311</v>
      </c>
      <c r="H188" s="160"/>
      <c r="I188" s="160"/>
      <c r="J188" s="478">
        <v>45608.0</v>
      </c>
      <c r="K188" s="160" t="s">
        <v>116</v>
      </c>
      <c r="L188" s="160" t="s">
        <v>49</v>
      </c>
      <c r="M188" s="160" t="s">
        <v>8312</v>
      </c>
      <c r="N188" s="160" t="s">
        <v>8259</v>
      </c>
      <c r="O188" s="432">
        <v>28504.0</v>
      </c>
      <c r="P188" s="432">
        <v>32666.0</v>
      </c>
      <c r="Q188" s="407">
        <v>51.0</v>
      </c>
      <c r="R188" s="340">
        <f t="shared" si="7"/>
        <v>14537.04</v>
      </c>
      <c r="S188" s="419">
        <f t="shared" si="6"/>
        <v>-18128.96</v>
      </c>
      <c r="T188" s="340"/>
      <c r="U188" s="340"/>
      <c r="V188" s="340"/>
      <c r="W188" s="340"/>
      <c r="X188" s="340"/>
      <c r="Y188" s="340"/>
    </row>
    <row r="189">
      <c r="A189" s="340"/>
      <c r="B189" s="261">
        <v>45150.0</v>
      </c>
      <c r="C189" s="160" t="s">
        <v>6698</v>
      </c>
      <c r="D189" s="160" t="s">
        <v>44</v>
      </c>
      <c r="E189" s="160" t="s">
        <v>528</v>
      </c>
      <c r="F189" s="160" t="s">
        <v>8313</v>
      </c>
      <c r="G189" s="160" t="s">
        <v>8314</v>
      </c>
      <c r="H189" s="160"/>
      <c r="I189" s="160"/>
      <c r="J189" s="162">
        <v>45485.0</v>
      </c>
      <c r="K189" s="160" t="s">
        <v>116</v>
      </c>
      <c r="L189" s="160" t="s">
        <v>49</v>
      </c>
      <c r="M189" s="160" t="s">
        <v>71</v>
      </c>
      <c r="N189" s="160" t="s">
        <v>8259</v>
      </c>
      <c r="O189" s="432">
        <v>17824.0</v>
      </c>
      <c r="P189" s="432">
        <v>20064.0</v>
      </c>
      <c r="Q189" s="407">
        <v>51.0</v>
      </c>
      <c r="R189" s="340">
        <f t="shared" si="7"/>
        <v>9090.24</v>
      </c>
      <c r="S189" s="419">
        <f t="shared" si="6"/>
        <v>-10973.76</v>
      </c>
      <c r="T189" s="340"/>
      <c r="U189" s="340"/>
      <c r="V189" s="340"/>
      <c r="W189" s="340"/>
      <c r="X189" s="340"/>
      <c r="Y189" s="340"/>
    </row>
    <row r="190">
      <c r="A190" s="31"/>
      <c r="B190" s="14">
        <v>45181.0</v>
      </c>
      <c r="C190" s="479" t="s">
        <v>8315</v>
      </c>
      <c r="D190" s="479"/>
      <c r="E190" s="479" t="s">
        <v>8067</v>
      </c>
      <c r="F190" s="479" t="s">
        <v>8316</v>
      </c>
      <c r="G190" s="479" t="s">
        <v>8317</v>
      </c>
      <c r="H190" s="479"/>
      <c r="I190" s="479"/>
      <c r="J190" s="480">
        <v>45516.0</v>
      </c>
      <c r="K190" s="479" t="s">
        <v>1424</v>
      </c>
      <c r="L190" s="479" t="s">
        <v>49</v>
      </c>
      <c r="M190" s="479" t="s">
        <v>71</v>
      </c>
      <c r="N190" s="479" t="s">
        <v>8262</v>
      </c>
      <c r="O190" s="481">
        <v>7078.0</v>
      </c>
      <c r="P190" s="481"/>
      <c r="Q190" s="5">
        <v>57.0</v>
      </c>
      <c r="R190" s="31">
        <f t="shared" si="7"/>
        <v>4034.46</v>
      </c>
      <c r="S190" s="31">
        <f t="shared" si="6"/>
        <v>4034.46</v>
      </c>
      <c r="T190" s="31"/>
      <c r="U190" s="31"/>
      <c r="V190" s="31"/>
      <c r="W190" s="31"/>
      <c r="X190" s="31"/>
      <c r="Y190" s="31"/>
    </row>
    <row r="191">
      <c r="A191" s="31"/>
      <c r="B191" s="482">
        <v>45181.0</v>
      </c>
      <c r="C191" s="440" t="s">
        <v>8318</v>
      </c>
      <c r="D191" s="440"/>
      <c r="E191" s="440" t="s">
        <v>262</v>
      </c>
      <c r="F191" s="440" t="s">
        <v>8319</v>
      </c>
      <c r="G191" s="440" t="s">
        <v>8320</v>
      </c>
      <c r="H191" s="440"/>
      <c r="I191" s="440"/>
      <c r="J191" s="442">
        <v>45547.0</v>
      </c>
      <c r="K191" s="440" t="s">
        <v>1424</v>
      </c>
      <c r="L191" s="440" t="s">
        <v>49</v>
      </c>
      <c r="M191" s="440" t="s">
        <v>8312</v>
      </c>
      <c r="N191" s="440" t="s">
        <v>8262</v>
      </c>
      <c r="O191" s="464">
        <v>18824.0</v>
      </c>
      <c r="P191" s="464"/>
      <c r="Q191" s="5">
        <v>53.0</v>
      </c>
      <c r="R191" s="31">
        <f t="shared" si="7"/>
        <v>9976.72</v>
      </c>
      <c r="S191" s="31">
        <f t="shared" si="6"/>
        <v>9976.72</v>
      </c>
      <c r="T191" s="31"/>
      <c r="U191" s="31"/>
      <c r="V191" s="31"/>
      <c r="W191" s="31"/>
      <c r="X191" s="31"/>
      <c r="Y191" s="31"/>
    </row>
    <row r="192">
      <c r="A192" s="340"/>
      <c r="B192" s="483">
        <v>45181.0</v>
      </c>
      <c r="C192" s="389" t="s">
        <v>6708</v>
      </c>
      <c r="D192" s="389"/>
      <c r="E192" s="389" t="s">
        <v>7761</v>
      </c>
      <c r="F192" s="389" t="s">
        <v>8321</v>
      </c>
      <c r="G192" s="389" t="s">
        <v>8322</v>
      </c>
      <c r="H192" s="389"/>
      <c r="I192" s="389"/>
      <c r="J192" s="447">
        <v>45547.0</v>
      </c>
      <c r="K192" s="389" t="s">
        <v>116</v>
      </c>
      <c r="L192" s="389" t="s">
        <v>49</v>
      </c>
      <c r="M192" s="389" t="s">
        <v>71</v>
      </c>
      <c r="N192" s="389" t="s">
        <v>8262</v>
      </c>
      <c r="O192" s="454">
        <v>5390.0</v>
      </c>
      <c r="P192" s="454"/>
      <c r="Q192" s="407">
        <v>51.0</v>
      </c>
      <c r="R192" s="340">
        <f t="shared" si="7"/>
        <v>2748.9</v>
      </c>
      <c r="S192" s="419">
        <f t="shared" si="6"/>
        <v>2748.9</v>
      </c>
      <c r="T192" s="340"/>
      <c r="U192" s="340"/>
      <c r="V192" s="340"/>
      <c r="W192" s="340"/>
      <c r="X192" s="340"/>
      <c r="Y192" s="340"/>
    </row>
    <row r="193">
      <c r="A193" s="31"/>
      <c r="B193" s="482">
        <v>45181.0</v>
      </c>
      <c r="C193" s="440" t="s">
        <v>8323</v>
      </c>
      <c r="D193" s="440"/>
      <c r="E193" s="440" t="s">
        <v>8324</v>
      </c>
      <c r="F193" s="440" t="s">
        <v>8325</v>
      </c>
      <c r="G193" s="440">
        <v>7.990111325E9</v>
      </c>
      <c r="H193" s="440"/>
      <c r="I193" s="440"/>
      <c r="J193" s="442">
        <v>45516.0</v>
      </c>
      <c r="K193" s="440" t="s">
        <v>78</v>
      </c>
      <c r="L193" s="440"/>
      <c r="M193" s="440" t="s">
        <v>27</v>
      </c>
      <c r="N193" s="440" t="s">
        <v>8262</v>
      </c>
      <c r="O193" s="464">
        <v>7317.0</v>
      </c>
      <c r="P193" s="464"/>
      <c r="Q193" s="5">
        <v>48.0</v>
      </c>
      <c r="R193" s="31">
        <f t="shared" si="7"/>
        <v>3512.16</v>
      </c>
      <c r="S193" s="31">
        <f t="shared" si="6"/>
        <v>3512.16</v>
      </c>
      <c r="T193" s="31"/>
      <c r="U193" s="31"/>
      <c r="V193" s="31"/>
      <c r="W193" s="31"/>
      <c r="X193" s="31"/>
      <c r="Y193" s="31"/>
    </row>
    <row r="194">
      <c r="A194" s="340"/>
      <c r="B194" s="422">
        <v>45242.0</v>
      </c>
      <c r="C194" s="385" t="s">
        <v>8326</v>
      </c>
      <c r="D194" s="385" t="s">
        <v>21</v>
      </c>
      <c r="E194" s="385" t="s">
        <v>8092</v>
      </c>
      <c r="F194" s="385" t="s">
        <v>8327</v>
      </c>
      <c r="G194" s="385" t="s">
        <v>1915</v>
      </c>
      <c r="H194" s="385"/>
      <c r="I194" s="385">
        <v>35000.0</v>
      </c>
      <c r="J194" s="484">
        <v>45577.0</v>
      </c>
      <c r="K194" s="385" t="s">
        <v>48</v>
      </c>
      <c r="L194" s="385" t="s">
        <v>49</v>
      </c>
      <c r="M194" s="385" t="s">
        <v>27</v>
      </c>
      <c r="N194" s="385" t="s">
        <v>8262</v>
      </c>
      <c r="O194" s="438">
        <v>48626.0</v>
      </c>
      <c r="P194" s="438"/>
      <c r="Q194" s="407">
        <v>20.0</v>
      </c>
      <c r="R194" s="340">
        <f t="shared" si="7"/>
        <v>9725.2</v>
      </c>
      <c r="S194" s="340">
        <f t="shared" si="6"/>
        <v>9725.2</v>
      </c>
      <c r="T194" s="340"/>
      <c r="U194" s="340"/>
      <c r="V194" s="340"/>
      <c r="W194" s="340"/>
      <c r="X194" s="340"/>
      <c r="Y194" s="340"/>
    </row>
    <row r="195">
      <c r="A195" s="340"/>
      <c r="B195" s="485">
        <v>45242.0</v>
      </c>
      <c r="C195" s="389" t="s">
        <v>8328</v>
      </c>
      <c r="D195" s="389" t="s">
        <v>44</v>
      </c>
      <c r="E195" s="389" t="s">
        <v>528</v>
      </c>
      <c r="F195" s="389" t="s">
        <v>8329</v>
      </c>
      <c r="G195" s="389" t="s">
        <v>8330</v>
      </c>
      <c r="H195" s="389"/>
      <c r="I195" s="389"/>
      <c r="J195" s="486">
        <v>45608.0</v>
      </c>
      <c r="K195" s="389" t="s">
        <v>116</v>
      </c>
      <c r="L195" s="389" t="s">
        <v>49</v>
      </c>
      <c r="M195" s="389" t="s">
        <v>1436</v>
      </c>
      <c r="N195" s="389" t="s">
        <v>8259</v>
      </c>
      <c r="O195" s="454">
        <v>18892.0</v>
      </c>
      <c r="P195" s="454">
        <v>21324.0</v>
      </c>
      <c r="Q195" s="407">
        <v>51.0</v>
      </c>
      <c r="R195" s="340">
        <f t="shared" si="7"/>
        <v>9634.92</v>
      </c>
      <c r="S195" s="419">
        <f t="shared" si="6"/>
        <v>-11689.08</v>
      </c>
      <c r="T195" s="340"/>
      <c r="U195" s="340"/>
      <c r="V195" s="340"/>
      <c r="W195" s="340"/>
      <c r="X195" s="340"/>
      <c r="Y195" s="340"/>
    </row>
    <row r="196">
      <c r="A196" s="340"/>
      <c r="B196" s="485">
        <v>45242.0</v>
      </c>
      <c r="C196" s="389" t="s">
        <v>1545</v>
      </c>
      <c r="D196" s="389" t="s">
        <v>21</v>
      </c>
      <c r="E196" s="389" t="s">
        <v>8092</v>
      </c>
      <c r="F196" s="389" t="s">
        <v>8331</v>
      </c>
      <c r="G196" s="389" t="s">
        <v>8332</v>
      </c>
      <c r="H196" s="389" t="s">
        <v>8333</v>
      </c>
      <c r="I196" s="389">
        <v>42000.0</v>
      </c>
      <c r="J196" s="487">
        <v>45608.0</v>
      </c>
      <c r="K196" s="389" t="s">
        <v>48</v>
      </c>
      <c r="L196" s="389" t="s">
        <v>49</v>
      </c>
      <c r="M196" s="389" t="s">
        <v>1456</v>
      </c>
      <c r="N196" s="389" t="s">
        <v>8262</v>
      </c>
      <c r="O196" s="448">
        <v>47584.0</v>
      </c>
      <c r="P196" s="448"/>
      <c r="Q196" s="407">
        <v>19.0</v>
      </c>
      <c r="R196" s="340">
        <f t="shared" si="7"/>
        <v>9040.96</v>
      </c>
      <c r="S196" s="340">
        <f t="shared" si="6"/>
        <v>9040.96</v>
      </c>
      <c r="T196" s="340"/>
      <c r="U196" s="340"/>
      <c r="V196" s="340"/>
      <c r="W196" s="340"/>
      <c r="X196" s="340"/>
      <c r="Y196" s="340"/>
    </row>
    <row r="197">
      <c r="A197" s="340"/>
      <c r="B197" s="485">
        <v>45242.0</v>
      </c>
      <c r="C197" s="389" t="s">
        <v>8334</v>
      </c>
      <c r="D197" s="389" t="s">
        <v>93</v>
      </c>
      <c r="E197" s="389" t="s">
        <v>8092</v>
      </c>
      <c r="F197" s="389" t="s">
        <v>8335</v>
      </c>
      <c r="G197" s="389" t="s">
        <v>8336</v>
      </c>
      <c r="H197" s="389"/>
      <c r="I197" s="389"/>
      <c r="J197" s="487">
        <v>45608.0</v>
      </c>
      <c r="K197" s="389" t="s">
        <v>48</v>
      </c>
      <c r="L197" s="389" t="s">
        <v>49</v>
      </c>
      <c r="M197" s="389" t="s">
        <v>71</v>
      </c>
      <c r="N197" s="389" t="s">
        <v>8262</v>
      </c>
      <c r="O197" s="448">
        <v>29286.0</v>
      </c>
      <c r="P197" s="448"/>
      <c r="Q197" s="407">
        <v>20.0</v>
      </c>
      <c r="R197" s="340">
        <f t="shared" si="7"/>
        <v>5857.2</v>
      </c>
      <c r="S197" s="340">
        <f t="shared" si="6"/>
        <v>5857.2</v>
      </c>
      <c r="T197" s="340"/>
      <c r="U197" s="340"/>
      <c r="V197" s="340"/>
      <c r="W197" s="340"/>
      <c r="X197" s="340"/>
      <c r="Y197" s="340"/>
    </row>
    <row r="198">
      <c r="A198" s="425"/>
      <c r="B198" s="43" t="s">
        <v>8337</v>
      </c>
      <c r="C198" s="488" t="s">
        <v>8338</v>
      </c>
      <c r="D198" s="488" t="s">
        <v>44</v>
      </c>
      <c r="E198" s="488" t="s">
        <v>528</v>
      </c>
      <c r="F198" s="488" t="s">
        <v>7951</v>
      </c>
      <c r="G198" s="488" t="s">
        <v>7952</v>
      </c>
      <c r="H198" s="488"/>
      <c r="I198" s="488"/>
      <c r="J198" s="488" t="s">
        <v>8090</v>
      </c>
      <c r="K198" s="488" t="s">
        <v>1424</v>
      </c>
      <c r="L198" s="488" t="s">
        <v>49</v>
      </c>
      <c r="M198" s="488" t="s">
        <v>71</v>
      </c>
      <c r="N198" s="488" t="s">
        <v>8259</v>
      </c>
      <c r="O198" s="489">
        <v>19778.0</v>
      </c>
      <c r="P198" s="489">
        <v>22376.0</v>
      </c>
      <c r="Q198" s="48">
        <v>53.0</v>
      </c>
      <c r="R198" s="425">
        <f t="shared" si="7"/>
        <v>10482.34</v>
      </c>
      <c r="S198" s="425">
        <f t="shared" si="6"/>
        <v>-11893.66</v>
      </c>
      <c r="T198" s="31"/>
      <c r="U198" s="31"/>
      <c r="V198" s="31"/>
      <c r="W198" s="31"/>
      <c r="X198" s="31"/>
      <c r="Y198" s="31"/>
    </row>
    <row r="199">
      <c r="A199" s="340"/>
      <c r="B199" s="445" t="s">
        <v>8337</v>
      </c>
      <c r="C199" s="389" t="s">
        <v>8339</v>
      </c>
      <c r="D199" s="389" t="s">
        <v>8058</v>
      </c>
      <c r="E199" s="389" t="s">
        <v>7749</v>
      </c>
      <c r="F199" s="389" t="s">
        <v>8340</v>
      </c>
      <c r="G199" s="389" t="s">
        <v>8341</v>
      </c>
      <c r="H199" s="389"/>
      <c r="I199" s="389"/>
      <c r="J199" s="486">
        <v>45638.0</v>
      </c>
      <c r="K199" s="389" t="s">
        <v>1424</v>
      </c>
      <c r="L199" s="389" t="s">
        <v>49</v>
      </c>
      <c r="M199" s="389" t="s">
        <v>71</v>
      </c>
      <c r="N199" s="389" t="s">
        <v>8259</v>
      </c>
      <c r="O199" s="448">
        <v>6752.0</v>
      </c>
      <c r="P199" s="448">
        <v>7968.0</v>
      </c>
      <c r="Q199" s="407">
        <v>57.0</v>
      </c>
      <c r="R199" s="340">
        <f t="shared" si="7"/>
        <v>3848.64</v>
      </c>
      <c r="S199" s="340">
        <f t="shared" si="6"/>
        <v>-4119.36</v>
      </c>
      <c r="T199" s="340"/>
      <c r="U199" s="340"/>
      <c r="V199" s="340"/>
      <c r="W199" s="340"/>
      <c r="X199" s="340"/>
      <c r="Y199" s="340"/>
    </row>
    <row r="200">
      <c r="A200" s="340"/>
      <c r="B200" s="445" t="s">
        <v>8337</v>
      </c>
      <c r="C200" s="389" t="s">
        <v>8342</v>
      </c>
      <c r="D200" s="389" t="s">
        <v>8058</v>
      </c>
      <c r="E200" s="389" t="s">
        <v>7749</v>
      </c>
      <c r="F200" s="389" t="s">
        <v>8343</v>
      </c>
      <c r="G200" s="389" t="s">
        <v>8344</v>
      </c>
      <c r="H200" s="389"/>
      <c r="I200" s="389"/>
      <c r="J200" s="389" t="s">
        <v>1930</v>
      </c>
      <c r="K200" s="389" t="s">
        <v>1424</v>
      </c>
      <c r="L200" s="389" t="s">
        <v>49</v>
      </c>
      <c r="M200" s="389" t="s">
        <v>27</v>
      </c>
      <c r="N200" s="389" t="s">
        <v>8259</v>
      </c>
      <c r="O200" s="448">
        <v>7073.0</v>
      </c>
      <c r="P200" s="448">
        <v>8347.0</v>
      </c>
      <c r="Q200" s="407">
        <v>57.0</v>
      </c>
      <c r="R200" s="340">
        <f t="shared" si="7"/>
        <v>4031.61</v>
      </c>
      <c r="S200" s="340">
        <f t="shared" si="6"/>
        <v>-4315.39</v>
      </c>
      <c r="T200" s="340"/>
      <c r="U200" s="340"/>
      <c r="V200" s="340"/>
      <c r="W200" s="340"/>
      <c r="X200" s="340"/>
      <c r="Y200" s="340"/>
    </row>
    <row r="201">
      <c r="A201" s="340"/>
      <c r="B201" s="445" t="s">
        <v>8345</v>
      </c>
      <c r="C201" s="389" t="s">
        <v>6737</v>
      </c>
      <c r="D201" s="389" t="s">
        <v>44</v>
      </c>
      <c r="E201" s="389" t="s">
        <v>528</v>
      </c>
      <c r="F201" s="389" t="s">
        <v>8346</v>
      </c>
      <c r="G201" s="389" t="s">
        <v>8347</v>
      </c>
      <c r="H201" s="389"/>
      <c r="I201" s="389"/>
      <c r="J201" s="389" t="s">
        <v>1553</v>
      </c>
      <c r="K201" s="389" t="s">
        <v>116</v>
      </c>
      <c r="L201" s="389" t="s">
        <v>49</v>
      </c>
      <c r="M201" s="389" t="s">
        <v>71</v>
      </c>
      <c r="N201" s="389" t="s">
        <v>8259</v>
      </c>
      <c r="O201" s="454">
        <v>17807.0</v>
      </c>
      <c r="P201" s="454">
        <v>20043.0</v>
      </c>
      <c r="Q201" s="407">
        <v>51.0</v>
      </c>
      <c r="R201" s="340">
        <f t="shared" si="7"/>
        <v>9081.57</v>
      </c>
      <c r="S201" s="419">
        <f t="shared" si="6"/>
        <v>-10961.43</v>
      </c>
      <c r="T201" s="340"/>
      <c r="U201" s="340"/>
      <c r="V201" s="340"/>
      <c r="W201" s="340"/>
      <c r="X201" s="340"/>
      <c r="Y201" s="340"/>
    </row>
    <row r="202">
      <c r="A202" s="340"/>
      <c r="B202" s="445" t="s">
        <v>8345</v>
      </c>
      <c r="C202" s="389" t="s">
        <v>8348</v>
      </c>
      <c r="D202" s="389" t="s">
        <v>8058</v>
      </c>
      <c r="E202" s="389" t="s">
        <v>7761</v>
      </c>
      <c r="F202" s="389" t="s">
        <v>8349</v>
      </c>
      <c r="G202" s="389" t="s">
        <v>8350</v>
      </c>
      <c r="H202" s="389"/>
      <c r="I202" s="389"/>
      <c r="J202" s="486">
        <v>45638.0</v>
      </c>
      <c r="K202" s="389" t="s">
        <v>116</v>
      </c>
      <c r="L202" s="389" t="s">
        <v>49</v>
      </c>
      <c r="M202" s="389" t="s">
        <v>1357</v>
      </c>
      <c r="N202" s="389" t="s">
        <v>8259</v>
      </c>
      <c r="O202" s="454">
        <v>5610.0</v>
      </c>
      <c r="P202" s="454">
        <v>6342.0</v>
      </c>
      <c r="Q202" s="407">
        <v>51.0</v>
      </c>
      <c r="R202" s="340">
        <f t="shared" si="7"/>
        <v>2861.1</v>
      </c>
      <c r="S202" s="419">
        <f t="shared" si="6"/>
        <v>-3480.9</v>
      </c>
      <c r="T202" s="340"/>
      <c r="U202" s="340"/>
      <c r="V202" s="340"/>
      <c r="W202" s="340"/>
      <c r="X202" s="340"/>
      <c r="Y202" s="340"/>
    </row>
    <row r="203">
      <c r="A203" s="31"/>
      <c r="B203" s="455" t="s">
        <v>8345</v>
      </c>
      <c r="C203" s="440" t="s">
        <v>1554</v>
      </c>
      <c r="D203" s="440" t="s">
        <v>21</v>
      </c>
      <c r="E203" s="440" t="s">
        <v>8351</v>
      </c>
      <c r="F203" s="440" t="s">
        <v>8352</v>
      </c>
      <c r="G203" s="440" t="s">
        <v>1557</v>
      </c>
      <c r="H203" s="440" t="s">
        <v>8353</v>
      </c>
      <c r="I203" s="440">
        <v>40200.0</v>
      </c>
      <c r="J203" s="490">
        <v>45638.0</v>
      </c>
      <c r="K203" s="440" t="s">
        <v>48</v>
      </c>
      <c r="L203" s="440" t="s">
        <v>49</v>
      </c>
      <c r="M203" s="440" t="s">
        <v>27</v>
      </c>
      <c r="N203" s="440" t="s">
        <v>8262</v>
      </c>
      <c r="O203" s="464">
        <v>47954.0</v>
      </c>
      <c r="P203" s="464"/>
      <c r="Q203" s="5">
        <v>19.0</v>
      </c>
      <c r="R203" s="31">
        <f t="shared" si="7"/>
        <v>9111.26</v>
      </c>
      <c r="S203" s="31">
        <f t="shared" si="6"/>
        <v>9111.26</v>
      </c>
      <c r="T203" s="31"/>
      <c r="U203" s="31"/>
      <c r="V203" s="31"/>
      <c r="W203" s="31"/>
      <c r="X203" s="31"/>
      <c r="Y203" s="31"/>
    </row>
    <row r="204">
      <c r="A204" s="31"/>
      <c r="B204" s="455" t="s">
        <v>8345</v>
      </c>
      <c r="C204" s="440" t="s">
        <v>8354</v>
      </c>
      <c r="D204" s="440" t="s">
        <v>21</v>
      </c>
      <c r="E204" s="440" t="s">
        <v>8092</v>
      </c>
      <c r="F204" s="440" t="s">
        <v>8355</v>
      </c>
      <c r="G204" s="440" t="s">
        <v>8356</v>
      </c>
      <c r="H204" s="440"/>
      <c r="I204" s="440">
        <v>42000.0</v>
      </c>
      <c r="J204" s="440" t="s">
        <v>1553</v>
      </c>
      <c r="K204" s="440" t="s">
        <v>48</v>
      </c>
      <c r="L204" s="440" t="s">
        <v>49</v>
      </c>
      <c r="M204" s="440" t="s">
        <v>27</v>
      </c>
      <c r="N204" s="440" t="s">
        <v>8262</v>
      </c>
      <c r="O204" s="464">
        <v>50310.0</v>
      </c>
      <c r="P204" s="464"/>
      <c r="Q204" s="5">
        <v>19.0</v>
      </c>
      <c r="R204" s="31">
        <f t="shared" si="7"/>
        <v>9558.9</v>
      </c>
      <c r="S204" s="31">
        <f t="shared" si="6"/>
        <v>9558.9</v>
      </c>
      <c r="T204" s="31"/>
      <c r="U204" s="31"/>
      <c r="V204" s="31"/>
      <c r="W204" s="31"/>
      <c r="X204" s="31"/>
      <c r="Y204" s="31"/>
    </row>
    <row r="205">
      <c r="A205" s="31"/>
      <c r="B205" s="455" t="s">
        <v>8345</v>
      </c>
      <c r="C205" s="440" t="s">
        <v>6733</v>
      </c>
      <c r="D205" s="440" t="s">
        <v>44</v>
      </c>
      <c r="E205" s="440" t="s">
        <v>262</v>
      </c>
      <c r="F205" s="440" t="s">
        <v>8357</v>
      </c>
      <c r="G205" s="440" t="s">
        <v>8358</v>
      </c>
      <c r="H205" s="440"/>
      <c r="I205" s="440"/>
      <c r="J205" s="440" t="s">
        <v>1553</v>
      </c>
      <c r="K205" s="440" t="s">
        <v>78</v>
      </c>
      <c r="L205" s="440" t="s">
        <v>26</v>
      </c>
      <c r="M205" s="440" t="s">
        <v>71</v>
      </c>
      <c r="N205" s="440" t="s">
        <v>8262</v>
      </c>
      <c r="O205" s="464">
        <v>20102.0</v>
      </c>
      <c r="P205" s="464"/>
      <c r="Q205" s="5">
        <v>52.0</v>
      </c>
      <c r="R205" s="31">
        <f t="shared" si="7"/>
        <v>10453.04</v>
      </c>
      <c r="S205" s="31">
        <f t="shared" si="6"/>
        <v>10453.04</v>
      </c>
      <c r="T205" s="31"/>
      <c r="U205" s="31"/>
      <c r="V205" s="31"/>
      <c r="W205" s="31"/>
      <c r="X205" s="31"/>
      <c r="Y205" s="31"/>
    </row>
    <row r="206">
      <c r="A206" s="31"/>
      <c r="B206" s="455" t="s">
        <v>8359</v>
      </c>
      <c r="C206" s="440" t="s">
        <v>8360</v>
      </c>
      <c r="D206" s="440" t="s">
        <v>75</v>
      </c>
      <c r="E206" s="440" t="s">
        <v>1760</v>
      </c>
      <c r="F206" s="440" t="s">
        <v>8361</v>
      </c>
      <c r="G206" s="440"/>
      <c r="H206" s="440"/>
      <c r="I206" s="440"/>
      <c r="J206" s="440" t="s">
        <v>8090</v>
      </c>
      <c r="K206" s="440" t="s">
        <v>668</v>
      </c>
      <c r="L206" s="440" t="s">
        <v>49</v>
      </c>
      <c r="M206" s="440" t="s">
        <v>1357</v>
      </c>
      <c r="N206" s="440" t="s">
        <v>8262</v>
      </c>
      <c r="O206" s="464">
        <v>5389.0</v>
      </c>
      <c r="P206" s="464"/>
      <c r="Q206" s="5">
        <v>52.0</v>
      </c>
      <c r="R206" s="31">
        <f t="shared" si="7"/>
        <v>2802.28</v>
      </c>
      <c r="S206" s="31">
        <f t="shared" si="6"/>
        <v>2802.28</v>
      </c>
      <c r="T206" s="31"/>
      <c r="U206" s="31"/>
      <c r="V206" s="31"/>
      <c r="W206" s="31"/>
      <c r="X206" s="31"/>
      <c r="Y206" s="31"/>
    </row>
    <row r="207">
      <c r="A207" s="340"/>
      <c r="B207" s="445" t="s">
        <v>8359</v>
      </c>
      <c r="C207" s="389" t="s">
        <v>8362</v>
      </c>
      <c r="D207" s="389" t="s">
        <v>44</v>
      </c>
      <c r="E207" s="389" t="s">
        <v>423</v>
      </c>
      <c r="F207" s="389" t="s">
        <v>8363</v>
      </c>
      <c r="G207" s="389"/>
      <c r="H207" s="389"/>
      <c r="I207" s="389">
        <v>2620.0</v>
      </c>
      <c r="J207" s="389" t="s">
        <v>8364</v>
      </c>
      <c r="K207" s="389" t="s">
        <v>116</v>
      </c>
      <c r="L207" s="389" t="s">
        <v>49</v>
      </c>
      <c r="M207" s="389" t="s">
        <v>27</v>
      </c>
      <c r="N207" s="389" t="s">
        <v>8259</v>
      </c>
      <c r="O207" s="448">
        <v>17877.0</v>
      </c>
      <c r="P207" s="448">
        <v>20125.0</v>
      </c>
      <c r="Q207" s="407">
        <v>51.0</v>
      </c>
      <c r="R207" s="340">
        <f t="shared" si="7"/>
        <v>9117.27</v>
      </c>
      <c r="S207" s="340">
        <f t="shared" si="6"/>
        <v>-11007.73</v>
      </c>
      <c r="T207" s="340"/>
      <c r="U207" s="340"/>
      <c r="V207" s="340"/>
      <c r="W207" s="340"/>
      <c r="X207" s="340"/>
      <c r="Y207" s="340"/>
    </row>
    <row r="208">
      <c r="A208" s="160"/>
      <c r="B208" s="435" t="s">
        <v>8359</v>
      </c>
      <c r="C208" s="385" t="s">
        <v>8365</v>
      </c>
      <c r="D208" s="385" t="s">
        <v>44</v>
      </c>
      <c r="E208" s="385" t="s">
        <v>262</v>
      </c>
      <c r="F208" s="385" t="s">
        <v>8366</v>
      </c>
      <c r="G208" s="385"/>
      <c r="H208" s="385"/>
      <c r="I208" s="385">
        <v>1600.0</v>
      </c>
      <c r="J208" s="385" t="s">
        <v>1930</v>
      </c>
      <c r="K208" s="385" t="s">
        <v>1424</v>
      </c>
      <c r="L208" s="385" t="s">
        <v>49</v>
      </c>
      <c r="M208" s="385" t="s">
        <v>1436</v>
      </c>
      <c r="N208" s="385" t="s">
        <v>8259</v>
      </c>
      <c r="O208" s="438">
        <v>19408.0</v>
      </c>
      <c r="P208" s="438">
        <v>21938.0</v>
      </c>
      <c r="Q208" s="407">
        <v>53.0</v>
      </c>
      <c r="R208" s="340">
        <f t="shared" si="7"/>
        <v>10286.24</v>
      </c>
      <c r="S208" s="340">
        <f t="shared" si="6"/>
        <v>-11651.76</v>
      </c>
      <c r="T208" s="340"/>
      <c r="U208" s="340"/>
      <c r="V208" s="340"/>
      <c r="W208" s="340"/>
      <c r="X208" s="340"/>
      <c r="Y208" s="340"/>
    </row>
    <row r="209">
      <c r="A209" s="31"/>
      <c r="B209" s="8" t="s">
        <v>8367</v>
      </c>
      <c r="C209" s="479" t="s">
        <v>2306</v>
      </c>
      <c r="D209" s="479" t="s">
        <v>21</v>
      </c>
      <c r="E209" s="479" t="s">
        <v>1866</v>
      </c>
      <c r="F209" s="479" t="s">
        <v>8368</v>
      </c>
      <c r="G209" s="479" t="s">
        <v>2308</v>
      </c>
      <c r="H209" s="479"/>
      <c r="I209" s="479">
        <v>12990.0</v>
      </c>
      <c r="J209" s="479" t="s">
        <v>1930</v>
      </c>
      <c r="K209" s="479" t="s">
        <v>1424</v>
      </c>
      <c r="L209" s="479" t="s">
        <v>49</v>
      </c>
      <c r="M209" s="479" t="s">
        <v>27</v>
      </c>
      <c r="N209" s="479" t="s">
        <v>8262</v>
      </c>
      <c r="O209" s="481">
        <v>38950.0</v>
      </c>
      <c r="P209" s="481"/>
      <c r="Q209" s="5">
        <v>21.0</v>
      </c>
      <c r="R209" s="31">
        <f t="shared" si="7"/>
        <v>8179.5</v>
      </c>
      <c r="S209" s="31">
        <f t="shared" si="6"/>
        <v>8179.5</v>
      </c>
      <c r="T209" s="31"/>
      <c r="U209" s="31"/>
      <c r="V209" s="31"/>
      <c r="W209" s="31"/>
      <c r="X209" s="31"/>
      <c r="Y209" s="31"/>
    </row>
    <row r="210">
      <c r="A210" s="31"/>
      <c r="B210" s="491" t="s">
        <v>8367</v>
      </c>
      <c r="C210" s="440" t="s">
        <v>3488</v>
      </c>
      <c r="D210" s="440"/>
      <c r="E210" s="440" t="s">
        <v>8369</v>
      </c>
      <c r="F210" s="440" t="s">
        <v>8370</v>
      </c>
      <c r="G210" s="440" t="s">
        <v>8371</v>
      </c>
      <c r="H210" s="440"/>
      <c r="I210" s="440"/>
      <c r="J210" s="440" t="s">
        <v>1930</v>
      </c>
      <c r="K210" s="440" t="s">
        <v>48</v>
      </c>
      <c r="L210" s="440" t="s">
        <v>49</v>
      </c>
      <c r="M210" s="440" t="s">
        <v>27</v>
      </c>
      <c r="N210" s="440" t="s">
        <v>8262</v>
      </c>
      <c r="O210" s="464">
        <v>84590.0</v>
      </c>
      <c r="P210" s="464"/>
      <c r="Q210" s="5">
        <v>20.0</v>
      </c>
      <c r="R210" s="31">
        <f t="shared" si="7"/>
        <v>16918</v>
      </c>
      <c r="S210" s="31">
        <f t="shared" si="6"/>
        <v>16918</v>
      </c>
      <c r="T210" s="31"/>
      <c r="U210" s="31"/>
      <c r="V210" s="31"/>
      <c r="W210" s="31"/>
      <c r="X210" s="31"/>
      <c r="Y210" s="31"/>
    </row>
    <row r="211">
      <c r="A211" s="407"/>
      <c r="B211" s="492" t="s">
        <v>8367</v>
      </c>
      <c r="C211" s="389" t="s">
        <v>8372</v>
      </c>
      <c r="D211" s="389" t="s">
        <v>8058</v>
      </c>
      <c r="E211" s="389" t="s">
        <v>5482</v>
      </c>
      <c r="F211" s="389" t="s">
        <v>8233</v>
      </c>
      <c r="G211" s="389" t="s">
        <v>8373</v>
      </c>
      <c r="H211" s="389"/>
      <c r="I211" s="389"/>
      <c r="J211" s="389" t="s">
        <v>1930</v>
      </c>
      <c r="K211" s="389" t="s">
        <v>1424</v>
      </c>
      <c r="L211" s="389" t="s">
        <v>49</v>
      </c>
      <c r="M211" s="389" t="s">
        <v>27</v>
      </c>
      <c r="N211" s="389" t="s">
        <v>8259</v>
      </c>
      <c r="O211" s="448">
        <v>6452.0</v>
      </c>
      <c r="P211" s="448">
        <v>7614.0</v>
      </c>
      <c r="Q211" s="407">
        <v>57.0</v>
      </c>
      <c r="R211" s="340">
        <f t="shared" si="7"/>
        <v>3677.64</v>
      </c>
      <c r="S211" s="340">
        <f t="shared" si="6"/>
        <v>-3936.36</v>
      </c>
      <c r="T211" s="340"/>
      <c r="U211" s="340"/>
      <c r="V211" s="340"/>
      <c r="W211" s="340"/>
      <c r="X211" s="340"/>
      <c r="Y211" s="340"/>
    </row>
    <row r="212">
      <c r="A212" s="407"/>
      <c r="B212" s="492" t="s">
        <v>8367</v>
      </c>
      <c r="C212" s="389" t="s">
        <v>8374</v>
      </c>
      <c r="D212" s="389" t="s">
        <v>8058</v>
      </c>
      <c r="E212" s="389" t="s">
        <v>8067</v>
      </c>
      <c r="F212" s="389" t="s">
        <v>8375</v>
      </c>
      <c r="G212" s="389" t="s">
        <v>8376</v>
      </c>
      <c r="H212" s="389" t="s">
        <v>8377</v>
      </c>
      <c r="I212" s="389"/>
      <c r="J212" s="389" t="s">
        <v>1930</v>
      </c>
      <c r="K212" s="389" t="s">
        <v>1424</v>
      </c>
      <c r="L212" s="389" t="s">
        <v>49</v>
      </c>
      <c r="M212" s="389" t="s">
        <v>27</v>
      </c>
      <c r="N212" s="389" t="s">
        <v>8259</v>
      </c>
      <c r="O212" s="448">
        <v>6635.0</v>
      </c>
      <c r="P212" s="448">
        <v>7829.0</v>
      </c>
      <c r="Q212" s="407">
        <v>57.0</v>
      </c>
      <c r="R212" s="340">
        <f t="shared" si="7"/>
        <v>3781.95</v>
      </c>
      <c r="S212" s="340">
        <f t="shared" si="6"/>
        <v>-4047.05</v>
      </c>
      <c r="T212" s="340"/>
      <c r="U212" s="340"/>
      <c r="V212" s="340"/>
      <c r="W212" s="340"/>
      <c r="X212" s="340"/>
      <c r="Y212" s="340"/>
    </row>
    <row r="213">
      <c r="A213" s="5"/>
      <c r="B213" s="491" t="s">
        <v>8367</v>
      </c>
      <c r="C213" s="440" t="s">
        <v>8378</v>
      </c>
      <c r="D213" s="440" t="s">
        <v>966</v>
      </c>
      <c r="E213" s="440" t="s">
        <v>8379</v>
      </c>
      <c r="F213" s="440" t="s">
        <v>8380</v>
      </c>
      <c r="G213" s="440">
        <v>9.825765417E9</v>
      </c>
      <c r="H213" s="440"/>
      <c r="I213" s="440"/>
      <c r="J213" s="440" t="s">
        <v>8381</v>
      </c>
      <c r="K213" s="440" t="s">
        <v>4916</v>
      </c>
      <c r="L213" s="440" t="s">
        <v>26</v>
      </c>
      <c r="M213" s="440" t="s">
        <v>27</v>
      </c>
      <c r="N213" s="440" t="s">
        <v>8262</v>
      </c>
      <c r="O213" s="464">
        <v>7317.0</v>
      </c>
      <c r="P213" s="464"/>
      <c r="Q213" s="5">
        <v>42.0</v>
      </c>
      <c r="R213" s="31">
        <f t="shared" si="7"/>
        <v>3073.14</v>
      </c>
      <c r="S213" s="31">
        <f t="shared" si="6"/>
        <v>3073.14</v>
      </c>
      <c r="T213" s="31"/>
      <c r="U213" s="31"/>
      <c r="V213" s="31"/>
      <c r="W213" s="31"/>
      <c r="X213" s="31"/>
      <c r="Y213" s="31"/>
    </row>
    <row r="214">
      <c r="A214" s="5"/>
      <c r="B214" s="491" t="s">
        <v>8367</v>
      </c>
      <c r="C214" s="440" t="s">
        <v>8382</v>
      </c>
      <c r="D214" s="440" t="s">
        <v>966</v>
      </c>
      <c r="E214" s="440" t="s">
        <v>8383</v>
      </c>
      <c r="F214" s="440" t="s">
        <v>8384</v>
      </c>
      <c r="G214" s="440" t="s">
        <v>8385</v>
      </c>
      <c r="H214" s="440"/>
      <c r="I214" s="440"/>
      <c r="J214" s="440" t="s">
        <v>8381</v>
      </c>
      <c r="K214" s="440" t="s">
        <v>4916</v>
      </c>
      <c r="L214" s="440" t="s">
        <v>26</v>
      </c>
      <c r="M214" s="440" t="s">
        <v>27</v>
      </c>
      <c r="N214" s="440" t="s">
        <v>8262</v>
      </c>
      <c r="O214" s="464">
        <v>7317.0</v>
      </c>
      <c r="P214" s="464"/>
      <c r="Q214" s="5">
        <v>42.0</v>
      </c>
      <c r="R214" s="31">
        <f t="shared" si="7"/>
        <v>3073.14</v>
      </c>
      <c r="S214" s="31">
        <f t="shared" si="6"/>
        <v>3073.14</v>
      </c>
      <c r="T214" s="31"/>
      <c r="U214" s="31"/>
      <c r="V214" s="31"/>
      <c r="W214" s="31"/>
      <c r="X214" s="31"/>
      <c r="Y214" s="31"/>
    </row>
    <row r="215">
      <c r="A215" s="407"/>
      <c r="B215" s="492" t="s">
        <v>8367</v>
      </c>
      <c r="C215" s="389" t="s">
        <v>6728</v>
      </c>
      <c r="D215" s="389" t="s">
        <v>44</v>
      </c>
      <c r="E215" s="389" t="s">
        <v>528</v>
      </c>
      <c r="F215" s="389" t="s">
        <v>8386</v>
      </c>
      <c r="G215" s="389" t="s">
        <v>8387</v>
      </c>
      <c r="H215" s="389"/>
      <c r="I215" s="389"/>
      <c r="J215" s="389" t="s">
        <v>1944</v>
      </c>
      <c r="K215" s="389" t="s">
        <v>116</v>
      </c>
      <c r="L215" s="389" t="s">
        <v>49</v>
      </c>
      <c r="M215" s="389" t="s">
        <v>71</v>
      </c>
      <c r="N215" s="389" t="s">
        <v>8259</v>
      </c>
      <c r="O215" s="454">
        <v>17777.0</v>
      </c>
      <c r="P215" s="454">
        <v>20009.0</v>
      </c>
      <c r="Q215" s="407">
        <v>51.0</v>
      </c>
      <c r="R215" s="340">
        <f t="shared" si="7"/>
        <v>9066.27</v>
      </c>
      <c r="S215" s="419">
        <f t="shared" si="6"/>
        <v>-10942.73</v>
      </c>
      <c r="T215" s="340"/>
      <c r="U215" s="340"/>
      <c r="V215" s="340"/>
      <c r="W215" s="340"/>
      <c r="X215" s="340"/>
      <c r="Y215" s="340"/>
    </row>
    <row r="216">
      <c r="A216" s="5"/>
      <c r="B216" s="491" t="s">
        <v>8388</v>
      </c>
      <c r="C216" s="440" t="s">
        <v>8389</v>
      </c>
      <c r="D216" s="440" t="s">
        <v>21</v>
      </c>
      <c r="E216" s="440" t="s">
        <v>8390</v>
      </c>
      <c r="F216" s="440" t="s">
        <v>8391</v>
      </c>
      <c r="G216" s="440">
        <v>9.97938312E9</v>
      </c>
      <c r="H216" s="440"/>
      <c r="I216" s="440">
        <v>35000.0</v>
      </c>
      <c r="J216" s="440" t="s">
        <v>1563</v>
      </c>
      <c r="K216" s="440" t="s">
        <v>48</v>
      </c>
      <c r="L216" s="440" t="s">
        <v>49</v>
      </c>
      <c r="M216" s="440" t="s">
        <v>8392</v>
      </c>
      <c r="N216" s="440" t="s">
        <v>8262</v>
      </c>
      <c r="O216" s="464">
        <v>77497.0</v>
      </c>
      <c r="P216" s="464"/>
      <c r="Q216" s="5">
        <v>20.0</v>
      </c>
      <c r="R216" s="31">
        <f t="shared" si="7"/>
        <v>15499.4</v>
      </c>
      <c r="S216" s="31">
        <f t="shared" si="6"/>
        <v>15499.4</v>
      </c>
      <c r="T216" s="31"/>
      <c r="U216" s="31"/>
      <c r="V216" s="31"/>
      <c r="W216" s="31"/>
      <c r="X216" s="31"/>
      <c r="Y216" s="31"/>
    </row>
    <row r="217">
      <c r="A217" s="5"/>
      <c r="B217" s="491" t="s">
        <v>8388</v>
      </c>
      <c r="C217" s="440" t="s">
        <v>8393</v>
      </c>
      <c r="D217" s="440" t="s">
        <v>93</v>
      </c>
      <c r="E217" s="440" t="s">
        <v>8047</v>
      </c>
      <c r="F217" s="440" t="s">
        <v>8394</v>
      </c>
      <c r="G217" s="440">
        <v>9.825764903E9</v>
      </c>
      <c r="H217" s="440"/>
      <c r="I217" s="440"/>
      <c r="J217" s="440" t="s">
        <v>1938</v>
      </c>
      <c r="K217" s="440" t="s">
        <v>48</v>
      </c>
      <c r="L217" s="440" t="s">
        <v>49</v>
      </c>
      <c r="M217" s="440" t="s">
        <v>8392</v>
      </c>
      <c r="N217" s="440" t="s">
        <v>8262</v>
      </c>
      <c r="O217" s="464">
        <v>40195.0</v>
      </c>
      <c r="P217" s="464"/>
      <c r="Q217" s="5">
        <v>20.0</v>
      </c>
      <c r="R217" s="31">
        <f t="shared" si="7"/>
        <v>8039</v>
      </c>
      <c r="S217" s="31">
        <f t="shared" si="6"/>
        <v>8039</v>
      </c>
      <c r="T217" s="31"/>
      <c r="U217" s="31"/>
      <c r="V217" s="31"/>
      <c r="W217" s="31"/>
      <c r="X217" s="31"/>
      <c r="Y217" s="31"/>
    </row>
    <row r="218">
      <c r="A218" s="407"/>
      <c r="B218" s="492" t="s">
        <v>8388</v>
      </c>
      <c r="C218" s="389" t="s">
        <v>6739</v>
      </c>
      <c r="D218" s="389" t="s">
        <v>44</v>
      </c>
      <c r="E218" s="389" t="s">
        <v>528</v>
      </c>
      <c r="F218" s="389" t="s">
        <v>8395</v>
      </c>
      <c r="G218" s="389" t="s">
        <v>8396</v>
      </c>
      <c r="H218" s="389"/>
      <c r="I218" s="389"/>
      <c r="J218" s="389" t="s">
        <v>1938</v>
      </c>
      <c r="K218" s="389" t="s">
        <v>116</v>
      </c>
      <c r="L218" s="389" t="s">
        <v>26</v>
      </c>
      <c r="M218" s="389" t="s">
        <v>71</v>
      </c>
      <c r="N218" s="389" t="s">
        <v>8259</v>
      </c>
      <c r="O218" s="454">
        <v>16099.0</v>
      </c>
      <c r="P218" s="454">
        <v>18031.0</v>
      </c>
      <c r="Q218" s="407">
        <v>51.0</v>
      </c>
      <c r="R218" s="340">
        <f t="shared" si="7"/>
        <v>8210.49</v>
      </c>
      <c r="S218" s="419">
        <f t="shared" si="6"/>
        <v>-9820.51</v>
      </c>
      <c r="T218" s="340"/>
      <c r="U218" s="340"/>
      <c r="V218" s="340"/>
      <c r="W218" s="340"/>
      <c r="X218" s="340"/>
      <c r="Y218" s="340"/>
    </row>
    <row r="219">
      <c r="A219" s="407"/>
      <c r="B219" s="492" t="s">
        <v>8397</v>
      </c>
      <c r="C219" s="389" t="s">
        <v>8398</v>
      </c>
      <c r="D219" s="389" t="s">
        <v>8058</v>
      </c>
      <c r="E219" s="389" t="s">
        <v>5482</v>
      </c>
      <c r="F219" s="389" t="s">
        <v>8399</v>
      </c>
      <c r="G219" s="389" t="s">
        <v>8400</v>
      </c>
      <c r="H219" s="389"/>
      <c r="I219" s="389"/>
      <c r="J219" s="389" t="s">
        <v>8248</v>
      </c>
      <c r="K219" s="389" t="s">
        <v>1424</v>
      </c>
      <c r="L219" s="389" t="s">
        <v>49</v>
      </c>
      <c r="M219" s="389" t="s">
        <v>71</v>
      </c>
      <c r="N219" s="389" t="s">
        <v>8259</v>
      </c>
      <c r="O219" s="448">
        <v>6913.0</v>
      </c>
      <c r="P219" s="448">
        <v>8157.0</v>
      </c>
      <c r="Q219" s="407">
        <v>57.0</v>
      </c>
      <c r="R219" s="340">
        <f t="shared" si="7"/>
        <v>3940.41</v>
      </c>
      <c r="S219" s="340">
        <f t="shared" si="6"/>
        <v>-4216.59</v>
      </c>
      <c r="T219" s="340"/>
      <c r="U219" s="340"/>
      <c r="V219" s="340"/>
      <c r="W219" s="340"/>
      <c r="X219" s="340"/>
      <c r="Y219" s="340"/>
    </row>
    <row r="220">
      <c r="A220" s="407"/>
      <c r="B220" s="492" t="s">
        <v>8397</v>
      </c>
      <c r="C220" s="389" t="s">
        <v>8401</v>
      </c>
      <c r="D220" s="389" t="s">
        <v>44</v>
      </c>
      <c r="E220" s="389" t="s">
        <v>8246</v>
      </c>
      <c r="F220" s="389" t="s">
        <v>8402</v>
      </c>
      <c r="G220" s="389" t="s">
        <v>8403</v>
      </c>
      <c r="H220" s="389"/>
      <c r="I220" s="389"/>
      <c r="J220" s="389" t="s">
        <v>1944</v>
      </c>
      <c r="K220" s="389" t="s">
        <v>1424</v>
      </c>
      <c r="L220" s="389" t="s">
        <v>49</v>
      </c>
      <c r="M220" s="389" t="s">
        <v>71</v>
      </c>
      <c r="N220" s="389" t="s">
        <v>8259</v>
      </c>
      <c r="O220" s="448">
        <v>18976.0</v>
      </c>
      <c r="P220" s="448">
        <v>21428.0</v>
      </c>
      <c r="Q220" s="407">
        <v>53.0</v>
      </c>
      <c r="R220" s="340">
        <f t="shared" si="7"/>
        <v>10057.28</v>
      </c>
      <c r="S220" s="340">
        <f t="shared" si="6"/>
        <v>-11370.72</v>
      </c>
      <c r="T220" s="340"/>
      <c r="U220" s="340"/>
      <c r="V220" s="340"/>
      <c r="W220" s="340"/>
      <c r="X220" s="340"/>
      <c r="Y220" s="340"/>
    </row>
    <row r="221">
      <c r="A221" s="5"/>
      <c r="B221" s="491" t="s">
        <v>8397</v>
      </c>
      <c r="C221" s="440" t="s">
        <v>1959</v>
      </c>
      <c r="D221" s="440" t="s">
        <v>21</v>
      </c>
      <c r="E221" s="440" t="s">
        <v>8211</v>
      </c>
      <c r="F221" s="440" t="s">
        <v>1961</v>
      </c>
      <c r="G221" s="440" t="s">
        <v>1962</v>
      </c>
      <c r="H221" s="440" t="s">
        <v>8404</v>
      </c>
      <c r="I221" s="464">
        <v>28000.0</v>
      </c>
      <c r="J221" s="440" t="s">
        <v>8405</v>
      </c>
      <c r="K221" s="440" t="s">
        <v>48</v>
      </c>
      <c r="L221" s="440" t="s">
        <v>49</v>
      </c>
      <c r="M221" s="440" t="s">
        <v>71</v>
      </c>
      <c r="N221" s="440" t="s">
        <v>8262</v>
      </c>
      <c r="O221" s="464">
        <v>45341.0</v>
      </c>
      <c r="P221" s="464"/>
      <c r="Q221" s="5">
        <v>20.0</v>
      </c>
      <c r="R221" s="31">
        <f t="shared" si="7"/>
        <v>9068.2</v>
      </c>
      <c r="S221" s="31">
        <f t="shared" si="6"/>
        <v>9068.2</v>
      </c>
      <c r="T221" s="31"/>
      <c r="U221" s="31"/>
      <c r="V221" s="31"/>
      <c r="W221" s="31"/>
      <c r="X221" s="31"/>
      <c r="Y221" s="31"/>
    </row>
    <row r="222">
      <c r="A222" s="5"/>
      <c r="B222" s="491" t="s">
        <v>8397</v>
      </c>
      <c r="C222" s="440" t="s">
        <v>8406</v>
      </c>
      <c r="D222" s="440" t="s">
        <v>21</v>
      </c>
      <c r="E222" s="440" t="s">
        <v>8369</v>
      </c>
      <c r="F222" s="440" t="s">
        <v>8407</v>
      </c>
      <c r="G222" s="440">
        <v>9.978418881E9</v>
      </c>
      <c r="H222" s="440"/>
      <c r="I222" s="440">
        <v>35000.0</v>
      </c>
      <c r="J222" s="440" t="s">
        <v>1916</v>
      </c>
      <c r="K222" s="440" t="s">
        <v>48</v>
      </c>
      <c r="L222" s="440" t="s">
        <v>49</v>
      </c>
      <c r="M222" s="440" t="s">
        <v>8312</v>
      </c>
      <c r="N222" s="440" t="s">
        <v>8262</v>
      </c>
      <c r="O222" s="464">
        <v>74898.0</v>
      </c>
      <c r="P222" s="464"/>
      <c r="Q222" s="5">
        <v>20.0</v>
      </c>
      <c r="R222" s="31">
        <f t="shared" si="7"/>
        <v>14979.6</v>
      </c>
      <c r="S222" s="31">
        <f t="shared" si="6"/>
        <v>14979.6</v>
      </c>
      <c r="T222" s="31"/>
      <c r="U222" s="31"/>
      <c r="V222" s="31"/>
      <c r="W222" s="31"/>
      <c r="X222" s="31"/>
      <c r="Y222" s="31"/>
    </row>
    <row r="223">
      <c r="A223" s="5"/>
      <c r="B223" s="491" t="s">
        <v>8397</v>
      </c>
      <c r="C223" s="440" t="s">
        <v>8408</v>
      </c>
      <c r="D223" s="440" t="s">
        <v>21</v>
      </c>
      <c r="E223" s="440" t="s">
        <v>8369</v>
      </c>
      <c r="F223" s="440" t="s">
        <v>8409</v>
      </c>
      <c r="G223" s="440" t="s">
        <v>8410</v>
      </c>
      <c r="H223" s="440"/>
      <c r="I223" s="440">
        <v>35000.0</v>
      </c>
      <c r="J223" s="440" t="s">
        <v>1916</v>
      </c>
      <c r="K223" s="440" t="s">
        <v>48</v>
      </c>
      <c r="L223" s="440" t="s">
        <v>49</v>
      </c>
      <c r="M223" s="440" t="s">
        <v>8312</v>
      </c>
      <c r="N223" s="440" t="s">
        <v>8262</v>
      </c>
      <c r="O223" s="464">
        <v>74898.0</v>
      </c>
      <c r="P223" s="464"/>
      <c r="Q223" s="5">
        <v>20.0</v>
      </c>
      <c r="R223" s="31">
        <f t="shared" si="7"/>
        <v>14979.6</v>
      </c>
      <c r="S223" s="31">
        <f t="shared" si="6"/>
        <v>14979.6</v>
      </c>
      <c r="T223" s="31"/>
      <c r="U223" s="31"/>
      <c r="V223" s="31"/>
      <c r="W223" s="31"/>
      <c r="X223" s="31"/>
      <c r="Y223" s="31"/>
    </row>
    <row r="224">
      <c r="A224" s="407"/>
      <c r="B224" s="492" t="s">
        <v>8411</v>
      </c>
      <c r="C224" s="389" t="s">
        <v>8412</v>
      </c>
      <c r="D224" s="389" t="s">
        <v>44</v>
      </c>
      <c r="E224" s="389" t="s">
        <v>528</v>
      </c>
      <c r="F224" s="389" t="s">
        <v>8413</v>
      </c>
      <c r="G224" s="389">
        <v>7.8178692E9</v>
      </c>
      <c r="H224" s="389"/>
      <c r="I224" s="389"/>
      <c r="J224" s="389" t="s">
        <v>8248</v>
      </c>
      <c r="K224" s="389" t="s">
        <v>116</v>
      </c>
      <c r="L224" s="389" t="s">
        <v>49</v>
      </c>
      <c r="M224" s="389" t="s">
        <v>71</v>
      </c>
      <c r="N224" s="389" t="s">
        <v>8259</v>
      </c>
      <c r="O224" s="454">
        <v>18233.0</v>
      </c>
      <c r="P224" s="454">
        <v>20547.0</v>
      </c>
      <c r="Q224" s="407">
        <v>51.0</v>
      </c>
      <c r="R224" s="340">
        <f t="shared" si="7"/>
        <v>9298.83</v>
      </c>
      <c r="S224" s="419">
        <f t="shared" si="6"/>
        <v>-11248.17</v>
      </c>
      <c r="T224" s="340"/>
      <c r="U224" s="340"/>
      <c r="V224" s="340"/>
      <c r="W224" s="340"/>
      <c r="X224" s="340"/>
      <c r="Y224" s="340"/>
    </row>
    <row r="225">
      <c r="A225" s="407"/>
      <c r="B225" s="492" t="s">
        <v>8411</v>
      </c>
      <c r="C225" s="389" t="s">
        <v>6747</v>
      </c>
      <c r="D225" s="389" t="s">
        <v>44</v>
      </c>
      <c r="E225" s="389" t="s">
        <v>528</v>
      </c>
      <c r="F225" s="389" t="s">
        <v>8414</v>
      </c>
      <c r="G225" s="389" t="s">
        <v>8415</v>
      </c>
      <c r="H225" s="389"/>
      <c r="I225" s="389"/>
      <c r="J225" s="389" t="s">
        <v>8248</v>
      </c>
      <c r="K225" s="389" t="s">
        <v>116</v>
      </c>
      <c r="L225" s="389" t="s">
        <v>49</v>
      </c>
      <c r="M225" s="389" t="s">
        <v>71</v>
      </c>
      <c r="N225" s="389" t="s">
        <v>8259</v>
      </c>
      <c r="O225" s="454">
        <v>17877.0</v>
      </c>
      <c r="P225" s="454">
        <v>20125.0</v>
      </c>
      <c r="Q225" s="407">
        <v>51.0</v>
      </c>
      <c r="R225" s="340">
        <f t="shared" si="7"/>
        <v>9117.27</v>
      </c>
      <c r="S225" s="419">
        <f t="shared" si="6"/>
        <v>-11007.73</v>
      </c>
      <c r="T225" s="340"/>
      <c r="U225" s="340"/>
      <c r="V225" s="340"/>
      <c r="W225" s="340"/>
      <c r="X225" s="340"/>
      <c r="Y225" s="340"/>
    </row>
    <row r="226">
      <c r="A226" s="5"/>
      <c r="B226" s="491" t="s">
        <v>8411</v>
      </c>
      <c r="C226" s="440" t="s">
        <v>8416</v>
      </c>
      <c r="D226" s="440" t="s">
        <v>1228</v>
      </c>
      <c r="E226" s="440" t="s">
        <v>8417</v>
      </c>
      <c r="F226" s="440" t="s">
        <v>8418</v>
      </c>
      <c r="G226" s="440"/>
      <c r="H226" s="440"/>
      <c r="I226" s="440"/>
      <c r="J226" s="440" t="s">
        <v>1916</v>
      </c>
      <c r="K226" s="440" t="s">
        <v>65</v>
      </c>
      <c r="L226" s="440" t="s">
        <v>26</v>
      </c>
      <c r="M226" s="440" t="s">
        <v>1436</v>
      </c>
      <c r="N226" s="440" t="s">
        <v>8262</v>
      </c>
      <c r="O226" s="467">
        <v>12233.0</v>
      </c>
      <c r="P226" s="464"/>
      <c r="Q226" s="5">
        <v>30.0</v>
      </c>
      <c r="R226" s="31">
        <f t="shared" si="7"/>
        <v>3669.9</v>
      </c>
      <c r="S226" s="31">
        <f t="shared" si="6"/>
        <v>3669.9</v>
      </c>
      <c r="T226" s="31"/>
      <c r="U226" s="31"/>
      <c r="V226" s="31"/>
      <c r="W226" s="31"/>
      <c r="X226" s="31"/>
      <c r="Y226" s="31"/>
    </row>
    <row r="227">
      <c r="A227" s="48"/>
      <c r="B227" s="493" t="s">
        <v>8411</v>
      </c>
      <c r="C227" s="450" t="s">
        <v>1948</v>
      </c>
      <c r="D227" s="450" t="s">
        <v>21</v>
      </c>
      <c r="E227" s="450" t="s">
        <v>8074</v>
      </c>
      <c r="F227" s="450" t="s">
        <v>1950</v>
      </c>
      <c r="G227" s="450" t="s">
        <v>1951</v>
      </c>
      <c r="H227" s="450"/>
      <c r="I227" s="450">
        <v>28000.0</v>
      </c>
      <c r="J227" s="450" t="s">
        <v>1563</v>
      </c>
      <c r="K227" s="450" t="s">
        <v>70</v>
      </c>
      <c r="L227" s="450" t="s">
        <v>49</v>
      </c>
      <c r="M227" s="450" t="s">
        <v>27</v>
      </c>
      <c r="N227" s="450" t="s">
        <v>8262</v>
      </c>
      <c r="O227" s="453">
        <v>47047.0</v>
      </c>
      <c r="P227" s="453"/>
      <c r="Q227" s="48">
        <v>23.0</v>
      </c>
      <c r="R227" s="425">
        <f t="shared" si="7"/>
        <v>10820.81</v>
      </c>
      <c r="S227" s="425">
        <f t="shared" si="6"/>
        <v>10820.81</v>
      </c>
      <c r="T227" s="31"/>
      <c r="U227" s="31"/>
      <c r="V227" s="31"/>
      <c r="W227" s="31"/>
      <c r="X227" s="31"/>
      <c r="Y227" s="31"/>
    </row>
    <row r="228">
      <c r="A228" s="407"/>
      <c r="B228" s="492" t="s">
        <v>8411</v>
      </c>
      <c r="C228" s="389" t="s">
        <v>5928</v>
      </c>
      <c r="D228" s="389" t="s">
        <v>44</v>
      </c>
      <c r="E228" s="389" t="s">
        <v>262</v>
      </c>
      <c r="F228" s="389" t="s">
        <v>8419</v>
      </c>
      <c r="G228" s="389" t="s">
        <v>8420</v>
      </c>
      <c r="H228" s="389"/>
      <c r="I228" s="389"/>
      <c r="J228" s="389" t="s">
        <v>8248</v>
      </c>
      <c r="K228" s="389" t="s">
        <v>1424</v>
      </c>
      <c r="L228" s="389" t="s">
        <v>49</v>
      </c>
      <c r="M228" s="389" t="s">
        <v>1456</v>
      </c>
      <c r="N228" s="389" t="s">
        <v>8259</v>
      </c>
      <c r="O228" s="448">
        <v>18898.0</v>
      </c>
      <c r="P228" s="448">
        <v>21336.0</v>
      </c>
      <c r="Q228" s="407">
        <v>53.0</v>
      </c>
      <c r="R228" s="340">
        <f t="shared" si="7"/>
        <v>10015.94</v>
      </c>
      <c r="S228" s="340">
        <f t="shared" si="6"/>
        <v>-11320.06</v>
      </c>
      <c r="T228" s="340"/>
      <c r="U228" s="340"/>
      <c r="V228" s="340"/>
      <c r="W228" s="340"/>
      <c r="X228" s="340"/>
      <c r="Y228" s="340"/>
    </row>
    <row r="229">
      <c r="A229" s="407"/>
      <c r="B229" s="492" t="s">
        <v>8411</v>
      </c>
      <c r="C229" s="389" t="s">
        <v>5952</v>
      </c>
      <c r="D229" s="389" t="s">
        <v>44</v>
      </c>
      <c r="E229" s="389" t="s">
        <v>8421</v>
      </c>
      <c r="F229" s="389" t="s">
        <v>8422</v>
      </c>
      <c r="G229" s="389" t="s">
        <v>8423</v>
      </c>
      <c r="H229" s="389"/>
      <c r="I229" s="389"/>
      <c r="J229" s="389" t="s">
        <v>8424</v>
      </c>
      <c r="K229" s="389" t="s">
        <v>116</v>
      </c>
      <c r="L229" s="389" t="s">
        <v>49</v>
      </c>
      <c r="M229" s="389" t="s">
        <v>71</v>
      </c>
      <c r="N229" s="389" t="s">
        <v>8259</v>
      </c>
      <c r="O229" s="454">
        <v>16457.0</v>
      </c>
      <c r="P229" s="454">
        <v>18452.0</v>
      </c>
      <c r="Q229" s="407">
        <v>51.0</v>
      </c>
      <c r="R229" s="340">
        <f t="shared" si="7"/>
        <v>8393.07</v>
      </c>
      <c r="S229" s="419">
        <f t="shared" si="6"/>
        <v>-10058.93</v>
      </c>
      <c r="T229" s="340"/>
      <c r="U229" s="340"/>
      <c r="V229" s="340"/>
      <c r="W229" s="340"/>
      <c r="X229" s="340"/>
      <c r="Y229" s="340"/>
    </row>
    <row r="230">
      <c r="A230" s="407"/>
      <c r="B230" s="492" t="s">
        <v>8411</v>
      </c>
      <c r="C230" s="389" t="s">
        <v>8425</v>
      </c>
      <c r="D230" s="389" t="s">
        <v>44</v>
      </c>
      <c r="E230" s="389" t="s">
        <v>528</v>
      </c>
      <c r="F230" s="389" t="s">
        <v>8426</v>
      </c>
      <c r="G230" s="389"/>
      <c r="H230" s="389"/>
      <c r="I230" s="389"/>
      <c r="J230" s="389" t="s">
        <v>1916</v>
      </c>
      <c r="K230" s="389" t="s">
        <v>116</v>
      </c>
      <c r="L230" s="389" t="s">
        <v>26</v>
      </c>
      <c r="M230" s="389" t="s">
        <v>8392</v>
      </c>
      <c r="N230" s="389" t="s">
        <v>8259</v>
      </c>
      <c r="O230" s="454">
        <v>16149.0</v>
      </c>
      <c r="P230" s="454">
        <v>18087.0</v>
      </c>
      <c r="Q230" s="407">
        <v>51.0</v>
      </c>
      <c r="R230" s="340">
        <f t="shared" si="7"/>
        <v>8235.99</v>
      </c>
      <c r="S230" s="419">
        <f t="shared" si="6"/>
        <v>-9851.01</v>
      </c>
      <c r="T230" s="340"/>
      <c r="U230" s="340"/>
      <c r="V230" s="340"/>
      <c r="W230" s="340"/>
      <c r="X230" s="340"/>
      <c r="Y230" s="340"/>
    </row>
    <row r="231">
      <c r="A231" s="407"/>
      <c r="B231" s="492" t="s">
        <v>8411</v>
      </c>
      <c r="C231" s="389" t="s">
        <v>8427</v>
      </c>
      <c r="D231" s="389" t="s">
        <v>44</v>
      </c>
      <c r="E231" s="389" t="s">
        <v>528</v>
      </c>
      <c r="F231" s="389" t="s">
        <v>8428</v>
      </c>
      <c r="G231" s="389"/>
      <c r="H231" s="389"/>
      <c r="I231" s="389">
        <v>3425.0</v>
      </c>
      <c r="J231" s="389" t="s">
        <v>1563</v>
      </c>
      <c r="K231" s="389" t="s">
        <v>116</v>
      </c>
      <c r="L231" s="389" t="s">
        <v>49</v>
      </c>
      <c r="M231" s="389" t="s">
        <v>71</v>
      </c>
      <c r="N231" s="389" t="s">
        <v>8259</v>
      </c>
      <c r="O231" s="448">
        <v>18067.0</v>
      </c>
      <c r="P231" s="448">
        <v>20349.0</v>
      </c>
      <c r="Q231" s="407">
        <v>51.0</v>
      </c>
      <c r="R231" s="340">
        <f t="shared" si="7"/>
        <v>9214.17</v>
      </c>
      <c r="S231" s="340">
        <f t="shared" si="6"/>
        <v>-11134.83</v>
      </c>
      <c r="T231" s="340"/>
      <c r="U231" s="340"/>
      <c r="V231" s="340"/>
      <c r="W231" s="340"/>
      <c r="X231" s="340"/>
      <c r="Y231" s="340"/>
    </row>
    <row r="232">
      <c r="A232" s="407"/>
      <c r="B232" s="160" t="s">
        <v>8411</v>
      </c>
      <c r="C232" s="494" t="s">
        <v>8429</v>
      </c>
      <c r="D232" s="386" t="s">
        <v>6650</v>
      </c>
      <c r="E232" s="495" t="s">
        <v>5482</v>
      </c>
      <c r="F232" s="494" t="s">
        <v>8430</v>
      </c>
      <c r="G232" s="385" t="s">
        <v>8431</v>
      </c>
      <c r="H232" s="385"/>
      <c r="I232" s="385"/>
      <c r="J232" s="385" t="s">
        <v>1563</v>
      </c>
      <c r="K232" s="385" t="s">
        <v>1424</v>
      </c>
      <c r="L232" s="385" t="s">
        <v>49</v>
      </c>
      <c r="M232" s="385" t="s">
        <v>27</v>
      </c>
      <c r="N232" s="385" t="s">
        <v>8259</v>
      </c>
      <c r="O232" s="496">
        <v>7159.0</v>
      </c>
      <c r="P232" s="497">
        <v>8447.0</v>
      </c>
      <c r="Q232" s="407">
        <v>57.0</v>
      </c>
      <c r="R232" s="340">
        <f t="shared" si="7"/>
        <v>4080.63</v>
      </c>
      <c r="S232" s="340">
        <f t="shared" si="6"/>
        <v>-4366.37</v>
      </c>
      <c r="T232" s="340"/>
      <c r="U232" s="340"/>
      <c r="V232" s="340"/>
      <c r="W232" s="340"/>
      <c r="X232" s="340"/>
      <c r="Y232" s="340"/>
    </row>
    <row r="233">
      <c r="A233" s="5"/>
      <c r="B233" s="491" t="s">
        <v>8411</v>
      </c>
      <c r="C233" s="440" t="s">
        <v>6755</v>
      </c>
      <c r="D233" s="396" t="s">
        <v>44</v>
      </c>
      <c r="E233" s="498" t="s">
        <v>3135</v>
      </c>
      <c r="F233" s="440" t="s">
        <v>8432</v>
      </c>
      <c r="G233" s="440" t="s">
        <v>8433</v>
      </c>
      <c r="H233" s="440"/>
      <c r="I233" s="440"/>
      <c r="J233" s="440" t="s">
        <v>1916</v>
      </c>
      <c r="K233" s="440" t="s">
        <v>70</v>
      </c>
      <c r="L233" s="440" t="s">
        <v>49</v>
      </c>
      <c r="M233" s="440" t="s">
        <v>71</v>
      </c>
      <c r="N233" s="440" t="s">
        <v>8262</v>
      </c>
      <c r="O233" s="499">
        <v>17201.0</v>
      </c>
      <c r="P233" s="464"/>
      <c r="Q233" s="5">
        <v>55.0</v>
      </c>
      <c r="R233" s="31">
        <f t="shared" si="7"/>
        <v>9460.55</v>
      </c>
      <c r="S233" s="31">
        <f t="shared" si="6"/>
        <v>9460.55</v>
      </c>
      <c r="T233" s="31"/>
      <c r="U233" s="31"/>
      <c r="V233" s="31"/>
      <c r="W233" s="31"/>
      <c r="X233" s="31"/>
      <c r="Y233" s="31"/>
    </row>
    <row r="234">
      <c r="A234" s="5"/>
      <c r="B234" s="8" t="s">
        <v>8434</v>
      </c>
      <c r="C234" s="479" t="s">
        <v>5959</v>
      </c>
      <c r="D234" s="479" t="s">
        <v>44</v>
      </c>
      <c r="E234" s="479" t="s">
        <v>8435</v>
      </c>
      <c r="F234" s="479" t="s">
        <v>8436</v>
      </c>
      <c r="G234" s="479" t="s">
        <v>8437</v>
      </c>
      <c r="H234" s="479"/>
      <c r="I234" s="479"/>
      <c r="J234" s="479" t="s">
        <v>2309</v>
      </c>
      <c r="K234" s="479" t="s">
        <v>70</v>
      </c>
      <c r="L234" s="479" t="s">
        <v>49</v>
      </c>
      <c r="M234" s="479" t="s">
        <v>4273</v>
      </c>
      <c r="N234" s="479" t="s">
        <v>8262</v>
      </c>
      <c r="O234" s="481">
        <v>16638.0</v>
      </c>
      <c r="P234" s="481"/>
      <c r="Q234" s="5">
        <v>55.0</v>
      </c>
      <c r="R234" s="31">
        <f t="shared" si="7"/>
        <v>9150.9</v>
      </c>
      <c r="S234" s="31">
        <f t="shared" si="6"/>
        <v>9150.9</v>
      </c>
      <c r="T234" s="31"/>
      <c r="U234" s="31"/>
      <c r="V234" s="31"/>
      <c r="W234" s="31"/>
      <c r="X234" s="31"/>
      <c r="Y234" s="31"/>
    </row>
    <row r="235">
      <c r="A235" s="407"/>
      <c r="B235" s="492" t="s">
        <v>8438</v>
      </c>
      <c r="C235" s="389" t="s">
        <v>1647</v>
      </c>
      <c r="D235" s="389" t="s">
        <v>44</v>
      </c>
      <c r="E235" s="389" t="s">
        <v>528</v>
      </c>
      <c r="F235" s="389" t="s">
        <v>1649</v>
      </c>
      <c r="G235" s="389">
        <v>9.106050884E9</v>
      </c>
      <c r="H235" s="389"/>
      <c r="I235" s="389"/>
      <c r="J235" s="389" t="s">
        <v>8424</v>
      </c>
      <c r="K235" s="389" t="s">
        <v>116</v>
      </c>
      <c r="L235" s="389" t="s">
        <v>49</v>
      </c>
      <c r="M235" s="389" t="s">
        <v>8392</v>
      </c>
      <c r="N235" s="389" t="s">
        <v>8259</v>
      </c>
      <c r="O235" s="454">
        <v>28359.0</v>
      </c>
      <c r="P235" s="454">
        <v>32494.0</v>
      </c>
      <c r="Q235" s="407">
        <v>51.0</v>
      </c>
      <c r="R235" s="340">
        <f t="shared" si="7"/>
        <v>14463.09</v>
      </c>
      <c r="S235" s="419">
        <f t="shared" si="6"/>
        <v>-18030.91</v>
      </c>
      <c r="T235" s="340"/>
      <c r="U235" s="340"/>
      <c r="V235" s="340"/>
      <c r="W235" s="340"/>
      <c r="X235" s="340"/>
      <c r="Y235" s="340"/>
    </row>
    <row r="236">
      <c r="A236" s="407"/>
      <c r="B236" s="492" t="s">
        <v>8438</v>
      </c>
      <c r="C236" s="389" t="s">
        <v>8439</v>
      </c>
      <c r="D236" s="389" t="s">
        <v>44</v>
      </c>
      <c r="E236" s="389" t="s">
        <v>528</v>
      </c>
      <c r="F236" s="389" t="s">
        <v>8440</v>
      </c>
      <c r="G236" s="389" t="s">
        <v>5841</v>
      </c>
      <c r="H236" s="389" t="s">
        <v>8441</v>
      </c>
      <c r="I236" s="389"/>
      <c r="J236" s="389" t="s">
        <v>2309</v>
      </c>
      <c r="K236" s="389" t="s">
        <v>116</v>
      </c>
      <c r="L236" s="389" t="s">
        <v>49</v>
      </c>
      <c r="M236" s="389" t="s">
        <v>27</v>
      </c>
      <c r="N236" s="389" t="s">
        <v>8259</v>
      </c>
      <c r="O236" s="454">
        <v>17199.0</v>
      </c>
      <c r="P236" s="454">
        <v>19325.0</v>
      </c>
      <c r="Q236" s="407">
        <v>51.0</v>
      </c>
      <c r="R236" s="340">
        <f t="shared" si="7"/>
        <v>8771.49</v>
      </c>
      <c r="S236" s="419">
        <f t="shared" si="6"/>
        <v>-10553.51</v>
      </c>
      <c r="T236" s="340"/>
      <c r="U236" s="340"/>
      <c r="V236" s="340"/>
      <c r="W236" s="340"/>
      <c r="X236" s="340"/>
      <c r="Y236" s="340"/>
    </row>
    <row r="237">
      <c r="A237" s="407"/>
      <c r="B237" s="492" t="s">
        <v>8438</v>
      </c>
      <c r="C237" s="389" t="s">
        <v>8442</v>
      </c>
      <c r="D237" s="389" t="s">
        <v>8058</v>
      </c>
      <c r="E237" s="389" t="s">
        <v>7749</v>
      </c>
      <c r="F237" s="389" t="s">
        <v>8443</v>
      </c>
      <c r="G237" s="389" t="s">
        <v>8444</v>
      </c>
      <c r="H237" s="389"/>
      <c r="I237" s="389"/>
      <c r="J237" s="389" t="s">
        <v>8424</v>
      </c>
      <c r="K237" s="389" t="s">
        <v>1424</v>
      </c>
      <c r="L237" s="389" t="s">
        <v>49</v>
      </c>
      <c r="M237" s="389" t="s">
        <v>27</v>
      </c>
      <c r="N237" s="389" t="s">
        <v>8259</v>
      </c>
      <c r="O237" s="448">
        <v>6689.0</v>
      </c>
      <c r="P237" s="448">
        <v>7893.0</v>
      </c>
      <c r="Q237" s="407">
        <v>57.0</v>
      </c>
      <c r="R237" s="340">
        <f t="shared" si="7"/>
        <v>3812.73</v>
      </c>
      <c r="S237" s="340">
        <f t="shared" si="6"/>
        <v>-4080.27</v>
      </c>
      <c r="T237" s="340"/>
      <c r="U237" s="340"/>
      <c r="V237" s="340"/>
      <c r="W237" s="340"/>
      <c r="X237" s="340"/>
      <c r="Y237" s="340"/>
    </row>
    <row r="238">
      <c r="A238" s="5"/>
      <c r="B238" s="500" t="s">
        <v>8438</v>
      </c>
      <c r="C238" s="501" t="s">
        <v>8445</v>
      </c>
      <c r="D238" s="501" t="s">
        <v>21</v>
      </c>
      <c r="E238" s="501" t="s">
        <v>8446</v>
      </c>
      <c r="F238" s="501" t="s">
        <v>8447</v>
      </c>
      <c r="G238" s="501">
        <v>9.586450596E9</v>
      </c>
      <c r="H238" s="501"/>
      <c r="I238" s="501">
        <v>35000.0</v>
      </c>
      <c r="J238" s="501" t="s">
        <v>1916</v>
      </c>
      <c r="K238" s="501" t="s">
        <v>48</v>
      </c>
      <c r="L238" s="479" t="s">
        <v>49</v>
      </c>
      <c r="M238" s="479" t="s">
        <v>71</v>
      </c>
      <c r="N238" s="479" t="s">
        <v>8262</v>
      </c>
      <c r="O238" s="502">
        <v>50379.0</v>
      </c>
      <c r="P238" s="502"/>
      <c r="Q238" s="5">
        <v>20.0</v>
      </c>
      <c r="R238" s="31">
        <f t="shared" si="7"/>
        <v>10075.8</v>
      </c>
      <c r="S238" s="444">
        <f t="shared" si="6"/>
        <v>10075.8</v>
      </c>
      <c r="T238" s="340"/>
      <c r="U238" s="340"/>
      <c r="V238" s="340"/>
      <c r="W238" s="340"/>
      <c r="X238" s="340"/>
      <c r="Y238" s="340"/>
    </row>
    <row r="239">
      <c r="A239" s="407"/>
      <c r="B239" s="503" t="s">
        <v>8438</v>
      </c>
      <c r="C239" s="388" t="s">
        <v>8448</v>
      </c>
      <c r="D239" s="388" t="s">
        <v>21</v>
      </c>
      <c r="E239" s="388" t="s">
        <v>8446</v>
      </c>
      <c r="F239" s="388" t="s">
        <v>8447</v>
      </c>
      <c r="G239" s="388">
        <v>9.586450596E9</v>
      </c>
      <c r="H239" s="388"/>
      <c r="I239" s="388">
        <v>35000.0</v>
      </c>
      <c r="J239" s="388" t="s">
        <v>1916</v>
      </c>
      <c r="K239" s="388" t="s">
        <v>48</v>
      </c>
      <c r="L239" s="389" t="s">
        <v>49</v>
      </c>
      <c r="M239" s="389" t="s">
        <v>71</v>
      </c>
      <c r="N239" s="389" t="s">
        <v>8262</v>
      </c>
      <c r="O239" s="454">
        <v>49527.0</v>
      </c>
      <c r="P239" s="454"/>
      <c r="Q239" s="407">
        <v>21.0</v>
      </c>
      <c r="R239" s="340">
        <f t="shared" si="7"/>
        <v>10400.67</v>
      </c>
      <c r="S239" s="419">
        <f t="shared" si="6"/>
        <v>10400.67</v>
      </c>
      <c r="T239" s="340"/>
      <c r="U239" s="340"/>
      <c r="V239" s="340"/>
      <c r="W239" s="340"/>
      <c r="X239" s="340"/>
      <c r="Y239" s="340"/>
    </row>
    <row r="240">
      <c r="A240" s="407"/>
      <c r="B240" s="504" t="s">
        <v>8263</v>
      </c>
      <c r="C240" s="505"/>
      <c r="D240" s="505"/>
      <c r="E240" s="505"/>
      <c r="F240" s="505"/>
      <c r="G240" s="505"/>
      <c r="H240" s="505"/>
      <c r="I240" s="505"/>
      <c r="J240" s="505"/>
      <c r="K240" s="506"/>
      <c r="L240" s="389"/>
      <c r="M240" s="389"/>
      <c r="N240" s="389"/>
      <c r="O240" s="454"/>
      <c r="P240" s="454"/>
      <c r="Q240" s="340"/>
      <c r="R240" s="407">
        <v>35481.0</v>
      </c>
      <c r="S240" s="419">
        <f t="shared" si="6"/>
        <v>35481</v>
      </c>
      <c r="T240" s="340"/>
      <c r="U240" s="340"/>
      <c r="V240" s="340"/>
      <c r="W240" s="340"/>
      <c r="X240" s="340"/>
      <c r="Y240" s="340"/>
    </row>
    <row r="241">
      <c r="A241" s="407"/>
      <c r="B241" s="492" t="s">
        <v>8449</v>
      </c>
      <c r="C241" s="389" t="s">
        <v>252</v>
      </c>
      <c r="D241" s="389" t="s">
        <v>8058</v>
      </c>
      <c r="E241" s="389" t="s">
        <v>8450</v>
      </c>
      <c r="F241" s="389" t="s">
        <v>8451</v>
      </c>
      <c r="G241" s="389" t="s">
        <v>8452</v>
      </c>
      <c r="H241" s="389"/>
      <c r="I241" s="389"/>
      <c r="J241" s="447">
        <v>45717.0</v>
      </c>
      <c r="K241" s="389" t="s">
        <v>116</v>
      </c>
      <c r="L241" s="389" t="s">
        <v>49</v>
      </c>
      <c r="M241" s="389" t="s">
        <v>71</v>
      </c>
      <c r="N241" s="389" t="s">
        <v>8259</v>
      </c>
      <c r="O241" s="454">
        <v>5411.0</v>
      </c>
      <c r="P241" s="454">
        <v>6109.0</v>
      </c>
      <c r="Q241" s="407">
        <v>51.0</v>
      </c>
      <c r="R241" s="340">
        <f t="shared" ref="R241:R258" si="8">O241*Q241%</f>
        <v>2759.61</v>
      </c>
      <c r="S241" s="419">
        <f t="shared" si="6"/>
        <v>-3349.39</v>
      </c>
      <c r="T241" s="340"/>
      <c r="U241" s="340"/>
      <c r="V241" s="340"/>
      <c r="W241" s="340"/>
      <c r="X241" s="340"/>
      <c r="Y241" s="340"/>
    </row>
    <row r="242">
      <c r="A242" s="5" t="s">
        <v>8453</v>
      </c>
      <c r="B242" s="491" t="s">
        <v>8449</v>
      </c>
      <c r="C242" s="440" t="s">
        <v>8144</v>
      </c>
      <c r="D242" s="440" t="s">
        <v>21</v>
      </c>
      <c r="E242" s="440" t="s">
        <v>8454</v>
      </c>
      <c r="F242" s="440" t="s">
        <v>8146</v>
      </c>
      <c r="G242" s="440" t="s">
        <v>8147</v>
      </c>
      <c r="H242" s="440"/>
      <c r="I242" s="440">
        <v>12500.0</v>
      </c>
      <c r="J242" s="440" t="s">
        <v>8455</v>
      </c>
      <c r="K242" s="440" t="s">
        <v>48</v>
      </c>
      <c r="L242" s="440" t="s">
        <v>49</v>
      </c>
      <c r="M242" s="440" t="s">
        <v>27</v>
      </c>
      <c r="N242" s="440" t="s">
        <v>8262</v>
      </c>
      <c r="O242" s="464">
        <v>37211.0</v>
      </c>
      <c r="P242" s="464"/>
      <c r="Q242" s="5">
        <v>20.0</v>
      </c>
      <c r="R242" s="31">
        <f t="shared" si="8"/>
        <v>7442.2</v>
      </c>
      <c r="S242" s="31">
        <f t="shared" si="6"/>
        <v>7442.2</v>
      </c>
      <c r="T242" s="31"/>
      <c r="U242" s="31"/>
      <c r="V242" s="31"/>
      <c r="W242" s="31"/>
      <c r="X242" s="31"/>
      <c r="Y242" s="31"/>
    </row>
    <row r="243">
      <c r="A243" s="407"/>
      <c r="B243" s="492" t="s">
        <v>8449</v>
      </c>
      <c r="C243" s="389" t="s">
        <v>235</v>
      </c>
      <c r="D243" s="389" t="s">
        <v>8058</v>
      </c>
      <c r="E243" s="389" t="s">
        <v>7761</v>
      </c>
      <c r="F243" s="389" t="s">
        <v>8456</v>
      </c>
      <c r="G243" s="389" t="s">
        <v>8457</v>
      </c>
      <c r="H243" s="389"/>
      <c r="I243" s="389"/>
      <c r="J243" s="389" t="s">
        <v>8458</v>
      </c>
      <c r="K243" s="389" t="s">
        <v>116</v>
      </c>
      <c r="L243" s="389" t="s">
        <v>49</v>
      </c>
      <c r="M243" s="389" t="s">
        <v>27</v>
      </c>
      <c r="N243" s="389" t="s">
        <v>8259</v>
      </c>
      <c r="O243" s="454">
        <v>5177.0</v>
      </c>
      <c r="P243" s="454">
        <v>5833.0</v>
      </c>
      <c r="Q243" s="407">
        <v>51.0</v>
      </c>
      <c r="R243" s="340">
        <f t="shared" si="8"/>
        <v>2640.27</v>
      </c>
      <c r="S243" s="419">
        <f t="shared" si="6"/>
        <v>-3192.73</v>
      </c>
      <c r="T243" s="340"/>
      <c r="U243" s="340"/>
      <c r="V243" s="340"/>
      <c r="W243" s="340"/>
      <c r="X243" s="340"/>
      <c r="Y243" s="340"/>
    </row>
    <row r="244">
      <c r="A244" s="5"/>
      <c r="B244" s="493" t="s">
        <v>8459</v>
      </c>
      <c r="C244" s="450" t="s">
        <v>1963</v>
      </c>
      <c r="D244" s="450" t="s">
        <v>21</v>
      </c>
      <c r="E244" s="450" t="s">
        <v>8460</v>
      </c>
      <c r="F244" s="450" t="s">
        <v>8461</v>
      </c>
      <c r="G244" s="450" t="s">
        <v>1966</v>
      </c>
      <c r="H244" s="450" t="s">
        <v>8462</v>
      </c>
      <c r="I244" s="450">
        <v>28000.0</v>
      </c>
      <c r="J244" s="450" t="s">
        <v>8463</v>
      </c>
      <c r="K244" s="450" t="s">
        <v>70</v>
      </c>
      <c r="L244" s="450" t="s">
        <v>49</v>
      </c>
      <c r="M244" s="450" t="s">
        <v>27</v>
      </c>
      <c r="N244" s="450" t="s">
        <v>8262</v>
      </c>
      <c r="O244" s="453">
        <v>46098.0</v>
      </c>
      <c r="P244" s="453"/>
      <c r="Q244" s="48">
        <v>23.0</v>
      </c>
      <c r="R244" s="425">
        <f t="shared" si="8"/>
        <v>10602.54</v>
      </c>
      <c r="S244" s="425">
        <f t="shared" si="6"/>
        <v>10602.54</v>
      </c>
      <c r="T244" s="31"/>
      <c r="U244" s="31"/>
      <c r="V244" s="31"/>
      <c r="W244" s="31"/>
      <c r="X244" s="31"/>
      <c r="Y244" s="31"/>
    </row>
    <row r="245">
      <c r="A245" s="5"/>
      <c r="B245" s="493" t="s">
        <v>8459</v>
      </c>
      <c r="C245" s="450" t="s">
        <v>6732</v>
      </c>
      <c r="D245" s="450" t="s">
        <v>44</v>
      </c>
      <c r="E245" s="450" t="s">
        <v>8464</v>
      </c>
      <c r="F245" s="450" t="s">
        <v>8465</v>
      </c>
      <c r="G245" s="450" t="s">
        <v>8358</v>
      </c>
      <c r="H245" s="450"/>
      <c r="I245" s="450"/>
      <c r="J245" s="450" t="s">
        <v>8463</v>
      </c>
      <c r="K245" s="450" t="s">
        <v>70</v>
      </c>
      <c r="L245" s="450" t="s">
        <v>49</v>
      </c>
      <c r="M245" s="450" t="s">
        <v>71</v>
      </c>
      <c r="N245" s="450" t="s">
        <v>8262</v>
      </c>
      <c r="O245" s="453">
        <v>17918.0</v>
      </c>
      <c r="P245" s="453"/>
      <c r="Q245" s="48">
        <v>55.0</v>
      </c>
      <c r="R245" s="425">
        <f t="shared" si="8"/>
        <v>9854.9</v>
      </c>
      <c r="S245" s="425">
        <f t="shared" si="6"/>
        <v>9854.9</v>
      </c>
      <c r="T245" s="31"/>
      <c r="U245" s="31"/>
      <c r="V245" s="31"/>
      <c r="W245" s="31"/>
      <c r="X245" s="31"/>
      <c r="Y245" s="31"/>
    </row>
    <row r="246">
      <c r="A246" s="407"/>
      <c r="B246" s="492" t="s">
        <v>8459</v>
      </c>
      <c r="C246" s="389" t="s">
        <v>6791</v>
      </c>
      <c r="D246" s="389" t="s">
        <v>44</v>
      </c>
      <c r="E246" s="389" t="s">
        <v>8466</v>
      </c>
      <c r="F246" s="389" t="s">
        <v>8467</v>
      </c>
      <c r="G246" s="389" t="s">
        <v>8468</v>
      </c>
      <c r="H246" s="389"/>
      <c r="I246" s="389"/>
      <c r="J246" s="389" t="s">
        <v>8266</v>
      </c>
      <c r="K246" s="389" t="s">
        <v>116</v>
      </c>
      <c r="L246" s="389" t="s">
        <v>49</v>
      </c>
      <c r="M246" s="389" t="s">
        <v>71</v>
      </c>
      <c r="N246" s="389" t="s">
        <v>8259</v>
      </c>
      <c r="O246" s="454">
        <v>17854.0</v>
      </c>
      <c r="P246" s="454">
        <v>20098.0</v>
      </c>
      <c r="Q246" s="407">
        <v>51.0</v>
      </c>
      <c r="R246" s="340">
        <f t="shared" si="8"/>
        <v>9105.54</v>
      </c>
      <c r="S246" s="419">
        <f t="shared" si="6"/>
        <v>-10992.46</v>
      </c>
      <c r="T246" s="340"/>
      <c r="U246" s="340"/>
      <c r="V246" s="340"/>
      <c r="W246" s="340"/>
      <c r="X246" s="340"/>
      <c r="Y246" s="340"/>
    </row>
    <row r="247">
      <c r="A247" s="407" t="s">
        <v>8469</v>
      </c>
      <c r="B247" s="492" t="s">
        <v>8459</v>
      </c>
      <c r="C247" s="389" t="s">
        <v>8470</v>
      </c>
      <c r="D247" s="389" t="s">
        <v>44</v>
      </c>
      <c r="E247" s="389" t="s">
        <v>8471</v>
      </c>
      <c r="F247" s="389" t="s">
        <v>8472</v>
      </c>
      <c r="G247" s="389" t="s">
        <v>8473</v>
      </c>
      <c r="H247" s="389"/>
      <c r="I247" s="389"/>
      <c r="J247" s="389" t="s">
        <v>8458</v>
      </c>
      <c r="K247" s="389" t="s">
        <v>116</v>
      </c>
      <c r="L247" s="389" t="s">
        <v>49</v>
      </c>
      <c r="M247" s="389" t="s">
        <v>27</v>
      </c>
      <c r="N247" s="389" t="s">
        <v>8259</v>
      </c>
      <c r="O247" s="454">
        <v>18797.0</v>
      </c>
      <c r="P247" s="507">
        <v>21211.0</v>
      </c>
      <c r="Q247" s="407">
        <v>51.0</v>
      </c>
      <c r="R247" s="340">
        <f t="shared" si="8"/>
        <v>9586.47</v>
      </c>
      <c r="S247" s="421">
        <f t="shared" si="6"/>
        <v>-11624.53</v>
      </c>
      <c r="T247" s="340"/>
      <c r="U247" s="340"/>
      <c r="V247" s="340"/>
      <c r="W247" s="340"/>
      <c r="X247" s="340"/>
      <c r="Y247" s="340"/>
    </row>
    <row r="248">
      <c r="A248" s="340"/>
      <c r="B248" s="492" t="s">
        <v>8459</v>
      </c>
      <c r="C248" s="389" t="s">
        <v>8474</v>
      </c>
      <c r="D248" s="389" t="s">
        <v>44</v>
      </c>
      <c r="E248" s="389" t="s">
        <v>1360</v>
      </c>
      <c r="F248" s="389" t="s">
        <v>8475</v>
      </c>
      <c r="G248" s="389" t="s">
        <v>8476</v>
      </c>
      <c r="H248" s="389"/>
      <c r="I248" s="389"/>
      <c r="J248" s="447">
        <v>45658.0</v>
      </c>
      <c r="K248" s="389" t="s">
        <v>1424</v>
      </c>
      <c r="L248" s="389" t="s">
        <v>49</v>
      </c>
      <c r="M248" s="389" t="s">
        <v>1436</v>
      </c>
      <c r="N248" s="389" t="s">
        <v>8259</v>
      </c>
      <c r="O248" s="448">
        <v>19444.0</v>
      </c>
      <c r="P248" s="448">
        <v>21982.0</v>
      </c>
      <c r="Q248" s="407">
        <v>53.0</v>
      </c>
      <c r="R248" s="340">
        <f t="shared" si="8"/>
        <v>10305.32</v>
      </c>
      <c r="S248" s="340">
        <f t="shared" si="6"/>
        <v>-11676.68</v>
      </c>
      <c r="T248" s="340"/>
      <c r="U248" s="340"/>
      <c r="V248" s="340"/>
      <c r="W248" s="340"/>
      <c r="X248" s="340"/>
      <c r="Y248" s="340"/>
    </row>
    <row r="249">
      <c r="A249" s="425"/>
      <c r="B249" s="493" t="s">
        <v>8477</v>
      </c>
      <c r="C249" s="450" t="s">
        <v>1913</v>
      </c>
      <c r="D249" s="450" t="s">
        <v>21</v>
      </c>
      <c r="E249" s="450" t="s">
        <v>8478</v>
      </c>
      <c r="F249" s="450" t="s">
        <v>8327</v>
      </c>
      <c r="G249" s="450" t="s">
        <v>1915</v>
      </c>
      <c r="H249" s="450"/>
      <c r="I249" s="453">
        <v>35000.0</v>
      </c>
      <c r="J249" s="450" t="s">
        <v>8458</v>
      </c>
      <c r="K249" s="450" t="s">
        <v>70</v>
      </c>
      <c r="L249" s="450" t="s">
        <v>49</v>
      </c>
      <c r="M249" s="450" t="s">
        <v>71</v>
      </c>
      <c r="N249" s="450" t="s">
        <v>8262</v>
      </c>
      <c r="O249" s="456">
        <v>46815.0</v>
      </c>
      <c r="P249" s="453"/>
      <c r="Q249" s="48">
        <v>23.0</v>
      </c>
      <c r="R249" s="425">
        <f t="shared" si="8"/>
        <v>10767.45</v>
      </c>
      <c r="S249" s="425">
        <f t="shared" si="6"/>
        <v>10767.45</v>
      </c>
      <c r="T249" s="425"/>
      <c r="U249" s="425"/>
      <c r="V249" s="425"/>
      <c r="W249" s="425"/>
      <c r="X249" s="425"/>
      <c r="Y249" s="425"/>
    </row>
    <row r="250">
      <c r="A250" s="340"/>
      <c r="B250" s="492" t="s">
        <v>8477</v>
      </c>
      <c r="C250" s="389" t="s">
        <v>2342</v>
      </c>
      <c r="D250" s="389" t="s">
        <v>21</v>
      </c>
      <c r="E250" s="389" t="s">
        <v>8479</v>
      </c>
      <c r="F250" s="389" t="s">
        <v>8480</v>
      </c>
      <c r="G250" s="389" t="s">
        <v>8481</v>
      </c>
      <c r="H250" s="389"/>
      <c r="I250" s="448">
        <v>35000.0</v>
      </c>
      <c r="J250" s="389" t="s">
        <v>8458</v>
      </c>
      <c r="K250" s="389" t="s">
        <v>48</v>
      </c>
      <c r="L250" s="389" t="s">
        <v>49</v>
      </c>
      <c r="M250" s="389" t="s">
        <v>27</v>
      </c>
      <c r="N250" s="389" t="s">
        <v>8262</v>
      </c>
      <c r="O250" s="463">
        <v>48473.0</v>
      </c>
      <c r="P250" s="448"/>
      <c r="Q250" s="407">
        <v>20.0</v>
      </c>
      <c r="R250" s="340">
        <f t="shared" si="8"/>
        <v>9694.6</v>
      </c>
      <c r="S250" s="340">
        <f t="shared" si="6"/>
        <v>9694.6</v>
      </c>
      <c r="T250" s="340"/>
      <c r="U250" s="340"/>
      <c r="V250" s="340"/>
      <c r="W250" s="340"/>
      <c r="X250" s="340"/>
      <c r="Y250" s="340"/>
    </row>
    <row r="251">
      <c r="A251" s="508"/>
      <c r="B251" s="509" t="s">
        <v>8477</v>
      </c>
      <c r="C251" s="510" t="s">
        <v>8482</v>
      </c>
      <c r="D251" s="510" t="s">
        <v>1395</v>
      </c>
      <c r="E251" s="510" t="s">
        <v>262</v>
      </c>
      <c r="F251" s="510" t="s">
        <v>8483</v>
      </c>
      <c r="G251" s="510">
        <v>9.925970185E9</v>
      </c>
      <c r="H251" s="510"/>
      <c r="I251" s="511">
        <v>1600.0</v>
      </c>
      <c r="J251" s="512">
        <v>45962.0</v>
      </c>
      <c r="K251" s="510" t="s">
        <v>1424</v>
      </c>
      <c r="L251" s="510" t="s">
        <v>49</v>
      </c>
      <c r="M251" s="510" t="s">
        <v>8484</v>
      </c>
      <c r="N251" s="510" t="s">
        <v>8259</v>
      </c>
      <c r="O251" s="511">
        <v>19632.0</v>
      </c>
      <c r="P251" s="513">
        <v>22202.0</v>
      </c>
      <c r="Q251" s="514">
        <v>53.0</v>
      </c>
      <c r="R251" s="508">
        <f t="shared" si="8"/>
        <v>10404.96</v>
      </c>
      <c r="S251" s="508">
        <f t="shared" si="6"/>
        <v>-11797.04</v>
      </c>
      <c r="T251" s="508"/>
      <c r="U251" s="508"/>
      <c r="V251" s="508"/>
      <c r="W251" s="508"/>
      <c r="X251" s="508"/>
      <c r="Y251" s="508"/>
    </row>
    <row r="252">
      <c r="A252" s="340"/>
      <c r="B252" s="492" t="s">
        <v>8485</v>
      </c>
      <c r="C252" s="389" t="s">
        <v>6778</v>
      </c>
      <c r="D252" s="389" t="s">
        <v>21</v>
      </c>
      <c r="E252" s="389" t="s">
        <v>8486</v>
      </c>
      <c r="F252" s="389" t="s">
        <v>8487</v>
      </c>
      <c r="G252" s="389" t="s">
        <v>1942</v>
      </c>
      <c r="H252" s="389"/>
      <c r="I252" s="448">
        <v>28000.0</v>
      </c>
      <c r="J252" s="389" t="s">
        <v>1909</v>
      </c>
      <c r="K252" s="389" t="s">
        <v>1424</v>
      </c>
      <c r="L252" s="389" t="s">
        <v>49</v>
      </c>
      <c r="M252" s="389" t="s">
        <v>27</v>
      </c>
      <c r="N252" s="389" t="s">
        <v>8262</v>
      </c>
      <c r="O252" s="463">
        <v>47152.0</v>
      </c>
      <c r="P252" s="463"/>
      <c r="Q252" s="407">
        <v>21.0</v>
      </c>
      <c r="R252" s="340">
        <f t="shared" si="8"/>
        <v>9901.92</v>
      </c>
      <c r="S252" s="340">
        <f t="shared" si="6"/>
        <v>9901.92</v>
      </c>
      <c r="T252" s="340"/>
      <c r="U252" s="340"/>
      <c r="V252" s="340"/>
      <c r="W252" s="340"/>
      <c r="X252" s="340"/>
      <c r="Y252" s="340"/>
    </row>
    <row r="253">
      <c r="A253" s="340"/>
      <c r="B253" s="492" t="s">
        <v>8485</v>
      </c>
      <c r="C253" s="389" t="s">
        <v>6762</v>
      </c>
      <c r="D253" s="389" t="s">
        <v>1395</v>
      </c>
      <c r="E253" s="389" t="s">
        <v>528</v>
      </c>
      <c r="F253" s="389" t="s">
        <v>8488</v>
      </c>
      <c r="G253" s="389" t="s">
        <v>8489</v>
      </c>
      <c r="H253" s="389"/>
      <c r="I253" s="448">
        <v>2670.0</v>
      </c>
      <c r="J253" s="389" t="s">
        <v>8266</v>
      </c>
      <c r="K253" s="389" t="s">
        <v>116</v>
      </c>
      <c r="L253" s="389" t="s">
        <v>49</v>
      </c>
      <c r="M253" s="389" t="s">
        <v>71</v>
      </c>
      <c r="N253" s="389" t="s">
        <v>8262</v>
      </c>
      <c r="O253" s="454">
        <v>17770.0</v>
      </c>
      <c r="P253" s="454"/>
      <c r="Q253" s="407">
        <v>51.0</v>
      </c>
      <c r="R253" s="340">
        <f t="shared" si="8"/>
        <v>9062.7</v>
      </c>
      <c r="S253" s="419">
        <f t="shared" si="6"/>
        <v>9062.7</v>
      </c>
      <c r="T253" s="340"/>
      <c r="U253" s="340"/>
      <c r="V253" s="340"/>
      <c r="W253" s="340"/>
      <c r="X253" s="340"/>
      <c r="Y253" s="340"/>
    </row>
    <row r="254">
      <c r="A254" s="340"/>
      <c r="B254" s="492" t="s">
        <v>8485</v>
      </c>
      <c r="C254" s="389" t="s">
        <v>8490</v>
      </c>
      <c r="D254" s="389" t="s">
        <v>21</v>
      </c>
      <c r="E254" s="389" t="s">
        <v>8478</v>
      </c>
      <c r="F254" s="389" t="s">
        <v>8491</v>
      </c>
      <c r="G254" s="389" t="s">
        <v>2624</v>
      </c>
      <c r="H254" s="389"/>
      <c r="I254" s="448">
        <v>35000.0</v>
      </c>
      <c r="J254" s="389" t="s">
        <v>1909</v>
      </c>
      <c r="K254" s="389" t="s">
        <v>48</v>
      </c>
      <c r="L254" s="389" t="s">
        <v>49</v>
      </c>
      <c r="M254" s="389" t="s">
        <v>27</v>
      </c>
      <c r="N254" s="389" t="s">
        <v>8262</v>
      </c>
      <c r="O254" s="463">
        <v>46773.0</v>
      </c>
      <c r="P254" s="448"/>
      <c r="Q254" s="407">
        <v>20.0</v>
      </c>
      <c r="R254" s="340">
        <f t="shared" si="8"/>
        <v>9354.6</v>
      </c>
      <c r="S254" s="340">
        <f t="shared" si="6"/>
        <v>9354.6</v>
      </c>
      <c r="T254" s="340"/>
      <c r="U254" s="340"/>
      <c r="V254" s="340"/>
      <c r="W254" s="340"/>
      <c r="X254" s="340"/>
      <c r="Y254" s="340"/>
    </row>
    <row r="255">
      <c r="A255" s="340"/>
      <c r="B255" s="492" t="s">
        <v>8485</v>
      </c>
      <c r="C255" s="389" t="s">
        <v>8492</v>
      </c>
      <c r="D255" s="389" t="s">
        <v>1395</v>
      </c>
      <c r="E255" s="389" t="s">
        <v>8493</v>
      </c>
      <c r="F255" s="389" t="s">
        <v>8494</v>
      </c>
      <c r="G255" s="389">
        <v>9.879793917E9</v>
      </c>
      <c r="H255" s="389"/>
      <c r="I255" s="448">
        <v>2565.0</v>
      </c>
      <c r="J255" s="389" t="s">
        <v>8266</v>
      </c>
      <c r="K255" s="389" t="s">
        <v>1424</v>
      </c>
      <c r="L255" s="389" t="s">
        <v>49</v>
      </c>
      <c r="M255" s="389" t="s">
        <v>1436</v>
      </c>
      <c r="N255" s="389" t="s">
        <v>8262</v>
      </c>
      <c r="O255" s="448">
        <v>20843.0</v>
      </c>
      <c r="P255" s="448"/>
      <c r="Q255" s="407">
        <v>53.0</v>
      </c>
      <c r="R255" s="340">
        <f t="shared" si="8"/>
        <v>11046.79</v>
      </c>
      <c r="S255" s="340">
        <f t="shared" si="6"/>
        <v>11046.79</v>
      </c>
      <c r="T255" s="340"/>
      <c r="U255" s="340"/>
      <c r="V255" s="340"/>
      <c r="W255" s="340"/>
      <c r="X255" s="340"/>
      <c r="Y255" s="340"/>
    </row>
    <row r="256">
      <c r="A256" s="340"/>
      <c r="B256" s="492" t="s">
        <v>8485</v>
      </c>
      <c r="C256" s="389" t="s">
        <v>8495</v>
      </c>
      <c r="D256" s="389" t="s">
        <v>1395</v>
      </c>
      <c r="E256" s="389" t="s">
        <v>3906</v>
      </c>
      <c r="F256" s="389" t="s">
        <v>8496</v>
      </c>
      <c r="G256" s="389">
        <v>9.998941544E9</v>
      </c>
      <c r="H256" s="389"/>
      <c r="I256" s="448">
        <v>2735.0</v>
      </c>
      <c r="J256" s="389" t="s">
        <v>8497</v>
      </c>
      <c r="K256" s="389" t="s">
        <v>1424</v>
      </c>
      <c r="L256" s="389" t="s">
        <v>49</v>
      </c>
      <c r="M256" s="389" t="s">
        <v>8312</v>
      </c>
      <c r="N256" s="389" t="s">
        <v>8259</v>
      </c>
      <c r="O256" s="448">
        <v>21334.0</v>
      </c>
      <c r="P256" s="448">
        <v>24212.0</v>
      </c>
      <c r="Q256" s="407">
        <v>53.0</v>
      </c>
      <c r="R256" s="340">
        <f t="shared" si="8"/>
        <v>11307.02</v>
      </c>
      <c r="S256" s="340">
        <f t="shared" si="6"/>
        <v>-12904.98</v>
      </c>
      <c r="T256" s="340"/>
      <c r="U256" s="340"/>
      <c r="V256" s="340"/>
      <c r="W256" s="340"/>
      <c r="X256" s="340"/>
      <c r="Y256" s="340"/>
    </row>
    <row r="257">
      <c r="A257" s="340"/>
      <c r="B257" s="492" t="s">
        <v>8498</v>
      </c>
      <c r="C257" s="389" t="s">
        <v>8499</v>
      </c>
      <c r="D257" s="389" t="s">
        <v>21</v>
      </c>
      <c r="E257" s="389" t="s">
        <v>2621</v>
      </c>
      <c r="F257" s="389" t="s">
        <v>8500</v>
      </c>
      <c r="G257" s="389" t="s">
        <v>8501</v>
      </c>
      <c r="H257" s="389"/>
      <c r="I257" s="448">
        <v>11990.0</v>
      </c>
      <c r="J257" s="389" t="s">
        <v>8502</v>
      </c>
      <c r="K257" s="389" t="s">
        <v>48</v>
      </c>
      <c r="L257" s="389" t="s">
        <v>49</v>
      </c>
      <c r="M257" s="389" t="s">
        <v>27</v>
      </c>
      <c r="N257" s="389" t="s">
        <v>8262</v>
      </c>
      <c r="O257" s="515">
        <v>31437.0</v>
      </c>
      <c r="P257" s="448"/>
      <c r="Q257" s="407">
        <v>20.0</v>
      </c>
      <c r="R257" s="340">
        <f t="shared" si="8"/>
        <v>6287.4</v>
      </c>
      <c r="S257" s="340">
        <f t="shared" si="6"/>
        <v>6287.4</v>
      </c>
      <c r="T257" s="340"/>
      <c r="U257" s="340"/>
      <c r="V257" s="340"/>
      <c r="W257" s="340"/>
      <c r="X257" s="340"/>
      <c r="Y257" s="340"/>
    </row>
    <row r="258">
      <c r="A258" s="340"/>
      <c r="B258" s="492" t="s">
        <v>8498</v>
      </c>
      <c r="C258" s="389" t="s">
        <v>8503</v>
      </c>
      <c r="D258" s="389" t="s">
        <v>21</v>
      </c>
      <c r="E258" s="389" t="s">
        <v>8504</v>
      </c>
      <c r="F258" s="389" t="s">
        <v>8505</v>
      </c>
      <c r="G258" s="389" t="s">
        <v>2624</v>
      </c>
      <c r="H258" s="389"/>
      <c r="I258" s="448">
        <v>42000.0</v>
      </c>
      <c r="J258" s="389" t="s">
        <v>8502</v>
      </c>
      <c r="K258" s="389" t="s">
        <v>48</v>
      </c>
      <c r="L258" s="389" t="s">
        <v>49</v>
      </c>
      <c r="M258" s="389" t="s">
        <v>27</v>
      </c>
      <c r="N258" s="389" t="s">
        <v>8262</v>
      </c>
      <c r="O258" s="463">
        <v>46683.0</v>
      </c>
      <c r="P258" s="448"/>
      <c r="Q258" s="407">
        <v>19.0</v>
      </c>
      <c r="R258" s="340">
        <f t="shared" si="8"/>
        <v>8869.77</v>
      </c>
      <c r="S258" s="340">
        <f t="shared" si="6"/>
        <v>8869.77</v>
      </c>
      <c r="T258" s="340"/>
      <c r="U258" s="340"/>
      <c r="V258" s="340"/>
      <c r="W258" s="340"/>
      <c r="X258" s="340"/>
      <c r="Y258" s="340"/>
    </row>
    <row r="259">
      <c r="A259" s="31"/>
      <c r="B259" s="516"/>
      <c r="C259" s="517"/>
      <c r="D259" s="31"/>
      <c r="E259" s="517"/>
      <c r="F259" s="31"/>
      <c r="G259" s="516"/>
      <c r="H259" s="516"/>
      <c r="I259" s="516"/>
      <c r="J259" s="516"/>
      <c r="K259" s="517"/>
      <c r="L259" s="31"/>
      <c r="M259" s="31"/>
      <c r="N259" s="31"/>
      <c r="O259" s="31"/>
      <c r="P259" s="518"/>
      <c r="Q259" s="5"/>
      <c r="R259" s="31"/>
      <c r="S259" s="31"/>
      <c r="T259" s="31"/>
      <c r="U259" s="31"/>
      <c r="V259" s="31"/>
      <c r="W259" s="31"/>
      <c r="X259" s="31"/>
      <c r="Y259" s="31"/>
    </row>
    <row r="260">
      <c r="A260" s="31"/>
      <c r="B260" s="516"/>
      <c r="C260" s="517"/>
      <c r="D260" s="31"/>
      <c r="E260" s="517"/>
      <c r="F260" s="31"/>
      <c r="G260" s="516"/>
      <c r="H260" s="516"/>
      <c r="I260" s="516"/>
      <c r="J260" s="516"/>
      <c r="K260" s="517"/>
      <c r="L260" s="31"/>
      <c r="M260" s="31"/>
      <c r="N260" s="31"/>
      <c r="O260" s="31"/>
      <c r="P260" s="518"/>
      <c r="Q260" s="5"/>
      <c r="R260" s="519"/>
      <c r="S260" s="31"/>
      <c r="T260" s="31"/>
      <c r="U260" s="31"/>
      <c r="V260" s="31"/>
      <c r="W260" s="31"/>
      <c r="X260" s="31"/>
      <c r="Y260" s="31"/>
    </row>
    <row r="261">
      <c r="A261" s="31"/>
      <c r="B261" s="516"/>
      <c r="C261" s="517"/>
      <c r="D261" s="31"/>
      <c r="E261" s="517"/>
      <c r="F261" s="31"/>
      <c r="G261" s="516"/>
      <c r="H261" s="516"/>
      <c r="I261" s="516"/>
      <c r="J261" s="516"/>
      <c r="K261" s="517"/>
      <c r="L261" s="31"/>
      <c r="M261" s="31"/>
      <c r="N261" s="31"/>
      <c r="O261" s="31"/>
      <c r="P261" s="518"/>
      <c r="Q261" s="518"/>
      <c r="R261" s="519"/>
      <c r="S261" s="31"/>
      <c r="T261" s="31"/>
      <c r="U261" s="31"/>
      <c r="V261" s="31"/>
      <c r="W261" s="31"/>
      <c r="X261" s="31"/>
      <c r="Y261" s="31"/>
    </row>
    <row r="262">
      <c r="A262" s="31"/>
      <c r="B262" s="516"/>
      <c r="C262" s="517"/>
      <c r="D262" s="31"/>
      <c r="E262" s="517"/>
      <c r="F262" s="31"/>
      <c r="G262" s="516"/>
      <c r="H262" s="516"/>
      <c r="I262" s="516"/>
      <c r="J262" s="516"/>
      <c r="K262" s="517"/>
      <c r="L262" s="31"/>
      <c r="M262" s="31"/>
      <c r="N262" s="31"/>
      <c r="O262" s="31"/>
      <c r="P262" s="518"/>
      <c r="Q262" s="518"/>
      <c r="R262" s="519"/>
      <c r="S262" s="31"/>
      <c r="T262" s="31"/>
      <c r="U262" s="31"/>
      <c r="V262" s="31"/>
      <c r="W262" s="31"/>
      <c r="X262" s="31"/>
      <c r="Y262" s="31"/>
    </row>
    <row r="263">
      <c r="A263" s="31"/>
      <c r="B263" s="516"/>
      <c r="C263" s="517"/>
      <c r="D263" s="31"/>
      <c r="E263" s="517"/>
      <c r="F263" s="31"/>
      <c r="G263" s="516"/>
      <c r="H263" s="516"/>
      <c r="I263" s="516"/>
      <c r="J263" s="516"/>
      <c r="K263" s="517"/>
      <c r="L263" s="31"/>
      <c r="M263" s="31"/>
      <c r="N263" s="31"/>
      <c r="O263" s="31"/>
      <c r="P263" s="518"/>
      <c r="Q263" s="518"/>
      <c r="R263" s="519"/>
      <c r="S263" s="31"/>
      <c r="T263" s="31"/>
      <c r="U263" s="31"/>
      <c r="V263" s="31"/>
      <c r="W263" s="31"/>
      <c r="X263" s="31"/>
      <c r="Y263" s="31"/>
    </row>
    <row r="264">
      <c r="A264" s="31"/>
      <c r="B264" s="516"/>
      <c r="C264" s="517"/>
      <c r="D264" s="31"/>
      <c r="E264" s="517"/>
      <c r="F264" s="31"/>
      <c r="G264" s="516"/>
      <c r="H264" s="516"/>
      <c r="I264" s="516"/>
      <c r="J264" s="516"/>
      <c r="K264" s="517"/>
      <c r="L264" s="31"/>
      <c r="M264" s="31"/>
      <c r="N264" s="31"/>
      <c r="O264" s="31"/>
      <c r="P264" s="518"/>
      <c r="Q264" s="518"/>
      <c r="R264" s="519"/>
      <c r="S264" s="31"/>
      <c r="T264" s="31"/>
      <c r="U264" s="31"/>
      <c r="V264" s="31"/>
      <c r="W264" s="31"/>
      <c r="X264" s="31"/>
      <c r="Y264" s="31"/>
    </row>
    <row r="265">
      <c r="A265" s="31"/>
      <c r="B265" s="516"/>
      <c r="C265" s="517"/>
      <c r="D265" s="31"/>
      <c r="E265" s="517"/>
      <c r="F265" s="31"/>
      <c r="G265" s="516"/>
      <c r="H265" s="516"/>
      <c r="I265" s="516"/>
      <c r="J265" s="516"/>
      <c r="K265" s="517"/>
      <c r="L265" s="31"/>
      <c r="M265" s="31"/>
      <c r="N265" s="31"/>
      <c r="O265" s="31"/>
      <c r="P265" s="518">
        <f>SUM(P3:P258)</f>
        <v>2105971</v>
      </c>
      <c r="Q265" s="518"/>
      <c r="R265" s="519">
        <f>SUM(R2:R258)</f>
        <v>2168796.73</v>
      </c>
      <c r="S265" s="31"/>
      <c r="T265" s="31"/>
      <c r="U265" s="31"/>
      <c r="V265" s="31"/>
      <c r="W265" s="31"/>
      <c r="X265" s="31"/>
      <c r="Y265" s="31"/>
    </row>
    <row r="266">
      <c r="A266" s="31"/>
      <c r="B266" s="516"/>
      <c r="C266" s="517"/>
      <c r="D266" s="31"/>
      <c r="E266" s="517"/>
      <c r="F266" s="31"/>
      <c r="G266" s="516"/>
      <c r="H266" s="516"/>
      <c r="I266" s="516"/>
      <c r="J266" s="516"/>
      <c r="K266" s="517"/>
      <c r="L266" s="31"/>
      <c r="M266" s="31"/>
      <c r="N266" s="31"/>
      <c r="O266" s="31"/>
      <c r="P266" s="518"/>
      <c r="Q266" s="518"/>
      <c r="R266" s="518"/>
      <c r="S266" s="31"/>
      <c r="T266" s="31"/>
      <c r="U266" s="31"/>
      <c r="V266" s="31"/>
      <c r="W266" s="31"/>
      <c r="X266" s="31"/>
      <c r="Y266" s="31"/>
    </row>
    <row r="267">
      <c r="A267" s="31"/>
      <c r="B267" s="516"/>
      <c r="C267" s="517"/>
      <c r="D267" s="31"/>
      <c r="E267" s="517"/>
      <c r="F267" s="31"/>
      <c r="G267" s="516"/>
      <c r="H267" s="516"/>
      <c r="I267" s="516"/>
      <c r="J267" s="516"/>
      <c r="K267" s="517"/>
      <c r="L267" s="31"/>
      <c r="M267" s="31"/>
      <c r="N267" s="31"/>
      <c r="O267" s="31"/>
      <c r="P267" s="518"/>
      <c r="Q267" s="519">
        <f>R265-P265</f>
        <v>62825.73</v>
      </c>
      <c r="R267" s="520" t="s">
        <v>8506</v>
      </c>
      <c r="S267" s="213"/>
      <c r="T267" s="42"/>
      <c r="U267" s="31"/>
      <c r="V267" s="31"/>
      <c r="W267" s="31"/>
      <c r="X267" s="31"/>
      <c r="Y267" s="31"/>
    </row>
    <row r="268">
      <c r="A268" s="31"/>
      <c r="B268" s="516"/>
      <c r="C268" s="517"/>
      <c r="D268" s="31"/>
      <c r="E268" s="517"/>
      <c r="F268" s="31"/>
      <c r="G268" s="516"/>
      <c r="H268" s="516"/>
      <c r="I268" s="516"/>
      <c r="J268" s="516"/>
      <c r="K268" s="517"/>
      <c r="L268" s="31"/>
      <c r="M268" s="31"/>
      <c r="N268" s="31"/>
      <c r="O268" s="31"/>
      <c r="P268" s="31"/>
      <c r="Q268" s="31"/>
      <c r="R268" s="5" t="s">
        <v>8507</v>
      </c>
      <c r="S268" s="31"/>
      <c r="T268" s="31"/>
      <c r="U268" s="31"/>
      <c r="V268" s="31"/>
      <c r="W268" s="31"/>
      <c r="X268" s="31"/>
      <c r="Y268" s="31"/>
    </row>
    <row r="269">
      <c r="A269" s="31"/>
      <c r="B269" s="516"/>
      <c r="C269" s="517"/>
      <c r="D269" s="31"/>
      <c r="E269" s="517"/>
      <c r="F269" s="31"/>
      <c r="G269" s="516"/>
      <c r="H269" s="516"/>
      <c r="I269" s="516"/>
      <c r="J269" s="516"/>
      <c r="K269" s="517"/>
      <c r="L269" s="31"/>
      <c r="M269" s="31"/>
      <c r="N269" s="31"/>
      <c r="O269" s="31"/>
      <c r="P269" s="31"/>
      <c r="Q269" s="31"/>
      <c r="R269" s="5" t="s">
        <v>8508</v>
      </c>
      <c r="S269" s="31"/>
      <c r="T269" s="31"/>
      <c r="U269" s="31"/>
      <c r="V269" s="31"/>
      <c r="W269" s="31"/>
      <c r="X269" s="31"/>
      <c r="Y269" s="31"/>
    </row>
    <row r="270">
      <c r="A270" s="31"/>
      <c r="B270" s="516"/>
      <c r="C270" s="517"/>
      <c r="D270" s="31"/>
      <c r="E270" s="517"/>
      <c r="F270" s="31"/>
      <c r="G270" s="516"/>
      <c r="H270" s="516"/>
      <c r="I270" s="516"/>
      <c r="J270" s="516"/>
      <c r="K270" s="517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</row>
    <row r="271">
      <c r="A271" s="31"/>
      <c r="B271" s="516"/>
      <c r="C271" s="517"/>
      <c r="D271" s="31"/>
      <c r="E271" s="517"/>
      <c r="F271" s="31"/>
      <c r="G271" s="516"/>
      <c r="H271" s="516"/>
      <c r="I271" s="516"/>
      <c r="J271" s="516"/>
      <c r="K271" s="517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</row>
    <row r="272">
      <c r="A272" s="31"/>
      <c r="B272" s="516"/>
      <c r="C272" s="517"/>
      <c r="D272" s="31"/>
      <c r="E272" s="517"/>
      <c r="F272" s="31"/>
      <c r="G272" s="516"/>
      <c r="H272" s="516"/>
      <c r="I272" s="516"/>
      <c r="J272" s="516"/>
      <c r="K272" s="517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</row>
    <row r="273">
      <c r="A273" s="31"/>
      <c r="B273" s="516"/>
      <c r="C273" s="517"/>
      <c r="D273" s="31"/>
      <c r="E273" s="517"/>
      <c r="F273" s="31"/>
      <c r="G273" s="516"/>
      <c r="H273" s="516"/>
      <c r="I273" s="516"/>
      <c r="J273" s="516"/>
      <c r="K273" s="517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</row>
    <row r="274">
      <c r="A274" s="31"/>
      <c r="B274" s="516"/>
      <c r="C274" s="517"/>
      <c r="D274" s="31"/>
      <c r="E274" s="517"/>
      <c r="F274" s="31"/>
      <c r="G274" s="516"/>
      <c r="H274" s="516"/>
      <c r="I274" s="516"/>
      <c r="J274" s="516"/>
      <c r="K274" s="517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</row>
    <row r="275">
      <c r="A275" s="31"/>
      <c r="B275" s="516"/>
      <c r="C275" s="517"/>
      <c r="D275" s="31"/>
      <c r="E275" s="517"/>
      <c r="F275" s="31"/>
      <c r="G275" s="516"/>
      <c r="H275" s="516"/>
      <c r="I275" s="516"/>
      <c r="J275" s="516"/>
      <c r="K275" s="517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</row>
    <row r="276">
      <c r="A276" s="31"/>
      <c r="B276" s="516"/>
      <c r="C276" s="517"/>
      <c r="D276" s="31"/>
      <c r="E276" s="517"/>
      <c r="F276" s="31"/>
      <c r="G276" s="516"/>
      <c r="H276" s="516"/>
      <c r="I276" s="516"/>
      <c r="J276" s="516"/>
      <c r="K276" s="517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</row>
    <row r="277">
      <c r="A277" s="31"/>
      <c r="B277" s="516"/>
      <c r="C277" s="517"/>
      <c r="D277" s="31"/>
      <c r="E277" s="517"/>
      <c r="F277" s="31"/>
      <c r="G277" s="516"/>
      <c r="H277" s="516"/>
      <c r="I277" s="516"/>
      <c r="J277" s="516"/>
      <c r="K277" s="517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</row>
    <row r="278">
      <c r="A278" s="31"/>
      <c r="B278" s="516"/>
      <c r="C278" s="517"/>
      <c r="D278" s="31"/>
      <c r="E278" s="517"/>
      <c r="F278" s="31"/>
      <c r="G278" s="516"/>
      <c r="H278" s="516"/>
      <c r="I278" s="516"/>
      <c r="J278" s="516"/>
      <c r="K278" s="517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</row>
    <row r="279">
      <c r="A279" s="31"/>
      <c r="B279" s="516"/>
      <c r="C279" s="517"/>
      <c r="D279" s="31"/>
      <c r="E279" s="517"/>
      <c r="F279" s="31"/>
      <c r="G279" s="516"/>
      <c r="H279" s="516"/>
      <c r="I279" s="516"/>
      <c r="J279" s="516"/>
      <c r="K279" s="517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</row>
    <row r="280">
      <c r="A280" s="31"/>
      <c r="B280" s="516"/>
      <c r="C280" s="517"/>
      <c r="D280" s="31"/>
      <c r="E280" s="517"/>
      <c r="F280" s="31"/>
      <c r="G280" s="516"/>
      <c r="H280" s="516"/>
      <c r="I280" s="516"/>
      <c r="J280" s="516"/>
      <c r="K280" s="517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</row>
    <row r="281">
      <c r="A281" s="31"/>
      <c r="B281" s="516"/>
      <c r="C281" s="517"/>
      <c r="D281" s="31"/>
      <c r="E281" s="517"/>
      <c r="F281" s="31"/>
      <c r="G281" s="516"/>
      <c r="H281" s="516"/>
      <c r="I281" s="516"/>
      <c r="J281" s="516"/>
      <c r="K281" s="517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</row>
    <row r="282">
      <c r="A282" s="31"/>
      <c r="B282" s="516"/>
      <c r="C282" s="517"/>
      <c r="D282" s="31"/>
      <c r="E282" s="517"/>
      <c r="F282" s="31"/>
      <c r="G282" s="516"/>
      <c r="H282" s="516"/>
      <c r="I282" s="516"/>
      <c r="J282" s="516"/>
      <c r="K282" s="517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</row>
    <row r="283">
      <c r="A283" s="31"/>
      <c r="B283" s="516"/>
      <c r="C283" s="517"/>
      <c r="D283" s="31"/>
      <c r="E283" s="517"/>
      <c r="F283" s="31"/>
      <c r="G283" s="516"/>
      <c r="H283" s="516"/>
      <c r="I283" s="516"/>
      <c r="J283" s="516"/>
      <c r="K283" s="517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</row>
    <row r="284">
      <c r="A284" s="31"/>
      <c r="B284" s="516"/>
      <c r="C284" s="517"/>
      <c r="D284" s="31"/>
      <c r="E284" s="517"/>
      <c r="F284" s="31"/>
      <c r="G284" s="516"/>
      <c r="H284" s="516"/>
      <c r="I284" s="516"/>
      <c r="J284" s="516"/>
      <c r="K284" s="517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</row>
    <row r="285">
      <c r="A285" s="31"/>
      <c r="B285" s="516"/>
      <c r="C285" s="517"/>
      <c r="D285" s="31"/>
      <c r="E285" s="517"/>
      <c r="F285" s="31"/>
      <c r="G285" s="516"/>
      <c r="H285" s="516"/>
      <c r="I285" s="516"/>
      <c r="J285" s="516"/>
      <c r="K285" s="517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</row>
    <row r="286">
      <c r="A286" s="31"/>
      <c r="B286" s="516"/>
      <c r="C286" s="517"/>
      <c r="D286" s="31"/>
      <c r="E286" s="517"/>
      <c r="F286" s="31"/>
      <c r="G286" s="516"/>
      <c r="H286" s="516"/>
      <c r="I286" s="516"/>
      <c r="J286" s="516"/>
      <c r="K286" s="517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</row>
    <row r="287">
      <c r="A287" s="31"/>
      <c r="B287" s="516"/>
      <c r="C287" s="517"/>
      <c r="D287" s="31"/>
      <c r="E287" s="517"/>
      <c r="F287" s="31"/>
      <c r="G287" s="516"/>
      <c r="H287" s="516"/>
      <c r="I287" s="516"/>
      <c r="J287" s="516"/>
      <c r="K287" s="517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</row>
    <row r="288">
      <c r="A288" s="31"/>
      <c r="B288" s="516"/>
      <c r="C288" s="517"/>
      <c r="D288" s="31"/>
      <c r="E288" s="517"/>
      <c r="F288" s="31"/>
      <c r="G288" s="516"/>
      <c r="H288" s="516"/>
      <c r="I288" s="516"/>
      <c r="J288" s="516"/>
      <c r="K288" s="517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</row>
    <row r="289">
      <c r="A289" s="31"/>
      <c r="B289" s="516"/>
      <c r="C289" s="517"/>
      <c r="D289" s="31"/>
      <c r="E289" s="517"/>
      <c r="F289" s="31"/>
      <c r="G289" s="516"/>
      <c r="H289" s="516"/>
      <c r="I289" s="516"/>
      <c r="J289" s="516"/>
      <c r="K289" s="517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</row>
    <row r="290">
      <c r="A290" s="31"/>
      <c r="B290" s="516"/>
      <c r="C290" s="517"/>
      <c r="D290" s="31"/>
      <c r="E290" s="517"/>
      <c r="F290" s="31"/>
      <c r="G290" s="516"/>
      <c r="H290" s="516"/>
      <c r="I290" s="516"/>
      <c r="J290" s="516"/>
      <c r="K290" s="517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</row>
    <row r="291">
      <c r="A291" s="31"/>
      <c r="B291" s="516"/>
      <c r="C291" s="517"/>
      <c r="D291" s="31"/>
      <c r="E291" s="517"/>
      <c r="F291" s="31"/>
      <c r="G291" s="516"/>
      <c r="H291" s="516"/>
      <c r="I291" s="516"/>
      <c r="J291" s="516"/>
      <c r="K291" s="517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</row>
    <row r="292">
      <c r="A292" s="31"/>
      <c r="B292" s="516"/>
      <c r="C292" s="517"/>
      <c r="D292" s="31"/>
      <c r="E292" s="517"/>
      <c r="F292" s="31"/>
      <c r="G292" s="516"/>
      <c r="H292" s="516"/>
      <c r="I292" s="516"/>
      <c r="J292" s="516"/>
      <c r="K292" s="517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</row>
    <row r="293">
      <c r="A293" s="31"/>
      <c r="B293" s="516"/>
      <c r="C293" s="517"/>
      <c r="D293" s="31"/>
      <c r="E293" s="517"/>
      <c r="F293" s="31"/>
      <c r="G293" s="516"/>
      <c r="H293" s="516"/>
      <c r="I293" s="516"/>
      <c r="J293" s="516"/>
      <c r="K293" s="517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</row>
    <row r="294">
      <c r="A294" s="31"/>
      <c r="B294" s="516"/>
      <c r="C294" s="517"/>
      <c r="D294" s="31"/>
      <c r="E294" s="517"/>
      <c r="F294" s="31"/>
      <c r="G294" s="516"/>
      <c r="H294" s="516"/>
      <c r="I294" s="516"/>
      <c r="J294" s="516"/>
      <c r="K294" s="517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</row>
    <row r="295">
      <c r="A295" s="31"/>
      <c r="B295" s="516"/>
      <c r="C295" s="517"/>
      <c r="D295" s="31"/>
      <c r="E295" s="517"/>
      <c r="F295" s="31"/>
      <c r="G295" s="516"/>
      <c r="H295" s="516"/>
      <c r="I295" s="516"/>
      <c r="J295" s="516"/>
      <c r="K295" s="517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</row>
    <row r="296">
      <c r="A296" s="31"/>
      <c r="B296" s="516"/>
      <c r="C296" s="517"/>
      <c r="D296" s="31"/>
      <c r="E296" s="517"/>
      <c r="F296" s="31"/>
      <c r="G296" s="516"/>
      <c r="H296" s="516"/>
      <c r="I296" s="516"/>
      <c r="J296" s="516"/>
      <c r="K296" s="517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</row>
    <row r="297">
      <c r="A297" s="31"/>
      <c r="B297" s="516"/>
      <c r="C297" s="517"/>
      <c r="D297" s="31"/>
      <c r="E297" s="517"/>
      <c r="F297" s="31"/>
      <c r="G297" s="516"/>
      <c r="H297" s="516"/>
      <c r="I297" s="516"/>
      <c r="J297" s="516"/>
      <c r="K297" s="517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</row>
    <row r="298">
      <c r="A298" s="31"/>
      <c r="B298" s="516"/>
      <c r="C298" s="517"/>
      <c r="D298" s="31"/>
      <c r="E298" s="517"/>
      <c r="F298" s="31"/>
      <c r="G298" s="516"/>
      <c r="H298" s="516"/>
      <c r="I298" s="516"/>
      <c r="J298" s="516"/>
      <c r="K298" s="517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</row>
    <row r="299">
      <c r="A299" s="31"/>
      <c r="B299" s="516"/>
      <c r="C299" s="517"/>
      <c r="D299" s="31"/>
      <c r="E299" s="517"/>
      <c r="F299" s="31"/>
      <c r="G299" s="516"/>
      <c r="H299" s="516"/>
      <c r="I299" s="516"/>
      <c r="J299" s="516"/>
      <c r="K299" s="517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</row>
    <row r="300">
      <c r="A300" s="31"/>
      <c r="B300" s="516"/>
      <c r="C300" s="517"/>
      <c r="D300" s="31"/>
      <c r="E300" s="517"/>
      <c r="F300" s="31"/>
      <c r="G300" s="516"/>
      <c r="H300" s="516"/>
      <c r="I300" s="516"/>
      <c r="J300" s="516"/>
      <c r="K300" s="517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</row>
    <row r="301">
      <c r="A301" s="31"/>
      <c r="B301" s="516"/>
      <c r="C301" s="517"/>
      <c r="D301" s="31"/>
      <c r="E301" s="517"/>
      <c r="F301" s="31"/>
      <c r="G301" s="516"/>
      <c r="H301" s="516"/>
      <c r="I301" s="516"/>
      <c r="J301" s="516"/>
      <c r="K301" s="517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</row>
    <row r="302">
      <c r="A302" s="31"/>
      <c r="B302" s="516"/>
      <c r="C302" s="517"/>
      <c r="D302" s="31"/>
      <c r="E302" s="517"/>
      <c r="F302" s="31"/>
      <c r="G302" s="516"/>
      <c r="H302" s="516"/>
      <c r="I302" s="516"/>
      <c r="J302" s="516"/>
      <c r="K302" s="517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</row>
    <row r="303">
      <c r="A303" s="31"/>
      <c r="B303" s="516"/>
      <c r="C303" s="517"/>
      <c r="D303" s="31"/>
      <c r="E303" s="517"/>
      <c r="F303" s="31"/>
      <c r="G303" s="516"/>
      <c r="H303" s="516"/>
      <c r="I303" s="516"/>
      <c r="J303" s="516"/>
      <c r="K303" s="517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</row>
    <row r="304">
      <c r="A304" s="31"/>
      <c r="B304" s="516"/>
      <c r="C304" s="517"/>
      <c r="D304" s="31"/>
      <c r="E304" s="517"/>
      <c r="F304" s="31"/>
      <c r="G304" s="516"/>
      <c r="H304" s="516"/>
      <c r="I304" s="516"/>
      <c r="J304" s="516"/>
      <c r="K304" s="517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</row>
    <row r="305">
      <c r="A305" s="31"/>
      <c r="B305" s="516"/>
      <c r="C305" s="517"/>
      <c r="D305" s="31"/>
      <c r="E305" s="517"/>
      <c r="F305" s="31"/>
      <c r="G305" s="516"/>
      <c r="H305" s="516"/>
      <c r="I305" s="516"/>
      <c r="J305" s="516"/>
      <c r="K305" s="517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</row>
    <row r="306">
      <c r="A306" s="31"/>
      <c r="B306" s="516"/>
      <c r="C306" s="517"/>
      <c r="D306" s="31"/>
      <c r="E306" s="517"/>
      <c r="F306" s="31"/>
      <c r="G306" s="516"/>
      <c r="H306" s="516"/>
      <c r="I306" s="516"/>
      <c r="J306" s="516"/>
      <c r="K306" s="517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</row>
    <row r="307">
      <c r="A307" s="31"/>
      <c r="B307" s="516"/>
      <c r="C307" s="517"/>
      <c r="D307" s="31"/>
      <c r="E307" s="517"/>
      <c r="F307" s="31"/>
      <c r="G307" s="516"/>
      <c r="H307" s="516"/>
      <c r="I307" s="516"/>
      <c r="J307" s="516"/>
      <c r="K307" s="517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</row>
    <row r="308">
      <c r="A308" s="31"/>
      <c r="B308" s="516"/>
      <c r="C308" s="517"/>
      <c r="D308" s="31"/>
      <c r="E308" s="517"/>
      <c r="F308" s="31"/>
      <c r="G308" s="516"/>
      <c r="H308" s="516"/>
      <c r="I308" s="516"/>
      <c r="J308" s="516"/>
      <c r="K308" s="517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</row>
    <row r="309">
      <c r="A309" s="31"/>
      <c r="B309" s="516"/>
      <c r="C309" s="517"/>
      <c r="D309" s="31"/>
      <c r="E309" s="517"/>
      <c r="F309" s="31"/>
      <c r="G309" s="516"/>
      <c r="H309" s="516"/>
      <c r="I309" s="516"/>
      <c r="J309" s="516"/>
      <c r="K309" s="517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</row>
    <row r="310">
      <c r="A310" s="31"/>
      <c r="B310" s="516"/>
      <c r="C310" s="517"/>
      <c r="D310" s="31"/>
      <c r="E310" s="517"/>
      <c r="F310" s="31"/>
      <c r="G310" s="516"/>
      <c r="H310" s="516"/>
      <c r="I310" s="516"/>
      <c r="J310" s="516"/>
      <c r="K310" s="517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</row>
    <row r="311">
      <c r="A311" s="31"/>
      <c r="B311" s="516"/>
      <c r="C311" s="517"/>
      <c r="D311" s="31"/>
      <c r="E311" s="517"/>
      <c r="F311" s="31"/>
      <c r="G311" s="516"/>
      <c r="H311" s="516"/>
      <c r="I311" s="516"/>
      <c r="J311" s="516"/>
      <c r="K311" s="517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</row>
    <row r="312">
      <c r="A312" s="31"/>
      <c r="B312" s="516"/>
      <c r="C312" s="517"/>
      <c r="D312" s="31"/>
      <c r="E312" s="517"/>
      <c r="F312" s="31"/>
      <c r="G312" s="516"/>
      <c r="H312" s="516"/>
      <c r="I312" s="516"/>
      <c r="J312" s="516"/>
      <c r="K312" s="517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</row>
    <row r="313">
      <c r="A313" s="31"/>
      <c r="B313" s="516"/>
      <c r="C313" s="517"/>
      <c r="D313" s="31"/>
      <c r="E313" s="517"/>
      <c r="F313" s="31"/>
      <c r="G313" s="516"/>
      <c r="H313" s="516"/>
      <c r="I313" s="516"/>
      <c r="J313" s="516"/>
      <c r="K313" s="517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</row>
    <row r="314">
      <c r="A314" s="31"/>
      <c r="B314" s="516"/>
      <c r="C314" s="517"/>
      <c r="D314" s="31"/>
      <c r="E314" s="517"/>
      <c r="F314" s="31"/>
      <c r="G314" s="516"/>
      <c r="H314" s="516"/>
      <c r="I314" s="516"/>
      <c r="J314" s="516"/>
      <c r="K314" s="517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</row>
    <row r="315">
      <c r="A315" s="31"/>
      <c r="B315" s="516"/>
      <c r="C315" s="517"/>
      <c r="D315" s="31"/>
      <c r="E315" s="517"/>
      <c r="F315" s="31"/>
      <c r="G315" s="516"/>
      <c r="H315" s="516"/>
      <c r="I315" s="516"/>
      <c r="J315" s="516"/>
      <c r="K315" s="517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</row>
    <row r="316">
      <c r="A316" s="31"/>
      <c r="B316" s="516"/>
      <c r="C316" s="517"/>
      <c r="D316" s="31"/>
      <c r="E316" s="517"/>
      <c r="F316" s="31"/>
      <c r="G316" s="516"/>
      <c r="H316" s="516"/>
      <c r="I316" s="516"/>
      <c r="J316" s="516"/>
      <c r="K316" s="517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</row>
    <row r="317">
      <c r="A317" s="31"/>
      <c r="B317" s="516"/>
      <c r="C317" s="517"/>
      <c r="D317" s="31"/>
      <c r="E317" s="517"/>
      <c r="F317" s="31"/>
      <c r="G317" s="516"/>
      <c r="H317" s="516"/>
      <c r="I317" s="516"/>
      <c r="J317" s="516"/>
      <c r="K317" s="517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</row>
    <row r="318">
      <c r="A318" s="31"/>
      <c r="B318" s="516"/>
      <c r="C318" s="517"/>
      <c r="D318" s="31"/>
      <c r="E318" s="517"/>
      <c r="F318" s="31"/>
      <c r="G318" s="516"/>
      <c r="H318" s="516"/>
      <c r="I318" s="516"/>
      <c r="J318" s="516"/>
      <c r="K318" s="517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</row>
    <row r="319">
      <c r="A319" s="31"/>
      <c r="B319" s="516"/>
      <c r="C319" s="517"/>
      <c r="D319" s="31"/>
      <c r="E319" s="517"/>
      <c r="F319" s="31"/>
      <c r="G319" s="516"/>
      <c r="H319" s="516"/>
      <c r="I319" s="516"/>
      <c r="J319" s="516"/>
      <c r="K319" s="517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</row>
    <row r="320">
      <c r="A320" s="31"/>
      <c r="B320" s="516"/>
      <c r="C320" s="517"/>
      <c r="D320" s="31"/>
      <c r="E320" s="517"/>
      <c r="F320" s="31"/>
      <c r="G320" s="516"/>
      <c r="H320" s="516"/>
      <c r="I320" s="516"/>
      <c r="J320" s="516"/>
      <c r="K320" s="517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</row>
    <row r="321">
      <c r="A321" s="31"/>
      <c r="B321" s="516"/>
      <c r="C321" s="517"/>
      <c r="D321" s="31"/>
      <c r="E321" s="517"/>
      <c r="F321" s="31"/>
      <c r="G321" s="516"/>
      <c r="H321" s="516"/>
      <c r="I321" s="516"/>
      <c r="J321" s="516"/>
      <c r="K321" s="517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</row>
    <row r="322">
      <c r="A322" s="31"/>
      <c r="B322" s="516"/>
      <c r="C322" s="517"/>
      <c r="D322" s="31"/>
      <c r="E322" s="517"/>
      <c r="F322" s="31"/>
      <c r="G322" s="516"/>
      <c r="H322" s="516"/>
      <c r="I322" s="516"/>
      <c r="J322" s="516"/>
      <c r="K322" s="517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</row>
    <row r="323">
      <c r="A323" s="31"/>
      <c r="B323" s="516"/>
      <c r="C323" s="517"/>
      <c r="D323" s="31"/>
      <c r="E323" s="517"/>
      <c r="F323" s="31"/>
      <c r="G323" s="516"/>
      <c r="H323" s="516"/>
      <c r="I323" s="516"/>
      <c r="J323" s="516"/>
      <c r="K323" s="517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</row>
    <row r="324">
      <c r="A324" s="31"/>
      <c r="B324" s="516"/>
      <c r="C324" s="517"/>
      <c r="D324" s="31"/>
      <c r="E324" s="517"/>
      <c r="F324" s="31"/>
      <c r="G324" s="516"/>
      <c r="H324" s="516"/>
      <c r="I324" s="516"/>
      <c r="J324" s="516"/>
      <c r="K324" s="517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</row>
    <row r="325">
      <c r="A325" s="31"/>
      <c r="B325" s="516"/>
      <c r="C325" s="517"/>
      <c r="D325" s="31"/>
      <c r="E325" s="517"/>
      <c r="F325" s="31"/>
      <c r="G325" s="516"/>
      <c r="H325" s="516"/>
      <c r="I325" s="516"/>
      <c r="J325" s="516"/>
      <c r="K325" s="517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</row>
    <row r="326">
      <c r="A326" s="31"/>
      <c r="B326" s="516"/>
      <c r="C326" s="517"/>
      <c r="D326" s="31"/>
      <c r="E326" s="517"/>
      <c r="F326" s="31"/>
      <c r="G326" s="516"/>
      <c r="H326" s="516"/>
      <c r="I326" s="516"/>
      <c r="J326" s="516"/>
      <c r="K326" s="517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</row>
    <row r="327">
      <c r="A327" s="31"/>
      <c r="B327" s="516"/>
      <c r="C327" s="517"/>
      <c r="D327" s="31"/>
      <c r="E327" s="517"/>
      <c r="F327" s="31"/>
      <c r="G327" s="516"/>
      <c r="H327" s="516"/>
      <c r="I327" s="516"/>
      <c r="J327" s="516"/>
      <c r="K327" s="517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</row>
    <row r="328">
      <c r="A328" s="31"/>
      <c r="B328" s="516"/>
      <c r="C328" s="517"/>
      <c r="D328" s="31"/>
      <c r="E328" s="517"/>
      <c r="F328" s="31"/>
      <c r="G328" s="516"/>
      <c r="H328" s="516"/>
      <c r="I328" s="516"/>
      <c r="J328" s="516"/>
      <c r="K328" s="517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</row>
    <row r="329">
      <c r="A329" s="31"/>
      <c r="B329" s="516"/>
      <c r="C329" s="517"/>
      <c r="D329" s="31"/>
      <c r="E329" s="517"/>
      <c r="F329" s="31"/>
      <c r="G329" s="516"/>
      <c r="H329" s="516"/>
      <c r="I329" s="516"/>
      <c r="J329" s="516"/>
      <c r="K329" s="517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</row>
    <row r="330">
      <c r="A330" s="31"/>
      <c r="B330" s="516"/>
      <c r="C330" s="517"/>
      <c r="D330" s="31"/>
      <c r="E330" s="517"/>
      <c r="F330" s="31"/>
      <c r="G330" s="516"/>
      <c r="H330" s="516"/>
      <c r="I330" s="516"/>
      <c r="J330" s="516"/>
      <c r="K330" s="517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</row>
    <row r="331">
      <c r="A331" s="31"/>
      <c r="B331" s="516"/>
      <c r="C331" s="517"/>
      <c r="D331" s="31"/>
      <c r="E331" s="517"/>
      <c r="F331" s="31"/>
      <c r="G331" s="516"/>
      <c r="H331" s="516"/>
      <c r="I331" s="516"/>
      <c r="J331" s="516"/>
      <c r="K331" s="517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</row>
    <row r="332">
      <c r="A332" s="31"/>
      <c r="B332" s="516"/>
      <c r="C332" s="517"/>
      <c r="D332" s="31"/>
      <c r="E332" s="517"/>
      <c r="F332" s="31"/>
      <c r="G332" s="516"/>
      <c r="H332" s="516"/>
      <c r="I332" s="516"/>
      <c r="J332" s="516"/>
      <c r="K332" s="517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</row>
    <row r="333">
      <c r="A333" s="31"/>
      <c r="B333" s="516"/>
      <c r="C333" s="517"/>
      <c r="D333" s="31"/>
      <c r="E333" s="517"/>
      <c r="F333" s="31"/>
      <c r="G333" s="516"/>
      <c r="H333" s="516"/>
      <c r="I333" s="516"/>
      <c r="J333" s="516"/>
      <c r="K333" s="517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</row>
    <row r="334">
      <c r="A334" s="31"/>
      <c r="B334" s="516"/>
      <c r="C334" s="517"/>
      <c r="D334" s="31"/>
      <c r="E334" s="517"/>
      <c r="F334" s="31"/>
      <c r="G334" s="516"/>
      <c r="H334" s="516"/>
      <c r="I334" s="516"/>
      <c r="J334" s="516"/>
      <c r="K334" s="517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</row>
    <row r="335">
      <c r="A335" s="31"/>
      <c r="B335" s="516"/>
      <c r="C335" s="517"/>
      <c r="D335" s="31"/>
      <c r="E335" s="517"/>
      <c r="F335" s="31"/>
      <c r="G335" s="516"/>
      <c r="H335" s="516"/>
      <c r="I335" s="516"/>
      <c r="J335" s="516"/>
      <c r="K335" s="517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</row>
    <row r="336">
      <c r="A336" s="31"/>
      <c r="B336" s="516"/>
      <c r="C336" s="517"/>
      <c r="D336" s="31"/>
      <c r="E336" s="517"/>
      <c r="F336" s="31"/>
      <c r="G336" s="516"/>
      <c r="H336" s="516"/>
      <c r="I336" s="516"/>
      <c r="J336" s="516"/>
      <c r="K336" s="517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</row>
    <row r="337">
      <c r="A337" s="31"/>
      <c r="B337" s="516"/>
      <c r="C337" s="517"/>
      <c r="D337" s="31"/>
      <c r="E337" s="517"/>
      <c r="F337" s="31"/>
      <c r="G337" s="516"/>
      <c r="H337" s="516"/>
      <c r="I337" s="516"/>
      <c r="J337" s="516"/>
      <c r="K337" s="517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</row>
    <row r="338">
      <c r="A338" s="31"/>
      <c r="B338" s="516"/>
      <c r="C338" s="517"/>
      <c r="D338" s="31"/>
      <c r="E338" s="517"/>
      <c r="F338" s="31"/>
      <c r="G338" s="516"/>
      <c r="H338" s="516"/>
      <c r="I338" s="516"/>
      <c r="J338" s="516"/>
      <c r="K338" s="517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</row>
    <row r="339">
      <c r="A339" s="31"/>
      <c r="B339" s="516"/>
      <c r="C339" s="517"/>
      <c r="D339" s="31"/>
      <c r="E339" s="517"/>
      <c r="F339" s="31"/>
      <c r="G339" s="516"/>
      <c r="H339" s="516"/>
      <c r="I339" s="516"/>
      <c r="J339" s="516"/>
      <c r="K339" s="517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</row>
    <row r="340">
      <c r="A340" s="31"/>
      <c r="B340" s="516"/>
      <c r="C340" s="517"/>
      <c r="D340" s="31"/>
      <c r="E340" s="517"/>
      <c r="F340" s="31"/>
      <c r="G340" s="516"/>
      <c r="H340" s="516"/>
      <c r="I340" s="516"/>
      <c r="J340" s="516"/>
      <c r="K340" s="517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</row>
    <row r="341">
      <c r="A341" s="31"/>
      <c r="B341" s="516"/>
      <c r="C341" s="517"/>
      <c r="D341" s="31"/>
      <c r="E341" s="517"/>
      <c r="F341" s="31"/>
      <c r="G341" s="516"/>
      <c r="H341" s="516"/>
      <c r="I341" s="516"/>
      <c r="J341" s="516"/>
      <c r="K341" s="517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</row>
    <row r="342">
      <c r="A342" s="31"/>
      <c r="B342" s="516"/>
      <c r="C342" s="517"/>
      <c r="D342" s="31"/>
      <c r="E342" s="517"/>
      <c r="F342" s="31"/>
      <c r="G342" s="516"/>
      <c r="H342" s="516"/>
      <c r="I342" s="516"/>
      <c r="J342" s="516"/>
      <c r="K342" s="517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</row>
    <row r="343">
      <c r="A343" s="31"/>
      <c r="B343" s="516"/>
      <c r="C343" s="517"/>
      <c r="D343" s="31"/>
      <c r="E343" s="517"/>
      <c r="F343" s="31"/>
      <c r="G343" s="516"/>
      <c r="H343" s="516"/>
      <c r="I343" s="516"/>
      <c r="J343" s="516"/>
      <c r="K343" s="517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</row>
    <row r="344">
      <c r="A344" s="31"/>
      <c r="B344" s="516"/>
      <c r="C344" s="517"/>
      <c r="D344" s="31"/>
      <c r="E344" s="517"/>
      <c r="F344" s="31"/>
      <c r="G344" s="516"/>
      <c r="H344" s="516"/>
      <c r="I344" s="516"/>
      <c r="J344" s="516"/>
      <c r="K344" s="517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</row>
    <row r="345">
      <c r="A345" s="31"/>
      <c r="B345" s="516"/>
      <c r="C345" s="517"/>
      <c r="D345" s="31"/>
      <c r="E345" s="517"/>
      <c r="F345" s="31"/>
      <c r="G345" s="516"/>
      <c r="H345" s="516"/>
      <c r="I345" s="516"/>
      <c r="J345" s="516"/>
      <c r="K345" s="517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</row>
    <row r="346">
      <c r="A346" s="31"/>
      <c r="B346" s="516"/>
      <c r="C346" s="517"/>
      <c r="D346" s="31"/>
      <c r="E346" s="517"/>
      <c r="F346" s="31"/>
      <c r="G346" s="516"/>
      <c r="H346" s="516"/>
      <c r="I346" s="516"/>
      <c r="J346" s="516"/>
      <c r="K346" s="517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</row>
    <row r="347">
      <c r="A347" s="31"/>
      <c r="B347" s="516"/>
      <c r="C347" s="517"/>
      <c r="D347" s="31"/>
      <c r="E347" s="517"/>
      <c r="F347" s="31"/>
      <c r="G347" s="516"/>
      <c r="H347" s="516"/>
      <c r="I347" s="516"/>
      <c r="J347" s="516"/>
      <c r="K347" s="517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</row>
    <row r="348">
      <c r="A348" s="31"/>
      <c r="B348" s="516"/>
      <c r="C348" s="517"/>
      <c r="D348" s="31"/>
      <c r="E348" s="517"/>
      <c r="F348" s="31"/>
      <c r="G348" s="516"/>
      <c r="H348" s="516"/>
      <c r="I348" s="516"/>
      <c r="J348" s="516"/>
      <c r="K348" s="517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</row>
    <row r="349">
      <c r="A349" s="31"/>
      <c r="B349" s="516"/>
      <c r="C349" s="517"/>
      <c r="D349" s="31"/>
      <c r="E349" s="517"/>
      <c r="F349" s="31"/>
      <c r="G349" s="516"/>
      <c r="H349" s="516"/>
      <c r="I349" s="516"/>
      <c r="J349" s="516"/>
      <c r="K349" s="517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</row>
    <row r="350">
      <c r="A350" s="31"/>
      <c r="B350" s="516"/>
      <c r="C350" s="517"/>
      <c r="D350" s="31"/>
      <c r="E350" s="517"/>
      <c r="F350" s="31"/>
      <c r="G350" s="516"/>
      <c r="H350" s="516"/>
      <c r="I350" s="516"/>
      <c r="J350" s="516"/>
      <c r="K350" s="517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</row>
    <row r="351">
      <c r="A351" s="31"/>
      <c r="B351" s="516"/>
      <c r="C351" s="517"/>
      <c r="D351" s="31"/>
      <c r="E351" s="517"/>
      <c r="F351" s="31"/>
      <c r="G351" s="516"/>
      <c r="H351" s="516"/>
      <c r="I351" s="516"/>
      <c r="J351" s="516"/>
      <c r="K351" s="517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</row>
    <row r="352">
      <c r="A352" s="31"/>
      <c r="B352" s="516"/>
      <c r="C352" s="517"/>
      <c r="D352" s="31"/>
      <c r="E352" s="517"/>
      <c r="F352" s="31"/>
      <c r="G352" s="516"/>
      <c r="H352" s="516"/>
      <c r="I352" s="516"/>
      <c r="J352" s="516"/>
      <c r="K352" s="517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</row>
    <row r="353">
      <c r="A353" s="31"/>
      <c r="B353" s="516"/>
      <c r="C353" s="517"/>
      <c r="D353" s="31"/>
      <c r="E353" s="517"/>
      <c r="F353" s="31"/>
      <c r="G353" s="516"/>
      <c r="H353" s="516"/>
      <c r="I353" s="516"/>
      <c r="J353" s="516"/>
      <c r="K353" s="517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</row>
    <row r="354">
      <c r="A354" s="31"/>
      <c r="B354" s="516"/>
      <c r="C354" s="517"/>
      <c r="D354" s="31"/>
      <c r="E354" s="517"/>
      <c r="F354" s="31"/>
      <c r="G354" s="516"/>
      <c r="H354" s="516"/>
      <c r="I354" s="516"/>
      <c r="J354" s="516"/>
      <c r="K354" s="517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</row>
    <row r="355">
      <c r="A355" s="31"/>
      <c r="B355" s="516"/>
      <c r="C355" s="517"/>
      <c r="D355" s="31"/>
      <c r="E355" s="517"/>
      <c r="F355" s="31"/>
      <c r="G355" s="516"/>
      <c r="H355" s="516"/>
      <c r="I355" s="516"/>
      <c r="J355" s="516"/>
      <c r="K355" s="517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</row>
    <row r="356">
      <c r="A356" s="31"/>
      <c r="B356" s="516"/>
      <c r="C356" s="517"/>
      <c r="D356" s="31"/>
      <c r="E356" s="517"/>
      <c r="F356" s="31"/>
      <c r="G356" s="516"/>
      <c r="H356" s="516"/>
      <c r="I356" s="516"/>
      <c r="J356" s="516"/>
      <c r="K356" s="517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</row>
    <row r="357">
      <c r="A357" s="31"/>
      <c r="B357" s="516"/>
      <c r="C357" s="517"/>
      <c r="D357" s="31"/>
      <c r="E357" s="517"/>
      <c r="F357" s="31"/>
      <c r="G357" s="516"/>
      <c r="H357" s="516"/>
      <c r="I357" s="516"/>
      <c r="J357" s="516"/>
      <c r="K357" s="517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</row>
    <row r="358">
      <c r="A358" s="31"/>
      <c r="B358" s="516"/>
      <c r="C358" s="517"/>
      <c r="D358" s="31"/>
      <c r="E358" s="517"/>
      <c r="F358" s="31"/>
      <c r="G358" s="516"/>
      <c r="H358" s="516"/>
      <c r="I358" s="516"/>
      <c r="J358" s="516"/>
      <c r="K358" s="517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</row>
    <row r="359">
      <c r="A359" s="31"/>
      <c r="B359" s="516"/>
      <c r="C359" s="517"/>
      <c r="D359" s="31"/>
      <c r="E359" s="517"/>
      <c r="F359" s="31"/>
      <c r="G359" s="516"/>
      <c r="H359" s="516"/>
      <c r="I359" s="516"/>
      <c r="J359" s="516"/>
      <c r="K359" s="517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</row>
    <row r="360">
      <c r="A360" s="31"/>
      <c r="B360" s="516"/>
      <c r="C360" s="517"/>
      <c r="D360" s="31"/>
      <c r="E360" s="517"/>
      <c r="F360" s="31"/>
      <c r="G360" s="516"/>
      <c r="H360" s="516"/>
      <c r="I360" s="516"/>
      <c r="J360" s="516"/>
      <c r="K360" s="517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</row>
    <row r="361">
      <c r="A361" s="31"/>
      <c r="B361" s="516"/>
      <c r="C361" s="517"/>
      <c r="D361" s="31"/>
      <c r="E361" s="517"/>
      <c r="F361" s="31"/>
      <c r="G361" s="516"/>
      <c r="H361" s="516"/>
      <c r="I361" s="516"/>
      <c r="J361" s="516"/>
      <c r="K361" s="517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</row>
    <row r="362">
      <c r="A362" s="31"/>
      <c r="B362" s="516"/>
      <c r="C362" s="517"/>
      <c r="D362" s="31"/>
      <c r="E362" s="517"/>
      <c r="F362" s="31"/>
      <c r="G362" s="516"/>
      <c r="H362" s="516"/>
      <c r="I362" s="516"/>
      <c r="J362" s="516"/>
      <c r="K362" s="517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</row>
    <row r="363">
      <c r="A363" s="31"/>
      <c r="B363" s="516"/>
      <c r="C363" s="517"/>
      <c r="D363" s="31"/>
      <c r="E363" s="517"/>
      <c r="F363" s="31"/>
      <c r="G363" s="516"/>
      <c r="H363" s="516"/>
      <c r="I363" s="516"/>
      <c r="J363" s="516"/>
      <c r="K363" s="517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</row>
    <row r="364">
      <c r="A364" s="31"/>
      <c r="B364" s="516"/>
      <c r="C364" s="517"/>
      <c r="D364" s="31"/>
      <c r="E364" s="517"/>
      <c r="F364" s="31"/>
      <c r="G364" s="516"/>
      <c r="H364" s="516"/>
      <c r="I364" s="516"/>
      <c r="J364" s="516"/>
      <c r="K364" s="517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</row>
    <row r="365">
      <c r="A365" s="31"/>
      <c r="B365" s="516"/>
      <c r="C365" s="517"/>
      <c r="D365" s="31"/>
      <c r="E365" s="517"/>
      <c r="F365" s="31"/>
      <c r="G365" s="516"/>
      <c r="H365" s="516"/>
      <c r="I365" s="516"/>
      <c r="J365" s="516"/>
      <c r="K365" s="517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</row>
    <row r="366">
      <c r="A366" s="31"/>
      <c r="B366" s="516"/>
      <c r="C366" s="517"/>
      <c r="D366" s="31"/>
      <c r="E366" s="517"/>
      <c r="F366" s="31"/>
      <c r="G366" s="516"/>
      <c r="H366" s="516"/>
      <c r="I366" s="516"/>
      <c r="J366" s="516"/>
      <c r="K366" s="517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</row>
    <row r="367">
      <c r="A367" s="31"/>
      <c r="B367" s="516"/>
      <c r="C367" s="517"/>
      <c r="D367" s="31"/>
      <c r="E367" s="517"/>
      <c r="F367" s="31"/>
      <c r="G367" s="516"/>
      <c r="H367" s="516"/>
      <c r="I367" s="516"/>
      <c r="J367" s="516"/>
      <c r="K367" s="517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</row>
    <row r="368">
      <c r="A368" s="31"/>
      <c r="B368" s="516"/>
      <c r="C368" s="517"/>
      <c r="D368" s="31"/>
      <c r="E368" s="517"/>
      <c r="F368" s="31"/>
      <c r="G368" s="516"/>
      <c r="H368" s="516"/>
      <c r="I368" s="516"/>
      <c r="J368" s="516"/>
      <c r="K368" s="517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</row>
    <row r="369">
      <c r="A369" s="31"/>
      <c r="B369" s="516"/>
      <c r="C369" s="517"/>
      <c r="D369" s="31"/>
      <c r="E369" s="517"/>
      <c r="F369" s="31"/>
      <c r="G369" s="516"/>
      <c r="H369" s="516"/>
      <c r="I369" s="516"/>
      <c r="J369" s="516"/>
      <c r="K369" s="517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</row>
    <row r="370">
      <c r="A370" s="31"/>
      <c r="B370" s="516"/>
      <c r="C370" s="517"/>
      <c r="D370" s="31"/>
      <c r="E370" s="517"/>
      <c r="F370" s="31"/>
      <c r="G370" s="516"/>
      <c r="H370" s="516"/>
      <c r="I370" s="516"/>
      <c r="J370" s="516"/>
      <c r="K370" s="517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</row>
    <row r="371">
      <c r="A371" s="31"/>
      <c r="B371" s="516"/>
      <c r="C371" s="517"/>
      <c r="D371" s="31"/>
      <c r="E371" s="517"/>
      <c r="F371" s="31"/>
      <c r="G371" s="516"/>
      <c r="H371" s="516"/>
      <c r="I371" s="516"/>
      <c r="J371" s="516"/>
      <c r="K371" s="517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</row>
    <row r="372">
      <c r="A372" s="31"/>
      <c r="B372" s="516"/>
      <c r="C372" s="517"/>
      <c r="D372" s="31"/>
      <c r="E372" s="517"/>
      <c r="F372" s="31"/>
      <c r="G372" s="516"/>
      <c r="H372" s="516"/>
      <c r="I372" s="516"/>
      <c r="J372" s="516"/>
      <c r="K372" s="517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</row>
    <row r="373">
      <c r="A373" s="31"/>
      <c r="B373" s="516"/>
      <c r="C373" s="517"/>
      <c r="D373" s="31"/>
      <c r="E373" s="517"/>
      <c r="F373" s="31"/>
      <c r="G373" s="516"/>
      <c r="H373" s="516"/>
      <c r="I373" s="516"/>
      <c r="J373" s="516"/>
      <c r="K373" s="517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</row>
    <row r="374">
      <c r="A374" s="31"/>
      <c r="B374" s="516"/>
      <c r="C374" s="517"/>
      <c r="D374" s="31"/>
      <c r="E374" s="517"/>
      <c r="F374" s="31"/>
      <c r="G374" s="516"/>
      <c r="H374" s="516"/>
      <c r="I374" s="516"/>
      <c r="J374" s="516"/>
      <c r="K374" s="517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</row>
    <row r="375">
      <c r="A375" s="31"/>
      <c r="B375" s="516"/>
      <c r="C375" s="517"/>
      <c r="D375" s="31"/>
      <c r="E375" s="517"/>
      <c r="F375" s="31"/>
      <c r="G375" s="516"/>
      <c r="H375" s="516"/>
      <c r="I375" s="516"/>
      <c r="J375" s="516"/>
      <c r="K375" s="517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</row>
    <row r="376">
      <c r="A376" s="31"/>
      <c r="B376" s="516"/>
      <c r="C376" s="517"/>
      <c r="D376" s="31"/>
      <c r="E376" s="517"/>
      <c r="F376" s="31"/>
      <c r="G376" s="516"/>
      <c r="H376" s="516"/>
      <c r="I376" s="516"/>
      <c r="J376" s="516"/>
      <c r="K376" s="517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</row>
    <row r="377">
      <c r="A377" s="31"/>
      <c r="B377" s="516"/>
      <c r="C377" s="517"/>
      <c r="D377" s="31"/>
      <c r="E377" s="517"/>
      <c r="F377" s="31"/>
      <c r="G377" s="516"/>
      <c r="H377" s="516"/>
      <c r="I377" s="516"/>
      <c r="J377" s="516"/>
      <c r="K377" s="517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</row>
    <row r="378">
      <c r="A378" s="31"/>
      <c r="B378" s="516"/>
      <c r="C378" s="517"/>
      <c r="D378" s="31"/>
      <c r="E378" s="517"/>
      <c r="F378" s="31"/>
      <c r="G378" s="516"/>
      <c r="H378" s="516"/>
      <c r="I378" s="516"/>
      <c r="J378" s="516"/>
      <c r="K378" s="517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</row>
    <row r="379">
      <c r="A379" s="31"/>
      <c r="B379" s="516"/>
      <c r="C379" s="517"/>
      <c r="D379" s="31"/>
      <c r="E379" s="517"/>
      <c r="F379" s="31"/>
      <c r="G379" s="516"/>
      <c r="H379" s="516"/>
      <c r="I379" s="516"/>
      <c r="J379" s="516"/>
      <c r="K379" s="517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</row>
    <row r="380">
      <c r="A380" s="31"/>
      <c r="B380" s="516"/>
      <c r="C380" s="517"/>
      <c r="D380" s="31"/>
      <c r="E380" s="517"/>
      <c r="F380" s="31"/>
      <c r="G380" s="516"/>
      <c r="H380" s="516"/>
      <c r="I380" s="516"/>
      <c r="J380" s="516"/>
      <c r="K380" s="517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</row>
    <row r="381">
      <c r="A381" s="31"/>
      <c r="B381" s="516"/>
      <c r="C381" s="517"/>
      <c r="D381" s="31"/>
      <c r="E381" s="517"/>
      <c r="F381" s="31"/>
      <c r="G381" s="516"/>
      <c r="H381" s="516"/>
      <c r="I381" s="516"/>
      <c r="J381" s="516"/>
      <c r="K381" s="517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</row>
    <row r="382">
      <c r="A382" s="31"/>
      <c r="B382" s="516"/>
      <c r="C382" s="517"/>
      <c r="D382" s="31"/>
      <c r="E382" s="517"/>
      <c r="F382" s="31"/>
      <c r="G382" s="516"/>
      <c r="H382" s="516"/>
      <c r="I382" s="516"/>
      <c r="J382" s="516"/>
      <c r="K382" s="517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</row>
    <row r="383">
      <c r="A383" s="31"/>
      <c r="B383" s="516"/>
      <c r="C383" s="517"/>
      <c r="D383" s="31"/>
      <c r="E383" s="517"/>
      <c r="F383" s="31"/>
      <c r="G383" s="516"/>
      <c r="H383" s="516"/>
      <c r="I383" s="516"/>
      <c r="J383" s="516"/>
      <c r="K383" s="517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</row>
    <row r="384">
      <c r="A384" s="31"/>
      <c r="B384" s="516"/>
      <c r="C384" s="517"/>
      <c r="D384" s="31"/>
      <c r="E384" s="517"/>
      <c r="F384" s="31"/>
      <c r="G384" s="516"/>
      <c r="H384" s="516"/>
      <c r="I384" s="516"/>
      <c r="J384" s="516"/>
      <c r="K384" s="517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</row>
    <row r="385">
      <c r="A385" s="31"/>
      <c r="B385" s="516"/>
      <c r="C385" s="517"/>
      <c r="D385" s="31"/>
      <c r="E385" s="517"/>
      <c r="F385" s="31"/>
      <c r="G385" s="516"/>
      <c r="H385" s="516"/>
      <c r="I385" s="516"/>
      <c r="J385" s="516"/>
      <c r="K385" s="517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</row>
    <row r="386">
      <c r="A386" s="31"/>
      <c r="B386" s="516"/>
      <c r="C386" s="517"/>
      <c r="D386" s="31"/>
      <c r="E386" s="517"/>
      <c r="F386" s="31"/>
      <c r="G386" s="516"/>
      <c r="H386" s="516"/>
      <c r="I386" s="516"/>
      <c r="J386" s="516"/>
      <c r="K386" s="517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</row>
    <row r="387">
      <c r="A387" s="31"/>
      <c r="B387" s="516"/>
      <c r="C387" s="517"/>
      <c r="D387" s="31"/>
      <c r="E387" s="517"/>
      <c r="F387" s="31"/>
      <c r="G387" s="516"/>
      <c r="H387" s="516"/>
      <c r="I387" s="516"/>
      <c r="J387" s="516"/>
      <c r="K387" s="517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</row>
    <row r="388">
      <c r="A388" s="31"/>
      <c r="B388" s="516"/>
      <c r="C388" s="517"/>
      <c r="D388" s="31"/>
      <c r="E388" s="517"/>
      <c r="F388" s="31"/>
      <c r="G388" s="516"/>
      <c r="H388" s="516"/>
      <c r="I388" s="516"/>
      <c r="J388" s="516"/>
      <c r="K388" s="517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</row>
    <row r="389">
      <c r="A389" s="31"/>
      <c r="B389" s="516"/>
      <c r="C389" s="517"/>
      <c r="D389" s="31"/>
      <c r="E389" s="517"/>
      <c r="F389" s="31"/>
      <c r="G389" s="516"/>
      <c r="H389" s="516"/>
      <c r="I389" s="516"/>
      <c r="J389" s="516"/>
      <c r="K389" s="517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</row>
    <row r="390">
      <c r="A390" s="31"/>
      <c r="B390" s="516"/>
      <c r="C390" s="517"/>
      <c r="D390" s="31"/>
      <c r="E390" s="517"/>
      <c r="F390" s="31"/>
      <c r="G390" s="516"/>
      <c r="H390" s="516"/>
      <c r="I390" s="516"/>
      <c r="J390" s="516"/>
      <c r="K390" s="517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</row>
    <row r="391">
      <c r="A391" s="31"/>
      <c r="B391" s="516"/>
      <c r="C391" s="517"/>
      <c r="D391" s="31"/>
      <c r="E391" s="517"/>
      <c r="F391" s="31"/>
      <c r="G391" s="516"/>
      <c r="H391" s="516"/>
      <c r="I391" s="516"/>
      <c r="J391" s="516"/>
      <c r="K391" s="517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</row>
    <row r="392">
      <c r="A392" s="31"/>
      <c r="B392" s="516"/>
      <c r="C392" s="517"/>
      <c r="D392" s="31"/>
      <c r="E392" s="517"/>
      <c r="F392" s="31"/>
      <c r="G392" s="516"/>
      <c r="H392" s="516"/>
      <c r="I392" s="516"/>
      <c r="J392" s="516"/>
      <c r="K392" s="517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</row>
    <row r="393">
      <c r="A393" s="31"/>
      <c r="B393" s="516"/>
      <c r="C393" s="517"/>
      <c r="D393" s="31"/>
      <c r="E393" s="517"/>
      <c r="F393" s="31"/>
      <c r="G393" s="516"/>
      <c r="H393" s="516"/>
      <c r="I393" s="516"/>
      <c r="J393" s="516"/>
      <c r="K393" s="517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</row>
    <row r="394">
      <c r="A394" s="31"/>
      <c r="B394" s="516"/>
      <c r="C394" s="517"/>
      <c r="D394" s="31"/>
      <c r="E394" s="517"/>
      <c r="F394" s="31"/>
      <c r="G394" s="516"/>
      <c r="H394" s="516"/>
      <c r="I394" s="516"/>
      <c r="J394" s="516"/>
      <c r="K394" s="517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</row>
    <row r="395">
      <c r="A395" s="31"/>
      <c r="B395" s="516"/>
      <c r="C395" s="517"/>
      <c r="D395" s="31"/>
      <c r="E395" s="517"/>
      <c r="F395" s="31"/>
      <c r="G395" s="516"/>
      <c r="H395" s="516"/>
      <c r="I395" s="516"/>
      <c r="J395" s="516"/>
      <c r="K395" s="517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</row>
    <row r="396">
      <c r="A396" s="31"/>
      <c r="B396" s="516"/>
      <c r="C396" s="517"/>
      <c r="D396" s="31"/>
      <c r="E396" s="517"/>
      <c r="F396" s="31"/>
      <c r="G396" s="516"/>
      <c r="H396" s="516"/>
      <c r="I396" s="516"/>
      <c r="J396" s="516"/>
      <c r="K396" s="517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</row>
    <row r="397">
      <c r="A397" s="31"/>
      <c r="B397" s="516"/>
      <c r="C397" s="517"/>
      <c r="D397" s="31"/>
      <c r="E397" s="517"/>
      <c r="F397" s="31"/>
      <c r="G397" s="516"/>
      <c r="H397" s="516"/>
      <c r="I397" s="516"/>
      <c r="J397" s="516"/>
      <c r="K397" s="517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</row>
    <row r="398">
      <c r="A398" s="31"/>
      <c r="B398" s="516"/>
      <c r="C398" s="517"/>
      <c r="D398" s="31"/>
      <c r="E398" s="517"/>
      <c r="F398" s="31"/>
      <c r="G398" s="516"/>
      <c r="H398" s="516"/>
      <c r="I398" s="516"/>
      <c r="J398" s="516"/>
      <c r="K398" s="517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</row>
    <row r="399">
      <c r="A399" s="31"/>
      <c r="B399" s="516"/>
      <c r="C399" s="517"/>
      <c r="D399" s="31"/>
      <c r="E399" s="517"/>
      <c r="F399" s="31"/>
      <c r="G399" s="516"/>
      <c r="H399" s="516"/>
      <c r="I399" s="516"/>
      <c r="J399" s="516"/>
      <c r="K399" s="517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</row>
    <row r="400">
      <c r="A400" s="31"/>
      <c r="B400" s="516"/>
      <c r="C400" s="517"/>
      <c r="D400" s="31"/>
      <c r="E400" s="517"/>
      <c r="F400" s="31"/>
      <c r="G400" s="516"/>
      <c r="H400" s="516"/>
      <c r="I400" s="516"/>
      <c r="J400" s="516"/>
      <c r="K400" s="517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</row>
    <row r="401">
      <c r="A401" s="31"/>
      <c r="B401" s="516"/>
      <c r="C401" s="517"/>
      <c r="D401" s="31"/>
      <c r="E401" s="517"/>
      <c r="F401" s="31"/>
      <c r="G401" s="516"/>
      <c r="H401" s="516"/>
      <c r="I401" s="516"/>
      <c r="J401" s="516"/>
      <c r="K401" s="517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</row>
    <row r="402">
      <c r="A402" s="31"/>
      <c r="B402" s="516"/>
      <c r="C402" s="517"/>
      <c r="D402" s="31"/>
      <c r="E402" s="517"/>
      <c r="F402" s="31"/>
      <c r="G402" s="516"/>
      <c r="H402" s="516"/>
      <c r="I402" s="516"/>
      <c r="J402" s="516"/>
      <c r="K402" s="517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</row>
    <row r="403">
      <c r="A403" s="31"/>
      <c r="B403" s="516"/>
      <c r="C403" s="517"/>
      <c r="D403" s="31"/>
      <c r="E403" s="517"/>
      <c r="F403" s="31"/>
      <c r="G403" s="516"/>
      <c r="H403" s="516"/>
      <c r="I403" s="516"/>
      <c r="J403" s="516"/>
      <c r="K403" s="517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</row>
    <row r="404">
      <c r="A404" s="31"/>
      <c r="B404" s="516"/>
      <c r="C404" s="517"/>
      <c r="D404" s="31"/>
      <c r="E404" s="517"/>
      <c r="F404" s="31"/>
      <c r="G404" s="516"/>
      <c r="H404" s="516"/>
      <c r="I404" s="516"/>
      <c r="J404" s="516"/>
      <c r="K404" s="517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</row>
    <row r="405">
      <c r="A405" s="31"/>
      <c r="B405" s="516"/>
      <c r="C405" s="517"/>
      <c r="D405" s="31"/>
      <c r="E405" s="517"/>
      <c r="F405" s="31"/>
      <c r="G405" s="516"/>
      <c r="H405" s="516"/>
      <c r="I405" s="516"/>
      <c r="J405" s="516"/>
      <c r="K405" s="517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</row>
    <row r="406">
      <c r="A406" s="31"/>
      <c r="B406" s="516"/>
      <c r="C406" s="517"/>
      <c r="D406" s="31"/>
      <c r="E406" s="517"/>
      <c r="F406" s="31"/>
      <c r="G406" s="516"/>
      <c r="H406" s="516"/>
      <c r="I406" s="516"/>
      <c r="J406" s="516"/>
      <c r="K406" s="517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</row>
    <row r="407">
      <c r="A407" s="31"/>
      <c r="B407" s="516"/>
      <c r="C407" s="517"/>
      <c r="D407" s="31"/>
      <c r="E407" s="517"/>
      <c r="F407" s="31"/>
      <c r="G407" s="516"/>
      <c r="H407" s="516"/>
      <c r="I407" s="516"/>
      <c r="J407" s="516"/>
      <c r="K407" s="517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</row>
    <row r="408">
      <c r="A408" s="31"/>
      <c r="B408" s="516"/>
      <c r="C408" s="517"/>
      <c r="D408" s="31"/>
      <c r="E408" s="517"/>
      <c r="F408" s="31"/>
      <c r="G408" s="516"/>
      <c r="H408" s="516"/>
      <c r="I408" s="516"/>
      <c r="J408" s="516"/>
      <c r="K408" s="517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</row>
    <row r="409">
      <c r="A409" s="31"/>
      <c r="B409" s="516"/>
      <c r="C409" s="517"/>
      <c r="D409" s="31"/>
      <c r="E409" s="517"/>
      <c r="F409" s="31"/>
      <c r="G409" s="516"/>
      <c r="H409" s="516"/>
      <c r="I409" s="516"/>
      <c r="J409" s="516"/>
      <c r="K409" s="517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</row>
    <row r="410">
      <c r="A410" s="31"/>
      <c r="B410" s="516"/>
      <c r="C410" s="517"/>
      <c r="D410" s="31"/>
      <c r="E410" s="517"/>
      <c r="F410" s="31"/>
      <c r="G410" s="516"/>
      <c r="H410" s="516"/>
      <c r="I410" s="516"/>
      <c r="J410" s="516"/>
      <c r="K410" s="517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</row>
    <row r="411">
      <c r="A411" s="31"/>
      <c r="B411" s="516"/>
      <c r="C411" s="517"/>
      <c r="D411" s="31"/>
      <c r="E411" s="517"/>
      <c r="F411" s="31"/>
      <c r="G411" s="516"/>
      <c r="H411" s="516"/>
      <c r="I411" s="516"/>
      <c r="J411" s="516"/>
      <c r="K411" s="517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</row>
    <row r="412">
      <c r="A412" s="31"/>
      <c r="B412" s="516"/>
      <c r="C412" s="517"/>
      <c r="D412" s="31"/>
      <c r="E412" s="517"/>
      <c r="F412" s="31"/>
      <c r="G412" s="516"/>
      <c r="H412" s="516"/>
      <c r="I412" s="516"/>
      <c r="J412" s="516"/>
      <c r="K412" s="517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</row>
    <row r="413">
      <c r="A413" s="31"/>
      <c r="B413" s="516"/>
      <c r="C413" s="517"/>
      <c r="D413" s="31"/>
      <c r="E413" s="517"/>
      <c r="F413" s="31"/>
      <c r="G413" s="516"/>
      <c r="H413" s="516"/>
      <c r="I413" s="516"/>
      <c r="J413" s="516"/>
      <c r="K413" s="517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</row>
    <row r="414">
      <c r="A414" s="31"/>
      <c r="B414" s="516"/>
      <c r="C414" s="517"/>
      <c r="D414" s="31"/>
      <c r="E414" s="517"/>
      <c r="F414" s="31"/>
      <c r="G414" s="516"/>
      <c r="H414" s="516"/>
      <c r="I414" s="516"/>
      <c r="J414" s="516"/>
      <c r="K414" s="517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</row>
    <row r="415">
      <c r="A415" s="31"/>
      <c r="B415" s="516"/>
      <c r="C415" s="517"/>
      <c r="D415" s="31"/>
      <c r="E415" s="517"/>
      <c r="F415" s="31"/>
      <c r="G415" s="516"/>
      <c r="H415" s="516"/>
      <c r="I415" s="516"/>
      <c r="J415" s="516"/>
      <c r="K415" s="517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</row>
    <row r="416">
      <c r="A416" s="31"/>
      <c r="B416" s="516"/>
      <c r="C416" s="517"/>
      <c r="D416" s="31"/>
      <c r="E416" s="517"/>
      <c r="F416" s="31"/>
      <c r="G416" s="516"/>
      <c r="H416" s="516"/>
      <c r="I416" s="516"/>
      <c r="J416" s="516"/>
      <c r="K416" s="517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</row>
    <row r="417">
      <c r="A417" s="31"/>
      <c r="B417" s="516"/>
      <c r="C417" s="517"/>
      <c r="D417" s="31"/>
      <c r="E417" s="517"/>
      <c r="F417" s="31"/>
      <c r="G417" s="516"/>
      <c r="H417" s="516"/>
      <c r="I417" s="516"/>
      <c r="J417" s="516"/>
      <c r="K417" s="517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</row>
    <row r="418">
      <c r="A418" s="31"/>
      <c r="B418" s="516"/>
      <c r="C418" s="517"/>
      <c r="D418" s="31"/>
      <c r="E418" s="517"/>
      <c r="F418" s="31"/>
      <c r="G418" s="516"/>
      <c r="H418" s="516"/>
      <c r="I418" s="516"/>
      <c r="J418" s="516"/>
      <c r="K418" s="517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</row>
    <row r="419">
      <c r="A419" s="31"/>
      <c r="B419" s="516"/>
      <c r="C419" s="517"/>
      <c r="D419" s="31"/>
      <c r="E419" s="517"/>
      <c r="F419" s="31"/>
      <c r="G419" s="516"/>
      <c r="H419" s="516"/>
      <c r="I419" s="516"/>
      <c r="J419" s="516"/>
      <c r="K419" s="517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</row>
    <row r="420">
      <c r="A420" s="31"/>
      <c r="B420" s="516"/>
      <c r="C420" s="517"/>
      <c r="D420" s="31"/>
      <c r="E420" s="517"/>
      <c r="F420" s="31"/>
      <c r="G420" s="516"/>
      <c r="H420" s="516"/>
      <c r="I420" s="516"/>
      <c r="J420" s="516"/>
      <c r="K420" s="517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</row>
    <row r="421">
      <c r="A421" s="31"/>
      <c r="B421" s="516"/>
      <c r="C421" s="517"/>
      <c r="D421" s="31"/>
      <c r="E421" s="517"/>
      <c r="F421" s="31"/>
      <c r="G421" s="516"/>
      <c r="H421" s="516"/>
      <c r="I421" s="516"/>
      <c r="J421" s="516"/>
      <c r="K421" s="517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</row>
    <row r="422">
      <c r="A422" s="31"/>
      <c r="B422" s="516"/>
      <c r="C422" s="517"/>
      <c r="D422" s="31"/>
      <c r="E422" s="517"/>
      <c r="F422" s="31"/>
      <c r="G422" s="516"/>
      <c r="H422" s="516"/>
      <c r="I422" s="516"/>
      <c r="J422" s="516"/>
      <c r="K422" s="517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</row>
    <row r="423">
      <c r="A423" s="31"/>
      <c r="B423" s="516"/>
      <c r="C423" s="517"/>
      <c r="D423" s="31"/>
      <c r="E423" s="517"/>
      <c r="F423" s="31"/>
      <c r="G423" s="516"/>
      <c r="H423" s="516"/>
      <c r="I423" s="516"/>
      <c r="J423" s="516"/>
      <c r="K423" s="517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</row>
    <row r="424">
      <c r="A424" s="31"/>
      <c r="B424" s="516"/>
      <c r="C424" s="517"/>
      <c r="D424" s="31"/>
      <c r="E424" s="517"/>
      <c r="F424" s="31"/>
      <c r="G424" s="516"/>
      <c r="H424" s="516"/>
      <c r="I424" s="516"/>
      <c r="J424" s="516"/>
      <c r="K424" s="517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</row>
    <row r="425">
      <c r="A425" s="31"/>
      <c r="B425" s="516"/>
      <c r="C425" s="517"/>
      <c r="D425" s="31"/>
      <c r="E425" s="517"/>
      <c r="F425" s="31"/>
      <c r="G425" s="516"/>
      <c r="H425" s="516"/>
      <c r="I425" s="516"/>
      <c r="J425" s="516"/>
      <c r="K425" s="517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</row>
    <row r="426">
      <c r="A426" s="31"/>
      <c r="B426" s="516"/>
      <c r="C426" s="517"/>
      <c r="D426" s="31"/>
      <c r="E426" s="517"/>
      <c r="F426" s="31"/>
      <c r="G426" s="516"/>
      <c r="H426" s="516"/>
      <c r="I426" s="516"/>
      <c r="J426" s="516"/>
      <c r="K426" s="517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</row>
    <row r="427">
      <c r="A427" s="31"/>
      <c r="B427" s="516"/>
      <c r="C427" s="517"/>
      <c r="D427" s="31"/>
      <c r="E427" s="517"/>
      <c r="F427" s="31"/>
      <c r="G427" s="516"/>
      <c r="H427" s="516"/>
      <c r="I427" s="516"/>
      <c r="J427" s="516"/>
      <c r="K427" s="517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</row>
    <row r="428">
      <c r="A428" s="31"/>
      <c r="B428" s="516"/>
      <c r="C428" s="517"/>
      <c r="D428" s="31"/>
      <c r="E428" s="517"/>
      <c r="F428" s="31"/>
      <c r="G428" s="516"/>
      <c r="H428" s="516"/>
      <c r="I428" s="516"/>
      <c r="J428" s="516"/>
      <c r="K428" s="517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</row>
    <row r="429">
      <c r="A429" s="31"/>
      <c r="B429" s="516"/>
      <c r="C429" s="517"/>
      <c r="D429" s="31"/>
      <c r="E429" s="517"/>
      <c r="F429" s="31"/>
      <c r="G429" s="516"/>
      <c r="H429" s="516"/>
      <c r="I429" s="516"/>
      <c r="J429" s="516"/>
      <c r="K429" s="517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</row>
    <row r="430">
      <c r="A430" s="31"/>
      <c r="B430" s="516"/>
      <c r="C430" s="517"/>
      <c r="D430" s="31"/>
      <c r="E430" s="517"/>
      <c r="F430" s="31"/>
      <c r="G430" s="516"/>
      <c r="H430" s="516"/>
      <c r="I430" s="516"/>
      <c r="J430" s="516"/>
      <c r="K430" s="517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</row>
    <row r="431">
      <c r="A431" s="31"/>
      <c r="B431" s="516"/>
      <c r="C431" s="517"/>
      <c r="D431" s="31"/>
      <c r="E431" s="517"/>
      <c r="F431" s="31"/>
      <c r="G431" s="516"/>
      <c r="H431" s="516"/>
      <c r="I431" s="516"/>
      <c r="J431" s="516"/>
      <c r="K431" s="517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</row>
    <row r="432">
      <c r="A432" s="31"/>
      <c r="B432" s="516"/>
      <c r="C432" s="517"/>
      <c r="D432" s="31"/>
      <c r="E432" s="517"/>
      <c r="F432" s="31"/>
      <c r="G432" s="516"/>
      <c r="H432" s="516"/>
      <c r="I432" s="516"/>
      <c r="J432" s="516"/>
      <c r="K432" s="517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</row>
    <row r="433">
      <c r="A433" s="31"/>
      <c r="B433" s="516"/>
      <c r="C433" s="517"/>
      <c r="D433" s="31"/>
      <c r="E433" s="517"/>
      <c r="F433" s="31"/>
      <c r="G433" s="516"/>
      <c r="H433" s="516"/>
      <c r="I433" s="516"/>
      <c r="J433" s="516"/>
      <c r="K433" s="517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</row>
    <row r="434">
      <c r="A434" s="31"/>
      <c r="B434" s="516"/>
      <c r="C434" s="517"/>
      <c r="D434" s="31"/>
      <c r="E434" s="517"/>
      <c r="F434" s="31"/>
      <c r="G434" s="516"/>
      <c r="H434" s="516"/>
      <c r="I434" s="516"/>
      <c r="J434" s="516"/>
      <c r="K434" s="517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</row>
    <row r="435">
      <c r="A435" s="31"/>
      <c r="B435" s="516"/>
      <c r="C435" s="517"/>
      <c r="D435" s="31"/>
      <c r="E435" s="517"/>
      <c r="F435" s="31"/>
      <c r="G435" s="516"/>
      <c r="H435" s="516"/>
      <c r="I435" s="516"/>
      <c r="J435" s="516"/>
      <c r="K435" s="517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</row>
    <row r="436">
      <c r="A436" s="31"/>
      <c r="B436" s="516"/>
      <c r="C436" s="517"/>
      <c r="D436" s="31"/>
      <c r="E436" s="517"/>
      <c r="F436" s="31"/>
      <c r="G436" s="516"/>
      <c r="H436" s="516"/>
      <c r="I436" s="516"/>
      <c r="J436" s="516"/>
      <c r="K436" s="517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</row>
    <row r="437">
      <c r="A437" s="31"/>
      <c r="B437" s="516"/>
      <c r="C437" s="517"/>
      <c r="D437" s="31"/>
      <c r="E437" s="517"/>
      <c r="F437" s="31"/>
      <c r="G437" s="516"/>
      <c r="H437" s="516"/>
      <c r="I437" s="516"/>
      <c r="J437" s="516"/>
      <c r="K437" s="517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</row>
    <row r="438">
      <c r="A438" s="31"/>
      <c r="B438" s="516"/>
      <c r="C438" s="517"/>
      <c r="D438" s="31"/>
      <c r="E438" s="517"/>
      <c r="F438" s="31"/>
      <c r="G438" s="516"/>
      <c r="H438" s="516"/>
      <c r="I438" s="516"/>
      <c r="J438" s="516"/>
      <c r="K438" s="517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</row>
    <row r="439">
      <c r="A439" s="31"/>
      <c r="B439" s="516"/>
      <c r="C439" s="517"/>
      <c r="D439" s="31"/>
      <c r="E439" s="517"/>
      <c r="F439" s="31"/>
      <c r="G439" s="516"/>
      <c r="H439" s="516"/>
      <c r="I439" s="516"/>
      <c r="J439" s="516"/>
      <c r="K439" s="517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</row>
    <row r="440">
      <c r="A440" s="31"/>
      <c r="B440" s="516"/>
      <c r="C440" s="517"/>
      <c r="D440" s="31"/>
      <c r="E440" s="517"/>
      <c r="F440" s="31"/>
      <c r="G440" s="516"/>
      <c r="H440" s="516"/>
      <c r="I440" s="516"/>
      <c r="J440" s="516"/>
      <c r="K440" s="517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</row>
    <row r="441">
      <c r="A441" s="31"/>
      <c r="B441" s="516"/>
      <c r="C441" s="517"/>
      <c r="D441" s="31"/>
      <c r="E441" s="517"/>
      <c r="F441" s="31"/>
      <c r="G441" s="516"/>
      <c r="H441" s="516"/>
      <c r="I441" s="516"/>
      <c r="J441" s="516"/>
      <c r="K441" s="517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</row>
    <row r="442">
      <c r="A442" s="31"/>
      <c r="B442" s="516"/>
      <c r="C442" s="517"/>
      <c r="D442" s="31"/>
      <c r="E442" s="517"/>
      <c r="F442" s="31"/>
      <c r="G442" s="516"/>
      <c r="H442" s="516"/>
      <c r="I442" s="516"/>
      <c r="J442" s="516"/>
      <c r="K442" s="517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</row>
    <row r="443">
      <c r="A443" s="31"/>
      <c r="B443" s="516"/>
      <c r="C443" s="517"/>
      <c r="D443" s="31"/>
      <c r="E443" s="517"/>
      <c r="F443" s="31"/>
      <c r="G443" s="516"/>
      <c r="H443" s="516"/>
      <c r="I443" s="516"/>
      <c r="J443" s="516"/>
      <c r="K443" s="517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</row>
    <row r="444">
      <c r="A444" s="31"/>
      <c r="B444" s="516"/>
      <c r="C444" s="517"/>
      <c r="D444" s="31"/>
      <c r="E444" s="517"/>
      <c r="F444" s="31"/>
      <c r="G444" s="516"/>
      <c r="H444" s="516"/>
      <c r="I444" s="516"/>
      <c r="J444" s="516"/>
      <c r="K444" s="517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</row>
    <row r="445">
      <c r="A445" s="31"/>
      <c r="B445" s="516"/>
      <c r="C445" s="517"/>
      <c r="D445" s="31"/>
      <c r="E445" s="517"/>
      <c r="F445" s="31"/>
      <c r="G445" s="516"/>
      <c r="H445" s="516"/>
      <c r="I445" s="516"/>
      <c r="J445" s="516"/>
      <c r="K445" s="517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</row>
    <row r="446">
      <c r="A446" s="31"/>
      <c r="B446" s="516"/>
      <c r="C446" s="517"/>
      <c r="D446" s="31"/>
      <c r="E446" s="517"/>
      <c r="F446" s="31"/>
      <c r="G446" s="516"/>
      <c r="H446" s="516"/>
      <c r="I446" s="516"/>
      <c r="J446" s="516"/>
      <c r="K446" s="517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</row>
    <row r="447">
      <c r="A447" s="31"/>
      <c r="B447" s="516"/>
      <c r="C447" s="517"/>
      <c r="D447" s="31"/>
      <c r="E447" s="517"/>
      <c r="F447" s="31"/>
      <c r="G447" s="516"/>
      <c r="H447" s="516"/>
      <c r="I447" s="516"/>
      <c r="J447" s="516"/>
      <c r="K447" s="517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</row>
    <row r="448">
      <c r="A448" s="31"/>
      <c r="B448" s="516"/>
      <c r="C448" s="517"/>
      <c r="D448" s="31"/>
      <c r="E448" s="517"/>
      <c r="F448" s="31"/>
      <c r="G448" s="516"/>
      <c r="H448" s="516"/>
      <c r="I448" s="516"/>
      <c r="J448" s="516"/>
      <c r="K448" s="517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</row>
    <row r="449">
      <c r="A449" s="31"/>
      <c r="B449" s="516"/>
      <c r="C449" s="517"/>
      <c r="D449" s="31"/>
      <c r="E449" s="517"/>
      <c r="F449" s="31"/>
      <c r="G449" s="516"/>
      <c r="H449" s="516"/>
      <c r="I449" s="516"/>
      <c r="J449" s="516"/>
      <c r="K449" s="517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</row>
    <row r="450">
      <c r="A450" s="31"/>
      <c r="B450" s="516"/>
      <c r="C450" s="517"/>
      <c r="D450" s="31"/>
      <c r="E450" s="517"/>
      <c r="F450" s="31"/>
      <c r="G450" s="516"/>
      <c r="H450" s="516"/>
      <c r="I450" s="516"/>
      <c r="J450" s="516"/>
      <c r="K450" s="517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</row>
    <row r="451">
      <c r="A451" s="31"/>
      <c r="B451" s="516"/>
      <c r="C451" s="517"/>
      <c r="D451" s="31"/>
      <c r="E451" s="517"/>
      <c r="F451" s="31"/>
      <c r="G451" s="516"/>
      <c r="H451" s="516"/>
      <c r="I451" s="516"/>
      <c r="J451" s="516"/>
      <c r="K451" s="517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</row>
    <row r="452">
      <c r="A452" s="31"/>
      <c r="B452" s="516"/>
      <c r="C452" s="517"/>
      <c r="D452" s="31"/>
      <c r="E452" s="517"/>
      <c r="F452" s="31"/>
      <c r="G452" s="516"/>
      <c r="H452" s="516"/>
      <c r="I452" s="516"/>
      <c r="J452" s="516"/>
      <c r="K452" s="517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</row>
    <row r="453">
      <c r="A453" s="31"/>
      <c r="B453" s="516"/>
      <c r="C453" s="517"/>
      <c r="D453" s="31"/>
      <c r="E453" s="517"/>
      <c r="F453" s="31"/>
      <c r="G453" s="516"/>
      <c r="H453" s="516"/>
      <c r="I453" s="516"/>
      <c r="J453" s="516"/>
      <c r="K453" s="517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</row>
    <row r="454">
      <c r="A454" s="31"/>
      <c r="B454" s="516"/>
      <c r="C454" s="517"/>
      <c r="D454" s="31"/>
      <c r="E454" s="517"/>
      <c r="F454" s="31"/>
      <c r="G454" s="516"/>
      <c r="H454" s="516"/>
      <c r="I454" s="516"/>
      <c r="J454" s="516"/>
      <c r="K454" s="517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</row>
    <row r="455">
      <c r="A455" s="31"/>
      <c r="B455" s="516"/>
      <c r="C455" s="517"/>
      <c r="D455" s="31"/>
      <c r="E455" s="517"/>
      <c r="F455" s="31"/>
      <c r="G455" s="516"/>
      <c r="H455" s="516"/>
      <c r="I455" s="516"/>
      <c r="J455" s="516"/>
      <c r="K455" s="517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</row>
    <row r="456">
      <c r="A456" s="31"/>
      <c r="B456" s="516"/>
      <c r="C456" s="517"/>
      <c r="D456" s="31"/>
      <c r="E456" s="517"/>
      <c r="F456" s="31"/>
      <c r="G456" s="516"/>
      <c r="H456" s="516"/>
      <c r="I456" s="516"/>
      <c r="J456" s="516"/>
      <c r="K456" s="517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</row>
    <row r="457">
      <c r="A457" s="31"/>
      <c r="B457" s="516"/>
      <c r="C457" s="517"/>
      <c r="D457" s="31"/>
      <c r="E457" s="517"/>
      <c r="F457" s="31"/>
      <c r="G457" s="516"/>
      <c r="H457" s="516"/>
      <c r="I457" s="516"/>
      <c r="J457" s="516"/>
      <c r="K457" s="517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</row>
    <row r="458">
      <c r="A458" s="31"/>
      <c r="B458" s="516"/>
      <c r="C458" s="517"/>
      <c r="D458" s="31"/>
      <c r="E458" s="517"/>
      <c r="F458" s="31"/>
      <c r="G458" s="516"/>
      <c r="H458" s="516"/>
      <c r="I458" s="516"/>
      <c r="J458" s="516"/>
      <c r="K458" s="517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</row>
    <row r="459">
      <c r="A459" s="31"/>
      <c r="B459" s="516"/>
      <c r="C459" s="517"/>
      <c r="D459" s="31"/>
      <c r="E459" s="517"/>
      <c r="F459" s="31"/>
      <c r="G459" s="516"/>
      <c r="H459" s="516"/>
      <c r="I459" s="516"/>
      <c r="J459" s="516"/>
      <c r="K459" s="517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</row>
    <row r="460">
      <c r="A460" s="31"/>
      <c r="B460" s="516"/>
      <c r="C460" s="517"/>
      <c r="D460" s="31"/>
      <c r="E460" s="517"/>
      <c r="F460" s="31"/>
      <c r="G460" s="516"/>
      <c r="H460" s="516"/>
      <c r="I460" s="516"/>
      <c r="J460" s="516"/>
      <c r="K460" s="517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</row>
    <row r="461">
      <c r="A461" s="31"/>
      <c r="B461" s="516"/>
      <c r="C461" s="517"/>
      <c r="D461" s="31"/>
      <c r="E461" s="517"/>
      <c r="F461" s="31"/>
      <c r="G461" s="516"/>
      <c r="H461" s="516"/>
      <c r="I461" s="516"/>
      <c r="J461" s="516"/>
      <c r="K461" s="517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</row>
    <row r="462">
      <c r="A462" s="31"/>
      <c r="B462" s="516"/>
      <c r="C462" s="517"/>
      <c r="D462" s="31"/>
      <c r="E462" s="517"/>
      <c r="F462" s="31"/>
      <c r="G462" s="516"/>
      <c r="H462" s="516"/>
      <c r="I462" s="516"/>
      <c r="J462" s="516"/>
      <c r="K462" s="517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</row>
    <row r="463">
      <c r="A463" s="31"/>
      <c r="B463" s="516"/>
      <c r="C463" s="517"/>
      <c r="D463" s="31"/>
      <c r="E463" s="517"/>
      <c r="F463" s="31"/>
      <c r="G463" s="516"/>
      <c r="H463" s="516"/>
      <c r="I463" s="516"/>
      <c r="J463" s="516"/>
      <c r="K463" s="517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</row>
    <row r="464">
      <c r="A464" s="31"/>
      <c r="B464" s="516"/>
      <c r="C464" s="517"/>
      <c r="D464" s="31"/>
      <c r="E464" s="517"/>
      <c r="F464" s="31"/>
      <c r="G464" s="516"/>
      <c r="H464" s="516"/>
      <c r="I464" s="516"/>
      <c r="J464" s="516"/>
      <c r="K464" s="517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</row>
    <row r="465">
      <c r="A465" s="31"/>
      <c r="B465" s="516"/>
      <c r="C465" s="517"/>
      <c r="D465" s="31"/>
      <c r="E465" s="517"/>
      <c r="F465" s="31"/>
      <c r="G465" s="516"/>
      <c r="H465" s="516"/>
      <c r="I465" s="516"/>
      <c r="J465" s="516"/>
      <c r="K465" s="517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</row>
    <row r="466">
      <c r="A466" s="31"/>
      <c r="B466" s="516"/>
      <c r="C466" s="517"/>
      <c r="D466" s="31"/>
      <c r="E466" s="517"/>
      <c r="F466" s="31"/>
      <c r="G466" s="516"/>
      <c r="H466" s="516"/>
      <c r="I466" s="516"/>
      <c r="J466" s="516"/>
      <c r="K466" s="517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</row>
    <row r="467">
      <c r="A467" s="31"/>
      <c r="B467" s="516"/>
      <c r="C467" s="517"/>
      <c r="D467" s="31"/>
      <c r="E467" s="517"/>
      <c r="F467" s="31"/>
      <c r="G467" s="516"/>
      <c r="H467" s="516"/>
      <c r="I467" s="516"/>
      <c r="J467" s="516"/>
      <c r="K467" s="517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</row>
    <row r="468">
      <c r="A468" s="31"/>
      <c r="B468" s="516"/>
      <c r="C468" s="517"/>
      <c r="D468" s="31"/>
      <c r="E468" s="517"/>
      <c r="F468" s="31"/>
      <c r="G468" s="516"/>
      <c r="H468" s="516"/>
      <c r="I468" s="516"/>
      <c r="J468" s="516"/>
      <c r="K468" s="517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</row>
    <row r="469">
      <c r="A469" s="31"/>
      <c r="B469" s="516"/>
      <c r="C469" s="517"/>
      <c r="D469" s="31"/>
      <c r="E469" s="517"/>
      <c r="F469" s="31"/>
      <c r="G469" s="516"/>
      <c r="H469" s="516"/>
      <c r="I469" s="516"/>
      <c r="J469" s="516"/>
      <c r="K469" s="517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</row>
    <row r="470">
      <c r="A470" s="31"/>
      <c r="B470" s="516"/>
      <c r="C470" s="517"/>
      <c r="D470" s="31"/>
      <c r="E470" s="517"/>
      <c r="F470" s="31"/>
      <c r="G470" s="516"/>
      <c r="H470" s="516"/>
      <c r="I470" s="516"/>
      <c r="J470" s="516"/>
      <c r="K470" s="517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</row>
    <row r="471">
      <c r="A471" s="31"/>
      <c r="B471" s="516"/>
      <c r="C471" s="517"/>
      <c r="D471" s="31"/>
      <c r="E471" s="517"/>
      <c r="F471" s="31"/>
      <c r="G471" s="516"/>
      <c r="H471" s="516"/>
      <c r="I471" s="516"/>
      <c r="J471" s="516"/>
      <c r="K471" s="517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</row>
    <row r="472">
      <c r="A472" s="31"/>
      <c r="B472" s="516"/>
      <c r="C472" s="517"/>
      <c r="D472" s="31"/>
      <c r="E472" s="517"/>
      <c r="F472" s="31"/>
      <c r="G472" s="516"/>
      <c r="H472" s="516"/>
      <c r="I472" s="516"/>
      <c r="J472" s="516"/>
      <c r="K472" s="517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</row>
    <row r="473">
      <c r="A473" s="31"/>
      <c r="B473" s="516"/>
      <c r="C473" s="517"/>
      <c r="D473" s="31"/>
      <c r="E473" s="517"/>
      <c r="F473" s="31"/>
      <c r="G473" s="516"/>
      <c r="H473" s="516"/>
      <c r="I473" s="516"/>
      <c r="J473" s="516"/>
      <c r="K473" s="517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</row>
    <row r="474">
      <c r="A474" s="31"/>
      <c r="B474" s="516"/>
      <c r="C474" s="517"/>
      <c r="D474" s="31"/>
      <c r="E474" s="517"/>
      <c r="F474" s="31"/>
      <c r="G474" s="516"/>
      <c r="H474" s="516"/>
      <c r="I474" s="516"/>
      <c r="J474" s="516"/>
      <c r="K474" s="517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</row>
    <row r="475">
      <c r="A475" s="31"/>
      <c r="B475" s="516"/>
      <c r="C475" s="517"/>
      <c r="D475" s="31"/>
      <c r="E475" s="517"/>
      <c r="F475" s="31"/>
      <c r="G475" s="516"/>
      <c r="H475" s="516"/>
      <c r="I475" s="516"/>
      <c r="J475" s="516"/>
      <c r="K475" s="517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</row>
    <row r="476">
      <c r="A476" s="31"/>
      <c r="B476" s="516"/>
      <c r="C476" s="517"/>
      <c r="D476" s="31"/>
      <c r="E476" s="517"/>
      <c r="F476" s="31"/>
      <c r="G476" s="516"/>
      <c r="H476" s="516"/>
      <c r="I476" s="516"/>
      <c r="J476" s="516"/>
      <c r="K476" s="517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</row>
    <row r="477">
      <c r="A477" s="31"/>
      <c r="B477" s="516"/>
      <c r="C477" s="517"/>
      <c r="D477" s="31"/>
      <c r="E477" s="517"/>
      <c r="F477" s="31"/>
      <c r="G477" s="516"/>
      <c r="H477" s="516"/>
      <c r="I477" s="516"/>
      <c r="J477" s="516"/>
      <c r="K477" s="517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</row>
    <row r="478">
      <c r="A478" s="31"/>
      <c r="B478" s="516"/>
      <c r="C478" s="517"/>
      <c r="D478" s="31"/>
      <c r="E478" s="517"/>
      <c r="F478" s="31"/>
      <c r="G478" s="516"/>
      <c r="H478" s="516"/>
      <c r="I478" s="516"/>
      <c r="J478" s="516"/>
      <c r="K478" s="517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</row>
    <row r="479">
      <c r="A479" s="31"/>
      <c r="B479" s="516"/>
      <c r="C479" s="517"/>
      <c r="D479" s="31"/>
      <c r="E479" s="517"/>
      <c r="F479" s="31"/>
      <c r="G479" s="516"/>
      <c r="H479" s="516"/>
      <c r="I479" s="516"/>
      <c r="J479" s="516"/>
      <c r="K479" s="517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</row>
    <row r="480">
      <c r="A480" s="31"/>
      <c r="B480" s="516"/>
      <c r="C480" s="517"/>
      <c r="D480" s="31"/>
      <c r="E480" s="517"/>
      <c r="F480" s="31"/>
      <c r="G480" s="516"/>
      <c r="H480" s="516"/>
      <c r="I480" s="516"/>
      <c r="J480" s="516"/>
      <c r="K480" s="517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</row>
    <row r="481">
      <c r="A481" s="31"/>
      <c r="B481" s="516"/>
      <c r="C481" s="517"/>
      <c r="D481" s="31"/>
      <c r="E481" s="517"/>
      <c r="F481" s="31"/>
      <c r="G481" s="516"/>
      <c r="H481" s="516"/>
      <c r="I481" s="516"/>
      <c r="J481" s="516"/>
      <c r="K481" s="517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</row>
    <row r="482">
      <c r="A482" s="31"/>
      <c r="B482" s="516"/>
      <c r="C482" s="517"/>
      <c r="D482" s="31"/>
      <c r="E482" s="517"/>
      <c r="F482" s="31"/>
      <c r="G482" s="516"/>
      <c r="H482" s="516"/>
      <c r="I482" s="516"/>
      <c r="J482" s="516"/>
      <c r="K482" s="517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</row>
    <row r="483">
      <c r="A483" s="31"/>
      <c r="B483" s="516"/>
      <c r="C483" s="517"/>
      <c r="D483" s="31"/>
      <c r="E483" s="517"/>
      <c r="F483" s="31"/>
      <c r="G483" s="516"/>
      <c r="H483" s="516"/>
      <c r="I483" s="516"/>
      <c r="J483" s="516"/>
      <c r="K483" s="517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</row>
    <row r="484">
      <c r="A484" s="31"/>
      <c r="B484" s="516"/>
      <c r="C484" s="517"/>
      <c r="D484" s="31"/>
      <c r="E484" s="517"/>
      <c r="F484" s="31"/>
      <c r="G484" s="516"/>
      <c r="H484" s="516"/>
      <c r="I484" s="516"/>
      <c r="J484" s="516"/>
      <c r="K484" s="517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</row>
    <row r="485">
      <c r="A485" s="31"/>
      <c r="B485" s="516"/>
      <c r="C485" s="517"/>
      <c r="D485" s="31"/>
      <c r="E485" s="517"/>
      <c r="F485" s="31"/>
      <c r="G485" s="516"/>
      <c r="H485" s="516"/>
      <c r="I485" s="516"/>
      <c r="J485" s="516"/>
      <c r="K485" s="517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</row>
    <row r="486">
      <c r="A486" s="31"/>
      <c r="B486" s="516"/>
      <c r="C486" s="517"/>
      <c r="D486" s="31"/>
      <c r="E486" s="517"/>
      <c r="F486" s="31"/>
      <c r="G486" s="516"/>
      <c r="H486" s="516"/>
      <c r="I486" s="516"/>
      <c r="J486" s="516"/>
      <c r="K486" s="517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</row>
    <row r="487">
      <c r="A487" s="31"/>
      <c r="B487" s="516"/>
      <c r="C487" s="517"/>
      <c r="D487" s="31"/>
      <c r="E487" s="517"/>
      <c r="F487" s="31"/>
      <c r="G487" s="516"/>
      <c r="H487" s="516"/>
      <c r="I487" s="516"/>
      <c r="J487" s="516"/>
      <c r="K487" s="517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</row>
    <row r="488">
      <c r="A488" s="31"/>
      <c r="B488" s="516"/>
      <c r="C488" s="517"/>
      <c r="D488" s="31"/>
      <c r="E488" s="517"/>
      <c r="F488" s="31"/>
      <c r="G488" s="516"/>
      <c r="H488" s="516"/>
      <c r="I488" s="516"/>
      <c r="J488" s="516"/>
      <c r="K488" s="517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</row>
    <row r="489">
      <c r="A489" s="31"/>
      <c r="B489" s="516"/>
      <c r="C489" s="517"/>
      <c r="D489" s="31"/>
      <c r="E489" s="517"/>
      <c r="F489" s="31"/>
      <c r="G489" s="516"/>
      <c r="H489" s="516"/>
      <c r="I489" s="516"/>
      <c r="J489" s="516"/>
      <c r="K489" s="517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</row>
    <row r="490">
      <c r="A490" s="31"/>
      <c r="B490" s="516"/>
      <c r="C490" s="517"/>
      <c r="D490" s="31"/>
      <c r="E490" s="517"/>
      <c r="F490" s="31"/>
      <c r="G490" s="516"/>
      <c r="H490" s="516"/>
      <c r="I490" s="516"/>
      <c r="J490" s="516"/>
      <c r="K490" s="517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</row>
    <row r="491">
      <c r="A491" s="31"/>
      <c r="B491" s="516"/>
      <c r="C491" s="517"/>
      <c r="D491" s="31"/>
      <c r="E491" s="517"/>
      <c r="F491" s="31"/>
      <c r="G491" s="516"/>
      <c r="H491" s="516"/>
      <c r="I491" s="516"/>
      <c r="J491" s="516"/>
      <c r="K491" s="517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</row>
    <row r="492">
      <c r="A492" s="31"/>
      <c r="B492" s="516"/>
      <c r="C492" s="517"/>
      <c r="D492" s="31"/>
      <c r="E492" s="517"/>
      <c r="F492" s="31"/>
      <c r="G492" s="516"/>
      <c r="H492" s="516"/>
      <c r="I492" s="516"/>
      <c r="J492" s="516"/>
      <c r="K492" s="517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</row>
    <row r="493">
      <c r="A493" s="31"/>
      <c r="B493" s="516"/>
      <c r="C493" s="517"/>
      <c r="D493" s="31"/>
      <c r="E493" s="517"/>
      <c r="F493" s="31"/>
      <c r="G493" s="516"/>
      <c r="H493" s="516"/>
      <c r="I493" s="516"/>
      <c r="J493" s="516"/>
      <c r="K493" s="517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</row>
    <row r="494">
      <c r="A494" s="31"/>
      <c r="B494" s="516"/>
      <c r="C494" s="517"/>
      <c r="D494" s="31"/>
      <c r="E494" s="517"/>
      <c r="F494" s="31"/>
      <c r="G494" s="516"/>
      <c r="H494" s="516"/>
      <c r="I494" s="516"/>
      <c r="J494" s="516"/>
      <c r="K494" s="517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</row>
    <row r="495">
      <c r="A495" s="31"/>
      <c r="B495" s="516"/>
      <c r="C495" s="517"/>
      <c r="D495" s="31"/>
      <c r="E495" s="517"/>
      <c r="F495" s="31"/>
      <c r="G495" s="516"/>
      <c r="H495" s="516"/>
      <c r="I495" s="516"/>
      <c r="J495" s="516"/>
      <c r="K495" s="517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</row>
    <row r="496">
      <c r="A496" s="31"/>
      <c r="B496" s="516"/>
      <c r="C496" s="517"/>
      <c r="D496" s="31"/>
      <c r="E496" s="517"/>
      <c r="F496" s="31"/>
      <c r="G496" s="516"/>
      <c r="H496" s="516"/>
      <c r="I496" s="516"/>
      <c r="J496" s="516"/>
      <c r="K496" s="517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</row>
    <row r="497">
      <c r="A497" s="31"/>
      <c r="B497" s="516"/>
      <c r="C497" s="517"/>
      <c r="D497" s="31"/>
      <c r="E497" s="517"/>
      <c r="F497" s="31"/>
      <c r="G497" s="516"/>
      <c r="H497" s="516"/>
      <c r="I497" s="516"/>
      <c r="J497" s="516"/>
      <c r="K497" s="517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</row>
    <row r="498">
      <c r="A498" s="31"/>
      <c r="B498" s="516"/>
      <c r="C498" s="517"/>
      <c r="D498" s="31"/>
      <c r="E498" s="517"/>
      <c r="F498" s="31"/>
      <c r="G498" s="516"/>
      <c r="H498" s="516"/>
      <c r="I498" s="516"/>
      <c r="J498" s="516"/>
      <c r="K498" s="517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</row>
    <row r="499">
      <c r="A499" s="31"/>
      <c r="B499" s="516"/>
      <c r="C499" s="517"/>
      <c r="D499" s="31"/>
      <c r="E499" s="517"/>
      <c r="F499" s="31"/>
      <c r="G499" s="516"/>
      <c r="H499" s="516"/>
      <c r="I499" s="516"/>
      <c r="J499" s="516"/>
      <c r="K499" s="517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</row>
    <row r="500">
      <c r="A500" s="31"/>
      <c r="B500" s="516"/>
      <c r="C500" s="517"/>
      <c r="D500" s="31"/>
      <c r="E500" s="517"/>
      <c r="F500" s="31"/>
      <c r="G500" s="516"/>
      <c r="H500" s="516"/>
      <c r="I500" s="516"/>
      <c r="J500" s="516"/>
      <c r="K500" s="517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</row>
    <row r="501">
      <c r="A501" s="31"/>
      <c r="B501" s="516"/>
      <c r="C501" s="517"/>
      <c r="D501" s="31"/>
      <c r="E501" s="517"/>
      <c r="F501" s="31"/>
      <c r="G501" s="516"/>
      <c r="H501" s="516"/>
      <c r="I501" s="516"/>
      <c r="J501" s="516"/>
      <c r="K501" s="517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</row>
    <row r="502">
      <c r="A502" s="31"/>
      <c r="B502" s="516"/>
      <c r="C502" s="517"/>
      <c r="D502" s="31"/>
      <c r="E502" s="517"/>
      <c r="F502" s="31"/>
      <c r="G502" s="516"/>
      <c r="H502" s="516"/>
      <c r="I502" s="516"/>
      <c r="J502" s="516"/>
      <c r="K502" s="517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</row>
    <row r="503">
      <c r="A503" s="31"/>
      <c r="B503" s="516"/>
      <c r="C503" s="517"/>
      <c r="D503" s="31"/>
      <c r="E503" s="517"/>
      <c r="F503" s="31"/>
      <c r="G503" s="516"/>
      <c r="H503" s="516"/>
      <c r="I503" s="516"/>
      <c r="J503" s="516"/>
      <c r="K503" s="517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</row>
    <row r="504">
      <c r="A504" s="31"/>
      <c r="B504" s="516"/>
      <c r="C504" s="517"/>
      <c r="D504" s="31"/>
      <c r="E504" s="517"/>
      <c r="F504" s="31"/>
      <c r="G504" s="516"/>
      <c r="H504" s="516"/>
      <c r="I504" s="516"/>
      <c r="J504" s="516"/>
      <c r="K504" s="517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</row>
    <row r="505">
      <c r="A505" s="31"/>
      <c r="B505" s="516"/>
      <c r="C505" s="517"/>
      <c r="D505" s="31"/>
      <c r="E505" s="517"/>
      <c r="F505" s="31"/>
      <c r="G505" s="516"/>
      <c r="H505" s="516"/>
      <c r="I505" s="516"/>
      <c r="J505" s="516"/>
      <c r="K505" s="517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</row>
    <row r="506">
      <c r="A506" s="31"/>
      <c r="B506" s="516"/>
      <c r="C506" s="517"/>
      <c r="D506" s="31"/>
      <c r="E506" s="517"/>
      <c r="F506" s="31"/>
      <c r="G506" s="516"/>
      <c r="H506" s="516"/>
      <c r="I506" s="516"/>
      <c r="J506" s="516"/>
      <c r="K506" s="517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</row>
    <row r="507">
      <c r="A507" s="31"/>
      <c r="B507" s="516"/>
      <c r="C507" s="517"/>
      <c r="D507" s="31"/>
      <c r="E507" s="517"/>
      <c r="F507" s="31"/>
      <c r="G507" s="516"/>
      <c r="H507" s="516"/>
      <c r="I507" s="516"/>
      <c r="J507" s="516"/>
      <c r="K507" s="517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</row>
    <row r="508">
      <c r="A508" s="31"/>
      <c r="B508" s="516"/>
      <c r="C508" s="517"/>
      <c r="D508" s="31"/>
      <c r="E508" s="517"/>
      <c r="F508" s="31"/>
      <c r="G508" s="516"/>
      <c r="H508" s="516"/>
      <c r="I508" s="516"/>
      <c r="J508" s="516"/>
      <c r="K508" s="517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</row>
    <row r="509">
      <c r="A509" s="31"/>
      <c r="B509" s="516"/>
      <c r="C509" s="517"/>
      <c r="D509" s="31"/>
      <c r="E509" s="517"/>
      <c r="F509" s="31"/>
      <c r="G509" s="516"/>
      <c r="H509" s="516"/>
      <c r="I509" s="516"/>
      <c r="J509" s="516"/>
      <c r="K509" s="517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</row>
    <row r="510">
      <c r="A510" s="31"/>
      <c r="B510" s="516"/>
      <c r="C510" s="517"/>
      <c r="D510" s="31"/>
      <c r="E510" s="517"/>
      <c r="F510" s="31"/>
      <c r="G510" s="516"/>
      <c r="H510" s="516"/>
      <c r="I510" s="516"/>
      <c r="J510" s="516"/>
      <c r="K510" s="517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</row>
    <row r="511">
      <c r="A511" s="31"/>
      <c r="B511" s="516"/>
      <c r="C511" s="517"/>
      <c r="D511" s="31"/>
      <c r="E511" s="517"/>
      <c r="F511" s="31"/>
      <c r="G511" s="516"/>
      <c r="H511" s="516"/>
      <c r="I511" s="516"/>
      <c r="J511" s="516"/>
      <c r="K511" s="517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</row>
    <row r="512">
      <c r="A512" s="31"/>
      <c r="B512" s="516"/>
      <c r="C512" s="517"/>
      <c r="D512" s="31"/>
      <c r="E512" s="517"/>
      <c r="F512" s="31"/>
      <c r="G512" s="516"/>
      <c r="H512" s="516"/>
      <c r="I512" s="516"/>
      <c r="J512" s="516"/>
      <c r="K512" s="517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</row>
    <row r="513">
      <c r="A513" s="31"/>
      <c r="B513" s="516"/>
      <c r="C513" s="517"/>
      <c r="D513" s="31"/>
      <c r="E513" s="517"/>
      <c r="F513" s="31"/>
      <c r="G513" s="516"/>
      <c r="H513" s="516"/>
      <c r="I513" s="516"/>
      <c r="J513" s="516"/>
      <c r="K513" s="517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</row>
    <row r="514">
      <c r="A514" s="31"/>
      <c r="B514" s="516"/>
      <c r="C514" s="517"/>
      <c r="D514" s="31"/>
      <c r="E514" s="517"/>
      <c r="F514" s="31"/>
      <c r="G514" s="516"/>
      <c r="H514" s="516"/>
      <c r="I514" s="516"/>
      <c r="J514" s="516"/>
      <c r="K514" s="517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</row>
    <row r="515">
      <c r="A515" s="31"/>
      <c r="B515" s="516"/>
      <c r="C515" s="517"/>
      <c r="D515" s="31"/>
      <c r="E515" s="517"/>
      <c r="F515" s="31"/>
      <c r="G515" s="516"/>
      <c r="H515" s="516"/>
      <c r="I515" s="516"/>
      <c r="J515" s="516"/>
      <c r="K515" s="517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</row>
    <row r="516">
      <c r="A516" s="31"/>
      <c r="B516" s="516"/>
      <c r="C516" s="517"/>
      <c r="D516" s="31"/>
      <c r="E516" s="517"/>
      <c r="F516" s="31"/>
      <c r="G516" s="516"/>
      <c r="H516" s="516"/>
      <c r="I516" s="516"/>
      <c r="J516" s="516"/>
      <c r="K516" s="517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</row>
    <row r="517">
      <c r="A517" s="31"/>
      <c r="B517" s="516"/>
      <c r="C517" s="517"/>
      <c r="D517" s="31"/>
      <c r="E517" s="517"/>
      <c r="F517" s="31"/>
      <c r="G517" s="516"/>
      <c r="H517" s="516"/>
      <c r="I517" s="516"/>
      <c r="J517" s="516"/>
      <c r="K517" s="517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</row>
    <row r="518">
      <c r="A518" s="31"/>
      <c r="B518" s="516"/>
      <c r="C518" s="517"/>
      <c r="D518" s="31"/>
      <c r="E518" s="517"/>
      <c r="F518" s="31"/>
      <c r="G518" s="516"/>
      <c r="H518" s="516"/>
      <c r="I518" s="516"/>
      <c r="J518" s="516"/>
      <c r="K518" s="517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</row>
    <row r="519">
      <c r="A519" s="31"/>
      <c r="B519" s="516"/>
      <c r="C519" s="517"/>
      <c r="D519" s="31"/>
      <c r="E519" s="517"/>
      <c r="F519" s="31"/>
      <c r="G519" s="516"/>
      <c r="H519" s="516"/>
      <c r="I519" s="516"/>
      <c r="J519" s="516"/>
      <c r="K519" s="517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</row>
    <row r="520">
      <c r="A520" s="31"/>
      <c r="B520" s="516"/>
      <c r="C520" s="517"/>
      <c r="D520" s="31"/>
      <c r="E520" s="517"/>
      <c r="F520" s="31"/>
      <c r="G520" s="516"/>
      <c r="H520" s="516"/>
      <c r="I520" s="516"/>
      <c r="J520" s="516"/>
      <c r="K520" s="517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</row>
    <row r="521">
      <c r="A521" s="31"/>
      <c r="B521" s="516"/>
      <c r="C521" s="517"/>
      <c r="D521" s="31"/>
      <c r="E521" s="517"/>
      <c r="F521" s="31"/>
      <c r="G521" s="516"/>
      <c r="H521" s="516"/>
      <c r="I521" s="516"/>
      <c r="J521" s="516"/>
      <c r="K521" s="517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</row>
    <row r="522">
      <c r="A522" s="31"/>
      <c r="B522" s="516"/>
      <c r="C522" s="517"/>
      <c r="D522" s="31"/>
      <c r="E522" s="517"/>
      <c r="F522" s="31"/>
      <c r="G522" s="516"/>
      <c r="H522" s="516"/>
      <c r="I522" s="516"/>
      <c r="J522" s="516"/>
      <c r="K522" s="517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</row>
    <row r="523">
      <c r="A523" s="31"/>
      <c r="B523" s="516"/>
      <c r="C523" s="517"/>
      <c r="D523" s="31"/>
      <c r="E523" s="517"/>
      <c r="F523" s="31"/>
      <c r="G523" s="516"/>
      <c r="H523" s="516"/>
      <c r="I523" s="516"/>
      <c r="J523" s="516"/>
      <c r="K523" s="517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</row>
    <row r="524">
      <c r="A524" s="31"/>
      <c r="B524" s="516"/>
      <c r="C524" s="517"/>
      <c r="D524" s="31"/>
      <c r="E524" s="517"/>
      <c r="F524" s="31"/>
      <c r="G524" s="516"/>
      <c r="H524" s="516"/>
      <c r="I524" s="516"/>
      <c r="J524" s="516"/>
      <c r="K524" s="517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</row>
    <row r="525">
      <c r="A525" s="31"/>
      <c r="B525" s="516"/>
      <c r="C525" s="517"/>
      <c r="D525" s="31"/>
      <c r="E525" s="517"/>
      <c r="F525" s="31"/>
      <c r="G525" s="516"/>
      <c r="H525" s="516"/>
      <c r="I525" s="516"/>
      <c r="J525" s="516"/>
      <c r="K525" s="517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</row>
    <row r="526">
      <c r="A526" s="31"/>
      <c r="B526" s="516"/>
      <c r="C526" s="517"/>
      <c r="D526" s="31"/>
      <c r="E526" s="517"/>
      <c r="F526" s="31"/>
      <c r="G526" s="516"/>
      <c r="H526" s="516"/>
      <c r="I526" s="516"/>
      <c r="J526" s="516"/>
      <c r="K526" s="517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</row>
    <row r="527">
      <c r="A527" s="31"/>
      <c r="B527" s="516"/>
      <c r="C527" s="517"/>
      <c r="D527" s="31"/>
      <c r="E527" s="517"/>
      <c r="F527" s="31"/>
      <c r="G527" s="516"/>
      <c r="H527" s="516"/>
      <c r="I527" s="516"/>
      <c r="J527" s="516"/>
      <c r="K527" s="517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</row>
    <row r="528">
      <c r="A528" s="31"/>
      <c r="B528" s="516"/>
      <c r="C528" s="517"/>
      <c r="D528" s="31"/>
      <c r="E528" s="517"/>
      <c r="F528" s="31"/>
      <c r="G528" s="516"/>
      <c r="H528" s="516"/>
      <c r="I528" s="516"/>
      <c r="J528" s="516"/>
      <c r="K528" s="517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</row>
    <row r="529">
      <c r="A529" s="31"/>
      <c r="B529" s="516"/>
      <c r="C529" s="517"/>
      <c r="D529" s="31"/>
      <c r="E529" s="517"/>
      <c r="F529" s="31"/>
      <c r="G529" s="516"/>
      <c r="H529" s="516"/>
      <c r="I529" s="516"/>
      <c r="J529" s="516"/>
      <c r="K529" s="517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</row>
    <row r="530">
      <c r="A530" s="31"/>
      <c r="B530" s="516"/>
      <c r="C530" s="517"/>
      <c r="D530" s="31"/>
      <c r="E530" s="517"/>
      <c r="F530" s="31"/>
      <c r="G530" s="516"/>
      <c r="H530" s="516"/>
      <c r="I530" s="516"/>
      <c r="J530" s="516"/>
      <c r="K530" s="517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</row>
    <row r="531">
      <c r="A531" s="31"/>
      <c r="B531" s="516"/>
      <c r="C531" s="517"/>
      <c r="D531" s="31"/>
      <c r="E531" s="517"/>
      <c r="F531" s="31"/>
      <c r="G531" s="516"/>
      <c r="H531" s="516"/>
      <c r="I531" s="516"/>
      <c r="J531" s="516"/>
      <c r="K531" s="517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</row>
    <row r="532">
      <c r="A532" s="31"/>
      <c r="B532" s="516"/>
      <c r="C532" s="517"/>
      <c r="D532" s="31"/>
      <c r="E532" s="517"/>
      <c r="F532" s="31"/>
      <c r="G532" s="516"/>
      <c r="H532" s="516"/>
      <c r="I532" s="516"/>
      <c r="J532" s="516"/>
      <c r="K532" s="517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</row>
    <row r="533">
      <c r="A533" s="31"/>
      <c r="B533" s="516"/>
      <c r="C533" s="517"/>
      <c r="D533" s="31"/>
      <c r="E533" s="517"/>
      <c r="F533" s="31"/>
      <c r="G533" s="516"/>
      <c r="H533" s="516"/>
      <c r="I533" s="516"/>
      <c r="J533" s="516"/>
      <c r="K533" s="517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</row>
    <row r="534">
      <c r="A534" s="31"/>
      <c r="B534" s="516"/>
      <c r="C534" s="517"/>
      <c r="D534" s="31"/>
      <c r="E534" s="517"/>
      <c r="F534" s="31"/>
      <c r="G534" s="516"/>
      <c r="H534" s="516"/>
      <c r="I534" s="516"/>
      <c r="J534" s="516"/>
      <c r="K534" s="517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</row>
    <row r="535">
      <c r="A535" s="31"/>
      <c r="B535" s="516"/>
      <c r="C535" s="517"/>
      <c r="D535" s="31"/>
      <c r="E535" s="517"/>
      <c r="F535" s="31"/>
      <c r="G535" s="516"/>
      <c r="H535" s="516"/>
      <c r="I535" s="516"/>
      <c r="J535" s="516"/>
      <c r="K535" s="517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</row>
    <row r="536">
      <c r="A536" s="31"/>
      <c r="B536" s="516"/>
      <c r="C536" s="517"/>
      <c r="D536" s="31"/>
      <c r="E536" s="517"/>
      <c r="F536" s="31"/>
      <c r="G536" s="516"/>
      <c r="H536" s="516"/>
      <c r="I536" s="516"/>
      <c r="J536" s="516"/>
      <c r="K536" s="517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</row>
    <row r="537">
      <c r="A537" s="31"/>
      <c r="B537" s="516"/>
      <c r="C537" s="517"/>
      <c r="D537" s="31"/>
      <c r="E537" s="517"/>
      <c r="F537" s="31"/>
      <c r="G537" s="516"/>
      <c r="H537" s="516"/>
      <c r="I537" s="516"/>
      <c r="J537" s="516"/>
      <c r="K537" s="517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</row>
    <row r="538">
      <c r="A538" s="31"/>
      <c r="B538" s="516"/>
      <c r="C538" s="517"/>
      <c r="D538" s="31"/>
      <c r="E538" s="517"/>
      <c r="F538" s="31"/>
      <c r="G538" s="516"/>
      <c r="H538" s="516"/>
      <c r="I538" s="516"/>
      <c r="J538" s="516"/>
      <c r="K538" s="517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</row>
    <row r="539">
      <c r="A539" s="31"/>
      <c r="B539" s="516"/>
      <c r="C539" s="517"/>
      <c r="D539" s="31"/>
      <c r="E539" s="517"/>
      <c r="F539" s="31"/>
      <c r="G539" s="516"/>
      <c r="H539" s="516"/>
      <c r="I539" s="516"/>
      <c r="J539" s="516"/>
      <c r="K539" s="517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</row>
    <row r="540">
      <c r="A540" s="31"/>
      <c r="B540" s="516"/>
      <c r="C540" s="517"/>
      <c r="D540" s="31"/>
      <c r="E540" s="517"/>
      <c r="F540" s="31"/>
      <c r="G540" s="516"/>
      <c r="H540" s="516"/>
      <c r="I540" s="516"/>
      <c r="J540" s="516"/>
      <c r="K540" s="517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</row>
    <row r="541">
      <c r="A541" s="31"/>
      <c r="B541" s="516"/>
      <c r="C541" s="517"/>
      <c r="D541" s="31"/>
      <c r="E541" s="517"/>
      <c r="F541" s="31"/>
      <c r="G541" s="516"/>
      <c r="H541" s="516"/>
      <c r="I541" s="516"/>
      <c r="J541" s="516"/>
      <c r="K541" s="517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</row>
    <row r="542">
      <c r="A542" s="31"/>
      <c r="B542" s="516"/>
      <c r="C542" s="517"/>
      <c r="D542" s="31"/>
      <c r="E542" s="517"/>
      <c r="F542" s="31"/>
      <c r="G542" s="516"/>
      <c r="H542" s="516"/>
      <c r="I542" s="516"/>
      <c r="J542" s="516"/>
      <c r="K542" s="517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</row>
    <row r="543">
      <c r="A543" s="31"/>
      <c r="B543" s="516"/>
      <c r="C543" s="517"/>
      <c r="D543" s="31"/>
      <c r="E543" s="517"/>
      <c r="F543" s="31"/>
      <c r="G543" s="516"/>
      <c r="H543" s="516"/>
      <c r="I543" s="516"/>
      <c r="J543" s="516"/>
      <c r="K543" s="517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</row>
    <row r="544">
      <c r="A544" s="31"/>
      <c r="B544" s="516"/>
      <c r="C544" s="517"/>
      <c r="D544" s="31"/>
      <c r="E544" s="517"/>
      <c r="F544" s="31"/>
      <c r="G544" s="516"/>
      <c r="H544" s="516"/>
      <c r="I544" s="516"/>
      <c r="J544" s="516"/>
      <c r="K544" s="517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</row>
    <row r="545">
      <c r="A545" s="31"/>
      <c r="B545" s="516"/>
      <c r="C545" s="517"/>
      <c r="D545" s="31"/>
      <c r="E545" s="517"/>
      <c r="F545" s="31"/>
      <c r="G545" s="516"/>
      <c r="H545" s="516"/>
      <c r="I545" s="516"/>
      <c r="J545" s="516"/>
      <c r="K545" s="517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</row>
    <row r="546">
      <c r="A546" s="31"/>
      <c r="B546" s="516"/>
      <c r="C546" s="517"/>
      <c r="D546" s="31"/>
      <c r="E546" s="517"/>
      <c r="F546" s="31"/>
      <c r="G546" s="516"/>
      <c r="H546" s="516"/>
      <c r="I546" s="516"/>
      <c r="J546" s="516"/>
      <c r="K546" s="517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</row>
    <row r="547">
      <c r="A547" s="31"/>
      <c r="B547" s="516"/>
      <c r="C547" s="517"/>
      <c r="D547" s="31"/>
      <c r="E547" s="517"/>
      <c r="F547" s="31"/>
      <c r="G547" s="516"/>
      <c r="H547" s="516"/>
      <c r="I547" s="516"/>
      <c r="J547" s="516"/>
      <c r="K547" s="517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</row>
    <row r="548">
      <c r="A548" s="31"/>
      <c r="B548" s="516"/>
      <c r="C548" s="517"/>
      <c r="D548" s="31"/>
      <c r="E548" s="517"/>
      <c r="F548" s="31"/>
      <c r="G548" s="516"/>
      <c r="H548" s="516"/>
      <c r="I548" s="516"/>
      <c r="J548" s="516"/>
      <c r="K548" s="517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</row>
    <row r="549">
      <c r="A549" s="31"/>
      <c r="B549" s="516"/>
      <c r="C549" s="517"/>
      <c r="D549" s="31"/>
      <c r="E549" s="517"/>
      <c r="F549" s="31"/>
      <c r="G549" s="516"/>
      <c r="H549" s="516"/>
      <c r="I549" s="516"/>
      <c r="J549" s="516"/>
      <c r="K549" s="517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</row>
    <row r="550">
      <c r="A550" s="31"/>
      <c r="B550" s="516"/>
      <c r="C550" s="517"/>
      <c r="D550" s="31"/>
      <c r="E550" s="517"/>
      <c r="F550" s="31"/>
      <c r="G550" s="516"/>
      <c r="H550" s="516"/>
      <c r="I550" s="516"/>
      <c r="J550" s="516"/>
      <c r="K550" s="517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</row>
    <row r="551">
      <c r="A551" s="31"/>
      <c r="B551" s="516"/>
      <c r="C551" s="517"/>
      <c r="D551" s="31"/>
      <c r="E551" s="517"/>
      <c r="F551" s="31"/>
      <c r="G551" s="516"/>
      <c r="H551" s="516"/>
      <c r="I551" s="516"/>
      <c r="J551" s="516"/>
      <c r="K551" s="517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</row>
    <row r="552">
      <c r="A552" s="31"/>
      <c r="B552" s="516"/>
      <c r="C552" s="517"/>
      <c r="D552" s="31"/>
      <c r="E552" s="517"/>
      <c r="F552" s="31"/>
      <c r="G552" s="516"/>
      <c r="H552" s="516"/>
      <c r="I552" s="516"/>
      <c r="J552" s="516"/>
      <c r="K552" s="517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</row>
    <row r="553">
      <c r="A553" s="31"/>
      <c r="B553" s="516"/>
      <c r="C553" s="517"/>
      <c r="D553" s="31"/>
      <c r="E553" s="517"/>
      <c r="F553" s="31"/>
      <c r="G553" s="516"/>
      <c r="H553" s="516"/>
      <c r="I553" s="516"/>
      <c r="J553" s="516"/>
      <c r="K553" s="517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</row>
    <row r="554">
      <c r="A554" s="31"/>
      <c r="B554" s="516"/>
      <c r="C554" s="517"/>
      <c r="D554" s="31"/>
      <c r="E554" s="517"/>
      <c r="F554" s="31"/>
      <c r="G554" s="516"/>
      <c r="H554" s="516"/>
      <c r="I554" s="516"/>
      <c r="J554" s="516"/>
      <c r="K554" s="517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</row>
    <row r="555">
      <c r="A555" s="31"/>
      <c r="B555" s="516"/>
      <c r="C555" s="517"/>
      <c r="D555" s="31"/>
      <c r="E555" s="517"/>
      <c r="F555" s="31"/>
      <c r="G555" s="516"/>
      <c r="H555" s="516"/>
      <c r="I555" s="516"/>
      <c r="J555" s="516"/>
      <c r="K555" s="517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</row>
    <row r="556">
      <c r="A556" s="31"/>
      <c r="B556" s="516"/>
      <c r="C556" s="517"/>
      <c r="D556" s="31"/>
      <c r="E556" s="517"/>
      <c r="F556" s="31"/>
      <c r="G556" s="516"/>
      <c r="H556" s="516"/>
      <c r="I556" s="516"/>
      <c r="J556" s="516"/>
      <c r="K556" s="517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</row>
    <row r="557">
      <c r="A557" s="31"/>
      <c r="B557" s="516"/>
      <c r="C557" s="517"/>
      <c r="D557" s="31"/>
      <c r="E557" s="517"/>
      <c r="F557" s="31"/>
      <c r="G557" s="516"/>
      <c r="H557" s="516"/>
      <c r="I557" s="516"/>
      <c r="J557" s="516"/>
      <c r="K557" s="517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</row>
    <row r="558">
      <c r="A558" s="31"/>
      <c r="B558" s="516"/>
      <c r="C558" s="517"/>
      <c r="D558" s="31"/>
      <c r="E558" s="517"/>
      <c r="F558" s="31"/>
      <c r="G558" s="516"/>
      <c r="H558" s="516"/>
      <c r="I558" s="516"/>
      <c r="J558" s="516"/>
      <c r="K558" s="517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</row>
    <row r="559">
      <c r="A559" s="31"/>
      <c r="B559" s="516"/>
      <c r="C559" s="517"/>
      <c r="D559" s="31"/>
      <c r="E559" s="517"/>
      <c r="F559" s="31"/>
      <c r="G559" s="516"/>
      <c r="H559" s="516"/>
      <c r="I559" s="516"/>
      <c r="J559" s="516"/>
      <c r="K559" s="517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</row>
    <row r="560">
      <c r="A560" s="31"/>
      <c r="B560" s="516"/>
      <c r="C560" s="517"/>
      <c r="D560" s="31"/>
      <c r="E560" s="517"/>
      <c r="F560" s="31"/>
      <c r="G560" s="516"/>
      <c r="H560" s="516"/>
      <c r="I560" s="516"/>
      <c r="J560" s="516"/>
      <c r="K560" s="517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</row>
    <row r="561">
      <c r="A561" s="31"/>
      <c r="B561" s="516"/>
      <c r="C561" s="517"/>
      <c r="D561" s="31"/>
      <c r="E561" s="517"/>
      <c r="F561" s="31"/>
      <c r="G561" s="516"/>
      <c r="H561" s="516"/>
      <c r="I561" s="516"/>
      <c r="J561" s="516"/>
      <c r="K561" s="517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</row>
    <row r="562">
      <c r="A562" s="31"/>
      <c r="B562" s="516"/>
      <c r="C562" s="517"/>
      <c r="D562" s="31"/>
      <c r="E562" s="517"/>
      <c r="F562" s="31"/>
      <c r="G562" s="516"/>
      <c r="H562" s="516"/>
      <c r="I562" s="516"/>
      <c r="J562" s="516"/>
      <c r="K562" s="517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</row>
    <row r="563">
      <c r="A563" s="31"/>
      <c r="B563" s="516"/>
      <c r="C563" s="517"/>
      <c r="D563" s="31"/>
      <c r="E563" s="517"/>
      <c r="F563" s="31"/>
      <c r="G563" s="516"/>
      <c r="H563" s="516"/>
      <c r="I563" s="516"/>
      <c r="J563" s="516"/>
      <c r="K563" s="517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</row>
    <row r="564">
      <c r="A564" s="31"/>
      <c r="B564" s="516"/>
      <c r="C564" s="517"/>
      <c r="D564" s="31"/>
      <c r="E564" s="517"/>
      <c r="F564" s="31"/>
      <c r="G564" s="516"/>
      <c r="H564" s="516"/>
      <c r="I564" s="516"/>
      <c r="J564" s="516"/>
      <c r="K564" s="517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</row>
    <row r="565">
      <c r="A565" s="31"/>
      <c r="B565" s="516"/>
      <c r="C565" s="517"/>
      <c r="D565" s="31"/>
      <c r="E565" s="517"/>
      <c r="F565" s="31"/>
      <c r="G565" s="516"/>
      <c r="H565" s="516"/>
      <c r="I565" s="516"/>
      <c r="J565" s="516"/>
      <c r="K565" s="517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</row>
    <row r="566">
      <c r="A566" s="31"/>
      <c r="B566" s="516"/>
      <c r="C566" s="517"/>
      <c r="D566" s="31"/>
      <c r="E566" s="517"/>
      <c r="F566" s="31"/>
      <c r="G566" s="516"/>
      <c r="H566" s="516"/>
      <c r="I566" s="516"/>
      <c r="J566" s="516"/>
      <c r="K566" s="517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</row>
    <row r="567">
      <c r="A567" s="31"/>
      <c r="B567" s="516"/>
      <c r="C567" s="517"/>
      <c r="D567" s="31"/>
      <c r="E567" s="517"/>
      <c r="F567" s="31"/>
      <c r="G567" s="516"/>
      <c r="H567" s="516"/>
      <c r="I567" s="516"/>
      <c r="J567" s="516"/>
      <c r="K567" s="517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</row>
    <row r="568">
      <c r="A568" s="31"/>
      <c r="B568" s="516"/>
      <c r="C568" s="517"/>
      <c r="D568" s="31"/>
      <c r="E568" s="517"/>
      <c r="F568" s="31"/>
      <c r="G568" s="516"/>
      <c r="H568" s="516"/>
      <c r="I568" s="516"/>
      <c r="J568" s="516"/>
      <c r="K568" s="517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</row>
    <row r="569">
      <c r="A569" s="31"/>
      <c r="B569" s="516"/>
      <c r="C569" s="517"/>
      <c r="D569" s="31"/>
      <c r="E569" s="517"/>
      <c r="F569" s="31"/>
      <c r="G569" s="516"/>
      <c r="H569" s="516"/>
      <c r="I569" s="516"/>
      <c r="J569" s="516"/>
      <c r="K569" s="517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</row>
    <row r="570">
      <c r="A570" s="31"/>
      <c r="B570" s="516"/>
      <c r="C570" s="517"/>
      <c r="D570" s="31"/>
      <c r="E570" s="517"/>
      <c r="F570" s="31"/>
      <c r="G570" s="516"/>
      <c r="H570" s="516"/>
      <c r="I570" s="516"/>
      <c r="J570" s="516"/>
      <c r="K570" s="517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</row>
    <row r="571">
      <c r="A571" s="31"/>
      <c r="B571" s="516"/>
      <c r="C571" s="517"/>
      <c r="D571" s="31"/>
      <c r="E571" s="517"/>
      <c r="F571" s="31"/>
      <c r="G571" s="516"/>
      <c r="H571" s="516"/>
      <c r="I571" s="516"/>
      <c r="J571" s="516"/>
      <c r="K571" s="517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</row>
    <row r="572">
      <c r="A572" s="31"/>
      <c r="B572" s="516"/>
      <c r="C572" s="517"/>
      <c r="D572" s="31"/>
      <c r="E572" s="517"/>
      <c r="F572" s="31"/>
      <c r="G572" s="516"/>
      <c r="H572" s="516"/>
      <c r="I572" s="516"/>
      <c r="J572" s="516"/>
      <c r="K572" s="517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</row>
    <row r="573">
      <c r="A573" s="31"/>
      <c r="B573" s="516"/>
      <c r="C573" s="517"/>
      <c r="D573" s="31"/>
      <c r="E573" s="517"/>
      <c r="F573" s="31"/>
      <c r="G573" s="516"/>
      <c r="H573" s="516"/>
      <c r="I573" s="516"/>
      <c r="J573" s="516"/>
      <c r="K573" s="517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</row>
    <row r="574">
      <c r="A574" s="31"/>
      <c r="B574" s="516"/>
      <c r="C574" s="517"/>
      <c r="D574" s="31"/>
      <c r="E574" s="517"/>
      <c r="F574" s="31"/>
      <c r="G574" s="516"/>
      <c r="H574" s="516"/>
      <c r="I574" s="516"/>
      <c r="J574" s="516"/>
      <c r="K574" s="517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</row>
    <row r="575">
      <c r="A575" s="31"/>
      <c r="B575" s="516"/>
      <c r="C575" s="517"/>
      <c r="D575" s="31"/>
      <c r="E575" s="517"/>
      <c r="F575" s="31"/>
      <c r="G575" s="516"/>
      <c r="H575" s="516"/>
      <c r="I575" s="516"/>
      <c r="J575" s="516"/>
      <c r="K575" s="517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</row>
    <row r="576">
      <c r="A576" s="31"/>
      <c r="B576" s="516"/>
      <c r="C576" s="517"/>
      <c r="D576" s="31"/>
      <c r="E576" s="517"/>
      <c r="F576" s="31"/>
      <c r="G576" s="516"/>
      <c r="H576" s="516"/>
      <c r="I576" s="516"/>
      <c r="J576" s="516"/>
      <c r="K576" s="517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</row>
    <row r="577">
      <c r="A577" s="31"/>
      <c r="B577" s="516"/>
      <c r="C577" s="517"/>
      <c r="D577" s="31"/>
      <c r="E577" s="517"/>
      <c r="F577" s="31"/>
      <c r="G577" s="516"/>
      <c r="H577" s="516"/>
      <c r="I577" s="516"/>
      <c r="J577" s="516"/>
      <c r="K577" s="517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</row>
    <row r="578">
      <c r="A578" s="31"/>
      <c r="B578" s="516"/>
      <c r="C578" s="517"/>
      <c r="D578" s="31"/>
      <c r="E578" s="517"/>
      <c r="F578" s="31"/>
      <c r="G578" s="516"/>
      <c r="H578" s="516"/>
      <c r="I578" s="516"/>
      <c r="J578" s="516"/>
      <c r="K578" s="517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</row>
    <row r="579">
      <c r="A579" s="31"/>
      <c r="B579" s="516"/>
      <c r="C579" s="517"/>
      <c r="D579" s="31"/>
      <c r="E579" s="517"/>
      <c r="F579" s="31"/>
      <c r="G579" s="516"/>
      <c r="H579" s="516"/>
      <c r="I579" s="516"/>
      <c r="J579" s="516"/>
      <c r="K579" s="517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</row>
    <row r="580">
      <c r="A580" s="31"/>
      <c r="B580" s="516"/>
      <c r="C580" s="517"/>
      <c r="D580" s="31"/>
      <c r="E580" s="517"/>
      <c r="F580" s="31"/>
      <c r="G580" s="516"/>
      <c r="H580" s="516"/>
      <c r="I580" s="516"/>
      <c r="J580" s="516"/>
      <c r="K580" s="517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</row>
    <row r="581">
      <c r="A581" s="31"/>
      <c r="B581" s="516"/>
      <c r="C581" s="517"/>
      <c r="D581" s="31"/>
      <c r="E581" s="517"/>
      <c r="F581" s="31"/>
      <c r="G581" s="516"/>
      <c r="H581" s="516"/>
      <c r="I581" s="516"/>
      <c r="J581" s="516"/>
      <c r="K581" s="517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</row>
    <row r="582">
      <c r="A582" s="31"/>
      <c r="B582" s="516"/>
      <c r="C582" s="517"/>
      <c r="D582" s="31"/>
      <c r="E582" s="517"/>
      <c r="F582" s="31"/>
      <c r="G582" s="516"/>
      <c r="H582" s="516"/>
      <c r="I582" s="516"/>
      <c r="J582" s="516"/>
      <c r="K582" s="517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</row>
    <row r="583">
      <c r="A583" s="31"/>
      <c r="B583" s="516"/>
      <c r="C583" s="517"/>
      <c r="D583" s="31"/>
      <c r="E583" s="517"/>
      <c r="F583" s="31"/>
      <c r="G583" s="516"/>
      <c r="H583" s="516"/>
      <c r="I583" s="516"/>
      <c r="J583" s="516"/>
      <c r="K583" s="517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</row>
    <row r="584">
      <c r="A584" s="31"/>
      <c r="B584" s="516"/>
      <c r="C584" s="517"/>
      <c r="D584" s="31"/>
      <c r="E584" s="517"/>
      <c r="F584" s="31"/>
      <c r="G584" s="516"/>
      <c r="H584" s="516"/>
      <c r="I584" s="516"/>
      <c r="J584" s="516"/>
      <c r="K584" s="517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</row>
    <row r="585">
      <c r="A585" s="31"/>
      <c r="B585" s="516"/>
      <c r="C585" s="517"/>
      <c r="D585" s="31"/>
      <c r="E585" s="517"/>
      <c r="F585" s="31"/>
      <c r="G585" s="516"/>
      <c r="H585" s="516"/>
      <c r="I585" s="516"/>
      <c r="J585" s="516"/>
      <c r="K585" s="517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</row>
    <row r="586">
      <c r="A586" s="31"/>
      <c r="B586" s="516"/>
      <c r="C586" s="517"/>
      <c r="D586" s="31"/>
      <c r="E586" s="517"/>
      <c r="F586" s="31"/>
      <c r="G586" s="516"/>
      <c r="H586" s="516"/>
      <c r="I586" s="516"/>
      <c r="J586" s="516"/>
      <c r="K586" s="517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</row>
    <row r="587">
      <c r="A587" s="31"/>
      <c r="B587" s="516"/>
      <c r="C587" s="517"/>
      <c r="D587" s="31"/>
      <c r="E587" s="517"/>
      <c r="F587" s="31"/>
      <c r="G587" s="516"/>
      <c r="H587" s="516"/>
      <c r="I587" s="516"/>
      <c r="J587" s="516"/>
      <c r="K587" s="517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</row>
    <row r="588">
      <c r="A588" s="31"/>
      <c r="B588" s="516"/>
      <c r="C588" s="517"/>
      <c r="D588" s="31"/>
      <c r="E588" s="517"/>
      <c r="F588" s="31"/>
      <c r="G588" s="516"/>
      <c r="H588" s="516"/>
      <c r="I588" s="516"/>
      <c r="J588" s="516"/>
      <c r="K588" s="517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</row>
    <row r="589">
      <c r="A589" s="31"/>
      <c r="B589" s="516"/>
      <c r="C589" s="517"/>
      <c r="D589" s="31"/>
      <c r="E589" s="517"/>
      <c r="F589" s="31"/>
      <c r="G589" s="516"/>
      <c r="H589" s="516"/>
      <c r="I589" s="516"/>
      <c r="J589" s="516"/>
      <c r="K589" s="517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</row>
    <row r="590">
      <c r="A590" s="31"/>
      <c r="B590" s="516"/>
      <c r="C590" s="517"/>
      <c r="D590" s="31"/>
      <c r="E590" s="517"/>
      <c r="F590" s="31"/>
      <c r="G590" s="516"/>
      <c r="H590" s="516"/>
      <c r="I590" s="516"/>
      <c r="J590" s="516"/>
      <c r="K590" s="517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</row>
    <row r="591">
      <c r="A591" s="31"/>
      <c r="B591" s="516"/>
      <c r="C591" s="517"/>
      <c r="D591" s="31"/>
      <c r="E591" s="517"/>
      <c r="F591" s="31"/>
      <c r="G591" s="516"/>
      <c r="H591" s="516"/>
      <c r="I591" s="516"/>
      <c r="J591" s="516"/>
      <c r="K591" s="517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</row>
    <row r="592">
      <c r="A592" s="31"/>
      <c r="B592" s="516"/>
      <c r="C592" s="517"/>
      <c r="D592" s="31"/>
      <c r="E592" s="517"/>
      <c r="F592" s="31"/>
      <c r="G592" s="516"/>
      <c r="H592" s="516"/>
      <c r="I592" s="516"/>
      <c r="J592" s="516"/>
      <c r="K592" s="517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</row>
    <row r="593">
      <c r="A593" s="31"/>
      <c r="B593" s="516"/>
      <c r="C593" s="517"/>
      <c r="D593" s="31"/>
      <c r="E593" s="517"/>
      <c r="F593" s="31"/>
      <c r="G593" s="516"/>
      <c r="H593" s="516"/>
      <c r="I593" s="516"/>
      <c r="J593" s="516"/>
      <c r="K593" s="517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</row>
    <row r="594">
      <c r="A594" s="31"/>
      <c r="B594" s="516"/>
      <c r="C594" s="517"/>
      <c r="D594" s="31"/>
      <c r="E594" s="517"/>
      <c r="F594" s="31"/>
      <c r="G594" s="516"/>
      <c r="H594" s="516"/>
      <c r="I594" s="516"/>
      <c r="J594" s="516"/>
      <c r="K594" s="517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</row>
    <row r="595">
      <c r="A595" s="31"/>
      <c r="B595" s="516"/>
      <c r="C595" s="517"/>
      <c r="D595" s="31"/>
      <c r="E595" s="517"/>
      <c r="F595" s="31"/>
      <c r="G595" s="516"/>
      <c r="H595" s="516"/>
      <c r="I595" s="516"/>
      <c r="J595" s="516"/>
      <c r="K595" s="517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</row>
    <row r="596">
      <c r="A596" s="31"/>
      <c r="B596" s="516"/>
      <c r="C596" s="517"/>
      <c r="D596" s="31"/>
      <c r="E596" s="517"/>
      <c r="F596" s="31"/>
      <c r="G596" s="516"/>
      <c r="H596" s="516"/>
      <c r="I596" s="516"/>
      <c r="J596" s="516"/>
      <c r="K596" s="517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</row>
    <row r="597">
      <c r="A597" s="31"/>
      <c r="B597" s="516"/>
      <c r="C597" s="517"/>
      <c r="D597" s="31"/>
      <c r="E597" s="517"/>
      <c r="F597" s="31"/>
      <c r="G597" s="516"/>
      <c r="H597" s="516"/>
      <c r="I597" s="516"/>
      <c r="J597" s="516"/>
      <c r="K597" s="517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</row>
    <row r="598">
      <c r="A598" s="31"/>
      <c r="B598" s="516"/>
      <c r="C598" s="517"/>
      <c r="D598" s="31"/>
      <c r="E598" s="517"/>
      <c r="F598" s="31"/>
      <c r="G598" s="516"/>
      <c r="H598" s="516"/>
      <c r="I598" s="516"/>
      <c r="J598" s="516"/>
      <c r="K598" s="517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</row>
    <row r="599">
      <c r="A599" s="31"/>
      <c r="B599" s="516"/>
      <c r="C599" s="517"/>
      <c r="D599" s="31"/>
      <c r="E599" s="517"/>
      <c r="F599" s="31"/>
      <c r="G599" s="516"/>
      <c r="H599" s="516"/>
      <c r="I599" s="516"/>
      <c r="J599" s="516"/>
      <c r="K599" s="517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</row>
    <row r="600">
      <c r="A600" s="31"/>
      <c r="B600" s="516"/>
      <c r="C600" s="517"/>
      <c r="D600" s="31"/>
      <c r="E600" s="517"/>
      <c r="F600" s="31"/>
      <c r="G600" s="516"/>
      <c r="H600" s="516"/>
      <c r="I600" s="516"/>
      <c r="J600" s="516"/>
      <c r="K600" s="517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</row>
    <row r="601">
      <c r="A601" s="31"/>
      <c r="B601" s="516"/>
      <c r="C601" s="517"/>
      <c r="D601" s="31"/>
      <c r="E601" s="517"/>
      <c r="F601" s="31"/>
      <c r="G601" s="516"/>
      <c r="H601" s="516"/>
      <c r="I601" s="516"/>
      <c r="J601" s="516"/>
      <c r="K601" s="517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</row>
    <row r="602">
      <c r="A602" s="31"/>
      <c r="B602" s="516"/>
      <c r="C602" s="517"/>
      <c r="D602" s="31"/>
      <c r="E602" s="517"/>
      <c r="F602" s="31"/>
      <c r="G602" s="516"/>
      <c r="H602" s="516"/>
      <c r="I602" s="516"/>
      <c r="J602" s="516"/>
      <c r="K602" s="517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</row>
    <row r="603">
      <c r="A603" s="31"/>
      <c r="B603" s="516"/>
      <c r="C603" s="517"/>
      <c r="D603" s="31"/>
      <c r="E603" s="517"/>
      <c r="F603" s="31"/>
      <c r="G603" s="516"/>
      <c r="H603" s="516"/>
      <c r="I603" s="516"/>
      <c r="J603" s="516"/>
      <c r="K603" s="517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</row>
    <row r="604">
      <c r="A604" s="31"/>
      <c r="B604" s="516"/>
      <c r="C604" s="517"/>
      <c r="D604" s="31"/>
      <c r="E604" s="517"/>
      <c r="F604" s="31"/>
      <c r="G604" s="516"/>
      <c r="H604" s="516"/>
      <c r="I604" s="516"/>
      <c r="J604" s="516"/>
      <c r="K604" s="517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</row>
    <row r="605">
      <c r="A605" s="31"/>
      <c r="B605" s="516"/>
      <c r="C605" s="517"/>
      <c r="D605" s="31"/>
      <c r="E605" s="517"/>
      <c r="F605" s="31"/>
      <c r="G605" s="516"/>
      <c r="H605" s="516"/>
      <c r="I605" s="516"/>
      <c r="J605" s="516"/>
      <c r="K605" s="517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</row>
    <row r="606">
      <c r="A606" s="31"/>
      <c r="B606" s="516"/>
      <c r="C606" s="517"/>
      <c r="D606" s="31"/>
      <c r="E606" s="517"/>
      <c r="F606" s="31"/>
      <c r="G606" s="516"/>
      <c r="H606" s="516"/>
      <c r="I606" s="516"/>
      <c r="J606" s="516"/>
      <c r="K606" s="517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</row>
    <row r="607">
      <c r="A607" s="31"/>
      <c r="B607" s="516"/>
      <c r="C607" s="517"/>
      <c r="D607" s="31"/>
      <c r="E607" s="517"/>
      <c r="F607" s="31"/>
      <c r="G607" s="516"/>
      <c r="H607" s="516"/>
      <c r="I607" s="516"/>
      <c r="J607" s="516"/>
      <c r="K607" s="517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</row>
    <row r="608">
      <c r="A608" s="31"/>
      <c r="B608" s="516"/>
      <c r="C608" s="517"/>
      <c r="D608" s="31"/>
      <c r="E608" s="517"/>
      <c r="F608" s="31"/>
      <c r="G608" s="516"/>
      <c r="H608" s="516"/>
      <c r="I608" s="516"/>
      <c r="J608" s="516"/>
      <c r="K608" s="517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</row>
    <row r="609">
      <c r="A609" s="31"/>
      <c r="B609" s="516"/>
      <c r="C609" s="517"/>
      <c r="D609" s="31"/>
      <c r="E609" s="517"/>
      <c r="F609" s="31"/>
      <c r="G609" s="516"/>
      <c r="H609" s="516"/>
      <c r="I609" s="516"/>
      <c r="J609" s="516"/>
      <c r="K609" s="517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</row>
    <row r="610">
      <c r="A610" s="31"/>
      <c r="B610" s="516"/>
      <c r="C610" s="517"/>
      <c r="D610" s="31"/>
      <c r="E610" s="517"/>
      <c r="F610" s="31"/>
      <c r="G610" s="516"/>
      <c r="H610" s="516"/>
      <c r="I610" s="516"/>
      <c r="J610" s="516"/>
      <c r="K610" s="517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</row>
    <row r="611">
      <c r="A611" s="31"/>
      <c r="B611" s="516"/>
      <c r="C611" s="517"/>
      <c r="D611" s="31"/>
      <c r="E611" s="517"/>
      <c r="F611" s="31"/>
      <c r="G611" s="516"/>
      <c r="H611" s="516"/>
      <c r="I611" s="516"/>
      <c r="J611" s="516"/>
      <c r="K611" s="517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</row>
    <row r="612">
      <c r="A612" s="31"/>
      <c r="B612" s="516"/>
      <c r="C612" s="517"/>
      <c r="D612" s="31"/>
      <c r="E612" s="517"/>
      <c r="F612" s="31"/>
      <c r="G612" s="516"/>
      <c r="H612" s="516"/>
      <c r="I612" s="516"/>
      <c r="J612" s="516"/>
      <c r="K612" s="517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</row>
    <row r="613">
      <c r="A613" s="31"/>
      <c r="B613" s="516"/>
      <c r="C613" s="517"/>
      <c r="D613" s="31"/>
      <c r="E613" s="517"/>
      <c r="F613" s="31"/>
      <c r="G613" s="516"/>
      <c r="H613" s="516"/>
      <c r="I613" s="516"/>
      <c r="J613" s="516"/>
      <c r="K613" s="517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</row>
    <row r="614">
      <c r="A614" s="31"/>
      <c r="B614" s="516"/>
      <c r="C614" s="517"/>
      <c r="D614" s="31"/>
      <c r="E614" s="517"/>
      <c r="F614" s="31"/>
      <c r="G614" s="516"/>
      <c r="H614" s="516"/>
      <c r="I614" s="516"/>
      <c r="J614" s="516"/>
      <c r="K614" s="517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</row>
    <row r="615">
      <c r="A615" s="31"/>
      <c r="B615" s="516"/>
      <c r="C615" s="517"/>
      <c r="D615" s="31"/>
      <c r="E615" s="517"/>
      <c r="F615" s="31"/>
      <c r="G615" s="516"/>
      <c r="H615" s="516"/>
      <c r="I615" s="516"/>
      <c r="J615" s="516"/>
      <c r="K615" s="517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</row>
    <row r="616">
      <c r="A616" s="31"/>
      <c r="B616" s="516"/>
      <c r="C616" s="517"/>
      <c r="D616" s="31"/>
      <c r="E616" s="517"/>
      <c r="F616" s="31"/>
      <c r="G616" s="516"/>
      <c r="H616" s="516"/>
      <c r="I616" s="516"/>
      <c r="J616" s="516"/>
      <c r="K616" s="517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</row>
    <row r="617">
      <c r="A617" s="31"/>
      <c r="B617" s="516"/>
      <c r="C617" s="517"/>
      <c r="D617" s="31"/>
      <c r="E617" s="517"/>
      <c r="F617" s="31"/>
      <c r="G617" s="516"/>
      <c r="H617" s="516"/>
      <c r="I617" s="516"/>
      <c r="J617" s="516"/>
      <c r="K617" s="517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</row>
    <row r="618">
      <c r="A618" s="31"/>
      <c r="B618" s="516"/>
      <c r="C618" s="517"/>
      <c r="D618" s="31"/>
      <c r="E618" s="517"/>
      <c r="F618" s="31"/>
      <c r="G618" s="516"/>
      <c r="H618" s="516"/>
      <c r="I618" s="516"/>
      <c r="J618" s="516"/>
      <c r="K618" s="517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</row>
    <row r="619">
      <c r="A619" s="31"/>
      <c r="B619" s="516"/>
      <c r="C619" s="517"/>
      <c r="D619" s="31"/>
      <c r="E619" s="517"/>
      <c r="F619" s="31"/>
      <c r="G619" s="516"/>
      <c r="H619" s="516"/>
      <c r="I619" s="516"/>
      <c r="J619" s="516"/>
      <c r="K619" s="517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</row>
    <row r="620">
      <c r="A620" s="31"/>
      <c r="B620" s="516"/>
      <c r="C620" s="517"/>
      <c r="D620" s="31"/>
      <c r="E620" s="517"/>
      <c r="F620" s="31"/>
      <c r="G620" s="516"/>
      <c r="H620" s="516"/>
      <c r="I620" s="516"/>
      <c r="J620" s="516"/>
      <c r="K620" s="517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</row>
    <row r="621">
      <c r="A621" s="31"/>
      <c r="B621" s="516"/>
      <c r="C621" s="517"/>
      <c r="D621" s="31"/>
      <c r="E621" s="517"/>
      <c r="F621" s="31"/>
      <c r="G621" s="516"/>
      <c r="H621" s="516"/>
      <c r="I621" s="516"/>
      <c r="J621" s="516"/>
      <c r="K621" s="517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</row>
    <row r="622">
      <c r="A622" s="31"/>
      <c r="B622" s="516"/>
      <c r="C622" s="517"/>
      <c r="D622" s="31"/>
      <c r="E622" s="517"/>
      <c r="F622" s="31"/>
      <c r="G622" s="516"/>
      <c r="H622" s="516"/>
      <c r="I622" s="516"/>
      <c r="J622" s="516"/>
      <c r="K622" s="517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</row>
    <row r="623">
      <c r="A623" s="31"/>
      <c r="B623" s="516"/>
      <c r="C623" s="517"/>
      <c r="D623" s="31"/>
      <c r="E623" s="517"/>
      <c r="F623" s="31"/>
      <c r="G623" s="516"/>
      <c r="H623" s="516"/>
      <c r="I623" s="516"/>
      <c r="J623" s="516"/>
      <c r="K623" s="517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</row>
    <row r="624">
      <c r="A624" s="31"/>
      <c r="B624" s="516"/>
      <c r="C624" s="517"/>
      <c r="D624" s="31"/>
      <c r="E624" s="517"/>
      <c r="F624" s="31"/>
      <c r="G624" s="516"/>
      <c r="H624" s="516"/>
      <c r="I624" s="516"/>
      <c r="J624" s="516"/>
      <c r="K624" s="517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</row>
    <row r="625">
      <c r="A625" s="31"/>
      <c r="B625" s="516"/>
      <c r="C625" s="517"/>
      <c r="D625" s="31"/>
      <c r="E625" s="517"/>
      <c r="F625" s="31"/>
      <c r="G625" s="516"/>
      <c r="H625" s="516"/>
      <c r="I625" s="516"/>
      <c r="J625" s="516"/>
      <c r="K625" s="517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</row>
    <row r="626">
      <c r="A626" s="31"/>
      <c r="B626" s="516"/>
      <c r="C626" s="517"/>
      <c r="D626" s="31"/>
      <c r="E626" s="517"/>
      <c r="F626" s="31"/>
      <c r="G626" s="516"/>
      <c r="H626" s="516"/>
      <c r="I626" s="516"/>
      <c r="J626" s="516"/>
      <c r="K626" s="517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</row>
    <row r="627">
      <c r="A627" s="31"/>
      <c r="B627" s="516"/>
      <c r="C627" s="517"/>
      <c r="D627" s="31"/>
      <c r="E627" s="517"/>
      <c r="F627" s="31"/>
      <c r="G627" s="516"/>
      <c r="H627" s="516"/>
      <c r="I627" s="516"/>
      <c r="J627" s="516"/>
      <c r="K627" s="517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</row>
    <row r="628">
      <c r="A628" s="31"/>
      <c r="B628" s="516"/>
      <c r="C628" s="517"/>
      <c r="D628" s="31"/>
      <c r="E628" s="517"/>
      <c r="F628" s="31"/>
      <c r="G628" s="516"/>
      <c r="H628" s="516"/>
      <c r="I628" s="516"/>
      <c r="J628" s="516"/>
      <c r="K628" s="517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</row>
    <row r="629">
      <c r="A629" s="31"/>
      <c r="B629" s="516"/>
      <c r="C629" s="517"/>
      <c r="D629" s="31"/>
      <c r="E629" s="517"/>
      <c r="F629" s="31"/>
      <c r="G629" s="516"/>
      <c r="H629" s="516"/>
      <c r="I629" s="516"/>
      <c r="J629" s="516"/>
      <c r="K629" s="517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</row>
    <row r="630">
      <c r="A630" s="31"/>
      <c r="B630" s="516"/>
      <c r="C630" s="517"/>
      <c r="D630" s="31"/>
      <c r="E630" s="517"/>
      <c r="F630" s="31"/>
      <c r="G630" s="516"/>
      <c r="H630" s="516"/>
      <c r="I630" s="516"/>
      <c r="J630" s="516"/>
      <c r="K630" s="517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</row>
    <row r="631">
      <c r="A631" s="31"/>
      <c r="B631" s="516"/>
      <c r="C631" s="517"/>
      <c r="D631" s="31"/>
      <c r="E631" s="517"/>
      <c r="F631" s="31"/>
      <c r="G631" s="516"/>
      <c r="H631" s="516"/>
      <c r="I631" s="516"/>
      <c r="J631" s="516"/>
      <c r="K631" s="517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</row>
    <row r="632">
      <c r="A632" s="31"/>
      <c r="B632" s="516"/>
      <c r="C632" s="517"/>
      <c r="D632" s="31"/>
      <c r="E632" s="517"/>
      <c r="F632" s="31"/>
      <c r="G632" s="516"/>
      <c r="H632" s="516"/>
      <c r="I632" s="516"/>
      <c r="J632" s="516"/>
      <c r="K632" s="517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</row>
    <row r="633">
      <c r="A633" s="31"/>
      <c r="B633" s="516"/>
      <c r="C633" s="517"/>
      <c r="D633" s="31"/>
      <c r="E633" s="517"/>
      <c r="F633" s="31"/>
      <c r="G633" s="516"/>
      <c r="H633" s="516"/>
      <c r="I633" s="516"/>
      <c r="J633" s="516"/>
      <c r="K633" s="517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</row>
    <row r="634">
      <c r="A634" s="31"/>
      <c r="B634" s="516"/>
      <c r="C634" s="517"/>
      <c r="D634" s="31"/>
      <c r="E634" s="517"/>
      <c r="F634" s="31"/>
      <c r="G634" s="516"/>
      <c r="H634" s="516"/>
      <c r="I634" s="516"/>
      <c r="J634" s="516"/>
      <c r="K634" s="517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</row>
    <row r="635">
      <c r="A635" s="31"/>
      <c r="B635" s="516"/>
      <c r="C635" s="517"/>
      <c r="D635" s="31"/>
      <c r="E635" s="517"/>
      <c r="F635" s="31"/>
      <c r="G635" s="516"/>
      <c r="H635" s="516"/>
      <c r="I635" s="516"/>
      <c r="J635" s="516"/>
      <c r="K635" s="517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</row>
    <row r="636">
      <c r="A636" s="31"/>
      <c r="B636" s="516"/>
      <c r="C636" s="517"/>
      <c r="D636" s="31"/>
      <c r="E636" s="517"/>
      <c r="F636" s="31"/>
      <c r="G636" s="516"/>
      <c r="H636" s="516"/>
      <c r="I636" s="516"/>
      <c r="J636" s="516"/>
      <c r="K636" s="517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</row>
    <row r="637">
      <c r="A637" s="31"/>
      <c r="B637" s="516"/>
      <c r="C637" s="517"/>
      <c r="D637" s="31"/>
      <c r="E637" s="517"/>
      <c r="F637" s="31"/>
      <c r="G637" s="516"/>
      <c r="H637" s="516"/>
      <c r="I637" s="516"/>
      <c r="J637" s="516"/>
      <c r="K637" s="517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</row>
    <row r="638">
      <c r="A638" s="31"/>
      <c r="B638" s="516"/>
      <c r="C638" s="517"/>
      <c r="D638" s="31"/>
      <c r="E638" s="517"/>
      <c r="F638" s="31"/>
      <c r="G638" s="516"/>
      <c r="H638" s="516"/>
      <c r="I638" s="516"/>
      <c r="J638" s="516"/>
      <c r="K638" s="517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</row>
    <row r="639">
      <c r="A639" s="31"/>
      <c r="B639" s="516"/>
      <c r="C639" s="517"/>
      <c r="D639" s="31"/>
      <c r="E639" s="517"/>
      <c r="F639" s="31"/>
      <c r="G639" s="516"/>
      <c r="H639" s="516"/>
      <c r="I639" s="516"/>
      <c r="J639" s="516"/>
      <c r="K639" s="517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</row>
    <row r="640">
      <c r="A640" s="31"/>
      <c r="B640" s="516"/>
      <c r="C640" s="517"/>
      <c r="D640" s="31"/>
      <c r="E640" s="517"/>
      <c r="F640" s="31"/>
      <c r="G640" s="516"/>
      <c r="H640" s="516"/>
      <c r="I640" s="516"/>
      <c r="J640" s="516"/>
      <c r="K640" s="517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</row>
    <row r="641">
      <c r="A641" s="31"/>
      <c r="B641" s="516"/>
      <c r="C641" s="517"/>
      <c r="D641" s="31"/>
      <c r="E641" s="517"/>
      <c r="F641" s="31"/>
      <c r="G641" s="516"/>
      <c r="H641" s="516"/>
      <c r="I641" s="516"/>
      <c r="J641" s="516"/>
      <c r="K641" s="517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</row>
    <row r="642">
      <c r="A642" s="31"/>
      <c r="B642" s="516"/>
      <c r="C642" s="517"/>
      <c r="D642" s="31"/>
      <c r="E642" s="517"/>
      <c r="F642" s="31"/>
      <c r="G642" s="516"/>
      <c r="H642" s="516"/>
      <c r="I642" s="516"/>
      <c r="J642" s="516"/>
      <c r="K642" s="517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</row>
    <row r="643">
      <c r="A643" s="31"/>
      <c r="B643" s="516"/>
      <c r="C643" s="517"/>
      <c r="D643" s="31"/>
      <c r="E643" s="517"/>
      <c r="F643" s="31"/>
      <c r="G643" s="516"/>
      <c r="H643" s="516"/>
      <c r="I643" s="516"/>
      <c r="J643" s="516"/>
      <c r="K643" s="517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</row>
    <row r="644">
      <c r="A644" s="31"/>
      <c r="B644" s="516"/>
      <c r="C644" s="517"/>
      <c r="D644" s="31"/>
      <c r="E644" s="517"/>
      <c r="F644" s="31"/>
      <c r="G644" s="516"/>
      <c r="H644" s="516"/>
      <c r="I644" s="516"/>
      <c r="J644" s="516"/>
      <c r="K644" s="517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</row>
    <row r="645">
      <c r="A645" s="31"/>
      <c r="B645" s="516"/>
      <c r="C645" s="517"/>
      <c r="D645" s="31"/>
      <c r="E645" s="517"/>
      <c r="F645" s="31"/>
      <c r="G645" s="516"/>
      <c r="H645" s="516"/>
      <c r="I645" s="516"/>
      <c r="J645" s="516"/>
      <c r="K645" s="517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</row>
    <row r="646">
      <c r="A646" s="31"/>
      <c r="B646" s="516"/>
      <c r="C646" s="517"/>
      <c r="D646" s="31"/>
      <c r="E646" s="517"/>
      <c r="F646" s="31"/>
      <c r="G646" s="516"/>
      <c r="H646" s="516"/>
      <c r="I646" s="516"/>
      <c r="J646" s="516"/>
      <c r="K646" s="517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</row>
    <row r="647">
      <c r="A647" s="31"/>
      <c r="B647" s="516"/>
      <c r="C647" s="517"/>
      <c r="D647" s="31"/>
      <c r="E647" s="517"/>
      <c r="F647" s="31"/>
      <c r="G647" s="516"/>
      <c r="H647" s="516"/>
      <c r="I647" s="516"/>
      <c r="J647" s="516"/>
      <c r="K647" s="517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</row>
    <row r="648">
      <c r="A648" s="31"/>
      <c r="B648" s="516"/>
      <c r="C648" s="517"/>
      <c r="D648" s="31"/>
      <c r="E648" s="517"/>
      <c r="F648" s="31"/>
      <c r="G648" s="516"/>
      <c r="H648" s="516"/>
      <c r="I648" s="516"/>
      <c r="J648" s="516"/>
      <c r="K648" s="517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</row>
    <row r="649">
      <c r="A649" s="31"/>
      <c r="B649" s="516"/>
      <c r="C649" s="517"/>
      <c r="D649" s="31"/>
      <c r="E649" s="517"/>
      <c r="F649" s="31"/>
      <c r="G649" s="516"/>
      <c r="H649" s="516"/>
      <c r="I649" s="516"/>
      <c r="J649" s="516"/>
      <c r="K649" s="517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</row>
    <row r="650">
      <c r="A650" s="31"/>
      <c r="B650" s="516"/>
      <c r="C650" s="517"/>
      <c r="D650" s="31"/>
      <c r="E650" s="517"/>
      <c r="F650" s="31"/>
      <c r="G650" s="516"/>
      <c r="H650" s="516"/>
      <c r="I650" s="516"/>
      <c r="J650" s="516"/>
      <c r="K650" s="517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</row>
    <row r="651">
      <c r="A651" s="31"/>
      <c r="B651" s="516"/>
      <c r="C651" s="517"/>
      <c r="D651" s="31"/>
      <c r="E651" s="517"/>
      <c r="F651" s="31"/>
      <c r="G651" s="516"/>
      <c r="H651" s="516"/>
      <c r="I651" s="516"/>
      <c r="J651" s="516"/>
      <c r="K651" s="517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</row>
    <row r="652">
      <c r="A652" s="31"/>
      <c r="B652" s="516"/>
      <c r="C652" s="517"/>
      <c r="D652" s="31"/>
      <c r="E652" s="517"/>
      <c r="F652" s="31"/>
      <c r="G652" s="516"/>
      <c r="H652" s="516"/>
      <c r="I652" s="516"/>
      <c r="J652" s="516"/>
      <c r="K652" s="517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</row>
    <row r="653">
      <c r="A653" s="31"/>
      <c r="B653" s="516"/>
      <c r="C653" s="517"/>
      <c r="D653" s="31"/>
      <c r="E653" s="517"/>
      <c r="F653" s="31"/>
      <c r="G653" s="516"/>
      <c r="H653" s="516"/>
      <c r="I653" s="516"/>
      <c r="J653" s="516"/>
      <c r="K653" s="517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</row>
    <row r="654">
      <c r="A654" s="31"/>
      <c r="B654" s="516"/>
      <c r="C654" s="517"/>
      <c r="D654" s="31"/>
      <c r="E654" s="517"/>
      <c r="F654" s="31"/>
      <c r="G654" s="516"/>
      <c r="H654" s="516"/>
      <c r="I654" s="516"/>
      <c r="J654" s="516"/>
      <c r="K654" s="517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</row>
    <row r="655">
      <c r="A655" s="31"/>
      <c r="B655" s="516"/>
      <c r="C655" s="517"/>
      <c r="D655" s="31"/>
      <c r="E655" s="517"/>
      <c r="F655" s="31"/>
      <c r="G655" s="516"/>
      <c r="H655" s="516"/>
      <c r="I655" s="516"/>
      <c r="J655" s="516"/>
      <c r="K655" s="517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</row>
    <row r="656">
      <c r="A656" s="31"/>
      <c r="B656" s="516"/>
      <c r="C656" s="517"/>
      <c r="D656" s="31"/>
      <c r="E656" s="517"/>
      <c r="F656" s="31"/>
      <c r="G656" s="516"/>
      <c r="H656" s="516"/>
      <c r="I656" s="516"/>
      <c r="J656" s="516"/>
      <c r="K656" s="517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</row>
    <row r="657">
      <c r="A657" s="31"/>
      <c r="B657" s="516"/>
      <c r="C657" s="517"/>
      <c r="D657" s="31"/>
      <c r="E657" s="517"/>
      <c r="F657" s="31"/>
      <c r="G657" s="516"/>
      <c r="H657" s="516"/>
      <c r="I657" s="516"/>
      <c r="J657" s="516"/>
      <c r="K657" s="517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</row>
    <row r="658">
      <c r="A658" s="31"/>
      <c r="B658" s="516"/>
      <c r="C658" s="517"/>
      <c r="D658" s="31"/>
      <c r="E658" s="517"/>
      <c r="F658" s="31"/>
      <c r="G658" s="516"/>
      <c r="H658" s="516"/>
      <c r="I658" s="516"/>
      <c r="J658" s="516"/>
      <c r="K658" s="517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</row>
    <row r="659">
      <c r="A659" s="31"/>
      <c r="B659" s="516"/>
      <c r="C659" s="517"/>
      <c r="D659" s="31"/>
      <c r="E659" s="517"/>
      <c r="F659" s="31"/>
      <c r="G659" s="516"/>
      <c r="H659" s="516"/>
      <c r="I659" s="516"/>
      <c r="J659" s="516"/>
      <c r="K659" s="517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</row>
    <row r="660">
      <c r="A660" s="31"/>
      <c r="B660" s="516"/>
      <c r="C660" s="517"/>
      <c r="D660" s="31"/>
      <c r="E660" s="517"/>
      <c r="F660" s="31"/>
      <c r="G660" s="516"/>
      <c r="H660" s="516"/>
      <c r="I660" s="516"/>
      <c r="J660" s="516"/>
      <c r="K660" s="517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</row>
    <row r="661">
      <c r="A661" s="31"/>
      <c r="B661" s="516"/>
      <c r="C661" s="517"/>
      <c r="D661" s="31"/>
      <c r="E661" s="517"/>
      <c r="F661" s="31"/>
      <c r="G661" s="516"/>
      <c r="H661" s="516"/>
      <c r="I661" s="516"/>
      <c r="J661" s="516"/>
      <c r="K661" s="517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</row>
    <row r="662">
      <c r="A662" s="31"/>
      <c r="B662" s="516"/>
      <c r="C662" s="517"/>
      <c r="D662" s="31"/>
      <c r="E662" s="517"/>
      <c r="F662" s="31"/>
      <c r="G662" s="516"/>
      <c r="H662" s="516"/>
      <c r="I662" s="516"/>
      <c r="J662" s="516"/>
      <c r="K662" s="517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</row>
    <row r="663">
      <c r="A663" s="31"/>
      <c r="B663" s="516"/>
      <c r="C663" s="517"/>
      <c r="D663" s="31"/>
      <c r="E663" s="517"/>
      <c r="F663" s="31"/>
      <c r="G663" s="516"/>
      <c r="H663" s="516"/>
      <c r="I663" s="516"/>
      <c r="J663" s="516"/>
      <c r="K663" s="517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</row>
    <row r="664">
      <c r="A664" s="31"/>
      <c r="B664" s="516"/>
      <c r="C664" s="517"/>
      <c r="D664" s="31"/>
      <c r="E664" s="517"/>
      <c r="F664" s="31"/>
      <c r="G664" s="516"/>
      <c r="H664" s="516"/>
      <c r="I664" s="516"/>
      <c r="J664" s="516"/>
      <c r="K664" s="517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</row>
    <row r="665">
      <c r="A665" s="31"/>
      <c r="B665" s="516"/>
      <c r="C665" s="517"/>
      <c r="D665" s="31"/>
      <c r="E665" s="517"/>
      <c r="F665" s="31"/>
      <c r="G665" s="516"/>
      <c r="H665" s="516"/>
      <c r="I665" s="516"/>
      <c r="J665" s="516"/>
      <c r="K665" s="517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</row>
    <row r="666">
      <c r="A666" s="31"/>
      <c r="B666" s="516"/>
      <c r="C666" s="517"/>
      <c r="D666" s="31"/>
      <c r="E666" s="517"/>
      <c r="F666" s="31"/>
      <c r="G666" s="516"/>
      <c r="H666" s="516"/>
      <c r="I666" s="516"/>
      <c r="J666" s="516"/>
      <c r="K666" s="517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</row>
    <row r="667">
      <c r="A667" s="31"/>
      <c r="B667" s="516"/>
      <c r="C667" s="517"/>
      <c r="D667" s="31"/>
      <c r="E667" s="517"/>
      <c r="F667" s="31"/>
      <c r="G667" s="516"/>
      <c r="H667" s="516"/>
      <c r="I667" s="516"/>
      <c r="J667" s="516"/>
      <c r="K667" s="517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</row>
    <row r="668">
      <c r="A668" s="31"/>
      <c r="B668" s="516"/>
      <c r="C668" s="517"/>
      <c r="D668" s="31"/>
      <c r="E668" s="517"/>
      <c r="F668" s="31"/>
      <c r="G668" s="516"/>
      <c r="H668" s="516"/>
      <c r="I668" s="516"/>
      <c r="J668" s="516"/>
      <c r="K668" s="517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</row>
    <row r="669">
      <c r="A669" s="31"/>
      <c r="B669" s="516"/>
      <c r="C669" s="517"/>
      <c r="D669" s="31"/>
      <c r="E669" s="517"/>
      <c r="F669" s="31"/>
      <c r="G669" s="516"/>
      <c r="H669" s="516"/>
      <c r="I669" s="516"/>
      <c r="J669" s="516"/>
      <c r="K669" s="517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</row>
    <row r="670">
      <c r="A670" s="31"/>
      <c r="B670" s="516"/>
      <c r="C670" s="517"/>
      <c r="D670" s="31"/>
      <c r="E670" s="517"/>
      <c r="F670" s="31"/>
      <c r="G670" s="516"/>
      <c r="H670" s="516"/>
      <c r="I670" s="516"/>
      <c r="J670" s="516"/>
      <c r="K670" s="517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</row>
    <row r="671">
      <c r="A671" s="31"/>
      <c r="B671" s="516"/>
      <c r="C671" s="517"/>
      <c r="D671" s="31"/>
      <c r="E671" s="517"/>
      <c r="F671" s="31"/>
      <c r="G671" s="516"/>
      <c r="H671" s="516"/>
      <c r="I671" s="516"/>
      <c r="J671" s="516"/>
      <c r="K671" s="517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</row>
    <row r="672">
      <c r="A672" s="31"/>
      <c r="B672" s="516"/>
      <c r="C672" s="517"/>
      <c r="D672" s="31"/>
      <c r="E672" s="517"/>
      <c r="F672" s="31"/>
      <c r="G672" s="516"/>
      <c r="H672" s="516"/>
      <c r="I672" s="516"/>
      <c r="J672" s="516"/>
      <c r="K672" s="517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</row>
    <row r="673">
      <c r="A673" s="31"/>
      <c r="B673" s="516"/>
      <c r="C673" s="517"/>
      <c r="D673" s="31"/>
      <c r="E673" s="517"/>
      <c r="F673" s="31"/>
      <c r="G673" s="516"/>
      <c r="H673" s="516"/>
      <c r="I673" s="516"/>
      <c r="J673" s="516"/>
      <c r="K673" s="517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</row>
    <row r="674">
      <c r="A674" s="31"/>
      <c r="B674" s="516"/>
      <c r="C674" s="517"/>
      <c r="D674" s="31"/>
      <c r="E674" s="517"/>
      <c r="F674" s="31"/>
      <c r="G674" s="516"/>
      <c r="H674" s="516"/>
      <c r="I674" s="516"/>
      <c r="J674" s="516"/>
      <c r="K674" s="517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</row>
    <row r="675">
      <c r="A675" s="31"/>
      <c r="B675" s="516"/>
      <c r="C675" s="517"/>
      <c r="D675" s="31"/>
      <c r="E675" s="517"/>
      <c r="F675" s="31"/>
      <c r="G675" s="516"/>
      <c r="H675" s="516"/>
      <c r="I675" s="516"/>
      <c r="J675" s="516"/>
      <c r="K675" s="517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</row>
    <row r="676">
      <c r="A676" s="31"/>
      <c r="B676" s="516"/>
      <c r="C676" s="517"/>
      <c r="D676" s="31"/>
      <c r="E676" s="517"/>
      <c r="F676" s="31"/>
      <c r="G676" s="516"/>
      <c r="H676" s="516"/>
      <c r="I676" s="516"/>
      <c r="J676" s="516"/>
      <c r="K676" s="517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</row>
    <row r="677">
      <c r="A677" s="31"/>
      <c r="B677" s="516"/>
      <c r="C677" s="517"/>
      <c r="D677" s="31"/>
      <c r="E677" s="517"/>
      <c r="F677" s="31"/>
      <c r="G677" s="516"/>
      <c r="H677" s="516"/>
      <c r="I677" s="516"/>
      <c r="J677" s="516"/>
      <c r="K677" s="517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</row>
    <row r="678">
      <c r="A678" s="31"/>
      <c r="B678" s="516"/>
      <c r="C678" s="517"/>
      <c r="D678" s="31"/>
      <c r="E678" s="517"/>
      <c r="F678" s="31"/>
      <c r="G678" s="516"/>
      <c r="H678" s="516"/>
      <c r="I678" s="516"/>
      <c r="J678" s="516"/>
      <c r="K678" s="517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</row>
    <row r="679">
      <c r="A679" s="31"/>
      <c r="B679" s="516"/>
      <c r="C679" s="517"/>
      <c r="D679" s="31"/>
      <c r="E679" s="517"/>
      <c r="F679" s="31"/>
      <c r="G679" s="516"/>
      <c r="H679" s="516"/>
      <c r="I679" s="516"/>
      <c r="J679" s="516"/>
      <c r="K679" s="517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</row>
    <row r="680">
      <c r="A680" s="31"/>
      <c r="B680" s="516"/>
      <c r="C680" s="517"/>
      <c r="D680" s="31"/>
      <c r="E680" s="517"/>
      <c r="F680" s="31"/>
      <c r="G680" s="516"/>
      <c r="H680" s="516"/>
      <c r="I680" s="516"/>
      <c r="J680" s="516"/>
      <c r="K680" s="517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</row>
    <row r="681">
      <c r="A681" s="31"/>
      <c r="B681" s="516"/>
      <c r="C681" s="517"/>
      <c r="D681" s="31"/>
      <c r="E681" s="517"/>
      <c r="F681" s="31"/>
      <c r="G681" s="516"/>
      <c r="H681" s="516"/>
      <c r="I681" s="516"/>
      <c r="J681" s="516"/>
      <c r="K681" s="517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</row>
    <row r="682">
      <c r="A682" s="31"/>
      <c r="B682" s="516"/>
      <c r="C682" s="517"/>
      <c r="D682" s="31"/>
      <c r="E682" s="517"/>
      <c r="F682" s="31"/>
      <c r="G682" s="516"/>
      <c r="H682" s="516"/>
      <c r="I682" s="516"/>
      <c r="J682" s="516"/>
      <c r="K682" s="517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</row>
    <row r="683">
      <c r="A683" s="31"/>
      <c r="B683" s="516"/>
      <c r="C683" s="517"/>
      <c r="D683" s="31"/>
      <c r="E683" s="517"/>
      <c r="F683" s="31"/>
      <c r="G683" s="516"/>
      <c r="H683" s="516"/>
      <c r="I683" s="516"/>
      <c r="J683" s="516"/>
      <c r="K683" s="517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</row>
    <row r="684">
      <c r="A684" s="31"/>
      <c r="B684" s="516"/>
      <c r="C684" s="517"/>
      <c r="D684" s="31"/>
      <c r="E684" s="517"/>
      <c r="F684" s="31"/>
      <c r="G684" s="516"/>
      <c r="H684" s="516"/>
      <c r="I684" s="516"/>
      <c r="J684" s="516"/>
      <c r="K684" s="517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</row>
    <row r="685">
      <c r="A685" s="31"/>
      <c r="B685" s="516"/>
      <c r="C685" s="517"/>
      <c r="D685" s="31"/>
      <c r="E685" s="517"/>
      <c r="F685" s="31"/>
      <c r="G685" s="516"/>
      <c r="H685" s="516"/>
      <c r="I685" s="516"/>
      <c r="J685" s="516"/>
      <c r="K685" s="517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</row>
    <row r="686">
      <c r="A686" s="31"/>
      <c r="B686" s="516"/>
      <c r="C686" s="517"/>
      <c r="D686" s="31"/>
      <c r="E686" s="517"/>
      <c r="F686" s="31"/>
      <c r="G686" s="516"/>
      <c r="H686" s="516"/>
      <c r="I686" s="516"/>
      <c r="J686" s="516"/>
      <c r="K686" s="517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</row>
    <row r="687">
      <c r="A687" s="31"/>
      <c r="B687" s="516"/>
      <c r="C687" s="517"/>
      <c r="D687" s="31"/>
      <c r="E687" s="517"/>
      <c r="F687" s="31"/>
      <c r="G687" s="516"/>
      <c r="H687" s="516"/>
      <c r="I687" s="516"/>
      <c r="J687" s="516"/>
      <c r="K687" s="517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</row>
    <row r="688">
      <c r="A688" s="31"/>
      <c r="B688" s="516"/>
      <c r="C688" s="517"/>
      <c r="D688" s="31"/>
      <c r="E688" s="517"/>
      <c r="F688" s="31"/>
      <c r="G688" s="516"/>
      <c r="H688" s="516"/>
      <c r="I688" s="516"/>
      <c r="J688" s="516"/>
      <c r="K688" s="517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</row>
    <row r="689">
      <c r="A689" s="31"/>
      <c r="B689" s="516"/>
      <c r="C689" s="517"/>
      <c r="D689" s="31"/>
      <c r="E689" s="517"/>
      <c r="F689" s="31"/>
      <c r="G689" s="516"/>
      <c r="H689" s="516"/>
      <c r="I689" s="516"/>
      <c r="J689" s="516"/>
      <c r="K689" s="517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</row>
    <row r="690">
      <c r="A690" s="31"/>
      <c r="B690" s="516"/>
      <c r="C690" s="517"/>
      <c r="D690" s="31"/>
      <c r="E690" s="517"/>
      <c r="F690" s="31"/>
      <c r="G690" s="516"/>
      <c r="H690" s="516"/>
      <c r="I690" s="516"/>
      <c r="J690" s="516"/>
      <c r="K690" s="517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</row>
    <row r="691">
      <c r="A691" s="31"/>
      <c r="B691" s="516"/>
      <c r="C691" s="517"/>
      <c r="D691" s="31"/>
      <c r="E691" s="517"/>
      <c r="F691" s="31"/>
      <c r="G691" s="516"/>
      <c r="H691" s="516"/>
      <c r="I691" s="516"/>
      <c r="J691" s="516"/>
      <c r="K691" s="517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</row>
    <row r="692">
      <c r="A692" s="31"/>
      <c r="B692" s="516"/>
      <c r="C692" s="517"/>
      <c r="D692" s="31"/>
      <c r="E692" s="517"/>
      <c r="F692" s="31"/>
      <c r="G692" s="516"/>
      <c r="H692" s="516"/>
      <c r="I692" s="516"/>
      <c r="J692" s="516"/>
      <c r="K692" s="517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</row>
    <row r="693">
      <c r="A693" s="31"/>
      <c r="B693" s="516"/>
      <c r="C693" s="517"/>
      <c r="D693" s="31"/>
      <c r="E693" s="517"/>
      <c r="F693" s="31"/>
      <c r="G693" s="516"/>
      <c r="H693" s="516"/>
      <c r="I693" s="516"/>
      <c r="J693" s="516"/>
      <c r="K693" s="517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</row>
    <row r="694">
      <c r="A694" s="31"/>
      <c r="B694" s="516"/>
      <c r="C694" s="517"/>
      <c r="D694" s="31"/>
      <c r="E694" s="517"/>
      <c r="F694" s="31"/>
      <c r="G694" s="516"/>
      <c r="H694" s="516"/>
      <c r="I694" s="516"/>
      <c r="J694" s="516"/>
      <c r="K694" s="517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</row>
    <row r="695">
      <c r="A695" s="31"/>
      <c r="B695" s="516"/>
      <c r="C695" s="517"/>
      <c r="D695" s="31"/>
      <c r="E695" s="517"/>
      <c r="F695" s="31"/>
      <c r="G695" s="516"/>
      <c r="H695" s="516"/>
      <c r="I695" s="516"/>
      <c r="J695" s="516"/>
      <c r="K695" s="517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</row>
    <row r="696">
      <c r="A696" s="31"/>
      <c r="B696" s="516"/>
      <c r="C696" s="517"/>
      <c r="D696" s="31"/>
      <c r="E696" s="517"/>
      <c r="F696" s="31"/>
      <c r="G696" s="516"/>
      <c r="H696" s="516"/>
      <c r="I696" s="516"/>
      <c r="J696" s="516"/>
      <c r="K696" s="517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</row>
    <row r="697">
      <c r="A697" s="31"/>
      <c r="B697" s="516"/>
      <c r="C697" s="517"/>
      <c r="D697" s="31"/>
      <c r="E697" s="517"/>
      <c r="F697" s="31"/>
      <c r="G697" s="516"/>
      <c r="H697" s="516"/>
      <c r="I697" s="516"/>
      <c r="J697" s="516"/>
      <c r="K697" s="517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</row>
    <row r="698">
      <c r="A698" s="31"/>
      <c r="B698" s="516"/>
      <c r="C698" s="517"/>
      <c r="D698" s="31"/>
      <c r="E698" s="517"/>
      <c r="F698" s="31"/>
      <c r="G698" s="516"/>
      <c r="H698" s="516"/>
      <c r="I698" s="516"/>
      <c r="J698" s="516"/>
      <c r="K698" s="517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</row>
    <row r="699">
      <c r="A699" s="31"/>
      <c r="B699" s="516"/>
      <c r="C699" s="517"/>
      <c r="D699" s="31"/>
      <c r="E699" s="517"/>
      <c r="F699" s="31"/>
      <c r="G699" s="516"/>
      <c r="H699" s="516"/>
      <c r="I699" s="516"/>
      <c r="J699" s="516"/>
      <c r="K699" s="517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</row>
    <row r="700">
      <c r="A700" s="31"/>
      <c r="B700" s="516"/>
      <c r="C700" s="517"/>
      <c r="D700" s="31"/>
      <c r="E700" s="517"/>
      <c r="F700" s="31"/>
      <c r="G700" s="516"/>
      <c r="H700" s="516"/>
      <c r="I700" s="516"/>
      <c r="J700" s="516"/>
      <c r="K700" s="517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</row>
    <row r="701">
      <c r="A701" s="31"/>
      <c r="B701" s="516"/>
      <c r="C701" s="517"/>
      <c r="D701" s="31"/>
      <c r="E701" s="517"/>
      <c r="F701" s="31"/>
      <c r="G701" s="516"/>
      <c r="H701" s="516"/>
      <c r="I701" s="516"/>
      <c r="J701" s="516"/>
      <c r="K701" s="517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</row>
    <row r="702">
      <c r="A702" s="31"/>
      <c r="B702" s="516"/>
      <c r="C702" s="517"/>
      <c r="D702" s="31"/>
      <c r="E702" s="517"/>
      <c r="F702" s="31"/>
      <c r="G702" s="516"/>
      <c r="H702" s="516"/>
      <c r="I702" s="516"/>
      <c r="J702" s="516"/>
      <c r="K702" s="517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</row>
    <row r="703">
      <c r="A703" s="31"/>
      <c r="B703" s="516"/>
      <c r="C703" s="517"/>
      <c r="D703" s="31"/>
      <c r="E703" s="517"/>
      <c r="F703" s="31"/>
      <c r="G703" s="516"/>
      <c r="H703" s="516"/>
      <c r="I703" s="516"/>
      <c r="J703" s="516"/>
      <c r="K703" s="517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</row>
    <row r="704">
      <c r="A704" s="31"/>
      <c r="B704" s="516"/>
      <c r="C704" s="517"/>
      <c r="D704" s="31"/>
      <c r="E704" s="517"/>
      <c r="F704" s="31"/>
      <c r="G704" s="516"/>
      <c r="H704" s="516"/>
      <c r="I704" s="516"/>
      <c r="J704" s="516"/>
      <c r="K704" s="517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</row>
    <row r="705">
      <c r="A705" s="31"/>
      <c r="B705" s="516"/>
      <c r="C705" s="517"/>
      <c r="D705" s="31"/>
      <c r="E705" s="517"/>
      <c r="F705" s="31"/>
      <c r="G705" s="516"/>
      <c r="H705" s="516"/>
      <c r="I705" s="516"/>
      <c r="J705" s="516"/>
      <c r="K705" s="517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</row>
    <row r="706">
      <c r="A706" s="31"/>
      <c r="B706" s="516"/>
      <c r="C706" s="517"/>
      <c r="D706" s="31"/>
      <c r="E706" s="517"/>
      <c r="F706" s="31"/>
      <c r="G706" s="516"/>
      <c r="H706" s="516"/>
      <c r="I706" s="516"/>
      <c r="J706" s="516"/>
      <c r="K706" s="517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</row>
    <row r="707">
      <c r="A707" s="31"/>
      <c r="B707" s="516"/>
      <c r="C707" s="517"/>
      <c r="D707" s="31"/>
      <c r="E707" s="517"/>
      <c r="F707" s="31"/>
      <c r="G707" s="516"/>
      <c r="H707" s="516"/>
      <c r="I707" s="516"/>
      <c r="J707" s="516"/>
      <c r="K707" s="517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</row>
    <row r="708">
      <c r="A708" s="31"/>
      <c r="B708" s="516"/>
      <c r="C708" s="517"/>
      <c r="D708" s="31"/>
      <c r="E708" s="517"/>
      <c r="F708" s="31"/>
      <c r="G708" s="516"/>
      <c r="H708" s="516"/>
      <c r="I708" s="516"/>
      <c r="J708" s="516"/>
      <c r="K708" s="517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</row>
    <row r="709">
      <c r="A709" s="31"/>
      <c r="B709" s="516"/>
      <c r="C709" s="517"/>
      <c r="D709" s="31"/>
      <c r="E709" s="517"/>
      <c r="F709" s="31"/>
      <c r="G709" s="516"/>
      <c r="H709" s="516"/>
      <c r="I709" s="516"/>
      <c r="J709" s="516"/>
      <c r="K709" s="517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</row>
    <row r="710">
      <c r="A710" s="31"/>
      <c r="B710" s="516"/>
      <c r="C710" s="517"/>
      <c r="D710" s="31"/>
      <c r="E710" s="517"/>
      <c r="F710" s="31"/>
      <c r="G710" s="516"/>
      <c r="H710" s="516"/>
      <c r="I710" s="516"/>
      <c r="J710" s="516"/>
      <c r="K710" s="517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</row>
    <row r="711">
      <c r="A711" s="31"/>
      <c r="B711" s="516"/>
      <c r="C711" s="517"/>
      <c r="D711" s="31"/>
      <c r="E711" s="517"/>
      <c r="F711" s="31"/>
      <c r="G711" s="516"/>
      <c r="H711" s="516"/>
      <c r="I711" s="516"/>
      <c r="J711" s="516"/>
      <c r="K711" s="517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</row>
    <row r="712">
      <c r="A712" s="31"/>
      <c r="B712" s="516"/>
      <c r="C712" s="517"/>
      <c r="D712" s="31"/>
      <c r="E712" s="517"/>
      <c r="F712" s="31"/>
      <c r="G712" s="516"/>
      <c r="H712" s="516"/>
      <c r="I712" s="516"/>
      <c r="J712" s="516"/>
      <c r="K712" s="517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</row>
    <row r="713">
      <c r="A713" s="31"/>
      <c r="B713" s="516"/>
      <c r="C713" s="517"/>
      <c r="D713" s="31"/>
      <c r="E713" s="517"/>
      <c r="F713" s="31"/>
      <c r="G713" s="516"/>
      <c r="H713" s="516"/>
      <c r="I713" s="516"/>
      <c r="J713" s="516"/>
      <c r="K713" s="517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</row>
    <row r="714">
      <c r="A714" s="31"/>
      <c r="B714" s="516"/>
      <c r="C714" s="517"/>
      <c r="D714" s="31"/>
      <c r="E714" s="517"/>
      <c r="F714" s="31"/>
      <c r="G714" s="516"/>
      <c r="H714" s="516"/>
      <c r="I714" s="516"/>
      <c r="J714" s="516"/>
      <c r="K714" s="517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</row>
    <row r="715">
      <c r="A715" s="31"/>
      <c r="B715" s="516"/>
      <c r="C715" s="517"/>
      <c r="D715" s="31"/>
      <c r="E715" s="517"/>
      <c r="F715" s="31"/>
      <c r="G715" s="516"/>
      <c r="H715" s="516"/>
      <c r="I715" s="516"/>
      <c r="J715" s="516"/>
      <c r="K715" s="517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</row>
    <row r="716">
      <c r="A716" s="31"/>
      <c r="B716" s="516"/>
      <c r="C716" s="517"/>
      <c r="D716" s="31"/>
      <c r="E716" s="517"/>
      <c r="F716" s="31"/>
      <c r="G716" s="516"/>
      <c r="H716" s="516"/>
      <c r="I716" s="516"/>
      <c r="J716" s="516"/>
      <c r="K716" s="517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</row>
    <row r="717">
      <c r="A717" s="31"/>
      <c r="B717" s="516"/>
      <c r="C717" s="517"/>
      <c r="D717" s="31"/>
      <c r="E717" s="517"/>
      <c r="F717" s="31"/>
      <c r="G717" s="516"/>
      <c r="H717" s="516"/>
      <c r="I717" s="516"/>
      <c r="J717" s="516"/>
      <c r="K717" s="517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</row>
    <row r="718">
      <c r="A718" s="31"/>
      <c r="B718" s="516"/>
      <c r="C718" s="517"/>
      <c r="D718" s="31"/>
      <c r="E718" s="517"/>
      <c r="F718" s="31"/>
      <c r="G718" s="516"/>
      <c r="H718" s="516"/>
      <c r="I718" s="516"/>
      <c r="J718" s="516"/>
      <c r="K718" s="517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</row>
    <row r="719">
      <c r="A719" s="31"/>
      <c r="B719" s="516"/>
      <c r="C719" s="517"/>
      <c r="D719" s="31"/>
      <c r="E719" s="517"/>
      <c r="F719" s="31"/>
      <c r="G719" s="516"/>
      <c r="H719" s="516"/>
      <c r="I719" s="516"/>
      <c r="J719" s="516"/>
      <c r="K719" s="517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</row>
    <row r="720">
      <c r="A720" s="31"/>
      <c r="B720" s="516"/>
      <c r="C720" s="517"/>
      <c r="D720" s="31"/>
      <c r="E720" s="517"/>
      <c r="F720" s="31"/>
      <c r="G720" s="516"/>
      <c r="H720" s="516"/>
      <c r="I720" s="516"/>
      <c r="J720" s="516"/>
      <c r="K720" s="517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</row>
    <row r="721">
      <c r="A721" s="31"/>
      <c r="B721" s="516"/>
      <c r="C721" s="517"/>
      <c r="D721" s="31"/>
      <c r="E721" s="517"/>
      <c r="F721" s="31"/>
      <c r="G721" s="516"/>
      <c r="H721" s="516"/>
      <c r="I721" s="516"/>
      <c r="J721" s="516"/>
      <c r="K721" s="517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</row>
    <row r="722">
      <c r="A722" s="31"/>
      <c r="B722" s="516"/>
      <c r="C722" s="517"/>
      <c r="D722" s="31"/>
      <c r="E722" s="517"/>
      <c r="F722" s="31"/>
      <c r="G722" s="516"/>
      <c r="H722" s="516"/>
      <c r="I722" s="516"/>
      <c r="J722" s="516"/>
      <c r="K722" s="517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</row>
    <row r="723">
      <c r="A723" s="31"/>
      <c r="B723" s="516"/>
      <c r="C723" s="517"/>
      <c r="D723" s="31"/>
      <c r="E723" s="517"/>
      <c r="F723" s="31"/>
      <c r="G723" s="516"/>
      <c r="H723" s="516"/>
      <c r="I723" s="516"/>
      <c r="J723" s="516"/>
      <c r="K723" s="517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</row>
    <row r="724">
      <c r="A724" s="31"/>
      <c r="B724" s="516"/>
      <c r="C724" s="517"/>
      <c r="D724" s="31"/>
      <c r="E724" s="517"/>
      <c r="F724" s="31"/>
      <c r="G724" s="516"/>
      <c r="H724" s="516"/>
      <c r="I724" s="516"/>
      <c r="J724" s="516"/>
      <c r="K724" s="517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</row>
    <row r="725">
      <c r="A725" s="31"/>
      <c r="B725" s="516"/>
      <c r="C725" s="517"/>
      <c r="D725" s="31"/>
      <c r="E725" s="517"/>
      <c r="F725" s="31"/>
      <c r="G725" s="516"/>
      <c r="H725" s="516"/>
      <c r="I725" s="516"/>
      <c r="J725" s="516"/>
      <c r="K725" s="517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</row>
    <row r="726">
      <c r="A726" s="31"/>
      <c r="B726" s="516"/>
      <c r="C726" s="517"/>
      <c r="D726" s="31"/>
      <c r="E726" s="517"/>
      <c r="F726" s="31"/>
      <c r="G726" s="516"/>
      <c r="H726" s="516"/>
      <c r="I726" s="516"/>
      <c r="J726" s="516"/>
      <c r="K726" s="517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</row>
    <row r="727">
      <c r="A727" s="31"/>
      <c r="B727" s="516"/>
      <c r="C727" s="517"/>
      <c r="D727" s="31"/>
      <c r="E727" s="517"/>
      <c r="F727" s="31"/>
      <c r="G727" s="516"/>
      <c r="H727" s="516"/>
      <c r="I727" s="516"/>
      <c r="J727" s="516"/>
      <c r="K727" s="517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</row>
    <row r="728">
      <c r="A728" s="31"/>
      <c r="B728" s="516"/>
      <c r="C728" s="517"/>
      <c r="D728" s="31"/>
      <c r="E728" s="517"/>
      <c r="F728" s="31"/>
      <c r="G728" s="516"/>
      <c r="H728" s="516"/>
      <c r="I728" s="516"/>
      <c r="J728" s="516"/>
      <c r="K728" s="517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</row>
    <row r="729">
      <c r="A729" s="31"/>
      <c r="B729" s="516"/>
      <c r="C729" s="517"/>
      <c r="D729" s="31"/>
      <c r="E729" s="517"/>
      <c r="F729" s="31"/>
      <c r="G729" s="516"/>
      <c r="H729" s="516"/>
      <c r="I729" s="516"/>
      <c r="J729" s="516"/>
      <c r="K729" s="517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</row>
    <row r="730">
      <c r="A730" s="31"/>
      <c r="B730" s="516"/>
      <c r="C730" s="517"/>
      <c r="D730" s="31"/>
      <c r="E730" s="517"/>
      <c r="F730" s="31"/>
      <c r="G730" s="516"/>
      <c r="H730" s="516"/>
      <c r="I730" s="516"/>
      <c r="J730" s="516"/>
      <c r="K730" s="517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</row>
    <row r="731">
      <c r="A731" s="31"/>
      <c r="B731" s="516"/>
      <c r="C731" s="517"/>
      <c r="D731" s="31"/>
      <c r="E731" s="517"/>
      <c r="F731" s="31"/>
      <c r="G731" s="516"/>
      <c r="H731" s="516"/>
      <c r="I731" s="516"/>
      <c r="J731" s="516"/>
      <c r="K731" s="517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</row>
    <row r="732">
      <c r="A732" s="31"/>
      <c r="B732" s="516"/>
      <c r="C732" s="517"/>
      <c r="D732" s="31"/>
      <c r="E732" s="517"/>
      <c r="F732" s="31"/>
      <c r="G732" s="516"/>
      <c r="H732" s="516"/>
      <c r="I732" s="516"/>
      <c r="J732" s="516"/>
      <c r="K732" s="517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</row>
    <row r="733">
      <c r="A733" s="31"/>
      <c r="B733" s="516"/>
      <c r="C733" s="517"/>
      <c r="D733" s="31"/>
      <c r="E733" s="517"/>
      <c r="F733" s="31"/>
      <c r="G733" s="516"/>
      <c r="H733" s="516"/>
      <c r="I733" s="516"/>
      <c r="J733" s="516"/>
      <c r="K733" s="517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</row>
    <row r="734">
      <c r="A734" s="31"/>
      <c r="B734" s="516"/>
      <c r="C734" s="517"/>
      <c r="D734" s="31"/>
      <c r="E734" s="517"/>
      <c r="F734" s="31"/>
      <c r="G734" s="516"/>
      <c r="H734" s="516"/>
      <c r="I734" s="516"/>
      <c r="J734" s="516"/>
      <c r="K734" s="517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</row>
    <row r="735">
      <c r="A735" s="31"/>
      <c r="B735" s="516"/>
      <c r="C735" s="517"/>
      <c r="D735" s="31"/>
      <c r="E735" s="517"/>
      <c r="F735" s="31"/>
      <c r="G735" s="516"/>
      <c r="H735" s="516"/>
      <c r="I735" s="516"/>
      <c r="J735" s="516"/>
      <c r="K735" s="517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</row>
    <row r="736">
      <c r="A736" s="31"/>
      <c r="B736" s="516"/>
      <c r="C736" s="517"/>
      <c r="D736" s="31"/>
      <c r="E736" s="517"/>
      <c r="F736" s="31"/>
      <c r="G736" s="516"/>
      <c r="H736" s="516"/>
      <c r="I736" s="516"/>
      <c r="J736" s="516"/>
      <c r="K736" s="517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</row>
    <row r="737">
      <c r="A737" s="31"/>
      <c r="B737" s="516"/>
      <c r="C737" s="517"/>
      <c r="D737" s="31"/>
      <c r="E737" s="517"/>
      <c r="F737" s="31"/>
      <c r="G737" s="516"/>
      <c r="H737" s="516"/>
      <c r="I737" s="516"/>
      <c r="J737" s="516"/>
      <c r="K737" s="517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</row>
    <row r="738">
      <c r="A738" s="31"/>
      <c r="B738" s="516"/>
      <c r="C738" s="517"/>
      <c r="D738" s="31"/>
      <c r="E738" s="517"/>
      <c r="F738" s="31"/>
      <c r="G738" s="516"/>
      <c r="H738" s="516"/>
      <c r="I738" s="516"/>
      <c r="J738" s="516"/>
      <c r="K738" s="517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</row>
    <row r="739">
      <c r="A739" s="31"/>
      <c r="B739" s="516"/>
      <c r="C739" s="517"/>
      <c r="D739" s="31"/>
      <c r="E739" s="517"/>
      <c r="F739" s="31"/>
      <c r="G739" s="516"/>
      <c r="H739" s="516"/>
      <c r="I739" s="516"/>
      <c r="J739" s="516"/>
      <c r="K739" s="517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</row>
    <row r="740">
      <c r="A740" s="31"/>
      <c r="B740" s="516"/>
      <c r="C740" s="517"/>
      <c r="D740" s="31"/>
      <c r="E740" s="517"/>
      <c r="F740" s="31"/>
      <c r="G740" s="516"/>
      <c r="H740" s="516"/>
      <c r="I740" s="516"/>
      <c r="J740" s="516"/>
      <c r="K740" s="517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</row>
    <row r="741">
      <c r="A741" s="31"/>
      <c r="B741" s="516"/>
      <c r="C741" s="517"/>
      <c r="D741" s="31"/>
      <c r="E741" s="517"/>
      <c r="F741" s="31"/>
      <c r="G741" s="516"/>
      <c r="H741" s="516"/>
      <c r="I741" s="516"/>
      <c r="J741" s="516"/>
      <c r="K741" s="517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</row>
    <row r="742">
      <c r="A742" s="31"/>
      <c r="B742" s="516"/>
      <c r="C742" s="517"/>
      <c r="D742" s="31"/>
      <c r="E742" s="517"/>
      <c r="F742" s="31"/>
      <c r="G742" s="516"/>
      <c r="H742" s="516"/>
      <c r="I742" s="516"/>
      <c r="J742" s="516"/>
      <c r="K742" s="517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</row>
    <row r="743">
      <c r="A743" s="31"/>
      <c r="B743" s="516"/>
      <c r="C743" s="517"/>
      <c r="D743" s="31"/>
      <c r="E743" s="517"/>
      <c r="F743" s="31"/>
      <c r="G743" s="516"/>
      <c r="H743" s="516"/>
      <c r="I743" s="516"/>
      <c r="J743" s="516"/>
      <c r="K743" s="517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</row>
    <row r="744">
      <c r="A744" s="31"/>
      <c r="B744" s="516"/>
      <c r="C744" s="517"/>
      <c r="D744" s="31"/>
      <c r="E744" s="517"/>
      <c r="F744" s="31"/>
      <c r="G744" s="516"/>
      <c r="H744" s="516"/>
      <c r="I744" s="516"/>
      <c r="J744" s="516"/>
      <c r="K744" s="517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</row>
    <row r="745">
      <c r="A745" s="31"/>
      <c r="B745" s="516"/>
      <c r="C745" s="517"/>
      <c r="D745" s="31"/>
      <c r="E745" s="517"/>
      <c r="F745" s="31"/>
      <c r="G745" s="516"/>
      <c r="H745" s="516"/>
      <c r="I745" s="516"/>
      <c r="J745" s="516"/>
      <c r="K745" s="517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</row>
    <row r="746">
      <c r="A746" s="31"/>
      <c r="B746" s="516"/>
      <c r="C746" s="517"/>
      <c r="D746" s="31"/>
      <c r="E746" s="517"/>
      <c r="F746" s="31"/>
      <c r="G746" s="516"/>
      <c r="H746" s="516"/>
      <c r="I746" s="516"/>
      <c r="J746" s="516"/>
      <c r="K746" s="517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</row>
    <row r="747">
      <c r="A747" s="31"/>
      <c r="B747" s="516"/>
      <c r="C747" s="517"/>
      <c r="D747" s="31"/>
      <c r="E747" s="517"/>
      <c r="F747" s="31"/>
      <c r="G747" s="516"/>
      <c r="H747" s="516"/>
      <c r="I747" s="516"/>
      <c r="J747" s="516"/>
      <c r="K747" s="517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</row>
    <row r="748">
      <c r="A748" s="31"/>
      <c r="B748" s="516"/>
      <c r="C748" s="517"/>
      <c r="D748" s="31"/>
      <c r="E748" s="517"/>
      <c r="F748" s="31"/>
      <c r="G748" s="516"/>
      <c r="H748" s="516"/>
      <c r="I748" s="516"/>
      <c r="J748" s="516"/>
      <c r="K748" s="517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</row>
    <row r="749">
      <c r="A749" s="31"/>
      <c r="B749" s="516"/>
      <c r="C749" s="517"/>
      <c r="D749" s="31"/>
      <c r="E749" s="517"/>
      <c r="F749" s="31"/>
      <c r="G749" s="516"/>
      <c r="H749" s="516"/>
      <c r="I749" s="516"/>
      <c r="J749" s="516"/>
      <c r="K749" s="517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</row>
    <row r="750">
      <c r="A750" s="31"/>
      <c r="B750" s="516"/>
      <c r="C750" s="517"/>
      <c r="D750" s="31"/>
      <c r="E750" s="517"/>
      <c r="F750" s="31"/>
      <c r="G750" s="516"/>
      <c r="H750" s="516"/>
      <c r="I750" s="516"/>
      <c r="J750" s="516"/>
      <c r="K750" s="517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</row>
    <row r="751">
      <c r="A751" s="31"/>
      <c r="B751" s="516"/>
      <c r="C751" s="517"/>
      <c r="D751" s="31"/>
      <c r="E751" s="517"/>
      <c r="F751" s="31"/>
      <c r="G751" s="516"/>
      <c r="H751" s="516"/>
      <c r="I751" s="516"/>
      <c r="J751" s="516"/>
      <c r="K751" s="517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</row>
    <row r="752">
      <c r="A752" s="31"/>
      <c r="B752" s="516"/>
      <c r="C752" s="517"/>
      <c r="D752" s="31"/>
      <c r="E752" s="517"/>
      <c r="F752" s="31"/>
      <c r="G752" s="516"/>
      <c r="H752" s="516"/>
      <c r="I752" s="516"/>
      <c r="J752" s="516"/>
      <c r="K752" s="517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</row>
    <row r="753">
      <c r="A753" s="31"/>
      <c r="B753" s="516"/>
      <c r="C753" s="517"/>
      <c r="D753" s="31"/>
      <c r="E753" s="517"/>
      <c r="F753" s="31"/>
      <c r="G753" s="516"/>
      <c r="H753" s="516"/>
      <c r="I753" s="516"/>
      <c r="J753" s="516"/>
      <c r="K753" s="517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</row>
    <row r="754">
      <c r="A754" s="31"/>
      <c r="B754" s="516"/>
      <c r="C754" s="517"/>
      <c r="D754" s="31"/>
      <c r="E754" s="517"/>
      <c r="F754" s="31"/>
      <c r="G754" s="516"/>
      <c r="H754" s="516"/>
      <c r="I754" s="516"/>
      <c r="J754" s="516"/>
      <c r="K754" s="517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</row>
    <row r="755">
      <c r="A755" s="31"/>
      <c r="B755" s="516"/>
      <c r="C755" s="517"/>
      <c r="D755" s="31"/>
      <c r="E755" s="517"/>
      <c r="F755" s="31"/>
      <c r="G755" s="516"/>
      <c r="H755" s="516"/>
      <c r="I755" s="516"/>
      <c r="J755" s="516"/>
      <c r="K755" s="517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</row>
    <row r="756">
      <c r="A756" s="31"/>
      <c r="B756" s="516"/>
      <c r="C756" s="517"/>
      <c r="D756" s="31"/>
      <c r="E756" s="517"/>
      <c r="F756" s="31"/>
      <c r="G756" s="516"/>
      <c r="H756" s="516"/>
      <c r="I756" s="516"/>
      <c r="J756" s="516"/>
      <c r="K756" s="517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</row>
    <row r="757">
      <c r="A757" s="31"/>
      <c r="B757" s="516"/>
      <c r="C757" s="517"/>
      <c r="D757" s="31"/>
      <c r="E757" s="517"/>
      <c r="F757" s="31"/>
      <c r="G757" s="516"/>
      <c r="H757" s="516"/>
      <c r="I757" s="516"/>
      <c r="J757" s="516"/>
      <c r="K757" s="517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</row>
    <row r="758">
      <c r="A758" s="31"/>
      <c r="B758" s="516"/>
      <c r="C758" s="517"/>
      <c r="D758" s="31"/>
      <c r="E758" s="517"/>
      <c r="F758" s="31"/>
      <c r="G758" s="516"/>
      <c r="H758" s="516"/>
      <c r="I758" s="516"/>
      <c r="J758" s="516"/>
      <c r="K758" s="517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</row>
    <row r="759">
      <c r="A759" s="31"/>
      <c r="B759" s="516"/>
      <c r="C759" s="517"/>
      <c r="D759" s="31"/>
      <c r="E759" s="517"/>
      <c r="F759" s="31"/>
      <c r="G759" s="516"/>
      <c r="H759" s="516"/>
      <c r="I759" s="516"/>
      <c r="J759" s="516"/>
      <c r="K759" s="517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</row>
    <row r="760">
      <c r="A760" s="31"/>
      <c r="B760" s="516"/>
      <c r="C760" s="517"/>
      <c r="D760" s="31"/>
      <c r="E760" s="517"/>
      <c r="F760" s="31"/>
      <c r="G760" s="516"/>
      <c r="H760" s="516"/>
      <c r="I760" s="516"/>
      <c r="J760" s="516"/>
      <c r="K760" s="517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</row>
    <row r="761">
      <c r="A761" s="31"/>
      <c r="B761" s="516"/>
      <c r="C761" s="517"/>
      <c r="D761" s="31"/>
      <c r="E761" s="517"/>
      <c r="F761" s="31"/>
      <c r="G761" s="516"/>
      <c r="H761" s="516"/>
      <c r="I761" s="516"/>
      <c r="J761" s="516"/>
      <c r="K761" s="517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</row>
    <row r="762">
      <c r="A762" s="31"/>
      <c r="B762" s="516"/>
      <c r="C762" s="517"/>
      <c r="D762" s="31"/>
      <c r="E762" s="517"/>
      <c r="F762" s="31"/>
      <c r="G762" s="516"/>
      <c r="H762" s="516"/>
      <c r="I762" s="516"/>
      <c r="J762" s="516"/>
      <c r="K762" s="517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</row>
    <row r="763">
      <c r="A763" s="31"/>
      <c r="B763" s="516"/>
      <c r="C763" s="517"/>
      <c r="D763" s="31"/>
      <c r="E763" s="517"/>
      <c r="F763" s="31"/>
      <c r="G763" s="516"/>
      <c r="H763" s="516"/>
      <c r="I763" s="516"/>
      <c r="J763" s="516"/>
      <c r="K763" s="517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</row>
    <row r="764">
      <c r="A764" s="31"/>
      <c r="B764" s="516"/>
      <c r="C764" s="517"/>
      <c r="D764" s="31"/>
      <c r="E764" s="517"/>
      <c r="F764" s="31"/>
      <c r="G764" s="516"/>
      <c r="H764" s="516"/>
      <c r="I764" s="516"/>
      <c r="J764" s="516"/>
      <c r="K764" s="517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</row>
    <row r="765">
      <c r="A765" s="31"/>
      <c r="B765" s="516"/>
      <c r="C765" s="517"/>
      <c r="D765" s="31"/>
      <c r="E765" s="517"/>
      <c r="F765" s="31"/>
      <c r="G765" s="516"/>
      <c r="H765" s="516"/>
      <c r="I765" s="516"/>
      <c r="J765" s="516"/>
      <c r="K765" s="517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</row>
    <row r="766">
      <c r="A766" s="31"/>
      <c r="B766" s="516"/>
      <c r="C766" s="517"/>
      <c r="D766" s="31"/>
      <c r="E766" s="517"/>
      <c r="F766" s="31"/>
      <c r="G766" s="516"/>
      <c r="H766" s="516"/>
      <c r="I766" s="516"/>
      <c r="J766" s="516"/>
      <c r="K766" s="517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</row>
    <row r="767">
      <c r="A767" s="31"/>
      <c r="B767" s="516"/>
      <c r="C767" s="517"/>
      <c r="D767" s="31"/>
      <c r="E767" s="517"/>
      <c r="F767" s="31"/>
      <c r="G767" s="516"/>
      <c r="H767" s="516"/>
      <c r="I767" s="516"/>
      <c r="J767" s="516"/>
      <c r="K767" s="517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</row>
    <row r="768">
      <c r="A768" s="31"/>
      <c r="B768" s="516"/>
      <c r="C768" s="517"/>
      <c r="D768" s="31"/>
      <c r="E768" s="517"/>
      <c r="F768" s="31"/>
      <c r="G768" s="516"/>
      <c r="H768" s="516"/>
      <c r="I768" s="516"/>
      <c r="J768" s="516"/>
      <c r="K768" s="517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</row>
    <row r="769">
      <c r="A769" s="31"/>
      <c r="B769" s="516"/>
      <c r="C769" s="517"/>
      <c r="D769" s="31"/>
      <c r="E769" s="517"/>
      <c r="F769" s="31"/>
      <c r="G769" s="516"/>
      <c r="H769" s="516"/>
      <c r="I769" s="516"/>
      <c r="J769" s="516"/>
      <c r="K769" s="517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</row>
    <row r="770">
      <c r="A770" s="31"/>
      <c r="B770" s="516"/>
      <c r="C770" s="517"/>
      <c r="D770" s="31"/>
      <c r="E770" s="517"/>
      <c r="F770" s="31"/>
      <c r="G770" s="516"/>
      <c r="H770" s="516"/>
      <c r="I770" s="516"/>
      <c r="J770" s="516"/>
      <c r="K770" s="517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</row>
    <row r="771">
      <c r="A771" s="31"/>
      <c r="B771" s="516"/>
      <c r="C771" s="517"/>
      <c r="D771" s="31"/>
      <c r="E771" s="517"/>
      <c r="F771" s="31"/>
      <c r="G771" s="516"/>
      <c r="H771" s="516"/>
      <c r="I771" s="516"/>
      <c r="J771" s="516"/>
      <c r="K771" s="517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</row>
    <row r="772">
      <c r="A772" s="31"/>
      <c r="B772" s="516"/>
      <c r="C772" s="517"/>
      <c r="D772" s="31"/>
      <c r="E772" s="517"/>
      <c r="F772" s="31"/>
      <c r="G772" s="516"/>
      <c r="H772" s="516"/>
      <c r="I772" s="516"/>
      <c r="J772" s="516"/>
      <c r="K772" s="517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</row>
    <row r="773">
      <c r="A773" s="31"/>
      <c r="B773" s="516"/>
      <c r="C773" s="517"/>
      <c r="D773" s="31"/>
      <c r="E773" s="517"/>
      <c r="F773" s="31"/>
      <c r="G773" s="516"/>
      <c r="H773" s="516"/>
      <c r="I773" s="516"/>
      <c r="J773" s="516"/>
      <c r="K773" s="517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</row>
    <row r="774">
      <c r="A774" s="31"/>
      <c r="B774" s="516"/>
      <c r="C774" s="517"/>
      <c r="D774" s="31"/>
      <c r="E774" s="517"/>
      <c r="F774" s="31"/>
      <c r="G774" s="516"/>
      <c r="H774" s="516"/>
      <c r="I774" s="516"/>
      <c r="J774" s="516"/>
      <c r="K774" s="517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</row>
    <row r="775">
      <c r="A775" s="31"/>
      <c r="B775" s="516"/>
      <c r="C775" s="517"/>
      <c r="D775" s="31"/>
      <c r="E775" s="517"/>
      <c r="F775" s="31"/>
      <c r="G775" s="516"/>
      <c r="H775" s="516"/>
      <c r="I775" s="516"/>
      <c r="J775" s="516"/>
      <c r="K775" s="517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</row>
    <row r="776">
      <c r="A776" s="31"/>
      <c r="B776" s="516"/>
      <c r="C776" s="517"/>
      <c r="D776" s="31"/>
      <c r="E776" s="517"/>
      <c r="F776" s="31"/>
      <c r="G776" s="516"/>
      <c r="H776" s="516"/>
      <c r="I776" s="516"/>
      <c r="J776" s="516"/>
      <c r="K776" s="517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</row>
    <row r="777">
      <c r="A777" s="31"/>
      <c r="B777" s="516"/>
      <c r="C777" s="517"/>
      <c r="D777" s="31"/>
      <c r="E777" s="517"/>
      <c r="F777" s="31"/>
      <c r="G777" s="516"/>
      <c r="H777" s="516"/>
      <c r="I777" s="516"/>
      <c r="J777" s="516"/>
      <c r="K777" s="517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</row>
    <row r="778">
      <c r="A778" s="31"/>
      <c r="B778" s="516"/>
      <c r="C778" s="517"/>
      <c r="D778" s="31"/>
      <c r="E778" s="517"/>
      <c r="F778" s="31"/>
      <c r="G778" s="516"/>
      <c r="H778" s="516"/>
      <c r="I778" s="516"/>
      <c r="J778" s="516"/>
      <c r="K778" s="517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</row>
    <row r="779">
      <c r="A779" s="31"/>
      <c r="B779" s="516"/>
      <c r="C779" s="517"/>
      <c r="D779" s="31"/>
      <c r="E779" s="517"/>
      <c r="F779" s="31"/>
      <c r="G779" s="516"/>
      <c r="H779" s="516"/>
      <c r="I779" s="516"/>
      <c r="J779" s="516"/>
      <c r="K779" s="517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</row>
    <row r="780">
      <c r="A780" s="31"/>
      <c r="B780" s="516"/>
      <c r="C780" s="517"/>
      <c r="D780" s="31"/>
      <c r="E780" s="517"/>
      <c r="F780" s="31"/>
      <c r="G780" s="516"/>
      <c r="H780" s="516"/>
      <c r="I780" s="516"/>
      <c r="J780" s="516"/>
      <c r="K780" s="517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</row>
    <row r="781">
      <c r="A781" s="31"/>
      <c r="B781" s="516"/>
      <c r="C781" s="517"/>
      <c r="D781" s="31"/>
      <c r="E781" s="517"/>
      <c r="F781" s="31"/>
      <c r="G781" s="516"/>
      <c r="H781" s="516"/>
      <c r="I781" s="516"/>
      <c r="J781" s="516"/>
      <c r="K781" s="517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</row>
    <row r="782">
      <c r="A782" s="31"/>
      <c r="B782" s="516"/>
      <c r="C782" s="517"/>
      <c r="D782" s="31"/>
      <c r="E782" s="517"/>
      <c r="F782" s="31"/>
      <c r="G782" s="516"/>
      <c r="H782" s="516"/>
      <c r="I782" s="516"/>
      <c r="J782" s="516"/>
      <c r="K782" s="517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</row>
    <row r="783">
      <c r="A783" s="31"/>
      <c r="B783" s="516"/>
      <c r="C783" s="517"/>
      <c r="D783" s="31"/>
      <c r="E783" s="517"/>
      <c r="F783" s="31"/>
      <c r="G783" s="516"/>
      <c r="H783" s="516"/>
      <c r="I783" s="516"/>
      <c r="J783" s="516"/>
      <c r="K783" s="517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</row>
    <row r="784">
      <c r="A784" s="31"/>
      <c r="B784" s="516"/>
      <c r="C784" s="517"/>
      <c r="D784" s="31"/>
      <c r="E784" s="517"/>
      <c r="F784" s="31"/>
      <c r="G784" s="516"/>
      <c r="H784" s="516"/>
      <c r="I784" s="516"/>
      <c r="J784" s="516"/>
      <c r="K784" s="517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</row>
    <row r="785">
      <c r="A785" s="31"/>
      <c r="B785" s="516"/>
      <c r="C785" s="517"/>
      <c r="D785" s="31"/>
      <c r="E785" s="517"/>
      <c r="F785" s="31"/>
      <c r="G785" s="516"/>
      <c r="H785" s="516"/>
      <c r="I785" s="516"/>
      <c r="J785" s="516"/>
      <c r="K785" s="517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</row>
    <row r="786">
      <c r="A786" s="31"/>
      <c r="B786" s="516"/>
      <c r="C786" s="517"/>
      <c r="D786" s="31"/>
      <c r="E786" s="517"/>
      <c r="F786" s="31"/>
      <c r="G786" s="516"/>
      <c r="H786" s="516"/>
      <c r="I786" s="516"/>
      <c r="J786" s="516"/>
      <c r="K786" s="517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</row>
    <row r="787">
      <c r="A787" s="31"/>
      <c r="B787" s="516"/>
      <c r="C787" s="517"/>
      <c r="D787" s="31"/>
      <c r="E787" s="517"/>
      <c r="F787" s="31"/>
      <c r="G787" s="516"/>
      <c r="H787" s="516"/>
      <c r="I787" s="516"/>
      <c r="J787" s="516"/>
      <c r="K787" s="517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</row>
    <row r="788">
      <c r="A788" s="31"/>
      <c r="B788" s="516"/>
      <c r="C788" s="517"/>
      <c r="D788" s="31"/>
      <c r="E788" s="517"/>
      <c r="F788" s="31"/>
      <c r="G788" s="516"/>
      <c r="H788" s="516"/>
      <c r="I788" s="516"/>
      <c r="J788" s="516"/>
      <c r="K788" s="517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</row>
    <row r="789">
      <c r="A789" s="31"/>
      <c r="B789" s="516"/>
      <c r="C789" s="517"/>
      <c r="D789" s="31"/>
      <c r="E789" s="517"/>
      <c r="F789" s="31"/>
      <c r="G789" s="516"/>
      <c r="H789" s="516"/>
      <c r="I789" s="516"/>
      <c r="J789" s="516"/>
      <c r="K789" s="517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</row>
    <row r="790">
      <c r="A790" s="31"/>
      <c r="B790" s="516"/>
      <c r="C790" s="517"/>
      <c r="D790" s="31"/>
      <c r="E790" s="517"/>
      <c r="F790" s="31"/>
      <c r="G790" s="516"/>
      <c r="H790" s="516"/>
      <c r="I790" s="516"/>
      <c r="J790" s="516"/>
      <c r="K790" s="517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</row>
    <row r="791">
      <c r="A791" s="31"/>
      <c r="B791" s="516"/>
      <c r="C791" s="517"/>
      <c r="D791" s="31"/>
      <c r="E791" s="517"/>
      <c r="F791" s="31"/>
      <c r="G791" s="516"/>
      <c r="H791" s="516"/>
      <c r="I791" s="516"/>
      <c r="J791" s="516"/>
      <c r="K791" s="517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</row>
    <row r="792">
      <c r="A792" s="31"/>
      <c r="B792" s="516"/>
      <c r="C792" s="517"/>
      <c r="D792" s="31"/>
      <c r="E792" s="517"/>
      <c r="F792" s="31"/>
      <c r="G792" s="516"/>
      <c r="H792" s="516"/>
      <c r="I792" s="516"/>
      <c r="J792" s="516"/>
      <c r="K792" s="517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</row>
    <row r="793">
      <c r="A793" s="31"/>
      <c r="B793" s="516"/>
      <c r="C793" s="517"/>
      <c r="D793" s="31"/>
      <c r="E793" s="517"/>
      <c r="F793" s="31"/>
      <c r="G793" s="516"/>
      <c r="H793" s="516"/>
      <c r="I793" s="516"/>
      <c r="J793" s="516"/>
      <c r="K793" s="517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</row>
    <row r="794">
      <c r="A794" s="31"/>
      <c r="B794" s="516"/>
      <c r="C794" s="517"/>
      <c r="D794" s="31"/>
      <c r="E794" s="517"/>
      <c r="F794" s="31"/>
      <c r="G794" s="516"/>
      <c r="H794" s="516"/>
      <c r="I794" s="516"/>
      <c r="J794" s="516"/>
      <c r="K794" s="517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</row>
    <row r="795">
      <c r="A795" s="31"/>
      <c r="B795" s="516"/>
      <c r="C795" s="517"/>
      <c r="D795" s="31"/>
      <c r="E795" s="517"/>
      <c r="F795" s="31"/>
      <c r="G795" s="516"/>
      <c r="H795" s="516"/>
      <c r="I795" s="516"/>
      <c r="J795" s="516"/>
      <c r="K795" s="517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</row>
    <row r="796">
      <c r="A796" s="31"/>
      <c r="B796" s="516"/>
      <c r="C796" s="517"/>
      <c r="D796" s="31"/>
      <c r="E796" s="517"/>
      <c r="F796" s="31"/>
      <c r="G796" s="516"/>
      <c r="H796" s="516"/>
      <c r="I796" s="516"/>
      <c r="J796" s="516"/>
      <c r="K796" s="517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</row>
    <row r="797">
      <c r="A797" s="31"/>
      <c r="B797" s="516"/>
      <c r="C797" s="517"/>
      <c r="D797" s="31"/>
      <c r="E797" s="517"/>
      <c r="F797" s="31"/>
      <c r="G797" s="516"/>
      <c r="H797" s="516"/>
      <c r="I797" s="516"/>
      <c r="J797" s="516"/>
      <c r="K797" s="517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</row>
    <row r="798">
      <c r="A798" s="31"/>
      <c r="B798" s="516"/>
      <c r="C798" s="517"/>
      <c r="D798" s="31"/>
      <c r="E798" s="517"/>
      <c r="F798" s="31"/>
      <c r="G798" s="516"/>
      <c r="H798" s="516"/>
      <c r="I798" s="516"/>
      <c r="J798" s="516"/>
      <c r="K798" s="517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</row>
    <row r="799">
      <c r="A799" s="31"/>
      <c r="B799" s="516"/>
      <c r="C799" s="517"/>
      <c r="D799" s="31"/>
      <c r="E799" s="517"/>
      <c r="F799" s="31"/>
      <c r="G799" s="516"/>
      <c r="H799" s="516"/>
      <c r="I799" s="516"/>
      <c r="J799" s="516"/>
      <c r="K799" s="517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</row>
    <row r="800">
      <c r="A800" s="31"/>
      <c r="B800" s="516"/>
      <c r="C800" s="517"/>
      <c r="D800" s="31"/>
      <c r="E800" s="517"/>
      <c r="F800" s="31"/>
      <c r="G800" s="516"/>
      <c r="H800" s="516"/>
      <c r="I800" s="516"/>
      <c r="J800" s="516"/>
      <c r="K800" s="517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</row>
    <row r="801">
      <c r="A801" s="31"/>
      <c r="B801" s="516"/>
      <c r="C801" s="517"/>
      <c r="D801" s="31"/>
      <c r="E801" s="517"/>
      <c r="F801" s="31"/>
      <c r="G801" s="516"/>
      <c r="H801" s="516"/>
      <c r="I801" s="516"/>
      <c r="J801" s="516"/>
      <c r="K801" s="517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</row>
    <row r="802">
      <c r="A802" s="31"/>
      <c r="B802" s="516"/>
      <c r="C802" s="517"/>
      <c r="D802" s="31"/>
      <c r="E802" s="517"/>
      <c r="F802" s="31"/>
      <c r="G802" s="516"/>
      <c r="H802" s="516"/>
      <c r="I802" s="516"/>
      <c r="J802" s="516"/>
      <c r="K802" s="517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</row>
    <row r="803">
      <c r="A803" s="31"/>
      <c r="B803" s="516"/>
      <c r="C803" s="517"/>
      <c r="D803" s="31"/>
      <c r="E803" s="517"/>
      <c r="F803" s="31"/>
      <c r="G803" s="516"/>
      <c r="H803" s="516"/>
      <c r="I803" s="516"/>
      <c r="J803" s="516"/>
      <c r="K803" s="517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</row>
    <row r="804">
      <c r="A804" s="31"/>
      <c r="B804" s="516"/>
      <c r="C804" s="517"/>
      <c r="D804" s="31"/>
      <c r="E804" s="517"/>
      <c r="F804" s="31"/>
      <c r="G804" s="516"/>
      <c r="H804" s="516"/>
      <c r="I804" s="516"/>
      <c r="J804" s="516"/>
      <c r="K804" s="517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</row>
    <row r="805">
      <c r="A805" s="31"/>
      <c r="B805" s="516"/>
      <c r="C805" s="517"/>
      <c r="D805" s="31"/>
      <c r="E805" s="517"/>
      <c r="F805" s="31"/>
      <c r="G805" s="516"/>
      <c r="H805" s="516"/>
      <c r="I805" s="516"/>
      <c r="J805" s="516"/>
      <c r="K805" s="517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</row>
    <row r="806">
      <c r="A806" s="31"/>
      <c r="B806" s="516"/>
      <c r="C806" s="517"/>
      <c r="D806" s="31"/>
      <c r="E806" s="517"/>
      <c r="F806" s="31"/>
      <c r="G806" s="516"/>
      <c r="H806" s="516"/>
      <c r="I806" s="516"/>
      <c r="J806" s="516"/>
      <c r="K806" s="517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</row>
    <row r="807">
      <c r="A807" s="31"/>
      <c r="B807" s="516"/>
      <c r="C807" s="517"/>
      <c r="D807" s="31"/>
      <c r="E807" s="517"/>
      <c r="F807" s="31"/>
      <c r="G807" s="516"/>
      <c r="H807" s="516"/>
      <c r="I807" s="516"/>
      <c r="J807" s="516"/>
      <c r="K807" s="517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</row>
    <row r="808">
      <c r="A808" s="31"/>
      <c r="B808" s="516"/>
      <c r="C808" s="517"/>
      <c r="D808" s="31"/>
      <c r="E808" s="517"/>
      <c r="F808" s="31"/>
      <c r="G808" s="516"/>
      <c r="H808" s="516"/>
      <c r="I808" s="516"/>
      <c r="J808" s="516"/>
      <c r="K808" s="517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</row>
    <row r="809">
      <c r="A809" s="31"/>
      <c r="B809" s="516"/>
      <c r="C809" s="517"/>
      <c r="D809" s="31"/>
      <c r="E809" s="517"/>
      <c r="F809" s="31"/>
      <c r="G809" s="516"/>
      <c r="H809" s="516"/>
      <c r="I809" s="516"/>
      <c r="J809" s="516"/>
      <c r="K809" s="517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</row>
    <row r="810">
      <c r="A810" s="31"/>
      <c r="B810" s="516"/>
      <c r="C810" s="517"/>
      <c r="D810" s="31"/>
      <c r="E810" s="517"/>
      <c r="F810" s="31"/>
      <c r="G810" s="516"/>
      <c r="H810" s="516"/>
      <c r="I810" s="516"/>
      <c r="J810" s="516"/>
      <c r="K810" s="517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</row>
    <row r="811">
      <c r="A811" s="31"/>
      <c r="B811" s="516"/>
      <c r="C811" s="517"/>
      <c r="D811" s="31"/>
      <c r="E811" s="517"/>
      <c r="F811" s="31"/>
      <c r="G811" s="516"/>
      <c r="H811" s="516"/>
      <c r="I811" s="516"/>
      <c r="J811" s="516"/>
      <c r="K811" s="517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</row>
    <row r="812">
      <c r="A812" s="31"/>
      <c r="B812" s="516"/>
      <c r="C812" s="517"/>
      <c r="D812" s="31"/>
      <c r="E812" s="517"/>
      <c r="F812" s="31"/>
      <c r="G812" s="516"/>
      <c r="H812" s="516"/>
      <c r="I812" s="516"/>
      <c r="J812" s="516"/>
      <c r="K812" s="517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</row>
    <row r="813">
      <c r="A813" s="31"/>
      <c r="B813" s="516"/>
      <c r="C813" s="517"/>
      <c r="D813" s="31"/>
      <c r="E813" s="517"/>
      <c r="F813" s="31"/>
      <c r="G813" s="516"/>
      <c r="H813" s="516"/>
      <c r="I813" s="516"/>
      <c r="J813" s="516"/>
      <c r="K813" s="517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</row>
    <row r="814">
      <c r="A814" s="31"/>
      <c r="B814" s="516"/>
      <c r="C814" s="517"/>
      <c r="D814" s="31"/>
      <c r="E814" s="517"/>
      <c r="F814" s="31"/>
      <c r="G814" s="516"/>
      <c r="H814" s="516"/>
      <c r="I814" s="516"/>
      <c r="J814" s="516"/>
      <c r="K814" s="517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</row>
    <row r="815">
      <c r="A815" s="31"/>
      <c r="B815" s="516"/>
      <c r="C815" s="517"/>
      <c r="D815" s="31"/>
      <c r="E815" s="517"/>
      <c r="F815" s="31"/>
      <c r="G815" s="516"/>
      <c r="H815" s="516"/>
      <c r="I815" s="516"/>
      <c r="J815" s="516"/>
      <c r="K815" s="517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</row>
    <row r="816">
      <c r="A816" s="31"/>
      <c r="B816" s="516"/>
      <c r="C816" s="517"/>
      <c r="D816" s="31"/>
      <c r="E816" s="517"/>
      <c r="F816" s="31"/>
      <c r="G816" s="516"/>
      <c r="H816" s="516"/>
      <c r="I816" s="516"/>
      <c r="J816" s="516"/>
      <c r="K816" s="517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</row>
    <row r="817">
      <c r="A817" s="31"/>
      <c r="B817" s="516"/>
      <c r="C817" s="517"/>
      <c r="D817" s="31"/>
      <c r="E817" s="517"/>
      <c r="F817" s="31"/>
      <c r="G817" s="516"/>
      <c r="H817" s="516"/>
      <c r="I817" s="516"/>
      <c r="J817" s="516"/>
      <c r="K817" s="517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</row>
    <row r="818">
      <c r="A818" s="31"/>
      <c r="B818" s="516"/>
      <c r="C818" s="517"/>
      <c r="D818" s="31"/>
      <c r="E818" s="517"/>
      <c r="F818" s="31"/>
      <c r="G818" s="516"/>
      <c r="H818" s="516"/>
      <c r="I818" s="516"/>
      <c r="J818" s="516"/>
      <c r="K818" s="517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</row>
    <row r="819">
      <c r="A819" s="31"/>
      <c r="B819" s="516"/>
      <c r="C819" s="517"/>
      <c r="D819" s="31"/>
      <c r="E819" s="517"/>
      <c r="F819" s="31"/>
      <c r="G819" s="516"/>
      <c r="H819" s="516"/>
      <c r="I819" s="516"/>
      <c r="J819" s="516"/>
      <c r="K819" s="517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</row>
    <row r="820">
      <c r="A820" s="31"/>
      <c r="B820" s="516"/>
      <c r="C820" s="517"/>
      <c r="D820" s="31"/>
      <c r="E820" s="517"/>
      <c r="F820" s="31"/>
      <c r="G820" s="516"/>
      <c r="H820" s="516"/>
      <c r="I820" s="516"/>
      <c r="J820" s="516"/>
      <c r="K820" s="517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</row>
    <row r="821">
      <c r="A821" s="31"/>
      <c r="B821" s="516"/>
      <c r="C821" s="517"/>
      <c r="D821" s="31"/>
      <c r="E821" s="517"/>
      <c r="F821" s="31"/>
      <c r="G821" s="516"/>
      <c r="H821" s="516"/>
      <c r="I821" s="516"/>
      <c r="J821" s="516"/>
      <c r="K821" s="517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</row>
    <row r="822">
      <c r="A822" s="31"/>
      <c r="B822" s="516"/>
      <c r="C822" s="517"/>
      <c r="D822" s="31"/>
      <c r="E822" s="517"/>
      <c r="F822" s="31"/>
      <c r="G822" s="516"/>
      <c r="H822" s="516"/>
      <c r="I822" s="516"/>
      <c r="J822" s="516"/>
      <c r="K822" s="517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</row>
    <row r="823">
      <c r="A823" s="31"/>
      <c r="B823" s="516"/>
      <c r="C823" s="517"/>
      <c r="D823" s="31"/>
      <c r="E823" s="517"/>
      <c r="F823" s="31"/>
      <c r="G823" s="516"/>
      <c r="H823" s="516"/>
      <c r="I823" s="516"/>
      <c r="J823" s="516"/>
      <c r="K823" s="517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</row>
    <row r="824">
      <c r="A824" s="31"/>
      <c r="B824" s="516"/>
      <c r="C824" s="517"/>
      <c r="D824" s="31"/>
      <c r="E824" s="517"/>
      <c r="F824" s="31"/>
      <c r="G824" s="516"/>
      <c r="H824" s="516"/>
      <c r="I824" s="516"/>
      <c r="J824" s="516"/>
      <c r="K824" s="517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</row>
    <row r="825">
      <c r="A825" s="31"/>
      <c r="B825" s="516"/>
      <c r="C825" s="517"/>
      <c r="D825" s="31"/>
      <c r="E825" s="517"/>
      <c r="F825" s="31"/>
      <c r="G825" s="516"/>
      <c r="H825" s="516"/>
      <c r="I825" s="516"/>
      <c r="J825" s="516"/>
      <c r="K825" s="517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</row>
    <row r="826">
      <c r="A826" s="31"/>
      <c r="B826" s="516"/>
      <c r="C826" s="517"/>
      <c r="D826" s="31"/>
      <c r="E826" s="517"/>
      <c r="F826" s="31"/>
      <c r="G826" s="516"/>
      <c r="H826" s="516"/>
      <c r="I826" s="516"/>
      <c r="J826" s="516"/>
      <c r="K826" s="517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</row>
    <row r="827">
      <c r="A827" s="31"/>
      <c r="B827" s="516"/>
      <c r="C827" s="517"/>
      <c r="D827" s="31"/>
      <c r="E827" s="517"/>
      <c r="F827" s="31"/>
      <c r="G827" s="516"/>
      <c r="H827" s="516"/>
      <c r="I827" s="516"/>
      <c r="J827" s="516"/>
      <c r="K827" s="517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</row>
    <row r="828">
      <c r="A828" s="31"/>
      <c r="B828" s="516"/>
      <c r="C828" s="517"/>
      <c r="D828" s="31"/>
      <c r="E828" s="517"/>
      <c r="F828" s="31"/>
      <c r="G828" s="516"/>
      <c r="H828" s="516"/>
      <c r="I828" s="516"/>
      <c r="J828" s="516"/>
      <c r="K828" s="517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</row>
    <row r="829">
      <c r="A829" s="31"/>
      <c r="B829" s="516"/>
      <c r="C829" s="517"/>
      <c r="D829" s="31"/>
      <c r="E829" s="517"/>
      <c r="F829" s="31"/>
      <c r="G829" s="516"/>
      <c r="H829" s="516"/>
      <c r="I829" s="516"/>
      <c r="J829" s="516"/>
      <c r="K829" s="517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</row>
    <row r="830">
      <c r="A830" s="31"/>
      <c r="B830" s="516"/>
      <c r="C830" s="517"/>
      <c r="D830" s="31"/>
      <c r="E830" s="517"/>
      <c r="F830" s="31"/>
      <c r="G830" s="516"/>
      <c r="H830" s="516"/>
      <c r="I830" s="516"/>
      <c r="J830" s="516"/>
      <c r="K830" s="517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</row>
    <row r="831">
      <c r="A831" s="31"/>
      <c r="B831" s="516"/>
      <c r="C831" s="517"/>
      <c r="D831" s="31"/>
      <c r="E831" s="517"/>
      <c r="F831" s="31"/>
      <c r="G831" s="516"/>
      <c r="H831" s="516"/>
      <c r="I831" s="516"/>
      <c r="J831" s="516"/>
      <c r="K831" s="517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</row>
    <row r="832">
      <c r="A832" s="31"/>
      <c r="B832" s="516"/>
      <c r="C832" s="517"/>
      <c r="D832" s="31"/>
      <c r="E832" s="517"/>
      <c r="F832" s="31"/>
      <c r="G832" s="516"/>
      <c r="H832" s="516"/>
      <c r="I832" s="516"/>
      <c r="J832" s="516"/>
      <c r="K832" s="517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</row>
    <row r="833">
      <c r="A833" s="31"/>
      <c r="B833" s="516"/>
      <c r="C833" s="517"/>
      <c r="D833" s="31"/>
      <c r="E833" s="517"/>
      <c r="F833" s="31"/>
      <c r="G833" s="516"/>
      <c r="H833" s="516"/>
      <c r="I833" s="516"/>
      <c r="J833" s="516"/>
      <c r="K833" s="517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</row>
    <row r="834">
      <c r="A834" s="31"/>
      <c r="B834" s="516"/>
      <c r="C834" s="517"/>
      <c r="D834" s="31"/>
      <c r="E834" s="517"/>
      <c r="F834" s="31"/>
      <c r="G834" s="516"/>
      <c r="H834" s="516"/>
      <c r="I834" s="516"/>
      <c r="J834" s="516"/>
      <c r="K834" s="517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</row>
    <row r="835">
      <c r="A835" s="31"/>
      <c r="B835" s="516"/>
      <c r="C835" s="517"/>
      <c r="D835" s="31"/>
      <c r="E835" s="517"/>
      <c r="F835" s="31"/>
      <c r="G835" s="516"/>
      <c r="H835" s="516"/>
      <c r="I835" s="516"/>
      <c r="J835" s="516"/>
      <c r="K835" s="517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</row>
    <row r="836">
      <c r="A836" s="31"/>
      <c r="B836" s="516"/>
      <c r="C836" s="517"/>
      <c r="D836" s="31"/>
      <c r="E836" s="517"/>
      <c r="F836" s="31"/>
      <c r="G836" s="516"/>
      <c r="H836" s="516"/>
      <c r="I836" s="516"/>
      <c r="J836" s="516"/>
      <c r="K836" s="517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</row>
    <row r="837">
      <c r="A837" s="31"/>
      <c r="B837" s="516"/>
      <c r="C837" s="517"/>
      <c r="D837" s="31"/>
      <c r="E837" s="517"/>
      <c r="F837" s="31"/>
      <c r="G837" s="516"/>
      <c r="H837" s="516"/>
      <c r="I837" s="516"/>
      <c r="J837" s="516"/>
      <c r="K837" s="517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</row>
    <row r="838">
      <c r="A838" s="31"/>
      <c r="B838" s="516"/>
      <c r="C838" s="517"/>
      <c r="D838" s="31"/>
      <c r="E838" s="517"/>
      <c r="F838" s="31"/>
      <c r="G838" s="516"/>
      <c r="H838" s="516"/>
      <c r="I838" s="516"/>
      <c r="J838" s="516"/>
      <c r="K838" s="517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</row>
    <row r="839">
      <c r="A839" s="31"/>
      <c r="B839" s="516"/>
      <c r="C839" s="517"/>
      <c r="D839" s="31"/>
      <c r="E839" s="517"/>
      <c r="F839" s="31"/>
      <c r="G839" s="516"/>
      <c r="H839" s="516"/>
      <c r="I839" s="516"/>
      <c r="J839" s="516"/>
      <c r="K839" s="517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</row>
    <row r="840">
      <c r="A840" s="31"/>
      <c r="B840" s="516"/>
      <c r="C840" s="517"/>
      <c r="D840" s="31"/>
      <c r="E840" s="517"/>
      <c r="F840" s="31"/>
      <c r="G840" s="516"/>
      <c r="H840" s="516"/>
      <c r="I840" s="516"/>
      <c r="J840" s="516"/>
      <c r="K840" s="517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</row>
    <row r="841">
      <c r="A841" s="31"/>
      <c r="B841" s="516"/>
      <c r="C841" s="517"/>
      <c r="D841" s="31"/>
      <c r="E841" s="517"/>
      <c r="F841" s="31"/>
      <c r="G841" s="516"/>
      <c r="H841" s="516"/>
      <c r="I841" s="516"/>
      <c r="J841" s="516"/>
      <c r="K841" s="517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</row>
    <row r="842">
      <c r="A842" s="31"/>
      <c r="B842" s="516"/>
      <c r="C842" s="517"/>
      <c r="D842" s="31"/>
      <c r="E842" s="517"/>
      <c r="F842" s="31"/>
      <c r="G842" s="516"/>
      <c r="H842" s="516"/>
      <c r="I842" s="516"/>
      <c r="J842" s="516"/>
      <c r="K842" s="517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</row>
    <row r="843">
      <c r="A843" s="31"/>
      <c r="B843" s="516"/>
      <c r="C843" s="517"/>
      <c r="D843" s="31"/>
      <c r="E843" s="517"/>
      <c r="F843" s="31"/>
      <c r="G843" s="516"/>
      <c r="H843" s="516"/>
      <c r="I843" s="516"/>
      <c r="J843" s="516"/>
      <c r="K843" s="517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</row>
    <row r="844">
      <c r="A844" s="31"/>
      <c r="B844" s="516"/>
      <c r="C844" s="517"/>
      <c r="D844" s="31"/>
      <c r="E844" s="517"/>
      <c r="F844" s="31"/>
      <c r="G844" s="516"/>
      <c r="H844" s="516"/>
      <c r="I844" s="516"/>
      <c r="J844" s="516"/>
      <c r="K844" s="517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</row>
    <row r="845">
      <c r="A845" s="31"/>
      <c r="B845" s="516"/>
      <c r="C845" s="517"/>
      <c r="D845" s="31"/>
      <c r="E845" s="517"/>
      <c r="F845" s="31"/>
      <c r="G845" s="516"/>
      <c r="H845" s="516"/>
      <c r="I845" s="516"/>
      <c r="J845" s="516"/>
      <c r="K845" s="517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</row>
    <row r="846">
      <c r="A846" s="31"/>
      <c r="B846" s="516"/>
      <c r="C846" s="517"/>
      <c r="D846" s="31"/>
      <c r="E846" s="517"/>
      <c r="F846" s="31"/>
      <c r="G846" s="516"/>
      <c r="H846" s="516"/>
      <c r="I846" s="516"/>
      <c r="J846" s="516"/>
      <c r="K846" s="517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</row>
    <row r="847">
      <c r="A847" s="31"/>
      <c r="B847" s="516"/>
      <c r="C847" s="517"/>
      <c r="D847" s="31"/>
      <c r="E847" s="517"/>
      <c r="F847" s="31"/>
      <c r="G847" s="516"/>
      <c r="H847" s="516"/>
      <c r="I847" s="516"/>
      <c r="J847" s="516"/>
      <c r="K847" s="517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</row>
    <row r="848">
      <c r="A848" s="31"/>
      <c r="B848" s="516"/>
      <c r="C848" s="517"/>
      <c r="D848" s="31"/>
      <c r="E848" s="517"/>
      <c r="F848" s="31"/>
      <c r="G848" s="516"/>
      <c r="H848" s="516"/>
      <c r="I848" s="516"/>
      <c r="J848" s="516"/>
      <c r="K848" s="517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</row>
    <row r="849">
      <c r="A849" s="31"/>
      <c r="B849" s="516"/>
      <c r="C849" s="517"/>
      <c r="D849" s="31"/>
      <c r="E849" s="517"/>
      <c r="F849" s="31"/>
      <c r="G849" s="516"/>
      <c r="H849" s="516"/>
      <c r="I849" s="516"/>
      <c r="J849" s="516"/>
      <c r="K849" s="517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</row>
    <row r="850">
      <c r="A850" s="31"/>
      <c r="B850" s="516"/>
      <c r="C850" s="517"/>
      <c r="D850" s="31"/>
      <c r="E850" s="517"/>
      <c r="F850" s="31"/>
      <c r="G850" s="516"/>
      <c r="H850" s="516"/>
      <c r="I850" s="516"/>
      <c r="J850" s="516"/>
      <c r="K850" s="517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</row>
    <row r="851">
      <c r="A851" s="31"/>
      <c r="B851" s="516"/>
      <c r="C851" s="517"/>
      <c r="D851" s="31"/>
      <c r="E851" s="517"/>
      <c r="F851" s="31"/>
      <c r="G851" s="516"/>
      <c r="H851" s="516"/>
      <c r="I851" s="516"/>
      <c r="J851" s="516"/>
      <c r="K851" s="517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</row>
    <row r="852">
      <c r="A852" s="31"/>
      <c r="B852" s="516"/>
      <c r="C852" s="517"/>
      <c r="D852" s="31"/>
      <c r="E852" s="517"/>
      <c r="F852" s="31"/>
      <c r="G852" s="516"/>
      <c r="H852" s="516"/>
      <c r="I852" s="516"/>
      <c r="J852" s="516"/>
      <c r="K852" s="517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</row>
    <row r="853">
      <c r="A853" s="31"/>
      <c r="B853" s="516"/>
      <c r="C853" s="517"/>
      <c r="D853" s="31"/>
      <c r="E853" s="517"/>
      <c r="F853" s="31"/>
      <c r="G853" s="516"/>
      <c r="H853" s="516"/>
      <c r="I853" s="516"/>
      <c r="J853" s="516"/>
      <c r="K853" s="517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</row>
    <row r="854">
      <c r="A854" s="31"/>
      <c r="B854" s="516"/>
      <c r="C854" s="517"/>
      <c r="D854" s="31"/>
      <c r="E854" s="517"/>
      <c r="F854" s="31"/>
      <c r="G854" s="516"/>
      <c r="H854" s="516"/>
      <c r="I854" s="516"/>
      <c r="J854" s="516"/>
      <c r="K854" s="517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</row>
    <row r="855">
      <c r="A855" s="31"/>
      <c r="B855" s="516"/>
      <c r="C855" s="517"/>
      <c r="D855" s="31"/>
      <c r="E855" s="517"/>
      <c r="F855" s="31"/>
      <c r="G855" s="516"/>
      <c r="H855" s="516"/>
      <c r="I855" s="516"/>
      <c r="J855" s="516"/>
      <c r="K855" s="517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</row>
    <row r="856">
      <c r="A856" s="31"/>
      <c r="B856" s="516"/>
      <c r="C856" s="517"/>
      <c r="D856" s="31"/>
      <c r="E856" s="517"/>
      <c r="F856" s="31"/>
      <c r="G856" s="516"/>
      <c r="H856" s="516"/>
      <c r="I856" s="516"/>
      <c r="J856" s="516"/>
      <c r="K856" s="517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</row>
    <row r="857">
      <c r="A857" s="31"/>
      <c r="B857" s="516"/>
      <c r="C857" s="517"/>
      <c r="D857" s="31"/>
      <c r="E857" s="517"/>
      <c r="F857" s="31"/>
      <c r="G857" s="516"/>
      <c r="H857" s="516"/>
      <c r="I857" s="516"/>
      <c r="J857" s="516"/>
      <c r="K857" s="517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</row>
    <row r="858">
      <c r="A858" s="31"/>
      <c r="B858" s="516"/>
      <c r="C858" s="517"/>
      <c r="D858" s="31"/>
      <c r="E858" s="517"/>
      <c r="F858" s="31"/>
      <c r="G858" s="516"/>
      <c r="H858" s="516"/>
      <c r="I858" s="516"/>
      <c r="J858" s="516"/>
      <c r="K858" s="517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</row>
    <row r="859">
      <c r="A859" s="31"/>
      <c r="B859" s="516"/>
      <c r="C859" s="517"/>
      <c r="D859" s="31"/>
      <c r="E859" s="517"/>
      <c r="F859" s="31"/>
      <c r="G859" s="516"/>
      <c r="H859" s="516"/>
      <c r="I859" s="516"/>
      <c r="J859" s="516"/>
      <c r="K859" s="517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</row>
    <row r="860">
      <c r="A860" s="31"/>
      <c r="B860" s="516"/>
      <c r="C860" s="517"/>
      <c r="D860" s="31"/>
      <c r="E860" s="517"/>
      <c r="F860" s="31"/>
      <c r="G860" s="516"/>
      <c r="H860" s="516"/>
      <c r="I860" s="516"/>
      <c r="J860" s="516"/>
      <c r="K860" s="517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</row>
    <row r="861">
      <c r="A861" s="31"/>
      <c r="B861" s="516"/>
      <c r="C861" s="517"/>
      <c r="D861" s="31"/>
      <c r="E861" s="517"/>
      <c r="F861" s="31"/>
      <c r="G861" s="516"/>
      <c r="H861" s="516"/>
      <c r="I861" s="516"/>
      <c r="J861" s="516"/>
      <c r="K861" s="517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</row>
    <row r="862">
      <c r="A862" s="31"/>
      <c r="B862" s="516"/>
      <c r="C862" s="517"/>
      <c r="D862" s="31"/>
      <c r="E862" s="517"/>
      <c r="F862" s="31"/>
      <c r="G862" s="516"/>
      <c r="H862" s="516"/>
      <c r="I862" s="516"/>
      <c r="J862" s="516"/>
      <c r="K862" s="517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</row>
    <row r="863">
      <c r="A863" s="31"/>
      <c r="B863" s="516"/>
      <c r="C863" s="517"/>
      <c r="D863" s="31"/>
      <c r="E863" s="517"/>
      <c r="F863" s="31"/>
      <c r="G863" s="516"/>
      <c r="H863" s="516"/>
      <c r="I863" s="516"/>
      <c r="J863" s="516"/>
      <c r="K863" s="517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</row>
    <row r="864">
      <c r="A864" s="31"/>
      <c r="B864" s="516"/>
      <c r="C864" s="517"/>
      <c r="D864" s="31"/>
      <c r="E864" s="517"/>
      <c r="F864" s="31"/>
      <c r="G864" s="516"/>
      <c r="H864" s="516"/>
      <c r="I864" s="516"/>
      <c r="J864" s="516"/>
      <c r="K864" s="517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</row>
    <row r="865">
      <c r="A865" s="31"/>
      <c r="B865" s="516"/>
      <c r="C865" s="517"/>
      <c r="D865" s="31"/>
      <c r="E865" s="517"/>
      <c r="F865" s="31"/>
      <c r="G865" s="516"/>
      <c r="H865" s="516"/>
      <c r="I865" s="516"/>
      <c r="J865" s="516"/>
      <c r="K865" s="517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</row>
    <row r="866">
      <c r="A866" s="31"/>
      <c r="B866" s="516"/>
      <c r="C866" s="517"/>
      <c r="D866" s="31"/>
      <c r="E866" s="517"/>
      <c r="F866" s="31"/>
      <c r="G866" s="516"/>
      <c r="H866" s="516"/>
      <c r="I866" s="516"/>
      <c r="J866" s="516"/>
      <c r="K866" s="517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</row>
    <row r="867">
      <c r="A867" s="31"/>
      <c r="B867" s="516"/>
      <c r="C867" s="517"/>
      <c r="D867" s="31"/>
      <c r="E867" s="517"/>
      <c r="F867" s="31"/>
      <c r="G867" s="516"/>
      <c r="H867" s="516"/>
      <c r="I867" s="516"/>
      <c r="J867" s="516"/>
      <c r="K867" s="517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</row>
    <row r="868">
      <c r="A868" s="31"/>
      <c r="B868" s="516"/>
      <c r="C868" s="517"/>
      <c r="D868" s="31"/>
      <c r="E868" s="517"/>
      <c r="F868" s="31"/>
      <c r="G868" s="516"/>
      <c r="H868" s="516"/>
      <c r="I868" s="516"/>
      <c r="J868" s="516"/>
      <c r="K868" s="517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</row>
    <row r="869">
      <c r="A869" s="31"/>
      <c r="B869" s="516"/>
      <c r="C869" s="517"/>
      <c r="D869" s="31"/>
      <c r="E869" s="517"/>
      <c r="F869" s="31"/>
      <c r="G869" s="516"/>
      <c r="H869" s="516"/>
      <c r="I869" s="516"/>
      <c r="J869" s="516"/>
      <c r="K869" s="517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</row>
    <row r="870">
      <c r="A870" s="31"/>
      <c r="B870" s="516"/>
      <c r="C870" s="517"/>
      <c r="D870" s="31"/>
      <c r="E870" s="517"/>
      <c r="F870" s="31"/>
      <c r="G870" s="516"/>
      <c r="H870" s="516"/>
      <c r="I870" s="516"/>
      <c r="J870" s="516"/>
      <c r="K870" s="517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</row>
    <row r="871">
      <c r="A871" s="31"/>
      <c r="B871" s="516"/>
      <c r="C871" s="517"/>
      <c r="D871" s="31"/>
      <c r="E871" s="517"/>
      <c r="F871" s="31"/>
      <c r="G871" s="516"/>
      <c r="H871" s="516"/>
      <c r="I871" s="516"/>
      <c r="J871" s="516"/>
      <c r="K871" s="517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</row>
    <row r="872">
      <c r="A872" s="31"/>
      <c r="B872" s="516"/>
      <c r="C872" s="517"/>
      <c r="D872" s="31"/>
      <c r="E872" s="517"/>
      <c r="F872" s="31"/>
      <c r="G872" s="516"/>
      <c r="H872" s="516"/>
      <c r="I872" s="516"/>
      <c r="J872" s="516"/>
      <c r="K872" s="517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</row>
    <row r="873">
      <c r="A873" s="31"/>
      <c r="B873" s="516"/>
      <c r="C873" s="517"/>
      <c r="D873" s="31"/>
      <c r="E873" s="517"/>
      <c r="F873" s="31"/>
      <c r="G873" s="516"/>
      <c r="H873" s="516"/>
      <c r="I873" s="516"/>
      <c r="J873" s="516"/>
      <c r="K873" s="517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</row>
    <row r="874">
      <c r="A874" s="31"/>
      <c r="B874" s="516"/>
      <c r="C874" s="517"/>
      <c r="D874" s="31"/>
      <c r="E874" s="517"/>
      <c r="F874" s="31"/>
      <c r="G874" s="516"/>
      <c r="H874" s="516"/>
      <c r="I874" s="516"/>
      <c r="J874" s="516"/>
      <c r="K874" s="517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</row>
    <row r="875">
      <c r="A875" s="31"/>
      <c r="B875" s="516"/>
      <c r="C875" s="517"/>
      <c r="D875" s="31"/>
      <c r="E875" s="517"/>
      <c r="F875" s="31"/>
      <c r="G875" s="516"/>
      <c r="H875" s="516"/>
      <c r="I875" s="516"/>
      <c r="J875" s="516"/>
      <c r="K875" s="517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</row>
    <row r="876">
      <c r="A876" s="31"/>
      <c r="B876" s="516"/>
      <c r="C876" s="517"/>
      <c r="D876" s="31"/>
      <c r="E876" s="517"/>
      <c r="F876" s="31"/>
      <c r="G876" s="516"/>
      <c r="H876" s="516"/>
      <c r="I876" s="516"/>
      <c r="J876" s="516"/>
      <c r="K876" s="517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</row>
    <row r="877">
      <c r="A877" s="31"/>
      <c r="B877" s="516"/>
      <c r="C877" s="517"/>
      <c r="D877" s="31"/>
      <c r="E877" s="517"/>
      <c r="F877" s="31"/>
      <c r="G877" s="516"/>
      <c r="H877" s="516"/>
      <c r="I877" s="516"/>
      <c r="J877" s="516"/>
      <c r="K877" s="517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</row>
    <row r="878">
      <c r="A878" s="31"/>
      <c r="B878" s="516"/>
      <c r="C878" s="517"/>
      <c r="D878" s="31"/>
      <c r="E878" s="517"/>
      <c r="F878" s="31"/>
      <c r="G878" s="516"/>
      <c r="H878" s="516"/>
      <c r="I878" s="516"/>
      <c r="J878" s="516"/>
      <c r="K878" s="517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</row>
    <row r="879">
      <c r="A879" s="31"/>
      <c r="B879" s="516"/>
      <c r="C879" s="517"/>
      <c r="D879" s="31"/>
      <c r="E879" s="517"/>
      <c r="F879" s="31"/>
      <c r="G879" s="516"/>
      <c r="H879" s="516"/>
      <c r="I879" s="516"/>
      <c r="J879" s="516"/>
      <c r="K879" s="517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</row>
    <row r="880">
      <c r="A880" s="31"/>
      <c r="B880" s="516"/>
      <c r="C880" s="517"/>
      <c r="D880" s="31"/>
      <c r="E880" s="517"/>
      <c r="F880" s="31"/>
      <c r="G880" s="516"/>
      <c r="H880" s="516"/>
      <c r="I880" s="516"/>
      <c r="J880" s="516"/>
      <c r="K880" s="517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</row>
    <row r="881">
      <c r="A881" s="31"/>
      <c r="B881" s="516"/>
      <c r="C881" s="517"/>
      <c r="D881" s="31"/>
      <c r="E881" s="517"/>
      <c r="F881" s="31"/>
      <c r="G881" s="516"/>
      <c r="H881" s="516"/>
      <c r="I881" s="516"/>
      <c r="J881" s="516"/>
      <c r="K881" s="517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</row>
    <row r="882">
      <c r="A882" s="31"/>
      <c r="B882" s="516"/>
      <c r="C882" s="517"/>
      <c r="D882" s="31"/>
      <c r="E882" s="517"/>
      <c r="F882" s="31"/>
      <c r="G882" s="516"/>
      <c r="H882" s="516"/>
      <c r="I882" s="516"/>
      <c r="J882" s="516"/>
      <c r="K882" s="517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</row>
    <row r="883">
      <c r="A883" s="31"/>
      <c r="B883" s="516"/>
      <c r="C883" s="517"/>
      <c r="D883" s="31"/>
      <c r="E883" s="517"/>
      <c r="F883" s="31"/>
      <c r="G883" s="516"/>
      <c r="H883" s="516"/>
      <c r="I883" s="516"/>
      <c r="J883" s="516"/>
      <c r="K883" s="517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</row>
    <row r="884">
      <c r="A884" s="31"/>
      <c r="B884" s="516"/>
      <c r="C884" s="517"/>
      <c r="D884" s="31"/>
      <c r="E884" s="517"/>
      <c r="F884" s="31"/>
      <c r="G884" s="516"/>
      <c r="H884" s="516"/>
      <c r="I884" s="516"/>
      <c r="J884" s="516"/>
      <c r="K884" s="517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</row>
    <row r="885">
      <c r="A885" s="31"/>
      <c r="B885" s="516"/>
      <c r="C885" s="517"/>
      <c r="D885" s="31"/>
      <c r="E885" s="517"/>
      <c r="F885" s="31"/>
      <c r="G885" s="516"/>
      <c r="H885" s="516"/>
      <c r="I885" s="516"/>
      <c r="J885" s="516"/>
      <c r="K885" s="517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</row>
    <row r="886">
      <c r="A886" s="31"/>
      <c r="B886" s="516"/>
      <c r="C886" s="517"/>
      <c r="D886" s="31"/>
      <c r="E886" s="517"/>
      <c r="F886" s="31"/>
      <c r="G886" s="516"/>
      <c r="H886" s="516"/>
      <c r="I886" s="516"/>
      <c r="J886" s="516"/>
      <c r="K886" s="517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</row>
    <row r="887">
      <c r="A887" s="31"/>
      <c r="B887" s="516"/>
      <c r="C887" s="517"/>
      <c r="D887" s="31"/>
      <c r="E887" s="517"/>
      <c r="F887" s="31"/>
      <c r="G887" s="516"/>
      <c r="H887" s="516"/>
      <c r="I887" s="516"/>
      <c r="J887" s="516"/>
      <c r="K887" s="517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</row>
    <row r="888">
      <c r="A888" s="31"/>
      <c r="B888" s="516"/>
      <c r="C888" s="517"/>
      <c r="D888" s="31"/>
      <c r="E888" s="517"/>
      <c r="F888" s="31"/>
      <c r="G888" s="516"/>
      <c r="H888" s="516"/>
      <c r="I888" s="516"/>
      <c r="J888" s="516"/>
      <c r="K888" s="517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</row>
    <row r="889">
      <c r="A889" s="31"/>
      <c r="B889" s="516"/>
      <c r="C889" s="517"/>
      <c r="D889" s="31"/>
      <c r="E889" s="517"/>
      <c r="F889" s="31"/>
      <c r="G889" s="516"/>
      <c r="H889" s="516"/>
      <c r="I889" s="516"/>
      <c r="J889" s="516"/>
      <c r="K889" s="517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</row>
    <row r="890">
      <c r="A890" s="31"/>
      <c r="B890" s="516"/>
      <c r="C890" s="517"/>
      <c r="D890" s="31"/>
      <c r="E890" s="517"/>
      <c r="F890" s="31"/>
      <c r="G890" s="516"/>
      <c r="H890" s="516"/>
      <c r="I890" s="516"/>
      <c r="J890" s="516"/>
      <c r="K890" s="517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</row>
    <row r="891">
      <c r="A891" s="31"/>
      <c r="B891" s="516"/>
      <c r="C891" s="517"/>
      <c r="D891" s="31"/>
      <c r="E891" s="517"/>
      <c r="F891" s="31"/>
      <c r="G891" s="516"/>
      <c r="H891" s="516"/>
      <c r="I891" s="516"/>
      <c r="J891" s="516"/>
      <c r="K891" s="517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</row>
    <row r="892">
      <c r="A892" s="31"/>
      <c r="B892" s="516"/>
      <c r="C892" s="517"/>
      <c r="D892" s="31"/>
      <c r="E892" s="517"/>
      <c r="F892" s="31"/>
      <c r="G892" s="516"/>
      <c r="H892" s="516"/>
      <c r="I892" s="516"/>
      <c r="J892" s="516"/>
      <c r="K892" s="517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</row>
    <row r="893">
      <c r="A893" s="31"/>
      <c r="B893" s="516"/>
      <c r="C893" s="517"/>
      <c r="D893" s="31"/>
      <c r="E893" s="517"/>
      <c r="F893" s="31"/>
      <c r="G893" s="516"/>
      <c r="H893" s="516"/>
      <c r="I893" s="516"/>
      <c r="J893" s="516"/>
      <c r="K893" s="517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</row>
    <row r="894">
      <c r="A894" s="31"/>
      <c r="B894" s="516"/>
      <c r="C894" s="517"/>
      <c r="D894" s="31"/>
      <c r="E894" s="517"/>
      <c r="F894" s="31"/>
      <c r="G894" s="516"/>
      <c r="H894" s="516"/>
      <c r="I894" s="516"/>
      <c r="J894" s="516"/>
      <c r="K894" s="517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</row>
    <row r="895">
      <c r="A895" s="31"/>
      <c r="B895" s="516"/>
      <c r="C895" s="517"/>
      <c r="D895" s="31"/>
      <c r="E895" s="517"/>
      <c r="F895" s="31"/>
      <c r="G895" s="516"/>
      <c r="H895" s="516"/>
      <c r="I895" s="516"/>
      <c r="J895" s="516"/>
      <c r="K895" s="517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</row>
    <row r="896">
      <c r="A896" s="31"/>
      <c r="B896" s="516"/>
      <c r="C896" s="517"/>
      <c r="D896" s="31"/>
      <c r="E896" s="517"/>
      <c r="F896" s="31"/>
      <c r="G896" s="516"/>
      <c r="H896" s="516"/>
      <c r="I896" s="516"/>
      <c r="J896" s="516"/>
      <c r="K896" s="517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</row>
    <row r="897">
      <c r="A897" s="31"/>
      <c r="B897" s="516"/>
      <c r="C897" s="517"/>
      <c r="D897" s="31"/>
      <c r="E897" s="517"/>
      <c r="F897" s="31"/>
      <c r="G897" s="516"/>
      <c r="H897" s="516"/>
      <c r="I897" s="516"/>
      <c r="J897" s="516"/>
      <c r="K897" s="517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</row>
    <row r="898">
      <c r="A898" s="31"/>
      <c r="B898" s="516"/>
      <c r="C898" s="517"/>
      <c r="D898" s="31"/>
      <c r="E898" s="517"/>
      <c r="F898" s="31"/>
      <c r="G898" s="516"/>
      <c r="H898" s="516"/>
      <c r="I898" s="516"/>
      <c r="J898" s="516"/>
      <c r="K898" s="517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</row>
    <row r="899">
      <c r="A899" s="31"/>
      <c r="B899" s="516"/>
      <c r="C899" s="517"/>
      <c r="D899" s="31"/>
      <c r="E899" s="517"/>
      <c r="F899" s="31"/>
      <c r="G899" s="516"/>
      <c r="H899" s="516"/>
      <c r="I899" s="516"/>
      <c r="J899" s="516"/>
      <c r="K899" s="517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</row>
    <row r="900">
      <c r="A900" s="31"/>
      <c r="B900" s="516"/>
      <c r="C900" s="517"/>
      <c r="D900" s="31"/>
      <c r="E900" s="517"/>
      <c r="F900" s="31"/>
      <c r="G900" s="516"/>
      <c r="H900" s="516"/>
      <c r="I900" s="516"/>
      <c r="J900" s="516"/>
      <c r="K900" s="517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</row>
    <row r="901">
      <c r="A901" s="31"/>
      <c r="B901" s="516"/>
      <c r="C901" s="517"/>
      <c r="D901" s="31"/>
      <c r="E901" s="517"/>
      <c r="F901" s="31"/>
      <c r="G901" s="516"/>
      <c r="H901" s="516"/>
      <c r="I901" s="516"/>
      <c r="J901" s="516"/>
      <c r="K901" s="517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</row>
    <row r="902">
      <c r="A902" s="31"/>
      <c r="B902" s="516"/>
      <c r="C902" s="517"/>
      <c r="D902" s="31"/>
      <c r="E902" s="517"/>
      <c r="F902" s="31"/>
      <c r="G902" s="516"/>
      <c r="H902" s="516"/>
      <c r="I902" s="516"/>
      <c r="J902" s="516"/>
      <c r="K902" s="517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</row>
    <row r="903">
      <c r="A903" s="31"/>
      <c r="B903" s="516"/>
      <c r="C903" s="517"/>
      <c r="D903" s="31"/>
      <c r="E903" s="517"/>
      <c r="F903" s="31"/>
      <c r="G903" s="516"/>
      <c r="H903" s="516"/>
      <c r="I903" s="516"/>
      <c r="J903" s="516"/>
      <c r="K903" s="517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</row>
    <row r="904">
      <c r="A904" s="31"/>
      <c r="B904" s="516"/>
      <c r="C904" s="517"/>
      <c r="D904" s="31"/>
      <c r="E904" s="517"/>
      <c r="F904" s="31"/>
      <c r="G904" s="516"/>
      <c r="H904" s="516"/>
      <c r="I904" s="516"/>
      <c r="J904" s="516"/>
      <c r="K904" s="517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</row>
    <row r="905">
      <c r="A905" s="31"/>
      <c r="B905" s="516"/>
      <c r="C905" s="517"/>
      <c r="D905" s="31"/>
      <c r="E905" s="517"/>
      <c r="F905" s="31"/>
      <c r="G905" s="516"/>
      <c r="H905" s="516"/>
      <c r="I905" s="516"/>
      <c r="J905" s="516"/>
      <c r="K905" s="517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</row>
    <row r="906">
      <c r="A906" s="31"/>
      <c r="B906" s="516"/>
      <c r="C906" s="517"/>
      <c r="D906" s="31"/>
      <c r="E906" s="517"/>
      <c r="F906" s="31"/>
      <c r="G906" s="516"/>
      <c r="H906" s="516"/>
      <c r="I906" s="516"/>
      <c r="J906" s="516"/>
      <c r="K906" s="517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</row>
    <row r="907">
      <c r="A907" s="31"/>
      <c r="B907" s="516"/>
      <c r="C907" s="517"/>
      <c r="D907" s="31"/>
      <c r="E907" s="517"/>
      <c r="F907" s="31"/>
      <c r="G907" s="516"/>
      <c r="H907" s="516"/>
      <c r="I907" s="516"/>
      <c r="J907" s="516"/>
      <c r="K907" s="517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</row>
    <row r="908">
      <c r="A908" s="31"/>
      <c r="B908" s="516"/>
      <c r="C908" s="517"/>
      <c r="D908" s="31"/>
      <c r="E908" s="517"/>
      <c r="F908" s="31"/>
      <c r="G908" s="516"/>
      <c r="H908" s="516"/>
      <c r="I908" s="516"/>
      <c r="J908" s="516"/>
      <c r="K908" s="517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</row>
    <row r="909">
      <c r="A909" s="31"/>
      <c r="B909" s="516"/>
      <c r="C909" s="517"/>
      <c r="D909" s="31"/>
      <c r="E909" s="517"/>
      <c r="F909" s="31"/>
      <c r="G909" s="516"/>
      <c r="H909" s="516"/>
      <c r="I909" s="516"/>
      <c r="J909" s="516"/>
      <c r="K909" s="517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</row>
    <row r="910">
      <c r="A910" s="31"/>
      <c r="B910" s="516"/>
      <c r="C910" s="517"/>
      <c r="D910" s="31"/>
      <c r="E910" s="517"/>
      <c r="F910" s="31"/>
      <c r="G910" s="516"/>
      <c r="H910" s="516"/>
      <c r="I910" s="516"/>
      <c r="J910" s="516"/>
      <c r="K910" s="517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</row>
    <row r="911">
      <c r="A911" s="31"/>
      <c r="B911" s="516"/>
      <c r="C911" s="517"/>
      <c r="D911" s="31"/>
      <c r="E911" s="517"/>
      <c r="F911" s="31"/>
      <c r="G911" s="516"/>
      <c r="H911" s="516"/>
      <c r="I911" s="516"/>
      <c r="J911" s="516"/>
      <c r="K911" s="517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</row>
    <row r="912">
      <c r="A912" s="31"/>
      <c r="B912" s="516"/>
      <c r="C912" s="517"/>
      <c r="D912" s="31"/>
      <c r="E912" s="517"/>
      <c r="F912" s="31"/>
      <c r="G912" s="516"/>
      <c r="H912" s="516"/>
      <c r="I912" s="516"/>
      <c r="J912" s="516"/>
      <c r="K912" s="517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</row>
    <row r="913">
      <c r="A913" s="31"/>
      <c r="B913" s="516"/>
      <c r="C913" s="517"/>
      <c r="D913" s="31"/>
      <c r="E913" s="517"/>
      <c r="F913" s="31"/>
      <c r="G913" s="516"/>
      <c r="H913" s="516"/>
      <c r="I913" s="516"/>
      <c r="J913" s="516"/>
      <c r="K913" s="517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</row>
    <row r="914">
      <c r="A914" s="31"/>
      <c r="B914" s="516"/>
      <c r="C914" s="517"/>
      <c r="D914" s="31"/>
      <c r="E914" s="517"/>
      <c r="F914" s="31"/>
      <c r="G914" s="516"/>
      <c r="H914" s="516"/>
      <c r="I914" s="516"/>
      <c r="J914" s="516"/>
      <c r="K914" s="517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</row>
    <row r="915">
      <c r="A915" s="31"/>
      <c r="B915" s="516"/>
      <c r="C915" s="517"/>
      <c r="D915" s="31"/>
      <c r="E915" s="517"/>
      <c r="F915" s="31"/>
      <c r="G915" s="516"/>
      <c r="H915" s="516"/>
      <c r="I915" s="516"/>
      <c r="J915" s="516"/>
      <c r="K915" s="517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</row>
    <row r="916">
      <c r="A916" s="31"/>
      <c r="B916" s="516"/>
      <c r="C916" s="517"/>
      <c r="D916" s="31"/>
      <c r="E916" s="517"/>
      <c r="F916" s="31"/>
      <c r="G916" s="516"/>
      <c r="H916" s="516"/>
      <c r="I916" s="516"/>
      <c r="J916" s="516"/>
      <c r="K916" s="517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</row>
    <row r="917">
      <c r="A917" s="31"/>
      <c r="B917" s="516"/>
      <c r="C917" s="517"/>
      <c r="D917" s="31"/>
      <c r="E917" s="517"/>
      <c r="F917" s="31"/>
      <c r="G917" s="516"/>
      <c r="H917" s="516"/>
      <c r="I917" s="516"/>
      <c r="J917" s="516"/>
      <c r="K917" s="517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</row>
    <row r="918">
      <c r="A918" s="31"/>
      <c r="B918" s="516"/>
      <c r="C918" s="517"/>
      <c r="D918" s="31"/>
      <c r="E918" s="517"/>
      <c r="F918" s="31"/>
      <c r="G918" s="516"/>
      <c r="H918" s="516"/>
      <c r="I918" s="516"/>
      <c r="J918" s="516"/>
      <c r="K918" s="517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</row>
    <row r="919">
      <c r="A919" s="31"/>
      <c r="B919" s="516"/>
      <c r="C919" s="517"/>
      <c r="D919" s="31"/>
      <c r="E919" s="517"/>
      <c r="F919" s="31"/>
      <c r="G919" s="516"/>
      <c r="H919" s="516"/>
      <c r="I919" s="516"/>
      <c r="J919" s="516"/>
      <c r="K919" s="517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</row>
    <row r="920">
      <c r="A920" s="31"/>
      <c r="B920" s="516"/>
      <c r="C920" s="517"/>
      <c r="D920" s="31"/>
      <c r="E920" s="517"/>
      <c r="F920" s="31"/>
      <c r="G920" s="516"/>
      <c r="H920" s="516"/>
      <c r="I920" s="516"/>
      <c r="J920" s="516"/>
      <c r="K920" s="517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</row>
    <row r="921">
      <c r="A921" s="31"/>
      <c r="B921" s="516"/>
      <c r="C921" s="517"/>
      <c r="D921" s="31"/>
      <c r="E921" s="517"/>
      <c r="F921" s="31"/>
      <c r="G921" s="516"/>
      <c r="H921" s="516"/>
      <c r="I921" s="516"/>
      <c r="J921" s="516"/>
      <c r="K921" s="517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</row>
    <row r="922">
      <c r="A922" s="31"/>
      <c r="B922" s="516"/>
      <c r="C922" s="517"/>
      <c r="D922" s="31"/>
      <c r="E922" s="517"/>
      <c r="F922" s="31"/>
      <c r="G922" s="516"/>
      <c r="H922" s="516"/>
      <c r="I922" s="516"/>
      <c r="J922" s="516"/>
      <c r="K922" s="517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</row>
    <row r="923">
      <c r="A923" s="31"/>
      <c r="B923" s="516"/>
      <c r="C923" s="517"/>
      <c r="D923" s="31"/>
      <c r="E923" s="517"/>
      <c r="F923" s="31"/>
      <c r="G923" s="516"/>
      <c r="H923" s="516"/>
      <c r="I923" s="516"/>
      <c r="J923" s="516"/>
      <c r="K923" s="517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</row>
    <row r="924">
      <c r="A924" s="31"/>
      <c r="B924" s="516"/>
      <c r="C924" s="517"/>
      <c r="D924" s="31"/>
      <c r="E924" s="517"/>
      <c r="F924" s="31"/>
      <c r="G924" s="516"/>
      <c r="H924" s="516"/>
      <c r="I924" s="516"/>
      <c r="J924" s="516"/>
      <c r="K924" s="517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</row>
    <row r="925">
      <c r="A925" s="31"/>
      <c r="B925" s="516"/>
      <c r="C925" s="517"/>
      <c r="D925" s="31"/>
      <c r="E925" s="517"/>
      <c r="F925" s="31"/>
      <c r="G925" s="516"/>
      <c r="H925" s="516"/>
      <c r="I925" s="516"/>
      <c r="J925" s="516"/>
      <c r="K925" s="517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</row>
    <row r="926">
      <c r="A926" s="31"/>
      <c r="B926" s="516"/>
      <c r="C926" s="517"/>
      <c r="D926" s="31"/>
      <c r="E926" s="517"/>
      <c r="F926" s="31"/>
      <c r="G926" s="516"/>
      <c r="H926" s="516"/>
      <c r="I926" s="516"/>
      <c r="J926" s="516"/>
      <c r="K926" s="517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</row>
    <row r="927">
      <c r="A927" s="31"/>
      <c r="B927" s="516"/>
      <c r="C927" s="517"/>
      <c r="D927" s="31"/>
      <c r="E927" s="517"/>
      <c r="F927" s="31"/>
      <c r="G927" s="516"/>
      <c r="H927" s="516"/>
      <c r="I927" s="516"/>
      <c r="J927" s="516"/>
      <c r="K927" s="517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</row>
    <row r="928">
      <c r="A928" s="31"/>
      <c r="B928" s="516"/>
      <c r="C928" s="517"/>
      <c r="D928" s="31"/>
      <c r="E928" s="517"/>
      <c r="F928" s="31"/>
      <c r="G928" s="516"/>
      <c r="H928" s="516"/>
      <c r="I928" s="516"/>
      <c r="J928" s="516"/>
      <c r="K928" s="517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</row>
    <row r="929">
      <c r="A929" s="31"/>
      <c r="B929" s="516"/>
      <c r="C929" s="517"/>
      <c r="D929" s="31"/>
      <c r="E929" s="517"/>
      <c r="F929" s="31"/>
      <c r="G929" s="516"/>
      <c r="H929" s="516"/>
      <c r="I929" s="516"/>
      <c r="J929" s="516"/>
      <c r="K929" s="517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</row>
    <row r="930">
      <c r="A930" s="31"/>
      <c r="B930" s="516"/>
      <c r="C930" s="517"/>
      <c r="D930" s="31"/>
      <c r="E930" s="517"/>
      <c r="F930" s="31"/>
      <c r="G930" s="516"/>
      <c r="H930" s="516"/>
      <c r="I930" s="516"/>
      <c r="J930" s="516"/>
      <c r="K930" s="517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</row>
    <row r="931">
      <c r="A931" s="31"/>
      <c r="B931" s="516"/>
      <c r="C931" s="517"/>
      <c r="D931" s="31"/>
      <c r="E931" s="517"/>
      <c r="F931" s="31"/>
      <c r="G931" s="516"/>
      <c r="H931" s="516"/>
      <c r="I931" s="516"/>
      <c r="J931" s="516"/>
      <c r="K931" s="517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</row>
    <row r="932">
      <c r="A932" s="31"/>
      <c r="B932" s="516"/>
      <c r="C932" s="517"/>
      <c r="D932" s="31"/>
      <c r="E932" s="517"/>
      <c r="F932" s="31"/>
      <c r="G932" s="516"/>
      <c r="H932" s="516"/>
      <c r="I932" s="516"/>
      <c r="J932" s="516"/>
      <c r="K932" s="517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</row>
    <row r="933">
      <c r="A933" s="31"/>
      <c r="B933" s="516"/>
      <c r="C933" s="517"/>
      <c r="D933" s="31"/>
      <c r="E933" s="517"/>
      <c r="F933" s="31"/>
      <c r="G933" s="516"/>
      <c r="H933" s="516"/>
      <c r="I933" s="516"/>
      <c r="J933" s="516"/>
      <c r="K933" s="517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</row>
    <row r="934">
      <c r="A934" s="31"/>
      <c r="B934" s="516"/>
      <c r="C934" s="517"/>
      <c r="D934" s="31"/>
      <c r="E934" s="517"/>
      <c r="F934" s="31"/>
      <c r="G934" s="516"/>
      <c r="H934" s="516"/>
      <c r="I934" s="516"/>
      <c r="J934" s="516"/>
      <c r="K934" s="517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</row>
    <row r="935">
      <c r="A935" s="31"/>
      <c r="B935" s="516"/>
      <c r="C935" s="517"/>
      <c r="D935" s="31"/>
      <c r="E935" s="517"/>
      <c r="F935" s="31"/>
      <c r="G935" s="516"/>
      <c r="H935" s="516"/>
      <c r="I935" s="516"/>
      <c r="J935" s="516"/>
      <c r="K935" s="517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</row>
    <row r="936">
      <c r="A936" s="31"/>
      <c r="B936" s="516"/>
      <c r="C936" s="517"/>
      <c r="D936" s="31"/>
      <c r="E936" s="517"/>
      <c r="F936" s="31"/>
      <c r="G936" s="516"/>
      <c r="H936" s="516"/>
      <c r="I936" s="516"/>
      <c r="J936" s="516"/>
      <c r="K936" s="517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</row>
    <row r="937">
      <c r="A937" s="31"/>
      <c r="B937" s="516"/>
      <c r="C937" s="517"/>
      <c r="D937" s="31"/>
      <c r="E937" s="517"/>
      <c r="F937" s="31"/>
      <c r="G937" s="516"/>
      <c r="H937" s="516"/>
      <c r="I937" s="516"/>
      <c r="J937" s="516"/>
      <c r="K937" s="517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</row>
    <row r="938">
      <c r="A938" s="31"/>
      <c r="B938" s="516"/>
      <c r="C938" s="517"/>
      <c r="D938" s="31"/>
      <c r="E938" s="517"/>
      <c r="F938" s="31"/>
      <c r="G938" s="516"/>
      <c r="H938" s="516"/>
      <c r="I938" s="516"/>
      <c r="J938" s="516"/>
      <c r="K938" s="517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</row>
    <row r="939">
      <c r="A939" s="31"/>
      <c r="B939" s="516"/>
      <c r="C939" s="517"/>
      <c r="D939" s="31"/>
      <c r="E939" s="517"/>
      <c r="F939" s="31"/>
      <c r="G939" s="516"/>
      <c r="H939" s="516"/>
      <c r="I939" s="516"/>
      <c r="J939" s="516"/>
      <c r="K939" s="517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</row>
    <row r="940">
      <c r="A940" s="31"/>
      <c r="B940" s="516"/>
      <c r="C940" s="517"/>
      <c r="D940" s="31"/>
      <c r="E940" s="517"/>
      <c r="F940" s="31"/>
      <c r="G940" s="516"/>
      <c r="H940" s="516"/>
      <c r="I940" s="516"/>
      <c r="J940" s="516"/>
      <c r="K940" s="517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</row>
    <row r="941">
      <c r="A941" s="31"/>
      <c r="B941" s="516"/>
      <c r="C941" s="517"/>
      <c r="D941" s="31"/>
      <c r="E941" s="517"/>
      <c r="F941" s="31"/>
      <c r="G941" s="516"/>
      <c r="H941" s="516"/>
      <c r="I941" s="516"/>
      <c r="J941" s="516"/>
      <c r="K941" s="517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</row>
    <row r="942">
      <c r="A942" s="31"/>
      <c r="B942" s="516"/>
      <c r="C942" s="517"/>
      <c r="D942" s="31"/>
      <c r="E942" s="517"/>
      <c r="F942" s="31"/>
      <c r="G942" s="516"/>
      <c r="H942" s="516"/>
      <c r="I942" s="516"/>
      <c r="J942" s="516"/>
      <c r="K942" s="517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</row>
    <row r="943">
      <c r="A943" s="31"/>
      <c r="B943" s="516"/>
      <c r="C943" s="517"/>
      <c r="D943" s="31"/>
      <c r="E943" s="517"/>
      <c r="F943" s="31"/>
      <c r="G943" s="516"/>
      <c r="H943" s="516"/>
      <c r="I943" s="516"/>
      <c r="J943" s="516"/>
      <c r="K943" s="517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</row>
    <row r="944">
      <c r="A944" s="31"/>
      <c r="B944" s="516"/>
      <c r="C944" s="517"/>
      <c r="D944" s="31"/>
      <c r="E944" s="517"/>
      <c r="F944" s="31"/>
      <c r="G944" s="516"/>
      <c r="H944" s="516"/>
      <c r="I944" s="516"/>
      <c r="J944" s="516"/>
      <c r="K944" s="517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</row>
    <row r="945">
      <c r="A945" s="31"/>
      <c r="B945" s="516"/>
      <c r="C945" s="517"/>
      <c r="D945" s="31"/>
      <c r="E945" s="517"/>
      <c r="F945" s="31"/>
      <c r="G945" s="516"/>
      <c r="H945" s="516"/>
      <c r="I945" s="516"/>
      <c r="J945" s="516"/>
      <c r="K945" s="517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</row>
    <row r="946">
      <c r="A946" s="31"/>
      <c r="B946" s="516"/>
      <c r="C946" s="517"/>
      <c r="D946" s="31"/>
      <c r="E946" s="517"/>
      <c r="F946" s="31"/>
      <c r="G946" s="516"/>
      <c r="H946" s="516"/>
      <c r="I946" s="516"/>
      <c r="J946" s="516"/>
      <c r="K946" s="517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</row>
    <row r="947">
      <c r="A947" s="31"/>
      <c r="B947" s="516"/>
      <c r="C947" s="517"/>
      <c r="D947" s="31"/>
      <c r="E947" s="517"/>
      <c r="F947" s="31"/>
      <c r="G947" s="516"/>
      <c r="H947" s="516"/>
      <c r="I947" s="516"/>
      <c r="J947" s="516"/>
      <c r="K947" s="517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</row>
    <row r="948">
      <c r="A948" s="31"/>
      <c r="B948" s="516"/>
      <c r="C948" s="517"/>
      <c r="D948" s="31"/>
      <c r="E948" s="517"/>
      <c r="F948" s="31"/>
      <c r="G948" s="516"/>
      <c r="H948" s="516"/>
      <c r="I948" s="516"/>
      <c r="J948" s="516"/>
      <c r="K948" s="517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</row>
    <row r="949">
      <c r="A949" s="31"/>
      <c r="B949" s="516"/>
      <c r="C949" s="517"/>
      <c r="D949" s="31"/>
      <c r="E949" s="517"/>
      <c r="F949" s="31"/>
      <c r="G949" s="516"/>
      <c r="H949" s="516"/>
      <c r="I949" s="516"/>
      <c r="J949" s="516"/>
      <c r="K949" s="517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</row>
    <row r="950">
      <c r="A950" s="31"/>
      <c r="B950" s="516"/>
      <c r="C950" s="517"/>
      <c r="D950" s="31"/>
      <c r="E950" s="517"/>
      <c r="F950" s="31"/>
      <c r="G950" s="516"/>
      <c r="H950" s="516"/>
      <c r="I950" s="516"/>
      <c r="J950" s="516"/>
      <c r="K950" s="517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</row>
    <row r="951">
      <c r="A951" s="31"/>
      <c r="B951" s="516"/>
      <c r="C951" s="517"/>
      <c r="D951" s="31"/>
      <c r="E951" s="517"/>
      <c r="F951" s="31"/>
      <c r="G951" s="516"/>
      <c r="H951" s="516"/>
      <c r="I951" s="516"/>
      <c r="J951" s="516"/>
      <c r="K951" s="517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</row>
    <row r="952">
      <c r="A952" s="31"/>
      <c r="B952" s="516"/>
      <c r="C952" s="517"/>
      <c r="D952" s="31"/>
      <c r="E952" s="517"/>
      <c r="F952" s="31"/>
      <c r="G952" s="516"/>
      <c r="H952" s="516"/>
      <c r="I952" s="516"/>
      <c r="J952" s="516"/>
      <c r="K952" s="517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</row>
    <row r="953">
      <c r="A953" s="31"/>
      <c r="B953" s="516"/>
      <c r="C953" s="517"/>
      <c r="D953" s="31"/>
      <c r="E953" s="517"/>
      <c r="F953" s="31"/>
      <c r="G953" s="516"/>
      <c r="H953" s="516"/>
      <c r="I953" s="516"/>
      <c r="J953" s="516"/>
      <c r="K953" s="517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</row>
    <row r="954">
      <c r="A954" s="31"/>
      <c r="B954" s="516"/>
      <c r="C954" s="517"/>
      <c r="D954" s="31"/>
      <c r="E954" s="517"/>
      <c r="F954" s="31"/>
      <c r="G954" s="516"/>
      <c r="H954" s="516"/>
      <c r="I954" s="516"/>
      <c r="J954" s="516"/>
      <c r="K954" s="517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</row>
    <row r="955">
      <c r="A955" s="31"/>
      <c r="B955" s="516"/>
      <c r="C955" s="517"/>
      <c r="D955" s="31"/>
      <c r="E955" s="517"/>
      <c r="F955" s="31"/>
      <c r="G955" s="516"/>
      <c r="H955" s="516"/>
      <c r="I955" s="516"/>
      <c r="J955" s="516"/>
      <c r="K955" s="517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</row>
    <row r="956">
      <c r="A956" s="31"/>
      <c r="B956" s="516"/>
      <c r="C956" s="517"/>
      <c r="D956" s="31"/>
      <c r="E956" s="517"/>
      <c r="F956" s="31"/>
      <c r="G956" s="516"/>
      <c r="H956" s="516"/>
      <c r="I956" s="516"/>
      <c r="J956" s="516"/>
      <c r="K956" s="517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</row>
    <row r="957">
      <c r="A957" s="31"/>
      <c r="B957" s="516"/>
      <c r="C957" s="517"/>
      <c r="D957" s="31"/>
      <c r="E957" s="517"/>
      <c r="F957" s="31"/>
      <c r="G957" s="516"/>
      <c r="H957" s="516"/>
      <c r="I957" s="516"/>
      <c r="J957" s="516"/>
      <c r="K957" s="517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</row>
    <row r="958">
      <c r="A958" s="31"/>
      <c r="B958" s="516"/>
      <c r="C958" s="517"/>
      <c r="D958" s="31"/>
      <c r="E958" s="517"/>
      <c r="F958" s="31"/>
      <c r="G958" s="516"/>
      <c r="H958" s="516"/>
      <c r="I958" s="516"/>
      <c r="J958" s="516"/>
      <c r="K958" s="517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</row>
    <row r="959">
      <c r="A959" s="31"/>
      <c r="B959" s="516"/>
      <c r="C959" s="517"/>
      <c r="D959" s="31"/>
      <c r="E959" s="517"/>
      <c r="F959" s="31"/>
      <c r="G959" s="516"/>
      <c r="H959" s="516"/>
      <c r="I959" s="516"/>
      <c r="J959" s="516"/>
      <c r="K959" s="517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</row>
    <row r="960">
      <c r="A960" s="31"/>
      <c r="B960" s="516"/>
      <c r="C960" s="517"/>
      <c r="D960" s="31"/>
      <c r="E960" s="517"/>
      <c r="F960" s="31"/>
      <c r="G960" s="516"/>
      <c r="H960" s="516"/>
      <c r="I960" s="516"/>
      <c r="J960" s="516"/>
      <c r="K960" s="517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</row>
    <row r="961">
      <c r="A961" s="31"/>
      <c r="B961" s="516"/>
      <c r="C961" s="517"/>
      <c r="D961" s="31"/>
      <c r="E961" s="517"/>
      <c r="F961" s="31"/>
      <c r="G961" s="516"/>
      <c r="H961" s="516"/>
      <c r="I961" s="516"/>
      <c r="J961" s="516"/>
      <c r="K961" s="517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</row>
    <row r="962">
      <c r="A962" s="31"/>
      <c r="B962" s="516"/>
      <c r="C962" s="517"/>
      <c r="D962" s="31"/>
      <c r="E962" s="517"/>
      <c r="F962" s="31"/>
      <c r="G962" s="516"/>
      <c r="H962" s="516"/>
      <c r="I962" s="516"/>
      <c r="J962" s="516"/>
      <c r="K962" s="517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</row>
    <row r="963">
      <c r="A963" s="31"/>
      <c r="B963" s="516"/>
      <c r="C963" s="517"/>
      <c r="D963" s="31"/>
      <c r="E963" s="517"/>
      <c r="F963" s="31"/>
      <c r="G963" s="516"/>
      <c r="H963" s="516"/>
      <c r="I963" s="516"/>
      <c r="J963" s="516"/>
      <c r="K963" s="517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</row>
    <row r="964">
      <c r="A964" s="31"/>
      <c r="B964" s="516"/>
      <c r="C964" s="517"/>
      <c r="D964" s="31"/>
      <c r="E964" s="517"/>
      <c r="F964" s="31"/>
      <c r="G964" s="516"/>
      <c r="H964" s="516"/>
      <c r="I964" s="516"/>
      <c r="J964" s="516"/>
      <c r="K964" s="517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</row>
    <row r="965">
      <c r="A965" s="31"/>
      <c r="B965" s="516"/>
      <c r="C965" s="517"/>
      <c r="D965" s="31"/>
      <c r="E965" s="517"/>
      <c r="F965" s="31"/>
      <c r="G965" s="516"/>
      <c r="H965" s="516"/>
      <c r="I965" s="516"/>
      <c r="J965" s="516"/>
      <c r="K965" s="517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</row>
    <row r="966">
      <c r="A966" s="31"/>
      <c r="B966" s="516"/>
      <c r="C966" s="517"/>
      <c r="D966" s="31"/>
      <c r="E966" s="517"/>
      <c r="F966" s="31"/>
      <c r="G966" s="516"/>
      <c r="H966" s="516"/>
      <c r="I966" s="516"/>
      <c r="J966" s="516"/>
      <c r="K966" s="517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</row>
    <row r="967">
      <c r="A967" s="31"/>
      <c r="B967" s="516"/>
      <c r="C967" s="517"/>
      <c r="D967" s="31"/>
      <c r="E967" s="517"/>
      <c r="F967" s="31"/>
      <c r="G967" s="516"/>
      <c r="H967" s="516"/>
      <c r="I967" s="516"/>
      <c r="J967" s="516"/>
      <c r="K967" s="517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</row>
    <row r="968">
      <c r="A968" s="31"/>
      <c r="B968" s="516"/>
      <c r="C968" s="517"/>
      <c r="D968" s="31"/>
      <c r="E968" s="517"/>
      <c r="F968" s="31"/>
      <c r="G968" s="516"/>
      <c r="H968" s="516"/>
      <c r="I968" s="516"/>
      <c r="J968" s="516"/>
      <c r="K968" s="517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</row>
    <row r="969">
      <c r="A969" s="31"/>
      <c r="B969" s="516"/>
      <c r="C969" s="517"/>
      <c r="D969" s="31"/>
      <c r="E969" s="517"/>
      <c r="F969" s="31"/>
      <c r="G969" s="516"/>
      <c r="H969" s="516"/>
      <c r="I969" s="516"/>
      <c r="J969" s="516"/>
      <c r="K969" s="517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</row>
    <row r="970">
      <c r="A970" s="31"/>
      <c r="B970" s="516"/>
      <c r="C970" s="517"/>
      <c r="D970" s="31"/>
      <c r="E970" s="517"/>
      <c r="F970" s="31"/>
      <c r="G970" s="516"/>
      <c r="H970" s="516"/>
      <c r="I970" s="516"/>
      <c r="J970" s="516"/>
      <c r="K970" s="517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</row>
    <row r="971">
      <c r="A971" s="31"/>
      <c r="B971" s="516"/>
      <c r="C971" s="517"/>
      <c r="D971" s="31"/>
      <c r="E971" s="517"/>
      <c r="F971" s="31"/>
      <c r="G971" s="516"/>
      <c r="H971" s="516"/>
      <c r="I971" s="516"/>
      <c r="J971" s="516"/>
      <c r="K971" s="517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</row>
    <row r="972">
      <c r="A972" s="31"/>
      <c r="B972" s="516"/>
      <c r="C972" s="517"/>
      <c r="D972" s="31"/>
      <c r="E972" s="517"/>
      <c r="F972" s="31"/>
      <c r="G972" s="516"/>
      <c r="H972" s="516"/>
      <c r="I972" s="516"/>
      <c r="J972" s="516"/>
      <c r="K972" s="517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</row>
    <row r="973">
      <c r="A973" s="31"/>
      <c r="B973" s="516"/>
      <c r="C973" s="517"/>
      <c r="D973" s="31"/>
      <c r="E973" s="517"/>
      <c r="F973" s="31"/>
      <c r="G973" s="516"/>
      <c r="H973" s="516"/>
      <c r="I973" s="516"/>
      <c r="J973" s="516"/>
      <c r="K973" s="517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</row>
    <row r="974">
      <c r="A974" s="31"/>
      <c r="B974" s="516"/>
      <c r="C974" s="517"/>
      <c r="D974" s="31"/>
      <c r="E974" s="517"/>
      <c r="F974" s="31"/>
      <c r="G974" s="516"/>
      <c r="H974" s="516"/>
      <c r="I974" s="516"/>
      <c r="J974" s="516"/>
      <c r="K974" s="517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</row>
    <row r="975">
      <c r="A975" s="31"/>
      <c r="B975" s="516"/>
      <c r="C975" s="517"/>
      <c r="D975" s="31"/>
      <c r="E975" s="517"/>
      <c r="F975" s="31"/>
      <c r="G975" s="516"/>
      <c r="H975" s="516"/>
      <c r="I975" s="516"/>
      <c r="J975" s="516"/>
      <c r="K975" s="517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</row>
    <row r="976">
      <c r="A976" s="31"/>
      <c r="B976" s="516"/>
      <c r="C976" s="517"/>
      <c r="D976" s="31"/>
      <c r="E976" s="517"/>
      <c r="F976" s="31"/>
      <c r="G976" s="516"/>
      <c r="H976" s="516"/>
      <c r="I976" s="516"/>
      <c r="J976" s="516"/>
      <c r="K976" s="517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</row>
    <row r="977">
      <c r="A977" s="31"/>
      <c r="B977" s="516"/>
      <c r="C977" s="517"/>
      <c r="D977" s="31"/>
      <c r="E977" s="517"/>
      <c r="F977" s="31"/>
      <c r="G977" s="516"/>
      <c r="H977" s="516"/>
      <c r="I977" s="516"/>
      <c r="J977" s="516"/>
      <c r="K977" s="517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</row>
    <row r="978">
      <c r="A978" s="31"/>
      <c r="B978" s="516"/>
      <c r="C978" s="517"/>
      <c r="D978" s="31"/>
      <c r="E978" s="517"/>
      <c r="F978" s="31"/>
      <c r="G978" s="516"/>
      <c r="H978" s="516"/>
      <c r="I978" s="516"/>
      <c r="J978" s="516"/>
      <c r="K978" s="517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</row>
    <row r="979">
      <c r="A979" s="31"/>
      <c r="B979" s="516"/>
      <c r="C979" s="517"/>
      <c r="D979" s="31"/>
      <c r="E979" s="517"/>
      <c r="F979" s="31"/>
      <c r="G979" s="516"/>
      <c r="H979" s="516"/>
      <c r="I979" s="516"/>
      <c r="J979" s="516"/>
      <c r="K979" s="517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</row>
    <row r="980">
      <c r="A980" s="31"/>
      <c r="B980" s="516"/>
      <c r="C980" s="517"/>
      <c r="D980" s="31"/>
      <c r="E980" s="517"/>
      <c r="F980" s="31"/>
      <c r="G980" s="516"/>
      <c r="H980" s="516"/>
      <c r="I980" s="516"/>
      <c r="J980" s="516"/>
      <c r="K980" s="517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</row>
    <row r="981">
      <c r="A981" s="31"/>
      <c r="B981" s="516"/>
      <c r="C981" s="517"/>
      <c r="D981" s="31"/>
      <c r="E981" s="517"/>
      <c r="F981" s="31"/>
      <c r="G981" s="516"/>
      <c r="H981" s="516"/>
      <c r="I981" s="516"/>
      <c r="J981" s="516"/>
      <c r="K981" s="517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</row>
    <row r="982">
      <c r="A982" s="31"/>
      <c r="B982" s="516"/>
      <c r="C982" s="517"/>
      <c r="D982" s="31"/>
      <c r="E982" s="517"/>
      <c r="F982" s="31"/>
      <c r="G982" s="516"/>
      <c r="H982" s="516"/>
      <c r="I982" s="516"/>
      <c r="J982" s="516"/>
      <c r="K982" s="517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</row>
    <row r="983">
      <c r="A983" s="31"/>
      <c r="B983" s="516"/>
      <c r="C983" s="517"/>
      <c r="D983" s="31"/>
      <c r="E983" s="517"/>
      <c r="F983" s="31"/>
      <c r="G983" s="516"/>
      <c r="H983" s="516"/>
      <c r="I983" s="516"/>
      <c r="J983" s="516"/>
      <c r="K983" s="517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</row>
    <row r="984">
      <c r="A984" s="31"/>
      <c r="B984" s="516"/>
      <c r="C984" s="517"/>
      <c r="D984" s="31"/>
      <c r="E984" s="517"/>
      <c r="F984" s="31"/>
      <c r="G984" s="516"/>
      <c r="H984" s="516"/>
      <c r="I984" s="516"/>
      <c r="J984" s="516"/>
      <c r="K984" s="517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</row>
    <row r="985">
      <c r="A985" s="31"/>
      <c r="B985" s="516"/>
      <c r="C985" s="517"/>
      <c r="D985" s="31"/>
      <c r="E985" s="517"/>
      <c r="F985" s="31"/>
      <c r="G985" s="516"/>
      <c r="H985" s="516"/>
      <c r="I985" s="516"/>
      <c r="J985" s="516"/>
      <c r="K985" s="517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</row>
    <row r="986">
      <c r="A986" s="31"/>
      <c r="B986" s="516"/>
      <c r="C986" s="517"/>
      <c r="D986" s="31"/>
      <c r="E986" s="517"/>
      <c r="F986" s="31"/>
      <c r="G986" s="516"/>
      <c r="H986" s="516"/>
      <c r="I986" s="516"/>
      <c r="J986" s="516"/>
      <c r="K986" s="517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</row>
    <row r="987">
      <c r="A987" s="31"/>
      <c r="B987" s="516"/>
      <c r="C987" s="517"/>
      <c r="D987" s="31"/>
      <c r="E987" s="517"/>
      <c r="F987" s="31"/>
      <c r="G987" s="516"/>
      <c r="H987" s="516"/>
      <c r="I987" s="516"/>
      <c r="J987" s="516"/>
      <c r="K987" s="517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</row>
    <row r="988">
      <c r="A988" s="31"/>
      <c r="B988" s="516"/>
      <c r="C988" s="517"/>
      <c r="D988" s="31"/>
      <c r="E988" s="517"/>
      <c r="F988" s="31"/>
      <c r="G988" s="516"/>
      <c r="H988" s="516"/>
      <c r="I988" s="516"/>
      <c r="J988" s="516"/>
      <c r="K988" s="517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</row>
    <row r="989">
      <c r="A989" s="31"/>
      <c r="B989" s="516"/>
      <c r="C989" s="517"/>
      <c r="D989" s="31"/>
      <c r="E989" s="517"/>
      <c r="F989" s="31"/>
      <c r="G989" s="516"/>
      <c r="H989" s="516"/>
      <c r="I989" s="516"/>
      <c r="J989" s="516"/>
      <c r="K989" s="517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</row>
    <row r="990">
      <c r="A990" s="31"/>
      <c r="B990" s="516"/>
      <c r="C990" s="517"/>
      <c r="D990" s="31"/>
      <c r="E990" s="517"/>
      <c r="F990" s="31"/>
      <c r="G990" s="516"/>
      <c r="H990" s="516"/>
      <c r="I990" s="516"/>
      <c r="J990" s="516"/>
      <c r="K990" s="517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</row>
    <row r="991">
      <c r="A991" s="31"/>
      <c r="B991" s="516"/>
      <c r="C991" s="517"/>
      <c r="D991" s="31"/>
      <c r="E991" s="517"/>
      <c r="F991" s="31"/>
      <c r="G991" s="516"/>
      <c r="H991" s="516"/>
      <c r="I991" s="516"/>
      <c r="J991" s="516"/>
      <c r="K991" s="517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</row>
    <row r="992">
      <c r="A992" s="31"/>
      <c r="B992" s="516"/>
      <c r="C992" s="517"/>
      <c r="D992" s="31"/>
      <c r="E992" s="517"/>
      <c r="F992" s="31"/>
      <c r="G992" s="516"/>
      <c r="H992" s="516"/>
      <c r="I992" s="516"/>
      <c r="J992" s="516"/>
      <c r="K992" s="517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</row>
    <row r="993">
      <c r="A993" s="31"/>
      <c r="B993" s="516"/>
      <c r="C993" s="517"/>
      <c r="D993" s="31"/>
      <c r="E993" s="517"/>
      <c r="F993" s="31"/>
      <c r="G993" s="516"/>
      <c r="H993" s="516"/>
      <c r="I993" s="516"/>
      <c r="J993" s="516"/>
      <c r="K993" s="517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</row>
    <row r="994">
      <c r="A994" s="31"/>
      <c r="B994" s="516"/>
      <c r="C994" s="517"/>
      <c r="D994" s="31"/>
      <c r="E994" s="517"/>
      <c r="F994" s="31"/>
      <c r="G994" s="516"/>
      <c r="H994" s="516"/>
      <c r="I994" s="516"/>
      <c r="J994" s="516"/>
      <c r="K994" s="517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</row>
    <row r="995">
      <c r="A995" s="31"/>
      <c r="B995" s="516"/>
      <c r="C995" s="517"/>
      <c r="D995" s="31"/>
      <c r="E995" s="517"/>
      <c r="F995" s="31"/>
      <c r="G995" s="516"/>
      <c r="H995" s="516"/>
      <c r="I995" s="516"/>
      <c r="J995" s="516"/>
      <c r="K995" s="517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</row>
    <row r="996">
      <c r="A996" s="31"/>
      <c r="B996" s="516"/>
      <c r="C996" s="517"/>
      <c r="D996" s="31"/>
      <c r="E996" s="517"/>
      <c r="F996" s="31"/>
      <c r="G996" s="516"/>
      <c r="H996" s="516"/>
      <c r="I996" s="516"/>
      <c r="J996" s="516"/>
      <c r="K996" s="517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</row>
    <row r="997">
      <c r="A997" s="31"/>
      <c r="B997" s="516"/>
      <c r="C997" s="517"/>
      <c r="D997" s="31"/>
      <c r="E997" s="517"/>
      <c r="F997" s="31"/>
      <c r="G997" s="516"/>
      <c r="H997" s="516"/>
      <c r="I997" s="516"/>
      <c r="J997" s="516"/>
      <c r="K997" s="517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</row>
    <row r="998">
      <c r="A998" s="31"/>
      <c r="B998" s="516"/>
      <c r="C998" s="517"/>
      <c r="D998" s="31"/>
      <c r="E998" s="517"/>
      <c r="F998" s="31"/>
      <c r="G998" s="516"/>
      <c r="H998" s="516"/>
      <c r="I998" s="516"/>
      <c r="J998" s="516"/>
      <c r="K998" s="517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</row>
    <row r="999">
      <c r="A999" s="31"/>
      <c r="B999" s="516"/>
      <c r="C999" s="517"/>
      <c r="D999" s="31"/>
      <c r="E999" s="517"/>
      <c r="F999" s="31"/>
      <c r="G999" s="516"/>
      <c r="H999" s="516"/>
      <c r="I999" s="516"/>
      <c r="J999" s="516"/>
      <c r="K999" s="517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</row>
    <row r="1000">
      <c r="A1000" s="31"/>
      <c r="B1000" s="516"/>
      <c r="C1000" s="517"/>
      <c r="D1000" s="31"/>
      <c r="E1000" s="517"/>
      <c r="F1000" s="31"/>
      <c r="G1000" s="516"/>
      <c r="H1000" s="516"/>
      <c r="I1000" s="516"/>
      <c r="J1000" s="516"/>
      <c r="K1000" s="517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</row>
    <row r="1001">
      <c r="A1001" s="31"/>
      <c r="B1001" s="516"/>
      <c r="C1001" s="517"/>
      <c r="D1001" s="31"/>
      <c r="E1001" s="517"/>
      <c r="F1001" s="31"/>
      <c r="G1001" s="516"/>
      <c r="H1001" s="516"/>
      <c r="I1001" s="516"/>
      <c r="J1001" s="516"/>
      <c r="K1001" s="517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</row>
    <row r="1002">
      <c r="A1002" s="31"/>
      <c r="B1002" s="516"/>
      <c r="C1002" s="517"/>
      <c r="D1002" s="31"/>
      <c r="E1002" s="517"/>
      <c r="F1002" s="31"/>
      <c r="G1002" s="516"/>
      <c r="H1002" s="516"/>
      <c r="I1002" s="516"/>
      <c r="J1002" s="516"/>
      <c r="K1002" s="517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</row>
    <row r="1003">
      <c r="A1003" s="31"/>
      <c r="B1003" s="516"/>
      <c r="C1003" s="517"/>
      <c r="D1003" s="31"/>
      <c r="E1003" s="517"/>
      <c r="F1003" s="31"/>
      <c r="G1003" s="516"/>
      <c r="H1003" s="516"/>
      <c r="I1003" s="516"/>
      <c r="J1003" s="516"/>
      <c r="K1003" s="517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</row>
    <row r="1004">
      <c r="A1004" s="31"/>
      <c r="B1004" s="516"/>
      <c r="C1004" s="517"/>
      <c r="D1004" s="31"/>
      <c r="E1004" s="517"/>
      <c r="F1004" s="31"/>
      <c r="G1004" s="516"/>
      <c r="H1004" s="516"/>
      <c r="I1004" s="516"/>
      <c r="J1004" s="516"/>
      <c r="K1004" s="517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</row>
    <row r="1005">
      <c r="A1005" s="31"/>
      <c r="B1005" s="516"/>
      <c r="C1005" s="517"/>
      <c r="D1005" s="31"/>
      <c r="E1005" s="517"/>
      <c r="F1005" s="31"/>
      <c r="G1005" s="516"/>
      <c r="H1005" s="516"/>
      <c r="I1005" s="516"/>
      <c r="J1005" s="516"/>
      <c r="K1005" s="517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</row>
    <row r="1006">
      <c r="A1006" s="31"/>
      <c r="B1006" s="516"/>
      <c r="C1006" s="517"/>
      <c r="D1006" s="31"/>
      <c r="E1006" s="517"/>
      <c r="F1006" s="31"/>
      <c r="G1006" s="516"/>
      <c r="H1006" s="516"/>
      <c r="I1006" s="516"/>
      <c r="J1006" s="516"/>
      <c r="K1006" s="517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</row>
    <row r="1007">
      <c r="A1007" s="31"/>
      <c r="B1007" s="516"/>
      <c r="C1007" s="517"/>
      <c r="D1007" s="31"/>
      <c r="E1007" s="517"/>
      <c r="F1007" s="31"/>
      <c r="G1007" s="516"/>
      <c r="H1007" s="516"/>
      <c r="I1007" s="516"/>
      <c r="J1007" s="516"/>
      <c r="K1007" s="517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</row>
    <row r="1008">
      <c r="A1008" s="31"/>
      <c r="B1008" s="516"/>
      <c r="C1008" s="517"/>
      <c r="D1008" s="31"/>
      <c r="E1008" s="517"/>
      <c r="F1008" s="31"/>
      <c r="G1008" s="516"/>
      <c r="H1008" s="516"/>
      <c r="I1008" s="516"/>
      <c r="J1008" s="516"/>
      <c r="K1008" s="517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</row>
    <row r="1009">
      <c r="A1009" s="31"/>
      <c r="B1009" s="516"/>
      <c r="C1009" s="517"/>
      <c r="D1009" s="31"/>
      <c r="E1009" s="517"/>
      <c r="F1009" s="31"/>
      <c r="G1009" s="516"/>
      <c r="H1009" s="516"/>
      <c r="I1009" s="516"/>
      <c r="J1009" s="516"/>
      <c r="K1009" s="517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</row>
    <row r="1010">
      <c r="A1010" s="31"/>
      <c r="B1010" s="516"/>
      <c r="C1010" s="517"/>
      <c r="D1010" s="31"/>
      <c r="E1010" s="517"/>
      <c r="F1010" s="31"/>
      <c r="G1010" s="516"/>
      <c r="H1010" s="516"/>
      <c r="I1010" s="516"/>
      <c r="J1010" s="516"/>
      <c r="K1010" s="517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</row>
    <row r="1011">
      <c r="A1011" s="31"/>
      <c r="B1011" s="516"/>
      <c r="C1011" s="517"/>
      <c r="D1011" s="31"/>
      <c r="E1011" s="517"/>
      <c r="F1011" s="31"/>
      <c r="G1011" s="516"/>
      <c r="H1011" s="516"/>
      <c r="I1011" s="516"/>
      <c r="J1011" s="516"/>
      <c r="K1011" s="517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</row>
    <row r="1012">
      <c r="A1012" s="31"/>
      <c r="B1012" s="516"/>
      <c r="C1012" s="517"/>
      <c r="D1012" s="31"/>
      <c r="E1012" s="517"/>
      <c r="F1012" s="31"/>
      <c r="G1012" s="516"/>
      <c r="H1012" s="516"/>
      <c r="I1012" s="516"/>
      <c r="J1012" s="516"/>
      <c r="K1012" s="517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</row>
    <row r="1013">
      <c r="A1013" s="31"/>
      <c r="B1013" s="516"/>
      <c r="C1013" s="517"/>
      <c r="D1013" s="31"/>
      <c r="E1013" s="517"/>
      <c r="F1013" s="31"/>
      <c r="G1013" s="516"/>
      <c r="H1013" s="516"/>
      <c r="I1013" s="516"/>
      <c r="J1013" s="516"/>
      <c r="K1013" s="517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</row>
    <row r="1014">
      <c r="A1014" s="31"/>
      <c r="B1014" s="516"/>
      <c r="C1014" s="517"/>
      <c r="D1014" s="31"/>
      <c r="E1014" s="517"/>
      <c r="F1014" s="31"/>
      <c r="G1014" s="516"/>
      <c r="H1014" s="516"/>
      <c r="I1014" s="516"/>
      <c r="J1014" s="516"/>
      <c r="K1014" s="517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</row>
    <row r="1015">
      <c r="A1015" s="31"/>
      <c r="B1015" s="516"/>
      <c r="C1015" s="517"/>
      <c r="D1015" s="31"/>
      <c r="E1015" s="517"/>
      <c r="F1015" s="31"/>
      <c r="G1015" s="516"/>
      <c r="H1015" s="516"/>
      <c r="I1015" s="516"/>
      <c r="J1015" s="516"/>
      <c r="K1015" s="517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</row>
    <row r="1016">
      <c r="A1016" s="31"/>
      <c r="B1016" s="516"/>
      <c r="C1016" s="517"/>
      <c r="D1016" s="31"/>
      <c r="E1016" s="517"/>
      <c r="F1016" s="31"/>
      <c r="G1016" s="516"/>
      <c r="H1016" s="516"/>
      <c r="I1016" s="516"/>
      <c r="J1016" s="516"/>
      <c r="K1016" s="517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</row>
    <row r="1017">
      <c r="A1017" s="31"/>
      <c r="B1017" s="516"/>
      <c r="C1017" s="517"/>
      <c r="D1017" s="31"/>
      <c r="E1017" s="517"/>
      <c r="F1017" s="31"/>
      <c r="G1017" s="516"/>
      <c r="H1017" s="516"/>
      <c r="I1017" s="516"/>
      <c r="J1017" s="516"/>
      <c r="K1017" s="517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</row>
    <row r="1018">
      <c r="A1018" s="31"/>
      <c r="B1018" s="516"/>
      <c r="C1018" s="517"/>
      <c r="D1018" s="31"/>
      <c r="E1018" s="517"/>
      <c r="F1018" s="31"/>
      <c r="G1018" s="516"/>
      <c r="H1018" s="516"/>
      <c r="I1018" s="516"/>
      <c r="J1018" s="516"/>
      <c r="K1018" s="517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</row>
    <row r="1019">
      <c r="A1019" s="31"/>
      <c r="B1019" s="516"/>
      <c r="C1019" s="517"/>
      <c r="D1019" s="31"/>
      <c r="E1019" s="517"/>
      <c r="F1019" s="31"/>
      <c r="G1019" s="516"/>
      <c r="H1019" s="516"/>
      <c r="I1019" s="516"/>
      <c r="J1019" s="516"/>
      <c r="K1019" s="517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</row>
    <row r="1020">
      <c r="A1020" s="31"/>
      <c r="B1020" s="516"/>
      <c r="C1020" s="517"/>
      <c r="D1020" s="31"/>
      <c r="E1020" s="517"/>
      <c r="F1020" s="31"/>
      <c r="G1020" s="516"/>
      <c r="H1020" s="516"/>
      <c r="I1020" s="516"/>
      <c r="J1020" s="516"/>
      <c r="K1020" s="517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</row>
    <row r="1021">
      <c r="A1021" s="31"/>
      <c r="B1021" s="516"/>
      <c r="C1021" s="517"/>
      <c r="D1021" s="31"/>
      <c r="E1021" s="517"/>
      <c r="F1021" s="31"/>
      <c r="G1021" s="516"/>
      <c r="H1021" s="516"/>
      <c r="I1021" s="516"/>
      <c r="J1021" s="516"/>
      <c r="K1021" s="517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</row>
    <row r="1022">
      <c r="A1022" s="31"/>
      <c r="B1022" s="516"/>
      <c r="C1022" s="517"/>
      <c r="D1022" s="31"/>
      <c r="E1022" s="517"/>
      <c r="F1022" s="31"/>
      <c r="G1022" s="516"/>
      <c r="H1022" s="516"/>
      <c r="I1022" s="516"/>
      <c r="J1022" s="516"/>
      <c r="K1022" s="517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</row>
    <row r="1023">
      <c r="A1023" s="31"/>
      <c r="B1023" s="516"/>
      <c r="C1023" s="517"/>
      <c r="D1023" s="31"/>
      <c r="E1023" s="517"/>
      <c r="F1023" s="31"/>
      <c r="G1023" s="516"/>
      <c r="H1023" s="516"/>
      <c r="I1023" s="516"/>
      <c r="J1023" s="516"/>
      <c r="K1023" s="517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</row>
    <row r="1024">
      <c r="A1024" s="31"/>
      <c r="B1024" s="516"/>
      <c r="C1024" s="517"/>
      <c r="D1024" s="31"/>
      <c r="E1024" s="517"/>
      <c r="F1024" s="31"/>
      <c r="G1024" s="516"/>
      <c r="H1024" s="516"/>
      <c r="I1024" s="516"/>
      <c r="J1024" s="516"/>
      <c r="K1024" s="517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</row>
    <row r="1025">
      <c r="A1025" s="31"/>
      <c r="B1025" s="516"/>
      <c r="C1025" s="517"/>
      <c r="D1025" s="31"/>
      <c r="E1025" s="517"/>
      <c r="F1025" s="31"/>
      <c r="G1025" s="516"/>
      <c r="H1025" s="516"/>
      <c r="I1025" s="516"/>
      <c r="J1025" s="516"/>
      <c r="K1025" s="517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</row>
    <row r="1026">
      <c r="A1026" s="31"/>
      <c r="B1026" s="516"/>
      <c r="C1026" s="517"/>
      <c r="D1026" s="31"/>
      <c r="E1026" s="517"/>
      <c r="F1026" s="31"/>
      <c r="G1026" s="516"/>
      <c r="H1026" s="516"/>
      <c r="I1026" s="516"/>
      <c r="J1026" s="516"/>
      <c r="K1026" s="517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</row>
    <row r="1027">
      <c r="A1027" s="31"/>
      <c r="B1027" s="516"/>
      <c r="C1027" s="517"/>
      <c r="D1027" s="31"/>
      <c r="E1027" s="517"/>
      <c r="F1027" s="31"/>
      <c r="G1027" s="516"/>
      <c r="H1027" s="516"/>
      <c r="I1027" s="516"/>
      <c r="J1027" s="516"/>
      <c r="K1027" s="517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</row>
    <row r="1028">
      <c r="A1028" s="31"/>
      <c r="B1028" s="516"/>
      <c r="C1028" s="517"/>
      <c r="D1028" s="31"/>
      <c r="E1028" s="517"/>
      <c r="F1028" s="31"/>
      <c r="G1028" s="516"/>
      <c r="H1028" s="516"/>
      <c r="I1028" s="516"/>
      <c r="J1028" s="516"/>
      <c r="K1028" s="517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</row>
    <row r="1029">
      <c r="A1029" s="31"/>
      <c r="B1029" s="516"/>
      <c r="C1029" s="517"/>
      <c r="D1029" s="31"/>
      <c r="E1029" s="517"/>
      <c r="F1029" s="31"/>
      <c r="G1029" s="516"/>
      <c r="H1029" s="516"/>
      <c r="I1029" s="516"/>
      <c r="J1029" s="516"/>
      <c r="K1029" s="517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</row>
    <row r="1030">
      <c r="A1030" s="31"/>
      <c r="B1030" s="516"/>
      <c r="C1030" s="517"/>
      <c r="D1030" s="31"/>
      <c r="E1030" s="517"/>
      <c r="F1030" s="31"/>
      <c r="G1030" s="516"/>
      <c r="H1030" s="516"/>
      <c r="I1030" s="516"/>
      <c r="J1030" s="516"/>
      <c r="K1030" s="517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</row>
    <row r="1031">
      <c r="A1031" s="31"/>
      <c r="B1031" s="516"/>
      <c r="C1031" s="517"/>
      <c r="D1031" s="31"/>
      <c r="E1031" s="517"/>
      <c r="F1031" s="31"/>
      <c r="G1031" s="516"/>
      <c r="H1031" s="516"/>
      <c r="I1031" s="516"/>
      <c r="J1031" s="516"/>
      <c r="K1031" s="517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</row>
    <row r="1032">
      <c r="A1032" s="31"/>
      <c r="B1032" s="516"/>
      <c r="C1032" s="517"/>
      <c r="D1032" s="31"/>
      <c r="E1032" s="517"/>
      <c r="F1032" s="31"/>
      <c r="G1032" s="516"/>
      <c r="H1032" s="516"/>
      <c r="I1032" s="516"/>
      <c r="J1032" s="516"/>
      <c r="K1032" s="517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</row>
    <row r="1033">
      <c r="A1033" s="31"/>
      <c r="B1033" s="516"/>
      <c r="C1033" s="517"/>
      <c r="D1033" s="31"/>
      <c r="E1033" s="517"/>
      <c r="F1033" s="31"/>
      <c r="G1033" s="516"/>
      <c r="H1033" s="516"/>
      <c r="I1033" s="516"/>
      <c r="J1033" s="516"/>
      <c r="K1033" s="517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</row>
    <row r="1034">
      <c r="A1034" s="31"/>
      <c r="B1034" s="516"/>
      <c r="C1034" s="517"/>
      <c r="D1034" s="31"/>
      <c r="E1034" s="517"/>
      <c r="F1034" s="31"/>
      <c r="G1034" s="516"/>
      <c r="H1034" s="516"/>
      <c r="I1034" s="516"/>
      <c r="J1034" s="516"/>
      <c r="K1034" s="517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</row>
    <row r="1035">
      <c r="A1035" s="31"/>
      <c r="B1035" s="516"/>
      <c r="C1035" s="517"/>
      <c r="D1035" s="31"/>
      <c r="E1035" s="517"/>
      <c r="F1035" s="31"/>
      <c r="G1035" s="516"/>
      <c r="H1035" s="516"/>
      <c r="I1035" s="516"/>
      <c r="J1035" s="516"/>
      <c r="K1035" s="517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</row>
    <row r="1036">
      <c r="A1036" s="31"/>
      <c r="B1036" s="516"/>
      <c r="C1036" s="517"/>
      <c r="D1036" s="31"/>
      <c r="E1036" s="517"/>
      <c r="F1036" s="31"/>
      <c r="G1036" s="516"/>
      <c r="H1036" s="516"/>
      <c r="I1036" s="516"/>
      <c r="J1036" s="516"/>
      <c r="K1036" s="517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</row>
    <row r="1037">
      <c r="A1037" s="31"/>
      <c r="B1037" s="516"/>
      <c r="C1037" s="517"/>
      <c r="D1037" s="31"/>
      <c r="E1037" s="517"/>
      <c r="F1037" s="31"/>
      <c r="G1037" s="516"/>
      <c r="H1037" s="516"/>
      <c r="I1037" s="516"/>
      <c r="J1037" s="516"/>
      <c r="K1037" s="517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</row>
    <row r="1038">
      <c r="A1038" s="31"/>
      <c r="B1038" s="516"/>
      <c r="C1038" s="517"/>
      <c r="D1038" s="31"/>
      <c r="E1038" s="517"/>
      <c r="F1038" s="31"/>
      <c r="G1038" s="516"/>
      <c r="H1038" s="516"/>
      <c r="I1038" s="516"/>
      <c r="J1038" s="516"/>
      <c r="K1038" s="517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</row>
    <row r="1039">
      <c r="A1039" s="31"/>
      <c r="B1039" s="516"/>
      <c r="C1039" s="517"/>
      <c r="D1039" s="31"/>
      <c r="E1039" s="517"/>
      <c r="F1039" s="31"/>
      <c r="G1039" s="516"/>
      <c r="H1039" s="516"/>
      <c r="I1039" s="516"/>
      <c r="J1039" s="516"/>
      <c r="K1039" s="517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</row>
    <row r="1040">
      <c r="A1040" s="31"/>
      <c r="B1040" s="516"/>
      <c r="C1040" s="517"/>
      <c r="D1040" s="31"/>
      <c r="E1040" s="517"/>
      <c r="F1040" s="31"/>
      <c r="G1040" s="516"/>
      <c r="H1040" s="516"/>
      <c r="I1040" s="516"/>
      <c r="J1040" s="516"/>
      <c r="K1040" s="517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</row>
    <row r="1041">
      <c r="A1041" s="31"/>
      <c r="B1041" s="516"/>
      <c r="C1041" s="517"/>
      <c r="D1041" s="31"/>
      <c r="E1041" s="517"/>
      <c r="F1041" s="31"/>
      <c r="G1041" s="516"/>
      <c r="H1041" s="516"/>
      <c r="I1041" s="516"/>
      <c r="J1041" s="516"/>
      <c r="K1041" s="517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</row>
    <row r="1042">
      <c r="A1042" s="31"/>
      <c r="B1042" s="516"/>
      <c r="C1042" s="517"/>
      <c r="D1042" s="31"/>
      <c r="E1042" s="517"/>
      <c r="F1042" s="31"/>
      <c r="G1042" s="516"/>
      <c r="H1042" s="516"/>
      <c r="I1042" s="516"/>
      <c r="J1042" s="516"/>
      <c r="K1042" s="517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</row>
  </sheetData>
  <autoFilter ref="$A$160:$Y$258"/>
  <mergeCells count="4">
    <mergeCell ref="B2:Q2"/>
    <mergeCell ref="C163:K163"/>
    <mergeCell ref="B240:K240"/>
    <mergeCell ref="R267:T267"/>
  </mergeCells>
  <dataValidations>
    <dataValidation type="list" allowBlank="1" showErrorMessage="1" sqref="L1 L3:L162 L164:L177 L179:L220 L222:L258">
      <formula1>"TP,FULL,SAOD"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2" max="2" width="12.0"/>
    <col customWidth="1" min="3" max="3" width="11.56"/>
    <col customWidth="1" min="4" max="4" width="62.78"/>
    <col customWidth="1" hidden="1" min="5" max="5" width="35.78"/>
    <col customWidth="1" hidden="1" min="6" max="6" width="21.78"/>
    <col customWidth="1" hidden="1" min="7" max="7" width="11.78"/>
    <col customWidth="1" min="10" max="10" width="17.44"/>
    <col customWidth="1" min="16" max="16" width="19.22"/>
    <col customWidth="1" min="17" max="17" width="15.22"/>
  </cols>
  <sheetData>
    <row r="1">
      <c r="A1" s="521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</row>
    <row r="2">
      <c r="A2" s="1" t="s">
        <v>0</v>
      </c>
      <c r="B2" s="1" t="s">
        <v>1</v>
      </c>
      <c r="C2" s="3" t="s">
        <v>3</v>
      </c>
      <c r="D2" s="1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1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2" t="s">
        <v>16</v>
      </c>
      <c r="Q2" s="2" t="s">
        <v>17</v>
      </c>
      <c r="R2" s="5" t="s">
        <v>6633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52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42"/>
    </row>
    <row r="4">
      <c r="A4" s="87">
        <v>45292.0</v>
      </c>
      <c r="B4" s="8" t="s">
        <v>8509</v>
      </c>
      <c r="C4" s="8" t="s">
        <v>21</v>
      </c>
      <c r="D4" s="8" t="s">
        <v>8510</v>
      </c>
      <c r="E4" s="8" t="s">
        <v>8511</v>
      </c>
      <c r="F4" s="7"/>
      <c r="G4" s="8"/>
      <c r="H4" s="21">
        <v>42000.0</v>
      </c>
      <c r="I4" s="215">
        <v>45352.0</v>
      </c>
      <c r="J4" s="8" t="s">
        <v>48</v>
      </c>
      <c r="K4" s="8" t="s">
        <v>49</v>
      </c>
      <c r="L4" s="8" t="s">
        <v>8392</v>
      </c>
      <c r="M4" s="8" t="s">
        <v>8262</v>
      </c>
      <c r="N4" s="21">
        <v>49463.0</v>
      </c>
      <c r="O4" s="21"/>
      <c r="P4" s="5">
        <v>19.0</v>
      </c>
      <c r="Q4" s="31">
        <f t="shared" ref="Q4:Q22" si="1">N4*P4%</f>
        <v>9397.97</v>
      </c>
      <c r="R4" s="31">
        <f t="shared" ref="R4:R22" si="2">Q4-O4</f>
        <v>9397.97</v>
      </c>
    </row>
    <row r="5">
      <c r="A5" s="87">
        <v>45323.0</v>
      </c>
      <c r="B5" s="8" t="s">
        <v>2345</v>
      </c>
      <c r="C5" s="8" t="s">
        <v>21</v>
      </c>
      <c r="D5" s="8" t="s">
        <v>7917</v>
      </c>
      <c r="E5" s="8" t="s">
        <v>8512</v>
      </c>
      <c r="F5" s="7"/>
      <c r="G5" s="8"/>
      <c r="H5" s="21">
        <v>35000.0</v>
      </c>
      <c r="I5" s="22">
        <v>45658.0</v>
      </c>
      <c r="J5" s="8" t="s">
        <v>1424</v>
      </c>
      <c r="K5" s="8" t="s">
        <v>49</v>
      </c>
      <c r="L5" s="8" t="s">
        <v>71</v>
      </c>
      <c r="M5" s="8" t="s">
        <v>8262</v>
      </c>
      <c r="N5" s="21">
        <v>46332.0</v>
      </c>
      <c r="O5" s="21"/>
      <c r="P5" s="5">
        <v>21.0</v>
      </c>
      <c r="Q5" s="31">
        <f t="shared" si="1"/>
        <v>9729.72</v>
      </c>
      <c r="R5" s="31">
        <f t="shared" si="2"/>
        <v>9729.72</v>
      </c>
    </row>
    <row r="6">
      <c r="A6" s="87">
        <v>45323.0</v>
      </c>
      <c r="B6" s="8" t="s">
        <v>8513</v>
      </c>
      <c r="C6" s="8" t="s">
        <v>1759</v>
      </c>
      <c r="D6" s="8" t="s">
        <v>8514</v>
      </c>
      <c r="E6" s="8" t="s">
        <v>8515</v>
      </c>
      <c r="F6" s="7"/>
      <c r="G6" s="8"/>
      <c r="H6" s="8"/>
      <c r="I6" s="22">
        <v>45658.0</v>
      </c>
      <c r="J6" s="8" t="s">
        <v>8516</v>
      </c>
      <c r="K6" s="8" t="s">
        <v>49</v>
      </c>
      <c r="L6" s="8" t="s">
        <v>27</v>
      </c>
      <c r="M6" s="86" t="s">
        <v>8259</v>
      </c>
      <c r="N6" s="21">
        <v>6792.0</v>
      </c>
      <c r="O6" s="21">
        <v>8014.0</v>
      </c>
      <c r="P6" s="5">
        <v>55.0</v>
      </c>
      <c r="Q6" s="31">
        <f t="shared" si="1"/>
        <v>3735.6</v>
      </c>
      <c r="R6" s="31">
        <f t="shared" si="2"/>
        <v>-4278.4</v>
      </c>
    </row>
    <row r="7">
      <c r="A7" s="87">
        <v>45352.0</v>
      </c>
      <c r="B7" s="8" t="s">
        <v>8517</v>
      </c>
      <c r="C7" s="8" t="s">
        <v>1759</v>
      </c>
      <c r="D7" s="8" t="s">
        <v>8514</v>
      </c>
      <c r="E7" s="8" t="s">
        <v>8518</v>
      </c>
      <c r="F7" s="7"/>
      <c r="G7" s="8"/>
      <c r="H7" s="8"/>
      <c r="I7" s="22">
        <v>45717.0</v>
      </c>
      <c r="J7" s="8" t="s">
        <v>78</v>
      </c>
      <c r="K7" s="8" t="s">
        <v>49</v>
      </c>
      <c r="L7" s="8" t="s">
        <v>71</v>
      </c>
      <c r="M7" s="86" t="s">
        <v>8259</v>
      </c>
      <c r="N7" s="21">
        <v>6807.0</v>
      </c>
      <c r="O7" s="21">
        <v>8032.0</v>
      </c>
      <c r="P7" s="5">
        <v>53.0</v>
      </c>
      <c r="Q7" s="31">
        <f t="shared" si="1"/>
        <v>3607.71</v>
      </c>
      <c r="R7" s="31">
        <f t="shared" si="2"/>
        <v>-4424.29</v>
      </c>
    </row>
    <row r="8">
      <c r="A8" s="87">
        <v>45352.0</v>
      </c>
      <c r="B8" s="8" t="s">
        <v>2363</v>
      </c>
      <c r="C8" s="8" t="s">
        <v>21</v>
      </c>
      <c r="D8" s="8" t="s">
        <v>8504</v>
      </c>
      <c r="E8" s="8" t="s">
        <v>8519</v>
      </c>
      <c r="F8" s="7"/>
      <c r="G8" s="8"/>
      <c r="H8" s="21">
        <v>42000.0</v>
      </c>
      <c r="I8" s="22">
        <v>45717.0</v>
      </c>
      <c r="J8" s="8" t="s">
        <v>48</v>
      </c>
      <c r="K8" s="8" t="s">
        <v>49</v>
      </c>
      <c r="L8" s="8" t="s">
        <v>71</v>
      </c>
      <c r="M8" s="8" t="s">
        <v>8262</v>
      </c>
      <c r="N8" s="165">
        <v>47060.0</v>
      </c>
      <c r="O8" s="21"/>
      <c r="P8" s="5">
        <v>19.0</v>
      </c>
      <c r="Q8" s="31">
        <f t="shared" si="1"/>
        <v>8941.4</v>
      </c>
      <c r="R8" s="31">
        <f t="shared" si="2"/>
        <v>8941.4</v>
      </c>
    </row>
    <row r="9">
      <c r="A9" s="87">
        <v>45383.0</v>
      </c>
      <c r="B9" s="8" t="s">
        <v>163</v>
      </c>
      <c r="C9" s="8" t="s">
        <v>1395</v>
      </c>
      <c r="D9" s="8" t="s">
        <v>8520</v>
      </c>
      <c r="E9" s="8" t="s">
        <v>1397</v>
      </c>
      <c r="F9" s="7"/>
      <c r="G9" s="8"/>
      <c r="H9" s="21">
        <v>1445.0</v>
      </c>
      <c r="I9" s="22">
        <v>45717.0</v>
      </c>
      <c r="J9" s="8" t="s">
        <v>8516</v>
      </c>
      <c r="K9" s="8" t="s">
        <v>49</v>
      </c>
      <c r="L9" s="8" t="s">
        <v>71</v>
      </c>
      <c r="M9" s="8" t="s">
        <v>8262</v>
      </c>
      <c r="N9" s="21">
        <v>18381.0</v>
      </c>
      <c r="O9" s="21"/>
      <c r="P9" s="5">
        <v>53.0</v>
      </c>
      <c r="Q9" s="31">
        <f t="shared" si="1"/>
        <v>9741.93</v>
      </c>
      <c r="R9" s="31">
        <f t="shared" si="2"/>
        <v>9741.93</v>
      </c>
    </row>
    <row r="10">
      <c r="A10" s="87">
        <v>45383.0</v>
      </c>
      <c r="B10" s="8" t="s">
        <v>1403</v>
      </c>
      <c r="C10" s="8" t="s">
        <v>75</v>
      </c>
      <c r="D10" s="8" t="s">
        <v>8521</v>
      </c>
      <c r="E10" s="8" t="s">
        <v>8522</v>
      </c>
      <c r="F10" s="7"/>
      <c r="G10" s="8"/>
      <c r="H10" s="21">
        <v>975.0</v>
      </c>
      <c r="I10" s="22">
        <v>45717.0</v>
      </c>
      <c r="J10" s="8" t="s">
        <v>116</v>
      </c>
      <c r="K10" s="8" t="s">
        <v>49</v>
      </c>
      <c r="L10" s="8" t="s">
        <v>27</v>
      </c>
      <c r="M10" s="86" t="s">
        <v>8259</v>
      </c>
      <c r="N10" s="96">
        <v>5617.0</v>
      </c>
      <c r="O10" s="96">
        <v>6351.0</v>
      </c>
      <c r="P10" s="5">
        <v>51.0</v>
      </c>
      <c r="Q10" s="31">
        <f t="shared" si="1"/>
        <v>2864.67</v>
      </c>
      <c r="R10" s="444">
        <f t="shared" si="2"/>
        <v>-3486.33</v>
      </c>
    </row>
    <row r="11">
      <c r="A11" s="87">
        <v>45383.0</v>
      </c>
      <c r="B11" s="8" t="s">
        <v>2822</v>
      </c>
      <c r="C11" s="8" t="s">
        <v>1395</v>
      </c>
      <c r="D11" s="8" t="s">
        <v>8520</v>
      </c>
      <c r="E11" s="8" t="s">
        <v>8523</v>
      </c>
      <c r="F11" s="7"/>
      <c r="G11" s="8"/>
      <c r="H11" s="21">
        <v>1400.0</v>
      </c>
      <c r="I11" s="22">
        <v>45717.0</v>
      </c>
      <c r="J11" s="8" t="s">
        <v>8516</v>
      </c>
      <c r="K11" s="8" t="s">
        <v>49</v>
      </c>
      <c r="L11" s="8" t="s">
        <v>71</v>
      </c>
      <c r="M11" s="86" t="s">
        <v>8259</v>
      </c>
      <c r="N11" s="21">
        <v>17847.0</v>
      </c>
      <c r="O11" s="21">
        <v>20097.0</v>
      </c>
      <c r="P11" s="5">
        <v>53.0</v>
      </c>
      <c r="Q11" s="31">
        <f t="shared" si="1"/>
        <v>9458.91</v>
      </c>
      <c r="R11" s="31">
        <f t="shared" si="2"/>
        <v>-10638.09</v>
      </c>
    </row>
    <row r="12">
      <c r="A12" s="87">
        <v>45383.0</v>
      </c>
      <c r="B12" s="8" t="s">
        <v>231</v>
      </c>
      <c r="C12" s="8" t="s">
        <v>1395</v>
      </c>
      <c r="D12" s="8" t="s">
        <v>262</v>
      </c>
      <c r="E12" s="8" t="s">
        <v>8524</v>
      </c>
      <c r="F12" s="7"/>
      <c r="G12" s="8"/>
      <c r="H12" s="21">
        <v>1600.0</v>
      </c>
      <c r="I12" s="22">
        <v>45901.0</v>
      </c>
      <c r="J12" s="8" t="s">
        <v>8525</v>
      </c>
      <c r="K12" s="8" t="s">
        <v>49</v>
      </c>
      <c r="L12" s="8" t="s">
        <v>71</v>
      </c>
      <c r="M12" s="86" t="s">
        <v>8259</v>
      </c>
      <c r="N12" s="21">
        <v>17135.0</v>
      </c>
      <c r="O12" s="21">
        <v>19256.0</v>
      </c>
      <c r="P12" s="5">
        <v>54.0</v>
      </c>
      <c r="Q12" s="31">
        <f t="shared" si="1"/>
        <v>9252.9</v>
      </c>
      <c r="R12" s="31">
        <f t="shared" si="2"/>
        <v>-10003.1</v>
      </c>
    </row>
    <row r="13">
      <c r="A13" s="87">
        <v>45444.0</v>
      </c>
      <c r="B13" s="8" t="s">
        <v>1488</v>
      </c>
      <c r="C13" s="8" t="s">
        <v>533</v>
      </c>
      <c r="D13" s="8" t="s">
        <v>8526</v>
      </c>
      <c r="E13" s="8" t="s">
        <v>3755</v>
      </c>
      <c r="F13" s="7"/>
      <c r="G13" s="8"/>
      <c r="H13" s="21">
        <v>9800.0</v>
      </c>
      <c r="I13" s="22">
        <v>45809.0</v>
      </c>
      <c r="J13" s="8" t="s">
        <v>116</v>
      </c>
      <c r="K13" s="8" t="s">
        <v>49</v>
      </c>
      <c r="L13" s="8" t="s">
        <v>71</v>
      </c>
      <c r="M13" s="8" t="s">
        <v>8262</v>
      </c>
      <c r="N13" s="96">
        <v>11042.0</v>
      </c>
      <c r="O13" s="97"/>
      <c r="P13" s="5">
        <v>28.0</v>
      </c>
      <c r="Q13" s="31">
        <f t="shared" si="1"/>
        <v>3091.76</v>
      </c>
      <c r="R13" s="466">
        <f t="shared" si="2"/>
        <v>3091.76</v>
      </c>
    </row>
    <row r="14">
      <c r="A14" s="87">
        <v>45444.0</v>
      </c>
      <c r="B14" s="8" t="s">
        <v>1485</v>
      </c>
      <c r="C14" s="8" t="s">
        <v>533</v>
      </c>
      <c r="D14" s="8" t="s">
        <v>8526</v>
      </c>
      <c r="E14" s="8" t="s">
        <v>783</v>
      </c>
      <c r="F14" s="7"/>
      <c r="G14" s="8"/>
      <c r="H14" s="21">
        <v>9800.0</v>
      </c>
      <c r="I14" s="22">
        <v>45809.0</v>
      </c>
      <c r="J14" s="8" t="s">
        <v>116</v>
      </c>
      <c r="K14" s="8" t="s">
        <v>49</v>
      </c>
      <c r="L14" s="8" t="s">
        <v>71</v>
      </c>
      <c r="M14" s="8" t="s">
        <v>8262</v>
      </c>
      <c r="N14" s="96">
        <v>11042.0</v>
      </c>
      <c r="O14" s="96"/>
      <c r="P14" s="5">
        <v>28.0</v>
      </c>
      <c r="Q14" s="31">
        <f t="shared" si="1"/>
        <v>3091.76</v>
      </c>
      <c r="R14" s="444">
        <f t="shared" si="2"/>
        <v>3091.76</v>
      </c>
    </row>
    <row r="15">
      <c r="A15" s="87">
        <v>45536.0</v>
      </c>
      <c r="B15" s="8" t="s">
        <v>1764</v>
      </c>
      <c r="C15" s="8" t="s">
        <v>1395</v>
      </c>
      <c r="D15" s="8" t="s">
        <v>2143</v>
      </c>
      <c r="E15" s="8" t="s">
        <v>8527</v>
      </c>
      <c r="F15" s="7"/>
      <c r="G15" s="8"/>
      <c r="H15" s="21">
        <v>3490.0</v>
      </c>
      <c r="I15" s="8" t="s">
        <v>1894</v>
      </c>
      <c r="J15" s="8" t="s">
        <v>116</v>
      </c>
      <c r="K15" s="8" t="s">
        <v>49</v>
      </c>
      <c r="L15" s="8" t="s">
        <v>71</v>
      </c>
      <c r="M15" s="8" t="s">
        <v>8262</v>
      </c>
      <c r="N15" s="96">
        <v>18509.0</v>
      </c>
      <c r="O15" s="96"/>
      <c r="P15" s="5">
        <v>51.0</v>
      </c>
      <c r="Q15" s="31">
        <f t="shared" si="1"/>
        <v>9439.59</v>
      </c>
      <c r="R15" s="444">
        <f t="shared" si="2"/>
        <v>9439.59</v>
      </c>
    </row>
    <row r="16">
      <c r="A16" s="87">
        <v>45566.0</v>
      </c>
      <c r="B16" s="8" t="s">
        <v>8528</v>
      </c>
      <c r="C16" s="8" t="s">
        <v>21</v>
      </c>
      <c r="D16" s="8" t="s">
        <v>8479</v>
      </c>
      <c r="E16" s="8" t="s">
        <v>8529</v>
      </c>
      <c r="F16" s="7"/>
      <c r="G16" s="8"/>
      <c r="H16" s="21">
        <v>35000.0</v>
      </c>
      <c r="I16" s="22">
        <v>45901.0</v>
      </c>
      <c r="J16" s="8" t="s">
        <v>48</v>
      </c>
      <c r="K16" s="8" t="s">
        <v>49</v>
      </c>
      <c r="L16" s="8" t="s">
        <v>71</v>
      </c>
      <c r="M16" s="8" t="s">
        <v>8262</v>
      </c>
      <c r="N16" s="165">
        <v>45665.0</v>
      </c>
      <c r="O16" s="21"/>
      <c r="P16" s="5">
        <v>21.0</v>
      </c>
      <c r="Q16" s="31">
        <f t="shared" si="1"/>
        <v>9589.65</v>
      </c>
      <c r="R16" s="31">
        <f t="shared" si="2"/>
        <v>9589.65</v>
      </c>
    </row>
    <row r="17">
      <c r="A17" s="87">
        <v>45597.0</v>
      </c>
      <c r="B17" s="8" t="s">
        <v>8530</v>
      </c>
      <c r="C17" s="8" t="s">
        <v>1395</v>
      </c>
      <c r="D17" s="8" t="s">
        <v>8531</v>
      </c>
      <c r="E17" s="8" t="s">
        <v>8532</v>
      </c>
      <c r="F17" s="7"/>
      <c r="G17" s="8"/>
      <c r="H17" s="21">
        <v>2995.0</v>
      </c>
      <c r="I17" s="215" t="s">
        <v>8533</v>
      </c>
      <c r="J17" s="8" t="s">
        <v>116</v>
      </c>
      <c r="K17" s="8" t="s">
        <v>49</v>
      </c>
      <c r="L17" s="8" t="s">
        <v>27</v>
      </c>
      <c r="M17" s="8" t="s">
        <v>8262</v>
      </c>
      <c r="N17" s="21">
        <v>17949.0</v>
      </c>
      <c r="O17" s="21"/>
      <c r="P17" s="5">
        <v>51.0</v>
      </c>
      <c r="Q17" s="31">
        <f t="shared" si="1"/>
        <v>9153.99</v>
      </c>
      <c r="R17" s="31">
        <f t="shared" si="2"/>
        <v>9153.99</v>
      </c>
    </row>
    <row r="18">
      <c r="A18" s="87">
        <v>45627.0</v>
      </c>
      <c r="B18" s="8" t="s">
        <v>8534</v>
      </c>
      <c r="C18" s="8" t="s">
        <v>75</v>
      </c>
      <c r="D18" s="8" t="s">
        <v>8521</v>
      </c>
      <c r="E18" s="8" t="s">
        <v>8535</v>
      </c>
      <c r="F18" s="7"/>
      <c r="G18" s="8"/>
      <c r="H18" s="21">
        <v>990.0</v>
      </c>
      <c r="I18" s="22">
        <v>45962.0</v>
      </c>
      <c r="J18" s="8" t="s">
        <v>78</v>
      </c>
      <c r="K18" s="8" t="s">
        <v>49</v>
      </c>
      <c r="L18" s="8" t="s">
        <v>1616</v>
      </c>
      <c r="M18" s="8" t="s">
        <v>8262</v>
      </c>
      <c r="N18" s="21">
        <v>5462.0</v>
      </c>
      <c r="O18" s="21"/>
      <c r="P18" s="5">
        <v>53.0</v>
      </c>
      <c r="Q18" s="31">
        <f t="shared" si="1"/>
        <v>2894.86</v>
      </c>
      <c r="R18" s="31">
        <f t="shared" si="2"/>
        <v>2894.86</v>
      </c>
    </row>
    <row r="19">
      <c r="A19" s="87">
        <v>45627.0</v>
      </c>
      <c r="B19" s="8" t="s">
        <v>8536</v>
      </c>
      <c r="C19" s="8" t="s">
        <v>1395</v>
      </c>
      <c r="D19" s="8" t="s">
        <v>528</v>
      </c>
      <c r="E19" s="8" t="s">
        <v>8537</v>
      </c>
      <c r="F19" s="7"/>
      <c r="G19" s="8"/>
      <c r="H19" s="8"/>
      <c r="I19" s="8" t="s">
        <v>1925</v>
      </c>
      <c r="J19" s="8" t="s">
        <v>116</v>
      </c>
      <c r="K19" s="8" t="s">
        <v>49</v>
      </c>
      <c r="L19" s="8" t="s">
        <v>71</v>
      </c>
      <c r="M19" s="8" t="s">
        <v>8262</v>
      </c>
      <c r="N19" s="96">
        <v>27178.0</v>
      </c>
      <c r="O19" s="96"/>
      <c r="P19" s="5">
        <v>51.0</v>
      </c>
      <c r="Q19" s="31">
        <f t="shared" si="1"/>
        <v>13860.78</v>
      </c>
      <c r="R19" s="444">
        <f t="shared" si="2"/>
        <v>13860.78</v>
      </c>
    </row>
    <row r="20">
      <c r="A20" s="87">
        <v>45627.0</v>
      </c>
      <c r="B20" s="8" t="s">
        <v>8538</v>
      </c>
      <c r="C20" s="8" t="s">
        <v>1395</v>
      </c>
      <c r="D20" s="8" t="s">
        <v>528</v>
      </c>
      <c r="E20" s="8" t="s">
        <v>8539</v>
      </c>
      <c r="F20" s="7"/>
      <c r="G20" s="8"/>
      <c r="H20" s="21">
        <v>3425.0</v>
      </c>
      <c r="I20" s="22">
        <v>45992.0</v>
      </c>
      <c r="J20" s="8" t="s">
        <v>116</v>
      </c>
      <c r="K20" s="8" t="s">
        <v>49</v>
      </c>
      <c r="L20" s="8" t="s">
        <v>71</v>
      </c>
      <c r="M20" s="8" t="s">
        <v>8262</v>
      </c>
      <c r="N20" s="96">
        <v>27842.0</v>
      </c>
      <c r="O20" s="96"/>
      <c r="P20" s="5">
        <v>51.0</v>
      </c>
      <c r="Q20" s="31">
        <f t="shared" si="1"/>
        <v>14199.42</v>
      </c>
      <c r="R20" s="444">
        <f t="shared" si="2"/>
        <v>14199.42</v>
      </c>
    </row>
    <row r="21">
      <c r="A21" s="87">
        <v>45627.0</v>
      </c>
      <c r="B21" s="8" t="s">
        <v>924</v>
      </c>
      <c r="C21" s="8" t="s">
        <v>21</v>
      </c>
      <c r="D21" s="8" t="s">
        <v>8540</v>
      </c>
      <c r="E21" s="8" t="s">
        <v>1845</v>
      </c>
      <c r="F21" s="7"/>
      <c r="G21" s="8"/>
      <c r="H21" s="21">
        <v>35000.0</v>
      </c>
      <c r="I21" s="22">
        <v>45962.0</v>
      </c>
      <c r="J21" s="8" t="s">
        <v>8525</v>
      </c>
      <c r="K21" s="8" t="s">
        <v>49</v>
      </c>
      <c r="L21" s="8" t="s">
        <v>71</v>
      </c>
      <c r="M21" s="8" t="s">
        <v>8262</v>
      </c>
      <c r="N21" s="21">
        <v>46680.0</v>
      </c>
      <c r="O21" s="21"/>
      <c r="P21" s="5">
        <v>22.0</v>
      </c>
      <c r="Q21" s="31">
        <f t="shared" si="1"/>
        <v>10269.6</v>
      </c>
      <c r="R21" s="31">
        <f t="shared" si="2"/>
        <v>10269.6</v>
      </c>
    </row>
    <row r="22">
      <c r="A22" s="87" t="s">
        <v>8541</v>
      </c>
      <c r="B22" s="8" t="s">
        <v>379</v>
      </c>
      <c r="C22" s="8" t="s">
        <v>21</v>
      </c>
      <c r="D22" s="8" t="s">
        <v>1769</v>
      </c>
      <c r="E22" s="8" t="s">
        <v>8542</v>
      </c>
      <c r="F22" s="7"/>
      <c r="G22" s="8"/>
      <c r="H22" s="21"/>
      <c r="I22" s="22">
        <v>45992.0</v>
      </c>
      <c r="J22" s="8" t="s">
        <v>8525</v>
      </c>
      <c r="K22" s="8" t="s">
        <v>49</v>
      </c>
      <c r="L22" s="8" t="s">
        <v>27</v>
      </c>
      <c r="M22" s="8" t="s">
        <v>8262</v>
      </c>
      <c r="N22" s="21">
        <v>46901.0</v>
      </c>
      <c r="O22" s="21"/>
      <c r="P22" s="5">
        <v>22.0</v>
      </c>
      <c r="Q22" s="31">
        <f t="shared" si="1"/>
        <v>10318.22</v>
      </c>
      <c r="R22" s="31">
        <f t="shared" si="2"/>
        <v>10318.22</v>
      </c>
    </row>
    <row r="23">
      <c r="A23" s="126"/>
      <c r="F23" s="236"/>
    </row>
    <row r="24">
      <c r="A24" s="126"/>
      <c r="F24" s="236"/>
    </row>
    <row r="25">
      <c r="A25" s="126"/>
      <c r="F25" s="236"/>
    </row>
    <row r="26">
      <c r="A26" s="126"/>
      <c r="F26" s="236"/>
      <c r="P26" s="524"/>
    </row>
    <row r="27">
      <c r="A27" s="93"/>
      <c r="B27" s="58"/>
      <c r="C27" s="58"/>
      <c r="D27" s="58"/>
      <c r="E27" s="58"/>
      <c r="F27" s="62"/>
      <c r="G27" s="58"/>
      <c r="H27" s="58"/>
      <c r="I27" s="58"/>
      <c r="J27" s="58"/>
      <c r="K27" s="58"/>
      <c r="L27" s="58"/>
      <c r="M27" s="58"/>
      <c r="N27" s="134"/>
      <c r="O27" s="240">
        <v>90890.0</v>
      </c>
      <c r="P27" s="6"/>
    </row>
    <row r="28">
      <c r="A28" s="93"/>
      <c r="B28" s="58"/>
      <c r="C28" s="58"/>
      <c r="D28" s="58"/>
      <c r="E28" s="58"/>
      <c r="F28" s="62"/>
      <c r="G28" s="58"/>
      <c r="H28" s="58"/>
      <c r="I28" s="58"/>
      <c r="J28" s="58"/>
      <c r="K28" s="58"/>
      <c r="L28" s="58"/>
      <c r="M28" s="58"/>
      <c r="N28" s="134"/>
      <c r="O28" s="134"/>
      <c r="P28" s="6"/>
    </row>
    <row r="29">
      <c r="A29" s="93"/>
      <c r="B29" s="58"/>
      <c r="C29" s="58"/>
      <c r="D29" s="58"/>
      <c r="E29" s="58"/>
      <c r="F29" s="62"/>
      <c r="G29" s="58"/>
      <c r="H29" s="58"/>
      <c r="I29" s="58"/>
      <c r="J29" s="58"/>
      <c r="K29" s="58"/>
      <c r="L29" s="58"/>
      <c r="M29" s="58"/>
      <c r="N29" s="134"/>
      <c r="O29" s="134"/>
      <c r="P29" s="6"/>
      <c r="Q29" s="6">
        <v>890.0</v>
      </c>
    </row>
    <row r="30">
      <c r="A30" s="100" t="s">
        <v>8543</v>
      </c>
      <c r="B30" s="479" t="s">
        <v>6830</v>
      </c>
      <c r="C30" s="479" t="s">
        <v>21</v>
      </c>
      <c r="D30" s="479" t="s">
        <v>8544</v>
      </c>
      <c r="E30" s="479" t="s">
        <v>8545</v>
      </c>
      <c r="F30" s="525"/>
      <c r="G30" s="479"/>
      <c r="H30" s="479">
        <v>4995.0</v>
      </c>
      <c r="I30" s="479" t="s">
        <v>8546</v>
      </c>
      <c r="J30" s="479" t="s">
        <v>25</v>
      </c>
      <c r="K30" s="479" t="s">
        <v>49</v>
      </c>
      <c r="L30" s="479" t="s">
        <v>71</v>
      </c>
      <c r="M30" s="479" t="s">
        <v>8262</v>
      </c>
      <c r="N30" s="502">
        <v>17723.0</v>
      </c>
      <c r="O30" s="502"/>
      <c r="P30" s="6">
        <v>36.0</v>
      </c>
      <c r="Q30" s="31">
        <f t="shared" ref="Q30:Q43" si="3">N30*P30%</f>
        <v>6380.28</v>
      </c>
      <c r="R30" s="444">
        <f t="shared" ref="R30:R31" si="4">Q30-O30</f>
        <v>6380.28</v>
      </c>
    </row>
    <row r="31">
      <c r="A31" s="526" t="s">
        <v>8543</v>
      </c>
      <c r="B31" s="440" t="s">
        <v>2338</v>
      </c>
      <c r="C31" s="440" t="s">
        <v>21</v>
      </c>
      <c r="D31" s="440" t="s">
        <v>8547</v>
      </c>
      <c r="E31" s="440" t="s">
        <v>2340</v>
      </c>
      <c r="F31" s="441"/>
      <c r="G31" s="440"/>
      <c r="H31" s="440">
        <v>28000.0</v>
      </c>
      <c r="I31" s="440" t="s">
        <v>2004</v>
      </c>
      <c r="J31" s="440" t="s">
        <v>677</v>
      </c>
      <c r="K31" s="440" t="s">
        <v>49</v>
      </c>
      <c r="L31" s="440" t="s">
        <v>71</v>
      </c>
      <c r="M31" s="440" t="s">
        <v>8262</v>
      </c>
      <c r="N31" s="464">
        <v>46976.61</v>
      </c>
      <c r="O31" s="464"/>
      <c r="P31" s="6">
        <v>21.0</v>
      </c>
      <c r="Q31" s="31">
        <f t="shared" si="3"/>
        <v>9865.0881</v>
      </c>
      <c r="R31" s="31">
        <f t="shared" si="4"/>
        <v>9865.0881</v>
      </c>
    </row>
    <row r="32">
      <c r="A32" s="527" t="s">
        <v>8548</v>
      </c>
      <c r="B32" s="479" t="s">
        <v>1595</v>
      </c>
      <c r="C32" s="479" t="s">
        <v>21</v>
      </c>
      <c r="D32" s="479" t="s">
        <v>8549</v>
      </c>
      <c r="E32" s="479" t="s">
        <v>8550</v>
      </c>
      <c r="F32" s="525"/>
      <c r="G32" s="479"/>
      <c r="H32" s="479">
        <v>35000.0</v>
      </c>
      <c r="I32" s="479" t="s">
        <v>8546</v>
      </c>
      <c r="J32" s="479" t="s">
        <v>48</v>
      </c>
      <c r="K32" s="479" t="s">
        <v>49</v>
      </c>
      <c r="L32" s="479" t="s">
        <v>1436</v>
      </c>
      <c r="M32" s="479" t="s">
        <v>8262</v>
      </c>
      <c r="N32" s="528">
        <v>75922.0</v>
      </c>
      <c r="O32" s="481"/>
      <c r="P32" s="529">
        <v>21.0</v>
      </c>
      <c r="Q32" s="31">
        <f t="shared" si="3"/>
        <v>15943.62</v>
      </c>
      <c r="R32" s="479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</row>
    <row r="33">
      <c r="A33" s="526" t="s">
        <v>8548</v>
      </c>
      <c r="B33" s="440" t="s">
        <v>643</v>
      </c>
      <c r="C33" s="440" t="s">
        <v>21</v>
      </c>
      <c r="D33" s="440" t="s">
        <v>1739</v>
      </c>
      <c r="E33" s="440" t="s">
        <v>1876</v>
      </c>
      <c r="F33" s="441"/>
      <c r="G33" s="440"/>
      <c r="H33" s="440">
        <v>25000.0</v>
      </c>
      <c r="I33" s="440" t="s">
        <v>8551</v>
      </c>
      <c r="J33" s="440" t="s">
        <v>8525</v>
      </c>
      <c r="K33" s="440" t="s">
        <v>49</v>
      </c>
      <c r="L33" s="440" t="s">
        <v>71</v>
      </c>
      <c r="M33" s="440" t="s">
        <v>8262</v>
      </c>
      <c r="N33" s="464">
        <v>46665.0</v>
      </c>
      <c r="O33" s="464"/>
      <c r="P33" s="6">
        <v>22.0</v>
      </c>
      <c r="Q33" s="31">
        <f t="shared" si="3"/>
        <v>10266.3</v>
      </c>
      <c r="R33" s="31">
        <f t="shared" ref="R33:R42" si="5">Q33-O33</f>
        <v>10266.3</v>
      </c>
    </row>
    <row r="34">
      <c r="A34" s="526" t="s">
        <v>8552</v>
      </c>
      <c r="B34" s="440" t="s">
        <v>1775</v>
      </c>
      <c r="C34" s="440" t="s">
        <v>21</v>
      </c>
      <c r="D34" s="440" t="s">
        <v>8553</v>
      </c>
      <c r="E34" s="440" t="s">
        <v>8554</v>
      </c>
      <c r="F34" s="441"/>
      <c r="G34" s="440"/>
      <c r="H34" s="464">
        <v>28000.0</v>
      </c>
      <c r="I34" s="440" t="s">
        <v>1777</v>
      </c>
      <c r="J34" s="440" t="s">
        <v>8525</v>
      </c>
      <c r="K34" s="440" t="s">
        <v>49</v>
      </c>
      <c r="L34" s="440" t="s">
        <v>71</v>
      </c>
      <c r="M34" s="440" t="s">
        <v>8262</v>
      </c>
      <c r="N34" s="464">
        <v>46239.0</v>
      </c>
      <c r="O34" s="464"/>
      <c r="P34" s="6">
        <v>22.0</v>
      </c>
      <c r="Q34" s="31">
        <f t="shared" si="3"/>
        <v>10172.58</v>
      </c>
      <c r="R34" s="31">
        <f t="shared" si="5"/>
        <v>10172.58</v>
      </c>
    </row>
    <row r="35">
      <c r="A35" s="526" t="s">
        <v>8552</v>
      </c>
      <c r="B35" s="440" t="s">
        <v>1737</v>
      </c>
      <c r="C35" s="440" t="s">
        <v>21</v>
      </c>
      <c r="D35" s="440" t="s">
        <v>1739</v>
      </c>
      <c r="E35" s="440" t="s">
        <v>8555</v>
      </c>
      <c r="F35" s="441"/>
      <c r="G35" s="440"/>
      <c r="H35" s="464">
        <v>28000.0</v>
      </c>
      <c r="I35" s="440" t="s">
        <v>8556</v>
      </c>
      <c r="J35" s="440" t="s">
        <v>8525</v>
      </c>
      <c r="K35" s="440" t="s">
        <v>49</v>
      </c>
      <c r="L35" s="440" t="s">
        <v>71</v>
      </c>
      <c r="M35" s="440" t="s">
        <v>8262</v>
      </c>
      <c r="N35" s="464">
        <v>46797.0</v>
      </c>
      <c r="O35" s="464"/>
      <c r="P35" s="6">
        <v>22.0</v>
      </c>
      <c r="Q35" s="31">
        <f t="shared" si="3"/>
        <v>10295.34</v>
      </c>
      <c r="R35" s="31">
        <f t="shared" si="5"/>
        <v>10295.34</v>
      </c>
    </row>
    <row r="36">
      <c r="A36" s="526" t="s">
        <v>8552</v>
      </c>
      <c r="B36" s="440" t="s">
        <v>2188</v>
      </c>
      <c r="C36" s="440" t="s">
        <v>21</v>
      </c>
      <c r="D36" s="440" t="s">
        <v>8557</v>
      </c>
      <c r="E36" s="440" t="s">
        <v>6407</v>
      </c>
      <c r="F36" s="441"/>
      <c r="G36" s="440"/>
      <c r="H36" s="443">
        <v>16200.0</v>
      </c>
      <c r="I36" s="440" t="s">
        <v>1777</v>
      </c>
      <c r="J36" s="440" t="s">
        <v>8558</v>
      </c>
      <c r="K36" s="440" t="s">
        <v>26</v>
      </c>
      <c r="L36" s="440" t="s">
        <v>27</v>
      </c>
      <c r="M36" s="440" t="s">
        <v>8262</v>
      </c>
      <c r="N36" s="443">
        <v>35413.0</v>
      </c>
      <c r="O36" s="465"/>
      <c r="P36" s="6">
        <v>42.0</v>
      </c>
      <c r="Q36" s="31">
        <f t="shared" si="3"/>
        <v>14873.46</v>
      </c>
      <c r="R36" s="466">
        <f t="shared" si="5"/>
        <v>14873.46</v>
      </c>
    </row>
    <row r="37">
      <c r="A37" s="526" t="s">
        <v>8552</v>
      </c>
      <c r="B37" s="440" t="s">
        <v>445</v>
      </c>
      <c r="C37" s="440" t="s">
        <v>21</v>
      </c>
      <c r="D37" s="440" t="s">
        <v>8547</v>
      </c>
      <c r="E37" s="440" t="s">
        <v>382</v>
      </c>
      <c r="F37" s="441"/>
      <c r="G37" s="440"/>
      <c r="H37" s="464">
        <v>28000.0</v>
      </c>
      <c r="I37" s="440" t="s">
        <v>1777</v>
      </c>
      <c r="J37" s="440" t="s">
        <v>8525</v>
      </c>
      <c r="K37" s="440" t="s">
        <v>49</v>
      </c>
      <c r="L37" s="440" t="s">
        <v>71</v>
      </c>
      <c r="M37" s="440" t="s">
        <v>8262</v>
      </c>
      <c r="N37" s="464">
        <v>46422.0</v>
      </c>
      <c r="O37" s="464"/>
      <c r="P37" s="6">
        <v>22.0</v>
      </c>
      <c r="Q37" s="31">
        <f t="shared" si="3"/>
        <v>10212.84</v>
      </c>
      <c r="R37" s="31">
        <f t="shared" si="5"/>
        <v>10212.84</v>
      </c>
    </row>
    <row r="38">
      <c r="A38" s="526" t="s">
        <v>8552</v>
      </c>
      <c r="B38" s="440" t="s">
        <v>8559</v>
      </c>
      <c r="C38" s="440" t="s">
        <v>21</v>
      </c>
      <c r="D38" s="440" t="s">
        <v>8560</v>
      </c>
      <c r="E38" s="440" t="s">
        <v>8561</v>
      </c>
      <c r="F38" s="441"/>
      <c r="G38" s="440"/>
      <c r="H38" s="464">
        <v>7490.0</v>
      </c>
      <c r="I38" s="440" t="s">
        <v>8556</v>
      </c>
      <c r="J38" s="440" t="s">
        <v>25</v>
      </c>
      <c r="K38" s="440" t="s">
        <v>49</v>
      </c>
      <c r="L38" s="440" t="s">
        <v>27</v>
      </c>
      <c r="M38" s="440" t="s">
        <v>8262</v>
      </c>
      <c r="N38" s="443">
        <v>19489.0</v>
      </c>
      <c r="O38" s="465"/>
      <c r="P38" s="6">
        <v>36.0</v>
      </c>
      <c r="Q38" s="31">
        <f t="shared" si="3"/>
        <v>7016.04</v>
      </c>
      <c r="R38" s="466">
        <f t="shared" si="5"/>
        <v>7016.04</v>
      </c>
    </row>
    <row r="39">
      <c r="A39" s="526" t="s">
        <v>8552</v>
      </c>
      <c r="B39" s="440" t="s">
        <v>6845</v>
      </c>
      <c r="C39" s="440" t="s">
        <v>1395</v>
      </c>
      <c r="D39" s="440" t="s">
        <v>528</v>
      </c>
      <c r="E39" s="440" t="s">
        <v>8562</v>
      </c>
      <c r="F39" s="441"/>
      <c r="G39" s="440"/>
      <c r="H39" s="464">
        <v>3425.0</v>
      </c>
      <c r="I39" s="440" t="s">
        <v>8556</v>
      </c>
      <c r="J39" s="440" t="s">
        <v>116</v>
      </c>
      <c r="K39" s="440" t="s">
        <v>49</v>
      </c>
      <c r="L39" s="440" t="s">
        <v>71</v>
      </c>
      <c r="M39" s="440" t="s">
        <v>8262</v>
      </c>
      <c r="N39" s="465">
        <v>17864.0</v>
      </c>
      <c r="O39" s="443"/>
      <c r="P39" s="6">
        <v>51.0</v>
      </c>
      <c r="Q39" s="31">
        <f t="shared" si="3"/>
        <v>9110.64</v>
      </c>
      <c r="R39" s="444">
        <f t="shared" si="5"/>
        <v>9110.64</v>
      </c>
    </row>
    <row r="40">
      <c r="A40" s="526" t="s">
        <v>8563</v>
      </c>
      <c r="B40" s="440" t="s">
        <v>1796</v>
      </c>
      <c r="C40" s="440" t="s">
        <v>21</v>
      </c>
      <c r="D40" s="440" t="s">
        <v>8547</v>
      </c>
      <c r="E40" s="440" t="s">
        <v>8564</v>
      </c>
      <c r="F40" s="441"/>
      <c r="G40" s="440"/>
      <c r="H40" s="464">
        <v>28000.0</v>
      </c>
      <c r="I40" s="440" t="s">
        <v>8565</v>
      </c>
      <c r="J40" s="440" t="s">
        <v>8525</v>
      </c>
      <c r="K40" s="440" t="s">
        <v>49</v>
      </c>
      <c r="L40" s="440" t="s">
        <v>71</v>
      </c>
      <c r="M40" s="440" t="s">
        <v>28</v>
      </c>
      <c r="N40" s="464">
        <v>46673.0</v>
      </c>
      <c r="O40" s="464"/>
      <c r="P40" s="6">
        <v>22.0</v>
      </c>
      <c r="Q40" s="31">
        <f t="shared" si="3"/>
        <v>10268.06</v>
      </c>
      <c r="R40" s="31">
        <f t="shared" si="5"/>
        <v>10268.06</v>
      </c>
    </row>
    <row r="41">
      <c r="A41" s="526" t="s">
        <v>8563</v>
      </c>
      <c r="B41" s="440" t="s">
        <v>1269</v>
      </c>
      <c r="C41" s="440" t="s">
        <v>1395</v>
      </c>
      <c r="D41" s="440" t="s">
        <v>423</v>
      </c>
      <c r="E41" s="440" t="s">
        <v>8566</v>
      </c>
      <c r="F41" s="441"/>
      <c r="G41" s="440"/>
      <c r="H41" s="464">
        <v>2700.0</v>
      </c>
      <c r="I41" s="440" t="s">
        <v>8567</v>
      </c>
      <c r="J41" s="440" t="s">
        <v>116</v>
      </c>
      <c r="K41" s="440" t="s">
        <v>49</v>
      </c>
      <c r="L41" s="440" t="s">
        <v>71</v>
      </c>
      <c r="M41" s="440" t="s">
        <v>8262</v>
      </c>
      <c r="N41" s="443">
        <v>17678.0</v>
      </c>
      <c r="O41" s="465"/>
      <c r="P41" s="6">
        <v>51.0</v>
      </c>
      <c r="Q41" s="31">
        <f t="shared" si="3"/>
        <v>9015.78</v>
      </c>
      <c r="R41" s="466">
        <f t="shared" si="5"/>
        <v>9015.78</v>
      </c>
    </row>
    <row r="42">
      <c r="A42" s="526" t="s">
        <v>8568</v>
      </c>
      <c r="B42" s="440" t="s">
        <v>8569</v>
      </c>
      <c r="C42" s="440" t="s">
        <v>1395</v>
      </c>
      <c r="D42" s="440" t="s">
        <v>528</v>
      </c>
      <c r="E42" s="440" t="s">
        <v>8570</v>
      </c>
      <c r="F42" s="441"/>
      <c r="G42" s="440"/>
      <c r="H42" s="464">
        <v>3425.0</v>
      </c>
      <c r="I42" s="440" t="s">
        <v>8565</v>
      </c>
      <c r="J42" s="440" t="s">
        <v>116</v>
      </c>
      <c r="K42" s="440" t="s">
        <v>49</v>
      </c>
      <c r="L42" s="440" t="s">
        <v>1456</v>
      </c>
      <c r="M42" s="440" t="s">
        <v>8262</v>
      </c>
      <c r="N42" s="530">
        <v>23824.0</v>
      </c>
      <c r="O42" s="443"/>
      <c r="P42" s="6">
        <v>51.0</v>
      </c>
      <c r="Q42" s="31">
        <f t="shared" si="3"/>
        <v>12150.24</v>
      </c>
      <c r="R42" s="444">
        <f t="shared" si="5"/>
        <v>12150.24</v>
      </c>
    </row>
    <row r="43">
      <c r="A43" s="526" t="s">
        <v>8568</v>
      </c>
      <c r="B43" s="440" t="s">
        <v>6753</v>
      </c>
      <c r="C43" s="440" t="s">
        <v>1395</v>
      </c>
      <c r="D43" s="440" t="s">
        <v>8571</v>
      </c>
      <c r="E43" s="440" t="s">
        <v>8572</v>
      </c>
      <c r="F43" s="441"/>
      <c r="G43" s="440"/>
      <c r="H43" s="440">
        <v>2670.0</v>
      </c>
      <c r="I43" s="440" t="s">
        <v>1777</v>
      </c>
      <c r="J43" s="440" t="s">
        <v>116</v>
      </c>
      <c r="K43" s="440" t="s">
        <v>49</v>
      </c>
      <c r="L43" s="440" t="s">
        <v>71</v>
      </c>
      <c r="M43" s="440" t="s">
        <v>8262</v>
      </c>
      <c r="N43" s="464">
        <v>18114.0</v>
      </c>
      <c r="O43" s="464"/>
      <c r="P43" s="6">
        <v>51.0</v>
      </c>
      <c r="Q43" s="31">
        <f t="shared" si="3"/>
        <v>9238.14</v>
      </c>
      <c r="R43" s="31"/>
    </row>
    <row r="44">
      <c r="A44" s="126"/>
      <c r="F44" s="236"/>
      <c r="R44" s="31"/>
    </row>
    <row r="45">
      <c r="A45" s="126"/>
      <c r="F45" s="236"/>
      <c r="R45" s="31"/>
    </row>
    <row r="46">
      <c r="A46" s="126"/>
      <c r="F46" s="236"/>
      <c r="R46" s="31"/>
    </row>
    <row r="47">
      <c r="A47" s="126"/>
      <c r="F47" s="236"/>
      <c r="R47" s="31"/>
    </row>
    <row r="48">
      <c r="A48" s="126"/>
      <c r="F48" s="236"/>
      <c r="R48" s="31"/>
    </row>
    <row r="49">
      <c r="A49" s="126"/>
      <c r="F49" s="236"/>
      <c r="R49" s="31"/>
    </row>
    <row r="50">
      <c r="A50" s="126"/>
      <c r="F50" s="236"/>
      <c r="O50" s="296">
        <f>SUM(O4:O49)</f>
        <v>152640</v>
      </c>
      <c r="Q50" s="296">
        <f>SUM(Q4:Q49)</f>
        <v>298338.8481</v>
      </c>
      <c r="R50" s="31"/>
    </row>
    <row r="51">
      <c r="A51" s="126"/>
      <c r="F51" s="236"/>
      <c r="R51" s="31"/>
    </row>
    <row r="52">
      <c r="A52" s="126"/>
      <c r="F52" s="236"/>
      <c r="R52" s="31"/>
    </row>
    <row r="53">
      <c r="A53" s="126"/>
      <c r="F53" s="236"/>
      <c r="P53" s="311">
        <f>Q50-O50</f>
        <v>145698.8481</v>
      </c>
      <c r="R53" s="31"/>
    </row>
    <row r="54">
      <c r="A54" s="1" t="s">
        <v>0</v>
      </c>
      <c r="B54" s="1" t="s">
        <v>1</v>
      </c>
      <c r="C54" s="3" t="s">
        <v>3</v>
      </c>
      <c r="D54" s="1" t="s">
        <v>4</v>
      </c>
      <c r="E54" s="3" t="s">
        <v>5</v>
      </c>
      <c r="F54" s="4" t="s">
        <v>6</v>
      </c>
      <c r="G54" s="4" t="s">
        <v>7</v>
      </c>
      <c r="H54" s="4" t="s">
        <v>8</v>
      </c>
      <c r="I54" s="4" t="s">
        <v>9</v>
      </c>
      <c r="J54" s="1" t="s">
        <v>10</v>
      </c>
      <c r="K54" s="3" t="s">
        <v>11</v>
      </c>
      <c r="L54" s="3" t="s">
        <v>12</v>
      </c>
      <c r="M54" s="3" t="s">
        <v>13</v>
      </c>
      <c r="N54" s="3" t="s">
        <v>14</v>
      </c>
      <c r="O54" s="3" t="s">
        <v>15</v>
      </c>
      <c r="P54" s="2" t="s">
        <v>16</v>
      </c>
      <c r="Q54" s="2" t="s">
        <v>17</v>
      </c>
      <c r="R54" s="5"/>
    </row>
    <row r="55">
      <c r="A55" s="100" t="s">
        <v>8573</v>
      </c>
      <c r="B55" s="479" t="s">
        <v>8574</v>
      </c>
      <c r="C55" s="479" t="s">
        <v>533</v>
      </c>
      <c r="D55" s="501" t="s">
        <v>8575</v>
      </c>
      <c r="E55" s="479" t="s">
        <v>8576</v>
      </c>
      <c r="F55" s="525"/>
      <c r="G55" s="479"/>
      <c r="H55" s="479"/>
      <c r="I55" s="479" t="s">
        <v>1783</v>
      </c>
      <c r="J55" s="479" t="s">
        <v>78</v>
      </c>
      <c r="K55" s="479" t="s">
        <v>49</v>
      </c>
      <c r="L55" s="479" t="s">
        <v>27</v>
      </c>
      <c r="M55" s="479" t="s">
        <v>8262</v>
      </c>
      <c r="N55" s="481">
        <v>7792.0</v>
      </c>
      <c r="O55" s="5"/>
      <c r="P55" s="5">
        <v>49.0</v>
      </c>
      <c r="Q55" s="31">
        <f t="shared" ref="Q55:Q79" si="6">N55*P55%</f>
        <v>3818.08</v>
      </c>
      <c r="R55" s="31"/>
    </row>
    <row r="56">
      <c r="A56" s="526" t="s">
        <v>8577</v>
      </c>
      <c r="B56" s="440" t="s">
        <v>8578</v>
      </c>
      <c r="C56" s="440" t="s">
        <v>21</v>
      </c>
      <c r="D56" s="440" t="s">
        <v>8579</v>
      </c>
      <c r="E56" s="440" t="s">
        <v>8580</v>
      </c>
      <c r="F56" s="441"/>
      <c r="G56" s="440"/>
      <c r="H56" s="464">
        <v>35000.0</v>
      </c>
      <c r="I56" s="440" t="s">
        <v>1859</v>
      </c>
      <c r="J56" s="440" t="s">
        <v>8525</v>
      </c>
      <c r="K56" s="440" t="s">
        <v>49</v>
      </c>
      <c r="L56" s="440" t="s">
        <v>27</v>
      </c>
      <c r="M56" s="440" t="s">
        <v>8262</v>
      </c>
      <c r="N56" s="464">
        <v>46315.0</v>
      </c>
      <c r="O56" s="5"/>
      <c r="P56" s="5">
        <v>22.0</v>
      </c>
      <c r="Q56" s="31">
        <f t="shared" si="6"/>
        <v>10189.3</v>
      </c>
      <c r="R56" s="31"/>
    </row>
    <row r="57">
      <c r="A57" s="526" t="s">
        <v>8577</v>
      </c>
      <c r="B57" s="440" t="s">
        <v>8581</v>
      </c>
      <c r="C57" s="440" t="s">
        <v>21</v>
      </c>
      <c r="D57" s="440" t="s">
        <v>8582</v>
      </c>
      <c r="E57" s="440" t="s">
        <v>8583</v>
      </c>
      <c r="F57" s="441"/>
      <c r="G57" s="440"/>
      <c r="H57" s="464">
        <v>35000.0</v>
      </c>
      <c r="I57" s="440" t="s">
        <v>1859</v>
      </c>
      <c r="J57" s="440" t="s">
        <v>8525</v>
      </c>
      <c r="K57" s="440" t="s">
        <v>49</v>
      </c>
      <c r="L57" s="440" t="s">
        <v>27</v>
      </c>
      <c r="M57" s="440" t="s">
        <v>8262</v>
      </c>
      <c r="N57" s="464">
        <v>46002.0</v>
      </c>
      <c r="O57" s="5"/>
      <c r="P57" s="5">
        <v>22.0</v>
      </c>
      <c r="Q57" s="31">
        <f t="shared" si="6"/>
        <v>10120.44</v>
      </c>
      <c r="R57" s="31"/>
    </row>
    <row r="58">
      <c r="A58" s="526" t="s">
        <v>8584</v>
      </c>
      <c r="B58" s="440" t="s">
        <v>8585</v>
      </c>
      <c r="C58" s="440" t="s">
        <v>533</v>
      </c>
      <c r="D58" s="440" t="s">
        <v>8586</v>
      </c>
      <c r="E58" s="440" t="s">
        <v>8587</v>
      </c>
      <c r="F58" s="441"/>
      <c r="G58" s="440"/>
      <c r="H58" s="440"/>
      <c r="I58" s="440" t="s">
        <v>1894</v>
      </c>
      <c r="J58" s="440" t="s">
        <v>78</v>
      </c>
      <c r="K58" s="440" t="s">
        <v>49</v>
      </c>
      <c r="L58" s="440" t="s">
        <v>27</v>
      </c>
      <c r="M58" s="440" t="s">
        <v>8262</v>
      </c>
      <c r="N58" s="464">
        <v>7626.0</v>
      </c>
      <c r="O58" s="5"/>
      <c r="P58" s="5">
        <v>49.0</v>
      </c>
      <c r="Q58" s="31">
        <f t="shared" si="6"/>
        <v>3736.74</v>
      </c>
      <c r="R58" s="31"/>
    </row>
    <row r="59">
      <c r="A59" s="526" t="s">
        <v>8584</v>
      </c>
      <c r="B59" s="440" t="s">
        <v>8588</v>
      </c>
      <c r="C59" s="440" t="s">
        <v>1395</v>
      </c>
      <c r="D59" s="440" t="s">
        <v>528</v>
      </c>
      <c r="E59" s="440" t="s">
        <v>8589</v>
      </c>
      <c r="F59" s="441"/>
      <c r="G59" s="440"/>
      <c r="H59" s="464">
        <v>3425.0</v>
      </c>
      <c r="I59" s="440" t="s">
        <v>1971</v>
      </c>
      <c r="J59" s="440" t="s">
        <v>116</v>
      </c>
      <c r="K59" s="440" t="s">
        <v>49</v>
      </c>
      <c r="L59" s="440" t="s">
        <v>27</v>
      </c>
      <c r="M59" s="440" t="s">
        <v>8262</v>
      </c>
      <c r="N59" s="443">
        <v>22376.0</v>
      </c>
      <c r="O59" s="5"/>
      <c r="P59" s="5">
        <v>51.0</v>
      </c>
      <c r="Q59" s="31">
        <f t="shared" si="6"/>
        <v>11411.76</v>
      </c>
      <c r="R59" s="31"/>
    </row>
    <row r="60">
      <c r="A60" s="526" t="s">
        <v>8584</v>
      </c>
      <c r="B60" s="440" t="s">
        <v>2005</v>
      </c>
      <c r="C60" s="440" t="s">
        <v>1395</v>
      </c>
      <c r="D60" s="440" t="s">
        <v>528</v>
      </c>
      <c r="E60" s="440" t="s">
        <v>8590</v>
      </c>
      <c r="F60" s="441"/>
      <c r="G60" s="440"/>
      <c r="H60" s="464">
        <v>2960.0</v>
      </c>
      <c r="I60" s="440" t="s">
        <v>1980</v>
      </c>
      <c r="J60" s="440" t="s">
        <v>116</v>
      </c>
      <c r="K60" s="440" t="s">
        <v>49</v>
      </c>
      <c r="L60" s="440" t="s">
        <v>27</v>
      </c>
      <c r="M60" s="440" t="s">
        <v>8262</v>
      </c>
      <c r="N60" s="443">
        <v>18449.0</v>
      </c>
      <c r="O60" s="5"/>
      <c r="P60" s="5">
        <v>51.0</v>
      </c>
      <c r="Q60" s="31">
        <f t="shared" si="6"/>
        <v>9408.99</v>
      </c>
      <c r="R60" s="31"/>
    </row>
    <row r="61">
      <c r="A61" s="526" t="s">
        <v>8584</v>
      </c>
      <c r="B61" s="440" t="s">
        <v>1901</v>
      </c>
      <c r="C61" s="440" t="s">
        <v>1395</v>
      </c>
      <c r="D61" s="440" t="s">
        <v>528</v>
      </c>
      <c r="E61" s="440" t="s">
        <v>8591</v>
      </c>
      <c r="F61" s="441"/>
      <c r="G61" s="440"/>
      <c r="H61" s="464">
        <v>2995.0</v>
      </c>
      <c r="I61" s="440" t="s">
        <v>1971</v>
      </c>
      <c r="J61" s="440" t="s">
        <v>116</v>
      </c>
      <c r="K61" s="440" t="s">
        <v>49</v>
      </c>
      <c r="L61" s="440" t="s">
        <v>71</v>
      </c>
      <c r="M61" s="440" t="s">
        <v>8262</v>
      </c>
      <c r="N61" s="465">
        <v>17800.0</v>
      </c>
      <c r="O61" s="5"/>
      <c r="P61" s="5">
        <v>51.0</v>
      </c>
      <c r="Q61" s="31">
        <f t="shared" si="6"/>
        <v>9078</v>
      </c>
      <c r="R61" s="31"/>
    </row>
    <row r="62">
      <c r="A62" s="526" t="s">
        <v>8584</v>
      </c>
      <c r="B62" s="440" t="s">
        <v>1972</v>
      </c>
      <c r="C62" s="440" t="s">
        <v>1395</v>
      </c>
      <c r="D62" s="440" t="s">
        <v>528</v>
      </c>
      <c r="E62" s="440" t="s">
        <v>8592</v>
      </c>
      <c r="F62" s="441"/>
      <c r="G62" s="440"/>
      <c r="H62" s="464">
        <v>3425.0</v>
      </c>
      <c r="I62" s="440" t="s">
        <v>1971</v>
      </c>
      <c r="J62" s="440" t="s">
        <v>116</v>
      </c>
      <c r="K62" s="440" t="s">
        <v>49</v>
      </c>
      <c r="L62" s="440" t="s">
        <v>71</v>
      </c>
      <c r="M62" s="440" t="s">
        <v>8262</v>
      </c>
      <c r="N62" s="465">
        <v>18237.0</v>
      </c>
      <c r="O62" s="5"/>
      <c r="P62" s="5">
        <v>51.0</v>
      </c>
      <c r="Q62" s="31">
        <f t="shared" si="6"/>
        <v>9300.87</v>
      </c>
      <c r="R62" s="31"/>
    </row>
    <row r="63">
      <c r="A63" s="526" t="s">
        <v>8593</v>
      </c>
      <c r="B63" s="440" t="s">
        <v>660</v>
      </c>
      <c r="C63" s="440" t="s">
        <v>21</v>
      </c>
      <c r="D63" s="440" t="s">
        <v>8594</v>
      </c>
      <c r="E63" s="440" t="s">
        <v>8595</v>
      </c>
      <c r="F63" s="441"/>
      <c r="G63" s="440"/>
      <c r="H63" s="464">
        <v>28000.0</v>
      </c>
      <c r="I63" s="440" t="s">
        <v>8596</v>
      </c>
      <c r="J63" s="440" t="s">
        <v>8525</v>
      </c>
      <c r="K63" s="440" t="s">
        <v>49</v>
      </c>
      <c r="L63" s="440" t="s">
        <v>71</v>
      </c>
      <c r="M63" s="440" t="s">
        <v>8262</v>
      </c>
      <c r="N63" s="464">
        <v>45782.0</v>
      </c>
      <c r="O63" s="5"/>
      <c r="P63" s="5">
        <v>22.0</v>
      </c>
      <c r="Q63" s="31">
        <f t="shared" si="6"/>
        <v>10072.04</v>
      </c>
      <c r="R63" s="31"/>
    </row>
    <row r="64">
      <c r="A64" s="526" t="s">
        <v>8593</v>
      </c>
      <c r="B64" s="440" t="s">
        <v>2255</v>
      </c>
      <c r="C64" s="440" t="s">
        <v>1395</v>
      </c>
      <c r="D64" s="440" t="s">
        <v>528</v>
      </c>
      <c r="E64" s="440" t="s">
        <v>8597</v>
      </c>
      <c r="F64" s="441"/>
      <c r="G64" s="440"/>
      <c r="H64" s="464">
        <v>2735.0</v>
      </c>
      <c r="I64" s="440" t="s">
        <v>1976</v>
      </c>
      <c r="J64" s="440" t="s">
        <v>1424</v>
      </c>
      <c r="K64" s="440" t="s">
        <v>49</v>
      </c>
      <c r="L64" s="440" t="s">
        <v>8312</v>
      </c>
      <c r="M64" s="440" t="s">
        <v>8262</v>
      </c>
      <c r="N64" s="467">
        <v>21334.0</v>
      </c>
      <c r="O64" s="5"/>
      <c r="P64" s="5">
        <v>53.0</v>
      </c>
      <c r="Q64" s="31">
        <f t="shared" si="6"/>
        <v>11307.02</v>
      </c>
      <c r="R64" s="31"/>
    </row>
    <row r="65">
      <c r="A65" s="526" t="s">
        <v>8593</v>
      </c>
      <c r="B65" s="440" t="s">
        <v>6898</v>
      </c>
      <c r="C65" s="440" t="s">
        <v>1395</v>
      </c>
      <c r="D65" s="440" t="s">
        <v>262</v>
      </c>
      <c r="E65" s="440" t="s">
        <v>8598</v>
      </c>
      <c r="F65" s="441"/>
      <c r="G65" s="440"/>
      <c r="H65" s="464">
        <v>1600.0</v>
      </c>
      <c r="I65" s="440" t="s">
        <v>2059</v>
      </c>
      <c r="J65" s="440" t="s">
        <v>1424</v>
      </c>
      <c r="K65" s="440" t="s">
        <v>49</v>
      </c>
      <c r="L65" s="440" t="s">
        <v>71</v>
      </c>
      <c r="M65" s="440" t="s">
        <v>8262</v>
      </c>
      <c r="N65" s="467">
        <v>19293.0</v>
      </c>
      <c r="O65" s="5"/>
      <c r="P65" s="5">
        <v>53.0</v>
      </c>
      <c r="Q65" s="31">
        <f t="shared" si="6"/>
        <v>10225.29</v>
      </c>
      <c r="R65" s="31"/>
    </row>
    <row r="66">
      <c r="A66" s="526" t="s">
        <v>8593</v>
      </c>
      <c r="B66" s="440" t="s">
        <v>1986</v>
      </c>
      <c r="C66" s="440" t="s">
        <v>1395</v>
      </c>
      <c r="D66" s="440" t="s">
        <v>528</v>
      </c>
      <c r="E66" s="440" t="s">
        <v>8599</v>
      </c>
      <c r="F66" s="441"/>
      <c r="G66" s="440"/>
      <c r="H66" s="464">
        <v>2735.0</v>
      </c>
      <c r="I66" s="440" t="s">
        <v>1976</v>
      </c>
      <c r="J66" s="440" t="s">
        <v>116</v>
      </c>
      <c r="K66" s="440" t="s">
        <v>49</v>
      </c>
      <c r="L66" s="440" t="s">
        <v>71</v>
      </c>
      <c r="M66" s="440" t="s">
        <v>8262</v>
      </c>
      <c r="N66" s="465">
        <v>17225.0</v>
      </c>
      <c r="O66" s="5"/>
      <c r="P66" s="5">
        <v>51.0</v>
      </c>
      <c r="Q66" s="31">
        <f t="shared" si="6"/>
        <v>8784.75</v>
      </c>
      <c r="R66" s="31"/>
    </row>
    <row r="67">
      <c r="A67" s="526" t="s">
        <v>8593</v>
      </c>
      <c r="B67" s="440" t="s">
        <v>8600</v>
      </c>
      <c r="C67" s="440" t="s">
        <v>21</v>
      </c>
      <c r="D67" s="440" t="s">
        <v>8601</v>
      </c>
      <c r="E67" s="440" t="s">
        <v>8602</v>
      </c>
      <c r="F67" s="441"/>
      <c r="G67" s="440"/>
      <c r="H67" s="464">
        <v>35000.0</v>
      </c>
      <c r="I67" s="440" t="s">
        <v>1976</v>
      </c>
      <c r="J67" s="440" t="s">
        <v>8525</v>
      </c>
      <c r="K67" s="440" t="s">
        <v>49</v>
      </c>
      <c r="L67" s="440" t="s">
        <v>27</v>
      </c>
      <c r="M67" s="440" t="s">
        <v>8262</v>
      </c>
      <c r="N67" s="464">
        <v>45924.0</v>
      </c>
      <c r="O67" s="5"/>
      <c r="P67" s="5">
        <v>22.0</v>
      </c>
      <c r="Q67" s="31">
        <f t="shared" si="6"/>
        <v>10103.28</v>
      </c>
      <c r="R67" s="31"/>
    </row>
    <row r="68">
      <c r="A68" s="526" t="s">
        <v>8593</v>
      </c>
      <c r="B68" s="440" t="s">
        <v>8603</v>
      </c>
      <c r="C68" s="440" t="s">
        <v>21</v>
      </c>
      <c r="D68" s="440" t="s">
        <v>8601</v>
      </c>
      <c r="E68" s="440" t="s">
        <v>8604</v>
      </c>
      <c r="F68" s="441"/>
      <c r="G68" s="440"/>
      <c r="H68" s="464">
        <v>35000.0</v>
      </c>
      <c r="I68" s="440" t="s">
        <v>1980</v>
      </c>
      <c r="J68" s="440" t="s">
        <v>8525</v>
      </c>
      <c r="K68" s="440" t="s">
        <v>49</v>
      </c>
      <c r="L68" s="440" t="s">
        <v>27</v>
      </c>
      <c r="M68" s="440" t="s">
        <v>8262</v>
      </c>
      <c r="N68" s="464">
        <v>46132.0</v>
      </c>
      <c r="O68" s="5"/>
      <c r="P68" s="5">
        <v>22.0</v>
      </c>
      <c r="Q68" s="31">
        <f t="shared" si="6"/>
        <v>10149.04</v>
      </c>
      <c r="R68" s="31"/>
    </row>
    <row r="69">
      <c r="A69" s="526" t="s">
        <v>8605</v>
      </c>
      <c r="B69" s="440" t="s">
        <v>526</v>
      </c>
      <c r="C69" s="440" t="s">
        <v>1395</v>
      </c>
      <c r="D69" s="440" t="s">
        <v>528</v>
      </c>
      <c r="E69" s="440" t="s">
        <v>529</v>
      </c>
      <c r="F69" s="441"/>
      <c r="G69" s="440"/>
      <c r="H69" s="464">
        <v>3425.0</v>
      </c>
      <c r="I69" s="440" t="s">
        <v>1971</v>
      </c>
      <c r="J69" s="440" t="s">
        <v>116</v>
      </c>
      <c r="K69" s="440" t="s">
        <v>49</v>
      </c>
      <c r="L69" s="440" t="s">
        <v>1436</v>
      </c>
      <c r="M69" s="440" t="s">
        <v>8262</v>
      </c>
      <c r="N69" s="443">
        <v>22089.0</v>
      </c>
      <c r="O69" s="5"/>
      <c r="P69" s="5">
        <v>51.0</v>
      </c>
      <c r="Q69" s="31">
        <f t="shared" si="6"/>
        <v>11265.39</v>
      </c>
      <c r="R69" s="31"/>
    </row>
    <row r="70">
      <c r="A70" s="526" t="s">
        <v>8606</v>
      </c>
      <c r="B70" s="440" t="s">
        <v>8607</v>
      </c>
      <c r="C70" s="440" t="s">
        <v>1395</v>
      </c>
      <c r="D70" s="440" t="s">
        <v>528</v>
      </c>
      <c r="E70" s="440" t="s">
        <v>8608</v>
      </c>
      <c r="F70" s="441"/>
      <c r="G70" s="440"/>
      <c r="H70" s="464">
        <v>3425.0</v>
      </c>
      <c r="I70" s="440" t="s">
        <v>2004</v>
      </c>
      <c r="J70" s="440" t="s">
        <v>116</v>
      </c>
      <c r="K70" s="440" t="s">
        <v>49</v>
      </c>
      <c r="L70" s="440" t="s">
        <v>3028</v>
      </c>
      <c r="M70" s="440" t="s">
        <v>8262</v>
      </c>
      <c r="N70" s="443">
        <v>23319.0</v>
      </c>
      <c r="O70" s="5"/>
      <c r="P70" s="5">
        <v>51.0</v>
      </c>
      <c r="Q70" s="31">
        <f t="shared" si="6"/>
        <v>11892.69</v>
      </c>
      <c r="R70" s="31"/>
    </row>
    <row r="71">
      <c r="A71" s="526" t="s">
        <v>8606</v>
      </c>
      <c r="B71" s="440" t="s">
        <v>2641</v>
      </c>
      <c r="C71" s="440" t="s">
        <v>21</v>
      </c>
      <c r="D71" s="440" t="s">
        <v>8609</v>
      </c>
      <c r="E71" s="440" t="s">
        <v>8610</v>
      </c>
      <c r="F71" s="441"/>
      <c r="G71" s="440"/>
      <c r="H71" s="464">
        <v>16140.0</v>
      </c>
      <c r="I71" s="440" t="s">
        <v>2053</v>
      </c>
      <c r="J71" s="440" t="s">
        <v>48</v>
      </c>
      <c r="K71" s="440" t="s">
        <v>49</v>
      </c>
      <c r="L71" s="440" t="s">
        <v>1456</v>
      </c>
      <c r="M71" s="440" t="s">
        <v>8262</v>
      </c>
      <c r="N71" s="464">
        <v>52037.0</v>
      </c>
      <c r="O71" s="5"/>
      <c r="P71" s="5">
        <v>21.0</v>
      </c>
      <c r="Q71" s="31">
        <f t="shared" si="6"/>
        <v>10927.77</v>
      </c>
      <c r="R71" s="31"/>
    </row>
    <row r="72">
      <c r="A72" s="526" t="s">
        <v>8606</v>
      </c>
      <c r="B72" s="440" t="s">
        <v>1864</v>
      </c>
      <c r="C72" s="440" t="s">
        <v>21</v>
      </c>
      <c r="D72" s="440" t="s">
        <v>7867</v>
      </c>
      <c r="E72" s="440" t="s">
        <v>8611</v>
      </c>
      <c r="F72" s="441"/>
      <c r="G72" s="440"/>
      <c r="H72" s="464">
        <v>12990.0</v>
      </c>
      <c r="I72" s="440" t="s">
        <v>2053</v>
      </c>
      <c r="J72" s="440" t="s">
        <v>8525</v>
      </c>
      <c r="K72" s="440" t="s">
        <v>49</v>
      </c>
      <c r="L72" s="440" t="s">
        <v>3028</v>
      </c>
      <c r="M72" s="440" t="s">
        <v>8262</v>
      </c>
      <c r="N72" s="464">
        <v>37486.0</v>
      </c>
      <c r="O72" s="5"/>
      <c r="P72" s="5">
        <v>22.0</v>
      </c>
      <c r="Q72" s="31">
        <f t="shared" si="6"/>
        <v>8246.92</v>
      </c>
      <c r="R72" s="31"/>
    </row>
    <row r="73">
      <c r="A73" s="526" t="s">
        <v>8606</v>
      </c>
      <c r="B73" s="440" t="s">
        <v>2085</v>
      </c>
      <c r="C73" s="440" t="s">
        <v>1395</v>
      </c>
      <c r="D73" s="440" t="s">
        <v>528</v>
      </c>
      <c r="E73" s="440" t="s">
        <v>2088</v>
      </c>
      <c r="F73" s="441"/>
      <c r="G73" s="440"/>
      <c r="H73" s="464">
        <v>2995.0</v>
      </c>
      <c r="I73" s="442">
        <v>45659.0</v>
      </c>
      <c r="J73" s="440" t="s">
        <v>116</v>
      </c>
      <c r="K73" s="440" t="s">
        <v>49</v>
      </c>
      <c r="L73" s="440" t="s">
        <v>8392</v>
      </c>
      <c r="M73" s="440" t="s">
        <v>8262</v>
      </c>
      <c r="N73" s="443">
        <v>23706.0</v>
      </c>
      <c r="O73" s="5"/>
      <c r="P73" s="5">
        <v>51.0</v>
      </c>
      <c r="Q73" s="31">
        <f t="shared" si="6"/>
        <v>12090.06</v>
      </c>
      <c r="R73" s="31"/>
    </row>
    <row r="74">
      <c r="A74" s="526" t="s">
        <v>8606</v>
      </c>
      <c r="B74" s="396" t="s">
        <v>1903</v>
      </c>
      <c r="C74" s="440" t="s">
        <v>1395</v>
      </c>
      <c r="D74" s="440" t="s">
        <v>262</v>
      </c>
      <c r="E74" s="440" t="s">
        <v>1904</v>
      </c>
      <c r="F74" s="441"/>
      <c r="G74" s="440"/>
      <c r="H74" s="464">
        <v>1600.0</v>
      </c>
      <c r="I74" s="442">
        <v>45659.0</v>
      </c>
      <c r="J74" s="440" t="s">
        <v>8516</v>
      </c>
      <c r="K74" s="440" t="s">
        <v>49</v>
      </c>
      <c r="L74" s="440" t="s">
        <v>3028</v>
      </c>
      <c r="M74" s="440" t="s">
        <v>8262</v>
      </c>
      <c r="N74" s="464">
        <v>20707.0</v>
      </c>
      <c r="O74" s="5"/>
      <c r="P74" s="5">
        <v>53.0</v>
      </c>
      <c r="Q74" s="31">
        <f t="shared" si="6"/>
        <v>10974.71</v>
      </c>
      <c r="R74" s="31"/>
    </row>
    <row r="75">
      <c r="A75" s="526" t="s">
        <v>8606</v>
      </c>
      <c r="B75" s="440" t="s">
        <v>8612</v>
      </c>
      <c r="C75" s="440" t="s">
        <v>21</v>
      </c>
      <c r="D75" s="440" t="s">
        <v>8613</v>
      </c>
      <c r="E75" s="440" t="s">
        <v>8282</v>
      </c>
      <c r="F75" s="441"/>
      <c r="G75" s="440"/>
      <c r="H75" s="464">
        <v>12990.0</v>
      </c>
      <c r="I75" s="440" t="s">
        <v>2053</v>
      </c>
      <c r="J75" s="440" t="s">
        <v>8525</v>
      </c>
      <c r="K75" s="440" t="s">
        <v>49</v>
      </c>
      <c r="L75" s="440" t="s">
        <v>27</v>
      </c>
      <c r="M75" s="440" t="s">
        <v>8262</v>
      </c>
      <c r="N75" s="464">
        <v>36997.0</v>
      </c>
      <c r="O75" s="5"/>
      <c r="P75" s="5">
        <v>22.0</v>
      </c>
      <c r="Q75" s="31">
        <f t="shared" si="6"/>
        <v>8139.34</v>
      </c>
      <c r="R75" s="31"/>
    </row>
    <row r="76">
      <c r="A76" s="526" t="s">
        <v>8606</v>
      </c>
      <c r="B76" s="440" t="s">
        <v>8614</v>
      </c>
      <c r="C76" s="440" t="s">
        <v>1395</v>
      </c>
      <c r="D76" s="440" t="s">
        <v>7782</v>
      </c>
      <c r="E76" s="440" t="s">
        <v>8615</v>
      </c>
      <c r="F76" s="441"/>
      <c r="G76" s="440"/>
      <c r="H76" s="464">
        <v>2805.0</v>
      </c>
      <c r="I76" s="442">
        <v>45659.0</v>
      </c>
      <c r="J76" s="440" t="s">
        <v>116</v>
      </c>
      <c r="K76" s="440" t="s">
        <v>49</v>
      </c>
      <c r="L76" s="440" t="s">
        <v>3028</v>
      </c>
      <c r="M76" s="440" t="s">
        <v>8262</v>
      </c>
      <c r="N76" s="443">
        <v>20464.0</v>
      </c>
      <c r="O76" s="5"/>
      <c r="P76" s="5">
        <v>51.0</v>
      </c>
      <c r="Q76" s="31">
        <f t="shared" si="6"/>
        <v>10436.64</v>
      </c>
      <c r="R76" s="31"/>
    </row>
    <row r="77">
      <c r="A77" s="526" t="s">
        <v>8606</v>
      </c>
      <c r="B77" s="440" t="s">
        <v>2251</v>
      </c>
      <c r="C77" s="440" t="s">
        <v>1395</v>
      </c>
      <c r="D77" s="440" t="s">
        <v>528</v>
      </c>
      <c r="E77" s="440" t="s">
        <v>8616</v>
      </c>
      <c r="F77" s="441"/>
      <c r="G77" s="440"/>
      <c r="H77" s="464">
        <v>3425.0</v>
      </c>
      <c r="I77" s="440" t="s">
        <v>2053</v>
      </c>
      <c r="J77" s="440" t="s">
        <v>116</v>
      </c>
      <c r="K77" s="440" t="s">
        <v>49</v>
      </c>
      <c r="L77" s="440" t="s">
        <v>71</v>
      </c>
      <c r="M77" s="440" t="s">
        <v>8262</v>
      </c>
      <c r="N77" s="443">
        <v>18981.0</v>
      </c>
      <c r="O77" s="5"/>
      <c r="P77" s="5">
        <v>51.0</v>
      </c>
      <c r="Q77" s="31">
        <f t="shared" si="6"/>
        <v>9680.31</v>
      </c>
      <c r="R77" s="31"/>
    </row>
    <row r="78">
      <c r="A78" s="526" t="s">
        <v>8606</v>
      </c>
      <c r="B78" s="440" t="s">
        <v>2769</v>
      </c>
      <c r="C78" s="440" t="s">
        <v>21</v>
      </c>
      <c r="D78" s="440" t="s">
        <v>8617</v>
      </c>
      <c r="E78" s="440" t="s">
        <v>8618</v>
      </c>
      <c r="F78" s="441"/>
      <c r="G78" s="440"/>
      <c r="H78" s="464">
        <v>12990.0</v>
      </c>
      <c r="I78" s="442">
        <v>45659.0</v>
      </c>
      <c r="J78" s="440" t="s">
        <v>48</v>
      </c>
      <c r="K78" s="440" t="s">
        <v>49</v>
      </c>
      <c r="L78" s="440" t="s">
        <v>3028</v>
      </c>
      <c r="M78" s="440" t="s">
        <v>8262</v>
      </c>
      <c r="N78" s="464">
        <v>37239.0</v>
      </c>
      <c r="O78" s="5"/>
      <c r="P78" s="5">
        <v>21.0</v>
      </c>
      <c r="Q78" s="31">
        <f t="shared" si="6"/>
        <v>7820.19</v>
      </c>
      <c r="R78" s="31"/>
    </row>
    <row r="79">
      <c r="A79" s="526" t="s">
        <v>8606</v>
      </c>
      <c r="B79" s="440" t="s">
        <v>8619</v>
      </c>
      <c r="C79" s="440" t="s">
        <v>21</v>
      </c>
      <c r="D79" s="440" t="s">
        <v>8620</v>
      </c>
      <c r="E79" s="440" t="s">
        <v>8621</v>
      </c>
      <c r="F79" s="441"/>
      <c r="G79" s="440"/>
      <c r="H79" s="440">
        <v>31000.0</v>
      </c>
      <c r="I79" s="531">
        <v>45690.0</v>
      </c>
      <c r="J79" s="440" t="s">
        <v>1424</v>
      </c>
      <c r="K79" s="440" t="s">
        <v>49</v>
      </c>
      <c r="L79" s="440" t="s">
        <v>71</v>
      </c>
      <c r="M79" s="440" t="s">
        <v>8262</v>
      </c>
      <c r="N79" s="464">
        <v>45541.0</v>
      </c>
      <c r="O79" s="5"/>
      <c r="P79" s="5">
        <v>21.0</v>
      </c>
      <c r="Q79" s="31">
        <f t="shared" si="6"/>
        <v>9563.61</v>
      </c>
      <c r="R79" s="31"/>
    </row>
    <row r="80">
      <c r="A80" s="126"/>
      <c r="F80" s="236"/>
    </row>
    <row r="81">
      <c r="A81" s="126"/>
      <c r="F81" s="236"/>
    </row>
    <row r="82">
      <c r="A82" s="126"/>
      <c r="F82" s="236"/>
    </row>
    <row r="83">
      <c r="A83" s="126"/>
      <c r="F83" s="236"/>
    </row>
    <row r="84">
      <c r="A84" s="126"/>
      <c r="F84" s="236"/>
    </row>
    <row r="85">
      <c r="A85" s="126"/>
      <c r="F85" s="236"/>
    </row>
    <row r="86">
      <c r="A86" s="126"/>
      <c r="F86" s="236"/>
    </row>
    <row r="87">
      <c r="A87" s="126"/>
      <c r="F87" s="236"/>
    </row>
    <row r="88">
      <c r="A88" s="126"/>
      <c r="F88" s="236"/>
      <c r="Q88" s="532">
        <f>SUM(Q55:Q87)</f>
        <v>238743.23</v>
      </c>
    </row>
    <row r="89">
      <c r="A89" s="126"/>
      <c r="F89" s="236"/>
    </row>
    <row r="90">
      <c r="A90" s="126"/>
      <c r="D90" s="533">
        <v>45323.0</v>
      </c>
    </row>
    <row r="91">
      <c r="A91" s="87">
        <v>45293.0</v>
      </c>
      <c r="B91" s="479" t="s">
        <v>8622</v>
      </c>
      <c r="C91" s="479" t="s">
        <v>21</v>
      </c>
      <c r="D91" s="479" t="s">
        <v>8623</v>
      </c>
      <c r="E91" s="479" t="s">
        <v>8624</v>
      </c>
      <c r="F91" s="525" t="s">
        <v>8625</v>
      </c>
      <c r="G91" s="479"/>
      <c r="H91" s="481">
        <v>17750.0</v>
      </c>
      <c r="I91" s="479" t="s">
        <v>2059</v>
      </c>
      <c r="J91" s="479" t="s">
        <v>48</v>
      </c>
      <c r="K91" s="479" t="s">
        <v>49</v>
      </c>
      <c r="L91" s="479" t="s">
        <v>27</v>
      </c>
      <c r="M91" s="479" t="s">
        <v>8262</v>
      </c>
      <c r="N91" s="481">
        <v>40062.0</v>
      </c>
      <c r="O91" s="481">
        <v>45154.0</v>
      </c>
      <c r="P91" s="5">
        <v>22.0</v>
      </c>
      <c r="Q91" s="31">
        <f t="shared" ref="Q91:Q142" si="7">N91*P91%</f>
        <v>8813.64</v>
      </c>
    </row>
    <row r="92">
      <c r="A92" s="534">
        <v>45293.0</v>
      </c>
      <c r="B92" s="440" t="s">
        <v>2145</v>
      </c>
      <c r="C92" s="440" t="s">
        <v>21</v>
      </c>
      <c r="D92" s="440" t="s">
        <v>8626</v>
      </c>
      <c r="E92" s="440" t="s">
        <v>8627</v>
      </c>
      <c r="F92" s="441" t="s">
        <v>8628</v>
      </c>
      <c r="G92" s="440" t="s">
        <v>8629</v>
      </c>
      <c r="H92" s="464">
        <v>9600.0</v>
      </c>
      <c r="I92" s="531">
        <v>45659.0</v>
      </c>
      <c r="J92" s="440" t="s">
        <v>25</v>
      </c>
      <c r="K92" s="440" t="s">
        <v>49</v>
      </c>
      <c r="L92" s="440" t="s">
        <v>71</v>
      </c>
      <c r="M92" s="440" t="s">
        <v>8262</v>
      </c>
      <c r="N92" s="465">
        <v>30242.0</v>
      </c>
      <c r="O92" s="443">
        <v>34054.0</v>
      </c>
      <c r="P92" s="5">
        <v>27.0</v>
      </c>
      <c r="Q92" s="31">
        <f t="shared" si="7"/>
        <v>8165.34</v>
      </c>
    </row>
    <row r="93">
      <c r="A93" s="534">
        <v>45293.0</v>
      </c>
      <c r="B93" s="440" t="s">
        <v>2225</v>
      </c>
      <c r="C93" s="440" t="s">
        <v>1395</v>
      </c>
      <c r="D93" s="440" t="s">
        <v>7782</v>
      </c>
      <c r="E93" s="440" t="s">
        <v>8630</v>
      </c>
      <c r="F93" s="441" t="s">
        <v>8631</v>
      </c>
      <c r="G93" s="440"/>
      <c r="H93" s="464">
        <v>2750.0</v>
      </c>
      <c r="I93" s="440" t="s">
        <v>2059</v>
      </c>
      <c r="J93" s="440" t="s">
        <v>116</v>
      </c>
      <c r="K93" s="440" t="s">
        <v>49</v>
      </c>
      <c r="L93" s="440" t="s">
        <v>27</v>
      </c>
      <c r="M93" s="440" t="s">
        <v>8262</v>
      </c>
      <c r="N93" s="443">
        <v>18088.0</v>
      </c>
      <c r="O93" s="465">
        <v>20376.0</v>
      </c>
      <c r="P93" s="5">
        <v>51.0</v>
      </c>
      <c r="Q93" s="31">
        <f t="shared" si="7"/>
        <v>9224.88</v>
      </c>
    </row>
    <row r="94">
      <c r="A94" s="534">
        <v>45293.0</v>
      </c>
      <c r="B94" s="440" t="s">
        <v>6891</v>
      </c>
      <c r="C94" s="440" t="s">
        <v>1395</v>
      </c>
      <c r="D94" s="440" t="s">
        <v>262</v>
      </c>
      <c r="E94" s="440" t="s">
        <v>8632</v>
      </c>
      <c r="F94" s="441" t="s">
        <v>8633</v>
      </c>
      <c r="G94" s="440"/>
      <c r="H94" s="464">
        <v>1600.0</v>
      </c>
      <c r="I94" s="440" t="s">
        <v>2059</v>
      </c>
      <c r="J94" s="440" t="s">
        <v>1424</v>
      </c>
      <c r="K94" s="440" t="s">
        <v>49</v>
      </c>
      <c r="L94" s="440" t="s">
        <v>71</v>
      </c>
      <c r="M94" s="440" t="s">
        <v>8262</v>
      </c>
      <c r="N94" s="464">
        <v>19730.0</v>
      </c>
      <c r="O94" s="464">
        <v>22318.0</v>
      </c>
      <c r="P94" s="5">
        <v>53.0</v>
      </c>
      <c r="Q94" s="31">
        <f t="shared" si="7"/>
        <v>10456.9</v>
      </c>
    </row>
    <row r="95">
      <c r="A95" s="534">
        <v>45293.0</v>
      </c>
      <c r="B95" s="440" t="s">
        <v>8634</v>
      </c>
      <c r="C95" s="440" t="s">
        <v>1395</v>
      </c>
      <c r="D95" s="440" t="s">
        <v>528</v>
      </c>
      <c r="E95" s="440" t="s">
        <v>8635</v>
      </c>
      <c r="F95" s="441" t="s">
        <v>8636</v>
      </c>
      <c r="G95" s="440"/>
      <c r="H95" s="464">
        <v>2450.0</v>
      </c>
      <c r="I95" s="442">
        <v>45690.0</v>
      </c>
      <c r="J95" s="440" t="s">
        <v>1424</v>
      </c>
      <c r="K95" s="440" t="s">
        <v>26</v>
      </c>
      <c r="L95" s="440" t="s">
        <v>27</v>
      </c>
      <c r="M95" s="440" t="s">
        <v>8262</v>
      </c>
      <c r="N95" s="464">
        <v>16099.0</v>
      </c>
      <c r="O95" s="464">
        <v>18035.0</v>
      </c>
      <c r="P95" s="5">
        <v>53.0</v>
      </c>
      <c r="Q95" s="31">
        <f t="shared" si="7"/>
        <v>8532.47</v>
      </c>
    </row>
    <row r="96">
      <c r="A96" s="534">
        <v>45293.0</v>
      </c>
      <c r="B96" s="440" t="s">
        <v>8637</v>
      </c>
      <c r="C96" s="440" t="s">
        <v>1395</v>
      </c>
      <c r="D96" s="440" t="s">
        <v>2143</v>
      </c>
      <c r="E96" s="440" t="s">
        <v>8638</v>
      </c>
      <c r="F96" s="441" t="s">
        <v>8639</v>
      </c>
      <c r="G96" s="440"/>
      <c r="H96" s="464">
        <v>3490.0</v>
      </c>
      <c r="I96" s="440" t="s">
        <v>2059</v>
      </c>
      <c r="J96" s="440" t="s">
        <v>116</v>
      </c>
      <c r="K96" s="440" t="s">
        <v>49</v>
      </c>
      <c r="L96" s="440" t="s">
        <v>71</v>
      </c>
      <c r="M96" s="440" t="s">
        <v>8262</v>
      </c>
      <c r="N96" s="443">
        <v>18511.0</v>
      </c>
      <c r="O96" s="443">
        <v>20875.0</v>
      </c>
      <c r="P96" s="5">
        <v>51.0</v>
      </c>
      <c r="Q96" s="31">
        <f t="shared" si="7"/>
        <v>9440.61</v>
      </c>
    </row>
    <row r="97">
      <c r="A97" s="534">
        <v>45293.0</v>
      </c>
      <c r="B97" s="440" t="s">
        <v>6054</v>
      </c>
      <c r="C97" s="440" t="s">
        <v>21</v>
      </c>
      <c r="D97" s="440" t="s">
        <v>7917</v>
      </c>
      <c r="E97" s="440" t="s">
        <v>1932</v>
      </c>
      <c r="F97" s="441" t="s">
        <v>1933</v>
      </c>
      <c r="G97" s="440"/>
      <c r="H97" s="464">
        <v>35000.0</v>
      </c>
      <c r="I97" s="531">
        <v>45659.0</v>
      </c>
      <c r="J97" s="440" t="s">
        <v>48</v>
      </c>
      <c r="K97" s="440" t="s">
        <v>49</v>
      </c>
      <c r="L97" s="440" t="s">
        <v>71</v>
      </c>
      <c r="M97" s="440" t="s">
        <v>8262</v>
      </c>
      <c r="N97" s="464">
        <v>48102.0</v>
      </c>
      <c r="O97" s="464">
        <v>54123.0</v>
      </c>
      <c r="P97" s="5">
        <v>21.0</v>
      </c>
      <c r="Q97" s="31">
        <f t="shared" si="7"/>
        <v>10101.42</v>
      </c>
    </row>
    <row r="98">
      <c r="A98" s="534">
        <v>45293.0</v>
      </c>
      <c r="B98" s="440" t="s">
        <v>2110</v>
      </c>
      <c r="C98" s="440" t="s">
        <v>1395</v>
      </c>
      <c r="D98" s="440" t="s">
        <v>262</v>
      </c>
      <c r="E98" s="440" t="s">
        <v>8640</v>
      </c>
      <c r="F98" s="441" t="s">
        <v>8641</v>
      </c>
      <c r="G98" s="440"/>
      <c r="H98" s="464">
        <v>1600.0</v>
      </c>
      <c r="I98" s="442">
        <v>45659.0</v>
      </c>
      <c r="J98" s="440" t="s">
        <v>1424</v>
      </c>
      <c r="K98" s="440" t="s">
        <v>49</v>
      </c>
      <c r="L98" s="440" t="s">
        <v>8392</v>
      </c>
      <c r="M98" s="440" t="s">
        <v>8262</v>
      </c>
      <c r="N98" s="464">
        <v>17907.0</v>
      </c>
      <c r="O98" s="464">
        <v>20168.0</v>
      </c>
      <c r="P98" s="5">
        <v>53.0</v>
      </c>
      <c r="Q98" s="31">
        <f t="shared" si="7"/>
        <v>9490.71</v>
      </c>
    </row>
    <row r="99">
      <c r="A99" s="534">
        <v>45324.0</v>
      </c>
      <c r="B99" s="440" t="s">
        <v>8642</v>
      </c>
      <c r="C99" s="440" t="s">
        <v>21</v>
      </c>
      <c r="D99" s="440" t="s">
        <v>8643</v>
      </c>
      <c r="E99" s="440" t="s">
        <v>8644</v>
      </c>
      <c r="F99" s="441" t="s">
        <v>8645</v>
      </c>
      <c r="G99" s="440"/>
      <c r="H99" s="464">
        <v>35000.0</v>
      </c>
      <c r="I99" s="442">
        <v>45779.0</v>
      </c>
      <c r="J99" s="440" t="s">
        <v>48</v>
      </c>
      <c r="K99" s="440" t="s">
        <v>49</v>
      </c>
      <c r="L99" s="440" t="s">
        <v>71</v>
      </c>
      <c r="M99" s="440" t="s">
        <v>8262</v>
      </c>
      <c r="N99" s="464">
        <v>50695.0</v>
      </c>
      <c r="O99" s="464">
        <v>57183.0</v>
      </c>
      <c r="P99" s="5">
        <v>22.0</v>
      </c>
      <c r="Q99" s="31">
        <f t="shared" si="7"/>
        <v>11152.9</v>
      </c>
    </row>
    <row r="100">
      <c r="A100" s="534">
        <v>45324.0</v>
      </c>
      <c r="B100" s="440" t="s">
        <v>8646</v>
      </c>
      <c r="C100" s="440" t="s">
        <v>1395</v>
      </c>
      <c r="D100" s="440" t="s">
        <v>528</v>
      </c>
      <c r="E100" s="440" t="s">
        <v>8647</v>
      </c>
      <c r="F100" s="441" t="s">
        <v>8648</v>
      </c>
      <c r="G100" s="440"/>
      <c r="H100" s="464">
        <v>3425.0</v>
      </c>
      <c r="I100" s="442">
        <v>45749.0</v>
      </c>
      <c r="J100" s="440" t="s">
        <v>116</v>
      </c>
      <c r="K100" s="440" t="s">
        <v>49</v>
      </c>
      <c r="L100" s="440" t="s">
        <v>71</v>
      </c>
      <c r="M100" s="440" t="s">
        <v>8262</v>
      </c>
      <c r="N100" s="443">
        <v>18981.0</v>
      </c>
      <c r="O100" s="443">
        <v>21429.0</v>
      </c>
      <c r="P100" s="5">
        <v>51.0</v>
      </c>
      <c r="Q100" s="31">
        <f t="shared" si="7"/>
        <v>9680.31</v>
      </c>
    </row>
    <row r="101">
      <c r="A101" s="534">
        <v>45324.0</v>
      </c>
      <c r="B101" s="440" t="s">
        <v>2171</v>
      </c>
      <c r="C101" s="440" t="s">
        <v>1395</v>
      </c>
      <c r="D101" s="440" t="s">
        <v>528</v>
      </c>
      <c r="E101" s="440" t="s">
        <v>8649</v>
      </c>
      <c r="F101" s="441" t="s">
        <v>8650</v>
      </c>
      <c r="G101" s="440"/>
      <c r="H101" s="464">
        <v>3425.0</v>
      </c>
      <c r="I101" s="442">
        <v>45718.0</v>
      </c>
      <c r="J101" s="440" t="s">
        <v>116</v>
      </c>
      <c r="K101" s="440" t="s">
        <v>49</v>
      </c>
      <c r="L101" s="440" t="s">
        <v>71</v>
      </c>
      <c r="M101" s="440" t="s">
        <v>8262</v>
      </c>
      <c r="N101" s="443">
        <v>17726.0</v>
      </c>
      <c r="O101" s="465">
        <v>19944.0</v>
      </c>
      <c r="P101" s="5">
        <v>51.0</v>
      </c>
      <c r="Q101" s="31">
        <f t="shared" si="7"/>
        <v>9040.26</v>
      </c>
    </row>
    <row r="102">
      <c r="A102" s="534">
        <v>45324.0</v>
      </c>
      <c r="B102" s="440" t="s">
        <v>2593</v>
      </c>
      <c r="C102" s="440" t="s">
        <v>21</v>
      </c>
      <c r="D102" s="440" t="s">
        <v>8268</v>
      </c>
      <c r="E102" s="440" t="s">
        <v>8299</v>
      </c>
      <c r="F102" s="441" t="s">
        <v>2308</v>
      </c>
      <c r="G102" s="440"/>
      <c r="H102" s="464">
        <v>16020.0</v>
      </c>
      <c r="I102" s="442">
        <v>45690.0</v>
      </c>
      <c r="J102" s="440" t="s">
        <v>48</v>
      </c>
      <c r="K102" s="440" t="s">
        <v>49</v>
      </c>
      <c r="L102" s="440" t="s">
        <v>71</v>
      </c>
      <c r="M102" s="440" t="s">
        <v>8262</v>
      </c>
      <c r="N102" s="464">
        <v>55525.0</v>
      </c>
      <c r="O102" s="464">
        <v>63401.0</v>
      </c>
      <c r="P102" s="5">
        <v>22.0</v>
      </c>
      <c r="Q102" s="31">
        <f t="shared" si="7"/>
        <v>12215.5</v>
      </c>
    </row>
    <row r="103">
      <c r="A103" s="534">
        <v>45324.0</v>
      </c>
      <c r="B103" s="440" t="s">
        <v>2180</v>
      </c>
      <c r="C103" s="440" t="s">
        <v>1395</v>
      </c>
      <c r="D103" s="440" t="s">
        <v>262</v>
      </c>
      <c r="E103" s="440" t="s">
        <v>8651</v>
      </c>
      <c r="F103" s="441" t="s">
        <v>8652</v>
      </c>
      <c r="G103" s="440"/>
      <c r="H103" s="464">
        <v>1600.0</v>
      </c>
      <c r="I103" s="442">
        <v>45690.0</v>
      </c>
      <c r="J103" s="440" t="s">
        <v>78</v>
      </c>
      <c r="K103" s="440" t="s">
        <v>49</v>
      </c>
      <c r="L103" s="440" t="s">
        <v>27</v>
      </c>
      <c r="M103" s="440" t="s">
        <v>8262</v>
      </c>
      <c r="N103" s="464">
        <v>17193.0</v>
      </c>
      <c r="O103" s="464">
        <v>19325.0</v>
      </c>
      <c r="P103" s="5">
        <v>53.0</v>
      </c>
      <c r="Q103" s="31">
        <f t="shared" si="7"/>
        <v>9112.29</v>
      </c>
    </row>
    <row r="104">
      <c r="A104" s="534">
        <v>45353.0</v>
      </c>
      <c r="B104" s="440" t="s">
        <v>8653</v>
      </c>
      <c r="C104" s="440" t="s">
        <v>21</v>
      </c>
      <c r="D104" s="440" t="s">
        <v>8654</v>
      </c>
      <c r="E104" s="440" t="s">
        <v>8655</v>
      </c>
      <c r="F104" s="441" t="s">
        <v>8656</v>
      </c>
      <c r="G104" s="440"/>
      <c r="H104" s="440"/>
      <c r="I104" s="442">
        <v>45718.0</v>
      </c>
      <c r="J104" s="440" t="s">
        <v>2638</v>
      </c>
      <c r="K104" s="440" t="s">
        <v>26</v>
      </c>
      <c r="L104" s="440" t="s">
        <v>71</v>
      </c>
      <c r="M104" s="440" t="s">
        <v>8262</v>
      </c>
      <c r="N104" s="443">
        <v>44000.0</v>
      </c>
      <c r="O104" s="443">
        <v>49283.0</v>
      </c>
      <c r="P104" s="5">
        <v>43.0</v>
      </c>
      <c r="Q104" s="31">
        <f t="shared" si="7"/>
        <v>18920</v>
      </c>
    </row>
    <row r="105">
      <c r="A105" s="534">
        <v>45353.0</v>
      </c>
      <c r="B105" s="440" t="s">
        <v>8657</v>
      </c>
      <c r="C105" s="440" t="s">
        <v>21</v>
      </c>
      <c r="D105" s="440" t="s">
        <v>4293</v>
      </c>
      <c r="E105" s="440" t="s">
        <v>8602</v>
      </c>
      <c r="F105" s="441" t="s">
        <v>8658</v>
      </c>
      <c r="G105" s="440"/>
      <c r="H105" s="464">
        <v>35000.0</v>
      </c>
      <c r="I105" s="442">
        <v>45690.0</v>
      </c>
      <c r="J105" s="440" t="s">
        <v>8525</v>
      </c>
      <c r="K105" s="440" t="s">
        <v>49</v>
      </c>
      <c r="L105" s="440" t="s">
        <v>27</v>
      </c>
      <c r="M105" s="440" t="s">
        <v>8262</v>
      </c>
      <c r="N105" s="464">
        <v>46432.0</v>
      </c>
      <c r="O105" s="464">
        <v>52153.0</v>
      </c>
      <c r="P105" s="5">
        <v>23.0</v>
      </c>
      <c r="Q105" s="31">
        <f t="shared" si="7"/>
        <v>10679.36</v>
      </c>
    </row>
    <row r="106">
      <c r="A106" s="534">
        <v>45353.0</v>
      </c>
      <c r="B106" s="440" t="s">
        <v>8659</v>
      </c>
      <c r="C106" s="440" t="s">
        <v>21</v>
      </c>
      <c r="D106" s="440" t="s">
        <v>7937</v>
      </c>
      <c r="E106" s="440" t="s">
        <v>7928</v>
      </c>
      <c r="F106" s="441" t="s">
        <v>7929</v>
      </c>
      <c r="G106" s="440"/>
      <c r="H106" s="464">
        <v>35000.0</v>
      </c>
      <c r="I106" s="442">
        <v>45718.0</v>
      </c>
      <c r="J106" s="440" t="s">
        <v>48</v>
      </c>
      <c r="K106" s="440" t="s">
        <v>49</v>
      </c>
      <c r="L106" s="440" t="s">
        <v>27</v>
      </c>
      <c r="M106" s="440" t="s">
        <v>8262</v>
      </c>
      <c r="N106" s="464">
        <v>49283.0</v>
      </c>
      <c r="O106" s="464">
        <v>55517.0</v>
      </c>
      <c r="P106" s="5">
        <v>22.0</v>
      </c>
      <c r="Q106" s="31">
        <f t="shared" si="7"/>
        <v>10842.26</v>
      </c>
    </row>
    <row r="107">
      <c r="A107" s="534">
        <v>45353.0</v>
      </c>
      <c r="B107" s="440" t="s">
        <v>8660</v>
      </c>
      <c r="C107" s="440" t="s">
        <v>21</v>
      </c>
      <c r="D107" s="440" t="s">
        <v>7937</v>
      </c>
      <c r="E107" s="440" t="s">
        <v>8661</v>
      </c>
      <c r="F107" s="441" t="s">
        <v>7929</v>
      </c>
      <c r="G107" s="440"/>
      <c r="H107" s="464">
        <v>35000.0</v>
      </c>
      <c r="I107" s="442">
        <v>45718.0</v>
      </c>
      <c r="J107" s="440" t="s">
        <v>48</v>
      </c>
      <c r="K107" s="440" t="s">
        <v>49</v>
      </c>
      <c r="L107" s="440" t="s">
        <v>27</v>
      </c>
      <c r="M107" s="440" t="s">
        <v>8262</v>
      </c>
      <c r="N107" s="464">
        <v>47715.0</v>
      </c>
      <c r="O107" s="464">
        <v>53667.0</v>
      </c>
      <c r="P107" s="5">
        <v>22.0</v>
      </c>
      <c r="Q107" s="31">
        <f t="shared" si="7"/>
        <v>10497.3</v>
      </c>
    </row>
    <row r="108">
      <c r="A108" s="534">
        <v>45353.0</v>
      </c>
      <c r="B108" s="440" t="s">
        <v>8662</v>
      </c>
      <c r="C108" s="440" t="s">
        <v>21</v>
      </c>
      <c r="D108" s="440" t="s">
        <v>7937</v>
      </c>
      <c r="E108" s="440" t="s">
        <v>7928</v>
      </c>
      <c r="F108" s="441" t="s">
        <v>7929</v>
      </c>
      <c r="G108" s="440"/>
      <c r="H108" s="464">
        <v>35000.0</v>
      </c>
      <c r="I108" s="442">
        <v>45810.0</v>
      </c>
      <c r="J108" s="440" t="s">
        <v>48</v>
      </c>
      <c r="K108" s="440" t="s">
        <v>49</v>
      </c>
      <c r="L108" s="440" t="s">
        <v>27</v>
      </c>
      <c r="M108" s="440" t="s">
        <v>8262</v>
      </c>
      <c r="N108" s="464">
        <v>48930.0</v>
      </c>
      <c r="O108" s="464">
        <v>55100.0</v>
      </c>
      <c r="P108" s="5">
        <v>22.0</v>
      </c>
      <c r="Q108" s="31">
        <f t="shared" si="7"/>
        <v>10764.6</v>
      </c>
    </row>
    <row r="109">
      <c r="A109" s="534">
        <v>45353.0</v>
      </c>
      <c r="B109" s="440" t="s">
        <v>2940</v>
      </c>
      <c r="C109" s="440" t="s">
        <v>21</v>
      </c>
      <c r="D109" s="440" t="s">
        <v>8663</v>
      </c>
      <c r="E109" s="440" t="s">
        <v>8664</v>
      </c>
      <c r="F109" s="441">
        <v>9.727450222E9</v>
      </c>
      <c r="G109" s="440"/>
      <c r="H109" s="440"/>
      <c r="I109" s="442">
        <v>45718.0</v>
      </c>
      <c r="J109" s="440" t="s">
        <v>48</v>
      </c>
      <c r="K109" s="440" t="s">
        <v>49</v>
      </c>
      <c r="L109" s="440" t="s">
        <v>71</v>
      </c>
      <c r="M109" s="440" t="s">
        <v>8262</v>
      </c>
      <c r="N109" s="443">
        <v>47408.0</v>
      </c>
      <c r="O109" s="443">
        <v>53304.0</v>
      </c>
      <c r="P109" s="5">
        <v>22.0</v>
      </c>
      <c r="Q109" s="31">
        <f t="shared" si="7"/>
        <v>10429.76</v>
      </c>
    </row>
    <row r="110">
      <c r="A110" s="534">
        <v>45384.0</v>
      </c>
      <c r="B110" s="440" t="s">
        <v>8665</v>
      </c>
      <c r="C110" s="440" t="s">
        <v>1395</v>
      </c>
      <c r="D110" s="440" t="s">
        <v>528</v>
      </c>
      <c r="E110" s="440" t="s">
        <v>8666</v>
      </c>
      <c r="F110" s="441" t="s">
        <v>8667</v>
      </c>
      <c r="G110" s="440"/>
      <c r="H110" s="464">
        <v>3490.0</v>
      </c>
      <c r="I110" s="442">
        <v>45718.0</v>
      </c>
      <c r="J110" s="440" t="s">
        <v>116</v>
      </c>
      <c r="K110" s="440" t="s">
        <v>49</v>
      </c>
      <c r="L110" s="440" t="s">
        <v>1456</v>
      </c>
      <c r="M110" s="440" t="s">
        <v>8262</v>
      </c>
      <c r="N110" s="443">
        <v>21323.0</v>
      </c>
      <c r="O110" s="443">
        <v>24194.0</v>
      </c>
      <c r="P110" s="5">
        <v>51.0</v>
      </c>
      <c r="Q110" s="31">
        <f t="shared" si="7"/>
        <v>10874.73</v>
      </c>
    </row>
    <row r="111">
      <c r="A111" s="534">
        <v>45384.0</v>
      </c>
      <c r="B111" s="440" t="s">
        <v>739</v>
      </c>
      <c r="C111" s="440" t="s">
        <v>1395</v>
      </c>
      <c r="D111" s="440" t="s">
        <v>2143</v>
      </c>
      <c r="E111" s="440" t="s">
        <v>742</v>
      </c>
      <c r="F111" s="441" t="s">
        <v>8668</v>
      </c>
      <c r="G111" s="440"/>
      <c r="H111" s="464">
        <v>3490.0</v>
      </c>
      <c r="I111" s="442">
        <v>45718.0</v>
      </c>
      <c r="J111" s="440" t="s">
        <v>116</v>
      </c>
      <c r="K111" s="440" t="s">
        <v>49</v>
      </c>
      <c r="L111" s="440" t="s">
        <v>3028</v>
      </c>
      <c r="M111" s="440" t="s">
        <v>8262</v>
      </c>
      <c r="N111" s="443">
        <v>23319.0</v>
      </c>
      <c r="O111" s="465">
        <v>26549.0</v>
      </c>
      <c r="P111" s="5">
        <v>51.0</v>
      </c>
      <c r="Q111" s="31">
        <f t="shared" si="7"/>
        <v>11892.69</v>
      </c>
    </row>
    <row r="112">
      <c r="A112" s="534">
        <v>45384.0</v>
      </c>
      <c r="B112" s="440" t="s">
        <v>6758</v>
      </c>
      <c r="C112" s="440" t="s">
        <v>21</v>
      </c>
      <c r="D112" s="440" t="s">
        <v>4102</v>
      </c>
      <c r="E112" s="440" t="s">
        <v>8669</v>
      </c>
      <c r="F112" s="441" t="s">
        <v>3073</v>
      </c>
      <c r="G112" s="440" t="s">
        <v>8670</v>
      </c>
      <c r="H112" s="443">
        <v>28000.0</v>
      </c>
      <c r="I112" s="442">
        <v>45779.0</v>
      </c>
      <c r="J112" s="440" t="s">
        <v>2638</v>
      </c>
      <c r="K112" s="440" t="s">
        <v>26</v>
      </c>
      <c r="L112" s="440" t="s">
        <v>71</v>
      </c>
      <c r="M112" s="440" t="s">
        <v>8262</v>
      </c>
      <c r="N112" s="443">
        <v>44050.0</v>
      </c>
      <c r="O112" s="443">
        <v>49342.0</v>
      </c>
      <c r="P112" s="5">
        <v>43.0</v>
      </c>
      <c r="Q112" s="31">
        <f t="shared" si="7"/>
        <v>18941.5</v>
      </c>
    </row>
    <row r="113">
      <c r="A113" s="534">
        <v>45414.0</v>
      </c>
      <c r="B113" s="440" t="s">
        <v>8671</v>
      </c>
      <c r="C113" s="440" t="s">
        <v>21</v>
      </c>
      <c r="D113" s="440">
        <v>407.0</v>
      </c>
      <c r="E113" s="440" t="s">
        <v>8672</v>
      </c>
      <c r="F113" s="441" t="s">
        <v>8673</v>
      </c>
      <c r="G113" s="440"/>
      <c r="H113" s="464">
        <v>5700.0</v>
      </c>
      <c r="I113" s="442">
        <v>45690.0</v>
      </c>
      <c r="J113" s="440" t="s">
        <v>116</v>
      </c>
      <c r="K113" s="440" t="s">
        <v>49</v>
      </c>
      <c r="L113" s="440" t="s">
        <v>27</v>
      </c>
      <c r="M113" s="440" t="s">
        <v>8262</v>
      </c>
      <c r="N113" s="443">
        <v>18774.0</v>
      </c>
      <c r="O113" s="465">
        <v>21186.0</v>
      </c>
      <c r="P113" s="5">
        <v>33.0</v>
      </c>
      <c r="Q113" s="31">
        <f t="shared" si="7"/>
        <v>6195.42</v>
      </c>
    </row>
    <row r="114">
      <c r="A114" s="534">
        <v>45414.0</v>
      </c>
      <c r="B114" s="440" t="s">
        <v>2163</v>
      </c>
      <c r="C114" s="440" t="s">
        <v>1395</v>
      </c>
      <c r="D114" s="440" t="s">
        <v>262</v>
      </c>
      <c r="E114" s="440" t="s">
        <v>8674</v>
      </c>
      <c r="F114" s="441" t="s">
        <v>8652</v>
      </c>
      <c r="G114" s="440"/>
      <c r="H114" s="464">
        <v>1600.0</v>
      </c>
      <c r="I114" s="442">
        <v>45779.0</v>
      </c>
      <c r="J114" s="440" t="s">
        <v>1424</v>
      </c>
      <c r="K114" s="440" t="s">
        <v>49</v>
      </c>
      <c r="L114" s="440" t="s">
        <v>71</v>
      </c>
      <c r="M114" s="440" t="s">
        <v>8262</v>
      </c>
      <c r="N114" s="464">
        <v>18850.0</v>
      </c>
      <c r="O114" s="464">
        <v>21280.0</v>
      </c>
      <c r="P114" s="5">
        <v>53.0</v>
      </c>
      <c r="Q114" s="31">
        <f t="shared" si="7"/>
        <v>9990.5</v>
      </c>
    </row>
    <row r="115">
      <c r="A115" s="534">
        <v>45414.0</v>
      </c>
      <c r="B115" s="440" t="s">
        <v>2233</v>
      </c>
      <c r="C115" s="440" t="s">
        <v>1395</v>
      </c>
      <c r="D115" s="440" t="s">
        <v>2295</v>
      </c>
      <c r="E115" s="440" t="s">
        <v>8675</v>
      </c>
      <c r="F115" s="441" t="s">
        <v>8676</v>
      </c>
      <c r="G115" s="440"/>
      <c r="H115" s="464">
        <v>2120.0</v>
      </c>
      <c r="I115" s="442">
        <v>45963.0</v>
      </c>
      <c r="J115" s="440" t="s">
        <v>1424</v>
      </c>
      <c r="K115" s="440" t="s">
        <v>49</v>
      </c>
      <c r="L115" s="440" t="s">
        <v>71</v>
      </c>
      <c r="M115" s="440" t="s">
        <v>8262</v>
      </c>
      <c r="N115" s="464">
        <v>19838.0</v>
      </c>
      <c r="O115" s="464">
        <v>22446.0</v>
      </c>
      <c r="P115" s="5">
        <v>53.0</v>
      </c>
      <c r="Q115" s="31">
        <f t="shared" si="7"/>
        <v>10514.14</v>
      </c>
    </row>
    <row r="116">
      <c r="A116" s="534">
        <v>45414.0</v>
      </c>
      <c r="B116" s="440" t="s">
        <v>8677</v>
      </c>
      <c r="C116" s="440" t="s">
        <v>1395</v>
      </c>
      <c r="D116" s="440" t="s">
        <v>262</v>
      </c>
      <c r="E116" s="440" t="s">
        <v>8678</v>
      </c>
      <c r="F116" s="441" t="s">
        <v>8679</v>
      </c>
      <c r="G116" s="440"/>
      <c r="H116" s="464">
        <v>1600.0</v>
      </c>
      <c r="I116" s="442">
        <v>45779.0</v>
      </c>
      <c r="J116" s="440" t="s">
        <v>1424</v>
      </c>
      <c r="K116" s="440" t="s">
        <v>49</v>
      </c>
      <c r="L116" s="440" t="s">
        <v>8392</v>
      </c>
      <c r="M116" s="440" t="s">
        <v>8262</v>
      </c>
      <c r="N116" s="464">
        <v>20051.0</v>
      </c>
      <c r="O116" s="464">
        <v>22697.0</v>
      </c>
      <c r="P116" s="5">
        <v>53.0</v>
      </c>
      <c r="Q116" s="31">
        <f t="shared" si="7"/>
        <v>10627.03</v>
      </c>
    </row>
    <row r="117">
      <c r="A117" s="534">
        <v>45445.0</v>
      </c>
      <c r="B117" s="440" t="s">
        <v>8680</v>
      </c>
      <c r="C117" s="440" t="s">
        <v>1395</v>
      </c>
      <c r="D117" s="440" t="s">
        <v>4044</v>
      </c>
      <c r="E117" s="440" t="s">
        <v>8681</v>
      </c>
      <c r="F117" s="441"/>
      <c r="G117" s="440"/>
      <c r="H117" s="464">
        <v>1550.0</v>
      </c>
      <c r="I117" s="442">
        <v>45810.0</v>
      </c>
      <c r="J117" s="440" t="s">
        <v>78</v>
      </c>
      <c r="K117" s="440" t="s">
        <v>26</v>
      </c>
      <c r="L117" s="440" t="s">
        <v>7976</v>
      </c>
      <c r="M117" s="440" t="s">
        <v>8262</v>
      </c>
      <c r="N117" s="467">
        <v>16574.0</v>
      </c>
      <c r="O117" s="464">
        <v>18476.0</v>
      </c>
      <c r="P117" s="5">
        <v>53.0</v>
      </c>
      <c r="Q117" s="31">
        <f t="shared" si="7"/>
        <v>8784.22</v>
      </c>
    </row>
    <row r="118">
      <c r="A118" s="534">
        <v>45475.0</v>
      </c>
      <c r="B118" s="440" t="s">
        <v>6933</v>
      </c>
      <c r="C118" s="440" t="s">
        <v>21</v>
      </c>
      <c r="D118" s="440" t="s">
        <v>8504</v>
      </c>
      <c r="E118" s="440" t="s">
        <v>8682</v>
      </c>
      <c r="F118" s="441"/>
      <c r="G118" s="440"/>
      <c r="H118" s="464">
        <v>42000.0</v>
      </c>
      <c r="I118" s="442">
        <v>45871.0</v>
      </c>
      <c r="J118" s="440" t="s">
        <v>48</v>
      </c>
      <c r="K118" s="440" t="s">
        <v>49</v>
      </c>
      <c r="L118" s="440" t="s">
        <v>71</v>
      </c>
      <c r="M118" s="440" t="s">
        <v>8262</v>
      </c>
      <c r="N118" s="464">
        <v>49207.0</v>
      </c>
      <c r="O118" s="464">
        <v>55410.0</v>
      </c>
      <c r="P118" s="5">
        <v>20.0</v>
      </c>
      <c r="Q118" s="31">
        <f t="shared" si="7"/>
        <v>9841.4</v>
      </c>
    </row>
    <row r="119">
      <c r="A119" s="535">
        <v>45475.0</v>
      </c>
      <c r="B119" s="479" t="s">
        <v>8683</v>
      </c>
      <c r="C119" s="479" t="s">
        <v>966</v>
      </c>
      <c r="D119" s="479" t="s">
        <v>8684</v>
      </c>
      <c r="E119" s="479" t="s">
        <v>8685</v>
      </c>
      <c r="F119" s="525"/>
      <c r="G119" s="479"/>
      <c r="H119" s="479"/>
      <c r="I119" s="480">
        <v>45810.0</v>
      </c>
      <c r="J119" s="479" t="s">
        <v>1424</v>
      </c>
      <c r="K119" s="479" t="s">
        <v>49</v>
      </c>
      <c r="L119" s="479" t="s">
        <v>27</v>
      </c>
      <c r="M119" s="479" t="s">
        <v>8262</v>
      </c>
      <c r="N119" s="481">
        <v>18219.0</v>
      </c>
      <c r="O119" s="481">
        <v>21499.0</v>
      </c>
      <c r="P119" s="86">
        <v>25.0</v>
      </c>
      <c r="Q119" s="31">
        <f t="shared" si="7"/>
        <v>4554.75</v>
      </c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</row>
    <row r="120">
      <c r="A120" s="534">
        <v>45475.0</v>
      </c>
      <c r="B120" s="440" t="s">
        <v>2192</v>
      </c>
      <c r="C120" s="440" t="s">
        <v>21</v>
      </c>
      <c r="D120" s="440" t="s">
        <v>8686</v>
      </c>
      <c r="E120" s="440" t="s">
        <v>8687</v>
      </c>
      <c r="F120" s="441" t="s">
        <v>8688</v>
      </c>
      <c r="G120" s="440"/>
      <c r="H120" s="464">
        <v>45500.0</v>
      </c>
      <c r="I120" s="442">
        <v>45871.0</v>
      </c>
      <c r="J120" s="440" t="s">
        <v>8525</v>
      </c>
      <c r="K120" s="440" t="s">
        <v>49</v>
      </c>
      <c r="L120" s="440" t="s">
        <v>8392</v>
      </c>
      <c r="M120" s="440" t="s">
        <v>8262</v>
      </c>
      <c r="N120" s="464">
        <v>49217.0</v>
      </c>
      <c r="O120" s="464">
        <v>55421.0</v>
      </c>
      <c r="P120" s="5">
        <v>27.0</v>
      </c>
      <c r="Q120" s="31">
        <f t="shared" si="7"/>
        <v>13288.59</v>
      </c>
    </row>
    <row r="121">
      <c r="A121" s="534">
        <v>45506.0</v>
      </c>
      <c r="B121" s="440" t="s">
        <v>2399</v>
      </c>
      <c r="C121" s="440" t="s">
        <v>21</v>
      </c>
      <c r="D121" s="440" t="s">
        <v>5183</v>
      </c>
      <c r="E121" s="440" t="s">
        <v>8689</v>
      </c>
      <c r="F121" s="441" t="s">
        <v>8690</v>
      </c>
      <c r="G121" s="440" t="s">
        <v>8691</v>
      </c>
      <c r="H121" s="464">
        <v>12976.0</v>
      </c>
      <c r="I121" s="442">
        <v>45871.0</v>
      </c>
      <c r="J121" s="440" t="s">
        <v>48</v>
      </c>
      <c r="K121" s="440" t="s">
        <v>49</v>
      </c>
      <c r="L121" s="440" t="s">
        <v>71</v>
      </c>
      <c r="M121" s="440" t="s">
        <v>8262</v>
      </c>
      <c r="N121" s="464">
        <v>36222.0</v>
      </c>
      <c r="O121" s="464">
        <v>40623.0</v>
      </c>
      <c r="P121" s="5">
        <v>22.0</v>
      </c>
      <c r="Q121" s="31">
        <f t="shared" si="7"/>
        <v>7968.84</v>
      </c>
    </row>
    <row r="122">
      <c r="A122" s="534">
        <v>45506.0</v>
      </c>
      <c r="B122" s="440" t="s">
        <v>8692</v>
      </c>
      <c r="C122" s="440" t="s">
        <v>1395</v>
      </c>
      <c r="D122" s="440" t="s">
        <v>528</v>
      </c>
      <c r="E122" s="440" t="s">
        <v>8693</v>
      </c>
      <c r="F122" s="441" t="s">
        <v>8694</v>
      </c>
      <c r="G122" s="440"/>
      <c r="H122" s="464">
        <v>3425.0</v>
      </c>
      <c r="I122" s="442">
        <v>45871.0</v>
      </c>
      <c r="J122" s="440" t="s">
        <v>116</v>
      </c>
      <c r="K122" s="440" t="s">
        <v>49</v>
      </c>
      <c r="L122" s="440" t="s">
        <v>8695</v>
      </c>
      <c r="M122" s="440" t="s">
        <v>8262</v>
      </c>
      <c r="N122" s="443">
        <v>22575.0</v>
      </c>
      <c r="O122" s="443">
        <v>25669.0</v>
      </c>
      <c r="P122" s="5">
        <v>51.0</v>
      </c>
      <c r="Q122" s="31">
        <f t="shared" si="7"/>
        <v>11513.25</v>
      </c>
    </row>
    <row r="123">
      <c r="A123" s="534">
        <v>45506.0</v>
      </c>
      <c r="B123" s="440" t="s">
        <v>8696</v>
      </c>
      <c r="C123" s="440" t="s">
        <v>1395</v>
      </c>
      <c r="D123" s="440" t="s">
        <v>528</v>
      </c>
      <c r="E123" s="440" t="s">
        <v>8697</v>
      </c>
      <c r="F123" s="441" t="s">
        <v>8698</v>
      </c>
      <c r="G123" s="440">
        <v>8.238166249E9</v>
      </c>
      <c r="H123" s="464">
        <v>2960.0</v>
      </c>
      <c r="I123" s="442">
        <v>45871.0</v>
      </c>
      <c r="J123" s="440" t="s">
        <v>116</v>
      </c>
      <c r="K123" s="440" t="s">
        <v>49</v>
      </c>
      <c r="L123" s="440" t="s">
        <v>71</v>
      </c>
      <c r="M123" s="440" t="s">
        <v>8262</v>
      </c>
      <c r="N123" s="443">
        <v>17234.0</v>
      </c>
      <c r="O123" s="465">
        <v>19368.0</v>
      </c>
      <c r="P123" s="5">
        <v>51.0</v>
      </c>
      <c r="Q123" s="31">
        <f t="shared" si="7"/>
        <v>8789.34</v>
      </c>
    </row>
    <row r="124">
      <c r="A124" s="534">
        <v>45506.0</v>
      </c>
      <c r="B124" s="440" t="s">
        <v>780</v>
      </c>
      <c r="C124" s="440" t="s">
        <v>533</v>
      </c>
      <c r="D124" s="440" t="s">
        <v>782</v>
      </c>
      <c r="E124" s="440" t="s">
        <v>783</v>
      </c>
      <c r="F124" s="441" t="s">
        <v>8699</v>
      </c>
      <c r="G124" s="440" t="s">
        <v>8700</v>
      </c>
      <c r="H124" s="464">
        <v>16700.0</v>
      </c>
      <c r="I124" s="442">
        <v>45840.0</v>
      </c>
      <c r="J124" s="440" t="s">
        <v>116</v>
      </c>
      <c r="K124" s="440" t="s">
        <v>26</v>
      </c>
      <c r="L124" s="440" t="s">
        <v>71</v>
      </c>
      <c r="M124" s="440" t="s">
        <v>8262</v>
      </c>
      <c r="N124" s="443">
        <v>7317.0</v>
      </c>
      <c r="O124" s="443">
        <v>8634.0</v>
      </c>
      <c r="P124" s="5">
        <v>27.0</v>
      </c>
      <c r="Q124" s="31">
        <f t="shared" si="7"/>
        <v>1975.59</v>
      </c>
    </row>
    <row r="125">
      <c r="A125" s="534">
        <v>45506.0</v>
      </c>
      <c r="B125" s="440" t="s">
        <v>2276</v>
      </c>
      <c r="C125" s="440" t="s">
        <v>1395</v>
      </c>
      <c r="D125" s="440" t="s">
        <v>528</v>
      </c>
      <c r="E125" s="440" t="s">
        <v>2279</v>
      </c>
      <c r="F125" s="441"/>
      <c r="G125" s="440"/>
      <c r="H125" s="464">
        <v>2995.0</v>
      </c>
      <c r="I125" s="442">
        <v>45840.0</v>
      </c>
      <c r="J125" s="440" t="s">
        <v>116</v>
      </c>
      <c r="K125" s="440" t="s">
        <v>49</v>
      </c>
      <c r="L125" s="440" t="s">
        <v>71</v>
      </c>
      <c r="M125" s="440" t="s">
        <v>8262</v>
      </c>
      <c r="N125" s="443">
        <v>21623.0</v>
      </c>
      <c r="O125" s="443">
        <v>24545.0</v>
      </c>
      <c r="P125" s="5">
        <v>51.0</v>
      </c>
      <c r="Q125" s="31">
        <f t="shared" si="7"/>
        <v>11027.73</v>
      </c>
    </row>
    <row r="126">
      <c r="A126" s="534">
        <v>45506.0</v>
      </c>
      <c r="B126" s="440" t="s">
        <v>8701</v>
      </c>
      <c r="C126" s="440" t="s">
        <v>1395</v>
      </c>
      <c r="D126" s="440" t="s">
        <v>528</v>
      </c>
      <c r="E126" s="440" t="s">
        <v>8702</v>
      </c>
      <c r="F126" s="441" t="s">
        <v>8703</v>
      </c>
      <c r="G126" s="440"/>
      <c r="H126" s="464">
        <v>3425.0</v>
      </c>
      <c r="I126" s="442">
        <v>45932.0</v>
      </c>
      <c r="J126" s="440" t="s">
        <v>116</v>
      </c>
      <c r="K126" s="440" t="s">
        <v>49</v>
      </c>
      <c r="L126" s="440" t="s">
        <v>27</v>
      </c>
      <c r="M126" s="440" t="s">
        <v>8262</v>
      </c>
      <c r="N126" s="443">
        <v>23364.0</v>
      </c>
      <c r="O126" s="443">
        <v>26602.0</v>
      </c>
      <c r="P126" s="5">
        <v>51.0</v>
      </c>
      <c r="Q126" s="31">
        <f t="shared" si="7"/>
        <v>11915.64</v>
      </c>
    </row>
    <row r="127">
      <c r="A127" s="534">
        <v>45506.0</v>
      </c>
      <c r="B127" s="440" t="s">
        <v>8704</v>
      </c>
      <c r="C127" s="440" t="s">
        <v>1395</v>
      </c>
      <c r="D127" s="440" t="s">
        <v>7782</v>
      </c>
      <c r="E127" s="440" t="s">
        <v>8705</v>
      </c>
      <c r="F127" s="441"/>
      <c r="G127" s="440"/>
      <c r="H127" s="464">
        <v>2590.0</v>
      </c>
      <c r="I127" s="442">
        <v>45840.0</v>
      </c>
      <c r="J127" s="440" t="s">
        <v>116</v>
      </c>
      <c r="K127" s="440" t="s">
        <v>26</v>
      </c>
      <c r="L127" s="440" t="s">
        <v>7976</v>
      </c>
      <c r="M127" s="440" t="s">
        <v>8262</v>
      </c>
      <c r="N127" s="443">
        <v>16599.0</v>
      </c>
      <c r="O127" s="443">
        <v>18619.0</v>
      </c>
      <c r="P127" s="5">
        <v>51.0</v>
      </c>
      <c r="Q127" s="31">
        <f t="shared" si="7"/>
        <v>8465.49</v>
      </c>
    </row>
    <row r="128">
      <c r="A128" s="534">
        <v>45506.0</v>
      </c>
      <c r="B128" s="440" t="s">
        <v>8706</v>
      </c>
      <c r="C128" s="440" t="s">
        <v>4309</v>
      </c>
      <c r="D128" s="440" t="s">
        <v>528</v>
      </c>
      <c r="E128" s="440" t="s">
        <v>8707</v>
      </c>
      <c r="F128" s="441" t="s">
        <v>8708</v>
      </c>
      <c r="G128" s="440"/>
      <c r="H128" s="464">
        <v>2700.0</v>
      </c>
      <c r="I128" s="442">
        <v>45871.0</v>
      </c>
      <c r="J128" s="440" t="s">
        <v>116</v>
      </c>
      <c r="K128" s="440" t="s">
        <v>49</v>
      </c>
      <c r="L128" s="440" t="s">
        <v>71</v>
      </c>
      <c r="M128" s="440" t="s">
        <v>8262</v>
      </c>
      <c r="N128" s="443">
        <v>17765.0</v>
      </c>
      <c r="O128" s="443">
        <v>19995.0</v>
      </c>
      <c r="P128" s="5">
        <v>51.0</v>
      </c>
      <c r="Q128" s="31">
        <f t="shared" si="7"/>
        <v>9060.15</v>
      </c>
    </row>
    <row r="129">
      <c r="A129" s="534">
        <v>45506.0</v>
      </c>
      <c r="B129" s="440" t="s">
        <v>8709</v>
      </c>
      <c r="C129" s="440" t="s">
        <v>21</v>
      </c>
      <c r="D129" s="440" t="s">
        <v>8504</v>
      </c>
      <c r="E129" s="440" t="s">
        <v>8710</v>
      </c>
      <c r="F129" s="441" t="s">
        <v>8711</v>
      </c>
      <c r="G129" s="440"/>
      <c r="H129" s="464">
        <v>42000.0</v>
      </c>
      <c r="I129" s="442">
        <v>45932.0</v>
      </c>
      <c r="J129" s="440" t="s">
        <v>48</v>
      </c>
      <c r="K129" s="440" t="s">
        <v>49</v>
      </c>
      <c r="L129" s="440" t="s">
        <v>27</v>
      </c>
      <c r="M129" s="440" t="s">
        <v>8262</v>
      </c>
      <c r="N129" s="464">
        <v>48516.0</v>
      </c>
      <c r="O129" s="464">
        <v>54594.0</v>
      </c>
      <c r="P129" s="5">
        <v>20.0</v>
      </c>
      <c r="Q129" s="31">
        <f t="shared" si="7"/>
        <v>9703.2</v>
      </c>
    </row>
    <row r="130">
      <c r="A130" s="534">
        <v>45506.0</v>
      </c>
      <c r="B130" s="440" t="s">
        <v>8712</v>
      </c>
      <c r="C130" s="440" t="s">
        <v>966</v>
      </c>
      <c r="D130" s="440" t="s">
        <v>2750</v>
      </c>
      <c r="E130" s="440" t="s">
        <v>8713</v>
      </c>
      <c r="F130" s="441"/>
      <c r="G130" s="440"/>
      <c r="H130" s="440"/>
      <c r="I130" s="442">
        <v>45871.0</v>
      </c>
      <c r="J130" s="440" t="s">
        <v>78</v>
      </c>
      <c r="K130" s="440" t="s">
        <v>26</v>
      </c>
      <c r="L130" s="440" t="s">
        <v>71</v>
      </c>
      <c r="M130" s="440" t="s">
        <v>8262</v>
      </c>
      <c r="N130" s="464">
        <v>7947.0</v>
      </c>
      <c r="O130" s="464">
        <v>9377.0</v>
      </c>
      <c r="P130" s="5">
        <v>33.0</v>
      </c>
      <c r="Q130" s="31">
        <f t="shared" si="7"/>
        <v>2622.51</v>
      </c>
    </row>
    <row r="131">
      <c r="A131" s="534">
        <v>45506.0</v>
      </c>
      <c r="B131" s="440" t="s">
        <v>8714</v>
      </c>
      <c r="C131" s="440" t="s">
        <v>21</v>
      </c>
      <c r="D131" s="440" t="s">
        <v>8047</v>
      </c>
      <c r="E131" s="440" t="s">
        <v>1961</v>
      </c>
      <c r="F131" s="441" t="s">
        <v>1962</v>
      </c>
      <c r="G131" s="440" t="s">
        <v>8715</v>
      </c>
      <c r="H131" s="464">
        <v>45500.0</v>
      </c>
      <c r="I131" s="442">
        <v>45902.0</v>
      </c>
      <c r="J131" s="440" t="s">
        <v>48</v>
      </c>
      <c r="K131" s="440" t="s">
        <v>49</v>
      </c>
      <c r="L131" s="440" t="s">
        <v>27</v>
      </c>
      <c r="M131" s="440" t="s">
        <v>8262</v>
      </c>
      <c r="N131" s="464">
        <v>47882.0</v>
      </c>
      <c r="O131" s="464">
        <v>53846.0</v>
      </c>
      <c r="P131" s="5">
        <v>20.0</v>
      </c>
      <c r="Q131" s="31">
        <f t="shared" si="7"/>
        <v>9576.4</v>
      </c>
    </row>
    <row r="132">
      <c r="A132" s="534">
        <v>45537.0</v>
      </c>
      <c r="B132" s="440" t="s">
        <v>8716</v>
      </c>
      <c r="C132" s="440" t="s">
        <v>48</v>
      </c>
      <c r="D132" s="440" t="s">
        <v>8504</v>
      </c>
      <c r="E132" s="440" t="s">
        <v>8717</v>
      </c>
      <c r="F132" s="441"/>
      <c r="G132" s="440"/>
      <c r="H132" s="464">
        <v>42000.0</v>
      </c>
      <c r="I132" s="442">
        <v>45871.0</v>
      </c>
      <c r="J132" s="440" t="s">
        <v>48</v>
      </c>
      <c r="K132" s="440" t="s">
        <v>49</v>
      </c>
      <c r="L132" s="440" t="s">
        <v>27</v>
      </c>
      <c r="M132" s="440" t="s">
        <v>8262</v>
      </c>
      <c r="N132" s="464">
        <v>47385.0</v>
      </c>
      <c r="O132" s="464">
        <v>53260.0</v>
      </c>
      <c r="P132" s="5">
        <v>20.0</v>
      </c>
      <c r="Q132" s="31">
        <f t="shared" si="7"/>
        <v>9477</v>
      </c>
    </row>
    <row r="133">
      <c r="A133" s="534">
        <v>45537.0</v>
      </c>
      <c r="B133" s="440" t="s">
        <v>8718</v>
      </c>
      <c r="C133" s="440" t="s">
        <v>21</v>
      </c>
      <c r="D133" s="440" t="s">
        <v>8719</v>
      </c>
      <c r="E133" s="440" t="s">
        <v>8720</v>
      </c>
      <c r="F133" s="441"/>
      <c r="G133" s="440"/>
      <c r="H133" s="440">
        <v>35000.0</v>
      </c>
      <c r="I133" s="531">
        <v>45902.0</v>
      </c>
      <c r="J133" s="440" t="s">
        <v>48</v>
      </c>
      <c r="K133" s="440" t="s">
        <v>49</v>
      </c>
      <c r="L133" s="440" t="s">
        <v>3028</v>
      </c>
      <c r="M133" s="440" t="s">
        <v>8262</v>
      </c>
      <c r="N133" s="464">
        <v>51810.0</v>
      </c>
      <c r="O133" s="464">
        <v>58499.0</v>
      </c>
      <c r="P133" s="5">
        <v>22.0</v>
      </c>
      <c r="Q133" s="31">
        <f t="shared" si="7"/>
        <v>11398.2</v>
      </c>
    </row>
    <row r="134">
      <c r="A134" s="534">
        <v>45537.0</v>
      </c>
      <c r="B134" s="440" t="s">
        <v>8721</v>
      </c>
      <c r="C134" s="440" t="s">
        <v>2749</v>
      </c>
      <c r="D134" s="440" t="s">
        <v>8722</v>
      </c>
      <c r="E134" s="440" t="s">
        <v>8723</v>
      </c>
      <c r="F134" s="441"/>
      <c r="G134" s="440"/>
      <c r="H134" s="440"/>
      <c r="I134" s="531">
        <v>45932.0</v>
      </c>
      <c r="J134" s="440" t="s">
        <v>1424</v>
      </c>
      <c r="K134" s="440" t="s">
        <v>49</v>
      </c>
      <c r="L134" s="440" t="s">
        <v>27</v>
      </c>
      <c r="M134" s="440" t="s">
        <v>8262</v>
      </c>
      <c r="N134" s="464">
        <v>16274.0</v>
      </c>
      <c r="O134" s="464">
        <v>19204.0</v>
      </c>
      <c r="P134" s="5">
        <v>25.0</v>
      </c>
      <c r="Q134" s="31">
        <f t="shared" si="7"/>
        <v>4068.5</v>
      </c>
    </row>
    <row r="135">
      <c r="A135" s="534">
        <v>45537.0</v>
      </c>
      <c r="B135" s="440" t="s">
        <v>2292</v>
      </c>
      <c r="C135" s="440" t="s">
        <v>1395</v>
      </c>
      <c r="D135" s="440" t="s">
        <v>262</v>
      </c>
      <c r="E135" s="440" t="s">
        <v>2293</v>
      </c>
      <c r="F135" s="441"/>
      <c r="G135" s="440"/>
      <c r="H135" s="440">
        <v>1600.0</v>
      </c>
      <c r="I135" s="531">
        <v>45932.0</v>
      </c>
      <c r="J135" s="440" t="s">
        <v>1424</v>
      </c>
      <c r="K135" s="440" t="s">
        <v>49</v>
      </c>
      <c r="L135" s="440" t="s">
        <v>1436</v>
      </c>
      <c r="M135" s="440" t="s">
        <v>8262</v>
      </c>
      <c r="N135" s="464">
        <v>19215.0</v>
      </c>
      <c r="O135" s="464">
        <v>21711.0</v>
      </c>
      <c r="P135" s="5">
        <v>53.0</v>
      </c>
      <c r="Q135" s="31">
        <f t="shared" si="7"/>
        <v>10183.95</v>
      </c>
    </row>
    <row r="136">
      <c r="A136" s="534">
        <v>45537.0</v>
      </c>
      <c r="B136" s="440" t="s">
        <v>2294</v>
      </c>
      <c r="C136" s="440" t="s">
        <v>1395</v>
      </c>
      <c r="D136" s="440" t="s">
        <v>2295</v>
      </c>
      <c r="E136" s="440" t="s">
        <v>2296</v>
      </c>
      <c r="F136" s="441"/>
      <c r="G136" s="440"/>
      <c r="H136" s="440">
        <v>2565.0</v>
      </c>
      <c r="I136" s="531">
        <v>45932.0</v>
      </c>
      <c r="J136" s="440" t="s">
        <v>1424</v>
      </c>
      <c r="K136" s="440" t="s">
        <v>49</v>
      </c>
      <c r="L136" s="440" t="s">
        <v>3028</v>
      </c>
      <c r="M136" s="440" t="s">
        <v>8262</v>
      </c>
      <c r="N136" s="464">
        <v>20337.0</v>
      </c>
      <c r="O136" s="464">
        <v>23035.0</v>
      </c>
      <c r="P136" s="5">
        <v>53.0</v>
      </c>
      <c r="Q136" s="31">
        <f t="shared" si="7"/>
        <v>10778.61</v>
      </c>
    </row>
    <row r="137">
      <c r="A137" s="534">
        <v>45537.0</v>
      </c>
      <c r="B137" s="396" t="s">
        <v>6918</v>
      </c>
      <c r="C137" s="440" t="s">
        <v>1759</v>
      </c>
      <c r="D137" s="440" t="s">
        <v>8724</v>
      </c>
      <c r="E137" s="440" t="s">
        <v>8725</v>
      </c>
      <c r="F137" s="441"/>
      <c r="G137" s="440"/>
      <c r="H137" s="440"/>
      <c r="I137" s="531">
        <v>45902.0</v>
      </c>
      <c r="J137" s="440" t="s">
        <v>78</v>
      </c>
      <c r="K137" s="440" t="s">
        <v>49</v>
      </c>
      <c r="L137" s="440" t="s">
        <v>71</v>
      </c>
      <c r="M137" s="440" t="s">
        <v>8262</v>
      </c>
      <c r="N137" s="464">
        <v>6431.0</v>
      </c>
      <c r="O137" s="464">
        <v>7589.0</v>
      </c>
      <c r="P137" s="5">
        <v>53.0</v>
      </c>
      <c r="Q137" s="31">
        <f t="shared" si="7"/>
        <v>3408.43</v>
      </c>
    </row>
    <row r="138">
      <c r="A138" s="534">
        <v>45567.0</v>
      </c>
      <c r="B138" s="440" t="s">
        <v>8726</v>
      </c>
      <c r="C138" s="440" t="s">
        <v>21</v>
      </c>
      <c r="D138" s="440" t="s">
        <v>8105</v>
      </c>
      <c r="E138" s="440" t="s">
        <v>8727</v>
      </c>
      <c r="F138" s="441"/>
      <c r="G138" s="440"/>
      <c r="H138" s="440">
        <v>18500.0</v>
      </c>
      <c r="I138" s="531">
        <v>45932.0</v>
      </c>
      <c r="J138" s="440" t="s">
        <v>2638</v>
      </c>
      <c r="K138" s="440" t="s">
        <v>26</v>
      </c>
      <c r="L138" s="440" t="s">
        <v>27</v>
      </c>
      <c r="M138" s="440" t="s">
        <v>8262</v>
      </c>
      <c r="N138" s="464">
        <v>35788.0</v>
      </c>
      <c r="O138" s="464">
        <v>40099.0</v>
      </c>
      <c r="P138" s="5">
        <v>43.0</v>
      </c>
      <c r="Q138" s="31">
        <f t="shared" si="7"/>
        <v>15388.84</v>
      </c>
    </row>
    <row r="139">
      <c r="A139" s="534">
        <v>45567.0</v>
      </c>
      <c r="B139" s="440" t="s">
        <v>2156</v>
      </c>
      <c r="C139" s="440" t="s">
        <v>21</v>
      </c>
      <c r="D139" s="440" t="s">
        <v>1769</v>
      </c>
      <c r="E139" s="440" t="s">
        <v>8728</v>
      </c>
      <c r="F139" s="441"/>
      <c r="G139" s="440"/>
      <c r="H139" s="440">
        <v>28000.0</v>
      </c>
      <c r="I139" s="440" t="s">
        <v>2440</v>
      </c>
      <c r="J139" s="440" t="s">
        <v>48</v>
      </c>
      <c r="K139" s="440" t="s">
        <v>49</v>
      </c>
      <c r="L139" s="440" t="s">
        <v>27</v>
      </c>
      <c r="M139" s="440" t="s">
        <v>8262</v>
      </c>
      <c r="N139" s="464">
        <v>47047.0</v>
      </c>
      <c r="O139" s="464">
        <v>52878.0</v>
      </c>
      <c r="P139" s="5">
        <v>22.0</v>
      </c>
      <c r="Q139" s="31">
        <f t="shared" si="7"/>
        <v>10350.34</v>
      </c>
    </row>
    <row r="140">
      <c r="A140" s="534">
        <v>45567.0</v>
      </c>
      <c r="B140" s="440" t="s">
        <v>2386</v>
      </c>
      <c r="C140" s="440" t="s">
        <v>1395</v>
      </c>
      <c r="D140" s="440" t="s">
        <v>8571</v>
      </c>
      <c r="E140" s="440" t="s">
        <v>8729</v>
      </c>
      <c r="F140" s="441"/>
      <c r="G140" s="440"/>
      <c r="H140" s="440">
        <v>2750.0</v>
      </c>
      <c r="I140" s="531">
        <v>45932.0</v>
      </c>
      <c r="J140" s="440" t="s">
        <v>1424</v>
      </c>
      <c r="K140" s="440" t="s">
        <v>49</v>
      </c>
      <c r="L140" s="440" t="s">
        <v>27</v>
      </c>
      <c r="M140" s="440" t="s">
        <v>8262</v>
      </c>
      <c r="N140" s="464">
        <v>20550.0</v>
      </c>
      <c r="O140" s="464">
        <v>23286.0</v>
      </c>
      <c r="P140" s="5">
        <v>53.0</v>
      </c>
      <c r="Q140" s="31">
        <f t="shared" si="7"/>
        <v>10891.5</v>
      </c>
    </row>
    <row r="141">
      <c r="A141" s="534">
        <v>45567.0</v>
      </c>
      <c r="B141" s="440" t="s">
        <v>8730</v>
      </c>
      <c r="C141" s="440" t="s">
        <v>533</v>
      </c>
      <c r="D141" s="440" t="s">
        <v>8731</v>
      </c>
      <c r="E141" s="440" t="s">
        <v>8732</v>
      </c>
      <c r="F141" s="441"/>
      <c r="G141" s="440"/>
      <c r="H141" s="440"/>
      <c r="I141" s="531">
        <v>45902.0</v>
      </c>
      <c r="J141" s="440" t="s">
        <v>116</v>
      </c>
      <c r="K141" s="440" t="s">
        <v>49</v>
      </c>
      <c r="L141" s="440" t="s">
        <v>27</v>
      </c>
      <c r="M141" s="440" t="s">
        <v>8262</v>
      </c>
      <c r="N141" s="464">
        <v>11276.0</v>
      </c>
      <c r="O141" s="464">
        <v>13306.0</v>
      </c>
      <c r="P141" s="5">
        <v>27.0</v>
      </c>
      <c r="Q141" s="31">
        <f t="shared" si="7"/>
        <v>3044.52</v>
      </c>
    </row>
    <row r="142">
      <c r="A142" s="534">
        <v>45567.0</v>
      </c>
      <c r="B142" s="440" t="s">
        <v>2160</v>
      </c>
      <c r="C142" s="440" t="s">
        <v>1395</v>
      </c>
      <c r="D142" s="440" t="s">
        <v>262</v>
      </c>
      <c r="E142" s="440" t="s">
        <v>8733</v>
      </c>
      <c r="F142" s="441"/>
      <c r="G142" s="440"/>
      <c r="H142" s="440">
        <v>1600.0</v>
      </c>
      <c r="I142" s="531">
        <v>45993.0</v>
      </c>
      <c r="J142" s="440" t="s">
        <v>1424</v>
      </c>
      <c r="K142" s="440" t="s">
        <v>49</v>
      </c>
      <c r="L142" s="440" t="s">
        <v>27</v>
      </c>
      <c r="M142" s="440" t="s">
        <v>8262</v>
      </c>
      <c r="N142" s="464">
        <v>19106.0</v>
      </c>
      <c r="O142" s="464">
        <v>21582.0</v>
      </c>
      <c r="P142" s="5">
        <v>53.0</v>
      </c>
      <c r="Q142" s="31">
        <f t="shared" si="7"/>
        <v>10126.18</v>
      </c>
    </row>
    <row r="143">
      <c r="A143" s="126"/>
      <c r="F143" s="236"/>
      <c r="Q143" s="31"/>
    </row>
    <row r="144">
      <c r="A144" s="126"/>
      <c r="F144" s="236"/>
      <c r="Q144" s="31"/>
    </row>
    <row r="145">
      <c r="A145" s="126"/>
      <c r="F145" s="236"/>
      <c r="Q145" s="31">
        <f>SUM(Q91:Q144)</f>
        <v>504799.69</v>
      </c>
    </row>
    <row r="146">
      <c r="A146" s="126"/>
      <c r="F146" s="236"/>
      <c r="Q146" s="31"/>
    </row>
    <row r="147">
      <c r="A147" s="126"/>
      <c r="F147" s="236"/>
      <c r="Q147" s="31"/>
    </row>
    <row r="148">
      <c r="A148" s="126"/>
      <c r="F148" s="236"/>
      <c r="Q148" s="31"/>
    </row>
    <row r="149">
      <c r="A149" s="87">
        <v>45628.0</v>
      </c>
      <c r="B149" s="479" t="s">
        <v>2184</v>
      </c>
      <c r="C149" s="479" t="s">
        <v>1395</v>
      </c>
      <c r="D149" s="479" t="s">
        <v>528</v>
      </c>
      <c r="E149" s="479" t="s">
        <v>2187</v>
      </c>
      <c r="F149" s="525" t="s">
        <v>8734</v>
      </c>
      <c r="G149" s="479"/>
      <c r="H149" s="481">
        <v>2960.0</v>
      </c>
      <c r="I149" s="480">
        <v>45963.0</v>
      </c>
      <c r="J149" s="479" t="s">
        <v>116</v>
      </c>
      <c r="K149" s="479" t="s">
        <v>49</v>
      </c>
      <c r="L149" s="479" t="s">
        <v>8695</v>
      </c>
      <c r="M149" s="479" t="s">
        <v>8262</v>
      </c>
      <c r="N149" s="502">
        <v>16744.0</v>
      </c>
      <c r="O149" s="502">
        <v>18791.0</v>
      </c>
      <c r="P149" s="5">
        <v>51.0</v>
      </c>
      <c r="Q149" s="31">
        <f t="shared" ref="Q149:Q176" si="8">N149*P149%</f>
        <v>8539.44</v>
      </c>
    </row>
    <row r="150">
      <c r="A150" s="526" t="s">
        <v>8735</v>
      </c>
      <c r="B150" s="440" t="s">
        <v>2428</v>
      </c>
      <c r="C150" s="440" t="s">
        <v>1395</v>
      </c>
      <c r="D150" s="440" t="s">
        <v>8295</v>
      </c>
      <c r="E150" s="440" t="s">
        <v>8736</v>
      </c>
      <c r="F150" s="441"/>
      <c r="G150" s="440"/>
      <c r="H150" s="464">
        <v>1285.0</v>
      </c>
      <c r="I150" s="440" t="s">
        <v>2421</v>
      </c>
      <c r="J150" s="440" t="s">
        <v>1424</v>
      </c>
      <c r="K150" s="440" t="s">
        <v>49</v>
      </c>
      <c r="L150" s="440" t="s">
        <v>71</v>
      </c>
      <c r="M150" s="440" t="s">
        <v>8262</v>
      </c>
      <c r="N150" s="464">
        <v>16462.0</v>
      </c>
      <c r="O150" s="464">
        <v>18462.0</v>
      </c>
      <c r="P150" s="5">
        <v>53.0</v>
      </c>
      <c r="Q150" s="31">
        <f t="shared" si="8"/>
        <v>8724.86</v>
      </c>
    </row>
    <row r="151">
      <c r="A151" s="526" t="s">
        <v>8735</v>
      </c>
      <c r="B151" s="440" t="s">
        <v>2458</v>
      </c>
      <c r="C151" s="440" t="s">
        <v>21</v>
      </c>
      <c r="D151" s="440" t="s">
        <v>8613</v>
      </c>
      <c r="E151" s="440" t="s">
        <v>8737</v>
      </c>
      <c r="F151" s="441">
        <v>9.825244944E9</v>
      </c>
      <c r="G151" s="440"/>
      <c r="H151" s="464">
        <v>12990.0</v>
      </c>
      <c r="I151" s="440" t="s">
        <v>2421</v>
      </c>
      <c r="J151" s="440" t="s">
        <v>8525</v>
      </c>
      <c r="K151" s="440" t="s">
        <v>49</v>
      </c>
      <c r="L151" s="440" t="s">
        <v>71</v>
      </c>
      <c r="M151" s="440" t="s">
        <v>8262</v>
      </c>
      <c r="N151" s="464">
        <v>36740.0</v>
      </c>
      <c r="O151" s="464">
        <v>41234.0</v>
      </c>
      <c r="P151" s="5">
        <v>23.0</v>
      </c>
      <c r="Q151" s="31">
        <f t="shared" si="8"/>
        <v>8450.2</v>
      </c>
    </row>
    <row r="152">
      <c r="A152" s="526" t="s">
        <v>8735</v>
      </c>
      <c r="B152" s="440" t="s">
        <v>801</v>
      </c>
      <c r="C152" s="440" t="s">
        <v>1395</v>
      </c>
      <c r="D152" s="440" t="s">
        <v>2143</v>
      </c>
      <c r="E152" s="440" t="s">
        <v>803</v>
      </c>
      <c r="F152" s="441"/>
      <c r="G152" s="440"/>
      <c r="H152" s="464">
        <v>3490.0</v>
      </c>
      <c r="I152" s="440" t="s">
        <v>2414</v>
      </c>
      <c r="J152" s="440" t="s">
        <v>116</v>
      </c>
      <c r="K152" s="440" t="s">
        <v>49</v>
      </c>
      <c r="L152" s="440" t="s">
        <v>3028</v>
      </c>
      <c r="M152" s="440" t="s">
        <v>8262</v>
      </c>
      <c r="N152" s="443">
        <v>23319.0</v>
      </c>
      <c r="O152" s="465">
        <v>26549.0</v>
      </c>
      <c r="P152" s="5">
        <v>51.0</v>
      </c>
      <c r="Q152" s="31">
        <f t="shared" si="8"/>
        <v>11892.69</v>
      </c>
    </row>
    <row r="153">
      <c r="A153" s="526" t="s">
        <v>8735</v>
      </c>
      <c r="B153" s="440" t="s">
        <v>8738</v>
      </c>
      <c r="C153" s="440" t="s">
        <v>1395</v>
      </c>
      <c r="D153" s="440" t="s">
        <v>528</v>
      </c>
      <c r="E153" s="440" t="s">
        <v>8739</v>
      </c>
      <c r="F153" s="441"/>
      <c r="G153" s="440"/>
      <c r="H153" s="464">
        <v>2500.0</v>
      </c>
      <c r="I153" s="440" t="s">
        <v>2414</v>
      </c>
      <c r="J153" s="440" t="s">
        <v>116</v>
      </c>
      <c r="K153" s="440" t="s">
        <v>26</v>
      </c>
      <c r="L153" s="440" t="s">
        <v>27</v>
      </c>
      <c r="M153" s="440" t="s">
        <v>8262</v>
      </c>
      <c r="N153" s="443">
        <v>16099.0</v>
      </c>
      <c r="O153" s="443">
        <v>18031.0</v>
      </c>
      <c r="P153" s="5">
        <v>51.0</v>
      </c>
      <c r="Q153" s="31">
        <f t="shared" si="8"/>
        <v>8210.49</v>
      </c>
    </row>
    <row r="154">
      <c r="A154" s="526" t="s">
        <v>8740</v>
      </c>
      <c r="B154" s="440" t="s">
        <v>8741</v>
      </c>
      <c r="C154" s="440" t="s">
        <v>8742</v>
      </c>
      <c r="D154" s="440" t="s">
        <v>8521</v>
      </c>
      <c r="E154" s="440" t="s">
        <v>8743</v>
      </c>
      <c r="F154" s="441">
        <v>9.714375638E9</v>
      </c>
      <c r="G154" s="440"/>
      <c r="H154" s="464">
        <v>990.0</v>
      </c>
      <c r="I154" s="440" t="s">
        <v>2535</v>
      </c>
      <c r="J154" s="440" t="s">
        <v>78</v>
      </c>
      <c r="K154" s="440" t="s">
        <v>49</v>
      </c>
      <c r="L154" s="440" t="s">
        <v>1616</v>
      </c>
      <c r="M154" s="440" t="s">
        <v>8262</v>
      </c>
      <c r="N154" s="443">
        <v>5285.0</v>
      </c>
      <c r="O154" s="443">
        <v>5967.0</v>
      </c>
      <c r="P154" s="5">
        <v>53.0</v>
      </c>
      <c r="Q154" s="31">
        <f t="shared" si="8"/>
        <v>2801.05</v>
      </c>
    </row>
    <row r="155">
      <c r="A155" s="526" t="s">
        <v>8740</v>
      </c>
      <c r="B155" s="440" t="s">
        <v>8744</v>
      </c>
      <c r="C155" s="440" t="s">
        <v>21</v>
      </c>
      <c r="D155" s="440" t="s">
        <v>8745</v>
      </c>
      <c r="E155" s="440" t="s">
        <v>8746</v>
      </c>
      <c r="F155" s="441"/>
      <c r="G155" s="440"/>
      <c r="H155" s="464">
        <v>11900.0</v>
      </c>
      <c r="I155" s="440" t="s">
        <v>8747</v>
      </c>
      <c r="J155" s="440" t="s">
        <v>25</v>
      </c>
      <c r="K155" s="440" t="s">
        <v>49</v>
      </c>
      <c r="L155" s="440" t="s">
        <v>8392</v>
      </c>
      <c r="M155" s="440" t="s">
        <v>8262</v>
      </c>
      <c r="N155" s="443">
        <v>49057.0</v>
      </c>
      <c r="O155" s="443">
        <v>56256.0</v>
      </c>
      <c r="P155" s="5">
        <v>27.0</v>
      </c>
      <c r="Q155" s="31">
        <f t="shared" si="8"/>
        <v>13245.39</v>
      </c>
    </row>
    <row r="156">
      <c r="A156" s="526" t="s">
        <v>8740</v>
      </c>
      <c r="B156" s="440" t="s">
        <v>2497</v>
      </c>
      <c r="C156" s="440" t="s">
        <v>1395</v>
      </c>
      <c r="D156" s="440" t="s">
        <v>262</v>
      </c>
      <c r="E156" s="440" t="s">
        <v>8748</v>
      </c>
      <c r="F156" s="441"/>
      <c r="G156" s="440"/>
      <c r="H156" s="464">
        <v>1600.0</v>
      </c>
      <c r="I156" s="440" t="s">
        <v>2504</v>
      </c>
      <c r="J156" s="440" t="s">
        <v>1424</v>
      </c>
      <c r="K156" s="440" t="s">
        <v>49</v>
      </c>
      <c r="L156" s="440" t="s">
        <v>1456</v>
      </c>
      <c r="M156" s="440" t="s">
        <v>8262</v>
      </c>
      <c r="N156" s="443">
        <v>18843.0</v>
      </c>
      <c r="O156" s="465">
        <v>21271.0</v>
      </c>
      <c r="P156" s="5">
        <v>53.0</v>
      </c>
      <c r="Q156" s="31">
        <f t="shared" si="8"/>
        <v>9986.79</v>
      </c>
    </row>
    <row r="157">
      <c r="A157" s="526" t="s">
        <v>8740</v>
      </c>
      <c r="B157" s="440" t="s">
        <v>8749</v>
      </c>
      <c r="C157" s="440" t="s">
        <v>1395</v>
      </c>
      <c r="D157" s="440" t="s">
        <v>528</v>
      </c>
      <c r="E157" s="440" t="s">
        <v>8750</v>
      </c>
      <c r="F157" s="441"/>
      <c r="G157" s="440"/>
      <c r="H157" s="464">
        <v>2700.0</v>
      </c>
      <c r="I157" s="440" t="s">
        <v>2414</v>
      </c>
      <c r="J157" s="440" t="s">
        <v>116</v>
      </c>
      <c r="K157" s="440" t="s">
        <v>49</v>
      </c>
      <c r="L157" s="440" t="s">
        <v>71</v>
      </c>
      <c r="M157" s="440" t="s">
        <v>8262</v>
      </c>
      <c r="N157" s="443">
        <v>17120.0</v>
      </c>
      <c r="O157" s="443">
        <v>19380.0</v>
      </c>
      <c r="P157" s="5">
        <v>51.0</v>
      </c>
      <c r="Q157" s="31">
        <f t="shared" si="8"/>
        <v>8731.2</v>
      </c>
    </row>
    <row r="158">
      <c r="A158" s="526" t="s">
        <v>8751</v>
      </c>
      <c r="B158" s="440" t="s">
        <v>8752</v>
      </c>
      <c r="C158" s="440" t="s">
        <v>1432</v>
      </c>
      <c r="D158" s="440" t="s">
        <v>8753</v>
      </c>
      <c r="E158" s="440" t="s">
        <v>8754</v>
      </c>
      <c r="F158" s="441"/>
      <c r="G158" s="440"/>
      <c r="H158" s="440"/>
      <c r="I158" s="440" t="s">
        <v>2440</v>
      </c>
      <c r="J158" s="440" t="s">
        <v>78</v>
      </c>
      <c r="K158" s="440" t="s">
        <v>49</v>
      </c>
      <c r="L158" s="440" t="s">
        <v>27</v>
      </c>
      <c r="M158" s="440" t="s">
        <v>8262</v>
      </c>
      <c r="N158" s="443">
        <v>6271.0</v>
      </c>
      <c r="O158" s="443">
        <v>7400.0</v>
      </c>
      <c r="P158" s="5">
        <v>53.0</v>
      </c>
      <c r="Q158" s="31">
        <f t="shared" si="8"/>
        <v>3323.63</v>
      </c>
    </row>
    <row r="159">
      <c r="A159" s="526" t="s">
        <v>8751</v>
      </c>
      <c r="B159" s="440" t="s">
        <v>2460</v>
      </c>
      <c r="C159" s="440" t="s">
        <v>21</v>
      </c>
      <c r="D159" s="440" t="s">
        <v>8755</v>
      </c>
      <c r="E159" s="440" t="s">
        <v>8756</v>
      </c>
      <c r="F159" s="441"/>
      <c r="G159" s="440"/>
      <c r="H159" s="464">
        <v>35000.0</v>
      </c>
      <c r="I159" s="440" t="s">
        <v>2440</v>
      </c>
      <c r="J159" s="440" t="s">
        <v>8525</v>
      </c>
      <c r="K159" s="440" t="s">
        <v>49</v>
      </c>
      <c r="L159" s="440" t="s">
        <v>27</v>
      </c>
      <c r="M159" s="440" t="s">
        <v>8262</v>
      </c>
      <c r="N159" s="464">
        <v>45105.0</v>
      </c>
      <c r="O159" s="464">
        <v>50587.0</v>
      </c>
      <c r="P159" s="5">
        <v>23.0</v>
      </c>
      <c r="Q159" s="31">
        <f t="shared" si="8"/>
        <v>10374.15</v>
      </c>
    </row>
    <row r="160">
      <c r="A160" s="526" t="s">
        <v>8751</v>
      </c>
      <c r="B160" s="440" t="s">
        <v>8757</v>
      </c>
      <c r="C160" s="440" t="s">
        <v>21</v>
      </c>
      <c r="D160" s="440" t="s">
        <v>8268</v>
      </c>
      <c r="E160" s="440" t="s">
        <v>8758</v>
      </c>
      <c r="F160" s="441"/>
      <c r="G160" s="440"/>
      <c r="H160" s="464">
        <v>16020.0</v>
      </c>
      <c r="I160" s="440" t="s">
        <v>2440</v>
      </c>
      <c r="J160" s="440" t="s">
        <v>48</v>
      </c>
      <c r="K160" s="440" t="s">
        <v>49</v>
      </c>
      <c r="L160" s="440" t="s">
        <v>71</v>
      </c>
      <c r="M160" s="440" t="s">
        <v>8262</v>
      </c>
      <c r="N160" s="464">
        <v>51543.0</v>
      </c>
      <c r="O160" s="464">
        <v>58702.0</v>
      </c>
      <c r="P160" s="5">
        <v>22.0</v>
      </c>
      <c r="Q160" s="31">
        <f t="shared" si="8"/>
        <v>11339.46</v>
      </c>
    </row>
    <row r="161">
      <c r="A161" s="526" t="s">
        <v>8751</v>
      </c>
      <c r="B161" s="440" t="s">
        <v>8759</v>
      </c>
      <c r="C161" s="440" t="s">
        <v>21</v>
      </c>
      <c r="D161" s="440" t="s">
        <v>2621</v>
      </c>
      <c r="E161" s="440" t="s">
        <v>8760</v>
      </c>
      <c r="F161" s="441">
        <v>9.825458335E9</v>
      </c>
      <c r="G161" s="440"/>
      <c r="H161" s="464">
        <v>11990.0</v>
      </c>
      <c r="I161" s="440" t="s">
        <v>8761</v>
      </c>
      <c r="J161" s="440" t="s">
        <v>48</v>
      </c>
      <c r="K161" s="440" t="s">
        <v>49</v>
      </c>
      <c r="L161" s="440" t="s">
        <v>3028</v>
      </c>
      <c r="M161" s="440" t="s">
        <v>8262</v>
      </c>
      <c r="N161" s="464">
        <v>40513.0</v>
      </c>
      <c r="O161" s="464">
        <v>46174.0</v>
      </c>
      <c r="P161" s="5">
        <v>22.0</v>
      </c>
      <c r="Q161" s="31">
        <f t="shared" si="8"/>
        <v>8912.86</v>
      </c>
    </row>
    <row r="162">
      <c r="A162" s="526" t="s">
        <v>8751</v>
      </c>
      <c r="B162" s="440" t="s">
        <v>8762</v>
      </c>
      <c r="C162" s="440" t="s">
        <v>1395</v>
      </c>
      <c r="D162" s="440" t="s">
        <v>528</v>
      </c>
      <c r="E162" s="440" t="s">
        <v>8763</v>
      </c>
      <c r="F162" s="441"/>
      <c r="G162" s="440"/>
      <c r="H162" s="464">
        <v>3490.0</v>
      </c>
      <c r="I162" s="440" t="s">
        <v>8761</v>
      </c>
      <c r="J162" s="440" t="s">
        <v>116</v>
      </c>
      <c r="K162" s="440" t="s">
        <v>49</v>
      </c>
      <c r="L162" s="440" t="s">
        <v>71</v>
      </c>
      <c r="M162" s="440" t="s">
        <v>8262</v>
      </c>
      <c r="N162" s="443">
        <v>21174.0</v>
      </c>
      <c r="O162" s="443">
        <v>24017.0</v>
      </c>
      <c r="P162" s="5">
        <v>51.0</v>
      </c>
      <c r="Q162" s="31">
        <f t="shared" si="8"/>
        <v>10798.74</v>
      </c>
    </row>
    <row r="163">
      <c r="A163" s="526" t="s">
        <v>8751</v>
      </c>
      <c r="B163" s="440" t="s">
        <v>8764</v>
      </c>
      <c r="C163" s="440" t="s">
        <v>1432</v>
      </c>
      <c r="D163" s="440" t="s">
        <v>8753</v>
      </c>
      <c r="E163" s="440" t="s">
        <v>8765</v>
      </c>
      <c r="F163" s="441">
        <v>8.347505147E9</v>
      </c>
      <c r="G163" s="440"/>
      <c r="H163" s="440"/>
      <c r="I163" s="440" t="s">
        <v>2440</v>
      </c>
      <c r="J163" s="440" t="s">
        <v>78</v>
      </c>
      <c r="K163" s="440" t="s">
        <v>49</v>
      </c>
      <c r="L163" s="440" t="s">
        <v>1616</v>
      </c>
      <c r="M163" s="440" t="s">
        <v>8262</v>
      </c>
      <c r="N163" s="464">
        <v>6477.0</v>
      </c>
      <c r="O163" s="464">
        <v>7643.0</v>
      </c>
      <c r="P163" s="5">
        <v>53.0</v>
      </c>
      <c r="Q163" s="31">
        <f t="shared" si="8"/>
        <v>3432.81</v>
      </c>
    </row>
    <row r="164">
      <c r="A164" s="526" t="s">
        <v>8751</v>
      </c>
      <c r="B164" s="440" t="s">
        <v>8766</v>
      </c>
      <c r="C164" s="440" t="s">
        <v>1432</v>
      </c>
      <c r="D164" s="440" t="s">
        <v>8753</v>
      </c>
      <c r="E164" s="440" t="s">
        <v>8767</v>
      </c>
      <c r="F164" s="441">
        <v>9.898371592E9</v>
      </c>
      <c r="G164" s="440"/>
      <c r="H164" s="440"/>
      <c r="I164" s="440" t="s">
        <v>2440</v>
      </c>
      <c r="J164" s="440" t="s">
        <v>78</v>
      </c>
      <c r="K164" s="440" t="s">
        <v>49</v>
      </c>
      <c r="L164" s="440" t="s">
        <v>71</v>
      </c>
      <c r="M164" s="440" t="s">
        <v>8262</v>
      </c>
      <c r="N164" s="464">
        <v>6482.0</v>
      </c>
      <c r="O164" s="464">
        <v>7649.0</v>
      </c>
      <c r="P164" s="5">
        <v>53.0</v>
      </c>
      <c r="Q164" s="31">
        <f t="shared" si="8"/>
        <v>3435.46</v>
      </c>
    </row>
    <row r="165">
      <c r="A165" s="526" t="s">
        <v>8768</v>
      </c>
      <c r="B165" s="440" t="s">
        <v>8769</v>
      </c>
      <c r="C165" s="440" t="s">
        <v>21</v>
      </c>
      <c r="D165" s="440">
        <v>407.0</v>
      </c>
      <c r="E165" s="440" t="s">
        <v>8770</v>
      </c>
      <c r="F165" s="441"/>
      <c r="G165" s="440"/>
      <c r="H165" s="464">
        <v>4450.0</v>
      </c>
      <c r="I165" s="440" t="s">
        <v>2535</v>
      </c>
      <c r="J165" s="440" t="s">
        <v>25</v>
      </c>
      <c r="K165" s="440" t="s">
        <v>49</v>
      </c>
      <c r="L165" s="440" t="s">
        <v>8392</v>
      </c>
      <c r="M165" s="440" t="s">
        <v>8262</v>
      </c>
      <c r="N165" s="443">
        <v>18689.0</v>
      </c>
      <c r="O165" s="443">
        <v>21090.0</v>
      </c>
      <c r="P165" s="5">
        <v>37.0</v>
      </c>
      <c r="Q165" s="31">
        <f t="shared" si="8"/>
        <v>6914.93</v>
      </c>
    </row>
    <row r="166">
      <c r="A166" s="526" t="s">
        <v>8768</v>
      </c>
      <c r="B166" s="440" t="s">
        <v>8771</v>
      </c>
      <c r="C166" s="440" t="s">
        <v>21</v>
      </c>
      <c r="D166" s="440" t="s">
        <v>8772</v>
      </c>
      <c r="E166" s="440" t="s">
        <v>8773</v>
      </c>
      <c r="F166" s="441"/>
      <c r="G166" s="440"/>
      <c r="H166" s="464">
        <v>16200.0</v>
      </c>
      <c r="I166" s="440" t="s">
        <v>8761</v>
      </c>
      <c r="J166" s="440" t="s">
        <v>668</v>
      </c>
      <c r="K166" s="440" t="s">
        <v>26</v>
      </c>
      <c r="L166" s="440" t="s">
        <v>27</v>
      </c>
      <c r="M166" s="440" t="s">
        <v>8262</v>
      </c>
      <c r="N166" s="464">
        <v>35413.0</v>
      </c>
      <c r="O166" s="464">
        <v>39669.0</v>
      </c>
      <c r="P166" s="5">
        <v>40.0</v>
      </c>
      <c r="Q166" s="31">
        <f t="shared" si="8"/>
        <v>14165.2</v>
      </c>
    </row>
    <row r="167">
      <c r="A167" s="526" t="s">
        <v>8768</v>
      </c>
      <c r="B167" s="440" t="s">
        <v>8774</v>
      </c>
      <c r="C167" s="440" t="s">
        <v>1395</v>
      </c>
      <c r="D167" s="440" t="s">
        <v>528</v>
      </c>
      <c r="E167" s="440" t="s">
        <v>8775</v>
      </c>
      <c r="F167" s="441"/>
      <c r="G167" s="440"/>
      <c r="H167" s="464">
        <v>2700.0</v>
      </c>
      <c r="I167" s="440" t="s">
        <v>8761</v>
      </c>
      <c r="J167" s="440" t="s">
        <v>116</v>
      </c>
      <c r="K167" s="440" t="s">
        <v>49</v>
      </c>
      <c r="L167" s="440" t="s">
        <v>71</v>
      </c>
      <c r="M167" s="440" t="s">
        <v>8262</v>
      </c>
      <c r="N167" s="465">
        <v>17788.0</v>
      </c>
      <c r="O167" s="443">
        <v>20022.0</v>
      </c>
      <c r="P167" s="5">
        <v>51.0</v>
      </c>
      <c r="Q167" s="31">
        <f t="shared" si="8"/>
        <v>9071.88</v>
      </c>
    </row>
    <row r="168">
      <c r="A168" s="526" t="s">
        <v>8776</v>
      </c>
      <c r="B168" s="440" t="s">
        <v>2529</v>
      </c>
      <c r="C168" s="440" t="s">
        <v>21</v>
      </c>
      <c r="D168" s="440" t="s">
        <v>1769</v>
      </c>
      <c r="E168" s="440" t="s">
        <v>8777</v>
      </c>
      <c r="F168" s="441"/>
      <c r="G168" s="440"/>
      <c r="H168" s="464">
        <v>28000.0</v>
      </c>
      <c r="I168" s="440" t="s">
        <v>8761</v>
      </c>
      <c r="J168" s="440" t="s">
        <v>1424</v>
      </c>
      <c r="K168" s="440" t="s">
        <v>49</v>
      </c>
      <c r="L168" s="440" t="s">
        <v>71</v>
      </c>
      <c r="M168" s="440" t="s">
        <v>8262</v>
      </c>
      <c r="N168" s="443">
        <v>46202.0</v>
      </c>
      <c r="O168" s="443">
        <v>51882.0</v>
      </c>
      <c r="P168" s="5">
        <v>22.0</v>
      </c>
      <c r="Q168" s="31">
        <f t="shared" si="8"/>
        <v>10164.44</v>
      </c>
    </row>
    <row r="169">
      <c r="A169" s="526" t="s">
        <v>8776</v>
      </c>
      <c r="B169" s="440" t="s">
        <v>2436</v>
      </c>
      <c r="C169" s="440" t="s">
        <v>21</v>
      </c>
      <c r="D169" s="440" t="s">
        <v>2138</v>
      </c>
      <c r="E169" s="440" t="s">
        <v>8778</v>
      </c>
      <c r="F169" s="441"/>
      <c r="G169" s="440"/>
      <c r="H169" s="464">
        <v>35000.0</v>
      </c>
      <c r="I169" s="440" t="s">
        <v>8761</v>
      </c>
      <c r="J169" s="440" t="s">
        <v>1424</v>
      </c>
      <c r="K169" s="440" t="s">
        <v>49</v>
      </c>
      <c r="L169" s="440" t="s">
        <v>27</v>
      </c>
      <c r="M169" s="440" t="s">
        <v>8262</v>
      </c>
      <c r="N169" s="464">
        <v>47994.0</v>
      </c>
      <c r="O169" s="464">
        <v>53996.0</v>
      </c>
      <c r="P169" s="5">
        <v>22.0</v>
      </c>
      <c r="Q169" s="31">
        <f t="shared" si="8"/>
        <v>10558.68</v>
      </c>
    </row>
    <row r="170">
      <c r="A170" s="526" t="s">
        <v>8776</v>
      </c>
      <c r="B170" s="440" t="s">
        <v>2448</v>
      </c>
      <c r="C170" s="440" t="s">
        <v>1395</v>
      </c>
      <c r="D170" s="440" t="s">
        <v>262</v>
      </c>
      <c r="E170" s="440" t="s">
        <v>8779</v>
      </c>
      <c r="F170" s="441"/>
      <c r="G170" s="440"/>
      <c r="H170" s="464">
        <v>1600.0</v>
      </c>
      <c r="I170" s="440" t="s">
        <v>8761</v>
      </c>
      <c r="J170" s="440" t="s">
        <v>1424</v>
      </c>
      <c r="K170" s="440" t="s">
        <v>49</v>
      </c>
      <c r="L170" s="440" t="s">
        <v>1456</v>
      </c>
      <c r="M170" s="440" t="s">
        <v>8262</v>
      </c>
      <c r="N170" s="443">
        <v>19307.0</v>
      </c>
      <c r="O170" s="465">
        <v>21819.0</v>
      </c>
      <c r="P170" s="5">
        <v>53.0</v>
      </c>
      <c r="Q170" s="31">
        <f t="shared" si="8"/>
        <v>10232.71</v>
      </c>
    </row>
    <row r="171">
      <c r="A171" s="526" t="s">
        <v>8776</v>
      </c>
      <c r="B171" s="440" t="s">
        <v>2505</v>
      </c>
      <c r="C171" s="440" t="s">
        <v>21</v>
      </c>
      <c r="D171" s="440" t="s">
        <v>1769</v>
      </c>
      <c r="E171" s="440" t="s">
        <v>8780</v>
      </c>
      <c r="F171" s="441"/>
      <c r="G171" s="440"/>
      <c r="H171" s="464">
        <v>28000.0</v>
      </c>
      <c r="I171" s="440" t="s">
        <v>2488</v>
      </c>
      <c r="J171" s="440" t="s">
        <v>8525</v>
      </c>
      <c r="K171" s="440" t="s">
        <v>49</v>
      </c>
      <c r="L171" s="440" t="s">
        <v>71</v>
      </c>
      <c r="M171" s="440" t="s">
        <v>8262</v>
      </c>
      <c r="N171" s="443">
        <v>48048.0</v>
      </c>
      <c r="O171" s="443">
        <v>54060.0</v>
      </c>
      <c r="P171" s="5">
        <v>23.0</v>
      </c>
      <c r="Q171" s="31">
        <f t="shared" si="8"/>
        <v>11051.04</v>
      </c>
    </row>
    <row r="172">
      <c r="A172" s="526" t="s">
        <v>8776</v>
      </c>
      <c r="B172" s="440" t="s">
        <v>8781</v>
      </c>
      <c r="C172" s="440" t="s">
        <v>21</v>
      </c>
      <c r="D172" s="440" t="s">
        <v>2148</v>
      </c>
      <c r="E172" s="440" t="s">
        <v>8782</v>
      </c>
      <c r="F172" s="441"/>
      <c r="G172" s="440"/>
      <c r="H172" s="464">
        <v>12976.0</v>
      </c>
      <c r="I172" s="440" t="s">
        <v>2476</v>
      </c>
      <c r="J172" s="440" t="s">
        <v>48</v>
      </c>
      <c r="K172" s="440" t="s">
        <v>49</v>
      </c>
      <c r="L172" s="440" t="s">
        <v>8695</v>
      </c>
      <c r="M172" s="440" t="s">
        <v>8262</v>
      </c>
      <c r="N172" s="464">
        <v>37116.0</v>
      </c>
      <c r="O172" s="464">
        <v>41678.0</v>
      </c>
      <c r="P172" s="5">
        <v>22.0</v>
      </c>
      <c r="Q172" s="31">
        <f t="shared" si="8"/>
        <v>8165.52</v>
      </c>
    </row>
    <row r="173">
      <c r="A173" s="526" t="s">
        <v>8776</v>
      </c>
      <c r="B173" s="440" t="s">
        <v>3356</v>
      </c>
      <c r="C173" s="440" t="s">
        <v>21</v>
      </c>
      <c r="D173" s="440" t="s">
        <v>2621</v>
      </c>
      <c r="E173" s="440" t="s">
        <v>8299</v>
      </c>
      <c r="F173" s="441"/>
      <c r="G173" s="440"/>
      <c r="H173" s="464">
        <v>11990.0</v>
      </c>
      <c r="I173" s="440" t="s">
        <v>2476</v>
      </c>
      <c r="J173" s="440" t="s">
        <v>48</v>
      </c>
      <c r="K173" s="440" t="s">
        <v>49</v>
      </c>
      <c r="L173" s="440" t="s">
        <v>71</v>
      </c>
      <c r="M173" s="440" t="s">
        <v>8262</v>
      </c>
      <c r="N173" s="465">
        <v>30462.0</v>
      </c>
      <c r="O173" s="465">
        <v>34314.0</v>
      </c>
      <c r="P173" s="5">
        <v>22.0</v>
      </c>
      <c r="Q173" s="31">
        <f t="shared" si="8"/>
        <v>6701.64</v>
      </c>
    </row>
    <row r="174">
      <c r="A174" s="526" t="s">
        <v>8776</v>
      </c>
      <c r="B174" s="440" t="s">
        <v>3359</v>
      </c>
      <c r="C174" s="440" t="s">
        <v>21</v>
      </c>
      <c r="D174" s="440" t="s">
        <v>8745</v>
      </c>
      <c r="E174" s="440" t="s">
        <v>8664</v>
      </c>
      <c r="F174" s="441"/>
      <c r="G174" s="440"/>
      <c r="H174" s="464">
        <v>11990.0</v>
      </c>
      <c r="I174" s="440" t="s">
        <v>2476</v>
      </c>
      <c r="J174" s="440" t="s">
        <v>48</v>
      </c>
      <c r="K174" s="440" t="s">
        <v>49</v>
      </c>
      <c r="L174" s="440" t="s">
        <v>71</v>
      </c>
      <c r="M174" s="440" t="s">
        <v>8262</v>
      </c>
      <c r="N174" s="443">
        <v>29033.0</v>
      </c>
      <c r="O174" s="465">
        <v>32628.0</v>
      </c>
      <c r="P174" s="5">
        <v>22.0</v>
      </c>
      <c r="Q174" s="31">
        <f t="shared" si="8"/>
        <v>6387.26</v>
      </c>
    </row>
    <row r="175">
      <c r="A175" s="526" t="s">
        <v>2488</v>
      </c>
      <c r="B175" s="440" t="s">
        <v>2500</v>
      </c>
      <c r="C175" s="440" t="s">
        <v>1395</v>
      </c>
      <c r="D175" s="440" t="s">
        <v>3930</v>
      </c>
      <c r="E175" s="440" t="s">
        <v>8783</v>
      </c>
      <c r="F175" s="441"/>
      <c r="G175" s="440"/>
      <c r="H175" s="464">
        <v>2995.0</v>
      </c>
      <c r="I175" s="440" t="s">
        <v>2488</v>
      </c>
      <c r="J175" s="440" t="s">
        <v>116</v>
      </c>
      <c r="K175" s="440" t="s">
        <v>26</v>
      </c>
      <c r="L175" s="440" t="s">
        <v>71</v>
      </c>
      <c r="M175" s="440" t="s">
        <v>8262</v>
      </c>
      <c r="N175" s="443">
        <v>18822.0</v>
      </c>
      <c r="O175" s="465">
        <v>21242.0</v>
      </c>
      <c r="P175" s="5">
        <v>51.0</v>
      </c>
      <c r="Q175" s="31">
        <f t="shared" si="8"/>
        <v>9599.22</v>
      </c>
    </row>
    <row r="176">
      <c r="A176" s="536" t="s">
        <v>2488</v>
      </c>
      <c r="B176" s="440" t="s">
        <v>6953</v>
      </c>
      <c r="C176" s="440" t="s">
        <v>1395</v>
      </c>
      <c r="D176" s="440" t="s">
        <v>7782</v>
      </c>
      <c r="E176" s="440" t="s">
        <v>8784</v>
      </c>
      <c r="F176" s="441"/>
      <c r="G176" s="440"/>
      <c r="H176" s="464">
        <v>2545.0</v>
      </c>
      <c r="I176" s="440" t="s">
        <v>2488</v>
      </c>
      <c r="J176" s="440" t="s">
        <v>116</v>
      </c>
      <c r="K176" s="440" t="s">
        <v>49</v>
      </c>
      <c r="L176" s="440" t="s">
        <v>71</v>
      </c>
      <c r="M176" s="440" t="s">
        <v>8262</v>
      </c>
      <c r="N176" s="537">
        <v>16931.0</v>
      </c>
      <c r="O176" s="465">
        <v>19009.0</v>
      </c>
      <c r="P176" s="5">
        <v>51.0</v>
      </c>
      <c r="Q176" s="31">
        <f t="shared" si="8"/>
        <v>8634.81</v>
      </c>
    </row>
    <row r="177">
      <c r="A177" s="126"/>
      <c r="F177" s="236"/>
    </row>
    <row r="178">
      <c r="A178" s="126"/>
      <c r="F178" s="236"/>
    </row>
    <row r="179">
      <c r="A179" s="126"/>
      <c r="F179" s="236"/>
    </row>
    <row r="180">
      <c r="A180" s="126"/>
      <c r="F180" s="236"/>
    </row>
    <row r="181">
      <c r="A181" s="126"/>
      <c r="F181" s="236"/>
      <c r="Q181" s="309">
        <f>SUM(Q149:Q180)</f>
        <v>243846.55</v>
      </c>
    </row>
    <row r="182">
      <c r="A182" s="126"/>
      <c r="F182" s="236"/>
    </row>
    <row r="183">
      <c r="A183" s="126"/>
      <c r="F183" s="236"/>
    </row>
    <row r="184">
      <c r="A184" s="87" t="s">
        <v>8785</v>
      </c>
      <c r="B184" s="479" t="s">
        <v>8786</v>
      </c>
      <c r="C184" s="479" t="s">
        <v>1432</v>
      </c>
      <c r="D184" s="479" t="s">
        <v>7885</v>
      </c>
      <c r="E184" s="479" t="s">
        <v>8787</v>
      </c>
      <c r="F184" s="525">
        <v>6.351765997E9</v>
      </c>
      <c r="G184" s="479"/>
      <c r="H184" s="479"/>
      <c r="I184" s="479" t="s">
        <v>8785</v>
      </c>
      <c r="J184" s="479" t="s">
        <v>78</v>
      </c>
      <c r="K184" s="479" t="s">
        <v>49</v>
      </c>
      <c r="L184" s="479" t="s">
        <v>1616</v>
      </c>
      <c r="M184" s="479" t="s">
        <v>8262</v>
      </c>
      <c r="N184" s="481">
        <v>6619.0</v>
      </c>
      <c r="O184" s="481">
        <v>7810.0</v>
      </c>
      <c r="P184" s="529">
        <v>54.0</v>
      </c>
      <c r="Q184" s="31">
        <f t="shared" ref="Q184:Q221" si="9">N184*P184%</f>
        <v>3574.26</v>
      </c>
    </row>
    <row r="185">
      <c r="A185" s="534" t="s">
        <v>8785</v>
      </c>
      <c r="B185" s="440" t="s">
        <v>8788</v>
      </c>
      <c r="C185" s="440" t="s">
        <v>21</v>
      </c>
      <c r="D185" s="440" t="s">
        <v>8479</v>
      </c>
      <c r="E185" s="440" t="s">
        <v>8789</v>
      </c>
      <c r="F185" s="441">
        <v>9.879545172E9</v>
      </c>
      <c r="G185" s="440"/>
      <c r="H185" s="440">
        <v>35000.0</v>
      </c>
      <c r="I185" s="440" t="s">
        <v>8790</v>
      </c>
      <c r="J185" s="440" t="s">
        <v>48</v>
      </c>
      <c r="K185" s="440" t="s">
        <v>49</v>
      </c>
      <c r="L185" s="440" t="s">
        <v>71</v>
      </c>
      <c r="M185" s="440" t="s">
        <v>8262</v>
      </c>
      <c r="N185" s="464">
        <v>48933.0</v>
      </c>
      <c r="O185" s="464">
        <v>55104.0</v>
      </c>
      <c r="P185" s="396">
        <v>22.0</v>
      </c>
      <c r="Q185" s="31">
        <f t="shared" si="9"/>
        <v>10765.26</v>
      </c>
    </row>
    <row r="186">
      <c r="A186" s="534" t="s">
        <v>8785</v>
      </c>
      <c r="B186" s="440" t="s">
        <v>8791</v>
      </c>
      <c r="C186" s="440" t="s">
        <v>1395</v>
      </c>
      <c r="D186" s="440" t="s">
        <v>8792</v>
      </c>
      <c r="E186" s="440" t="s">
        <v>8793</v>
      </c>
      <c r="F186" s="441" t="s">
        <v>7975</v>
      </c>
      <c r="G186" s="440"/>
      <c r="H186" s="440">
        <v>2450.0</v>
      </c>
      <c r="I186" s="440" t="s">
        <v>8785</v>
      </c>
      <c r="J186" s="440" t="s">
        <v>1424</v>
      </c>
      <c r="K186" s="440" t="s">
        <v>49</v>
      </c>
      <c r="L186" s="440" t="s">
        <v>7976</v>
      </c>
      <c r="M186" s="440" t="s">
        <v>8262</v>
      </c>
      <c r="N186" s="464">
        <v>17395.0</v>
      </c>
      <c r="O186" s="464">
        <v>19563.0</v>
      </c>
      <c r="P186" s="396">
        <v>53.0</v>
      </c>
      <c r="Q186" s="31">
        <f t="shared" si="9"/>
        <v>9219.35</v>
      </c>
    </row>
    <row r="187">
      <c r="A187" s="534" t="s">
        <v>8785</v>
      </c>
      <c r="B187" s="440" t="s">
        <v>8794</v>
      </c>
      <c r="C187" s="440" t="s">
        <v>21</v>
      </c>
      <c r="D187" s="440" t="s">
        <v>8795</v>
      </c>
      <c r="E187" s="440" t="s">
        <v>8796</v>
      </c>
      <c r="F187" s="538">
        <v>9.9259293E9</v>
      </c>
      <c r="G187" s="440"/>
      <c r="H187" s="440">
        <v>8250.0</v>
      </c>
      <c r="I187" s="440" t="s">
        <v>8797</v>
      </c>
      <c r="J187" s="440" t="s">
        <v>25</v>
      </c>
      <c r="K187" s="440" t="s">
        <v>49</v>
      </c>
      <c r="L187" s="440" t="s">
        <v>71</v>
      </c>
      <c r="M187" s="440" t="s">
        <v>8262</v>
      </c>
      <c r="N187" s="443">
        <v>28813.0</v>
      </c>
      <c r="O187" s="443">
        <v>32368.0</v>
      </c>
      <c r="P187" s="396">
        <v>27.0</v>
      </c>
      <c r="Q187" s="31">
        <f t="shared" si="9"/>
        <v>7779.51</v>
      </c>
    </row>
    <row r="188">
      <c r="A188" s="534" t="s">
        <v>8785</v>
      </c>
      <c r="B188" s="440" t="s">
        <v>8798</v>
      </c>
      <c r="C188" s="440" t="s">
        <v>1395</v>
      </c>
      <c r="D188" s="440" t="s">
        <v>2143</v>
      </c>
      <c r="E188" s="440" t="s">
        <v>8799</v>
      </c>
      <c r="F188" s="538">
        <v>8.320814934E9</v>
      </c>
      <c r="G188" s="440"/>
      <c r="H188" s="440">
        <v>3490.0</v>
      </c>
      <c r="I188" s="440" t="s">
        <v>8790</v>
      </c>
      <c r="J188" s="440" t="s">
        <v>116</v>
      </c>
      <c r="K188" s="440" t="s">
        <v>49</v>
      </c>
      <c r="L188" s="440" t="s">
        <v>71</v>
      </c>
      <c r="M188" s="440" t="s">
        <v>8262</v>
      </c>
      <c r="N188" s="443">
        <v>18882.0</v>
      </c>
      <c r="O188" s="465">
        <v>21310.0</v>
      </c>
      <c r="P188" s="396">
        <v>51.0</v>
      </c>
      <c r="Q188" s="31">
        <f t="shared" si="9"/>
        <v>9629.82</v>
      </c>
    </row>
    <row r="189">
      <c r="A189" s="534" t="s">
        <v>8797</v>
      </c>
      <c r="B189" s="440" t="s">
        <v>6957</v>
      </c>
      <c r="C189" s="440" t="s">
        <v>21</v>
      </c>
      <c r="D189" s="440" t="s">
        <v>8800</v>
      </c>
      <c r="E189" s="440" t="s">
        <v>8801</v>
      </c>
      <c r="F189" s="538">
        <v>9.714704974E9</v>
      </c>
      <c r="G189" s="440"/>
      <c r="H189" s="539">
        <v>25000.0</v>
      </c>
      <c r="I189" s="440" t="s">
        <v>8797</v>
      </c>
      <c r="J189" s="440" t="s">
        <v>2638</v>
      </c>
      <c r="K189" s="440" t="s">
        <v>26</v>
      </c>
      <c r="L189" s="440" t="s">
        <v>71</v>
      </c>
      <c r="M189" s="440" t="s">
        <v>8262</v>
      </c>
      <c r="N189" s="443">
        <v>44050.0</v>
      </c>
      <c r="O189" s="443">
        <v>49342.0</v>
      </c>
      <c r="P189" s="396">
        <v>43.0</v>
      </c>
      <c r="Q189" s="31">
        <f t="shared" si="9"/>
        <v>18941.5</v>
      </c>
    </row>
    <row r="190">
      <c r="A190" s="534" t="s">
        <v>8797</v>
      </c>
      <c r="B190" s="440" t="s">
        <v>8802</v>
      </c>
      <c r="C190" s="440" t="s">
        <v>21</v>
      </c>
      <c r="D190" s="440" t="s">
        <v>8803</v>
      </c>
      <c r="E190" s="440" t="s">
        <v>8804</v>
      </c>
      <c r="F190" s="441" t="s">
        <v>2361</v>
      </c>
      <c r="G190" s="440" t="s">
        <v>2362</v>
      </c>
      <c r="H190" s="440">
        <v>31000.0</v>
      </c>
      <c r="I190" s="440" t="s">
        <v>8785</v>
      </c>
      <c r="J190" s="440" t="s">
        <v>1424</v>
      </c>
      <c r="K190" s="440" t="s">
        <v>49</v>
      </c>
      <c r="L190" s="440" t="s">
        <v>27</v>
      </c>
      <c r="M190" s="440" t="s">
        <v>8262</v>
      </c>
      <c r="N190" s="464">
        <v>47870.0</v>
      </c>
      <c r="O190" s="464">
        <v>53850.0</v>
      </c>
      <c r="P190" s="396">
        <v>22.0</v>
      </c>
      <c r="Q190" s="31">
        <f t="shared" si="9"/>
        <v>10531.4</v>
      </c>
    </row>
    <row r="191">
      <c r="A191" s="534" t="s">
        <v>8797</v>
      </c>
      <c r="B191" s="440" t="s">
        <v>8805</v>
      </c>
      <c r="C191" s="440" t="s">
        <v>1395</v>
      </c>
      <c r="D191" s="440" t="s">
        <v>528</v>
      </c>
      <c r="E191" s="440" t="s">
        <v>8806</v>
      </c>
      <c r="F191" s="441" t="s">
        <v>8807</v>
      </c>
      <c r="G191" s="440" t="s">
        <v>8808</v>
      </c>
      <c r="H191" s="440">
        <v>2880.0</v>
      </c>
      <c r="I191" s="440" t="s">
        <v>8809</v>
      </c>
      <c r="J191" s="440" t="s">
        <v>116</v>
      </c>
      <c r="K191" s="440" t="s">
        <v>49</v>
      </c>
      <c r="L191" s="440" t="s">
        <v>27</v>
      </c>
      <c r="M191" s="440" t="s">
        <v>8262</v>
      </c>
      <c r="N191" s="443">
        <v>17433.0</v>
      </c>
      <c r="O191" s="443">
        <v>19603.0</v>
      </c>
      <c r="P191" s="396">
        <v>51.0</v>
      </c>
      <c r="Q191" s="31">
        <f t="shared" si="9"/>
        <v>8890.83</v>
      </c>
    </row>
    <row r="192">
      <c r="A192" s="534" t="s">
        <v>8797</v>
      </c>
      <c r="B192" s="440" t="s">
        <v>6959</v>
      </c>
      <c r="C192" s="440" t="s">
        <v>1395</v>
      </c>
      <c r="D192" s="440" t="s">
        <v>528</v>
      </c>
      <c r="E192" s="440" t="s">
        <v>8810</v>
      </c>
      <c r="F192" s="538">
        <v>9.429047615E9</v>
      </c>
      <c r="G192" s="440"/>
      <c r="H192" s="440">
        <v>2620.0</v>
      </c>
      <c r="I192" s="440" t="s">
        <v>8811</v>
      </c>
      <c r="J192" s="440" t="s">
        <v>116</v>
      </c>
      <c r="K192" s="440" t="s">
        <v>49</v>
      </c>
      <c r="L192" s="440" t="s">
        <v>71</v>
      </c>
      <c r="M192" s="440" t="s">
        <v>8262</v>
      </c>
      <c r="N192" s="443">
        <v>17693.0</v>
      </c>
      <c r="O192" s="443">
        <v>19909.0</v>
      </c>
      <c r="P192" s="396">
        <v>51.0</v>
      </c>
      <c r="Q192" s="31">
        <f t="shared" si="9"/>
        <v>9023.43</v>
      </c>
    </row>
    <row r="193">
      <c r="A193" s="534" t="s">
        <v>8797</v>
      </c>
      <c r="B193" s="440" t="s">
        <v>2536</v>
      </c>
      <c r="C193" s="440" t="s">
        <v>1395</v>
      </c>
      <c r="D193" s="440" t="s">
        <v>528</v>
      </c>
      <c r="E193" s="440" t="s">
        <v>8812</v>
      </c>
      <c r="F193" s="538">
        <v>8.347850618E9</v>
      </c>
      <c r="G193" s="440"/>
      <c r="H193" s="440">
        <v>3425.0</v>
      </c>
      <c r="I193" s="440" t="s">
        <v>8811</v>
      </c>
      <c r="J193" s="440" t="s">
        <v>116</v>
      </c>
      <c r="K193" s="440" t="s">
        <v>49</v>
      </c>
      <c r="L193" s="440" t="s">
        <v>71</v>
      </c>
      <c r="M193" s="440" t="s">
        <v>8262</v>
      </c>
      <c r="N193" s="443">
        <v>19031.0</v>
      </c>
      <c r="O193" s="465">
        <v>21485.0</v>
      </c>
      <c r="P193" s="396">
        <v>51.0</v>
      </c>
      <c r="Q193" s="31">
        <f t="shared" si="9"/>
        <v>9705.81</v>
      </c>
    </row>
    <row r="194">
      <c r="A194" s="534" t="s">
        <v>8797</v>
      </c>
      <c r="B194" s="440" t="s">
        <v>8813</v>
      </c>
      <c r="C194" s="440" t="s">
        <v>1395</v>
      </c>
      <c r="D194" s="440" t="s">
        <v>528</v>
      </c>
      <c r="E194" s="440" t="s">
        <v>8814</v>
      </c>
      <c r="F194" s="441" t="s">
        <v>8815</v>
      </c>
      <c r="G194" s="440"/>
      <c r="H194" s="440">
        <v>2735.0</v>
      </c>
      <c r="I194" s="440" t="s">
        <v>8797</v>
      </c>
      <c r="J194" s="440" t="s">
        <v>1424</v>
      </c>
      <c r="K194" s="440" t="s">
        <v>49</v>
      </c>
      <c r="L194" s="440" t="s">
        <v>1456</v>
      </c>
      <c r="M194" s="440" t="s">
        <v>8262</v>
      </c>
      <c r="N194" s="464">
        <v>21334.0</v>
      </c>
      <c r="O194" s="464">
        <v>24212.0</v>
      </c>
      <c r="P194" s="396">
        <v>53.0</v>
      </c>
      <c r="Q194" s="31">
        <f t="shared" si="9"/>
        <v>11307.02</v>
      </c>
    </row>
    <row r="195">
      <c r="A195" s="526" t="s">
        <v>8811</v>
      </c>
      <c r="B195" s="440" t="s">
        <v>996</v>
      </c>
      <c r="C195" s="440" t="s">
        <v>21</v>
      </c>
      <c r="D195" s="440" t="s">
        <v>8800</v>
      </c>
      <c r="E195" s="440" t="s">
        <v>8816</v>
      </c>
      <c r="F195" s="441" t="s">
        <v>1000</v>
      </c>
      <c r="G195" s="440" t="s">
        <v>7896</v>
      </c>
      <c r="H195" s="539">
        <v>28000.0</v>
      </c>
      <c r="I195" s="440" t="s">
        <v>2535</v>
      </c>
      <c r="J195" s="440" t="s">
        <v>2638</v>
      </c>
      <c r="K195" s="440" t="s">
        <v>26</v>
      </c>
      <c r="L195" s="440" t="s">
        <v>71</v>
      </c>
      <c r="M195" s="440" t="s">
        <v>8262</v>
      </c>
      <c r="N195" s="443">
        <v>44050.0</v>
      </c>
      <c r="O195" s="443">
        <v>49342.0</v>
      </c>
      <c r="P195" s="396">
        <v>43.0</v>
      </c>
      <c r="Q195" s="31">
        <f t="shared" si="9"/>
        <v>18941.5</v>
      </c>
    </row>
    <row r="196">
      <c r="A196" s="526" t="s">
        <v>8811</v>
      </c>
      <c r="B196" s="440" t="s">
        <v>2769</v>
      </c>
      <c r="C196" s="440" t="s">
        <v>21</v>
      </c>
      <c r="D196" s="440" t="s">
        <v>8613</v>
      </c>
      <c r="E196" s="440" t="s">
        <v>2771</v>
      </c>
      <c r="F196" s="441" t="s">
        <v>8817</v>
      </c>
      <c r="G196" s="440"/>
      <c r="H196" s="440">
        <v>12990.0</v>
      </c>
      <c r="I196" s="440" t="s">
        <v>8747</v>
      </c>
      <c r="J196" s="440" t="s">
        <v>1424</v>
      </c>
      <c r="K196" s="440" t="s">
        <v>49</v>
      </c>
      <c r="L196" s="440" t="s">
        <v>3028</v>
      </c>
      <c r="M196" s="440" t="s">
        <v>8262</v>
      </c>
      <c r="N196" s="464">
        <v>36833.0</v>
      </c>
      <c r="O196" s="464">
        <v>41345.0</v>
      </c>
      <c r="P196" s="396">
        <v>22.0</v>
      </c>
      <c r="Q196" s="31">
        <f t="shared" si="9"/>
        <v>8103.26</v>
      </c>
    </row>
    <row r="197">
      <c r="A197" s="526" t="s">
        <v>8811</v>
      </c>
      <c r="B197" s="440" t="s">
        <v>2910</v>
      </c>
      <c r="C197" s="440" t="s">
        <v>1395</v>
      </c>
      <c r="D197" s="440" t="s">
        <v>262</v>
      </c>
      <c r="E197" s="440" t="s">
        <v>8818</v>
      </c>
      <c r="F197" s="441" t="s">
        <v>8819</v>
      </c>
      <c r="G197" s="440"/>
      <c r="H197" s="440">
        <v>1600.0</v>
      </c>
      <c r="I197" s="442">
        <v>45811.0</v>
      </c>
      <c r="J197" s="440" t="s">
        <v>1424</v>
      </c>
      <c r="K197" s="440" t="s">
        <v>49</v>
      </c>
      <c r="L197" s="440" t="s">
        <v>71</v>
      </c>
      <c r="M197" s="440" t="s">
        <v>8262</v>
      </c>
      <c r="N197" s="464">
        <v>19130.0</v>
      </c>
      <c r="O197" s="464">
        <v>21610.0</v>
      </c>
      <c r="P197" s="396">
        <v>53.0</v>
      </c>
      <c r="Q197" s="31">
        <f t="shared" si="9"/>
        <v>10138.9</v>
      </c>
    </row>
    <row r="198">
      <c r="A198" s="526" t="s">
        <v>8811</v>
      </c>
      <c r="B198" s="440" t="s">
        <v>6967</v>
      </c>
      <c r="C198" s="440" t="s">
        <v>1395</v>
      </c>
      <c r="D198" s="440" t="s">
        <v>8820</v>
      </c>
      <c r="E198" s="440" t="s">
        <v>8821</v>
      </c>
      <c r="F198" s="441" t="s">
        <v>8822</v>
      </c>
      <c r="G198" s="440"/>
      <c r="H198" s="440">
        <v>1630.0</v>
      </c>
      <c r="I198" s="440" t="s">
        <v>8823</v>
      </c>
      <c r="J198" s="440" t="s">
        <v>1424</v>
      </c>
      <c r="K198" s="440" t="s">
        <v>49</v>
      </c>
      <c r="L198" s="440" t="s">
        <v>71</v>
      </c>
      <c r="M198" s="440" t="s">
        <v>8262</v>
      </c>
      <c r="N198" s="464">
        <v>19765.0</v>
      </c>
      <c r="O198" s="464">
        <v>22359.0</v>
      </c>
      <c r="P198" s="396">
        <v>53.0</v>
      </c>
      <c r="Q198" s="31">
        <f t="shared" si="9"/>
        <v>10475.45</v>
      </c>
    </row>
    <row r="199">
      <c r="A199" s="526" t="s">
        <v>8811</v>
      </c>
      <c r="B199" s="440" t="s">
        <v>1316</v>
      </c>
      <c r="C199" s="440" t="s">
        <v>1395</v>
      </c>
      <c r="D199" s="440" t="s">
        <v>262</v>
      </c>
      <c r="E199" s="440" t="s">
        <v>8824</v>
      </c>
      <c r="F199" s="441">
        <v>9.510683208E9</v>
      </c>
      <c r="G199" s="440"/>
      <c r="H199" s="440">
        <v>1600.0</v>
      </c>
      <c r="I199" s="440" t="s">
        <v>2535</v>
      </c>
      <c r="J199" s="440" t="s">
        <v>1424</v>
      </c>
      <c r="K199" s="440" t="s">
        <v>49</v>
      </c>
      <c r="L199" s="440" t="s">
        <v>1436</v>
      </c>
      <c r="M199" s="440" t="s">
        <v>8262</v>
      </c>
      <c r="N199" s="464">
        <v>19304.0</v>
      </c>
      <c r="O199" s="464">
        <v>21816.0</v>
      </c>
      <c r="P199" s="396">
        <v>53.0</v>
      </c>
      <c r="Q199" s="31">
        <f t="shared" si="9"/>
        <v>10231.12</v>
      </c>
    </row>
    <row r="200">
      <c r="A200" s="526" t="s">
        <v>8809</v>
      </c>
      <c r="B200" s="440" t="s">
        <v>8825</v>
      </c>
      <c r="C200" s="440" t="s">
        <v>1395</v>
      </c>
      <c r="D200" s="440" t="s">
        <v>528</v>
      </c>
      <c r="E200" s="440" t="s">
        <v>8826</v>
      </c>
      <c r="F200" s="441" t="s">
        <v>8827</v>
      </c>
      <c r="G200" s="440"/>
      <c r="H200" s="440">
        <v>2995.0</v>
      </c>
      <c r="I200" s="440" t="s">
        <v>2535</v>
      </c>
      <c r="J200" s="440" t="s">
        <v>116</v>
      </c>
      <c r="K200" s="440" t="s">
        <v>49</v>
      </c>
      <c r="L200" s="440" t="s">
        <v>71</v>
      </c>
      <c r="M200" s="440" t="s">
        <v>8262</v>
      </c>
      <c r="N200" s="443">
        <v>17693.0</v>
      </c>
      <c r="O200" s="443">
        <v>19909.0</v>
      </c>
      <c r="P200" s="396">
        <v>51.0</v>
      </c>
      <c r="Q200" s="31">
        <f t="shared" si="9"/>
        <v>9023.43</v>
      </c>
    </row>
    <row r="201">
      <c r="A201" s="526" t="s">
        <v>8809</v>
      </c>
      <c r="B201" s="440" t="s">
        <v>8828</v>
      </c>
      <c r="C201" s="440" t="s">
        <v>1395</v>
      </c>
      <c r="D201" s="440" t="s">
        <v>528</v>
      </c>
      <c r="E201" s="440" t="s">
        <v>8829</v>
      </c>
      <c r="F201" s="441" t="s">
        <v>8830</v>
      </c>
      <c r="G201" s="440"/>
      <c r="H201" s="440">
        <v>3490.0</v>
      </c>
      <c r="I201" s="440" t="s">
        <v>2550</v>
      </c>
      <c r="J201" s="440" t="s">
        <v>116</v>
      </c>
      <c r="K201" s="440" t="s">
        <v>49</v>
      </c>
      <c r="L201" s="440" t="s">
        <v>27</v>
      </c>
      <c r="M201" s="440" t="s">
        <v>8262</v>
      </c>
      <c r="N201" s="443">
        <v>24011.0</v>
      </c>
      <c r="O201" s="465">
        <v>27365.0</v>
      </c>
      <c r="P201" s="396">
        <v>51.0</v>
      </c>
      <c r="Q201" s="31">
        <f t="shared" si="9"/>
        <v>12245.61</v>
      </c>
    </row>
    <row r="202">
      <c r="A202" s="526" t="s">
        <v>8809</v>
      </c>
      <c r="B202" s="440" t="s">
        <v>2772</v>
      </c>
      <c r="C202" s="440" t="s">
        <v>21</v>
      </c>
      <c r="D202" s="440" t="s">
        <v>8547</v>
      </c>
      <c r="E202" s="440" t="s">
        <v>8831</v>
      </c>
      <c r="F202" s="441" t="s">
        <v>8832</v>
      </c>
      <c r="G202" s="440"/>
      <c r="H202" s="440">
        <v>28000.0</v>
      </c>
      <c r="I202" s="440" t="s">
        <v>8823</v>
      </c>
      <c r="J202" s="440" t="s">
        <v>8525</v>
      </c>
      <c r="K202" s="440" t="s">
        <v>49</v>
      </c>
      <c r="L202" s="440" t="s">
        <v>71</v>
      </c>
      <c r="M202" s="440" t="s">
        <v>8262</v>
      </c>
      <c r="N202" s="467">
        <v>45985.0</v>
      </c>
      <c r="O202" s="464">
        <v>51625.0</v>
      </c>
      <c r="P202" s="396">
        <v>23.0</v>
      </c>
      <c r="Q202" s="31">
        <f t="shared" si="9"/>
        <v>10576.55</v>
      </c>
    </row>
    <row r="203">
      <c r="A203" s="526" t="s">
        <v>8833</v>
      </c>
      <c r="B203" s="440" t="s">
        <v>2601</v>
      </c>
      <c r="C203" s="440" t="s">
        <v>21</v>
      </c>
      <c r="D203" s="440" t="s">
        <v>8834</v>
      </c>
      <c r="E203" s="440" t="s">
        <v>8835</v>
      </c>
      <c r="F203" s="441" t="s">
        <v>8836</v>
      </c>
      <c r="G203" s="440"/>
      <c r="H203" s="440">
        <v>18500.0</v>
      </c>
      <c r="I203" s="440" t="s">
        <v>2584</v>
      </c>
      <c r="J203" s="440" t="s">
        <v>78</v>
      </c>
      <c r="K203" s="440" t="s">
        <v>49</v>
      </c>
      <c r="L203" s="440" t="s">
        <v>27</v>
      </c>
      <c r="M203" s="440" t="s">
        <v>8262</v>
      </c>
      <c r="N203" s="464">
        <v>37159.0</v>
      </c>
      <c r="O203" s="464">
        <v>41729.0</v>
      </c>
      <c r="P203" s="396">
        <v>27.0</v>
      </c>
      <c r="Q203" s="31">
        <f t="shared" si="9"/>
        <v>10032.93</v>
      </c>
    </row>
    <row r="204">
      <c r="A204" s="526" t="s">
        <v>8833</v>
      </c>
      <c r="B204" s="440" t="s">
        <v>2641</v>
      </c>
      <c r="C204" s="440" t="s">
        <v>21</v>
      </c>
      <c r="D204" s="440" t="s">
        <v>8837</v>
      </c>
      <c r="E204" s="440" t="s">
        <v>8838</v>
      </c>
      <c r="F204" s="441" t="s">
        <v>8839</v>
      </c>
      <c r="G204" s="440"/>
      <c r="H204" s="440">
        <v>16140.0</v>
      </c>
      <c r="I204" s="440" t="s">
        <v>2550</v>
      </c>
      <c r="J204" s="440" t="s">
        <v>1424</v>
      </c>
      <c r="K204" s="440" t="s">
        <v>49</v>
      </c>
      <c r="L204" s="440" t="s">
        <v>1456</v>
      </c>
      <c r="M204" s="440" t="s">
        <v>8262</v>
      </c>
      <c r="N204" s="464">
        <v>41117.0</v>
      </c>
      <c r="O204" s="464">
        <v>46399.0</v>
      </c>
      <c r="P204" s="396">
        <v>22.0</v>
      </c>
      <c r="Q204" s="31">
        <f t="shared" si="9"/>
        <v>9045.74</v>
      </c>
    </row>
    <row r="205">
      <c r="A205" s="526" t="s">
        <v>8833</v>
      </c>
      <c r="B205" s="440" t="s">
        <v>8840</v>
      </c>
      <c r="C205" s="440" t="s">
        <v>1395</v>
      </c>
      <c r="D205" s="440" t="s">
        <v>2143</v>
      </c>
      <c r="E205" s="440" t="s">
        <v>8841</v>
      </c>
      <c r="F205" s="441" t="s">
        <v>8842</v>
      </c>
      <c r="G205" s="440"/>
      <c r="H205" s="440">
        <v>3490.0</v>
      </c>
      <c r="I205" s="440" t="s">
        <v>8823</v>
      </c>
      <c r="J205" s="440" t="s">
        <v>116</v>
      </c>
      <c r="K205" s="440" t="s">
        <v>49</v>
      </c>
      <c r="L205" s="440" t="s">
        <v>71</v>
      </c>
      <c r="M205" s="440" t="s">
        <v>8262</v>
      </c>
      <c r="N205" s="465">
        <v>18085.0</v>
      </c>
      <c r="O205" s="443">
        <v>20370.0</v>
      </c>
      <c r="P205" s="396">
        <v>51.0</v>
      </c>
      <c r="Q205" s="31">
        <f t="shared" si="9"/>
        <v>9223.35</v>
      </c>
    </row>
    <row r="206">
      <c r="A206" s="526" t="s">
        <v>8833</v>
      </c>
      <c r="B206" s="440" t="s">
        <v>8843</v>
      </c>
      <c r="C206" s="440" t="s">
        <v>1395</v>
      </c>
      <c r="D206" s="440" t="s">
        <v>528</v>
      </c>
      <c r="E206" s="440" t="s">
        <v>8844</v>
      </c>
      <c r="F206" s="441" t="s">
        <v>8845</v>
      </c>
      <c r="G206" s="440"/>
      <c r="H206" s="440">
        <v>3425.0</v>
      </c>
      <c r="I206" s="442">
        <v>45691.0</v>
      </c>
      <c r="J206" s="440" t="s">
        <v>116</v>
      </c>
      <c r="K206" s="440" t="s">
        <v>49</v>
      </c>
      <c r="L206" s="440" t="s">
        <v>71</v>
      </c>
      <c r="M206" s="440" t="s">
        <v>8262</v>
      </c>
      <c r="N206" s="465">
        <v>17607.0</v>
      </c>
      <c r="O206" s="443">
        <v>19809.0</v>
      </c>
      <c r="P206" s="396">
        <v>51.0</v>
      </c>
      <c r="Q206" s="31">
        <f t="shared" si="9"/>
        <v>8979.57</v>
      </c>
    </row>
    <row r="207">
      <c r="A207" s="526" t="s">
        <v>8833</v>
      </c>
      <c r="B207" s="440" t="s">
        <v>8846</v>
      </c>
      <c r="C207" s="440" t="s">
        <v>1395</v>
      </c>
      <c r="D207" s="440" t="s">
        <v>528</v>
      </c>
      <c r="E207" s="440" t="s">
        <v>8847</v>
      </c>
      <c r="F207" s="441" t="s">
        <v>8848</v>
      </c>
      <c r="G207" s="440"/>
      <c r="H207" s="440">
        <v>3225.0</v>
      </c>
      <c r="I207" s="440" t="s">
        <v>2584</v>
      </c>
      <c r="J207" s="440" t="s">
        <v>116</v>
      </c>
      <c r="K207" s="440" t="s">
        <v>49</v>
      </c>
      <c r="L207" s="440" t="s">
        <v>27</v>
      </c>
      <c r="M207" s="440" t="s">
        <v>8262</v>
      </c>
      <c r="N207" s="465">
        <v>18227.0</v>
      </c>
      <c r="O207" s="465">
        <v>20541.0</v>
      </c>
      <c r="P207" s="396">
        <v>51.0</v>
      </c>
      <c r="Q207" s="31">
        <f t="shared" si="9"/>
        <v>9295.77</v>
      </c>
    </row>
    <row r="208">
      <c r="A208" s="526" t="s">
        <v>8833</v>
      </c>
      <c r="B208" s="440" t="s">
        <v>2940</v>
      </c>
      <c r="C208" s="440" t="s">
        <v>21</v>
      </c>
      <c r="D208" s="440" t="s">
        <v>7970</v>
      </c>
      <c r="E208" s="440" t="s">
        <v>2656</v>
      </c>
      <c r="F208" s="441" t="s">
        <v>8849</v>
      </c>
      <c r="G208" s="440"/>
      <c r="H208" s="440">
        <v>28000.0</v>
      </c>
      <c r="I208" s="440" t="s">
        <v>8823</v>
      </c>
      <c r="J208" s="440" t="s">
        <v>78</v>
      </c>
      <c r="K208" s="440" t="s">
        <v>49</v>
      </c>
      <c r="L208" s="440" t="s">
        <v>71</v>
      </c>
      <c r="M208" s="440" t="s">
        <v>8262</v>
      </c>
      <c r="N208" s="464">
        <v>47340.0</v>
      </c>
      <c r="O208" s="464">
        <v>53224.0</v>
      </c>
      <c r="P208" s="396">
        <v>27.0</v>
      </c>
      <c r="Q208" s="31">
        <f t="shared" si="9"/>
        <v>12781.8</v>
      </c>
    </row>
    <row r="209">
      <c r="A209" s="526" t="s">
        <v>8833</v>
      </c>
      <c r="B209" s="440" t="s">
        <v>8850</v>
      </c>
      <c r="C209" s="440" t="s">
        <v>21</v>
      </c>
      <c r="D209" s="440" t="s">
        <v>8268</v>
      </c>
      <c r="E209" s="440" t="s">
        <v>8851</v>
      </c>
      <c r="F209" s="441" t="s">
        <v>8849</v>
      </c>
      <c r="G209" s="440"/>
      <c r="H209" s="440">
        <v>16020.0</v>
      </c>
      <c r="I209" s="440" t="s">
        <v>8823</v>
      </c>
      <c r="J209" s="440" t="s">
        <v>78</v>
      </c>
      <c r="K209" s="440" t="s">
        <v>49</v>
      </c>
      <c r="L209" s="440" t="s">
        <v>71</v>
      </c>
      <c r="M209" s="440" t="s">
        <v>8262</v>
      </c>
      <c r="N209" s="464">
        <v>59189.0</v>
      </c>
      <c r="O209" s="464">
        <v>67725.0</v>
      </c>
      <c r="P209" s="396">
        <v>27.0</v>
      </c>
      <c r="Q209" s="31">
        <f t="shared" si="9"/>
        <v>15981.03</v>
      </c>
    </row>
    <row r="210">
      <c r="A210" s="526" t="s">
        <v>8833</v>
      </c>
      <c r="B210" s="440" t="s">
        <v>8852</v>
      </c>
      <c r="C210" s="440" t="s">
        <v>1395</v>
      </c>
      <c r="D210" s="440" t="s">
        <v>528</v>
      </c>
      <c r="E210" s="440" t="s">
        <v>8853</v>
      </c>
      <c r="F210" s="441">
        <v>6.353860076E9</v>
      </c>
      <c r="G210" s="440">
        <v>9.727366094E9</v>
      </c>
      <c r="H210" s="440">
        <v>2960.0</v>
      </c>
      <c r="I210" s="440" t="s">
        <v>2588</v>
      </c>
      <c r="J210" s="440" t="s">
        <v>116</v>
      </c>
      <c r="K210" s="440" t="s">
        <v>49</v>
      </c>
      <c r="L210" s="440" t="s">
        <v>27</v>
      </c>
      <c r="M210" s="440" t="s">
        <v>8262</v>
      </c>
      <c r="N210" s="443">
        <v>18024.0</v>
      </c>
      <c r="O210" s="465">
        <v>20300.0</v>
      </c>
      <c r="P210" s="396">
        <v>51.0</v>
      </c>
      <c r="Q210" s="31">
        <f t="shared" si="9"/>
        <v>9192.24</v>
      </c>
    </row>
    <row r="211">
      <c r="A211" s="526" t="s">
        <v>8833</v>
      </c>
      <c r="B211" s="440" t="s">
        <v>8854</v>
      </c>
      <c r="C211" s="440" t="s">
        <v>1395</v>
      </c>
      <c r="D211" s="440" t="s">
        <v>528</v>
      </c>
      <c r="E211" s="440" t="s">
        <v>8855</v>
      </c>
      <c r="F211" s="441" t="s">
        <v>8856</v>
      </c>
      <c r="G211" s="440"/>
      <c r="H211" s="440">
        <v>3425.0</v>
      </c>
      <c r="I211" s="440" t="s">
        <v>8823</v>
      </c>
      <c r="J211" s="440" t="s">
        <v>116</v>
      </c>
      <c r="K211" s="440" t="s">
        <v>49</v>
      </c>
      <c r="L211" s="440" t="s">
        <v>71</v>
      </c>
      <c r="M211" s="440" t="s">
        <v>8262</v>
      </c>
      <c r="N211" s="465">
        <v>18302.0</v>
      </c>
      <c r="O211" s="465">
        <v>20628.0</v>
      </c>
      <c r="P211" s="396">
        <v>51.0</v>
      </c>
      <c r="Q211" s="31">
        <f t="shared" si="9"/>
        <v>9334.02</v>
      </c>
    </row>
    <row r="212">
      <c r="A212" s="526" t="s">
        <v>8833</v>
      </c>
      <c r="B212" s="440" t="s">
        <v>8857</v>
      </c>
      <c r="C212" s="440" t="s">
        <v>21</v>
      </c>
      <c r="D212" s="440" t="s">
        <v>8858</v>
      </c>
      <c r="E212" s="440" t="s">
        <v>8859</v>
      </c>
      <c r="F212" s="441" t="s">
        <v>8860</v>
      </c>
      <c r="G212" s="440"/>
      <c r="H212" s="440">
        <v>47500.0</v>
      </c>
      <c r="I212" s="440" t="s">
        <v>2569</v>
      </c>
      <c r="J212" s="440" t="s">
        <v>8525</v>
      </c>
      <c r="K212" s="440" t="s">
        <v>49</v>
      </c>
      <c r="L212" s="440" t="s">
        <v>27</v>
      </c>
      <c r="M212" s="440" t="s">
        <v>8262</v>
      </c>
      <c r="N212" s="465">
        <v>56351.0</v>
      </c>
      <c r="O212" s="465">
        <v>63840.0</v>
      </c>
      <c r="P212" s="396">
        <v>18.5</v>
      </c>
      <c r="Q212" s="31">
        <f t="shared" si="9"/>
        <v>10424.935</v>
      </c>
    </row>
    <row r="213">
      <c r="A213" s="526" t="s">
        <v>8833</v>
      </c>
      <c r="B213" s="440" t="s">
        <v>2764</v>
      </c>
      <c r="C213" s="440" t="s">
        <v>21</v>
      </c>
      <c r="D213" s="440" t="s">
        <v>4102</v>
      </c>
      <c r="E213" s="440" t="s">
        <v>8555</v>
      </c>
      <c r="F213" s="441" t="s">
        <v>8861</v>
      </c>
      <c r="G213" s="440"/>
      <c r="H213" s="440">
        <v>28000.0</v>
      </c>
      <c r="I213" s="440" t="s">
        <v>2569</v>
      </c>
      <c r="J213" s="440" t="s">
        <v>8525</v>
      </c>
      <c r="K213" s="440" t="s">
        <v>49</v>
      </c>
      <c r="L213" s="440" t="s">
        <v>71</v>
      </c>
      <c r="M213" s="440" t="s">
        <v>8262</v>
      </c>
      <c r="N213" s="465">
        <v>45382.0</v>
      </c>
      <c r="O213" s="465">
        <v>50914.0</v>
      </c>
      <c r="P213" s="396">
        <v>23.0</v>
      </c>
      <c r="Q213" s="31">
        <f t="shared" si="9"/>
        <v>10437.86</v>
      </c>
    </row>
    <row r="214">
      <c r="A214" s="526" t="s">
        <v>8833</v>
      </c>
      <c r="B214" s="440" t="s">
        <v>8862</v>
      </c>
      <c r="C214" s="440" t="s">
        <v>21</v>
      </c>
      <c r="D214" s="440" t="s">
        <v>8858</v>
      </c>
      <c r="E214" s="440" t="s">
        <v>8863</v>
      </c>
      <c r="F214" s="441" t="s">
        <v>8864</v>
      </c>
      <c r="G214" s="440"/>
      <c r="H214" s="440">
        <v>47500.0</v>
      </c>
      <c r="I214" s="440" t="s">
        <v>2569</v>
      </c>
      <c r="J214" s="440" t="s">
        <v>8525</v>
      </c>
      <c r="K214" s="440" t="s">
        <v>49</v>
      </c>
      <c r="L214" s="440" t="s">
        <v>3028</v>
      </c>
      <c r="M214" s="440" t="s">
        <v>8262</v>
      </c>
      <c r="N214" s="465">
        <v>56006.0</v>
      </c>
      <c r="O214" s="465">
        <v>63433.0</v>
      </c>
      <c r="P214" s="396">
        <v>18.5</v>
      </c>
      <c r="Q214" s="31">
        <f t="shared" si="9"/>
        <v>10361.11</v>
      </c>
    </row>
    <row r="215">
      <c r="A215" s="526" t="s">
        <v>8865</v>
      </c>
      <c r="B215" s="440" t="s">
        <v>8866</v>
      </c>
      <c r="C215" s="440" t="s">
        <v>21</v>
      </c>
      <c r="D215" s="440" t="s">
        <v>8504</v>
      </c>
      <c r="E215" s="440" t="s">
        <v>8867</v>
      </c>
      <c r="F215" s="441">
        <v>9.863378692E9</v>
      </c>
      <c r="G215" s="440"/>
      <c r="H215" s="440">
        <v>42000.0</v>
      </c>
      <c r="I215" s="440" t="s">
        <v>2584</v>
      </c>
      <c r="J215" s="440" t="s">
        <v>25</v>
      </c>
      <c r="K215" s="440" t="s">
        <v>49</v>
      </c>
      <c r="L215" s="440" t="s">
        <v>1456</v>
      </c>
      <c r="M215" s="440" t="s">
        <v>8262</v>
      </c>
      <c r="N215" s="443">
        <v>48094.0</v>
      </c>
      <c r="O215" s="443">
        <v>54096.0</v>
      </c>
      <c r="P215" s="396">
        <v>17.0</v>
      </c>
      <c r="Q215" s="31">
        <f t="shared" si="9"/>
        <v>8175.98</v>
      </c>
    </row>
    <row r="216">
      <c r="A216" s="526" t="s">
        <v>8865</v>
      </c>
      <c r="B216" s="440" t="s">
        <v>975</v>
      </c>
      <c r="C216" s="440" t="s">
        <v>1395</v>
      </c>
      <c r="D216" s="440" t="s">
        <v>2143</v>
      </c>
      <c r="E216" s="440" t="s">
        <v>977</v>
      </c>
      <c r="F216" s="441" t="s">
        <v>8868</v>
      </c>
      <c r="G216" s="440"/>
      <c r="H216" s="464">
        <v>3490.0</v>
      </c>
      <c r="I216" s="440" t="s">
        <v>8869</v>
      </c>
      <c r="J216" s="440" t="s">
        <v>116</v>
      </c>
      <c r="K216" s="440" t="s">
        <v>49</v>
      </c>
      <c r="L216" s="440" t="s">
        <v>3028</v>
      </c>
      <c r="M216" s="440" t="s">
        <v>8262</v>
      </c>
      <c r="N216" s="443">
        <v>22180.0</v>
      </c>
      <c r="O216" s="443">
        <v>25205.0</v>
      </c>
      <c r="P216" s="396">
        <v>51.0</v>
      </c>
      <c r="Q216" s="31">
        <f t="shared" si="9"/>
        <v>11311.8</v>
      </c>
    </row>
    <row r="217">
      <c r="A217" s="526" t="s">
        <v>8865</v>
      </c>
      <c r="B217" s="440" t="s">
        <v>2610</v>
      </c>
      <c r="C217" s="440" t="s">
        <v>1395</v>
      </c>
      <c r="D217" s="440" t="s">
        <v>528</v>
      </c>
      <c r="E217" s="440" t="s">
        <v>8870</v>
      </c>
      <c r="F217" s="441" t="s">
        <v>8871</v>
      </c>
      <c r="G217" s="440"/>
      <c r="H217" s="464">
        <v>3425.0</v>
      </c>
      <c r="I217" s="440" t="s">
        <v>2588</v>
      </c>
      <c r="J217" s="440" t="s">
        <v>116</v>
      </c>
      <c r="K217" s="440" t="s">
        <v>49</v>
      </c>
      <c r="L217" s="440" t="s">
        <v>27</v>
      </c>
      <c r="M217" s="440" t="s">
        <v>8262</v>
      </c>
      <c r="N217" s="443">
        <v>19775.0</v>
      </c>
      <c r="O217" s="443">
        <v>22367.0</v>
      </c>
      <c r="P217" s="396">
        <v>51.0</v>
      </c>
      <c r="Q217" s="31">
        <f t="shared" si="9"/>
        <v>10085.25</v>
      </c>
    </row>
    <row r="218">
      <c r="A218" s="526" t="s">
        <v>8865</v>
      </c>
      <c r="B218" s="440" t="s">
        <v>8872</v>
      </c>
      <c r="C218" s="440" t="s">
        <v>1395</v>
      </c>
      <c r="D218" s="440" t="s">
        <v>528</v>
      </c>
      <c r="E218" s="440" t="s">
        <v>8873</v>
      </c>
      <c r="F218" s="441" t="s">
        <v>8856</v>
      </c>
      <c r="G218" s="440"/>
      <c r="H218" s="464">
        <v>3490.0</v>
      </c>
      <c r="I218" s="440" t="s">
        <v>2569</v>
      </c>
      <c r="J218" s="440" t="s">
        <v>116</v>
      </c>
      <c r="K218" s="440" t="s">
        <v>49</v>
      </c>
      <c r="L218" s="440" t="s">
        <v>71</v>
      </c>
      <c r="M218" s="440" t="s">
        <v>8262</v>
      </c>
      <c r="N218" s="443">
        <v>19973.0</v>
      </c>
      <c r="O218" s="443">
        <v>22601.0</v>
      </c>
      <c r="P218" s="396">
        <v>51.0</v>
      </c>
      <c r="Q218" s="31">
        <f t="shared" si="9"/>
        <v>10186.23</v>
      </c>
    </row>
    <row r="219">
      <c r="A219" s="526" t="s">
        <v>8865</v>
      </c>
      <c r="B219" s="440" t="s">
        <v>2761</v>
      </c>
      <c r="C219" s="440" t="s">
        <v>21</v>
      </c>
      <c r="D219" s="440" t="s">
        <v>8268</v>
      </c>
      <c r="E219" s="440" t="s">
        <v>8874</v>
      </c>
      <c r="F219" s="441">
        <v>9.664622027E9</v>
      </c>
      <c r="G219" s="440"/>
      <c r="H219" s="464">
        <v>16020.0</v>
      </c>
      <c r="I219" s="440" t="s">
        <v>8869</v>
      </c>
      <c r="J219" s="440" t="s">
        <v>78</v>
      </c>
      <c r="K219" s="440" t="s">
        <v>49</v>
      </c>
      <c r="L219" s="440" t="s">
        <v>1456</v>
      </c>
      <c r="M219" s="440" t="s">
        <v>8262</v>
      </c>
      <c r="N219" s="464">
        <v>60101.0</v>
      </c>
      <c r="O219" s="464">
        <v>68801.0</v>
      </c>
      <c r="P219" s="396">
        <v>27.0</v>
      </c>
      <c r="Q219" s="31">
        <f t="shared" si="9"/>
        <v>16227.27</v>
      </c>
    </row>
    <row r="220">
      <c r="A220" s="526" t="s">
        <v>8865</v>
      </c>
      <c r="B220" s="440" t="s">
        <v>8875</v>
      </c>
      <c r="C220" s="440" t="s">
        <v>21</v>
      </c>
      <c r="D220" s="440" t="s">
        <v>2854</v>
      </c>
      <c r="E220" s="440" t="s">
        <v>8876</v>
      </c>
      <c r="F220" s="441"/>
      <c r="G220" s="440"/>
      <c r="H220" s="440">
        <v>11990.0</v>
      </c>
      <c r="I220" s="440" t="s">
        <v>8869</v>
      </c>
      <c r="J220" s="440" t="s">
        <v>25</v>
      </c>
      <c r="K220" s="440" t="s">
        <v>49</v>
      </c>
      <c r="L220" s="440" t="s">
        <v>3028</v>
      </c>
      <c r="M220" s="440" t="s">
        <v>8262</v>
      </c>
      <c r="N220" s="464">
        <v>32902.0</v>
      </c>
      <c r="O220" s="464">
        <v>37193.0</v>
      </c>
      <c r="P220" s="396">
        <v>27.0</v>
      </c>
      <c r="Q220" s="31">
        <f t="shared" si="9"/>
        <v>8883.54</v>
      </c>
    </row>
    <row r="221">
      <c r="A221" s="526" t="s">
        <v>8865</v>
      </c>
      <c r="B221" s="440" t="s">
        <v>8877</v>
      </c>
      <c r="C221" s="440" t="s">
        <v>1759</v>
      </c>
      <c r="D221" s="440" t="s">
        <v>7749</v>
      </c>
      <c r="E221" s="440" t="s">
        <v>8878</v>
      </c>
      <c r="F221" s="441"/>
      <c r="G221" s="440"/>
      <c r="H221" s="440"/>
      <c r="I221" s="440" t="s">
        <v>2588</v>
      </c>
      <c r="J221" s="440" t="s">
        <v>78</v>
      </c>
      <c r="K221" s="440" t="s">
        <v>49</v>
      </c>
      <c r="L221" s="440" t="s">
        <v>1616</v>
      </c>
      <c r="M221" s="440" t="s">
        <v>8262</v>
      </c>
      <c r="N221" s="464">
        <v>6644.0</v>
      </c>
      <c r="O221" s="464">
        <v>7840.0</v>
      </c>
      <c r="P221" s="396">
        <v>54.0</v>
      </c>
      <c r="Q221" s="31">
        <f t="shared" si="9"/>
        <v>3587.76</v>
      </c>
    </row>
    <row r="222">
      <c r="A222" s="126"/>
      <c r="F222" s="236"/>
    </row>
    <row r="223">
      <c r="A223" s="126"/>
      <c r="F223" s="236"/>
    </row>
    <row r="224">
      <c r="A224" s="126"/>
      <c r="F224" s="236"/>
    </row>
    <row r="225">
      <c r="A225" s="126"/>
      <c r="F225" s="236"/>
    </row>
    <row r="226">
      <c r="A226" s="126"/>
      <c r="F226" s="236"/>
      <c r="Q226" s="524">
        <f>SUM(Q184:Q225)</f>
        <v>392652.195</v>
      </c>
    </row>
    <row r="227">
      <c r="A227" s="126"/>
      <c r="F227" s="236"/>
      <c r="O227" s="312" t="s">
        <v>8879</v>
      </c>
      <c r="P227" s="312" t="s">
        <v>8880</v>
      </c>
      <c r="Q227" s="532">
        <v>41391.0</v>
      </c>
    </row>
    <row r="228">
      <c r="A228" s="126"/>
      <c r="F228" s="236"/>
    </row>
    <row r="229">
      <c r="A229" s="126"/>
      <c r="F229" s="236"/>
    </row>
    <row r="230">
      <c r="A230" s="126"/>
      <c r="F230" s="236"/>
      <c r="P230" s="540" t="s">
        <v>8881</v>
      </c>
      <c r="Q230" s="540">
        <v>351261.0</v>
      </c>
    </row>
    <row r="231">
      <c r="A231" s="100" t="s">
        <v>8882</v>
      </c>
      <c r="B231" s="479" t="s">
        <v>8883</v>
      </c>
      <c r="C231" s="479" t="s">
        <v>1395</v>
      </c>
      <c r="D231" s="479" t="s">
        <v>528</v>
      </c>
      <c r="E231" s="479" t="s">
        <v>8884</v>
      </c>
      <c r="F231" s="479" t="s">
        <v>8885</v>
      </c>
      <c r="G231" s="479"/>
      <c r="H231" s="481">
        <v>3490.0</v>
      </c>
      <c r="I231" s="479" t="s">
        <v>8869</v>
      </c>
      <c r="J231" s="479" t="s">
        <v>116</v>
      </c>
      <c r="K231" s="479" t="s">
        <v>49</v>
      </c>
      <c r="L231" s="479" t="s">
        <v>1436</v>
      </c>
      <c r="M231" s="479" t="s">
        <v>8262</v>
      </c>
      <c r="N231" s="502">
        <v>21902.0</v>
      </c>
      <c r="O231" s="541">
        <v>24876.0</v>
      </c>
      <c r="P231" s="5">
        <v>51.0</v>
      </c>
      <c r="Q231" s="31">
        <f t="shared" ref="Q231:Q247" si="10">N231*P231%</f>
        <v>11170.02</v>
      </c>
    </row>
    <row r="232">
      <c r="A232" s="526" t="s">
        <v>8882</v>
      </c>
      <c r="B232" s="440" t="s">
        <v>8886</v>
      </c>
      <c r="C232" s="440" t="s">
        <v>21</v>
      </c>
      <c r="D232" s="440" t="s">
        <v>8268</v>
      </c>
      <c r="E232" s="440" t="s">
        <v>8887</v>
      </c>
      <c r="F232" s="440" t="s">
        <v>2308</v>
      </c>
      <c r="G232" s="440"/>
      <c r="H232" s="464">
        <v>16020.0</v>
      </c>
      <c r="I232" s="440" t="s">
        <v>8869</v>
      </c>
      <c r="J232" s="440" t="s">
        <v>78</v>
      </c>
      <c r="K232" s="440" t="s">
        <v>49</v>
      </c>
      <c r="L232" s="440" t="s">
        <v>71</v>
      </c>
      <c r="M232" s="440" t="s">
        <v>8262</v>
      </c>
      <c r="N232" s="464">
        <v>55457.0</v>
      </c>
      <c r="O232" s="464">
        <v>63321.0</v>
      </c>
      <c r="P232" s="5">
        <v>27.0</v>
      </c>
      <c r="Q232" s="31">
        <f t="shared" si="10"/>
        <v>14973.39</v>
      </c>
    </row>
    <row r="233">
      <c r="A233" s="526" t="s">
        <v>8882</v>
      </c>
      <c r="B233" s="440" t="s">
        <v>3466</v>
      </c>
      <c r="C233" s="440" t="s">
        <v>1395</v>
      </c>
      <c r="D233" s="440" t="s">
        <v>8792</v>
      </c>
      <c r="E233" s="440" t="s">
        <v>8888</v>
      </c>
      <c r="F233" s="440" t="s">
        <v>8889</v>
      </c>
      <c r="G233" s="440"/>
      <c r="H233" s="464">
        <v>2750.0</v>
      </c>
      <c r="I233" s="440" t="s">
        <v>8890</v>
      </c>
      <c r="J233" s="440" t="s">
        <v>1424</v>
      </c>
      <c r="K233" s="440" t="s">
        <v>49</v>
      </c>
      <c r="L233" s="440" t="s">
        <v>3028</v>
      </c>
      <c r="M233" s="440" t="s">
        <v>8262</v>
      </c>
      <c r="N233" s="464">
        <v>20160.0</v>
      </c>
      <c r="O233" s="464">
        <v>22826.0</v>
      </c>
      <c r="P233" s="5">
        <v>53.0</v>
      </c>
      <c r="Q233" s="31">
        <f t="shared" si="10"/>
        <v>10684.8</v>
      </c>
    </row>
    <row r="234">
      <c r="A234" s="526" t="s">
        <v>8891</v>
      </c>
      <c r="B234" s="440" t="s">
        <v>2648</v>
      </c>
      <c r="C234" s="440" t="s">
        <v>1395</v>
      </c>
      <c r="D234" s="440" t="s">
        <v>262</v>
      </c>
      <c r="E234" s="440" t="s">
        <v>8892</v>
      </c>
      <c r="F234" s="440" t="s">
        <v>8893</v>
      </c>
      <c r="G234" s="440"/>
      <c r="H234" s="464">
        <v>1600.0</v>
      </c>
      <c r="I234" s="531">
        <v>45660.0</v>
      </c>
      <c r="J234" s="440" t="s">
        <v>78</v>
      </c>
      <c r="K234" s="440" t="s">
        <v>49</v>
      </c>
      <c r="L234" s="440" t="s">
        <v>71</v>
      </c>
      <c r="M234" s="440" t="s">
        <v>8262</v>
      </c>
      <c r="N234" s="464">
        <v>16688.0</v>
      </c>
      <c r="O234" s="464">
        <v>18729.0</v>
      </c>
      <c r="P234" s="5">
        <v>55.0</v>
      </c>
      <c r="Q234" s="31">
        <f t="shared" si="10"/>
        <v>9178.4</v>
      </c>
    </row>
    <row r="235">
      <c r="A235" s="526" t="s">
        <v>8891</v>
      </c>
      <c r="B235" s="440" t="s">
        <v>2628</v>
      </c>
      <c r="C235" s="440" t="s">
        <v>21</v>
      </c>
      <c r="D235" s="440" t="s">
        <v>8613</v>
      </c>
      <c r="E235" s="440" t="s">
        <v>525</v>
      </c>
      <c r="F235" s="440" t="s">
        <v>8889</v>
      </c>
      <c r="G235" s="440"/>
      <c r="H235" s="464">
        <v>12990.0</v>
      </c>
      <c r="I235" s="440" t="s">
        <v>8890</v>
      </c>
      <c r="J235" s="440" t="s">
        <v>78</v>
      </c>
      <c r="K235" s="440" t="s">
        <v>49</v>
      </c>
      <c r="L235" s="440" t="s">
        <v>71</v>
      </c>
      <c r="M235" s="440" t="s">
        <v>8262</v>
      </c>
      <c r="N235" s="464">
        <v>37887.0</v>
      </c>
      <c r="O235" s="464">
        <v>42588.0</v>
      </c>
      <c r="P235" s="5">
        <v>27.0</v>
      </c>
      <c r="Q235" s="31">
        <f t="shared" si="10"/>
        <v>10229.49</v>
      </c>
    </row>
    <row r="236">
      <c r="A236" s="526" t="s">
        <v>8891</v>
      </c>
      <c r="B236" s="440" t="s">
        <v>8894</v>
      </c>
      <c r="C236" s="440" t="s">
        <v>1432</v>
      </c>
      <c r="D236" s="440" t="s">
        <v>8514</v>
      </c>
      <c r="E236" s="440" t="s">
        <v>8895</v>
      </c>
      <c r="F236" s="440"/>
      <c r="G236" s="440"/>
      <c r="H236" s="440"/>
      <c r="I236" s="440" t="s">
        <v>8869</v>
      </c>
      <c r="J236" s="440" t="s">
        <v>78</v>
      </c>
      <c r="K236" s="440" t="s">
        <v>49</v>
      </c>
      <c r="L236" s="440" t="s">
        <v>27</v>
      </c>
      <c r="M236" s="440" t="s">
        <v>8262</v>
      </c>
      <c r="N236" s="464">
        <v>6348.0</v>
      </c>
      <c r="O236" s="464">
        <v>7491.0</v>
      </c>
      <c r="P236" s="5">
        <v>54.0</v>
      </c>
      <c r="Q236" s="31">
        <f t="shared" si="10"/>
        <v>3427.92</v>
      </c>
    </row>
    <row r="237">
      <c r="A237" s="526" t="s">
        <v>8891</v>
      </c>
      <c r="B237" s="440" t="s">
        <v>8896</v>
      </c>
      <c r="C237" s="440" t="s">
        <v>533</v>
      </c>
      <c r="D237" s="440" t="s">
        <v>8897</v>
      </c>
      <c r="E237" s="440" t="s">
        <v>8898</v>
      </c>
      <c r="F237" s="440"/>
      <c r="G237" s="440"/>
      <c r="H237" s="440"/>
      <c r="I237" s="440" t="s">
        <v>8869</v>
      </c>
      <c r="J237" s="440" t="s">
        <v>78</v>
      </c>
      <c r="K237" s="440" t="s">
        <v>49</v>
      </c>
      <c r="L237" s="440" t="s">
        <v>27</v>
      </c>
      <c r="M237" s="440" t="s">
        <v>8262</v>
      </c>
      <c r="N237" s="464">
        <v>7885.0</v>
      </c>
      <c r="O237" s="464">
        <v>9304.0</v>
      </c>
      <c r="P237" s="5">
        <v>49.0</v>
      </c>
      <c r="Q237" s="31">
        <f t="shared" si="10"/>
        <v>3863.65</v>
      </c>
    </row>
    <row r="238">
      <c r="A238" s="526" t="s">
        <v>8891</v>
      </c>
      <c r="B238" s="440" t="s">
        <v>8899</v>
      </c>
      <c r="C238" s="440" t="s">
        <v>1432</v>
      </c>
      <c r="D238" s="440" t="s">
        <v>8514</v>
      </c>
      <c r="E238" s="440" t="s">
        <v>8900</v>
      </c>
      <c r="F238" s="440"/>
      <c r="G238" s="440"/>
      <c r="H238" s="440"/>
      <c r="I238" s="531">
        <v>45691.0</v>
      </c>
      <c r="J238" s="440" t="s">
        <v>78</v>
      </c>
      <c r="K238" s="440" t="s">
        <v>49</v>
      </c>
      <c r="L238" s="440" t="s">
        <v>27</v>
      </c>
      <c r="M238" s="440" t="s">
        <v>8262</v>
      </c>
      <c r="N238" s="464">
        <v>6016.0</v>
      </c>
      <c r="O238" s="464">
        <v>7099.0</v>
      </c>
      <c r="P238" s="5">
        <v>54.0</v>
      </c>
      <c r="Q238" s="31">
        <f t="shared" si="10"/>
        <v>3248.64</v>
      </c>
    </row>
    <row r="239">
      <c r="A239" s="526" t="s">
        <v>8901</v>
      </c>
      <c r="B239" s="440" t="s">
        <v>2654</v>
      </c>
      <c r="C239" s="440" t="s">
        <v>21</v>
      </c>
      <c r="D239" s="440" t="s">
        <v>7970</v>
      </c>
      <c r="E239" s="440" t="s">
        <v>2656</v>
      </c>
      <c r="F239" s="440" t="s">
        <v>2308</v>
      </c>
      <c r="G239" s="440"/>
      <c r="H239" s="464">
        <v>28000.0</v>
      </c>
      <c r="I239" s="440" t="s">
        <v>8890</v>
      </c>
      <c r="J239" s="440" t="s">
        <v>8525</v>
      </c>
      <c r="K239" s="440" t="s">
        <v>49</v>
      </c>
      <c r="L239" s="440" t="s">
        <v>27</v>
      </c>
      <c r="M239" s="440" t="s">
        <v>8262</v>
      </c>
      <c r="N239" s="443">
        <v>48402.0</v>
      </c>
      <c r="O239" s="465">
        <v>54477.0</v>
      </c>
      <c r="P239" s="5">
        <v>23.0</v>
      </c>
      <c r="Q239" s="31">
        <f t="shared" si="10"/>
        <v>11132.46</v>
      </c>
    </row>
    <row r="240">
      <c r="A240" s="526" t="s">
        <v>8901</v>
      </c>
      <c r="B240" s="440" t="s">
        <v>2661</v>
      </c>
      <c r="C240" s="440" t="s">
        <v>21</v>
      </c>
      <c r="D240" s="440" t="s">
        <v>8902</v>
      </c>
      <c r="E240" s="440" t="s">
        <v>2664</v>
      </c>
      <c r="F240" s="440">
        <v>7.62408371E9</v>
      </c>
      <c r="G240" s="440"/>
      <c r="H240" s="464">
        <v>35000.0</v>
      </c>
      <c r="I240" s="531">
        <v>45691.0</v>
      </c>
      <c r="J240" s="440" t="s">
        <v>78</v>
      </c>
      <c r="K240" s="440" t="s">
        <v>49</v>
      </c>
      <c r="L240" s="440" t="s">
        <v>1436</v>
      </c>
      <c r="M240" s="440" t="s">
        <v>8262</v>
      </c>
      <c r="N240" s="464">
        <v>80973.0</v>
      </c>
      <c r="O240" s="464">
        <v>92911.0</v>
      </c>
      <c r="P240" s="5">
        <v>27.0</v>
      </c>
      <c r="Q240" s="31">
        <f t="shared" si="10"/>
        <v>21862.71</v>
      </c>
    </row>
    <row r="241">
      <c r="A241" s="526" t="s">
        <v>8901</v>
      </c>
      <c r="B241" s="440" t="s">
        <v>8903</v>
      </c>
      <c r="C241" s="440" t="s">
        <v>1395</v>
      </c>
      <c r="D241" s="440" t="s">
        <v>262</v>
      </c>
      <c r="E241" s="440" t="s">
        <v>8904</v>
      </c>
      <c r="F241" s="440">
        <v>9.586414149E9</v>
      </c>
      <c r="G241" s="440"/>
      <c r="H241" s="464">
        <v>1600.0</v>
      </c>
      <c r="I241" s="440" t="s">
        <v>8890</v>
      </c>
      <c r="J241" s="440" t="s">
        <v>1424</v>
      </c>
      <c r="K241" s="440" t="s">
        <v>49</v>
      </c>
      <c r="L241" s="440" t="s">
        <v>3028</v>
      </c>
      <c r="M241" s="440" t="s">
        <v>8262</v>
      </c>
      <c r="N241" s="464">
        <v>19072.0</v>
      </c>
      <c r="O241" s="464">
        <v>21542.0</v>
      </c>
      <c r="P241" s="5">
        <v>53.0</v>
      </c>
      <c r="Q241" s="31">
        <f t="shared" si="10"/>
        <v>10108.16</v>
      </c>
    </row>
    <row r="242">
      <c r="A242" s="526" t="s">
        <v>8901</v>
      </c>
      <c r="B242" s="440" t="s">
        <v>2645</v>
      </c>
      <c r="C242" s="440" t="s">
        <v>21</v>
      </c>
      <c r="D242" s="440" t="s">
        <v>8479</v>
      </c>
      <c r="E242" s="440" t="s">
        <v>2647</v>
      </c>
      <c r="F242" s="440" t="s">
        <v>8905</v>
      </c>
      <c r="G242" s="440"/>
      <c r="H242" s="464">
        <v>35000.0</v>
      </c>
      <c r="I242" s="440" t="s">
        <v>8890</v>
      </c>
      <c r="J242" s="440" t="s">
        <v>78</v>
      </c>
      <c r="K242" s="440" t="s">
        <v>49</v>
      </c>
      <c r="L242" s="440" t="s">
        <v>1456</v>
      </c>
      <c r="M242" s="440" t="s">
        <v>8262</v>
      </c>
      <c r="N242" s="464">
        <v>49852.0</v>
      </c>
      <c r="O242" s="464">
        <v>56188.0</v>
      </c>
      <c r="P242" s="5">
        <v>27.0</v>
      </c>
      <c r="Q242" s="31">
        <f t="shared" si="10"/>
        <v>13460.04</v>
      </c>
    </row>
    <row r="243">
      <c r="A243" s="526" t="s">
        <v>8901</v>
      </c>
      <c r="B243" s="440" t="s">
        <v>6985</v>
      </c>
      <c r="C243" s="440" t="s">
        <v>1395</v>
      </c>
      <c r="D243" s="440" t="s">
        <v>262</v>
      </c>
      <c r="E243" s="440" t="s">
        <v>8906</v>
      </c>
      <c r="F243" s="440" t="s">
        <v>8907</v>
      </c>
      <c r="G243" s="440"/>
      <c r="H243" s="464">
        <v>1600.0</v>
      </c>
      <c r="I243" s="531">
        <v>45660.0</v>
      </c>
      <c r="J243" s="440" t="s">
        <v>78</v>
      </c>
      <c r="K243" s="440" t="s">
        <v>49</v>
      </c>
      <c r="L243" s="440" t="s">
        <v>71</v>
      </c>
      <c r="M243" s="440" t="s">
        <v>8262</v>
      </c>
      <c r="N243" s="464">
        <v>20347.0</v>
      </c>
      <c r="O243" s="464">
        <v>23047.0</v>
      </c>
      <c r="P243" s="5">
        <v>55.0</v>
      </c>
      <c r="Q243" s="31">
        <f t="shared" si="10"/>
        <v>11190.85</v>
      </c>
    </row>
    <row r="244">
      <c r="A244" s="526" t="s">
        <v>8901</v>
      </c>
      <c r="B244" s="440" t="s">
        <v>8908</v>
      </c>
      <c r="C244" s="440" t="s">
        <v>1432</v>
      </c>
      <c r="D244" s="440" t="s">
        <v>8514</v>
      </c>
      <c r="E244" s="440" t="s">
        <v>8909</v>
      </c>
      <c r="F244" s="440">
        <v>9.537422315E9</v>
      </c>
      <c r="G244" s="440"/>
      <c r="H244" s="440"/>
      <c r="I244" s="440" t="s">
        <v>8890</v>
      </c>
      <c r="J244" s="440" t="s">
        <v>78</v>
      </c>
      <c r="K244" s="440" t="s">
        <v>49</v>
      </c>
      <c r="L244" s="440" t="s">
        <v>1616</v>
      </c>
      <c r="M244" s="440" t="s">
        <v>8262</v>
      </c>
      <c r="N244" s="464">
        <v>6614.0</v>
      </c>
      <c r="O244" s="464">
        <v>7805.0</v>
      </c>
      <c r="P244" s="5">
        <v>54.0</v>
      </c>
      <c r="Q244" s="31">
        <f t="shared" si="10"/>
        <v>3571.56</v>
      </c>
    </row>
    <row r="245">
      <c r="A245" s="526" t="s">
        <v>8901</v>
      </c>
      <c r="B245" s="440" t="s">
        <v>2720</v>
      </c>
      <c r="C245" s="440" t="s">
        <v>21</v>
      </c>
      <c r="D245" s="440" t="s">
        <v>8910</v>
      </c>
      <c r="E245" s="440" t="s">
        <v>2723</v>
      </c>
      <c r="F245" s="440" t="s">
        <v>8911</v>
      </c>
      <c r="G245" s="440"/>
      <c r="H245" s="464">
        <v>5200.0</v>
      </c>
      <c r="I245" s="531">
        <v>45780.0</v>
      </c>
      <c r="J245" s="440" t="s">
        <v>116</v>
      </c>
      <c r="K245" s="440" t="s">
        <v>49</v>
      </c>
      <c r="L245" s="440" t="s">
        <v>71</v>
      </c>
      <c r="M245" s="440" t="s">
        <v>8262</v>
      </c>
      <c r="N245" s="443">
        <v>18564.0</v>
      </c>
      <c r="O245" s="443">
        <v>20936.0</v>
      </c>
      <c r="P245" s="5">
        <v>32.0</v>
      </c>
      <c r="Q245" s="31">
        <f t="shared" si="10"/>
        <v>5940.48</v>
      </c>
    </row>
    <row r="246">
      <c r="A246" s="526" t="s">
        <v>8901</v>
      </c>
      <c r="B246" s="440" t="s">
        <v>8912</v>
      </c>
      <c r="C246" s="440" t="s">
        <v>1395</v>
      </c>
      <c r="D246" s="440" t="s">
        <v>528</v>
      </c>
      <c r="E246" s="471" t="s">
        <v>8913</v>
      </c>
      <c r="F246" s="440" t="s">
        <v>8914</v>
      </c>
      <c r="G246" s="440"/>
      <c r="H246" s="88">
        <v>2735.0</v>
      </c>
      <c r="I246" s="471" t="s">
        <v>8890</v>
      </c>
      <c r="J246" s="440" t="s">
        <v>1424</v>
      </c>
      <c r="K246" s="440" t="s">
        <v>49</v>
      </c>
      <c r="L246" s="440" t="s">
        <v>3028</v>
      </c>
      <c r="M246" s="440" t="s">
        <v>8262</v>
      </c>
      <c r="N246" s="88">
        <v>20646.0</v>
      </c>
      <c r="O246" s="542">
        <v>23400.0</v>
      </c>
      <c r="P246" s="5">
        <v>53.0</v>
      </c>
      <c r="Q246" s="31">
        <f t="shared" si="10"/>
        <v>10942.38</v>
      </c>
    </row>
    <row r="247">
      <c r="A247" s="526" t="s">
        <v>8901</v>
      </c>
      <c r="B247" s="440" t="s">
        <v>8915</v>
      </c>
      <c r="C247" s="440" t="s">
        <v>1395</v>
      </c>
      <c r="D247" s="440" t="s">
        <v>528</v>
      </c>
      <c r="E247" s="440" t="s">
        <v>8913</v>
      </c>
      <c r="F247" s="440" t="s">
        <v>8914</v>
      </c>
      <c r="G247" s="440"/>
      <c r="H247" s="499">
        <v>2735.0</v>
      </c>
      <c r="I247" s="440" t="s">
        <v>8890</v>
      </c>
      <c r="J247" s="440" t="s">
        <v>1424</v>
      </c>
      <c r="K247" s="440" t="s">
        <v>49</v>
      </c>
      <c r="L247" s="440" t="s">
        <v>3028</v>
      </c>
      <c r="M247" s="440" t="s">
        <v>8262</v>
      </c>
      <c r="N247" s="499">
        <v>21862.0</v>
      </c>
      <c r="O247" s="464">
        <v>24834.0</v>
      </c>
      <c r="P247" s="5">
        <v>53.0</v>
      </c>
      <c r="Q247" s="31">
        <f t="shared" si="10"/>
        <v>11586.86</v>
      </c>
    </row>
    <row r="248">
      <c r="A248" s="126"/>
      <c r="F248" s="236"/>
    </row>
    <row r="249">
      <c r="A249" s="126"/>
      <c r="F249" s="236"/>
    </row>
    <row r="250">
      <c r="A250" s="126"/>
      <c r="F250" s="236"/>
    </row>
    <row r="251">
      <c r="A251" s="126"/>
      <c r="F251" s="236"/>
      <c r="Q251" s="543">
        <f>SUM(Q231:Q250)</f>
        <v>166571.81</v>
      </c>
    </row>
    <row r="252">
      <c r="A252" s="126"/>
      <c r="F252" s="236"/>
    </row>
    <row r="253">
      <c r="A253" s="126"/>
      <c r="F253" s="236"/>
    </row>
    <row r="254">
      <c r="A254" s="544">
        <v>45352.0</v>
      </c>
    </row>
    <row r="255">
      <c r="A255" s="126"/>
      <c r="F255" s="236"/>
    </row>
    <row r="256">
      <c r="A256" s="126"/>
      <c r="F256" s="236"/>
    </row>
    <row r="257">
      <c r="A257" s="87">
        <v>45354.0</v>
      </c>
      <c r="B257" s="479" t="s">
        <v>2759</v>
      </c>
      <c r="C257" s="479" t="s">
        <v>21</v>
      </c>
      <c r="D257" s="479" t="s">
        <v>8268</v>
      </c>
      <c r="E257" s="479" t="s">
        <v>8916</v>
      </c>
      <c r="F257" s="479" t="s">
        <v>8917</v>
      </c>
      <c r="G257" s="479"/>
      <c r="H257" s="481">
        <v>16020.0</v>
      </c>
      <c r="I257" s="545">
        <v>45719.0</v>
      </c>
      <c r="J257" s="479" t="s">
        <v>78</v>
      </c>
      <c r="K257" s="479" t="s">
        <v>49</v>
      </c>
      <c r="L257" s="479" t="s">
        <v>71</v>
      </c>
      <c r="M257" s="479" t="s">
        <v>8262</v>
      </c>
      <c r="N257" s="481">
        <v>54383.0</v>
      </c>
      <c r="O257" s="481">
        <v>62054.0</v>
      </c>
      <c r="P257" s="6">
        <v>27.0</v>
      </c>
      <c r="Q257" s="31">
        <f t="shared" ref="Q257:Q297" si="11">N257*P257%</f>
        <v>14683.41</v>
      </c>
    </row>
    <row r="258">
      <c r="A258" s="534">
        <v>45354.0</v>
      </c>
      <c r="B258" s="440" t="s">
        <v>2674</v>
      </c>
      <c r="C258" s="440" t="s">
        <v>21</v>
      </c>
      <c r="D258" s="440" t="s">
        <v>8268</v>
      </c>
      <c r="E258" s="440" t="s">
        <v>8918</v>
      </c>
      <c r="F258" s="440">
        <v>8.20001614E9</v>
      </c>
      <c r="G258" s="440"/>
      <c r="H258" s="464">
        <v>15800.0</v>
      </c>
      <c r="I258" s="531">
        <v>45691.0</v>
      </c>
      <c r="J258" s="440" t="s">
        <v>78</v>
      </c>
      <c r="K258" s="440" t="s">
        <v>49</v>
      </c>
      <c r="L258" s="440" t="s">
        <v>27</v>
      </c>
      <c r="M258" s="440" t="s">
        <v>8262</v>
      </c>
      <c r="N258" s="464">
        <v>37661.0</v>
      </c>
      <c r="O258" s="464">
        <v>42322.0</v>
      </c>
      <c r="P258" s="6">
        <v>27.0</v>
      </c>
      <c r="Q258" s="31">
        <f t="shared" si="11"/>
        <v>10168.47</v>
      </c>
    </row>
    <row r="259">
      <c r="A259" s="534">
        <v>45354.0</v>
      </c>
      <c r="B259" s="440" t="s">
        <v>8919</v>
      </c>
      <c r="C259" s="440" t="s">
        <v>21</v>
      </c>
      <c r="D259" s="440" t="s">
        <v>7917</v>
      </c>
      <c r="E259" s="440" t="s">
        <v>8920</v>
      </c>
      <c r="F259" s="440">
        <v>9.904923331E9</v>
      </c>
      <c r="G259" s="440"/>
      <c r="H259" s="464">
        <v>35000.0</v>
      </c>
      <c r="I259" s="531">
        <v>45691.0</v>
      </c>
      <c r="J259" s="440" t="s">
        <v>8525</v>
      </c>
      <c r="K259" s="440" t="s">
        <v>49</v>
      </c>
      <c r="L259" s="440" t="s">
        <v>8392</v>
      </c>
      <c r="M259" s="440" t="s">
        <v>8262</v>
      </c>
      <c r="N259" s="443">
        <v>47530.0</v>
      </c>
      <c r="O259" s="443">
        <v>53448.0</v>
      </c>
      <c r="P259" s="6">
        <v>23.0</v>
      </c>
      <c r="Q259" s="31">
        <f t="shared" si="11"/>
        <v>10931.9</v>
      </c>
    </row>
    <row r="260">
      <c r="A260" s="534">
        <v>45354.0</v>
      </c>
      <c r="B260" s="440" t="s">
        <v>8921</v>
      </c>
      <c r="C260" s="440" t="s">
        <v>1395</v>
      </c>
      <c r="D260" s="440" t="s">
        <v>528</v>
      </c>
      <c r="E260" s="440" t="s">
        <v>8922</v>
      </c>
      <c r="F260" s="440">
        <v>8.849866048E9</v>
      </c>
      <c r="G260" s="440"/>
      <c r="H260" s="464">
        <v>2620.0</v>
      </c>
      <c r="I260" s="531">
        <v>45660.0</v>
      </c>
      <c r="J260" s="440" t="s">
        <v>116</v>
      </c>
      <c r="K260" s="440" t="s">
        <v>49</v>
      </c>
      <c r="L260" s="440" t="s">
        <v>3028</v>
      </c>
      <c r="M260" s="440" t="s">
        <v>8262</v>
      </c>
      <c r="N260" s="443">
        <v>19489.0</v>
      </c>
      <c r="O260" s="443">
        <v>22029.0</v>
      </c>
      <c r="P260" s="6">
        <v>52.0</v>
      </c>
      <c r="Q260" s="31">
        <f t="shared" si="11"/>
        <v>10134.28</v>
      </c>
    </row>
    <row r="261">
      <c r="A261" s="534">
        <v>45354.0</v>
      </c>
      <c r="B261" s="440" t="s">
        <v>8923</v>
      </c>
      <c r="C261" s="440" t="s">
        <v>1395</v>
      </c>
      <c r="D261" s="440" t="s">
        <v>528</v>
      </c>
      <c r="E261" s="440" t="s">
        <v>8924</v>
      </c>
      <c r="F261" s="440">
        <v>9.974385811E9</v>
      </c>
      <c r="G261" s="440"/>
      <c r="H261" s="464">
        <v>2990.0</v>
      </c>
      <c r="I261" s="531">
        <v>45719.0</v>
      </c>
      <c r="J261" s="440" t="s">
        <v>116</v>
      </c>
      <c r="K261" s="440" t="s">
        <v>49</v>
      </c>
      <c r="L261" s="440" t="s">
        <v>3028</v>
      </c>
      <c r="M261" s="440" t="s">
        <v>8262</v>
      </c>
      <c r="N261" s="443">
        <v>17626.0</v>
      </c>
      <c r="O261" s="443">
        <v>19831.0</v>
      </c>
      <c r="P261" s="6">
        <v>52.0</v>
      </c>
      <c r="Q261" s="31">
        <f t="shared" si="11"/>
        <v>9165.52</v>
      </c>
    </row>
    <row r="262">
      <c r="A262" s="534">
        <v>45354.0</v>
      </c>
      <c r="B262" s="440" t="s">
        <v>7011</v>
      </c>
      <c r="C262" s="440" t="s">
        <v>1395</v>
      </c>
      <c r="D262" s="440" t="s">
        <v>528</v>
      </c>
      <c r="E262" s="440" t="s">
        <v>8925</v>
      </c>
      <c r="F262" s="440">
        <v>9.879376001E9</v>
      </c>
      <c r="G262" s="440"/>
      <c r="H262" s="464">
        <v>2620.0</v>
      </c>
      <c r="I262" s="531">
        <v>45780.0</v>
      </c>
      <c r="J262" s="440" t="s">
        <v>116</v>
      </c>
      <c r="K262" s="440" t="s">
        <v>49</v>
      </c>
      <c r="L262" s="440" t="s">
        <v>71</v>
      </c>
      <c r="M262" s="440" t="s">
        <v>8262</v>
      </c>
      <c r="N262" s="443">
        <v>17700.0</v>
      </c>
      <c r="O262" s="465">
        <v>19917.0</v>
      </c>
      <c r="P262" s="6">
        <v>52.0</v>
      </c>
      <c r="Q262" s="31">
        <f t="shared" si="11"/>
        <v>9204</v>
      </c>
    </row>
    <row r="263">
      <c r="A263" s="534">
        <v>45385.0</v>
      </c>
      <c r="B263" s="440" t="s">
        <v>2615</v>
      </c>
      <c r="C263" s="440" t="s">
        <v>1405</v>
      </c>
      <c r="D263" s="440" t="s">
        <v>8926</v>
      </c>
      <c r="E263" s="440" t="s">
        <v>2617</v>
      </c>
      <c r="F263" s="440">
        <v>9.979459979E9</v>
      </c>
      <c r="G263" s="440"/>
      <c r="H263" s="464">
        <v>995.0</v>
      </c>
      <c r="I263" s="531">
        <v>45691.0</v>
      </c>
      <c r="J263" s="440" t="s">
        <v>78</v>
      </c>
      <c r="K263" s="440" t="s">
        <v>49</v>
      </c>
      <c r="L263" s="440" t="s">
        <v>1616</v>
      </c>
      <c r="M263" s="440" t="s">
        <v>8262</v>
      </c>
      <c r="N263" s="464">
        <v>5251.0</v>
      </c>
      <c r="O263" s="464">
        <v>5927.0</v>
      </c>
      <c r="P263" s="6">
        <v>55.0</v>
      </c>
      <c r="Q263" s="31">
        <f t="shared" si="11"/>
        <v>2888.05</v>
      </c>
    </row>
    <row r="264">
      <c r="A264" s="534">
        <v>45385.0</v>
      </c>
      <c r="B264" s="440" t="s">
        <v>2688</v>
      </c>
      <c r="C264" s="440" t="s">
        <v>21</v>
      </c>
      <c r="D264" s="440" t="s">
        <v>7917</v>
      </c>
      <c r="E264" s="440" t="s">
        <v>8927</v>
      </c>
      <c r="F264" s="440"/>
      <c r="G264" s="440"/>
      <c r="H264" s="464">
        <v>35000.0</v>
      </c>
      <c r="I264" s="440" t="s">
        <v>8928</v>
      </c>
      <c r="J264" s="440" t="s">
        <v>8525</v>
      </c>
      <c r="K264" s="440" t="s">
        <v>49</v>
      </c>
      <c r="L264" s="440" t="s">
        <v>3028</v>
      </c>
      <c r="M264" s="440" t="s">
        <v>8262</v>
      </c>
      <c r="N264" s="443">
        <v>46345.0</v>
      </c>
      <c r="O264" s="443">
        <v>52050.0</v>
      </c>
      <c r="P264" s="6">
        <v>23.0</v>
      </c>
      <c r="Q264" s="31">
        <f t="shared" si="11"/>
        <v>10659.35</v>
      </c>
    </row>
    <row r="265">
      <c r="A265" s="534">
        <v>45415.0</v>
      </c>
      <c r="B265" s="440" t="s">
        <v>8929</v>
      </c>
      <c r="C265" s="440" t="s">
        <v>1395</v>
      </c>
      <c r="D265" s="440" t="s">
        <v>1749</v>
      </c>
      <c r="E265" s="440" t="s">
        <v>8930</v>
      </c>
      <c r="F265" s="440">
        <v>9.574355569E9</v>
      </c>
      <c r="G265" s="440"/>
      <c r="H265" s="464">
        <v>2700.0</v>
      </c>
      <c r="I265" s="531">
        <v>45811.0</v>
      </c>
      <c r="J265" s="440" t="s">
        <v>1424</v>
      </c>
      <c r="K265" s="440" t="s">
        <v>49</v>
      </c>
      <c r="L265" s="440" t="s">
        <v>8695</v>
      </c>
      <c r="M265" s="440" t="s">
        <v>8262</v>
      </c>
      <c r="N265" s="464">
        <v>19838.0</v>
      </c>
      <c r="O265" s="464">
        <v>22446.0</v>
      </c>
      <c r="P265" s="6">
        <v>53.0</v>
      </c>
      <c r="Q265" s="31">
        <f t="shared" si="11"/>
        <v>10514.14</v>
      </c>
    </row>
    <row r="266">
      <c r="A266" s="534">
        <v>45415.0</v>
      </c>
      <c r="B266" s="440" t="s">
        <v>8931</v>
      </c>
      <c r="C266" s="440" t="s">
        <v>1395</v>
      </c>
      <c r="D266" s="440" t="s">
        <v>528</v>
      </c>
      <c r="E266" s="440" t="s">
        <v>8932</v>
      </c>
      <c r="F266" s="440" t="s">
        <v>8933</v>
      </c>
      <c r="G266" s="440"/>
      <c r="H266" s="464">
        <v>3425.0</v>
      </c>
      <c r="I266" s="531">
        <v>45841.0</v>
      </c>
      <c r="J266" s="440" t="s">
        <v>116</v>
      </c>
      <c r="K266" s="440" t="s">
        <v>49</v>
      </c>
      <c r="L266" s="440" t="s">
        <v>1456</v>
      </c>
      <c r="M266" s="440" t="s">
        <v>8262</v>
      </c>
      <c r="N266" s="443">
        <v>21882.0</v>
      </c>
      <c r="O266" s="443">
        <v>24849.0</v>
      </c>
      <c r="P266" s="6">
        <v>52.0</v>
      </c>
      <c r="Q266" s="31">
        <f t="shared" si="11"/>
        <v>11378.64</v>
      </c>
    </row>
    <row r="267">
      <c r="A267" s="534">
        <v>45415.0</v>
      </c>
      <c r="B267" s="440" t="s">
        <v>8934</v>
      </c>
      <c r="C267" s="440" t="s">
        <v>1432</v>
      </c>
      <c r="D267" s="440" t="s">
        <v>8514</v>
      </c>
      <c r="E267" s="440" t="s">
        <v>8935</v>
      </c>
      <c r="F267" s="440"/>
      <c r="G267" s="440"/>
      <c r="H267" s="440"/>
      <c r="I267" s="531">
        <v>45750.0</v>
      </c>
      <c r="J267" s="440" t="s">
        <v>78</v>
      </c>
      <c r="K267" s="440" t="s">
        <v>49</v>
      </c>
      <c r="L267" s="440" t="s">
        <v>27</v>
      </c>
      <c r="M267" s="440" t="s">
        <v>8262</v>
      </c>
      <c r="N267" s="464">
        <v>6360.0</v>
      </c>
      <c r="O267" s="464">
        <v>7505.0</v>
      </c>
      <c r="P267" s="6">
        <v>55.0</v>
      </c>
      <c r="Q267" s="31">
        <f t="shared" si="11"/>
        <v>3498</v>
      </c>
    </row>
    <row r="268">
      <c r="A268" s="534">
        <v>45415.0</v>
      </c>
      <c r="B268" s="440" t="s">
        <v>8936</v>
      </c>
      <c r="C268" s="440" t="s">
        <v>1405</v>
      </c>
      <c r="D268" s="440" t="s">
        <v>8937</v>
      </c>
      <c r="E268" s="440" t="s">
        <v>8938</v>
      </c>
      <c r="F268" s="440" t="s">
        <v>8939</v>
      </c>
      <c r="G268" s="440"/>
      <c r="H268" s="440"/>
      <c r="I268" s="531">
        <v>45719.0</v>
      </c>
      <c r="J268" s="440" t="s">
        <v>8940</v>
      </c>
      <c r="K268" s="440" t="s">
        <v>26</v>
      </c>
      <c r="L268" s="440" t="s">
        <v>27</v>
      </c>
      <c r="M268" s="440" t="s">
        <v>8262</v>
      </c>
      <c r="N268" s="443">
        <v>24370.0</v>
      </c>
      <c r="O268" s="443">
        <v>28756.0</v>
      </c>
      <c r="P268" s="6">
        <v>13.0</v>
      </c>
      <c r="Q268" s="31">
        <f t="shared" si="11"/>
        <v>3168.1</v>
      </c>
    </row>
    <row r="269">
      <c r="A269" s="534">
        <v>45415.0</v>
      </c>
      <c r="B269" s="440" t="s">
        <v>8941</v>
      </c>
      <c r="C269" s="440" t="s">
        <v>1395</v>
      </c>
      <c r="D269" s="440" t="s">
        <v>262</v>
      </c>
      <c r="E269" s="440" t="s">
        <v>8942</v>
      </c>
      <c r="F269" s="440"/>
      <c r="G269" s="440"/>
      <c r="H269" s="464">
        <v>1600.0</v>
      </c>
      <c r="I269" s="531">
        <v>45811.0</v>
      </c>
      <c r="J269" s="440" t="s">
        <v>116</v>
      </c>
      <c r="K269" s="440" t="s">
        <v>49</v>
      </c>
      <c r="L269" s="440" t="s">
        <v>3028</v>
      </c>
      <c r="M269" s="440" t="s">
        <v>8262</v>
      </c>
      <c r="N269" s="443">
        <v>20184.0</v>
      </c>
      <c r="O269" s="443">
        <v>22850.0</v>
      </c>
      <c r="P269" s="6">
        <v>52.0</v>
      </c>
      <c r="Q269" s="31">
        <f t="shared" si="11"/>
        <v>10495.68</v>
      </c>
    </row>
    <row r="270">
      <c r="A270" s="534">
        <v>45446.0</v>
      </c>
      <c r="B270" s="440" t="s">
        <v>2803</v>
      </c>
      <c r="C270" s="440" t="s">
        <v>21</v>
      </c>
      <c r="D270" s="440" t="s">
        <v>8943</v>
      </c>
      <c r="E270" s="440" t="s">
        <v>8944</v>
      </c>
      <c r="F270" s="440" t="s">
        <v>8945</v>
      </c>
      <c r="G270" s="440"/>
      <c r="H270" s="464">
        <v>17750.0</v>
      </c>
      <c r="I270" s="531">
        <v>45780.0</v>
      </c>
      <c r="J270" s="440" t="s">
        <v>78</v>
      </c>
      <c r="K270" s="440" t="s">
        <v>49</v>
      </c>
      <c r="L270" s="440" t="s">
        <v>27</v>
      </c>
      <c r="M270" s="440" t="s">
        <v>8262</v>
      </c>
      <c r="N270" s="464">
        <v>60418.0</v>
      </c>
      <c r="O270" s="464">
        <v>69175.0</v>
      </c>
      <c r="P270" s="6">
        <v>27.0</v>
      </c>
      <c r="Q270" s="31">
        <f t="shared" si="11"/>
        <v>16312.86</v>
      </c>
    </row>
    <row r="271">
      <c r="A271" s="534">
        <v>45446.0</v>
      </c>
      <c r="B271" s="440" t="s">
        <v>2918</v>
      </c>
      <c r="C271" s="440" t="s">
        <v>21</v>
      </c>
      <c r="D271" s="440" t="s">
        <v>8623</v>
      </c>
      <c r="E271" s="440" t="s">
        <v>8946</v>
      </c>
      <c r="F271" s="440" t="s">
        <v>4519</v>
      </c>
      <c r="G271" s="440"/>
      <c r="H271" s="464">
        <v>17750.0</v>
      </c>
      <c r="I271" s="531">
        <v>45780.0</v>
      </c>
      <c r="J271" s="440" t="s">
        <v>78</v>
      </c>
      <c r="K271" s="440" t="s">
        <v>49</v>
      </c>
      <c r="L271" s="440" t="s">
        <v>27</v>
      </c>
      <c r="M271" s="440" t="s">
        <v>8262</v>
      </c>
      <c r="N271" s="464">
        <v>57692.0</v>
      </c>
      <c r="O271" s="464">
        <v>65958.0</v>
      </c>
      <c r="P271" s="6">
        <v>27.0</v>
      </c>
      <c r="Q271" s="31">
        <f t="shared" si="11"/>
        <v>15576.84</v>
      </c>
    </row>
    <row r="272">
      <c r="A272" s="534">
        <v>45446.0</v>
      </c>
      <c r="B272" s="440" t="s">
        <v>8947</v>
      </c>
      <c r="C272" s="440" t="s">
        <v>1395</v>
      </c>
      <c r="D272" s="440" t="s">
        <v>528</v>
      </c>
      <c r="E272" s="440" t="s">
        <v>8948</v>
      </c>
      <c r="F272" s="440" t="s">
        <v>8949</v>
      </c>
      <c r="G272" s="440"/>
      <c r="H272" s="464">
        <v>2745.0</v>
      </c>
      <c r="I272" s="531">
        <v>45841.0</v>
      </c>
      <c r="J272" s="440" t="s">
        <v>116</v>
      </c>
      <c r="K272" s="440" t="s">
        <v>49</v>
      </c>
      <c r="L272" s="440" t="s">
        <v>1456</v>
      </c>
      <c r="M272" s="440" t="s">
        <v>8262</v>
      </c>
      <c r="N272" s="443">
        <v>21799.0</v>
      </c>
      <c r="O272" s="465">
        <v>24753.0</v>
      </c>
      <c r="P272" s="6">
        <v>52.0</v>
      </c>
      <c r="Q272" s="31">
        <f t="shared" si="11"/>
        <v>11335.48</v>
      </c>
    </row>
    <row r="273">
      <c r="A273" s="534">
        <v>45446.0</v>
      </c>
      <c r="B273" s="440" t="s">
        <v>2713</v>
      </c>
      <c r="C273" s="440" t="s">
        <v>21</v>
      </c>
      <c r="D273" s="440" t="s">
        <v>8479</v>
      </c>
      <c r="E273" s="440" t="s">
        <v>8950</v>
      </c>
      <c r="F273" s="440"/>
      <c r="G273" s="440"/>
      <c r="H273" s="464">
        <v>35000.0</v>
      </c>
      <c r="I273" s="531">
        <v>45811.0</v>
      </c>
      <c r="J273" s="440" t="s">
        <v>78</v>
      </c>
      <c r="K273" s="440" t="s">
        <v>49</v>
      </c>
      <c r="L273" s="440" t="s">
        <v>71</v>
      </c>
      <c r="M273" s="440" t="s">
        <v>8262</v>
      </c>
      <c r="N273" s="464">
        <v>71402.0</v>
      </c>
      <c r="O273" s="464">
        <v>81617.0</v>
      </c>
      <c r="P273" s="6">
        <v>27.0</v>
      </c>
      <c r="Q273" s="31">
        <f t="shared" si="11"/>
        <v>19278.54</v>
      </c>
    </row>
    <row r="274">
      <c r="A274" s="534">
        <v>45446.0</v>
      </c>
      <c r="B274" s="440" t="s">
        <v>8951</v>
      </c>
      <c r="C274" s="440" t="s">
        <v>1395</v>
      </c>
      <c r="D274" s="440" t="s">
        <v>528</v>
      </c>
      <c r="E274" s="440" t="s">
        <v>8952</v>
      </c>
      <c r="F274" s="440" t="s">
        <v>8953</v>
      </c>
      <c r="G274" s="440"/>
      <c r="H274" s="464">
        <v>2995.0</v>
      </c>
      <c r="I274" s="531">
        <v>45841.0</v>
      </c>
      <c r="J274" s="440" t="s">
        <v>116</v>
      </c>
      <c r="K274" s="440" t="s">
        <v>49</v>
      </c>
      <c r="L274" s="440" t="s">
        <v>1456</v>
      </c>
      <c r="M274" s="440" t="s">
        <v>8262</v>
      </c>
      <c r="N274" s="443">
        <v>21799.0</v>
      </c>
      <c r="O274" s="465">
        <v>24753.0</v>
      </c>
      <c r="P274" s="6">
        <v>52.0</v>
      </c>
      <c r="Q274" s="31">
        <f t="shared" si="11"/>
        <v>11335.48</v>
      </c>
    </row>
    <row r="275">
      <c r="A275" s="534">
        <v>45446.0</v>
      </c>
      <c r="B275" s="440" t="s">
        <v>3488</v>
      </c>
      <c r="C275" s="440" t="s">
        <v>533</v>
      </c>
      <c r="D275" s="440" t="s">
        <v>8954</v>
      </c>
      <c r="E275" s="440" t="s">
        <v>8955</v>
      </c>
      <c r="F275" s="440"/>
      <c r="G275" s="440"/>
      <c r="H275" s="440"/>
      <c r="I275" s="531">
        <v>45780.0</v>
      </c>
      <c r="J275" s="440" t="s">
        <v>116</v>
      </c>
      <c r="K275" s="440" t="s">
        <v>49</v>
      </c>
      <c r="L275" s="440" t="s">
        <v>27</v>
      </c>
      <c r="M275" s="440" t="s">
        <v>8262</v>
      </c>
      <c r="N275" s="443">
        <v>15633.0</v>
      </c>
      <c r="O275" s="465">
        <v>18450.0</v>
      </c>
      <c r="P275" s="6">
        <v>27.0</v>
      </c>
      <c r="Q275" s="31">
        <f t="shared" si="11"/>
        <v>4220.91</v>
      </c>
    </row>
    <row r="276">
      <c r="A276" s="534">
        <v>45446.0</v>
      </c>
      <c r="B276" s="440" t="s">
        <v>8956</v>
      </c>
      <c r="C276" s="440" t="s">
        <v>1432</v>
      </c>
      <c r="D276" s="440" t="s">
        <v>8514</v>
      </c>
      <c r="E276" s="440" t="s">
        <v>8957</v>
      </c>
      <c r="F276" s="440"/>
      <c r="G276" s="440"/>
      <c r="H276" s="440"/>
      <c r="I276" s="531">
        <v>45811.0</v>
      </c>
      <c r="J276" s="440" t="s">
        <v>78</v>
      </c>
      <c r="K276" s="440" t="s">
        <v>49</v>
      </c>
      <c r="L276" s="440" t="s">
        <v>27</v>
      </c>
      <c r="M276" s="440" t="s">
        <v>8262</v>
      </c>
      <c r="N276" s="464">
        <v>6402.0</v>
      </c>
      <c r="O276" s="464">
        <v>7554.0</v>
      </c>
      <c r="P276" s="6">
        <v>55.0</v>
      </c>
      <c r="Q276" s="31">
        <f t="shared" si="11"/>
        <v>3521.1</v>
      </c>
    </row>
    <row r="277">
      <c r="A277" s="534">
        <v>45476.0</v>
      </c>
      <c r="B277" s="440" t="s">
        <v>8958</v>
      </c>
      <c r="C277" s="440" t="s">
        <v>1395</v>
      </c>
      <c r="D277" s="440" t="s">
        <v>528</v>
      </c>
      <c r="E277" s="440" t="s">
        <v>8959</v>
      </c>
      <c r="F277" s="440"/>
      <c r="G277" s="440"/>
      <c r="H277" s="464">
        <v>2700.0</v>
      </c>
      <c r="I277" s="531">
        <v>45780.0</v>
      </c>
      <c r="J277" s="440" t="s">
        <v>116</v>
      </c>
      <c r="K277" s="440" t="s">
        <v>49</v>
      </c>
      <c r="L277" s="440" t="s">
        <v>27</v>
      </c>
      <c r="M277" s="440" t="s">
        <v>8262</v>
      </c>
      <c r="N277" s="443">
        <v>20748.0</v>
      </c>
      <c r="O277" s="443">
        <v>23514.0</v>
      </c>
      <c r="P277" s="6">
        <v>52.0</v>
      </c>
      <c r="Q277" s="31">
        <f t="shared" si="11"/>
        <v>10788.96</v>
      </c>
    </row>
    <row r="278">
      <c r="A278" s="534">
        <v>45476.0</v>
      </c>
      <c r="B278" s="440" t="s">
        <v>8960</v>
      </c>
      <c r="C278" s="440" t="s">
        <v>1395</v>
      </c>
      <c r="D278" s="440" t="s">
        <v>8820</v>
      </c>
      <c r="E278" s="440" t="s">
        <v>8961</v>
      </c>
      <c r="F278" s="440" t="s">
        <v>8962</v>
      </c>
      <c r="G278" s="440"/>
      <c r="H278" s="464">
        <v>1620.0</v>
      </c>
      <c r="I278" s="531">
        <v>45841.0</v>
      </c>
      <c r="J278" s="440" t="s">
        <v>1424</v>
      </c>
      <c r="K278" s="440" t="s">
        <v>49</v>
      </c>
      <c r="L278" s="440" t="s">
        <v>1456</v>
      </c>
      <c r="M278" s="440" t="s">
        <v>8262</v>
      </c>
      <c r="N278" s="464">
        <v>18631.0</v>
      </c>
      <c r="O278" s="464">
        <v>21021.0</v>
      </c>
      <c r="P278" s="6">
        <v>53.0</v>
      </c>
      <c r="Q278" s="31">
        <f t="shared" si="11"/>
        <v>9874.43</v>
      </c>
    </row>
    <row r="279">
      <c r="A279" s="534">
        <v>45476.0</v>
      </c>
      <c r="B279" s="440" t="s">
        <v>1037</v>
      </c>
      <c r="C279" s="440" t="s">
        <v>1395</v>
      </c>
      <c r="D279" s="440" t="s">
        <v>528</v>
      </c>
      <c r="E279" s="440" t="s">
        <v>1039</v>
      </c>
      <c r="F279" s="440" t="s">
        <v>8963</v>
      </c>
      <c r="G279" s="440"/>
      <c r="H279" s="464">
        <v>3425.0</v>
      </c>
      <c r="I279" s="531">
        <v>45872.0</v>
      </c>
      <c r="J279" s="440" t="s">
        <v>116</v>
      </c>
      <c r="K279" s="440" t="s">
        <v>49</v>
      </c>
      <c r="L279" s="440" t="s">
        <v>1436</v>
      </c>
      <c r="M279" s="440" t="s">
        <v>8262</v>
      </c>
      <c r="N279" s="443">
        <v>21229.0</v>
      </c>
      <c r="O279" s="443">
        <v>24080.0</v>
      </c>
      <c r="P279" s="6">
        <v>52.0</v>
      </c>
      <c r="Q279" s="31">
        <f t="shared" si="11"/>
        <v>11039.08</v>
      </c>
    </row>
    <row r="280">
      <c r="A280" s="534">
        <v>45507.0</v>
      </c>
      <c r="B280" s="440" t="s">
        <v>8716</v>
      </c>
      <c r="C280" s="440" t="s">
        <v>21</v>
      </c>
      <c r="D280" s="440" t="s">
        <v>8504</v>
      </c>
      <c r="E280" s="440" t="s">
        <v>8717</v>
      </c>
      <c r="F280" s="440" t="s">
        <v>8964</v>
      </c>
      <c r="G280" s="440"/>
      <c r="H280" s="464">
        <v>42000.0</v>
      </c>
      <c r="I280" s="531">
        <v>45811.0</v>
      </c>
      <c r="J280" s="440" t="s">
        <v>8525</v>
      </c>
      <c r="K280" s="440" t="s">
        <v>49</v>
      </c>
      <c r="L280" s="440" t="s">
        <v>27</v>
      </c>
      <c r="M280" s="440" t="s">
        <v>8262</v>
      </c>
      <c r="N280" s="465">
        <v>47385.0</v>
      </c>
      <c r="O280" s="465">
        <v>53260.0</v>
      </c>
      <c r="P280" s="6">
        <v>26.0</v>
      </c>
      <c r="Q280" s="31">
        <f t="shared" si="11"/>
        <v>12320.1</v>
      </c>
    </row>
    <row r="281">
      <c r="A281" s="534">
        <v>45507.0</v>
      </c>
      <c r="B281" s="440" t="s">
        <v>8965</v>
      </c>
      <c r="C281" s="440" t="s">
        <v>1395</v>
      </c>
      <c r="D281" s="440" t="s">
        <v>528</v>
      </c>
      <c r="E281" s="440" t="s">
        <v>8966</v>
      </c>
      <c r="F281" s="440" t="s">
        <v>8967</v>
      </c>
      <c r="G281" s="440"/>
      <c r="H281" s="464">
        <v>2670.0</v>
      </c>
      <c r="I281" s="531">
        <v>45811.0</v>
      </c>
      <c r="J281" s="440" t="s">
        <v>116</v>
      </c>
      <c r="K281" s="440" t="s">
        <v>49</v>
      </c>
      <c r="L281" s="440" t="s">
        <v>8968</v>
      </c>
      <c r="M281" s="440" t="s">
        <v>8262</v>
      </c>
      <c r="N281" s="465">
        <v>17261.0</v>
      </c>
      <c r="O281" s="465">
        <v>19401.0</v>
      </c>
      <c r="P281" s="6">
        <v>52.0</v>
      </c>
      <c r="Q281" s="31">
        <f t="shared" si="11"/>
        <v>8975.72</v>
      </c>
    </row>
    <row r="282">
      <c r="A282" s="534">
        <v>45507.0</v>
      </c>
      <c r="B282" s="440" t="s">
        <v>8969</v>
      </c>
      <c r="C282" s="440" t="s">
        <v>21</v>
      </c>
      <c r="D282" s="440" t="s">
        <v>8970</v>
      </c>
      <c r="E282" s="440" t="s">
        <v>8971</v>
      </c>
      <c r="F282" s="440"/>
      <c r="G282" s="440"/>
      <c r="H282" s="464">
        <v>5300.0</v>
      </c>
      <c r="I282" s="531">
        <v>45841.0</v>
      </c>
      <c r="J282" s="440" t="s">
        <v>25</v>
      </c>
      <c r="K282" s="440" t="s">
        <v>26</v>
      </c>
      <c r="L282" s="440" t="s">
        <v>27</v>
      </c>
      <c r="M282" s="440" t="s">
        <v>8262</v>
      </c>
      <c r="N282" s="464">
        <v>16199.0</v>
      </c>
      <c r="O282" s="464">
        <v>18152.0</v>
      </c>
      <c r="P282" s="6">
        <v>37.0</v>
      </c>
      <c r="Q282" s="31">
        <f t="shared" si="11"/>
        <v>5993.63</v>
      </c>
    </row>
    <row r="283">
      <c r="A283" s="534">
        <v>45507.0</v>
      </c>
      <c r="B283" s="440" t="s">
        <v>2780</v>
      </c>
      <c r="C283" s="440" t="s">
        <v>21</v>
      </c>
      <c r="D283" s="440" t="s">
        <v>8972</v>
      </c>
      <c r="E283" s="440" t="s">
        <v>8973</v>
      </c>
      <c r="F283" s="440" t="s">
        <v>8974</v>
      </c>
      <c r="G283" s="440"/>
      <c r="H283" s="464">
        <v>35000.0</v>
      </c>
      <c r="I283" s="531">
        <v>45872.0</v>
      </c>
      <c r="J283" s="440" t="s">
        <v>8525</v>
      </c>
      <c r="K283" s="440" t="s">
        <v>49</v>
      </c>
      <c r="L283" s="440" t="s">
        <v>8968</v>
      </c>
      <c r="M283" s="440" t="s">
        <v>8262</v>
      </c>
      <c r="N283" s="443">
        <v>45657.0</v>
      </c>
      <c r="O283" s="443">
        <v>51238.0</v>
      </c>
      <c r="P283" s="6">
        <v>23.0</v>
      </c>
      <c r="Q283" s="31">
        <f t="shared" si="11"/>
        <v>10501.11</v>
      </c>
    </row>
    <row r="284">
      <c r="A284" s="534">
        <v>45507.0</v>
      </c>
      <c r="B284" s="440" t="s">
        <v>2784</v>
      </c>
      <c r="C284" s="440" t="s">
        <v>21</v>
      </c>
      <c r="D284" s="440" t="s">
        <v>7917</v>
      </c>
      <c r="E284" s="440" t="s">
        <v>8975</v>
      </c>
      <c r="F284" s="440" t="s">
        <v>8976</v>
      </c>
      <c r="G284" s="440"/>
      <c r="H284" s="464">
        <v>35000.0</v>
      </c>
      <c r="I284" s="531">
        <v>45903.0</v>
      </c>
      <c r="J284" s="440" t="s">
        <v>8525</v>
      </c>
      <c r="K284" s="440" t="s">
        <v>49</v>
      </c>
      <c r="L284" s="440" t="s">
        <v>8968</v>
      </c>
      <c r="M284" s="440" t="s">
        <v>8262</v>
      </c>
      <c r="N284" s="443">
        <v>47930.0</v>
      </c>
      <c r="O284" s="443">
        <v>53920.0</v>
      </c>
      <c r="P284" s="6">
        <v>23.0</v>
      </c>
      <c r="Q284" s="31">
        <f t="shared" si="11"/>
        <v>11023.9</v>
      </c>
    </row>
    <row r="285">
      <c r="A285" s="534">
        <v>45538.0</v>
      </c>
      <c r="B285" s="440" t="s">
        <v>8977</v>
      </c>
      <c r="C285" s="440" t="s">
        <v>1395</v>
      </c>
      <c r="D285" s="440" t="s">
        <v>528</v>
      </c>
      <c r="E285" s="440" t="s">
        <v>8978</v>
      </c>
      <c r="F285" s="440"/>
      <c r="G285" s="440"/>
      <c r="H285" s="464">
        <v>2700.0</v>
      </c>
      <c r="I285" s="531">
        <v>45872.0</v>
      </c>
      <c r="J285" s="440" t="s">
        <v>1424</v>
      </c>
      <c r="K285" s="440" t="s">
        <v>49</v>
      </c>
      <c r="L285" s="440" t="s">
        <v>8968</v>
      </c>
      <c r="M285" s="440" t="s">
        <v>8262</v>
      </c>
      <c r="N285" s="464">
        <v>17380.0</v>
      </c>
      <c r="O285" s="464">
        <v>19546.0</v>
      </c>
      <c r="P285" s="6">
        <v>53.0</v>
      </c>
      <c r="Q285" s="31">
        <f t="shared" si="11"/>
        <v>9211.4</v>
      </c>
    </row>
    <row r="286">
      <c r="A286" s="534">
        <v>45538.0</v>
      </c>
      <c r="B286" s="440" t="s">
        <v>2787</v>
      </c>
      <c r="C286" s="440" t="s">
        <v>1395</v>
      </c>
      <c r="D286" s="440" t="s">
        <v>528</v>
      </c>
      <c r="E286" s="440" t="s">
        <v>8979</v>
      </c>
      <c r="F286" s="440"/>
      <c r="G286" s="440"/>
      <c r="H286" s="464">
        <v>2700.0</v>
      </c>
      <c r="I286" s="531">
        <v>45903.0</v>
      </c>
      <c r="J286" s="440" t="s">
        <v>1424</v>
      </c>
      <c r="K286" s="440" t="s">
        <v>49</v>
      </c>
      <c r="L286" s="440" t="s">
        <v>8968</v>
      </c>
      <c r="M286" s="440" t="s">
        <v>8262</v>
      </c>
      <c r="N286" s="464">
        <v>19946.0</v>
      </c>
      <c r="O286" s="464">
        <v>22574.0</v>
      </c>
      <c r="P286" s="6">
        <v>53.0</v>
      </c>
      <c r="Q286" s="31">
        <f t="shared" si="11"/>
        <v>10571.38</v>
      </c>
    </row>
    <row r="287">
      <c r="A287" s="534">
        <v>45538.0</v>
      </c>
      <c r="B287" s="440" t="s">
        <v>2882</v>
      </c>
      <c r="C287" s="440" t="s">
        <v>21</v>
      </c>
      <c r="D287" s="440" t="s">
        <v>7867</v>
      </c>
      <c r="E287" s="440" t="s">
        <v>2656</v>
      </c>
      <c r="F287" s="440"/>
      <c r="G287" s="440"/>
      <c r="H287" s="464">
        <v>11990.0</v>
      </c>
      <c r="I287" s="531">
        <v>45933.0</v>
      </c>
      <c r="J287" s="440" t="s">
        <v>25</v>
      </c>
      <c r="K287" s="440" t="s">
        <v>49</v>
      </c>
      <c r="L287" s="440" t="s">
        <v>8968</v>
      </c>
      <c r="M287" s="440" t="s">
        <v>8262</v>
      </c>
      <c r="N287" s="465">
        <v>30461.0</v>
      </c>
      <c r="O287" s="465">
        <v>34313.0</v>
      </c>
      <c r="P287" s="6">
        <v>27.0</v>
      </c>
      <c r="Q287" s="31">
        <f t="shared" si="11"/>
        <v>8224.47</v>
      </c>
    </row>
    <row r="288">
      <c r="A288" s="534">
        <v>45538.0</v>
      </c>
      <c r="B288" s="440" t="s">
        <v>2807</v>
      </c>
      <c r="C288" s="440" t="s">
        <v>21</v>
      </c>
      <c r="D288" s="440" t="s">
        <v>7867</v>
      </c>
      <c r="E288" s="440" t="s">
        <v>2656</v>
      </c>
      <c r="F288" s="440"/>
      <c r="G288" s="440"/>
      <c r="H288" s="464">
        <v>11990.0</v>
      </c>
      <c r="I288" s="531">
        <v>45933.0</v>
      </c>
      <c r="J288" s="440" t="s">
        <v>25</v>
      </c>
      <c r="K288" s="440" t="s">
        <v>49</v>
      </c>
      <c r="L288" s="440" t="s">
        <v>8968</v>
      </c>
      <c r="M288" s="440" t="s">
        <v>8262</v>
      </c>
      <c r="N288" s="443">
        <v>29667.0</v>
      </c>
      <c r="O288" s="443">
        <v>33376.0</v>
      </c>
      <c r="P288" s="6">
        <v>27.0</v>
      </c>
      <c r="Q288" s="31">
        <f t="shared" si="11"/>
        <v>8010.09</v>
      </c>
    </row>
    <row r="289">
      <c r="A289" s="534">
        <v>45538.0</v>
      </c>
      <c r="B289" s="440" t="s">
        <v>7027</v>
      </c>
      <c r="C289" s="440" t="s">
        <v>6650</v>
      </c>
      <c r="D289" s="440" t="s">
        <v>8514</v>
      </c>
      <c r="E289" s="440" t="s">
        <v>8980</v>
      </c>
      <c r="F289" s="440"/>
      <c r="G289" s="440"/>
      <c r="H289" s="440"/>
      <c r="I289" s="531">
        <v>45903.0</v>
      </c>
      <c r="J289" s="440" t="s">
        <v>78</v>
      </c>
      <c r="K289" s="440" t="s">
        <v>49</v>
      </c>
      <c r="L289" s="440" t="s">
        <v>27</v>
      </c>
      <c r="M289" s="440" t="s">
        <v>8262</v>
      </c>
      <c r="N289" s="464">
        <v>6316.0</v>
      </c>
      <c r="O289" s="464">
        <v>7453.0</v>
      </c>
      <c r="P289" s="6">
        <v>55.0</v>
      </c>
      <c r="Q289" s="31">
        <f t="shared" si="11"/>
        <v>3473.8</v>
      </c>
    </row>
    <row r="290">
      <c r="A290" s="534">
        <v>45538.0</v>
      </c>
      <c r="B290" s="440" t="s">
        <v>8981</v>
      </c>
      <c r="C290" s="440" t="s">
        <v>1432</v>
      </c>
      <c r="D290" s="440" t="s">
        <v>8514</v>
      </c>
      <c r="E290" s="440" t="s">
        <v>8982</v>
      </c>
      <c r="F290" s="440"/>
      <c r="G290" s="440"/>
      <c r="H290" s="440"/>
      <c r="I290" s="531">
        <v>45903.0</v>
      </c>
      <c r="J290" s="440" t="s">
        <v>78</v>
      </c>
      <c r="K290" s="440" t="s">
        <v>49</v>
      </c>
      <c r="L290" s="440" t="s">
        <v>1616</v>
      </c>
      <c r="M290" s="440" t="s">
        <v>8262</v>
      </c>
      <c r="N290" s="464">
        <v>6688.0</v>
      </c>
      <c r="O290" s="464">
        <v>7892.0</v>
      </c>
      <c r="P290" s="6">
        <v>55.0</v>
      </c>
      <c r="Q290" s="31">
        <f t="shared" si="11"/>
        <v>3678.4</v>
      </c>
    </row>
    <row r="291">
      <c r="A291" s="534">
        <v>45538.0</v>
      </c>
      <c r="B291" s="440" t="s">
        <v>2800</v>
      </c>
      <c r="C291" s="440" t="s">
        <v>21</v>
      </c>
      <c r="D291" s="440" t="s">
        <v>8983</v>
      </c>
      <c r="E291" s="440" t="s">
        <v>999</v>
      </c>
      <c r="F291" s="440"/>
      <c r="G291" s="440"/>
      <c r="H291" s="464">
        <v>16020.0</v>
      </c>
      <c r="I291" s="442">
        <v>45903.0</v>
      </c>
      <c r="J291" s="440" t="s">
        <v>78</v>
      </c>
      <c r="K291" s="440" t="s">
        <v>49</v>
      </c>
      <c r="L291" s="440" t="s">
        <v>8968</v>
      </c>
      <c r="M291" s="440" t="s">
        <v>8262</v>
      </c>
      <c r="N291" s="464">
        <v>56181.0</v>
      </c>
      <c r="O291" s="464">
        <v>64175.0</v>
      </c>
      <c r="P291" s="6">
        <v>27.0</v>
      </c>
      <c r="Q291" s="31">
        <f t="shared" si="11"/>
        <v>15168.87</v>
      </c>
    </row>
    <row r="292">
      <c r="A292" s="534">
        <v>45538.0</v>
      </c>
      <c r="B292" s="440" t="s">
        <v>8984</v>
      </c>
      <c r="C292" s="440" t="s">
        <v>1395</v>
      </c>
      <c r="D292" s="440" t="s">
        <v>528</v>
      </c>
      <c r="E292" s="440" t="s">
        <v>8985</v>
      </c>
      <c r="F292" s="440"/>
      <c r="G292" s="440"/>
      <c r="H292" s="464">
        <v>2960.0</v>
      </c>
      <c r="I292" s="442">
        <v>45872.0</v>
      </c>
      <c r="J292" s="440" t="s">
        <v>116</v>
      </c>
      <c r="K292" s="440" t="s">
        <v>49</v>
      </c>
      <c r="L292" s="440" t="s">
        <v>8968</v>
      </c>
      <c r="M292" s="440" t="s">
        <v>8262</v>
      </c>
      <c r="N292" s="443">
        <v>18126.0</v>
      </c>
      <c r="O292" s="443">
        <v>20420.0</v>
      </c>
      <c r="P292" s="6">
        <v>52.0</v>
      </c>
      <c r="Q292" s="31">
        <f t="shared" si="11"/>
        <v>9425.52</v>
      </c>
    </row>
    <row r="293">
      <c r="A293" s="534">
        <v>45538.0</v>
      </c>
      <c r="B293" s="440" t="s">
        <v>8986</v>
      </c>
      <c r="C293" s="440" t="s">
        <v>1395</v>
      </c>
      <c r="D293" s="440" t="s">
        <v>528</v>
      </c>
      <c r="E293" s="440" t="s">
        <v>8987</v>
      </c>
      <c r="F293" s="440"/>
      <c r="G293" s="440"/>
      <c r="H293" s="440" t="s">
        <v>8988</v>
      </c>
      <c r="I293" s="442">
        <v>45933.0</v>
      </c>
      <c r="J293" s="440" t="s">
        <v>116</v>
      </c>
      <c r="K293" s="440" t="s">
        <v>49</v>
      </c>
      <c r="L293" s="440" t="s">
        <v>8968</v>
      </c>
      <c r="M293" s="440" t="s">
        <v>8262</v>
      </c>
      <c r="N293" s="443">
        <v>17526.0</v>
      </c>
      <c r="O293" s="443">
        <v>19711.0</v>
      </c>
      <c r="P293" s="6">
        <v>52.0</v>
      </c>
      <c r="Q293" s="31">
        <f t="shared" si="11"/>
        <v>9113.52</v>
      </c>
    </row>
    <row r="294">
      <c r="A294" s="534">
        <v>45538.0</v>
      </c>
      <c r="B294" s="440" t="s">
        <v>2724</v>
      </c>
      <c r="C294" s="440" t="s">
        <v>21</v>
      </c>
      <c r="D294" s="440" t="s">
        <v>8613</v>
      </c>
      <c r="E294" s="440" t="s">
        <v>8989</v>
      </c>
      <c r="F294" s="440"/>
      <c r="G294" s="440"/>
      <c r="H294" s="464">
        <v>12990.0</v>
      </c>
      <c r="I294" s="442">
        <v>45811.0</v>
      </c>
      <c r="J294" s="440" t="s">
        <v>78</v>
      </c>
      <c r="K294" s="440" t="s">
        <v>49</v>
      </c>
      <c r="L294" s="440" t="s">
        <v>27</v>
      </c>
      <c r="M294" s="440" t="s">
        <v>8262</v>
      </c>
      <c r="N294" s="443">
        <v>38597.0</v>
      </c>
      <c r="O294" s="443">
        <v>43426.0</v>
      </c>
      <c r="P294" s="6">
        <v>27.0</v>
      </c>
      <c r="Q294" s="31">
        <f t="shared" si="11"/>
        <v>10421.19</v>
      </c>
    </row>
    <row r="295">
      <c r="A295" s="87">
        <v>45538.0</v>
      </c>
      <c r="B295" s="8" t="s">
        <v>2730</v>
      </c>
      <c r="C295" s="8" t="s">
        <v>1395</v>
      </c>
      <c r="D295" s="8" t="s">
        <v>2143</v>
      </c>
      <c r="E295" s="8" t="s">
        <v>8990</v>
      </c>
      <c r="F295" s="8"/>
      <c r="G295" s="8"/>
      <c r="H295" s="21">
        <v>3490.0</v>
      </c>
      <c r="I295" s="22">
        <v>45964.0</v>
      </c>
      <c r="J295" s="8" t="s">
        <v>116</v>
      </c>
      <c r="K295" s="8" t="s">
        <v>49</v>
      </c>
      <c r="L295" s="8" t="s">
        <v>8968</v>
      </c>
      <c r="M295" s="8" t="s">
        <v>8262</v>
      </c>
      <c r="N295" s="96">
        <v>21259.0</v>
      </c>
      <c r="O295" s="96">
        <v>24117.0</v>
      </c>
      <c r="P295" s="5">
        <v>52.0</v>
      </c>
      <c r="Q295" s="31">
        <f t="shared" si="11"/>
        <v>11054.68</v>
      </c>
    </row>
    <row r="296">
      <c r="A296" s="87">
        <v>45568.0</v>
      </c>
      <c r="B296" s="8" t="s">
        <v>7006</v>
      </c>
      <c r="C296" s="8" t="s">
        <v>1395</v>
      </c>
      <c r="D296" s="8" t="s">
        <v>262</v>
      </c>
      <c r="E296" s="8" t="s">
        <v>8991</v>
      </c>
      <c r="F296" s="8"/>
      <c r="G296" s="8"/>
      <c r="H296" s="21">
        <v>1600.0</v>
      </c>
      <c r="I296" s="22">
        <v>45903.0</v>
      </c>
      <c r="J296" s="8" t="s">
        <v>116</v>
      </c>
      <c r="K296" s="8" t="s">
        <v>49</v>
      </c>
      <c r="L296" s="8" t="s">
        <v>8968</v>
      </c>
      <c r="M296" s="8" t="s">
        <v>8262</v>
      </c>
      <c r="N296" s="96">
        <v>18623.0</v>
      </c>
      <c r="O296" s="96">
        <v>21006.0</v>
      </c>
      <c r="P296" s="5">
        <v>52.0</v>
      </c>
      <c r="Q296" s="31">
        <f t="shared" si="11"/>
        <v>9683.96</v>
      </c>
    </row>
    <row r="297">
      <c r="A297" s="87">
        <v>45568.0</v>
      </c>
      <c r="B297" s="8" t="s">
        <v>7010</v>
      </c>
      <c r="C297" s="8" t="s">
        <v>1432</v>
      </c>
      <c r="D297" s="8" t="s">
        <v>8514</v>
      </c>
      <c r="E297" s="8" t="s">
        <v>8992</v>
      </c>
      <c r="F297" s="8"/>
      <c r="G297" s="8"/>
      <c r="H297" s="8"/>
      <c r="I297" s="22">
        <v>45933.0</v>
      </c>
      <c r="J297" s="8" t="s">
        <v>78</v>
      </c>
      <c r="K297" s="8" t="s">
        <v>49</v>
      </c>
      <c r="L297" s="8" t="s">
        <v>8968</v>
      </c>
      <c r="M297" s="8" t="s">
        <v>8262</v>
      </c>
      <c r="N297" s="21">
        <v>6444.0</v>
      </c>
      <c r="O297" s="21">
        <v>7604.0</v>
      </c>
      <c r="P297" s="5">
        <v>55.0</v>
      </c>
      <c r="Q297" s="31">
        <f t="shared" si="11"/>
        <v>3544.2</v>
      </c>
    </row>
    <row r="298">
      <c r="A298" s="201"/>
      <c r="B298" s="58"/>
      <c r="C298" s="58"/>
      <c r="D298" s="58"/>
      <c r="E298" s="58"/>
      <c r="F298" s="58"/>
      <c r="G298" s="58"/>
      <c r="H298" s="88"/>
      <c r="I298" s="60"/>
      <c r="J298" s="58"/>
      <c r="K298" s="58"/>
      <c r="L298" s="58"/>
      <c r="M298" s="58"/>
      <c r="N298" s="90"/>
      <c r="O298" s="90"/>
    </row>
    <row r="299">
      <c r="A299" s="201"/>
      <c r="B299" s="58"/>
      <c r="C299" s="58"/>
      <c r="D299" s="58"/>
      <c r="E299" s="58"/>
      <c r="F299" s="58"/>
      <c r="G299" s="58"/>
      <c r="H299" s="88"/>
      <c r="I299" s="60"/>
      <c r="J299" s="58"/>
      <c r="K299" s="58"/>
      <c r="L299" s="58"/>
      <c r="M299" s="58"/>
      <c r="N299" s="90"/>
      <c r="O299" s="90"/>
    </row>
    <row r="300">
      <c r="A300" s="201"/>
      <c r="B300" s="58"/>
      <c r="C300" s="58"/>
      <c r="D300" s="58"/>
      <c r="E300" s="58"/>
      <c r="F300" s="58"/>
      <c r="G300" s="58"/>
      <c r="H300" s="88"/>
      <c r="I300" s="60"/>
      <c r="J300" s="58"/>
      <c r="K300" s="58"/>
      <c r="L300" s="58"/>
      <c r="M300" s="58"/>
      <c r="N300" s="90"/>
      <c r="O300" s="90"/>
      <c r="Q300" s="296">
        <f>SUM(Q257:Q299)</f>
        <v>390569.16</v>
      </c>
    </row>
    <row r="301">
      <c r="A301" s="201"/>
      <c r="B301" s="58"/>
      <c r="C301" s="58"/>
      <c r="D301" s="58"/>
      <c r="E301" s="58"/>
      <c r="F301" s="58"/>
      <c r="G301" s="58"/>
      <c r="H301" s="88"/>
      <c r="I301" s="60"/>
      <c r="J301" s="58"/>
      <c r="K301" s="58"/>
      <c r="L301" s="58"/>
      <c r="M301" s="58"/>
      <c r="N301" s="90"/>
      <c r="O301" s="90"/>
    </row>
    <row r="302">
      <c r="A302" s="87">
        <v>45599.0</v>
      </c>
      <c r="B302" s="8" t="s">
        <v>8993</v>
      </c>
      <c r="C302" s="8" t="s">
        <v>21</v>
      </c>
      <c r="D302" s="8" t="s">
        <v>8755</v>
      </c>
      <c r="E302" s="8" t="s">
        <v>8994</v>
      </c>
      <c r="F302" s="8" t="s">
        <v>2369</v>
      </c>
      <c r="G302" s="8"/>
      <c r="H302" s="21">
        <v>35000.0</v>
      </c>
      <c r="I302" s="14" t="s">
        <v>8995</v>
      </c>
      <c r="J302" s="8" t="s">
        <v>8525</v>
      </c>
      <c r="K302" s="8" t="s">
        <v>49</v>
      </c>
      <c r="L302" s="8" t="s">
        <v>3028</v>
      </c>
      <c r="M302" s="8" t="s">
        <v>8262</v>
      </c>
      <c r="N302" s="97">
        <v>46032.0</v>
      </c>
      <c r="O302" s="97">
        <v>51681.0</v>
      </c>
      <c r="P302" s="5">
        <v>23.0</v>
      </c>
      <c r="Q302" s="31">
        <f t="shared" ref="Q302:Q339" si="12">N302*P302%</f>
        <v>10587.36</v>
      </c>
    </row>
    <row r="303">
      <c r="A303" s="87">
        <v>45629.0</v>
      </c>
      <c r="B303" s="8" t="s">
        <v>5126</v>
      </c>
      <c r="C303" s="8" t="s">
        <v>1395</v>
      </c>
      <c r="D303" s="8" t="s">
        <v>741</v>
      </c>
      <c r="E303" s="8" t="s">
        <v>5128</v>
      </c>
      <c r="F303" s="8" t="s">
        <v>8996</v>
      </c>
      <c r="G303" s="8"/>
      <c r="H303" s="21">
        <v>3490.0</v>
      </c>
      <c r="I303" s="7" t="s">
        <v>8995</v>
      </c>
      <c r="J303" s="8" t="s">
        <v>116</v>
      </c>
      <c r="K303" s="8" t="s">
        <v>49</v>
      </c>
      <c r="L303" s="8" t="s">
        <v>1456</v>
      </c>
      <c r="M303" s="8" t="s">
        <v>8262</v>
      </c>
      <c r="N303" s="97">
        <v>22236.0</v>
      </c>
      <c r="O303" s="97">
        <v>25268.0</v>
      </c>
      <c r="P303" s="5">
        <v>52.0</v>
      </c>
      <c r="Q303" s="31">
        <f t="shared" si="12"/>
        <v>11562.72</v>
      </c>
    </row>
    <row r="304">
      <c r="A304" s="87">
        <v>45629.0</v>
      </c>
      <c r="B304" s="8" t="s">
        <v>8997</v>
      </c>
      <c r="C304" s="8" t="s">
        <v>1395</v>
      </c>
      <c r="D304" s="8" t="s">
        <v>7909</v>
      </c>
      <c r="E304" s="8" t="s">
        <v>8998</v>
      </c>
      <c r="F304" s="8" t="s">
        <v>8999</v>
      </c>
      <c r="G304" s="8"/>
      <c r="H304" s="21">
        <v>2500.0</v>
      </c>
      <c r="I304" s="7" t="s">
        <v>9000</v>
      </c>
      <c r="J304" s="8" t="s">
        <v>78</v>
      </c>
      <c r="K304" s="8" t="s">
        <v>49</v>
      </c>
      <c r="L304" s="8" t="s">
        <v>71</v>
      </c>
      <c r="M304" s="8" t="s">
        <v>8262</v>
      </c>
      <c r="N304" s="97">
        <v>16970.0</v>
      </c>
      <c r="O304" s="97">
        <v>19062.0</v>
      </c>
      <c r="P304" s="5">
        <v>55.0</v>
      </c>
      <c r="Q304" s="31">
        <f t="shared" si="12"/>
        <v>9333.5</v>
      </c>
    </row>
    <row r="305">
      <c r="A305" s="87">
        <v>45629.0</v>
      </c>
      <c r="B305" s="8" t="s">
        <v>2884</v>
      </c>
      <c r="C305" s="8" t="s">
        <v>21</v>
      </c>
      <c r="D305" s="8" t="s">
        <v>9001</v>
      </c>
      <c r="E305" s="8" t="s">
        <v>9002</v>
      </c>
      <c r="F305" s="8">
        <v>9.727450222E9</v>
      </c>
      <c r="G305" s="8"/>
      <c r="H305" s="21">
        <v>11990.0</v>
      </c>
      <c r="I305" s="14">
        <v>45964.0</v>
      </c>
      <c r="J305" s="8" t="s">
        <v>25</v>
      </c>
      <c r="K305" s="8" t="s">
        <v>49</v>
      </c>
      <c r="L305" s="8" t="s">
        <v>71</v>
      </c>
      <c r="M305" s="8" t="s">
        <v>8262</v>
      </c>
      <c r="N305" s="97">
        <v>29350.0</v>
      </c>
      <c r="O305" s="97">
        <v>33002.0</v>
      </c>
      <c r="P305" s="5">
        <v>27.0</v>
      </c>
      <c r="Q305" s="31">
        <f t="shared" si="12"/>
        <v>7924.5</v>
      </c>
    </row>
    <row r="306">
      <c r="A306" s="87">
        <v>45629.0</v>
      </c>
      <c r="B306" s="8" t="s">
        <v>2855</v>
      </c>
      <c r="C306" s="8" t="s">
        <v>21</v>
      </c>
      <c r="D306" s="8" t="s">
        <v>9003</v>
      </c>
      <c r="E306" s="8" t="s">
        <v>2656</v>
      </c>
      <c r="F306" s="8">
        <v>9.727450222E9</v>
      </c>
      <c r="G306" s="8"/>
      <c r="H306" s="21">
        <v>11990.0</v>
      </c>
      <c r="I306" s="14">
        <v>45994.0</v>
      </c>
      <c r="J306" s="8" t="s">
        <v>25</v>
      </c>
      <c r="K306" s="8" t="s">
        <v>49</v>
      </c>
      <c r="L306" s="8" t="s">
        <v>71</v>
      </c>
      <c r="M306" s="8" t="s">
        <v>8262</v>
      </c>
      <c r="N306" s="97">
        <v>30382.0</v>
      </c>
      <c r="O306" s="97">
        <v>34220.0</v>
      </c>
      <c r="P306" s="5">
        <v>27.0</v>
      </c>
      <c r="Q306" s="31">
        <f t="shared" si="12"/>
        <v>8203.14</v>
      </c>
    </row>
    <row r="307">
      <c r="A307" s="87">
        <v>45629.0</v>
      </c>
      <c r="B307" s="8" t="s">
        <v>2852</v>
      </c>
      <c r="C307" s="8" t="s">
        <v>21</v>
      </c>
      <c r="D307" s="8" t="s">
        <v>9003</v>
      </c>
      <c r="E307" s="8" t="s">
        <v>2656</v>
      </c>
      <c r="F307" s="8">
        <v>9.727450222E9</v>
      </c>
      <c r="G307" s="8"/>
      <c r="H307" s="21">
        <v>11990.0</v>
      </c>
      <c r="I307" s="14">
        <v>45994.0</v>
      </c>
      <c r="J307" s="8" t="s">
        <v>25</v>
      </c>
      <c r="K307" s="8" t="s">
        <v>49</v>
      </c>
      <c r="L307" s="8" t="s">
        <v>71</v>
      </c>
      <c r="M307" s="8" t="s">
        <v>8262</v>
      </c>
      <c r="N307" s="97">
        <v>31455.0</v>
      </c>
      <c r="O307" s="96">
        <v>35486.0</v>
      </c>
      <c r="P307" s="5">
        <v>27.0</v>
      </c>
      <c r="Q307" s="31">
        <f t="shared" si="12"/>
        <v>8492.85</v>
      </c>
    </row>
    <row r="308">
      <c r="A308" s="87" t="s">
        <v>9004</v>
      </c>
      <c r="B308" s="8" t="s">
        <v>9005</v>
      </c>
      <c r="C308" s="8" t="s">
        <v>1395</v>
      </c>
      <c r="D308" s="8" t="s">
        <v>9006</v>
      </c>
      <c r="E308" s="8" t="s">
        <v>9007</v>
      </c>
      <c r="F308" s="8">
        <v>9.925126961E9</v>
      </c>
      <c r="G308" s="8"/>
      <c r="H308" s="21">
        <v>1450.0</v>
      </c>
      <c r="I308" s="14">
        <v>45994.0</v>
      </c>
      <c r="J308" s="8" t="s">
        <v>78</v>
      </c>
      <c r="K308" s="8" t="s">
        <v>49</v>
      </c>
      <c r="L308" s="8" t="s">
        <v>27</v>
      </c>
      <c r="M308" s="8" t="s">
        <v>8262</v>
      </c>
      <c r="N308" s="97">
        <v>16703.0</v>
      </c>
      <c r="O308" s="96">
        <v>18747.0</v>
      </c>
      <c r="P308" s="5">
        <v>55.0</v>
      </c>
      <c r="Q308" s="31">
        <f t="shared" si="12"/>
        <v>9186.65</v>
      </c>
    </row>
    <row r="309">
      <c r="A309" s="100" t="s">
        <v>9004</v>
      </c>
      <c r="B309" s="8" t="s">
        <v>9008</v>
      </c>
      <c r="C309" s="8" t="s">
        <v>1395</v>
      </c>
      <c r="D309" s="8" t="s">
        <v>9009</v>
      </c>
      <c r="E309" s="8" t="s">
        <v>9010</v>
      </c>
      <c r="F309" s="8">
        <v>9.726599015E9</v>
      </c>
      <c r="G309" s="8"/>
      <c r="H309" s="21">
        <v>3490.0</v>
      </c>
      <c r="I309" s="14" t="s">
        <v>8995</v>
      </c>
      <c r="J309" s="8" t="s">
        <v>116</v>
      </c>
      <c r="K309" s="8" t="s">
        <v>49</v>
      </c>
      <c r="L309" s="8" t="s">
        <v>1436</v>
      </c>
      <c r="M309" s="8" t="s">
        <v>8262</v>
      </c>
      <c r="N309" s="96">
        <v>21928.0</v>
      </c>
      <c r="O309" s="96">
        <v>24908.0</v>
      </c>
      <c r="P309" s="5">
        <v>52.0</v>
      </c>
      <c r="Q309" s="31">
        <f t="shared" si="12"/>
        <v>11402.56</v>
      </c>
    </row>
    <row r="310">
      <c r="A310" s="100" t="s">
        <v>9011</v>
      </c>
      <c r="B310" s="8" t="s">
        <v>7039</v>
      </c>
      <c r="C310" s="8" t="s">
        <v>21</v>
      </c>
      <c r="D310" s="8" t="s">
        <v>9012</v>
      </c>
      <c r="E310" s="8" t="s">
        <v>9013</v>
      </c>
      <c r="F310" s="8" t="s">
        <v>2358</v>
      </c>
      <c r="G310" s="8"/>
      <c r="H310" s="21">
        <v>35000.0</v>
      </c>
      <c r="I310" s="7" t="s">
        <v>8995</v>
      </c>
      <c r="J310" s="8" t="s">
        <v>8525</v>
      </c>
      <c r="K310" s="8" t="s">
        <v>49</v>
      </c>
      <c r="L310" s="8" t="s">
        <v>71</v>
      </c>
      <c r="M310" s="8" t="s">
        <v>8262</v>
      </c>
      <c r="N310" s="96">
        <v>48473.0</v>
      </c>
      <c r="O310" s="96">
        <v>54561.0</v>
      </c>
      <c r="P310" s="5">
        <v>23.0</v>
      </c>
      <c r="Q310" s="31">
        <f t="shared" si="12"/>
        <v>11148.79</v>
      </c>
    </row>
    <row r="311">
      <c r="A311" s="100" t="s">
        <v>9011</v>
      </c>
      <c r="B311" s="8" t="s">
        <v>9014</v>
      </c>
      <c r="C311" s="8" t="s">
        <v>1395</v>
      </c>
      <c r="D311" s="8" t="s">
        <v>9015</v>
      </c>
      <c r="E311" s="8" t="s">
        <v>9016</v>
      </c>
      <c r="F311" s="8">
        <v>9.879496972E9</v>
      </c>
      <c r="G311" s="8"/>
      <c r="H311" s="21">
        <v>2450.0</v>
      </c>
      <c r="I311" s="7" t="s">
        <v>9017</v>
      </c>
      <c r="J311" s="8" t="s">
        <v>78</v>
      </c>
      <c r="K311" s="8" t="s">
        <v>49</v>
      </c>
      <c r="L311" s="8" t="s">
        <v>27</v>
      </c>
      <c r="M311" s="8" t="s">
        <v>8262</v>
      </c>
      <c r="N311" s="96">
        <v>16835.0</v>
      </c>
      <c r="O311" s="96">
        <v>18902.0</v>
      </c>
      <c r="P311" s="5">
        <v>55.0</v>
      </c>
      <c r="Q311" s="31">
        <f t="shared" si="12"/>
        <v>9259.25</v>
      </c>
    </row>
    <row r="312">
      <c r="A312" s="100" t="s">
        <v>9018</v>
      </c>
      <c r="B312" s="8" t="s">
        <v>4434</v>
      </c>
      <c r="C312" s="8" t="s">
        <v>966</v>
      </c>
      <c r="D312" s="8" t="s">
        <v>3644</v>
      </c>
      <c r="E312" s="8" t="s">
        <v>9019</v>
      </c>
      <c r="F312" s="21">
        <v>9.913297786E9</v>
      </c>
      <c r="G312" s="8"/>
      <c r="H312" s="8"/>
      <c r="I312" s="7" t="s">
        <v>9020</v>
      </c>
      <c r="J312" s="8" t="s">
        <v>8045</v>
      </c>
      <c r="K312" s="8" t="s">
        <v>26</v>
      </c>
      <c r="L312" s="8" t="s">
        <v>27</v>
      </c>
      <c r="M312" s="8" t="s">
        <v>8262</v>
      </c>
      <c r="N312" s="96">
        <v>24320.0</v>
      </c>
      <c r="O312" s="96">
        <v>28697.0</v>
      </c>
      <c r="P312" s="5">
        <v>13.0</v>
      </c>
      <c r="Q312" s="31">
        <f t="shared" si="12"/>
        <v>3161.6</v>
      </c>
    </row>
    <row r="313">
      <c r="A313" s="100" t="s">
        <v>9018</v>
      </c>
      <c r="B313" s="8" t="s">
        <v>2875</v>
      </c>
      <c r="C313" s="8" t="s">
        <v>21</v>
      </c>
      <c r="D313" s="8" t="s">
        <v>9003</v>
      </c>
      <c r="E313" s="8" t="s">
        <v>9021</v>
      </c>
      <c r="F313" s="8"/>
      <c r="G313" s="8"/>
      <c r="H313" s="21">
        <v>11900.0</v>
      </c>
      <c r="I313" s="7" t="s">
        <v>9022</v>
      </c>
      <c r="J313" s="8" t="s">
        <v>25</v>
      </c>
      <c r="K313" s="8" t="s">
        <v>49</v>
      </c>
      <c r="L313" s="8" t="s">
        <v>27</v>
      </c>
      <c r="M313" s="8" t="s">
        <v>8262</v>
      </c>
      <c r="N313" s="96">
        <v>29767.0</v>
      </c>
      <c r="O313" s="96">
        <v>33494.0</v>
      </c>
      <c r="P313" s="5">
        <v>27.0</v>
      </c>
      <c r="Q313" s="31">
        <f t="shared" si="12"/>
        <v>8037.09</v>
      </c>
    </row>
    <row r="314">
      <c r="A314" s="100" t="s">
        <v>9018</v>
      </c>
      <c r="B314" s="8" t="s">
        <v>2819</v>
      </c>
      <c r="C314" s="8" t="s">
        <v>1395</v>
      </c>
      <c r="D314" s="8" t="s">
        <v>262</v>
      </c>
      <c r="E314" s="8" t="s">
        <v>9023</v>
      </c>
      <c r="F314" s="8">
        <v>9.408345236E9</v>
      </c>
      <c r="G314" s="8"/>
      <c r="H314" s="21">
        <v>1600.0</v>
      </c>
      <c r="I314" s="7" t="s">
        <v>9024</v>
      </c>
      <c r="J314" s="8" t="s">
        <v>1424</v>
      </c>
      <c r="K314" s="8" t="s">
        <v>49</v>
      </c>
      <c r="L314" s="8" t="s">
        <v>71</v>
      </c>
      <c r="M314" s="8" t="s">
        <v>8262</v>
      </c>
      <c r="N314" s="96">
        <v>19813.0</v>
      </c>
      <c r="O314" s="96">
        <v>22417.0</v>
      </c>
      <c r="P314" s="5">
        <v>53.0</v>
      </c>
      <c r="Q314" s="31">
        <f t="shared" si="12"/>
        <v>10500.89</v>
      </c>
    </row>
    <row r="315">
      <c r="A315" s="100" t="s">
        <v>9018</v>
      </c>
      <c r="B315" s="8" t="s">
        <v>2931</v>
      </c>
      <c r="C315" s="8" t="s">
        <v>21</v>
      </c>
      <c r="D315" s="8" t="s">
        <v>8268</v>
      </c>
      <c r="E315" s="8" t="s">
        <v>9025</v>
      </c>
      <c r="F315" s="8">
        <v>9.727450222E9</v>
      </c>
      <c r="G315" s="8"/>
      <c r="H315" s="21">
        <v>15800.0</v>
      </c>
      <c r="I315" s="7" t="s">
        <v>9024</v>
      </c>
      <c r="J315" s="8" t="s">
        <v>78</v>
      </c>
      <c r="K315" s="8" t="s">
        <v>49</v>
      </c>
      <c r="L315" s="8" t="s">
        <v>71</v>
      </c>
      <c r="M315" s="8" t="s">
        <v>8262</v>
      </c>
      <c r="N315" s="21">
        <v>53070.0</v>
      </c>
      <c r="O315" s="21">
        <v>60504.0</v>
      </c>
      <c r="P315" s="5">
        <v>27.0</v>
      </c>
      <c r="Q315" s="31">
        <f t="shared" si="12"/>
        <v>14328.9</v>
      </c>
    </row>
    <row r="316">
      <c r="A316" s="100" t="s">
        <v>9018</v>
      </c>
      <c r="B316" s="8" t="s">
        <v>9026</v>
      </c>
      <c r="C316" s="8" t="s">
        <v>1395</v>
      </c>
      <c r="D316" s="8" t="s">
        <v>9027</v>
      </c>
      <c r="E316" s="8" t="s">
        <v>9028</v>
      </c>
      <c r="F316" s="8">
        <v>8.758068203E9</v>
      </c>
      <c r="G316" s="8"/>
      <c r="H316" s="21">
        <v>3425.0</v>
      </c>
      <c r="I316" s="7" t="s">
        <v>8995</v>
      </c>
      <c r="J316" s="8" t="s">
        <v>116</v>
      </c>
      <c r="K316" s="8" t="s">
        <v>49</v>
      </c>
      <c r="L316" s="8" t="s">
        <v>71</v>
      </c>
      <c r="M316" s="8" t="s">
        <v>8262</v>
      </c>
      <c r="N316" s="96">
        <v>17693.0</v>
      </c>
      <c r="O316" s="96">
        <v>19909.0</v>
      </c>
      <c r="P316" s="5">
        <v>52.0</v>
      </c>
      <c r="Q316" s="31">
        <f t="shared" si="12"/>
        <v>9200.36</v>
      </c>
    </row>
    <row r="317">
      <c r="A317" s="526" t="s">
        <v>9018</v>
      </c>
      <c r="B317" s="440" t="s">
        <v>9029</v>
      </c>
      <c r="C317" s="440" t="s">
        <v>1395</v>
      </c>
      <c r="D317" s="440" t="s">
        <v>9030</v>
      </c>
      <c r="E317" s="440" t="s">
        <v>9031</v>
      </c>
      <c r="F317" s="464">
        <v>9.909881704E9</v>
      </c>
      <c r="G317" s="440"/>
      <c r="H317" s="464">
        <v>2850.0</v>
      </c>
      <c r="I317" s="441" t="s">
        <v>9024</v>
      </c>
      <c r="J317" s="440" t="s">
        <v>116</v>
      </c>
      <c r="K317" s="440" t="s">
        <v>49</v>
      </c>
      <c r="L317" s="440" t="s">
        <v>3028</v>
      </c>
      <c r="M317" s="440" t="s">
        <v>8262</v>
      </c>
      <c r="N317" s="443">
        <v>17219.0</v>
      </c>
      <c r="O317" s="443">
        <v>19349.0</v>
      </c>
      <c r="P317" s="5">
        <v>53.0</v>
      </c>
      <c r="Q317" s="31">
        <f t="shared" si="12"/>
        <v>9126.07</v>
      </c>
    </row>
    <row r="318">
      <c r="A318" s="526" t="s">
        <v>9018</v>
      </c>
      <c r="B318" s="440" t="s">
        <v>9032</v>
      </c>
      <c r="C318" s="440" t="s">
        <v>1395</v>
      </c>
      <c r="D318" s="440" t="s">
        <v>9027</v>
      </c>
      <c r="E318" s="440" t="s">
        <v>9033</v>
      </c>
      <c r="F318" s="440"/>
      <c r="G318" s="440"/>
      <c r="H318" s="464">
        <v>2750.0</v>
      </c>
      <c r="I318" s="441" t="s">
        <v>9034</v>
      </c>
      <c r="J318" s="440" t="s">
        <v>116</v>
      </c>
      <c r="K318" s="440" t="s">
        <v>49</v>
      </c>
      <c r="L318" s="440" t="s">
        <v>27</v>
      </c>
      <c r="M318" s="440" t="s">
        <v>8262</v>
      </c>
      <c r="N318" s="443">
        <v>18431.0</v>
      </c>
      <c r="O318" s="443">
        <v>20781.0</v>
      </c>
      <c r="P318" s="5">
        <v>52.0</v>
      </c>
      <c r="Q318" s="31">
        <f t="shared" si="12"/>
        <v>9584.12</v>
      </c>
    </row>
    <row r="319">
      <c r="A319" s="526" t="s">
        <v>9018</v>
      </c>
      <c r="B319" s="440" t="s">
        <v>9035</v>
      </c>
      <c r="C319" s="440" t="s">
        <v>21</v>
      </c>
      <c r="D319" s="440" t="s">
        <v>7867</v>
      </c>
      <c r="E319" s="440" t="s">
        <v>2656</v>
      </c>
      <c r="F319" s="440">
        <v>9.727450222E9</v>
      </c>
      <c r="G319" s="440"/>
      <c r="H319" s="464">
        <v>12990.0</v>
      </c>
      <c r="I319" s="441" t="s">
        <v>9024</v>
      </c>
      <c r="J319" s="440" t="s">
        <v>8525</v>
      </c>
      <c r="K319" s="440" t="s">
        <v>49</v>
      </c>
      <c r="L319" s="440" t="s">
        <v>71</v>
      </c>
      <c r="M319" s="440" t="s">
        <v>8262</v>
      </c>
      <c r="N319" s="443">
        <v>36938.0</v>
      </c>
      <c r="O319" s="443">
        <v>41468.0</v>
      </c>
      <c r="P319" s="5">
        <v>23.0</v>
      </c>
      <c r="Q319" s="31">
        <f t="shared" si="12"/>
        <v>8495.74</v>
      </c>
    </row>
    <row r="320">
      <c r="A320" s="526" t="s">
        <v>9018</v>
      </c>
      <c r="B320" s="440" t="s">
        <v>9036</v>
      </c>
      <c r="C320" s="440" t="s">
        <v>21</v>
      </c>
      <c r="D320" s="440" t="s">
        <v>9037</v>
      </c>
      <c r="E320" s="440" t="s">
        <v>9038</v>
      </c>
      <c r="F320" s="440">
        <v>9.727450222E9</v>
      </c>
      <c r="G320" s="440"/>
      <c r="H320" s="464">
        <v>25000.0</v>
      </c>
      <c r="I320" s="441" t="s">
        <v>9034</v>
      </c>
      <c r="J320" s="440" t="s">
        <v>8525</v>
      </c>
      <c r="K320" s="440" t="s">
        <v>49</v>
      </c>
      <c r="L320" s="440" t="s">
        <v>27</v>
      </c>
      <c r="M320" s="440" t="s">
        <v>8262</v>
      </c>
      <c r="N320" s="443">
        <v>45839.0</v>
      </c>
      <c r="O320" s="443">
        <v>51453.0</v>
      </c>
      <c r="P320" s="5">
        <v>23.0</v>
      </c>
      <c r="Q320" s="31">
        <f t="shared" si="12"/>
        <v>10542.97</v>
      </c>
    </row>
    <row r="321">
      <c r="A321" s="526" t="s">
        <v>9018</v>
      </c>
      <c r="B321" s="440" t="s">
        <v>2933</v>
      </c>
      <c r="C321" s="440" t="s">
        <v>75</v>
      </c>
      <c r="D321" s="440" t="s">
        <v>9039</v>
      </c>
      <c r="E321" s="440" t="s">
        <v>9040</v>
      </c>
      <c r="F321" s="464">
        <v>8.735829757E9</v>
      </c>
      <c r="G321" s="440"/>
      <c r="H321" s="464">
        <v>1150.0</v>
      </c>
      <c r="I321" s="441" t="s">
        <v>9024</v>
      </c>
      <c r="J321" s="440" t="s">
        <v>78</v>
      </c>
      <c r="K321" s="440" t="s">
        <v>49</v>
      </c>
      <c r="L321" s="440" t="s">
        <v>27</v>
      </c>
      <c r="M321" s="440" t="s">
        <v>8262</v>
      </c>
      <c r="N321" s="443">
        <v>5491.0</v>
      </c>
      <c r="O321" s="443">
        <v>6210.0</v>
      </c>
      <c r="P321" s="5">
        <v>55.0</v>
      </c>
      <c r="Q321" s="31">
        <f t="shared" si="12"/>
        <v>3020.05</v>
      </c>
    </row>
    <row r="322">
      <c r="A322" s="526" t="s">
        <v>9041</v>
      </c>
      <c r="B322" s="440" t="s">
        <v>9042</v>
      </c>
      <c r="C322" s="440" t="s">
        <v>1395</v>
      </c>
      <c r="D322" s="440" t="s">
        <v>3790</v>
      </c>
      <c r="E322" s="440" t="s">
        <v>9043</v>
      </c>
      <c r="F322" s="440"/>
      <c r="G322" s="440"/>
      <c r="H322" s="464">
        <v>3425.0</v>
      </c>
      <c r="I322" s="440" t="s">
        <v>9044</v>
      </c>
      <c r="J322" s="440" t="s">
        <v>116</v>
      </c>
      <c r="K322" s="440" t="s">
        <v>49</v>
      </c>
      <c r="L322" s="440" t="s">
        <v>27</v>
      </c>
      <c r="M322" s="440" t="s">
        <v>8262</v>
      </c>
      <c r="N322" s="443">
        <v>21807.0</v>
      </c>
      <c r="O322" s="443">
        <v>24765.0</v>
      </c>
      <c r="P322" s="5">
        <v>52.0</v>
      </c>
      <c r="Q322" s="31">
        <f t="shared" si="12"/>
        <v>11339.64</v>
      </c>
    </row>
    <row r="323">
      <c r="A323" s="526" t="s">
        <v>9041</v>
      </c>
      <c r="B323" s="440" t="s">
        <v>9045</v>
      </c>
      <c r="C323" s="440" t="s">
        <v>1395</v>
      </c>
      <c r="D323" s="440" t="s">
        <v>9046</v>
      </c>
      <c r="E323" s="440" t="s">
        <v>9047</v>
      </c>
      <c r="F323" s="464">
        <v>9.898071004E9</v>
      </c>
      <c r="G323" s="440"/>
      <c r="H323" s="464">
        <v>2185.0</v>
      </c>
      <c r="I323" s="440" t="s">
        <v>9000</v>
      </c>
      <c r="J323" s="440" t="s">
        <v>1419</v>
      </c>
      <c r="K323" s="440" t="s">
        <v>49</v>
      </c>
      <c r="L323" s="440" t="s">
        <v>1436</v>
      </c>
      <c r="M323" s="440" t="s">
        <v>8262</v>
      </c>
      <c r="N323" s="443">
        <v>23005.0</v>
      </c>
      <c r="O323" s="443">
        <v>26183.0</v>
      </c>
      <c r="P323" s="5">
        <v>53.0</v>
      </c>
      <c r="Q323" s="31">
        <f t="shared" si="12"/>
        <v>12192.65</v>
      </c>
    </row>
    <row r="324">
      <c r="A324" s="526" t="s">
        <v>9041</v>
      </c>
      <c r="B324" s="396" t="s">
        <v>9048</v>
      </c>
      <c r="C324" s="440" t="s">
        <v>1395</v>
      </c>
      <c r="D324" s="440" t="s">
        <v>9049</v>
      </c>
      <c r="E324" s="440" t="s">
        <v>9050</v>
      </c>
      <c r="F324" s="464">
        <v>9.510307212E9</v>
      </c>
      <c r="G324" s="440"/>
      <c r="H324" s="464">
        <v>1420.0</v>
      </c>
      <c r="I324" s="440" t="s">
        <v>9000</v>
      </c>
      <c r="J324" s="440" t="s">
        <v>78</v>
      </c>
      <c r="K324" s="440" t="s">
        <v>49</v>
      </c>
      <c r="L324" s="440" t="s">
        <v>27</v>
      </c>
      <c r="M324" s="440" t="s">
        <v>8262</v>
      </c>
      <c r="N324" s="464">
        <v>16455.0</v>
      </c>
      <c r="O324" s="464">
        <v>18454.0</v>
      </c>
      <c r="P324" s="5">
        <v>55.0</v>
      </c>
      <c r="Q324" s="31">
        <f t="shared" si="12"/>
        <v>9050.25</v>
      </c>
    </row>
    <row r="325">
      <c r="A325" s="526" t="s">
        <v>9041</v>
      </c>
      <c r="B325" s="440" t="s">
        <v>3015</v>
      </c>
      <c r="C325" s="440" t="s">
        <v>21</v>
      </c>
      <c r="D325" s="440" t="s">
        <v>9051</v>
      </c>
      <c r="E325" s="440" t="s">
        <v>3018</v>
      </c>
      <c r="F325" s="440" t="s">
        <v>9052</v>
      </c>
      <c r="G325" s="440"/>
      <c r="H325" s="464">
        <v>35000.0</v>
      </c>
      <c r="I325" s="440" t="s">
        <v>9034</v>
      </c>
      <c r="J325" s="440" t="s">
        <v>78</v>
      </c>
      <c r="K325" s="440" t="s">
        <v>49</v>
      </c>
      <c r="L325" s="440" t="s">
        <v>1456</v>
      </c>
      <c r="M325" s="440" t="s">
        <v>8262</v>
      </c>
      <c r="N325" s="464">
        <v>49417.0</v>
      </c>
      <c r="O325" s="464">
        <v>55675.0</v>
      </c>
      <c r="P325" s="5">
        <v>27.0</v>
      </c>
      <c r="Q325" s="31">
        <f t="shared" si="12"/>
        <v>13342.59</v>
      </c>
    </row>
    <row r="326">
      <c r="A326" s="526" t="s">
        <v>9053</v>
      </c>
      <c r="B326" s="440" t="s">
        <v>2962</v>
      </c>
      <c r="C326" s="440" t="s">
        <v>1395</v>
      </c>
      <c r="D326" s="440" t="s">
        <v>262</v>
      </c>
      <c r="E326" s="440" t="s">
        <v>9054</v>
      </c>
      <c r="F326" s="440">
        <v>9.106803693E9</v>
      </c>
      <c r="G326" s="440"/>
      <c r="H326" s="464">
        <v>1600.0</v>
      </c>
      <c r="I326" s="440" t="s">
        <v>9034</v>
      </c>
      <c r="J326" s="440" t="s">
        <v>1424</v>
      </c>
      <c r="K326" s="440" t="s">
        <v>49</v>
      </c>
      <c r="L326" s="440" t="s">
        <v>71</v>
      </c>
      <c r="M326" s="440" t="s">
        <v>8262</v>
      </c>
      <c r="N326" s="464">
        <v>19793.0</v>
      </c>
      <c r="O326" s="464">
        <v>22393.0</v>
      </c>
      <c r="P326" s="5">
        <v>53.0</v>
      </c>
      <c r="Q326" s="31">
        <f t="shared" si="12"/>
        <v>10490.29</v>
      </c>
    </row>
    <row r="327">
      <c r="A327" s="526" t="s">
        <v>9055</v>
      </c>
      <c r="B327" s="440" t="s">
        <v>2982</v>
      </c>
      <c r="C327" s="440" t="s">
        <v>21</v>
      </c>
      <c r="D327" s="440" t="s">
        <v>9056</v>
      </c>
      <c r="E327" s="440" t="s">
        <v>9057</v>
      </c>
      <c r="F327" s="440"/>
      <c r="G327" s="440"/>
      <c r="H327" s="464">
        <v>35000.0</v>
      </c>
      <c r="I327" s="440" t="s">
        <v>9044</v>
      </c>
      <c r="J327" s="440" t="s">
        <v>78</v>
      </c>
      <c r="K327" s="440" t="s">
        <v>49</v>
      </c>
      <c r="L327" s="440" t="s">
        <v>1456</v>
      </c>
      <c r="M327" s="440" t="s">
        <v>8262</v>
      </c>
      <c r="N327" s="464">
        <v>85359.0</v>
      </c>
      <c r="O327" s="464">
        <v>98087.0</v>
      </c>
      <c r="P327" s="5">
        <v>27.0</v>
      </c>
      <c r="Q327" s="31">
        <f t="shared" si="12"/>
        <v>23046.93</v>
      </c>
    </row>
    <row r="328">
      <c r="A328" s="526" t="s">
        <v>9055</v>
      </c>
      <c r="B328" s="440" t="s">
        <v>9058</v>
      </c>
      <c r="C328" s="440" t="s">
        <v>1395</v>
      </c>
      <c r="D328" s="440" t="s">
        <v>1247</v>
      </c>
      <c r="E328" s="440" t="s">
        <v>9059</v>
      </c>
      <c r="F328" s="440"/>
      <c r="G328" s="440"/>
      <c r="H328" s="464">
        <v>2825.0</v>
      </c>
      <c r="I328" s="440" t="s">
        <v>9034</v>
      </c>
      <c r="J328" s="440" t="s">
        <v>116</v>
      </c>
      <c r="K328" s="440" t="s">
        <v>49</v>
      </c>
      <c r="L328" s="440" t="s">
        <v>1456</v>
      </c>
      <c r="M328" s="440" t="s">
        <v>8262</v>
      </c>
      <c r="N328" s="443">
        <v>22138.0</v>
      </c>
      <c r="O328" s="443">
        <v>25156.0</v>
      </c>
      <c r="P328" s="5">
        <v>52.0</v>
      </c>
      <c r="Q328" s="31">
        <f t="shared" si="12"/>
        <v>11511.76</v>
      </c>
    </row>
    <row r="329">
      <c r="A329" s="526" t="s">
        <v>9055</v>
      </c>
      <c r="B329" s="440" t="s">
        <v>9060</v>
      </c>
      <c r="C329" s="440" t="s">
        <v>1395</v>
      </c>
      <c r="D329" s="440" t="s">
        <v>524</v>
      </c>
      <c r="E329" s="440" t="s">
        <v>4870</v>
      </c>
      <c r="F329" s="440"/>
      <c r="G329" s="440"/>
      <c r="H329" s="464">
        <v>3490.0</v>
      </c>
      <c r="I329" s="440" t="s">
        <v>3183</v>
      </c>
      <c r="J329" s="440" t="s">
        <v>116</v>
      </c>
      <c r="K329" s="440" t="s">
        <v>49</v>
      </c>
      <c r="L329" s="440" t="s">
        <v>1456</v>
      </c>
      <c r="M329" s="440" t="s">
        <v>8262</v>
      </c>
      <c r="N329" s="443">
        <v>20356.0</v>
      </c>
      <c r="O329" s="443">
        <v>23052.0</v>
      </c>
      <c r="P329" s="5">
        <v>52.0</v>
      </c>
      <c r="Q329" s="31">
        <f t="shared" si="12"/>
        <v>10585.12</v>
      </c>
    </row>
    <row r="330">
      <c r="A330" s="526" t="s">
        <v>9055</v>
      </c>
      <c r="B330" s="440" t="s">
        <v>9061</v>
      </c>
      <c r="C330" s="440" t="s">
        <v>1395</v>
      </c>
      <c r="D330" s="440" t="s">
        <v>9062</v>
      </c>
      <c r="E330" s="440" t="s">
        <v>9063</v>
      </c>
      <c r="F330" s="440">
        <v>9.898133876E9</v>
      </c>
      <c r="G330" s="440"/>
      <c r="H330" s="464">
        <v>2995.0</v>
      </c>
      <c r="I330" s="440" t="s">
        <v>9034</v>
      </c>
      <c r="J330" s="440" t="s">
        <v>116</v>
      </c>
      <c r="K330" s="440" t="s">
        <v>49</v>
      </c>
      <c r="L330" s="440" t="s">
        <v>71</v>
      </c>
      <c r="M330" s="440" t="s">
        <v>8262</v>
      </c>
      <c r="N330" s="443">
        <v>17868.0</v>
      </c>
      <c r="O330" s="443">
        <v>20112.0</v>
      </c>
      <c r="P330" s="5">
        <v>52.0</v>
      </c>
      <c r="Q330" s="31">
        <f t="shared" si="12"/>
        <v>9291.36</v>
      </c>
    </row>
    <row r="331">
      <c r="A331" s="526" t="s">
        <v>9055</v>
      </c>
      <c r="B331" s="440" t="s">
        <v>7051</v>
      </c>
      <c r="C331" s="440" t="s">
        <v>1759</v>
      </c>
      <c r="D331" s="440" t="s">
        <v>8514</v>
      </c>
      <c r="E331" s="440" t="s">
        <v>9064</v>
      </c>
      <c r="F331" s="440">
        <v>9.773026522E9</v>
      </c>
      <c r="G331" s="440"/>
      <c r="H331" s="440"/>
      <c r="I331" s="440" t="s">
        <v>9044</v>
      </c>
      <c r="J331" s="440" t="s">
        <v>78</v>
      </c>
      <c r="K331" s="440" t="s">
        <v>49</v>
      </c>
      <c r="L331" s="440" t="s">
        <v>71</v>
      </c>
      <c r="M331" s="440" t="s">
        <v>8262</v>
      </c>
      <c r="N331" s="464">
        <v>6408.0</v>
      </c>
      <c r="O331" s="464">
        <v>7561.0</v>
      </c>
      <c r="P331" s="5">
        <v>55.0</v>
      </c>
      <c r="Q331" s="31">
        <f t="shared" si="12"/>
        <v>3524.4</v>
      </c>
    </row>
    <row r="332">
      <c r="A332" s="526" t="s">
        <v>9055</v>
      </c>
      <c r="B332" s="440" t="s">
        <v>6678</v>
      </c>
      <c r="C332" s="440" t="s">
        <v>21</v>
      </c>
      <c r="D332" s="440" t="s">
        <v>4987</v>
      </c>
      <c r="E332" s="440" t="s">
        <v>9065</v>
      </c>
      <c r="F332" s="440"/>
      <c r="G332" s="440"/>
      <c r="H332" s="464">
        <v>11990.0</v>
      </c>
      <c r="I332" s="440" t="s">
        <v>9044</v>
      </c>
      <c r="J332" s="440" t="s">
        <v>25</v>
      </c>
      <c r="K332" s="440" t="s">
        <v>49</v>
      </c>
      <c r="L332" s="440" t="s">
        <v>71</v>
      </c>
      <c r="M332" s="440" t="s">
        <v>8262</v>
      </c>
      <c r="N332" s="443">
        <v>31977.0</v>
      </c>
      <c r="O332" s="443">
        <v>36102.0</v>
      </c>
      <c r="P332" s="5">
        <v>27.0</v>
      </c>
      <c r="Q332" s="31">
        <f t="shared" si="12"/>
        <v>8633.79</v>
      </c>
    </row>
    <row r="333">
      <c r="A333" s="526" t="s">
        <v>9066</v>
      </c>
      <c r="B333" s="440" t="s">
        <v>9067</v>
      </c>
      <c r="C333" s="440" t="s">
        <v>1395</v>
      </c>
      <c r="D333" s="440" t="s">
        <v>9068</v>
      </c>
      <c r="E333" s="440" t="s">
        <v>9069</v>
      </c>
      <c r="F333" s="440"/>
      <c r="G333" s="440"/>
      <c r="H333" s="464">
        <v>3490.0</v>
      </c>
      <c r="I333" s="440" t="s">
        <v>9070</v>
      </c>
      <c r="J333" s="440" t="s">
        <v>116</v>
      </c>
      <c r="K333" s="440" t="s">
        <v>49</v>
      </c>
      <c r="L333" s="440" t="s">
        <v>27</v>
      </c>
      <c r="M333" s="440" t="s">
        <v>8262</v>
      </c>
      <c r="N333" s="443">
        <v>22387.0</v>
      </c>
      <c r="O333" s="443">
        <v>25448.0</v>
      </c>
      <c r="P333" s="5">
        <v>52.0</v>
      </c>
      <c r="Q333" s="31">
        <f t="shared" si="12"/>
        <v>11641.24</v>
      </c>
    </row>
    <row r="334">
      <c r="A334" s="526" t="s">
        <v>9066</v>
      </c>
      <c r="B334" s="440" t="s">
        <v>2991</v>
      </c>
      <c r="C334" s="440" t="s">
        <v>1395</v>
      </c>
      <c r="D334" s="440" t="s">
        <v>9071</v>
      </c>
      <c r="E334" s="440" t="s">
        <v>9072</v>
      </c>
      <c r="F334" s="440">
        <v>9.228295815E9</v>
      </c>
      <c r="G334" s="440"/>
      <c r="H334" s="464">
        <v>2750.0</v>
      </c>
      <c r="I334" s="440" t="s">
        <v>9070</v>
      </c>
      <c r="J334" s="440" t="s">
        <v>116</v>
      </c>
      <c r="K334" s="440" t="s">
        <v>49</v>
      </c>
      <c r="L334" s="440" t="s">
        <v>71</v>
      </c>
      <c r="M334" s="440" t="s">
        <v>8262</v>
      </c>
      <c r="N334" s="443">
        <v>17068.0</v>
      </c>
      <c r="O334" s="443">
        <v>19172.0</v>
      </c>
      <c r="P334" s="5">
        <v>52.0</v>
      </c>
      <c r="Q334" s="31">
        <f t="shared" si="12"/>
        <v>8875.36</v>
      </c>
    </row>
    <row r="335">
      <c r="A335" s="526" t="s">
        <v>9066</v>
      </c>
      <c r="B335" s="440" t="s">
        <v>9073</v>
      </c>
      <c r="C335" s="440" t="s">
        <v>21</v>
      </c>
      <c r="D335" s="440" t="s">
        <v>8268</v>
      </c>
      <c r="E335" s="440" t="s">
        <v>2595</v>
      </c>
      <c r="F335" s="440"/>
      <c r="G335" s="440"/>
      <c r="H335" s="440">
        <v>16020.0</v>
      </c>
      <c r="I335" s="441" t="s">
        <v>9070</v>
      </c>
      <c r="J335" s="396" t="s">
        <v>353</v>
      </c>
      <c r="K335" s="440" t="s">
        <v>49</v>
      </c>
      <c r="L335" s="440" t="s">
        <v>27</v>
      </c>
      <c r="M335" s="440" t="s">
        <v>8262</v>
      </c>
      <c r="N335" s="464">
        <v>52572.0</v>
      </c>
      <c r="O335" s="464">
        <v>59916.0</v>
      </c>
      <c r="P335" s="5">
        <v>25.0</v>
      </c>
      <c r="Q335" s="31">
        <f t="shared" si="12"/>
        <v>13143</v>
      </c>
    </row>
    <row r="336">
      <c r="A336" s="526" t="s">
        <v>9066</v>
      </c>
      <c r="B336" s="440" t="s">
        <v>7053</v>
      </c>
      <c r="C336" s="440" t="s">
        <v>1395</v>
      </c>
      <c r="D336" s="440" t="s">
        <v>262</v>
      </c>
      <c r="E336" s="471" t="s">
        <v>9074</v>
      </c>
      <c r="F336" s="440"/>
      <c r="G336" s="440"/>
      <c r="H336" s="88">
        <v>1600.0</v>
      </c>
      <c r="I336" s="471" t="s">
        <v>9075</v>
      </c>
      <c r="J336" s="440" t="s">
        <v>1424</v>
      </c>
      <c r="K336" s="440" t="s">
        <v>49</v>
      </c>
      <c r="L336" s="440" t="s">
        <v>71</v>
      </c>
      <c r="M336" s="440" t="s">
        <v>8262</v>
      </c>
      <c r="N336" s="88">
        <v>19088.0</v>
      </c>
      <c r="O336" s="542">
        <v>21562.0</v>
      </c>
      <c r="P336" s="5">
        <v>53.0</v>
      </c>
      <c r="Q336" s="31">
        <f t="shared" si="12"/>
        <v>10116.64</v>
      </c>
    </row>
    <row r="337">
      <c r="A337" s="526" t="s">
        <v>9066</v>
      </c>
      <c r="B337" s="440" t="s">
        <v>9076</v>
      </c>
      <c r="C337" s="440" t="s">
        <v>21</v>
      </c>
      <c r="D337" s="440" t="s">
        <v>8268</v>
      </c>
      <c r="E337" s="471" t="s">
        <v>999</v>
      </c>
      <c r="F337" s="440"/>
      <c r="G337" s="440"/>
      <c r="H337" s="88">
        <v>16020.0</v>
      </c>
      <c r="I337" s="440" t="s">
        <v>9077</v>
      </c>
      <c r="J337" s="440" t="s">
        <v>78</v>
      </c>
      <c r="K337" s="440" t="s">
        <v>49</v>
      </c>
      <c r="L337" s="440" t="s">
        <v>71</v>
      </c>
      <c r="M337" s="440" t="s">
        <v>8262</v>
      </c>
      <c r="N337" s="88">
        <v>55607.0</v>
      </c>
      <c r="O337" s="542">
        <v>63498.0</v>
      </c>
      <c r="P337" s="5">
        <v>27.0</v>
      </c>
      <c r="Q337" s="31">
        <f t="shared" si="12"/>
        <v>15013.89</v>
      </c>
    </row>
    <row r="338">
      <c r="A338" s="526" t="s">
        <v>9078</v>
      </c>
      <c r="B338" s="440" t="s">
        <v>1146</v>
      </c>
      <c r="C338" s="440" t="s">
        <v>21</v>
      </c>
      <c r="D338" s="440" t="s">
        <v>8772</v>
      </c>
      <c r="E338" s="440" t="s">
        <v>1148</v>
      </c>
      <c r="F338" s="440"/>
      <c r="G338" s="440"/>
      <c r="H338" s="464">
        <v>18500.0</v>
      </c>
      <c r="I338" s="441" t="s">
        <v>9077</v>
      </c>
      <c r="J338" s="440" t="s">
        <v>25</v>
      </c>
      <c r="K338" s="440" t="s">
        <v>26</v>
      </c>
      <c r="L338" s="440" t="s">
        <v>27</v>
      </c>
      <c r="M338" s="440" t="s">
        <v>8262</v>
      </c>
      <c r="N338" s="499">
        <v>35393.0</v>
      </c>
      <c r="O338" s="464">
        <v>39645.0</v>
      </c>
      <c r="P338" s="5">
        <v>43.0</v>
      </c>
      <c r="Q338" s="31">
        <f t="shared" si="12"/>
        <v>15218.99</v>
      </c>
    </row>
    <row r="339">
      <c r="A339" s="100" t="s">
        <v>9078</v>
      </c>
      <c r="B339" s="479" t="s">
        <v>9079</v>
      </c>
      <c r="C339" s="479" t="s">
        <v>1759</v>
      </c>
      <c r="D339" s="8" t="s">
        <v>7885</v>
      </c>
      <c r="E339" s="8" t="s">
        <v>9080</v>
      </c>
      <c r="F339" s="8"/>
      <c r="G339" s="8"/>
      <c r="H339" s="8"/>
      <c r="I339" s="8" t="s">
        <v>9075</v>
      </c>
      <c r="J339" s="8" t="s">
        <v>1419</v>
      </c>
      <c r="K339" s="8" t="s">
        <v>49</v>
      </c>
      <c r="L339" s="8" t="s">
        <v>1616</v>
      </c>
      <c r="M339" s="8" t="s">
        <v>8262</v>
      </c>
      <c r="N339" s="21">
        <v>6686.0</v>
      </c>
      <c r="O339" s="21">
        <v>7890.0</v>
      </c>
      <c r="P339" s="5">
        <v>55.0</v>
      </c>
      <c r="Q339" s="31">
        <f t="shared" si="12"/>
        <v>3677.3</v>
      </c>
    </row>
    <row r="340">
      <c r="A340" s="126"/>
      <c r="F340" s="236"/>
    </row>
    <row r="341">
      <c r="A341" s="126"/>
      <c r="F341" s="236"/>
    </row>
    <row r="342">
      <c r="A342" s="100" t="s">
        <v>9078</v>
      </c>
      <c r="B342" s="8" t="s">
        <v>3029</v>
      </c>
      <c r="C342" s="8" t="s">
        <v>21</v>
      </c>
      <c r="D342" s="8" t="s">
        <v>133</v>
      </c>
      <c r="E342" s="8" t="s">
        <v>9081</v>
      </c>
      <c r="F342" s="8"/>
      <c r="G342" s="8"/>
      <c r="H342" s="8">
        <v>42000.0</v>
      </c>
      <c r="I342" s="8" t="s">
        <v>9077</v>
      </c>
      <c r="J342" s="8" t="s">
        <v>8525</v>
      </c>
      <c r="K342" s="8" t="s">
        <v>49</v>
      </c>
      <c r="L342" s="8" t="s">
        <v>27</v>
      </c>
      <c r="M342" s="8" t="s">
        <v>8262</v>
      </c>
      <c r="N342" s="96">
        <v>49484.0</v>
      </c>
      <c r="O342" s="96">
        <v>55737.0</v>
      </c>
      <c r="P342" s="5">
        <v>26.0</v>
      </c>
      <c r="Q342" s="31">
        <f t="shared" ref="Q342:Q352" si="13">N342*P342%</f>
        <v>12865.84</v>
      </c>
    </row>
    <row r="343">
      <c r="A343" s="100" t="s">
        <v>9082</v>
      </c>
      <c r="B343" s="8" t="s">
        <v>9083</v>
      </c>
      <c r="C343" s="8" t="s">
        <v>1395</v>
      </c>
      <c r="D343" s="8" t="s">
        <v>1007</v>
      </c>
      <c r="E343" s="8" t="s">
        <v>9084</v>
      </c>
      <c r="F343" s="8"/>
      <c r="G343" s="8"/>
      <c r="H343" s="8">
        <v>2620.0</v>
      </c>
      <c r="I343" s="8" t="s">
        <v>3092</v>
      </c>
      <c r="J343" s="8" t="s">
        <v>116</v>
      </c>
      <c r="K343" s="8" t="s">
        <v>49</v>
      </c>
      <c r="L343" s="8" t="s">
        <v>3028</v>
      </c>
      <c r="M343" s="8" t="s">
        <v>8262</v>
      </c>
      <c r="N343" s="96">
        <v>18683.0</v>
      </c>
      <c r="O343" s="96">
        <v>21079.0</v>
      </c>
      <c r="P343" s="5">
        <v>52.0</v>
      </c>
      <c r="Q343" s="31">
        <f t="shared" si="13"/>
        <v>9715.16</v>
      </c>
    </row>
    <row r="344">
      <c r="A344" s="100" t="s">
        <v>9082</v>
      </c>
      <c r="B344" s="8" t="s">
        <v>8642</v>
      </c>
      <c r="C344" s="8" t="s">
        <v>21</v>
      </c>
      <c r="D344" s="8" t="s">
        <v>9085</v>
      </c>
      <c r="E344" s="8" t="s">
        <v>9086</v>
      </c>
      <c r="F344" s="8"/>
      <c r="G344" s="8"/>
      <c r="H344" s="21">
        <v>35000.0</v>
      </c>
      <c r="I344" s="8" t="s">
        <v>9075</v>
      </c>
      <c r="J344" s="8" t="s">
        <v>116</v>
      </c>
      <c r="K344" s="8" t="s">
        <v>49</v>
      </c>
      <c r="L344" s="8" t="s">
        <v>71</v>
      </c>
      <c r="M344" s="8" t="s">
        <v>8262</v>
      </c>
      <c r="N344" s="96">
        <v>57040.0</v>
      </c>
      <c r="O344" s="96">
        <v>64664.0</v>
      </c>
      <c r="P344" s="5">
        <v>10.0</v>
      </c>
      <c r="Q344" s="31">
        <f t="shared" si="13"/>
        <v>5704</v>
      </c>
    </row>
    <row r="345">
      <c r="A345" s="100" t="s">
        <v>9082</v>
      </c>
      <c r="B345" s="8" t="s">
        <v>9087</v>
      </c>
      <c r="C345" s="8" t="s">
        <v>21</v>
      </c>
      <c r="D345" s="8" t="s">
        <v>6613</v>
      </c>
      <c r="E345" s="8" t="s">
        <v>9088</v>
      </c>
      <c r="F345" s="8"/>
      <c r="G345" s="8"/>
      <c r="H345" s="21">
        <v>42000.0</v>
      </c>
      <c r="I345" s="7" t="s">
        <v>3106</v>
      </c>
      <c r="J345" s="8" t="s">
        <v>8525</v>
      </c>
      <c r="K345" s="8" t="s">
        <v>49</v>
      </c>
      <c r="L345" s="8" t="s">
        <v>3028</v>
      </c>
      <c r="M345" s="8" t="s">
        <v>8262</v>
      </c>
      <c r="N345" s="96">
        <v>47931.0</v>
      </c>
      <c r="O345" s="96">
        <v>53904.0</v>
      </c>
      <c r="P345" s="5">
        <v>26.0</v>
      </c>
      <c r="Q345" s="31">
        <f t="shared" si="13"/>
        <v>12462.06</v>
      </c>
    </row>
    <row r="346">
      <c r="A346" s="100" t="s">
        <v>9089</v>
      </c>
      <c r="B346" s="8" t="s">
        <v>1199</v>
      </c>
      <c r="C346" s="8" t="s">
        <v>21</v>
      </c>
      <c r="D346" s="8" t="s">
        <v>3056</v>
      </c>
      <c r="E346" s="8" t="s">
        <v>3057</v>
      </c>
      <c r="F346" s="8"/>
      <c r="G346" s="8"/>
      <c r="H346" s="21">
        <v>28000.0</v>
      </c>
      <c r="I346" s="7" t="s">
        <v>3183</v>
      </c>
      <c r="J346" s="8" t="s">
        <v>4916</v>
      </c>
      <c r="K346" s="8" t="s">
        <v>49</v>
      </c>
      <c r="L346" s="8" t="s">
        <v>71</v>
      </c>
      <c r="M346" s="8" t="s">
        <v>8262</v>
      </c>
      <c r="N346" s="21">
        <v>45632.0</v>
      </c>
      <c r="O346" s="21">
        <v>51209.0</v>
      </c>
      <c r="P346" s="5">
        <v>21.0</v>
      </c>
      <c r="Q346" s="31">
        <f t="shared" si="13"/>
        <v>9582.72</v>
      </c>
    </row>
    <row r="347">
      <c r="A347" s="100" t="s">
        <v>9089</v>
      </c>
      <c r="B347" s="8" t="s">
        <v>9090</v>
      </c>
      <c r="C347" s="8" t="s">
        <v>21</v>
      </c>
      <c r="D347" s="8" t="s">
        <v>9091</v>
      </c>
      <c r="E347" s="8" t="s">
        <v>5977</v>
      </c>
      <c r="F347" s="8"/>
      <c r="G347" s="8"/>
      <c r="H347" s="21">
        <v>7200.0</v>
      </c>
      <c r="I347" s="8" t="s">
        <v>9092</v>
      </c>
      <c r="J347" s="8" t="s">
        <v>25</v>
      </c>
      <c r="K347" s="8" t="s">
        <v>49</v>
      </c>
      <c r="L347" s="8" t="s">
        <v>71</v>
      </c>
      <c r="M347" s="8" t="s">
        <v>8262</v>
      </c>
      <c r="N347" s="96">
        <v>18746.0</v>
      </c>
      <c r="O347" s="96">
        <v>21157.0</v>
      </c>
      <c r="P347" s="5">
        <v>37.0</v>
      </c>
      <c r="Q347" s="31">
        <f t="shared" si="13"/>
        <v>6936.02</v>
      </c>
    </row>
    <row r="348">
      <c r="A348" s="100" t="s">
        <v>9089</v>
      </c>
      <c r="B348" s="8" t="s">
        <v>3320</v>
      </c>
      <c r="C348" s="8" t="s">
        <v>21</v>
      </c>
      <c r="D348" s="8" t="s">
        <v>9056</v>
      </c>
      <c r="E348" s="8" t="s">
        <v>9093</v>
      </c>
      <c r="F348" s="8"/>
      <c r="G348" s="8"/>
      <c r="H348" s="21">
        <v>35000.0</v>
      </c>
      <c r="I348" s="8" t="s">
        <v>3092</v>
      </c>
      <c r="J348" s="8" t="s">
        <v>78</v>
      </c>
      <c r="K348" s="8" t="s">
        <v>49</v>
      </c>
      <c r="L348" s="8" t="s">
        <v>1456</v>
      </c>
      <c r="M348" s="8" t="s">
        <v>8262</v>
      </c>
      <c r="N348" s="21">
        <v>85842.0</v>
      </c>
      <c r="O348" s="21">
        <v>98657.0</v>
      </c>
      <c r="P348" s="5">
        <v>27.0</v>
      </c>
      <c r="Q348" s="31">
        <f t="shared" si="13"/>
        <v>23177.34</v>
      </c>
    </row>
    <row r="349">
      <c r="A349" s="100" t="s">
        <v>9089</v>
      </c>
      <c r="B349" s="8" t="s">
        <v>9094</v>
      </c>
      <c r="C349" s="8" t="s">
        <v>1395</v>
      </c>
      <c r="D349" s="8" t="s">
        <v>9095</v>
      </c>
      <c r="E349" s="8" t="s">
        <v>9096</v>
      </c>
      <c r="F349" s="8"/>
      <c r="G349" s="8"/>
      <c r="H349" s="21">
        <v>2670.0</v>
      </c>
      <c r="I349" s="8" t="s">
        <v>9092</v>
      </c>
      <c r="J349" s="8" t="s">
        <v>1424</v>
      </c>
      <c r="K349" s="8" t="s">
        <v>49</v>
      </c>
      <c r="L349" s="8" t="s">
        <v>71</v>
      </c>
      <c r="M349" s="8" t="s">
        <v>8262</v>
      </c>
      <c r="N349" s="21">
        <v>17737.0</v>
      </c>
      <c r="O349" s="21">
        <v>19967.0</v>
      </c>
      <c r="P349" s="5">
        <v>53.0</v>
      </c>
      <c r="Q349" s="31">
        <f t="shared" si="13"/>
        <v>9400.61</v>
      </c>
    </row>
    <row r="350">
      <c r="A350" s="100" t="s">
        <v>9097</v>
      </c>
      <c r="B350" s="8" t="s">
        <v>9098</v>
      </c>
      <c r="C350" s="8" t="s">
        <v>1395</v>
      </c>
      <c r="D350" s="8" t="s">
        <v>9099</v>
      </c>
      <c r="E350" s="8" t="s">
        <v>9100</v>
      </c>
      <c r="F350" s="8"/>
      <c r="G350" s="8"/>
      <c r="H350" s="21">
        <v>2990.0</v>
      </c>
      <c r="I350" s="8" t="s">
        <v>3106</v>
      </c>
      <c r="J350" s="8" t="s">
        <v>116</v>
      </c>
      <c r="K350" s="8" t="s">
        <v>49</v>
      </c>
      <c r="L350" s="8" t="s">
        <v>71</v>
      </c>
      <c r="M350" s="8" t="s">
        <v>8262</v>
      </c>
      <c r="N350" s="96">
        <v>17608.0</v>
      </c>
      <c r="O350" s="96">
        <v>19808.0</v>
      </c>
      <c r="P350" s="5">
        <v>52.0</v>
      </c>
      <c r="Q350" s="31">
        <f t="shared" si="13"/>
        <v>9156.16</v>
      </c>
    </row>
    <row r="351">
      <c r="A351" s="100" t="s">
        <v>9097</v>
      </c>
      <c r="B351" s="8" t="s">
        <v>3102</v>
      </c>
      <c r="C351" s="8" t="s">
        <v>21</v>
      </c>
      <c r="D351" s="8" t="s">
        <v>9101</v>
      </c>
      <c r="E351" s="8" t="s">
        <v>9102</v>
      </c>
      <c r="F351" s="8"/>
      <c r="G351" s="8"/>
      <c r="H351" s="21">
        <v>12990.0</v>
      </c>
      <c r="I351" s="8" t="s">
        <v>3092</v>
      </c>
      <c r="J351" s="8" t="s">
        <v>8525</v>
      </c>
      <c r="K351" s="8" t="s">
        <v>49</v>
      </c>
      <c r="L351" s="8" t="s">
        <v>71</v>
      </c>
      <c r="M351" s="8" t="s">
        <v>8262</v>
      </c>
      <c r="N351" s="96">
        <v>37536.0</v>
      </c>
      <c r="O351" s="96">
        <v>42174.0</v>
      </c>
      <c r="P351" s="5">
        <v>23.0</v>
      </c>
      <c r="Q351" s="31">
        <f t="shared" si="13"/>
        <v>8633.28</v>
      </c>
    </row>
    <row r="352">
      <c r="A352" s="100" t="s">
        <v>9103</v>
      </c>
      <c r="B352" s="8" t="s">
        <v>9104</v>
      </c>
      <c r="C352" s="8" t="s">
        <v>1395</v>
      </c>
      <c r="D352" s="8" t="s">
        <v>5785</v>
      </c>
      <c r="E352" s="8" t="s">
        <v>9105</v>
      </c>
      <c r="F352" s="8"/>
      <c r="G352" s="8"/>
      <c r="H352" s="21">
        <v>2960.0</v>
      </c>
      <c r="I352" s="8" t="s">
        <v>9092</v>
      </c>
      <c r="J352" s="8" t="s">
        <v>116</v>
      </c>
      <c r="K352" s="8" t="s">
        <v>49</v>
      </c>
      <c r="L352" s="8" t="s">
        <v>71</v>
      </c>
      <c r="M352" s="8" t="s">
        <v>8262</v>
      </c>
      <c r="N352" s="96">
        <v>17391.0</v>
      </c>
      <c r="O352" s="96">
        <v>19553.0</v>
      </c>
      <c r="P352" s="5">
        <v>52.0</v>
      </c>
      <c r="Q352" s="31">
        <f t="shared" si="13"/>
        <v>9043.32</v>
      </c>
    </row>
    <row r="353">
      <c r="A353" s="126"/>
      <c r="F353" s="236"/>
    </row>
    <row r="354">
      <c r="A354" s="126"/>
      <c r="F354" s="236"/>
    </row>
    <row r="355">
      <c r="A355" s="100" t="s">
        <v>9103</v>
      </c>
      <c r="B355" s="479" t="s">
        <v>1242</v>
      </c>
      <c r="C355" s="479" t="s">
        <v>21</v>
      </c>
      <c r="D355" s="479" t="s">
        <v>2621</v>
      </c>
      <c r="E355" s="479" t="s">
        <v>1244</v>
      </c>
      <c r="F355" s="479"/>
      <c r="G355" s="479"/>
      <c r="H355" s="481">
        <v>11900.0</v>
      </c>
      <c r="I355" s="525" t="s">
        <v>3106</v>
      </c>
      <c r="J355" s="479" t="s">
        <v>25</v>
      </c>
      <c r="K355" s="479" t="s">
        <v>49</v>
      </c>
      <c r="L355" s="479" t="s">
        <v>27</v>
      </c>
      <c r="M355" s="479" t="s">
        <v>8262</v>
      </c>
      <c r="N355" s="502">
        <v>33042.0</v>
      </c>
      <c r="O355" s="502">
        <v>37358.0</v>
      </c>
      <c r="P355" s="5">
        <v>27.0</v>
      </c>
      <c r="Q355" s="31">
        <f t="shared" ref="Q355:Q380" si="14">N355*P355%</f>
        <v>8921.34</v>
      </c>
    </row>
    <row r="356">
      <c r="A356" s="526" t="s">
        <v>9103</v>
      </c>
      <c r="B356" s="440" t="s">
        <v>3126</v>
      </c>
      <c r="C356" s="440" t="s">
        <v>21</v>
      </c>
      <c r="D356" s="440" t="s">
        <v>9003</v>
      </c>
      <c r="E356" s="440" t="s">
        <v>9106</v>
      </c>
      <c r="F356" s="440"/>
      <c r="G356" s="440"/>
      <c r="H356" s="464">
        <v>11990.0</v>
      </c>
      <c r="I356" s="441" t="s">
        <v>3106</v>
      </c>
      <c r="J356" s="440" t="s">
        <v>25</v>
      </c>
      <c r="K356" s="440" t="s">
        <v>49</v>
      </c>
      <c r="L356" s="440" t="s">
        <v>27</v>
      </c>
      <c r="M356" s="440" t="s">
        <v>8262</v>
      </c>
      <c r="N356" s="443">
        <v>30263.0</v>
      </c>
      <c r="O356" s="443">
        <v>34079.0</v>
      </c>
      <c r="P356" s="5">
        <v>27.0</v>
      </c>
      <c r="Q356" s="31">
        <f t="shared" si="14"/>
        <v>8171.01</v>
      </c>
    </row>
    <row r="357">
      <c r="A357" s="526" t="s">
        <v>9103</v>
      </c>
      <c r="B357" s="440" t="s">
        <v>9107</v>
      </c>
      <c r="C357" s="440" t="s">
        <v>1395</v>
      </c>
      <c r="D357" s="440" t="s">
        <v>9108</v>
      </c>
      <c r="E357" s="440" t="s">
        <v>9109</v>
      </c>
      <c r="F357" s="440">
        <v>9.687102491E9</v>
      </c>
      <c r="G357" s="440"/>
      <c r="H357" s="464">
        <v>2510.0</v>
      </c>
      <c r="I357" s="440" t="s">
        <v>3092</v>
      </c>
      <c r="J357" s="440" t="s">
        <v>116</v>
      </c>
      <c r="K357" s="440" t="s">
        <v>49</v>
      </c>
      <c r="L357" s="440" t="s">
        <v>71</v>
      </c>
      <c r="M357" s="440" t="s">
        <v>8262</v>
      </c>
      <c r="N357" s="443">
        <v>17537.0</v>
      </c>
      <c r="O357" s="443">
        <v>19725.0</v>
      </c>
      <c r="P357" s="5">
        <v>52.0</v>
      </c>
      <c r="Q357" s="31">
        <f t="shared" si="14"/>
        <v>9119.24</v>
      </c>
    </row>
    <row r="358">
      <c r="A358" s="526" t="s">
        <v>9110</v>
      </c>
      <c r="B358" s="440" t="s">
        <v>9111</v>
      </c>
      <c r="C358" s="440" t="s">
        <v>1395</v>
      </c>
      <c r="D358" s="440" t="s">
        <v>528</v>
      </c>
      <c r="E358" s="440" t="s">
        <v>9112</v>
      </c>
      <c r="F358" s="440"/>
      <c r="G358" s="440"/>
      <c r="H358" s="464">
        <v>3425.0</v>
      </c>
      <c r="I358" s="440" t="s">
        <v>3183</v>
      </c>
      <c r="J358" s="440" t="s">
        <v>116</v>
      </c>
      <c r="K358" s="440" t="s">
        <v>49</v>
      </c>
      <c r="L358" s="440" t="s">
        <v>1456</v>
      </c>
      <c r="M358" s="440" t="s">
        <v>8262</v>
      </c>
      <c r="N358" s="443">
        <v>21337.0</v>
      </c>
      <c r="O358" s="443">
        <v>24209.0</v>
      </c>
      <c r="P358" s="5">
        <v>52.0</v>
      </c>
      <c r="Q358" s="31">
        <f t="shared" si="14"/>
        <v>11095.24</v>
      </c>
    </row>
    <row r="359">
      <c r="A359" s="526" t="s">
        <v>9110</v>
      </c>
      <c r="B359" s="440" t="s">
        <v>3188</v>
      </c>
      <c r="C359" s="440" t="s">
        <v>1395</v>
      </c>
      <c r="D359" s="440" t="s">
        <v>528</v>
      </c>
      <c r="E359" s="440" t="s">
        <v>9113</v>
      </c>
      <c r="F359" s="440"/>
      <c r="G359" s="440"/>
      <c r="H359" s="464">
        <v>2990.0</v>
      </c>
      <c r="I359" s="440" t="s">
        <v>3183</v>
      </c>
      <c r="J359" s="440" t="s">
        <v>116</v>
      </c>
      <c r="K359" s="440" t="s">
        <v>49</v>
      </c>
      <c r="L359" s="440" t="s">
        <v>71</v>
      </c>
      <c r="M359" s="440" t="s">
        <v>8262</v>
      </c>
      <c r="N359" s="443">
        <v>17362.0</v>
      </c>
      <c r="O359" s="465">
        <v>19520.0</v>
      </c>
      <c r="P359" s="5">
        <v>52.0</v>
      </c>
      <c r="Q359" s="31">
        <f t="shared" si="14"/>
        <v>9028.24</v>
      </c>
    </row>
    <row r="360">
      <c r="A360" s="526" t="s">
        <v>9110</v>
      </c>
      <c r="B360" s="440" t="s">
        <v>9114</v>
      </c>
      <c r="C360" s="440" t="s">
        <v>21</v>
      </c>
      <c r="D360" s="440" t="s">
        <v>9115</v>
      </c>
      <c r="E360" s="440" t="s">
        <v>2336</v>
      </c>
      <c r="F360" s="440">
        <v>9.879188523E9</v>
      </c>
      <c r="G360" s="440"/>
      <c r="H360" s="464">
        <v>35000.0</v>
      </c>
      <c r="I360" s="440" t="s">
        <v>3144</v>
      </c>
      <c r="J360" s="440" t="s">
        <v>78</v>
      </c>
      <c r="K360" s="440" t="s">
        <v>49</v>
      </c>
      <c r="L360" s="440" t="s">
        <v>8392</v>
      </c>
      <c r="M360" s="440" t="s">
        <v>8262</v>
      </c>
      <c r="N360" s="443">
        <v>70061.0</v>
      </c>
      <c r="O360" s="443">
        <v>80035.0</v>
      </c>
      <c r="P360" s="5">
        <v>27.0</v>
      </c>
      <c r="Q360" s="31">
        <f t="shared" si="14"/>
        <v>18916.47</v>
      </c>
    </row>
    <row r="361">
      <c r="A361" s="526" t="s">
        <v>9110</v>
      </c>
      <c r="B361" s="440" t="s">
        <v>9116</v>
      </c>
      <c r="C361" s="440" t="s">
        <v>21</v>
      </c>
      <c r="D361" s="440" t="s">
        <v>8755</v>
      </c>
      <c r="E361" s="440" t="s">
        <v>9117</v>
      </c>
      <c r="F361" s="440"/>
      <c r="G361" s="440"/>
      <c r="H361" s="464">
        <v>35000.0</v>
      </c>
      <c r="I361" s="440" t="s">
        <v>3111</v>
      </c>
      <c r="J361" s="440" t="s">
        <v>8525</v>
      </c>
      <c r="K361" s="440" t="s">
        <v>49</v>
      </c>
      <c r="L361" s="440" t="s">
        <v>27</v>
      </c>
      <c r="M361" s="440" t="s">
        <v>8262</v>
      </c>
      <c r="N361" s="465">
        <v>47163.0</v>
      </c>
      <c r="O361" s="465">
        <v>53015.0</v>
      </c>
      <c r="P361" s="5">
        <v>23.0</v>
      </c>
      <c r="Q361" s="31">
        <f t="shared" si="14"/>
        <v>10847.49</v>
      </c>
    </row>
    <row r="362">
      <c r="A362" s="526" t="s">
        <v>9110</v>
      </c>
      <c r="B362" s="440" t="s">
        <v>9118</v>
      </c>
      <c r="C362" s="440" t="s">
        <v>21</v>
      </c>
      <c r="D362" s="440" t="s">
        <v>9119</v>
      </c>
      <c r="E362" s="440" t="s">
        <v>9120</v>
      </c>
      <c r="F362" s="440"/>
      <c r="G362" s="440"/>
      <c r="H362" s="464">
        <v>17750.0</v>
      </c>
      <c r="I362" s="440" t="s">
        <v>3183</v>
      </c>
      <c r="J362" s="440" t="s">
        <v>78</v>
      </c>
      <c r="K362" s="440" t="s">
        <v>49</v>
      </c>
      <c r="L362" s="440" t="s">
        <v>27</v>
      </c>
      <c r="M362" s="440" t="s">
        <v>8262</v>
      </c>
      <c r="N362" s="464">
        <v>40009.0</v>
      </c>
      <c r="O362" s="464">
        <v>45092.0</v>
      </c>
      <c r="P362" s="5">
        <v>27.0</v>
      </c>
      <c r="Q362" s="31">
        <f t="shared" si="14"/>
        <v>10802.43</v>
      </c>
    </row>
    <row r="363">
      <c r="A363" s="526" t="s">
        <v>9110</v>
      </c>
      <c r="B363" s="440" t="s">
        <v>9121</v>
      </c>
      <c r="C363" s="440" t="s">
        <v>1395</v>
      </c>
      <c r="D363" s="440" t="s">
        <v>9122</v>
      </c>
      <c r="E363" s="440" t="s">
        <v>9123</v>
      </c>
      <c r="F363" s="440"/>
      <c r="G363" s="440"/>
      <c r="H363" s="464">
        <v>2750.0</v>
      </c>
      <c r="I363" s="440" t="s">
        <v>3144</v>
      </c>
      <c r="J363" s="440" t="s">
        <v>1424</v>
      </c>
      <c r="K363" s="440" t="s">
        <v>26</v>
      </c>
      <c r="L363" s="440" t="s">
        <v>27</v>
      </c>
      <c r="M363" s="440" t="s">
        <v>8262</v>
      </c>
      <c r="N363" s="464">
        <v>16099.0</v>
      </c>
      <c r="O363" s="464">
        <v>18035.0</v>
      </c>
      <c r="P363" s="5">
        <v>53.0</v>
      </c>
      <c r="Q363" s="31">
        <f t="shared" si="14"/>
        <v>8532.47</v>
      </c>
    </row>
    <row r="364">
      <c r="A364" s="526" t="s">
        <v>9110</v>
      </c>
      <c r="B364" s="440" t="s">
        <v>9124</v>
      </c>
      <c r="C364" s="440" t="s">
        <v>1395</v>
      </c>
      <c r="D364" s="440" t="s">
        <v>9125</v>
      </c>
      <c r="E364" s="440" t="s">
        <v>9126</v>
      </c>
      <c r="F364" s="440">
        <v>9.978618518E9</v>
      </c>
      <c r="G364" s="440"/>
      <c r="H364" s="464">
        <v>2750.0</v>
      </c>
      <c r="I364" s="440" t="s">
        <v>3144</v>
      </c>
      <c r="J364" s="440" t="s">
        <v>1424</v>
      </c>
      <c r="K364" s="440" t="s">
        <v>49</v>
      </c>
      <c r="L364" s="440" t="s">
        <v>71</v>
      </c>
      <c r="M364" s="440" t="s">
        <v>8262</v>
      </c>
      <c r="N364" s="464">
        <v>17340.0</v>
      </c>
      <c r="O364" s="464">
        <v>19498.0</v>
      </c>
      <c r="P364" s="5">
        <v>53.0</v>
      </c>
      <c r="Q364" s="31">
        <f t="shared" si="14"/>
        <v>9190.2</v>
      </c>
    </row>
    <row r="365">
      <c r="A365" s="526" t="s">
        <v>9110</v>
      </c>
      <c r="B365" s="440" t="s">
        <v>3266</v>
      </c>
      <c r="C365" s="440" t="s">
        <v>1395</v>
      </c>
      <c r="D365" s="440" t="s">
        <v>9127</v>
      </c>
      <c r="E365" s="440" t="s">
        <v>9128</v>
      </c>
      <c r="F365" s="440">
        <v>9.904728982E9</v>
      </c>
      <c r="G365" s="440"/>
      <c r="H365" s="464">
        <v>1630.0</v>
      </c>
      <c r="I365" s="440" t="s">
        <v>3183</v>
      </c>
      <c r="J365" s="440" t="s">
        <v>1424</v>
      </c>
      <c r="K365" s="440" t="s">
        <v>49</v>
      </c>
      <c r="L365" s="440" t="s">
        <v>1456</v>
      </c>
      <c r="M365" s="440" t="s">
        <v>8262</v>
      </c>
      <c r="N365" s="464">
        <v>19870.0</v>
      </c>
      <c r="O365" s="464">
        <v>22484.0</v>
      </c>
      <c r="P365" s="5">
        <v>53.0</v>
      </c>
      <c r="Q365" s="31">
        <f t="shared" si="14"/>
        <v>10531.1</v>
      </c>
    </row>
    <row r="366">
      <c r="A366" s="526" t="s">
        <v>9129</v>
      </c>
      <c r="B366" s="440" t="s">
        <v>9130</v>
      </c>
      <c r="C366" s="440" t="s">
        <v>1395</v>
      </c>
      <c r="D366" s="440" t="s">
        <v>3790</v>
      </c>
      <c r="E366" s="440" t="s">
        <v>9131</v>
      </c>
      <c r="F366" s="440">
        <v>9.537043221E9</v>
      </c>
      <c r="G366" s="440"/>
      <c r="H366" s="464">
        <v>3425.0</v>
      </c>
      <c r="I366" s="440" t="s">
        <v>3144</v>
      </c>
      <c r="J366" s="440" t="s">
        <v>116</v>
      </c>
      <c r="K366" s="440" t="s">
        <v>49</v>
      </c>
      <c r="L366" s="440" t="s">
        <v>1436</v>
      </c>
      <c r="M366" s="440" t="s">
        <v>8262</v>
      </c>
      <c r="N366" s="443">
        <v>21807.0</v>
      </c>
      <c r="O366" s="443">
        <v>24765.0</v>
      </c>
      <c r="P366" s="5">
        <v>52.0</v>
      </c>
      <c r="Q366" s="31">
        <f t="shared" si="14"/>
        <v>11339.64</v>
      </c>
    </row>
    <row r="367">
      <c r="A367" s="526" t="s">
        <v>9129</v>
      </c>
      <c r="B367" s="440" t="s">
        <v>3478</v>
      </c>
      <c r="C367" s="440" t="s">
        <v>1395</v>
      </c>
      <c r="D367" s="440" t="s">
        <v>3790</v>
      </c>
      <c r="E367" s="440" t="s">
        <v>9132</v>
      </c>
      <c r="F367" s="440">
        <v>9.913446989E9</v>
      </c>
      <c r="G367" s="440"/>
      <c r="H367" s="464">
        <v>3425.0</v>
      </c>
      <c r="I367" s="440" t="s">
        <v>3173</v>
      </c>
      <c r="J367" s="440" t="s">
        <v>116</v>
      </c>
      <c r="K367" s="440" t="s">
        <v>49</v>
      </c>
      <c r="L367" s="440" t="s">
        <v>71</v>
      </c>
      <c r="M367" s="440" t="s">
        <v>8262</v>
      </c>
      <c r="N367" s="443">
        <v>21045.0</v>
      </c>
      <c r="O367" s="443">
        <v>23865.0</v>
      </c>
      <c r="P367" s="5">
        <v>52.0</v>
      </c>
      <c r="Q367" s="31">
        <f t="shared" si="14"/>
        <v>10943.4</v>
      </c>
    </row>
    <row r="368">
      <c r="A368" s="526" t="s">
        <v>9129</v>
      </c>
      <c r="B368" s="440" t="s">
        <v>9133</v>
      </c>
      <c r="C368" s="440" t="s">
        <v>1395</v>
      </c>
      <c r="D368" s="440" t="s">
        <v>2116</v>
      </c>
      <c r="E368" s="440" t="s">
        <v>9134</v>
      </c>
      <c r="F368" s="440">
        <v>7.69831223E9</v>
      </c>
      <c r="G368" s="440"/>
      <c r="H368" s="464">
        <v>1600.0</v>
      </c>
      <c r="I368" s="440" t="s">
        <v>3209</v>
      </c>
      <c r="J368" s="440" t="s">
        <v>1424</v>
      </c>
      <c r="K368" s="440" t="s">
        <v>49</v>
      </c>
      <c r="L368" s="440" t="s">
        <v>1436</v>
      </c>
      <c r="M368" s="440" t="s">
        <v>8262</v>
      </c>
      <c r="N368" s="464">
        <v>19028.0</v>
      </c>
      <c r="O368" s="464">
        <v>21490.0</v>
      </c>
      <c r="P368" s="5">
        <v>53.0</v>
      </c>
      <c r="Q368" s="31">
        <f t="shared" si="14"/>
        <v>10084.84</v>
      </c>
    </row>
    <row r="369">
      <c r="A369" s="526" t="s">
        <v>9129</v>
      </c>
      <c r="B369" s="440" t="s">
        <v>9135</v>
      </c>
      <c r="C369" s="440" t="s">
        <v>1432</v>
      </c>
      <c r="D369" s="440" t="s">
        <v>9136</v>
      </c>
      <c r="E369" s="440" t="s">
        <v>9137</v>
      </c>
      <c r="F369" s="440"/>
      <c r="G369" s="440"/>
      <c r="H369" s="440"/>
      <c r="I369" s="440" t="s">
        <v>3173</v>
      </c>
      <c r="J369" s="440" t="s">
        <v>78</v>
      </c>
      <c r="K369" s="440" t="s">
        <v>49</v>
      </c>
      <c r="L369" s="440" t="s">
        <v>27</v>
      </c>
      <c r="M369" s="440" t="s">
        <v>8262</v>
      </c>
      <c r="N369" s="464">
        <v>6432.0</v>
      </c>
      <c r="O369" s="464">
        <v>7590.0</v>
      </c>
      <c r="P369" s="5">
        <v>55.0</v>
      </c>
      <c r="Q369" s="31">
        <f t="shared" si="14"/>
        <v>3537.6</v>
      </c>
    </row>
    <row r="370">
      <c r="A370" s="526" t="s">
        <v>9129</v>
      </c>
      <c r="B370" s="440" t="s">
        <v>9138</v>
      </c>
      <c r="C370" s="440" t="s">
        <v>1395</v>
      </c>
      <c r="D370" s="440" t="s">
        <v>9139</v>
      </c>
      <c r="E370" s="440" t="s">
        <v>9140</v>
      </c>
      <c r="F370" s="440"/>
      <c r="G370" s="440"/>
      <c r="H370" s="464">
        <v>2100.0</v>
      </c>
      <c r="I370" s="440" t="s">
        <v>3173</v>
      </c>
      <c r="J370" s="440" t="s">
        <v>78</v>
      </c>
      <c r="K370" s="440" t="s">
        <v>49</v>
      </c>
      <c r="L370" s="440" t="s">
        <v>27</v>
      </c>
      <c r="M370" s="440" t="s">
        <v>8262</v>
      </c>
      <c r="N370" s="464">
        <v>17389.0</v>
      </c>
      <c r="O370" s="464">
        <v>19556.0</v>
      </c>
      <c r="P370" s="5">
        <v>55.0</v>
      </c>
      <c r="Q370" s="31">
        <f t="shared" si="14"/>
        <v>9563.95</v>
      </c>
    </row>
    <row r="371">
      <c r="A371" s="526" t="s">
        <v>9141</v>
      </c>
      <c r="B371" s="440" t="s">
        <v>3191</v>
      </c>
      <c r="C371" s="440" t="s">
        <v>21</v>
      </c>
      <c r="D371" s="440" t="s">
        <v>2356</v>
      </c>
      <c r="E371" s="440" t="s">
        <v>9142</v>
      </c>
      <c r="F371" s="440"/>
      <c r="G371" s="440"/>
      <c r="H371" s="464">
        <v>35000.0</v>
      </c>
      <c r="I371" s="440" t="s">
        <v>3173</v>
      </c>
      <c r="J371" s="440" t="s">
        <v>8525</v>
      </c>
      <c r="K371" s="440" t="s">
        <v>49</v>
      </c>
      <c r="L371" s="440" t="s">
        <v>27</v>
      </c>
      <c r="M371" s="440" t="s">
        <v>8262</v>
      </c>
      <c r="N371" s="443">
        <v>46839.0</v>
      </c>
      <c r="O371" s="443">
        <v>52633.0</v>
      </c>
      <c r="P371" s="5">
        <v>23.0</v>
      </c>
      <c r="Q371" s="31">
        <f t="shared" si="14"/>
        <v>10772.97</v>
      </c>
    </row>
    <row r="372">
      <c r="A372" s="526" t="s">
        <v>9141</v>
      </c>
      <c r="B372" s="440" t="s">
        <v>3278</v>
      </c>
      <c r="C372" s="440" t="s">
        <v>1395</v>
      </c>
      <c r="D372" s="440" t="s">
        <v>2087</v>
      </c>
      <c r="E372" s="440" t="s">
        <v>3280</v>
      </c>
      <c r="F372" s="440">
        <v>9.824625432E9</v>
      </c>
      <c r="G372" s="440"/>
      <c r="H372" s="464">
        <v>2995.0</v>
      </c>
      <c r="I372" s="440" t="s">
        <v>3209</v>
      </c>
      <c r="J372" s="440" t="s">
        <v>116</v>
      </c>
      <c r="K372" s="440" t="s">
        <v>49</v>
      </c>
      <c r="L372" s="440" t="s">
        <v>1456</v>
      </c>
      <c r="M372" s="440" t="s">
        <v>8262</v>
      </c>
      <c r="N372" s="443">
        <v>21045.0</v>
      </c>
      <c r="O372" s="443">
        <v>23865.0</v>
      </c>
      <c r="P372" s="5">
        <v>52.0</v>
      </c>
      <c r="Q372" s="31">
        <f t="shared" si="14"/>
        <v>10943.4</v>
      </c>
    </row>
    <row r="373">
      <c r="A373" s="526" t="s">
        <v>9143</v>
      </c>
      <c r="B373" s="440" t="s">
        <v>3365</v>
      </c>
      <c r="C373" s="396" t="s">
        <v>9144</v>
      </c>
      <c r="D373" s="440" t="s">
        <v>3367</v>
      </c>
      <c r="E373" s="440" t="s">
        <v>3368</v>
      </c>
      <c r="F373" s="440"/>
      <c r="G373" s="440"/>
      <c r="H373" s="440"/>
      <c r="I373" s="440" t="s">
        <v>3173</v>
      </c>
      <c r="J373" s="440" t="s">
        <v>8940</v>
      </c>
      <c r="K373" s="440" t="s">
        <v>49</v>
      </c>
      <c r="L373" s="440" t="s">
        <v>27</v>
      </c>
      <c r="M373" s="440" t="s">
        <v>8262</v>
      </c>
      <c r="N373" s="464">
        <v>29751.37</v>
      </c>
      <c r="O373" s="464">
        <v>35106.61</v>
      </c>
      <c r="P373" s="5">
        <v>15.0</v>
      </c>
      <c r="Q373" s="31">
        <f t="shared" si="14"/>
        <v>4462.7055</v>
      </c>
    </row>
    <row r="374">
      <c r="A374" s="100" t="s">
        <v>9143</v>
      </c>
      <c r="B374" s="5" t="s">
        <v>9145</v>
      </c>
      <c r="C374" s="5" t="s">
        <v>1759</v>
      </c>
      <c r="D374" s="5" t="s">
        <v>9146</v>
      </c>
      <c r="E374" s="31"/>
      <c r="F374" s="516"/>
      <c r="G374" s="31"/>
      <c r="H374" s="31"/>
      <c r="I374" s="5" t="s">
        <v>3183</v>
      </c>
      <c r="J374" s="5" t="s">
        <v>78</v>
      </c>
      <c r="K374" s="5" t="s">
        <v>49</v>
      </c>
      <c r="L374" s="5" t="s">
        <v>27</v>
      </c>
      <c r="M374" s="5" t="s">
        <v>8262</v>
      </c>
      <c r="N374" s="5">
        <v>6066.0</v>
      </c>
      <c r="O374" s="5">
        <v>7158.0</v>
      </c>
      <c r="P374" s="5">
        <v>55.0</v>
      </c>
      <c r="Q374" s="31">
        <f t="shared" si="14"/>
        <v>3336.3</v>
      </c>
    </row>
    <row r="375">
      <c r="A375" s="100" t="s">
        <v>9143</v>
      </c>
      <c r="B375" s="5" t="s">
        <v>3255</v>
      </c>
      <c r="C375" s="5" t="s">
        <v>75</v>
      </c>
      <c r="D375" s="5" t="s">
        <v>9147</v>
      </c>
      <c r="E375" s="31"/>
      <c r="F375" s="516"/>
      <c r="G375" s="31"/>
      <c r="H375" s="31"/>
      <c r="I375" s="5" t="s">
        <v>3238</v>
      </c>
      <c r="J375" s="5" t="s">
        <v>78</v>
      </c>
      <c r="K375" s="5" t="s">
        <v>49</v>
      </c>
      <c r="L375" s="5" t="s">
        <v>71</v>
      </c>
      <c r="M375" s="5" t="s">
        <v>8262</v>
      </c>
      <c r="N375" s="5">
        <v>5373.0</v>
      </c>
      <c r="O375" s="5">
        <v>6071.0</v>
      </c>
      <c r="P375" s="5">
        <v>55.0</v>
      </c>
      <c r="Q375" s="31">
        <f t="shared" si="14"/>
        <v>2955.15</v>
      </c>
    </row>
    <row r="376">
      <c r="A376" s="100" t="s">
        <v>9143</v>
      </c>
      <c r="B376" s="5" t="s">
        <v>7085</v>
      </c>
      <c r="C376" s="5" t="s">
        <v>1759</v>
      </c>
      <c r="D376" s="5" t="s">
        <v>9136</v>
      </c>
      <c r="E376" s="31"/>
      <c r="F376" s="516"/>
      <c r="G376" s="31"/>
      <c r="H376" s="31"/>
      <c r="I376" s="5" t="s">
        <v>3209</v>
      </c>
      <c r="J376" s="5" t="s">
        <v>78</v>
      </c>
      <c r="K376" s="5" t="s">
        <v>49</v>
      </c>
      <c r="L376" s="5" t="s">
        <v>71</v>
      </c>
      <c r="M376" s="5" t="s">
        <v>8262</v>
      </c>
      <c r="N376" s="5">
        <v>6402.0</v>
      </c>
      <c r="O376" s="5">
        <v>7554.0</v>
      </c>
      <c r="P376" s="5">
        <v>55.0</v>
      </c>
      <c r="Q376" s="31">
        <f t="shared" si="14"/>
        <v>3521.1</v>
      </c>
    </row>
    <row r="377">
      <c r="A377" s="100" t="s">
        <v>9143</v>
      </c>
      <c r="B377" s="5" t="s">
        <v>9148</v>
      </c>
      <c r="C377" s="5" t="s">
        <v>21</v>
      </c>
      <c r="D377" s="5" t="s">
        <v>8390</v>
      </c>
      <c r="E377" s="31"/>
      <c r="F377" s="516"/>
      <c r="G377" s="31"/>
      <c r="H377" s="5">
        <v>35000.0</v>
      </c>
      <c r="I377" s="5" t="s">
        <v>3209</v>
      </c>
      <c r="J377" s="5" t="s">
        <v>78</v>
      </c>
      <c r="K377" s="5" t="s">
        <v>49</v>
      </c>
      <c r="L377" s="5" t="s">
        <v>1456</v>
      </c>
      <c r="M377" s="5" t="s">
        <v>8262</v>
      </c>
      <c r="N377" s="5">
        <v>51312.0</v>
      </c>
      <c r="O377" s="5">
        <v>57911.0</v>
      </c>
      <c r="P377" s="5">
        <v>27.0</v>
      </c>
      <c r="Q377" s="31">
        <f t="shared" si="14"/>
        <v>13854.24</v>
      </c>
    </row>
    <row r="378">
      <c r="A378" s="100" t="s">
        <v>9143</v>
      </c>
      <c r="B378" s="5" t="s">
        <v>9149</v>
      </c>
      <c r="C378" s="5" t="s">
        <v>21</v>
      </c>
      <c r="D378" s="5" t="s">
        <v>1773</v>
      </c>
      <c r="E378" s="31"/>
      <c r="F378" s="516"/>
      <c r="G378" s="31"/>
      <c r="H378" s="5">
        <v>42000.0</v>
      </c>
      <c r="I378" s="5" t="s">
        <v>3209</v>
      </c>
      <c r="J378" s="5" t="s">
        <v>70</v>
      </c>
      <c r="K378" s="5" t="s">
        <v>49</v>
      </c>
      <c r="L378" s="5" t="s">
        <v>27</v>
      </c>
      <c r="M378" s="5" t="s">
        <v>8262</v>
      </c>
      <c r="N378" s="5">
        <v>49233.0</v>
      </c>
      <c r="O378" s="5">
        <v>55440.0</v>
      </c>
      <c r="P378" s="5">
        <v>26.0</v>
      </c>
      <c r="Q378" s="31">
        <f t="shared" si="14"/>
        <v>12800.58</v>
      </c>
    </row>
    <row r="379">
      <c r="A379" s="100" t="s">
        <v>9143</v>
      </c>
      <c r="B379" s="5" t="s">
        <v>7089</v>
      </c>
      <c r="C379" s="5" t="s">
        <v>1759</v>
      </c>
      <c r="D379" s="5" t="s">
        <v>7761</v>
      </c>
      <c r="E379" s="31"/>
      <c r="F379" s="516"/>
      <c r="G379" s="31"/>
      <c r="H379" s="31"/>
      <c r="I379" s="5" t="s">
        <v>9143</v>
      </c>
      <c r="J379" s="5" t="s">
        <v>78</v>
      </c>
      <c r="K379" s="5" t="s">
        <v>49</v>
      </c>
      <c r="L379" s="5" t="s">
        <v>71</v>
      </c>
      <c r="M379" s="5" t="s">
        <v>8262</v>
      </c>
      <c r="N379" s="5">
        <v>6500.0</v>
      </c>
      <c r="O379" s="5">
        <v>7618.0</v>
      </c>
      <c r="P379" s="5">
        <v>55.0</v>
      </c>
      <c r="Q379" s="31">
        <f t="shared" si="14"/>
        <v>3575</v>
      </c>
    </row>
    <row r="380">
      <c r="A380" s="100" t="s">
        <v>9143</v>
      </c>
      <c r="B380" s="5" t="s">
        <v>3170</v>
      </c>
      <c r="C380" s="5" t="s">
        <v>21</v>
      </c>
      <c r="D380" s="5" t="s">
        <v>2630</v>
      </c>
      <c r="E380" s="31"/>
      <c r="F380" s="516"/>
      <c r="G380" s="31"/>
      <c r="H380" s="5">
        <v>12990.0</v>
      </c>
      <c r="I380" s="5" t="s">
        <v>3209</v>
      </c>
      <c r="J380" s="5" t="s">
        <v>78</v>
      </c>
      <c r="K380" s="5" t="s">
        <v>49</v>
      </c>
      <c r="L380" s="5" t="s">
        <v>27</v>
      </c>
      <c r="M380" s="5" t="s">
        <v>8262</v>
      </c>
      <c r="N380" s="5">
        <v>37817.0</v>
      </c>
      <c r="O380" s="5">
        <v>42506.0</v>
      </c>
      <c r="P380" s="5">
        <v>27.0</v>
      </c>
      <c r="Q380" s="31">
        <f t="shared" si="14"/>
        <v>10210.59</v>
      </c>
    </row>
    <row r="381">
      <c r="A381" s="126"/>
      <c r="F381" s="236"/>
    </row>
    <row r="382">
      <c r="A382" s="126"/>
      <c r="D382" s="546">
        <v>45383.0</v>
      </c>
    </row>
    <row r="383">
      <c r="A383" s="126"/>
      <c r="F383" s="236"/>
    </row>
    <row r="384">
      <c r="A384" s="126"/>
      <c r="F384" s="236"/>
    </row>
    <row r="385">
      <c r="A385" s="517"/>
      <c r="B385" s="31"/>
      <c r="C385" s="31"/>
      <c r="D385" s="31"/>
      <c r="E385" s="31"/>
      <c r="F385" s="516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</row>
    <row r="386">
      <c r="A386" s="87">
        <v>45326.0</v>
      </c>
      <c r="B386" s="8" t="s">
        <v>9150</v>
      </c>
      <c r="C386" s="8" t="s">
        <v>1432</v>
      </c>
      <c r="D386" s="8" t="s">
        <v>9151</v>
      </c>
      <c r="E386" s="8" t="s">
        <v>9152</v>
      </c>
      <c r="F386" s="8">
        <v>9.265593462E9</v>
      </c>
      <c r="G386" s="8"/>
      <c r="H386" s="8"/>
      <c r="I386" s="215">
        <v>45661.0</v>
      </c>
      <c r="J386" s="8" t="s">
        <v>1424</v>
      </c>
      <c r="K386" s="8" t="s">
        <v>49</v>
      </c>
      <c r="L386" s="8" t="s">
        <v>1616</v>
      </c>
      <c r="M386" s="8" t="s">
        <v>8262</v>
      </c>
      <c r="N386" s="21">
        <v>6613.0</v>
      </c>
      <c r="O386" s="21">
        <v>7803.0</v>
      </c>
      <c r="P386" s="5">
        <v>50.0</v>
      </c>
      <c r="Q386" s="31">
        <f t="shared" ref="Q386:Q417" si="15">N386*P386%</f>
        <v>3306.5</v>
      </c>
    </row>
    <row r="387">
      <c r="A387" s="87">
        <v>45326.0</v>
      </c>
      <c r="B387" s="8" t="s">
        <v>3383</v>
      </c>
      <c r="C387" s="8" t="s">
        <v>1395</v>
      </c>
      <c r="D387" s="8" t="s">
        <v>1131</v>
      </c>
      <c r="E387" s="8" t="s">
        <v>9153</v>
      </c>
      <c r="F387" s="8">
        <v>9.979311569E9</v>
      </c>
      <c r="G387" s="8"/>
      <c r="H387" s="21">
        <v>2735.0</v>
      </c>
      <c r="I387" s="215">
        <v>45751.0</v>
      </c>
      <c r="J387" s="8" t="s">
        <v>116</v>
      </c>
      <c r="K387" s="8" t="s">
        <v>49</v>
      </c>
      <c r="L387" s="8" t="s">
        <v>71</v>
      </c>
      <c r="M387" s="8" t="s">
        <v>8262</v>
      </c>
      <c r="N387" s="96">
        <v>20935.0</v>
      </c>
      <c r="O387" s="96">
        <v>23734.0</v>
      </c>
      <c r="P387" s="5">
        <v>52.0</v>
      </c>
      <c r="Q387" s="31">
        <f t="shared" si="15"/>
        <v>10886.2</v>
      </c>
    </row>
    <row r="388">
      <c r="A388" s="87">
        <v>45355.0</v>
      </c>
      <c r="B388" s="8" t="s">
        <v>9154</v>
      </c>
      <c r="C388" s="8" t="s">
        <v>21</v>
      </c>
      <c r="D388" s="8" t="s">
        <v>9155</v>
      </c>
      <c r="E388" s="8" t="s">
        <v>9156</v>
      </c>
      <c r="F388" s="8"/>
      <c r="G388" s="8"/>
      <c r="H388" s="21">
        <v>47500.0</v>
      </c>
      <c r="I388" s="215">
        <v>45751.0</v>
      </c>
      <c r="J388" s="8" t="s">
        <v>25</v>
      </c>
      <c r="K388" s="8" t="s">
        <v>49</v>
      </c>
      <c r="L388" s="8" t="s">
        <v>27</v>
      </c>
      <c r="M388" s="8" t="s">
        <v>8262</v>
      </c>
      <c r="N388" s="96">
        <v>70996.0</v>
      </c>
      <c r="O388" s="96">
        <v>81121.0</v>
      </c>
      <c r="P388" s="5">
        <v>17.0</v>
      </c>
      <c r="Q388" s="31">
        <f t="shared" si="15"/>
        <v>12069.32</v>
      </c>
    </row>
    <row r="389">
      <c r="A389" s="87">
        <v>45386.0</v>
      </c>
      <c r="B389" s="8" t="s">
        <v>3374</v>
      </c>
      <c r="C389" s="8" t="s">
        <v>21</v>
      </c>
      <c r="D389" s="8" t="s">
        <v>9157</v>
      </c>
      <c r="E389" s="8" t="s">
        <v>9158</v>
      </c>
      <c r="F389" s="8"/>
      <c r="G389" s="8"/>
      <c r="H389" s="21">
        <v>12990.0</v>
      </c>
      <c r="I389" s="215">
        <v>45720.0</v>
      </c>
      <c r="J389" s="8" t="s">
        <v>78</v>
      </c>
      <c r="K389" s="8" t="s">
        <v>49</v>
      </c>
      <c r="L389" s="8" t="s">
        <v>27</v>
      </c>
      <c r="M389" s="8" t="s">
        <v>8262</v>
      </c>
      <c r="N389" s="21">
        <v>36955.0</v>
      </c>
      <c r="O389" s="21">
        <v>41489.0</v>
      </c>
      <c r="P389" s="5">
        <v>27.0</v>
      </c>
      <c r="Q389" s="31">
        <f t="shared" si="15"/>
        <v>9977.85</v>
      </c>
    </row>
    <row r="390">
      <c r="A390" s="87">
        <v>45386.0</v>
      </c>
      <c r="B390" s="8" t="s">
        <v>9159</v>
      </c>
      <c r="C390" s="8" t="s">
        <v>966</v>
      </c>
      <c r="D390" s="8" t="s">
        <v>9160</v>
      </c>
      <c r="E390" s="8" t="s">
        <v>9161</v>
      </c>
      <c r="F390" s="8"/>
      <c r="G390" s="8"/>
      <c r="H390" s="8"/>
      <c r="I390" s="215">
        <v>45720.0</v>
      </c>
      <c r="J390" s="8" t="s">
        <v>70</v>
      </c>
      <c r="K390" s="8" t="s">
        <v>26</v>
      </c>
      <c r="L390" s="8" t="s">
        <v>27</v>
      </c>
      <c r="M390" s="8" t="s">
        <v>8262</v>
      </c>
      <c r="N390" s="96">
        <v>12337.0</v>
      </c>
      <c r="O390" s="96">
        <v>14558.0</v>
      </c>
      <c r="P390" s="5">
        <v>25.0</v>
      </c>
      <c r="Q390" s="31">
        <f t="shared" si="15"/>
        <v>3084.25</v>
      </c>
    </row>
    <row r="391">
      <c r="A391" s="87">
        <v>45386.0</v>
      </c>
      <c r="B391" s="8" t="s">
        <v>1245</v>
      </c>
      <c r="C391" s="8" t="s">
        <v>1395</v>
      </c>
      <c r="D391" s="8" t="s">
        <v>1247</v>
      </c>
      <c r="E391" s="8" t="s">
        <v>1248</v>
      </c>
      <c r="F391" s="8"/>
      <c r="G391" s="8"/>
      <c r="H391" s="21">
        <v>2825.0</v>
      </c>
      <c r="I391" s="215">
        <v>45720.0</v>
      </c>
      <c r="J391" s="8" t="s">
        <v>116</v>
      </c>
      <c r="K391" s="8" t="s">
        <v>49</v>
      </c>
      <c r="L391" s="8" t="s">
        <v>27</v>
      </c>
      <c r="M391" s="8" t="s">
        <v>8262</v>
      </c>
      <c r="N391" s="96">
        <v>20852.0</v>
      </c>
      <c r="O391" s="96">
        <v>23638.0</v>
      </c>
      <c r="P391" s="5">
        <v>52.0</v>
      </c>
      <c r="Q391" s="31">
        <f t="shared" si="15"/>
        <v>10843.04</v>
      </c>
    </row>
    <row r="392">
      <c r="A392" s="87">
        <v>45416.0</v>
      </c>
      <c r="B392" s="8" t="s">
        <v>9162</v>
      </c>
      <c r="C392" s="8" t="s">
        <v>1395</v>
      </c>
      <c r="D392" s="8" t="s">
        <v>9163</v>
      </c>
      <c r="E392" s="8" t="s">
        <v>9164</v>
      </c>
      <c r="F392" s="8">
        <v>7.575857758E9</v>
      </c>
      <c r="G392" s="8"/>
      <c r="H392" s="21">
        <v>2825.0</v>
      </c>
      <c r="I392" s="215">
        <v>45720.0</v>
      </c>
      <c r="J392" s="8" t="s">
        <v>116</v>
      </c>
      <c r="K392" s="8" t="s">
        <v>49</v>
      </c>
      <c r="L392" s="8" t="s">
        <v>8392</v>
      </c>
      <c r="M392" s="8" t="s">
        <v>8262</v>
      </c>
      <c r="N392" s="96">
        <v>21010.0</v>
      </c>
      <c r="O392" s="96">
        <v>23824.0</v>
      </c>
      <c r="P392" s="5">
        <v>52.0</v>
      </c>
      <c r="Q392" s="31">
        <f t="shared" si="15"/>
        <v>10925.2</v>
      </c>
    </row>
    <row r="393">
      <c r="A393" s="87">
        <v>45416.0</v>
      </c>
      <c r="B393" s="8" t="s">
        <v>9165</v>
      </c>
      <c r="C393" s="8" t="s">
        <v>1395</v>
      </c>
      <c r="D393" s="8" t="s">
        <v>9062</v>
      </c>
      <c r="E393" s="8" t="s">
        <v>9166</v>
      </c>
      <c r="F393" s="8">
        <v>9.998128878E9</v>
      </c>
      <c r="G393" s="8"/>
      <c r="H393" s="21">
        <v>2995.0</v>
      </c>
      <c r="I393" s="215">
        <v>45781.0</v>
      </c>
      <c r="J393" s="8" t="s">
        <v>116</v>
      </c>
      <c r="K393" s="8" t="s">
        <v>49</v>
      </c>
      <c r="L393" s="8" t="s">
        <v>8392</v>
      </c>
      <c r="M393" s="8" t="s">
        <v>8262</v>
      </c>
      <c r="N393" s="96">
        <v>17632.0</v>
      </c>
      <c r="O393" s="96">
        <v>19837.0</v>
      </c>
      <c r="P393" s="5">
        <v>52.0</v>
      </c>
      <c r="Q393" s="31">
        <f t="shared" si="15"/>
        <v>9168.64</v>
      </c>
    </row>
    <row r="394">
      <c r="A394" s="87">
        <v>45416.0</v>
      </c>
      <c r="B394" s="8" t="s">
        <v>9167</v>
      </c>
      <c r="C394" s="8" t="s">
        <v>21</v>
      </c>
      <c r="D394" s="8" t="s">
        <v>9168</v>
      </c>
      <c r="E394" s="8" t="s">
        <v>9169</v>
      </c>
      <c r="F394" s="8"/>
      <c r="G394" s="8"/>
      <c r="H394" s="21">
        <v>12990.0</v>
      </c>
      <c r="I394" s="215">
        <v>45751.0</v>
      </c>
      <c r="J394" s="8" t="s">
        <v>25</v>
      </c>
      <c r="K394" s="8" t="s">
        <v>26</v>
      </c>
      <c r="L394" s="8" t="s">
        <v>27</v>
      </c>
      <c r="M394" s="8" t="s">
        <v>8262</v>
      </c>
      <c r="N394" s="21">
        <v>35413.0</v>
      </c>
      <c r="O394" s="21">
        <v>39669.0</v>
      </c>
      <c r="P394" s="5">
        <v>40.0</v>
      </c>
      <c r="Q394" s="31">
        <f t="shared" si="15"/>
        <v>14165.2</v>
      </c>
    </row>
    <row r="395">
      <c r="A395" s="87">
        <v>45416.0</v>
      </c>
      <c r="B395" s="8" t="s">
        <v>9170</v>
      </c>
      <c r="C395" s="8" t="s">
        <v>1395</v>
      </c>
      <c r="D395" s="8" t="s">
        <v>262</v>
      </c>
      <c r="E395" s="8" t="s">
        <v>9171</v>
      </c>
      <c r="F395" s="8">
        <v>8.849242829E9</v>
      </c>
      <c r="G395" s="8"/>
      <c r="H395" s="21">
        <v>1600.0</v>
      </c>
      <c r="I395" s="215">
        <v>45720.0</v>
      </c>
      <c r="J395" s="8" t="s">
        <v>1424</v>
      </c>
      <c r="K395" s="8" t="s">
        <v>49</v>
      </c>
      <c r="L395" s="8" t="s">
        <v>9172</v>
      </c>
      <c r="M395" s="8" t="s">
        <v>8262</v>
      </c>
      <c r="N395" s="21">
        <v>19209.0</v>
      </c>
      <c r="O395" s="21">
        <v>21703.0</v>
      </c>
      <c r="P395" s="5">
        <v>53.0</v>
      </c>
      <c r="Q395" s="31">
        <f t="shared" si="15"/>
        <v>10180.77</v>
      </c>
    </row>
    <row r="396">
      <c r="A396" s="87">
        <v>45416.0</v>
      </c>
      <c r="B396" s="8" t="s">
        <v>9173</v>
      </c>
      <c r="C396" s="8" t="s">
        <v>21</v>
      </c>
      <c r="D396" s="8" t="s">
        <v>9174</v>
      </c>
      <c r="E396" s="8" t="s">
        <v>9175</v>
      </c>
      <c r="F396" s="8">
        <v>7.984935969E9</v>
      </c>
      <c r="G396" s="8"/>
      <c r="H396" s="21">
        <v>11950.0</v>
      </c>
      <c r="I396" s="215">
        <v>45781.0</v>
      </c>
      <c r="J396" s="8" t="s">
        <v>25</v>
      </c>
      <c r="K396" s="8" t="s">
        <v>49</v>
      </c>
      <c r="L396" s="8" t="s">
        <v>71</v>
      </c>
      <c r="M396" s="8" t="s">
        <v>8262</v>
      </c>
      <c r="N396" s="96">
        <v>32074.0</v>
      </c>
      <c r="O396" s="96">
        <v>36216.0</v>
      </c>
      <c r="P396" s="5">
        <v>28.0</v>
      </c>
      <c r="Q396" s="31">
        <f t="shared" si="15"/>
        <v>8980.72</v>
      </c>
    </row>
    <row r="397">
      <c r="A397" s="87">
        <v>45416.0</v>
      </c>
      <c r="B397" s="8" t="s">
        <v>7094</v>
      </c>
      <c r="C397" s="8" t="s">
        <v>21</v>
      </c>
      <c r="D397" s="8" t="s">
        <v>8755</v>
      </c>
      <c r="E397" s="8" t="s">
        <v>9176</v>
      </c>
      <c r="F397" s="8">
        <v>9.974115384E9</v>
      </c>
      <c r="G397" s="8"/>
      <c r="H397" s="21">
        <v>35000.0</v>
      </c>
      <c r="I397" s="215">
        <v>45781.0</v>
      </c>
      <c r="J397" s="8" t="s">
        <v>70</v>
      </c>
      <c r="K397" s="8" t="s">
        <v>49</v>
      </c>
      <c r="L397" s="8" t="s">
        <v>71</v>
      </c>
      <c r="M397" s="8" t="s">
        <v>8262</v>
      </c>
      <c r="N397" s="96">
        <v>46747.0</v>
      </c>
      <c r="O397" s="96">
        <v>52524.0</v>
      </c>
      <c r="P397" s="5">
        <v>23.0</v>
      </c>
      <c r="Q397" s="31">
        <f t="shared" si="15"/>
        <v>10751.81</v>
      </c>
    </row>
    <row r="398">
      <c r="A398" s="87">
        <v>45447.0</v>
      </c>
      <c r="B398" s="8" t="s">
        <v>9177</v>
      </c>
      <c r="C398" s="8" t="s">
        <v>21</v>
      </c>
      <c r="D398" s="8" t="s">
        <v>4329</v>
      </c>
      <c r="E398" s="8" t="s">
        <v>9178</v>
      </c>
      <c r="F398" s="8"/>
      <c r="G398" s="8"/>
      <c r="H398" s="96">
        <v>28000.0</v>
      </c>
      <c r="I398" s="215">
        <v>45812.0</v>
      </c>
      <c r="J398" s="8" t="s">
        <v>2562</v>
      </c>
      <c r="K398" s="8" t="s">
        <v>26</v>
      </c>
      <c r="L398" s="8" t="s">
        <v>27</v>
      </c>
      <c r="M398" s="8" t="s">
        <v>8262</v>
      </c>
      <c r="N398" s="96">
        <v>44415.0</v>
      </c>
      <c r="O398" s="97">
        <v>49772.7</v>
      </c>
      <c r="P398" s="5">
        <v>43.0</v>
      </c>
      <c r="Q398" s="31">
        <f t="shared" si="15"/>
        <v>19098.45</v>
      </c>
    </row>
    <row r="399">
      <c r="A399" s="87">
        <v>45477.0</v>
      </c>
      <c r="B399" s="8" t="s">
        <v>7497</v>
      </c>
      <c r="C399" s="8" t="s">
        <v>1395</v>
      </c>
      <c r="D399" s="8" t="s">
        <v>9179</v>
      </c>
      <c r="E399" s="8" t="s">
        <v>9180</v>
      </c>
      <c r="F399" s="8">
        <v>9.316474595E9</v>
      </c>
      <c r="G399" s="8"/>
      <c r="H399" s="21">
        <v>3490.0</v>
      </c>
      <c r="I399" s="215">
        <v>45812.0</v>
      </c>
      <c r="J399" s="8" t="s">
        <v>116</v>
      </c>
      <c r="K399" s="8" t="s">
        <v>49</v>
      </c>
      <c r="L399" s="8" t="s">
        <v>71</v>
      </c>
      <c r="M399" s="8" t="s">
        <v>8262</v>
      </c>
      <c r="N399" s="96">
        <v>20417.0</v>
      </c>
      <c r="O399" s="96">
        <v>23123.0</v>
      </c>
      <c r="P399" s="5">
        <v>45.0</v>
      </c>
      <c r="Q399" s="31">
        <f t="shared" si="15"/>
        <v>9187.65</v>
      </c>
    </row>
    <row r="400">
      <c r="A400" s="87">
        <v>45508.0</v>
      </c>
      <c r="B400" s="8" t="s">
        <v>3413</v>
      </c>
      <c r="C400" s="8" t="s">
        <v>1395</v>
      </c>
      <c r="D400" s="8" t="s">
        <v>262</v>
      </c>
      <c r="E400" s="8" t="s">
        <v>9181</v>
      </c>
      <c r="F400" s="8">
        <v>9.067504567E9</v>
      </c>
      <c r="G400" s="8"/>
      <c r="H400" s="21">
        <v>1600.0</v>
      </c>
      <c r="I400" s="215">
        <v>45812.0</v>
      </c>
      <c r="J400" s="8" t="s">
        <v>78</v>
      </c>
      <c r="K400" s="8" t="s">
        <v>49</v>
      </c>
      <c r="L400" s="8" t="s">
        <v>71</v>
      </c>
      <c r="M400" s="8" t="s">
        <v>8262</v>
      </c>
      <c r="N400" s="21">
        <v>17112.0</v>
      </c>
      <c r="O400" s="21">
        <v>19229.0</v>
      </c>
      <c r="P400" s="5">
        <v>50.0</v>
      </c>
      <c r="Q400" s="31">
        <f t="shared" si="15"/>
        <v>8556</v>
      </c>
    </row>
    <row r="401">
      <c r="A401" s="87">
        <v>45508.0</v>
      </c>
      <c r="B401" s="8" t="s">
        <v>9182</v>
      </c>
      <c r="C401" s="8" t="s">
        <v>1432</v>
      </c>
      <c r="D401" s="8" t="s">
        <v>8514</v>
      </c>
      <c r="E401" s="8" t="s">
        <v>9183</v>
      </c>
      <c r="F401" s="8"/>
      <c r="G401" s="8"/>
      <c r="H401" s="8"/>
      <c r="I401" s="215">
        <v>45812.0</v>
      </c>
      <c r="J401" s="8" t="s">
        <v>78</v>
      </c>
      <c r="K401" s="8" t="s">
        <v>49</v>
      </c>
      <c r="L401" s="8" t="s">
        <v>27</v>
      </c>
      <c r="M401" s="8" t="s">
        <v>8262</v>
      </c>
      <c r="N401" s="21">
        <v>6319.0</v>
      </c>
      <c r="O401" s="21">
        <v>7456.0</v>
      </c>
      <c r="P401" s="5">
        <v>50.0</v>
      </c>
      <c r="Q401" s="31">
        <f t="shared" si="15"/>
        <v>3159.5</v>
      </c>
    </row>
    <row r="402">
      <c r="A402" s="87">
        <v>45508.0</v>
      </c>
      <c r="B402" s="8" t="s">
        <v>3425</v>
      </c>
      <c r="C402" s="8" t="s">
        <v>21</v>
      </c>
      <c r="D402" s="8" t="s">
        <v>9184</v>
      </c>
      <c r="E402" s="8" t="s">
        <v>9185</v>
      </c>
      <c r="F402" s="8"/>
      <c r="G402" s="8"/>
      <c r="H402" s="21">
        <v>47500.0</v>
      </c>
      <c r="I402" s="215">
        <v>45781.0</v>
      </c>
      <c r="J402" s="8" t="s">
        <v>78</v>
      </c>
      <c r="K402" s="8" t="s">
        <v>49</v>
      </c>
      <c r="L402" s="8" t="s">
        <v>27</v>
      </c>
      <c r="M402" s="8" t="s">
        <v>8262</v>
      </c>
      <c r="N402" s="21">
        <v>60662.0</v>
      </c>
      <c r="O402" s="21">
        <v>68927.0</v>
      </c>
      <c r="P402" s="5">
        <v>20.0</v>
      </c>
      <c r="Q402" s="31">
        <f t="shared" si="15"/>
        <v>12132.4</v>
      </c>
    </row>
    <row r="403">
      <c r="A403" s="87">
        <v>45539.0</v>
      </c>
      <c r="B403" s="8" t="s">
        <v>3430</v>
      </c>
      <c r="C403" s="8" t="s">
        <v>21</v>
      </c>
      <c r="D403" s="8" t="s">
        <v>133</v>
      </c>
      <c r="E403" s="8" t="s">
        <v>9186</v>
      </c>
      <c r="F403" s="8"/>
      <c r="G403" s="8"/>
      <c r="H403" s="21">
        <v>42000.0</v>
      </c>
      <c r="I403" s="14">
        <v>45508.0</v>
      </c>
      <c r="J403" s="8" t="s">
        <v>70</v>
      </c>
      <c r="K403" s="8" t="s">
        <v>49</v>
      </c>
      <c r="L403" s="8" t="s">
        <v>71</v>
      </c>
      <c r="M403" s="8" t="s">
        <v>8262</v>
      </c>
      <c r="N403" s="96">
        <v>47854.0</v>
      </c>
      <c r="O403" s="96">
        <v>53813.0</v>
      </c>
      <c r="P403" s="5">
        <v>25.0</v>
      </c>
      <c r="Q403" s="31">
        <f t="shared" si="15"/>
        <v>11963.5</v>
      </c>
    </row>
    <row r="404">
      <c r="A404" s="87">
        <v>45569.0</v>
      </c>
      <c r="B404" s="8" t="s">
        <v>3433</v>
      </c>
      <c r="C404" s="8" t="s">
        <v>21</v>
      </c>
      <c r="D404" s="8" t="s">
        <v>3435</v>
      </c>
      <c r="E404" s="8" t="s">
        <v>1965</v>
      </c>
      <c r="F404" s="8"/>
      <c r="G404" s="8"/>
      <c r="H404" s="21">
        <v>12990.0</v>
      </c>
      <c r="I404" s="14">
        <v>45508.0</v>
      </c>
      <c r="J404" s="8" t="s">
        <v>70</v>
      </c>
      <c r="K404" s="8" t="s">
        <v>49</v>
      </c>
      <c r="L404" s="8" t="s">
        <v>27</v>
      </c>
      <c r="M404" s="8" t="s">
        <v>8262</v>
      </c>
      <c r="N404" s="96">
        <v>37486.0</v>
      </c>
      <c r="O404" s="96">
        <v>42115.0</v>
      </c>
      <c r="P404" s="5">
        <v>23.0</v>
      </c>
      <c r="Q404" s="31">
        <f t="shared" si="15"/>
        <v>8621.78</v>
      </c>
    </row>
    <row r="405">
      <c r="A405" s="87">
        <v>45569.0</v>
      </c>
      <c r="B405" s="8" t="s">
        <v>3456</v>
      </c>
      <c r="C405" s="8" t="s">
        <v>21</v>
      </c>
      <c r="D405" s="8" t="s">
        <v>9187</v>
      </c>
      <c r="E405" s="8" t="s">
        <v>9188</v>
      </c>
      <c r="F405" s="8"/>
      <c r="G405" s="8"/>
      <c r="H405" s="21">
        <v>7200.0</v>
      </c>
      <c r="I405" s="14">
        <v>45539.0</v>
      </c>
      <c r="J405" s="8" t="s">
        <v>25</v>
      </c>
      <c r="K405" s="8" t="s">
        <v>49</v>
      </c>
      <c r="L405" s="8" t="s">
        <v>71</v>
      </c>
      <c r="M405" s="8" t="s">
        <v>8262</v>
      </c>
      <c r="N405" s="96">
        <v>17040.0</v>
      </c>
      <c r="O405" s="96">
        <v>19144.0</v>
      </c>
      <c r="P405" s="5">
        <v>35.0</v>
      </c>
      <c r="Q405" s="31">
        <f t="shared" si="15"/>
        <v>5964</v>
      </c>
    </row>
    <row r="406">
      <c r="A406" s="87">
        <v>45569.0</v>
      </c>
      <c r="B406" s="8" t="s">
        <v>9189</v>
      </c>
      <c r="C406" s="8" t="s">
        <v>1432</v>
      </c>
      <c r="D406" s="8" t="s">
        <v>9190</v>
      </c>
      <c r="E406" s="8" t="s">
        <v>9191</v>
      </c>
      <c r="F406" s="8"/>
      <c r="G406" s="8"/>
      <c r="H406" s="8"/>
      <c r="I406" s="22">
        <v>45873.0</v>
      </c>
      <c r="J406" s="8" t="s">
        <v>1424</v>
      </c>
      <c r="K406" s="8" t="s">
        <v>49</v>
      </c>
      <c r="L406" s="8" t="s">
        <v>27</v>
      </c>
      <c r="M406" s="8" t="s">
        <v>8262</v>
      </c>
      <c r="N406" s="21">
        <v>6344.0</v>
      </c>
      <c r="O406" s="21">
        <v>7486.0</v>
      </c>
      <c r="P406" s="5">
        <v>50.0</v>
      </c>
      <c r="Q406" s="31">
        <f t="shared" si="15"/>
        <v>3172</v>
      </c>
    </row>
    <row r="407">
      <c r="A407" s="87">
        <v>45569.0</v>
      </c>
      <c r="B407" s="8" t="s">
        <v>9192</v>
      </c>
      <c r="C407" s="8" t="s">
        <v>21</v>
      </c>
      <c r="D407" s="8" t="s">
        <v>9193</v>
      </c>
      <c r="E407" s="8" t="s">
        <v>9194</v>
      </c>
      <c r="F407" s="8"/>
      <c r="G407" s="8"/>
      <c r="H407" s="21">
        <v>12990.0</v>
      </c>
      <c r="I407" s="22">
        <v>45995.0</v>
      </c>
      <c r="J407" s="8" t="s">
        <v>78</v>
      </c>
      <c r="K407" s="8" t="s">
        <v>49</v>
      </c>
      <c r="L407" s="8" t="s">
        <v>71</v>
      </c>
      <c r="M407" s="8" t="s">
        <v>8262</v>
      </c>
      <c r="N407" s="21">
        <v>36769.0</v>
      </c>
      <c r="O407" s="21">
        <v>41269.0</v>
      </c>
      <c r="P407" s="5">
        <v>24.0</v>
      </c>
      <c r="Q407" s="31">
        <f t="shared" si="15"/>
        <v>8824.56</v>
      </c>
    </row>
    <row r="408">
      <c r="A408" s="87">
        <v>45600.0</v>
      </c>
      <c r="B408" s="8" t="s">
        <v>9195</v>
      </c>
      <c r="C408" s="8" t="s">
        <v>1395</v>
      </c>
      <c r="D408" s="8" t="s">
        <v>9125</v>
      </c>
      <c r="E408" s="8" t="s">
        <v>9196</v>
      </c>
      <c r="F408" s="8"/>
      <c r="G408" s="8"/>
      <c r="H408" s="21">
        <v>2750.0</v>
      </c>
      <c r="I408" s="22">
        <v>45934.0</v>
      </c>
      <c r="J408" s="8" t="s">
        <v>1424</v>
      </c>
      <c r="K408" s="8" t="s">
        <v>49</v>
      </c>
      <c r="L408" s="8" t="s">
        <v>71</v>
      </c>
      <c r="M408" s="8" t="s">
        <v>8262</v>
      </c>
      <c r="N408" s="21">
        <v>17981.0</v>
      </c>
      <c r="O408" s="21">
        <v>20255.0</v>
      </c>
      <c r="P408" s="5">
        <v>50.0</v>
      </c>
      <c r="Q408" s="31">
        <f t="shared" si="15"/>
        <v>8990.5</v>
      </c>
    </row>
    <row r="409">
      <c r="A409" s="87">
        <v>45600.0</v>
      </c>
      <c r="B409" s="8" t="s">
        <v>3856</v>
      </c>
      <c r="C409" s="8" t="s">
        <v>21</v>
      </c>
      <c r="D409" s="8" t="s">
        <v>9056</v>
      </c>
      <c r="E409" s="8" t="s">
        <v>9197</v>
      </c>
      <c r="F409" s="8"/>
      <c r="G409" s="8"/>
      <c r="H409" s="21">
        <v>35000.0</v>
      </c>
      <c r="I409" s="22">
        <v>45904.0</v>
      </c>
      <c r="J409" s="8" t="s">
        <v>78</v>
      </c>
      <c r="K409" s="8" t="s">
        <v>49</v>
      </c>
      <c r="L409" s="8" t="s">
        <v>27</v>
      </c>
      <c r="M409" s="8" t="s">
        <v>8262</v>
      </c>
      <c r="N409" s="21">
        <v>50863.0</v>
      </c>
      <c r="O409" s="21">
        <v>57381.0</v>
      </c>
      <c r="P409" s="5">
        <v>24.0</v>
      </c>
      <c r="Q409" s="31">
        <f t="shared" si="15"/>
        <v>12207.12</v>
      </c>
    </row>
    <row r="410">
      <c r="A410" s="87">
        <v>45600.0</v>
      </c>
      <c r="B410" s="8" t="s">
        <v>7106</v>
      </c>
      <c r="C410" s="8" t="s">
        <v>1432</v>
      </c>
      <c r="D410" s="8" t="s">
        <v>9151</v>
      </c>
      <c r="E410" s="8" t="s">
        <v>9198</v>
      </c>
      <c r="F410" s="8"/>
      <c r="G410" s="8"/>
      <c r="H410" s="8"/>
      <c r="I410" s="22">
        <v>45995.0</v>
      </c>
      <c r="J410" s="8" t="s">
        <v>1424</v>
      </c>
      <c r="K410" s="8" t="s">
        <v>49</v>
      </c>
      <c r="L410" s="8" t="s">
        <v>71</v>
      </c>
      <c r="M410" s="8" t="s">
        <v>8262</v>
      </c>
      <c r="N410" s="21">
        <v>6595.0</v>
      </c>
      <c r="O410" s="21">
        <v>7783.0</v>
      </c>
      <c r="P410" s="5">
        <v>50.0</v>
      </c>
      <c r="Q410" s="31">
        <f t="shared" si="15"/>
        <v>3297.5</v>
      </c>
    </row>
    <row r="411">
      <c r="A411" s="87">
        <v>45630.0</v>
      </c>
      <c r="B411" s="8" t="s">
        <v>7505</v>
      </c>
      <c r="C411" s="8" t="s">
        <v>1395</v>
      </c>
      <c r="D411" s="8" t="s">
        <v>9199</v>
      </c>
      <c r="E411" s="8" t="s">
        <v>9200</v>
      </c>
      <c r="F411" s="8"/>
      <c r="G411" s="8"/>
      <c r="H411" s="8"/>
      <c r="I411" s="22">
        <v>45965.0</v>
      </c>
      <c r="J411" s="8" t="s">
        <v>116</v>
      </c>
      <c r="K411" s="8" t="s">
        <v>49</v>
      </c>
      <c r="L411" s="8" t="s">
        <v>71</v>
      </c>
      <c r="M411" s="8" t="s">
        <v>8262</v>
      </c>
      <c r="N411" s="96">
        <v>20582.0</v>
      </c>
      <c r="O411" s="96">
        <v>23317.0</v>
      </c>
      <c r="P411" s="5">
        <v>45.0</v>
      </c>
      <c r="Q411" s="31">
        <f t="shared" si="15"/>
        <v>9261.9</v>
      </c>
    </row>
    <row r="412">
      <c r="A412" s="87">
        <v>45630.0</v>
      </c>
      <c r="B412" s="8" t="s">
        <v>9201</v>
      </c>
      <c r="C412" s="8" t="s">
        <v>21</v>
      </c>
      <c r="D412" s="8" t="s">
        <v>9202</v>
      </c>
      <c r="E412" s="8" t="s">
        <v>9203</v>
      </c>
      <c r="F412" s="8"/>
      <c r="G412" s="8"/>
      <c r="H412" s="21">
        <v>12990.0</v>
      </c>
      <c r="I412" s="22">
        <v>45995.0</v>
      </c>
      <c r="J412" s="8" t="s">
        <v>78</v>
      </c>
      <c r="K412" s="8" t="s">
        <v>49</v>
      </c>
      <c r="L412" s="8" t="s">
        <v>71</v>
      </c>
      <c r="M412" s="8" t="s">
        <v>8262</v>
      </c>
      <c r="N412" s="21">
        <v>36769.0</v>
      </c>
      <c r="O412" s="21">
        <v>41269.0</v>
      </c>
      <c r="P412" s="5">
        <v>24.0</v>
      </c>
      <c r="Q412" s="31">
        <f t="shared" si="15"/>
        <v>8824.56</v>
      </c>
    </row>
    <row r="413">
      <c r="A413" s="87">
        <v>45630.0</v>
      </c>
      <c r="B413" s="8" t="s">
        <v>9204</v>
      </c>
      <c r="C413" s="8" t="s">
        <v>21</v>
      </c>
      <c r="D413" s="8" t="s">
        <v>9205</v>
      </c>
      <c r="E413" s="8" t="s">
        <v>9206</v>
      </c>
      <c r="F413" s="8"/>
      <c r="G413" s="8"/>
      <c r="H413" s="21">
        <v>31000.0</v>
      </c>
      <c r="I413" s="22">
        <v>45995.0</v>
      </c>
      <c r="J413" s="8" t="s">
        <v>78</v>
      </c>
      <c r="K413" s="8" t="s">
        <v>49</v>
      </c>
      <c r="L413" s="8" t="s">
        <v>71</v>
      </c>
      <c r="M413" s="8" t="s">
        <v>8262</v>
      </c>
      <c r="N413" s="21">
        <v>48097.0</v>
      </c>
      <c r="O413" s="21">
        <v>54117.0</v>
      </c>
      <c r="P413" s="5">
        <v>24.0</v>
      </c>
      <c r="Q413" s="31">
        <f t="shared" si="15"/>
        <v>11543.28</v>
      </c>
    </row>
    <row r="414">
      <c r="A414" s="87">
        <v>45630.0</v>
      </c>
      <c r="B414" s="8" t="s">
        <v>7503</v>
      </c>
      <c r="C414" s="8" t="s">
        <v>1395</v>
      </c>
      <c r="D414" s="8" t="s">
        <v>3790</v>
      </c>
      <c r="E414" s="8" t="s">
        <v>9207</v>
      </c>
      <c r="F414" s="8"/>
      <c r="G414" s="8"/>
      <c r="H414" s="21">
        <v>3425.0</v>
      </c>
      <c r="I414" s="22">
        <v>45995.0</v>
      </c>
      <c r="J414" s="8" t="s">
        <v>116</v>
      </c>
      <c r="K414" s="8" t="s">
        <v>49</v>
      </c>
      <c r="L414" s="8" t="s">
        <v>71</v>
      </c>
      <c r="M414" s="8" t="s">
        <v>8262</v>
      </c>
      <c r="N414" s="96">
        <v>17413.0</v>
      </c>
      <c r="O414" s="96">
        <v>19579.0</v>
      </c>
      <c r="P414" s="5">
        <v>45.0</v>
      </c>
      <c r="Q414" s="31">
        <f t="shared" si="15"/>
        <v>7835.85</v>
      </c>
    </row>
    <row r="415">
      <c r="A415" s="100" t="s">
        <v>9208</v>
      </c>
      <c r="B415" s="8" t="s">
        <v>9209</v>
      </c>
      <c r="C415" s="8" t="s">
        <v>1405</v>
      </c>
      <c r="D415" s="8" t="s">
        <v>9210</v>
      </c>
      <c r="E415" s="8" t="s">
        <v>9211</v>
      </c>
      <c r="F415" s="8"/>
      <c r="G415" s="8"/>
      <c r="H415" s="21">
        <v>990.0</v>
      </c>
      <c r="I415" s="22">
        <v>45995.0</v>
      </c>
      <c r="J415" s="8" t="s">
        <v>78</v>
      </c>
      <c r="K415" s="8" t="s">
        <v>49</v>
      </c>
      <c r="L415" s="8" t="s">
        <v>27</v>
      </c>
      <c r="M415" s="8" t="s">
        <v>8262</v>
      </c>
      <c r="N415" s="21">
        <v>4956.0</v>
      </c>
      <c r="O415" s="21">
        <v>5579.0</v>
      </c>
      <c r="P415" s="5">
        <v>50.0</v>
      </c>
      <c r="Q415" s="31">
        <f t="shared" si="15"/>
        <v>2478</v>
      </c>
    </row>
    <row r="416">
      <c r="A416" s="100" t="s">
        <v>9208</v>
      </c>
      <c r="B416" s="5" t="s">
        <v>9212</v>
      </c>
      <c r="C416" s="5" t="s">
        <v>1759</v>
      </c>
      <c r="D416" s="5" t="s">
        <v>7761</v>
      </c>
      <c r="E416" s="31"/>
      <c r="F416" s="516"/>
      <c r="G416" s="31"/>
      <c r="H416" s="31"/>
      <c r="I416" s="22">
        <v>45995.0</v>
      </c>
      <c r="J416" s="5" t="s">
        <v>1424</v>
      </c>
      <c r="K416" s="5" t="s">
        <v>49</v>
      </c>
      <c r="L416" s="5" t="s">
        <v>27</v>
      </c>
      <c r="M416" s="5" t="s">
        <v>8262</v>
      </c>
      <c r="N416" s="5">
        <v>6782.0</v>
      </c>
      <c r="O416" s="5">
        <v>8002.0</v>
      </c>
      <c r="P416" s="5">
        <v>50.0</v>
      </c>
      <c r="Q416" s="31">
        <f t="shared" si="15"/>
        <v>3391</v>
      </c>
    </row>
    <row r="417">
      <c r="A417" s="100" t="s">
        <v>9208</v>
      </c>
      <c r="B417" s="5" t="s">
        <v>9213</v>
      </c>
      <c r="C417" s="5" t="s">
        <v>1395</v>
      </c>
      <c r="D417" s="5" t="s">
        <v>9214</v>
      </c>
      <c r="E417" s="31"/>
      <c r="F417" s="516"/>
      <c r="G417" s="31"/>
      <c r="H417" s="5">
        <v>3100.0</v>
      </c>
      <c r="I417" s="22">
        <v>45995.0</v>
      </c>
      <c r="J417" s="5" t="s">
        <v>116</v>
      </c>
      <c r="K417" s="5" t="s">
        <v>49</v>
      </c>
      <c r="L417" s="5" t="s">
        <v>27</v>
      </c>
      <c r="M417" s="5" t="s">
        <v>8262</v>
      </c>
      <c r="N417" s="5">
        <v>19015.0</v>
      </c>
      <c r="O417" s="5">
        <v>21469.0</v>
      </c>
      <c r="P417" s="5">
        <v>45.0</v>
      </c>
      <c r="Q417" s="31">
        <f t="shared" si="15"/>
        <v>8556.75</v>
      </c>
    </row>
    <row r="418">
      <c r="A418" s="126"/>
      <c r="F418" s="236"/>
    </row>
    <row r="419">
      <c r="A419" s="126"/>
      <c r="F419" s="236"/>
    </row>
    <row r="420">
      <c r="A420" s="126"/>
      <c r="F420" s="236"/>
    </row>
    <row r="421">
      <c r="A421" s="100" t="s">
        <v>9215</v>
      </c>
      <c r="B421" s="479" t="s">
        <v>9216</v>
      </c>
      <c r="C421" s="479" t="s">
        <v>1395</v>
      </c>
      <c r="D421" s="479" t="s">
        <v>9217</v>
      </c>
      <c r="E421" s="479" t="s">
        <v>9218</v>
      </c>
      <c r="F421" s="479"/>
      <c r="G421" s="479"/>
      <c r="H421" s="481">
        <v>2065.0</v>
      </c>
      <c r="I421" s="479" t="s">
        <v>3510</v>
      </c>
      <c r="J421" s="479" t="s">
        <v>1424</v>
      </c>
      <c r="K421" s="479" t="s">
        <v>49</v>
      </c>
      <c r="L421" s="479" t="s">
        <v>27</v>
      </c>
      <c r="M421" s="479" t="s">
        <v>8262</v>
      </c>
      <c r="N421" s="481">
        <v>17370.0</v>
      </c>
      <c r="O421" s="481">
        <v>19534.0</v>
      </c>
      <c r="P421" s="5">
        <v>52.0</v>
      </c>
      <c r="Q421" s="31">
        <f t="shared" ref="Q421:Q444" si="16">N421*P421%</f>
        <v>9032.4</v>
      </c>
    </row>
    <row r="422">
      <c r="A422" s="526" t="s">
        <v>9215</v>
      </c>
      <c r="B422" s="471" t="s">
        <v>9219</v>
      </c>
      <c r="C422" s="440" t="s">
        <v>21</v>
      </c>
      <c r="D422" s="58" t="s">
        <v>9220</v>
      </c>
      <c r="E422" s="471" t="s">
        <v>9221</v>
      </c>
      <c r="F422" s="440"/>
      <c r="G422" s="440"/>
      <c r="H422" s="464">
        <v>11990.0</v>
      </c>
      <c r="I422" s="441" t="s">
        <v>9222</v>
      </c>
      <c r="J422" s="440" t="s">
        <v>25</v>
      </c>
      <c r="K422" s="440" t="s">
        <v>49</v>
      </c>
      <c r="L422" s="440" t="s">
        <v>27</v>
      </c>
      <c r="M422" s="440" t="s">
        <v>8262</v>
      </c>
      <c r="N422" s="134">
        <v>29985.0</v>
      </c>
      <c r="O422" s="547">
        <v>33751.0</v>
      </c>
      <c r="P422" s="5">
        <v>28.0</v>
      </c>
      <c r="Q422" s="31">
        <f t="shared" si="16"/>
        <v>8395.8</v>
      </c>
    </row>
    <row r="423">
      <c r="A423" s="526" t="s">
        <v>9215</v>
      </c>
      <c r="B423" s="471" t="s">
        <v>9223</v>
      </c>
      <c r="C423" s="396" t="s">
        <v>4336</v>
      </c>
      <c r="D423" s="58" t="s">
        <v>9224</v>
      </c>
      <c r="E423" s="471" t="s">
        <v>4338</v>
      </c>
      <c r="F423" s="440"/>
      <c r="G423" s="440"/>
      <c r="H423" s="440"/>
      <c r="I423" s="441" t="s">
        <v>9225</v>
      </c>
      <c r="J423" s="440" t="s">
        <v>25</v>
      </c>
      <c r="K423" s="440" t="s">
        <v>49</v>
      </c>
      <c r="L423" s="440" t="s">
        <v>27</v>
      </c>
      <c r="M423" s="440" t="s">
        <v>8262</v>
      </c>
      <c r="N423" s="134">
        <v>44722.0</v>
      </c>
      <c r="O423" s="547">
        <v>52772.0</v>
      </c>
      <c r="P423" s="5">
        <v>65.0</v>
      </c>
      <c r="Q423" s="31">
        <f t="shared" si="16"/>
        <v>29069.3</v>
      </c>
    </row>
    <row r="424">
      <c r="A424" s="526" t="s">
        <v>9215</v>
      </c>
      <c r="B424" s="471" t="s">
        <v>9226</v>
      </c>
      <c r="C424" s="440" t="s">
        <v>44</v>
      </c>
      <c r="D424" s="58" t="s">
        <v>9224</v>
      </c>
      <c r="E424" s="471" t="s">
        <v>4338</v>
      </c>
      <c r="F424" s="440"/>
      <c r="G424" s="440"/>
      <c r="H424" s="440"/>
      <c r="I424" s="441" t="s">
        <v>9225</v>
      </c>
      <c r="J424" s="440" t="s">
        <v>25</v>
      </c>
      <c r="K424" s="440" t="s">
        <v>49</v>
      </c>
      <c r="L424" s="440" t="s">
        <v>27</v>
      </c>
      <c r="M424" s="440" t="s">
        <v>8262</v>
      </c>
      <c r="N424" s="134">
        <v>44722.0</v>
      </c>
      <c r="O424" s="547">
        <v>52772.0</v>
      </c>
      <c r="P424" s="5">
        <v>65.0</v>
      </c>
      <c r="Q424" s="31">
        <f t="shared" si="16"/>
        <v>29069.3</v>
      </c>
    </row>
    <row r="425">
      <c r="A425" s="526" t="s">
        <v>9215</v>
      </c>
      <c r="B425" s="471" t="s">
        <v>9227</v>
      </c>
      <c r="C425" s="440" t="s">
        <v>44</v>
      </c>
      <c r="D425" s="58" t="s">
        <v>9224</v>
      </c>
      <c r="E425" s="471" t="s">
        <v>4338</v>
      </c>
      <c r="F425" s="440"/>
      <c r="G425" s="440"/>
      <c r="H425" s="440"/>
      <c r="I425" s="441" t="s">
        <v>9225</v>
      </c>
      <c r="J425" s="440" t="s">
        <v>25</v>
      </c>
      <c r="K425" s="440" t="s">
        <v>49</v>
      </c>
      <c r="L425" s="440" t="s">
        <v>27</v>
      </c>
      <c r="M425" s="440" t="s">
        <v>8262</v>
      </c>
      <c r="N425" s="134">
        <v>44722.0</v>
      </c>
      <c r="O425" s="547">
        <v>52772.0</v>
      </c>
      <c r="P425" s="5">
        <v>65.0</v>
      </c>
      <c r="Q425" s="31">
        <f t="shared" si="16"/>
        <v>29069.3</v>
      </c>
    </row>
    <row r="426">
      <c r="A426" s="526" t="s">
        <v>9215</v>
      </c>
      <c r="B426" s="471" t="s">
        <v>9228</v>
      </c>
      <c r="C426" s="440" t="s">
        <v>21</v>
      </c>
      <c r="D426" s="58" t="s">
        <v>9229</v>
      </c>
      <c r="E426" s="471" t="s">
        <v>8806</v>
      </c>
      <c r="F426" s="440"/>
      <c r="G426" s="440"/>
      <c r="H426" s="548">
        <v>28000.0</v>
      </c>
      <c r="I426" s="440" t="s">
        <v>9230</v>
      </c>
      <c r="J426" s="440" t="s">
        <v>2638</v>
      </c>
      <c r="K426" s="440" t="s">
        <v>49</v>
      </c>
      <c r="L426" s="440" t="s">
        <v>27</v>
      </c>
      <c r="M426" s="440" t="s">
        <v>8262</v>
      </c>
      <c r="N426" s="134">
        <v>44050.0</v>
      </c>
      <c r="O426" s="547">
        <v>49342.0</v>
      </c>
      <c r="P426" s="5">
        <v>43.0</v>
      </c>
      <c r="Q426" s="31">
        <f t="shared" si="16"/>
        <v>18941.5</v>
      </c>
    </row>
    <row r="427">
      <c r="A427" s="526" t="s">
        <v>9215</v>
      </c>
      <c r="B427" s="471" t="s">
        <v>9231</v>
      </c>
      <c r="C427" s="440" t="s">
        <v>44</v>
      </c>
      <c r="D427" s="58" t="s">
        <v>9224</v>
      </c>
      <c r="E427" s="471" t="s">
        <v>4338</v>
      </c>
      <c r="F427" s="440"/>
      <c r="G427" s="440"/>
      <c r="H427" s="440"/>
      <c r="I427" s="549">
        <v>45695.0</v>
      </c>
      <c r="J427" s="440" t="s">
        <v>25</v>
      </c>
      <c r="K427" s="440" t="s">
        <v>49</v>
      </c>
      <c r="L427" s="440" t="s">
        <v>27</v>
      </c>
      <c r="M427" s="440" t="s">
        <v>8262</v>
      </c>
      <c r="N427" s="134">
        <v>44722.0</v>
      </c>
      <c r="O427" s="547">
        <v>52772.0</v>
      </c>
      <c r="P427" s="5">
        <v>65.0</v>
      </c>
      <c r="Q427" s="31">
        <f t="shared" si="16"/>
        <v>29069.3</v>
      </c>
    </row>
    <row r="428">
      <c r="A428" s="526" t="s">
        <v>9215</v>
      </c>
      <c r="B428" s="471" t="s">
        <v>9232</v>
      </c>
      <c r="C428" s="440" t="s">
        <v>44</v>
      </c>
      <c r="D428" s="58" t="s">
        <v>9224</v>
      </c>
      <c r="E428" s="471" t="s">
        <v>4338</v>
      </c>
      <c r="F428" s="440"/>
      <c r="G428" s="440"/>
      <c r="H428" s="440"/>
      <c r="I428" s="441" t="s">
        <v>9225</v>
      </c>
      <c r="J428" s="440" t="s">
        <v>25</v>
      </c>
      <c r="K428" s="440" t="s">
        <v>49</v>
      </c>
      <c r="L428" s="440" t="s">
        <v>27</v>
      </c>
      <c r="M428" s="440" t="s">
        <v>8262</v>
      </c>
      <c r="N428" s="134">
        <v>44722.0</v>
      </c>
      <c r="O428" s="547">
        <v>52772.0</v>
      </c>
      <c r="P428" s="5">
        <v>65.0</v>
      </c>
      <c r="Q428" s="31">
        <f t="shared" si="16"/>
        <v>29069.3</v>
      </c>
    </row>
    <row r="429">
      <c r="A429" s="526" t="s">
        <v>9215</v>
      </c>
      <c r="B429" s="471" t="s">
        <v>9233</v>
      </c>
      <c r="C429" s="440" t="s">
        <v>21</v>
      </c>
      <c r="D429" s="58" t="s">
        <v>9229</v>
      </c>
      <c r="E429" s="471" t="s">
        <v>9234</v>
      </c>
      <c r="F429" s="440"/>
      <c r="G429" s="440"/>
      <c r="H429" s="548">
        <v>28000.0</v>
      </c>
      <c r="I429" s="440" t="s">
        <v>9230</v>
      </c>
      <c r="J429" s="440" t="s">
        <v>2638</v>
      </c>
      <c r="K429" s="440" t="s">
        <v>49</v>
      </c>
      <c r="L429" s="440" t="s">
        <v>27</v>
      </c>
      <c r="M429" s="440" t="s">
        <v>8262</v>
      </c>
      <c r="N429" s="134">
        <v>44050.0</v>
      </c>
      <c r="O429" s="547">
        <v>49342.0</v>
      </c>
      <c r="P429" s="5">
        <v>43.0</v>
      </c>
      <c r="Q429" s="31">
        <f t="shared" si="16"/>
        <v>18941.5</v>
      </c>
    </row>
    <row r="430">
      <c r="A430" s="526" t="s">
        <v>9215</v>
      </c>
      <c r="B430" s="471" t="s">
        <v>9235</v>
      </c>
      <c r="C430" s="440" t="s">
        <v>44</v>
      </c>
      <c r="D430" s="58" t="s">
        <v>9224</v>
      </c>
      <c r="E430" s="471" t="s">
        <v>4338</v>
      </c>
      <c r="F430" s="440"/>
      <c r="G430" s="440"/>
      <c r="H430" s="440"/>
      <c r="I430" s="549">
        <v>45695.0</v>
      </c>
      <c r="J430" s="440" t="s">
        <v>25</v>
      </c>
      <c r="K430" s="440" t="s">
        <v>49</v>
      </c>
      <c r="L430" s="440" t="s">
        <v>27</v>
      </c>
      <c r="M430" s="440" t="s">
        <v>8262</v>
      </c>
      <c r="N430" s="134">
        <v>44722.0</v>
      </c>
      <c r="O430" s="547">
        <v>52772.0</v>
      </c>
      <c r="P430" s="5">
        <v>65.0</v>
      </c>
      <c r="Q430" s="31">
        <f t="shared" si="16"/>
        <v>29069.3</v>
      </c>
    </row>
    <row r="431">
      <c r="A431" s="526" t="s">
        <v>9215</v>
      </c>
      <c r="B431" s="471" t="s">
        <v>9236</v>
      </c>
      <c r="C431" s="440" t="s">
        <v>21</v>
      </c>
      <c r="D431" s="58" t="s">
        <v>9229</v>
      </c>
      <c r="E431" s="471" t="s">
        <v>9234</v>
      </c>
      <c r="F431" s="440"/>
      <c r="G431" s="440"/>
      <c r="H431" s="134">
        <v>28000.0</v>
      </c>
      <c r="I431" s="471" t="s">
        <v>9230</v>
      </c>
      <c r="J431" s="440" t="s">
        <v>2638</v>
      </c>
      <c r="K431" s="440" t="s">
        <v>49</v>
      </c>
      <c r="L431" s="440" t="s">
        <v>27</v>
      </c>
      <c r="M431" s="440" t="s">
        <v>8262</v>
      </c>
      <c r="N431" s="134">
        <v>44050.0</v>
      </c>
      <c r="O431" s="547">
        <v>49342.0</v>
      </c>
      <c r="P431" s="5">
        <v>43.0</v>
      </c>
      <c r="Q431" s="31">
        <f t="shared" si="16"/>
        <v>18941.5</v>
      </c>
    </row>
    <row r="432">
      <c r="A432" s="526" t="s">
        <v>9215</v>
      </c>
      <c r="B432" s="440" t="s">
        <v>7123</v>
      </c>
      <c r="C432" s="440" t="s">
        <v>21</v>
      </c>
      <c r="D432" s="58" t="s">
        <v>9237</v>
      </c>
      <c r="E432" s="471" t="s">
        <v>9238</v>
      </c>
      <c r="F432" s="440">
        <v>8.104702952E9</v>
      </c>
      <c r="G432" s="440"/>
      <c r="H432" s="88">
        <v>35000.0</v>
      </c>
      <c r="I432" s="471" t="s">
        <v>9230</v>
      </c>
      <c r="J432" s="440" t="s">
        <v>70</v>
      </c>
      <c r="K432" s="440" t="s">
        <v>49</v>
      </c>
      <c r="L432" s="440" t="s">
        <v>71</v>
      </c>
      <c r="M432" s="440" t="s">
        <v>8262</v>
      </c>
      <c r="N432" s="134">
        <v>48823.0</v>
      </c>
      <c r="O432" s="547">
        <v>54974.0</v>
      </c>
      <c r="P432" s="5">
        <v>23.0</v>
      </c>
      <c r="Q432" s="31">
        <f t="shared" si="16"/>
        <v>11229.29</v>
      </c>
    </row>
    <row r="433">
      <c r="A433" s="526" t="s">
        <v>9215</v>
      </c>
      <c r="B433" s="440" t="s">
        <v>9239</v>
      </c>
      <c r="C433" s="440" t="s">
        <v>1395</v>
      </c>
      <c r="D433" s="498" t="s">
        <v>9122</v>
      </c>
      <c r="E433" s="440" t="s">
        <v>9240</v>
      </c>
      <c r="F433" s="440"/>
      <c r="G433" s="440"/>
      <c r="H433" s="499">
        <v>2750.0</v>
      </c>
      <c r="I433" s="440" t="s">
        <v>3516</v>
      </c>
      <c r="J433" s="440" t="s">
        <v>1424</v>
      </c>
      <c r="K433" s="440" t="s">
        <v>49</v>
      </c>
      <c r="L433" s="440" t="s">
        <v>27</v>
      </c>
      <c r="M433" s="440" t="s">
        <v>8262</v>
      </c>
      <c r="N433" s="499">
        <v>18907.0</v>
      </c>
      <c r="O433" s="464">
        <v>21347.0</v>
      </c>
      <c r="P433" s="5">
        <v>52.0</v>
      </c>
      <c r="Q433" s="31">
        <f t="shared" si="16"/>
        <v>9831.64</v>
      </c>
    </row>
    <row r="434">
      <c r="A434" s="526" t="s">
        <v>9241</v>
      </c>
      <c r="B434" s="440" t="s">
        <v>3497</v>
      </c>
      <c r="C434" s="440" t="s">
        <v>21</v>
      </c>
      <c r="D434" s="440" t="s">
        <v>9242</v>
      </c>
      <c r="E434" s="440" t="s">
        <v>9243</v>
      </c>
      <c r="F434" s="440"/>
      <c r="G434" s="440"/>
      <c r="H434" s="464">
        <v>35000.0</v>
      </c>
      <c r="I434" s="440" t="s">
        <v>3516</v>
      </c>
      <c r="J434" s="440" t="s">
        <v>78</v>
      </c>
      <c r="K434" s="440" t="s">
        <v>49</v>
      </c>
      <c r="L434" s="440" t="s">
        <v>27</v>
      </c>
      <c r="M434" s="440" t="s">
        <v>8262</v>
      </c>
      <c r="N434" s="464">
        <v>47589.0</v>
      </c>
      <c r="O434" s="464">
        <v>53518.0</v>
      </c>
      <c r="P434" s="5">
        <v>23.0</v>
      </c>
      <c r="Q434" s="31">
        <f t="shared" si="16"/>
        <v>10945.47</v>
      </c>
    </row>
    <row r="435">
      <c r="A435" s="526" t="s">
        <v>9244</v>
      </c>
      <c r="B435" s="440" t="s">
        <v>3605</v>
      </c>
      <c r="C435" s="440" t="s">
        <v>1395</v>
      </c>
      <c r="D435" s="440" t="s">
        <v>9245</v>
      </c>
      <c r="E435" s="440" t="s">
        <v>9246</v>
      </c>
      <c r="F435" s="440"/>
      <c r="G435" s="440"/>
      <c r="H435" s="464">
        <v>1600.0</v>
      </c>
      <c r="I435" s="440" t="s">
        <v>3591</v>
      </c>
      <c r="J435" s="440" t="s">
        <v>78</v>
      </c>
      <c r="K435" s="440" t="s">
        <v>49</v>
      </c>
      <c r="L435" s="440" t="s">
        <v>71</v>
      </c>
      <c r="M435" s="440" t="s">
        <v>8262</v>
      </c>
      <c r="N435" s="464">
        <v>17024.0</v>
      </c>
      <c r="O435" s="464">
        <v>19126.0</v>
      </c>
      <c r="P435" s="5">
        <v>52.0</v>
      </c>
      <c r="Q435" s="31">
        <f t="shared" si="16"/>
        <v>8852.48</v>
      </c>
    </row>
    <row r="436">
      <c r="A436" s="526" t="s">
        <v>9244</v>
      </c>
      <c r="B436" s="440" t="s">
        <v>3659</v>
      </c>
      <c r="C436" s="440" t="s">
        <v>1395</v>
      </c>
      <c r="D436" s="440" t="s">
        <v>741</v>
      </c>
      <c r="E436" s="440" t="s">
        <v>3661</v>
      </c>
      <c r="F436" s="440"/>
      <c r="G436" s="440"/>
      <c r="H436" s="464">
        <v>3490.0</v>
      </c>
      <c r="I436" s="440" t="s">
        <v>3579</v>
      </c>
      <c r="J436" s="440" t="s">
        <v>116</v>
      </c>
      <c r="K436" s="440" t="s">
        <v>49</v>
      </c>
      <c r="L436" s="440" t="s">
        <v>27</v>
      </c>
      <c r="M436" s="440" t="s">
        <v>8262</v>
      </c>
      <c r="N436" s="443">
        <v>22481.0</v>
      </c>
      <c r="O436" s="443">
        <v>25559.0</v>
      </c>
      <c r="P436" s="5">
        <v>47.0</v>
      </c>
      <c r="Q436" s="31">
        <f t="shared" si="16"/>
        <v>10566.07</v>
      </c>
    </row>
    <row r="437">
      <c r="A437" s="526" t="s">
        <v>9244</v>
      </c>
      <c r="B437" s="440" t="s">
        <v>9247</v>
      </c>
      <c r="C437" s="440" t="s">
        <v>21</v>
      </c>
      <c r="D437" s="440" t="s">
        <v>9248</v>
      </c>
      <c r="E437" s="440" t="s">
        <v>9249</v>
      </c>
      <c r="F437" s="440"/>
      <c r="G437" s="440"/>
      <c r="H437" s="464">
        <v>35000.0</v>
      </c>
      <c r="I437" s="441" t="s">
        <v>3548</v>
      </c>
      <c r="J437" s="440" t="s">
        <v>70</v>
      </c>
      <c r="K437" s="440" t="s">
        <v>49</v>
      </c>
      <c r="L437" s="440" t="s">
        <v>27</v>
      </c>
      <c r="M437" s="440" t="s">
        <v>8262</v>
      </c>
      <c r="N437" s="443">
        <v>47473.0</v>
      </c>
      <c r="O437" s="443">
        <v>53381.0</v>
      </c>
      <c r="P437" s="5">
        <v>23.0</v>
      </c>
      <c r="Q437" s="31">
        <f t="shared" si="16"/>
        <v>10918.79</v>
      </c>
    </row>
    <row r="438">
      <c r="A438" s="526" t="s">
        <v>9244</v>
      </c>
      <c r="B438" s="440" t="s">
        <v>9250</v>
      </c>
      <c r="C438" s="440" t="s">
        <v>1395</v>
      </c>
      <c r="D438" s="440" t="s">
        <v>9251</v>
      </c>
      <c r="E438" s="440" t="s">
        <v>9252</v>
      </c>
      <c r="F438" s="440"/>
      <c r="G438" s="440"/>
      <c r="H438" s="464">
        <v>1850.0</v>
      </c>
      <c r="I438" s="440" t="s">
        <v>3548</v>
      </c>
      <c r="J438" s="440" t="s">
        <v>1424</v>
      </c>
      <c r="K438" s="440" t="s">
        <v>49</v>
      </c>
      <c r="L438" s="440" t="s">
        <v>27</v>
      </c>
      <c r="M438" s="440" t="s">
        <v>8262</v>
      </c>
      <c r="N438" s="464">
        <v>20361.0</v>
      </c>
      <c r="O438" s="464">
        <v>23063.0</v>
      </c>
      <c r="P438" s="5">
        <v>52.0</v>
      </c>
      <c r="Q438" s="31">
        <f t="shared" si="16"/>
        <v>10587.72</v>
      </c>
    </row>
    <row r="439">
      <c r="A439" s="526" t="s">
        <v>9244</v>
      </c>
      <c r="B439" s="440" t="s">
        <v>9253</v>
      </c>
      <c r="C439" s="440" t="s">
        <v>1432</v>
      </c>
      <c r="D439" s="440" t="s">
        <v>9254</v>
      </c>
      <c r="E439" s="440" t="s">
        <v>9255</v>
      </c>
      <c r="F439" s="440"/>
      <c r="G439" s="440"/>
      <c r="H439" s="440"/>
      <c r="I439" s="440" t="s">
        <v>3548</v>
      </c>
      <c r="J439" s="440" t="s">
        <v>1424</v>
      </c>
      <c r="K439" s="440" t="s">
        <v>49</v>
      </c>
      <c r="L439" s="440" t="s">
        <v>27</v>
      </c>
      <c r="M439" s="440" t="s">
        <v>8262</v>
      </c>
      <c r="N439" s="464">
        <v>6198.0</v>
      </c>
      <c r="O439" s="464">
        <v>7314.0</v>
      </c>
      <c r="P439" s="5">
        <v>53.0</v>
      </c>
      <c r="Q439" s="31">
        <f t="shared" si="16"/>
        <v>3284.94</v>
      </c>
    </row>
    <row r="440">
      <c r="A440" s="526" t="s">
        <v>9244</v>
      </c>
      <c r="B440" s="440" t="s">
        <v>9256</v>
      </c>
      <c r="C440" s="440" t="s">
        <v>21</v>
      </c>
      <c r="D440" s="440" t="s">
        <v>9257</v>
      </c>
      <c r="E440" s="440" t="s">
        <v>9258</v>
      </c>
      <c r="F440" s="440"/>
      <c r="G440" s="440"/>
      <c r="H440" s="464">
        <v>31000.0</v>
      </c>
      <c r="I440" s="441" t="s">
        <v>9259</v>
      </c>
      <c r="J440" s="440" t="s">
        <v>70</v>
      </c>
      <c r="K440" s="440" t="s">
        <v>49</v>
      </c>
      <c r="L440" s="440" t="s">
        <v>8392</v>
      </c>
      <c r="M440" s="440" t="s">
        <v>8262</v>
      </c>
      <c r="N440" s="443">
        <v>49118.0</v>
      </c>
      <c r="O440" s="443">
        <v>55322.0</v>
      </c>
      <c r="P440" s="5">
        <v>23.0</v>
      </c>
      <c r="Q440" s="31">
        <f t="shared" si="16"/>
        <v>11297.14</v>
      </c>
    </row>
    <row r="441">
      <c r="A441" s="526" t="s">
        <v>9244</v>
      </c>
      <c r="B441" s="440" t="s">
        <v>3525</v>
      </c>
      <c r="C441" s="440" t="s">
        <v>21</v>
      </c>
      <c r="D441" s="440" t="s">
        <v>9260</v>
      </c>
      <c r="E441" s="440" t="s">
        <v>1809</v>
      </c>
      <c r="F441" s="440"/>
      <c r="G441" s="440"/>
      <c r="H441" s="464">
        <v>35000.0</v>
      </c>
      <c r="I441" s="440" t="s">
        <v>3548</v>
      </c>
      <c r="J441" s="440" t="s">
        <v>70</v>
      </c>
      <c r="K441" s="440" t="s">
        <v>49</v>
      </c>
      <c r="L441" s="440" t="s">
        <v>71</v>
      </c>
      <c r="M441" s="440" t="s">
        <v>8262</v>
      </c>
      <c r="N441" s="443">
        <v>46023.0</v>
      </c>
      <c r="O441" s="443">
        <v>51670.0</v>
      </c>
      <c r="P441" s="5">
        <v>23.0</v>
      </c>
      <c r="Q441" s="31">
        <f t="shared" si="16"/>
        <v>10585.29</v>
      </c>
    </row>
    <row r="442">
      <c r="A442" s="526" t="s">
        <v>9225</v>
      </c>
      <c r="B442" s="440" t="s">
        <v>1370</v>
      </c>
      <c r="C442" s="440" t="s">
        <v>1395</v>
      </c>
      <c r="D442" s="440" t="s">
        <v>524</v>
      </c>
      <c r="E442" s="440" t="s">
        <v>3578</v>
      </c>
      <c r="F442" s="440"/>
      <c r="G442" s="440"/>
      <c r="H442" s="464">
        <v>3490.0</v>
      </c>
      <c r="I442" s="440" t="s">
        <v>3548</v>
      </c>
      <c r="J442" s="440" t="s">
        <v>116</v>
      </c>
      <c r="K442" s="440" t="s">
        <v>49</v>
      </c>
      <c r="L442" s="440" t="s">
        <v>27</v>
      </c>
      <c r="M442" s="440" t="s">
        <v>8262</v>
      </c>
      <c r="N442" s="443">
        <v>21346.0</v>
      </c>
      <c r="O442" s="443">
        <v>24220.0</v>
      </c>
      <c r="P442" s="5">
        <v>47.0</v>
      </c>
      <c r="Q442" s="31">
        <f t="shared" si="16"/>
        <v>10032.62</v>
      </c>
    </row>
    <row r="443">
      <c r="A443" s="526" t="s">
        <v>9225</v>
      </c>
      <c r="B443" s="440" t="s">
        <v>9261</v>
      </c>
      <c r="C443" s="440" t="s">
        <v>1432</v>
      </c>
      <c r="D443" s="440" t="s">
        <v>2125</v>
      </c>
      <c r="E443" s="440" t="s">
        <v>9262</v>
      </c>
      <c r="F443" s="440">
        <v>7.567551182E9</v>
      </c>
      <c r="G443" s="440"/>
      <c r="H443" s="440"/>
      <c r="I443" s="440" t="s">
        <v>3568</v>
      </c>
      <c r="J443" s="440" t="s">
        <v>1424</v>
      </c>
      <c r="K443" s="440" t="s">
        <v>49</v>
      </c>
      <c r="L443" s="440" t="s">
        <v>1616</v>
      </c>
      <c r="M443" s="440" t="s">
        <v>8262</v>
      </c>
      <c r="N443" s="464">
        <v>6659.0</v>
      </c>
      <c r="O443" s="464">
        <v>7857.0</v>
      </c>
      <c r="P443" s="5">
        <v>53.0</v>
      </c>
      <c r="Q443" s="31">
        <f t="shared" si="16"/>
        <v>3529.27</v>
      </c>
    </row>
    <row r="444">
      <c r="A444" s="526" t="s">
        <v>9225</v>
      </c>
      <c r="B444" s="440" t="s">
        <v>3565</v>
      </c>
      <c r="C444" s="440" t="s">
        <v>1395</v>
      </c>
      <c r="D444" s="498" t="s">
        <v>9263</v>
      </c>
      <c r="E444" s="440" t="s">
        <v>9264</v>
      </c>
      <c r="F444" s="440"/>
      <c r="G444" s="440"/>
      <c r="H444" s="499">
        <v>1550.0</v>
      </c>
      <c r="I444" s="440" t="s">
        <v>3568</v>
      </c>
      <c r="J444" s="440" t="s">
        <v>1424</v>
      </c>
      <c r="K444" s="440" t="s">
        <v>49</v>
      </c>
      <c r="L444" s="440" t="s">
        <v>27</v>
      </c>
      <c r="M444" s="440" t="s">
        <v>8262</v>
      </c>
      <c r="N444" s="499">
        <v>16860.0</v>
      </c>
      <c r="O444" s="464">
        <v>18932.0</v>
      </c>
      <c r="P444" s="5">
        <v>52.0</v>
      </c>
      <c r="Q444" s="31">
        <f t="shared" si="16"/>
        <v>8767.2</v>
      </c>
    </row>
    <row r="445">
      <c r="A445" s="126"/>
      <c r="F445" s="236"/>
    </row>
    <row r="446">
      <c r="A446" s="126"/>
      <c r="F446" s="236"/>
    </row>
    <row r="447">
      <c r="A447" s="126"/>
      <c r="F447" s="236"/>
    </row>
    <row r="448">
      <c r="A448" s="526" t="s">
        <v>9265</v>
      </c>
      <c r="B448" s="479" t="s">
        <v>3603</v>
      </c>
      <c r="C448" s="479" t="s">
        <v>1395</v>
      </c>
      <c r="D448" s="479" t="s">
        <v>9266</v>
      </c>
      <c r="E448" s="479" t="s">
        <v>9267</v>
      </c>
      <c r="F448" s="481">
        <v>9.313003869E9</v>
      </c>
      <c r="G448" s="479"/>
      <c r="H448" s="481">
        <v>2565.0</v>
      </c>
      <c r="I448" s="479" t="s">
        <v>3579</v>
      </c>
      <c r="J448" s="479" t="s">
        <v>1424</v>
      </c>
      <c r="K448" s="479" t="s">
        <v>49</v>
      </c>
      <c r="L448" s="479" t="s">
        <v>27</v>
      </c>
      <c r="M448" s="479" t="s">
        <v>8262</v>
      </c>
      <c r="N448" s="481">
        <v>20815.0</v>
      </c>
      <c r="O448" s="481">
        <v>23599.0</v>
      </c>
      <c r="P448" s="5">
        <v>52.0</v>
      </c>
      <c r="Q448" s="31">
        <f t="shared" ref="Q448:Q475" si="17">N448*P448%</f>
        <v>10823.8</v>
      </c>
    </row>
    <row r="449">
      <c r="A449" s="526" t="s">
        <v>9265</v>
      </c>
      <c r="B449" s="440" t="s">
        <v>3472</v>
      </c>
      <c r="C449" s="440" t="s">
        <v>1405</v>
      </c>
      <c r="D449" s="440" t="s">
        <v>9268</v>
      </c>
      <c r="E449" s="440" t="s">
        <v>9269</v>
      </c>
      <c r="F449" s="464">
        <v>7.434913487E9</v>
      </c>
      <c r="G449" s="440"/>
      <c r="H449" s="464">
        <v>990.0</v>
      </c>
      <c r="I449" s="440" t="s">
        <v>3579</v>
      </c>
      <c r="J449" s="440" t="s">
        <v>78</v>
      </c>
      <c r="K449" s="440" t="s">
        <v>49</v>
      </c>
      <c r="L449" s="440" t="s">
        <v>71</v>
      </c>
      <c r="M449" s="440" t="s">
        <v>8262</v>
      </c>
      <c r="N449" s="443">
        <v>5373.0</v>
      </c>
      <c r="O449" s="443">
        <v>6071.0</v>
      </c>
      <c r="P449" s="5">
        <v>52.0</v>
      </c>
      <c r="Q449" s="31">
        <f t="shared" si="17"/>
        <v>2793.96</v>
      </c>
    </row>
    <row r="450">
      <c r="A450" s="526" t="s">
        <v>9265</v>
      </c>
      <c r="B450" s="440" t="s">
        <v>1378</v>
      </c>
      <c r="C450" s="440" t="s">
        <v>21</v>
      </c>
      <c r="D450" s="440" t="s">
        <v>9270</v>
      </c>
      <c r="E450" s="440" t="s">
        <v>8440</v>
      </c>
      <c r="F450" s="464">
        <v>9.925544273E9</v>
      </c>
      <c r="G450" s="440"/>
      <c r="H450" s="464">
        <v>5700.0</v>
      </c>
      <c r="I450" s="440" t="s">
        <v>3579</v>
      </c>
      <c r="J450" s="440" t="s">
        <v>25</v>
      </c>
      <c r="K450" s="440" t="s">
        <v>26</v>
      </c>
      <c r="L450" s="440" t="s">
        <v>71</v>
      </c>
      <c r="M450" s="440" t="s">
        <v>8262</v>
      </c>
      <c r="N450" s="467">
        <v>16149.0</v>
      </c>
      <c r="O450" s="464">
        <v>18093.0</v>
      </c>
      <c r="P450" s="5">
        <v>36.0</v>
      </c>
      <c r="Q450" s="31">
        <f t="shared" si="17"/>
        <v>5813.64</v>
      </c>
    </row>
    <row r="451">
      <c r="A451" s="526" t="s">
        <v>9265</v>
      </c>
      <c r="B451" s="440" t="s">
        <v>3580</v>
      </c>
      <c r="C451" s="440" t="s">
        <v>21</v>
      </c>
      <c r="D451" s="440" t="s">
        <v>9271</v>
      </c>
      <c r="E451" s="440" t="s">
        <v>9272</v>
      </c>
      <c r="F451" s="464">
        <v>9.979078037E9</v>
      </c>
      <c r="G451" s="440"/>
      <c r="H451" s="464">
        <v>35000.0</v>
      </c>
      <c r="I451" s="440" t="s">
        <v>3568</v>
      </c>
      <c r="J451" s="440" t="s">
        <v>1424</v>
      </c>
      <c r="K451" s="440" t="s">
        <v>49</v>
      </c>
      <c r="L451" s="440" t="s">
        <v>27</v>
      </c>
      <c r="M451" s="440" t="s">
        <v>8262</v>
      </c>
      <c r="N451" s="443">
        <v>47886.0</v>
      </c>
      <c r="O451" s="530">
        <v>53868.0</v>
      </c>
      <c r="P451" s="5">
        <v>22.0</v>
      </c>
      <c r="Q451" s="31">
        <f t="shared" si="17"/>
        <v>10534.92</v>
      </c>
    </row>
    <row r="452">
      <c r="A452" s="526" t="s">
        <v>9273</v>
      </c>
      <c r="B452" s="440" t="s">
        <v>9274</v>
      </c>
      <c r="C452" s="440" t="s">
        <v>21</v>
      </c>
      <c r="D452" s="440" t="s">
        <v>9257</v>
      </c>
      <c r="E452" s="440" t="s">
        <v>9275</v>
      </c>
      <c r="F452" s="440"/>
      <c r="G452" s="440"/>
      <c r="H452" s="464">
        <v>31000.0</v>
      </c>
      <c r="I452" s="440" t="s">
        <v>3591</v>
      </c>
      <c r="J452" s="396" t="s">
        <v>70</v>
      </c>
      <c r="K452" s="440" t="s">
        <v>49</v>
      </c>
      <c r="L452" s="440" t="s">
        <v>8392</v>
      </c>
      <c r="M452" s="440" t="s">
        <v>8262</v>
      </c>
      <c r="N452" s="443">
        <v>49798.0</v>
      </c>
      <c r="O452" s="443">
        <v>56125.0</v>
      </c>
      <c r="P452" s="5">
        <v>23.0</v>
      </c>
      <c r="Q452" s="31">
        <f t="shared" si="17"/>
        <v>11453.54</v>
      </c>
    </row>
    <row r="453">
      <c r="A453" s="526" t="s">
        <v>9273</v>
      </c>
      <c r="B453" s="440" t="s">
        <v>9276</v>
      </c>
      <c r="C453" s="440" t="s">
        <v>1395</v>
      </c>
      <c r="D453" s="440" t="s">
        <v>2912</v>
      </c>
      <c r="E453" s="440" t="s">
        <v>9277</v>
      </c>
      <c r="F453" s="440"/>
      <c r="G453" s="440"/>
      <c r="H453" s="464">
        <v>1600.0</v>
      </c>
      <c r="I453" s="440" t="s">
        <v>3579</v>
      </c>
      <c r="J453" s="440" t="s">
        <v>1424</v>
      </c>
      <c r="K453" s="440" t="s">
        <v>49</v>
      </c>
      <c r="L453" s="440" t="s">
        <v>27</v>
      </c>
      <c r="M453" s="440" t="s">
        <v>8262</v>
      </c>
      <c r="N453" s="443">
        <v>19393.0</v>
      </c>
      <c r="O453" s="443">
        <v>21921.0</v>
      </c>
      <c r="P453" s="5">
        <v>52.0</v>
      </c>
      <c r="Q453" s="31">
        <f t="shared" si="17"/>
        <v>10084.36</v>
      </c>
    </row>
    <row r="454">
      <c r="A454" s="526" t="s">
        <v>9273</v>
      </c>
      <c r="B454" s="440" t="s">
        <v>3756</v>
      </c>
      <c r="C454" s="440" t="s">
        <v>1395</v>
      </c>
      <c r="D454" s="440" t="s">
        <v>3790</v>
      </c>
      <c r="E454" s="440" t="s">
        <v>9278</v>
      </c>
      <c r="F454" s="440"/>
      <c r="G454" s="440"/>
      <c r="H454" s="464">
        <v>3425.0</v>
      </c>
      <c r="I454" s="440" t="s">
        <v>3591</v>
      </c>
      <c r="J454" s="440" t="s">
        <v>116</v>
      </c>
      <c r="K454" s="440" t="s">
        <v>49</v>
      </c>
      <c r="L454" s="440" t="s">
        <v>71</v>
      </c>
      <c r="M454" s="440" t="s">
        <v>8262</v>
      </c>
      <c r="N454" s="443">
        <v>21541.0</v>
      </c>
      <c r="O454" s="443">
        <v>24451.0</v>
      </c>
      <c r="P454" s="5">
        <v>47.0</v>
      </c>
      <c r="Q454" s="31">
        <f t="shared" si="17"/>
        <v>10124.27</v>
      </c>
    </row>
    <row r="455">
      <c r="A455" s="526" t="s">
        <v>9273</v>
      </c>
      <c r="B455" s="440" t="s">
        <v>9279</v>
      </c>
      <c r="C455" s="440" t="s">
        <v>1395</v>
      </c>
      <c r="D455" s="440" t="s">
        <v>3790</v>
      </c>
      <c r="E455" s="440" t="s">
        <v>9280</v>
      </c>
      <c r="F455" s="440"/>
      <c r="G455" s="440"/>
      <c r="H455" s="464">
        <v>3425.0</v>
      </c>
      <c r="I455" s="440" t="s">
        <v>3619</v>
      </c>
      <c r="J455" s="440" t="s">
        <v>116</v>
      </c>
      <c r="K455" s="440" t="s">
        <v>49</v>
      </c>
      <c r="L455" s="440" t="s">
        <v>8392</v>
      </c>
      <c r="M455" s="440" t="s">
        <v>8262</v>
      </c>
      <c r="N455" s="443">
        <v>22211.0</v>
      </c>
      <c r="O455" s="443">
        <v>25240.0</v>
      </c>
      <c r="P455" s="5">
        <v>47.0</v>
      </c>
      <c r="Q455" s="31">
        <f t="shared" si="17"/>
        <v>10439.17</v>
      </c>
    </row>
    <row r="456">
      <c r="A456" s="526" t="s">
        <v>9222</v>
      </c>
      <c r="B456" s="440" t="s">
        <v>7509</v>
      </c>
      <c r="C456" s="440" t="s">
        <v>1395</v>
      </c>
      <c r="D456" s="440" t="s">
        <v>9281</v>
      </c>
      <c r="E456" s="440" t="s">
        <v>9282</v>
      </c>
      <c r="F456" s="440"/>
      <c r="G456" s="440"/>
      <c r="H456" s="464">
        <v>2700.0</v>
      </c>
      <c r="I456" s="440" t="s">
        <v>3591</v>
      </c>
      <c r="J456" s="440" t="s">
        <v>116</v>
      </c>
      <c r="K456" s="440" t="s">
        <v>49</v>
      </c>
      <c r="L456" s="440" t="s">
        <v>71</v>
      </c>
      <c r="M456" s="440" t="s">
        <v>8262</v>
      </c>
      <c r="N456" s="443">
        <v>19860.0</v>
      </c>
      <c r="O456" s="443">
        <v>22466.0</v>
      </c>
      <c r="P456" s="5">
        <v>47.0</v>
      </c>
      <c r="Q456" s="31">
        <f t="shared" si="17"/>
        <v>9334.2</v>
      </c>
    </row>
    <row r="457">
      <c r="A457" s="526" t="s">
        <v>9283</v>
      </c>
      <c r="B457" s="440" t="s">
        <v>3671</v>
      </c>
      <c r="C457" s="440" t="s">
        <v>21</v>
      </c>
      <c r="D457" s="440" t="s">
        <v>9284</v>
      </c>
      <c r="E457" s="440" t="s">
        <v>9285</v>
      </c>
      <c r="F457" s="440"/>
      <c r="G457" s="440"/>
      <c r="H457" s="443">
        <v>15910.0</v>
      </c>
      <c r="I457" s="440" t="s">
        <v>3647</v>
      </c>
      <c r="J457" s="440" t="s">
        <v>2638</v>
      </c>
      <c r="K457" s="440" t="s">
        <v>49</v>
      </c>
      <c r="L457" s="440" t="s">
        <v>71</v>
      </c>
      <c r="M457" s="440" t="s">
        <v>8262</v>
      </c>
      <c r="N457" s="443">
        <v>35413.0</v>
      </c>
      <c r="O457" s="465">
        <v>39668.56</v>
      </c>
      <c r="P457" s="5">
        <v>43.0</v>
      </c>
      <c r="Q457" s="31">
        <f t="shared" si="17"/>
        <v>15227.59</v>
      </c>
    </row>
    <row r="458">
      <c r="A458" s="526" t="s">
        <v>9286</v>
      </c>
      <c r="B458" s="440" t="s">
        <v>7138</v>
      </c>
      <c r="C458" s="440" t="s">
        <v>1395</v>
      </c>
      <c r="D458" s="440" t="s">
        <v>2112</v>
      </c>
      <c r="E458" s="440" t="s">
        <v>9287</v>
      </c>
      <c r="F458" s="440"/>
      <c r="G458" s="440"/>
      <c r="H458" s="464">
        <v>1600.0</v>
      </c>
      <c r="I458" s="440" t="s">
        <v>3658</v>
      </c>
      <c r="J458" s="440" t="s">
        <v>1424</v>
      </c>
      <c r="K458" s="440" t="s">
        <v>49</v>
      </c>
      <c r="L458" s="440" t="s">
        <v>71</v>
      </c>
      <c r="M458" s="440" t="s">
        <v>8262</v>
      </c>
      <c r="N458" s="443">
        <v>18477.0</v>
      </c>
      <c r="O458" s="443">
        <v>20841.0</v>
      </c>
      <c r="P458" s="5">
        <v>52.0</v>
      </c>
      <c r="Q458" s="31">
        <f t="shared" si="17"/>
        <v>9608.04</v>
      </c>
    </row>
    <row r="459">
      <c r="A459" s="526" t="s">
        <v>9286</v>
      </c>
      <c r="B459" s="440" t="s">
        <v>9288</v>
      </c>
      <c r="C459" s="440" t="s">
        <v>1395</v>
      </c>
      <c r="D459" s="440" t="s">
        <v>9289</v>
      </c>
      <c r="E459" s="440" t="s">
        <v>9290</v>
      </c>
      <c r="F459" s="440"/>
      <c r="G459" s="440"/>
      <c r="H459" s="464">
        <v>2700.0</v>
      </c>
      <c r="I459" s="440" t="s">
        <v>3693</v>
      </c>
      <c r="J459" s="440" t="s">
        <v>116</v>
      </c>
      <c r="K459" s="440" t="s">
        <v>49</v>
      </c>
      <c r="L459" s="440" t="s">
        <v>3028</v>
      </c>
      <c r="M459" s="440" t="s">
        <v>8262</v>
      </c>
      <c r="N459" s="443">
        <v>18782.0</v>
      </c>
      <c r="O459" s="443">
        <v>21196.0</v>
      </c>
      <c r="P459" s="5">
        <v>47.0</v>
      </c>
      <c r="Q459" s="31">
        <f t="shared" si="17"/>
        <v>8827.54</v>
      </c>
    </row>
    <row r="460">
      <c r="A460" s="526" t="s">
        <v>9291</v>
      </c>
      <c r="B460" s="440" t="s">
        <v>3677</v>
      </c>
      <c r="C460" s="440" t="s">
        <v>1395</v>
      </c>
      <c r="D460" s="440" t="s">
        <v>2116</v>
      </c>
      <c r="E460" s="440" t="s">
        <v>3679</v>
      </c>
      <c r="F460" s="440"/>
      <c r="G460" s="440"/>
      <c r="H460" s="464">
        <v>1600.0</v>
      </c>
      <c r="I460" s="440" t="s">
        <v>3647</v>
      </c>
      <c r="J460" s="440" t="s">
        <v>1424</v>
      </c>
      <c r="K460" s="440" t="s">
        <v>49</v>
      </c>
      <c r="L460" s="440" t="s">
        <v>71</v>
      </c>
      <c r="M460" s="440" t="s">
        <v>8262</v>
      </c>
      <c r="N460" s="443">
        <v>19593.0</v>
      </c>
      <c r="O460" s="443">
        <v>22157.0</v>
      </c>
      <c r="P460" s="5">
        <v>52.0</v>
      </c>
      <c r="Q460" s="31">
        <f t="shared" si="17"/>
        <v>10188.36</v>
      </c>
    </row>
    <row r="461">
      <c r="A461" s="526" t="s">
        <v>9292</v>
      </c>
      <c r="B461" s="440" t="s">
        <v>9293</v>
      </c>
      <c r="C461" s="440" t="s">
        <v>533</v>
      </c>
      <c r="D461" s="440" t="s">
        <v>9294</v>
      </c>
      <c r="E461" s="440" t="s">
        <v>9295</v>
      </c>
      <c r="F461" s="440"/>
      <c r="G461" s="440"/>
      <c r="H461" s="440"/>
      <c r="I461" s="440" t="s">
        <v>3685</v>
      </c>
      <c r="J461" s="440" t="s">
        <v>78</v>
      </c>
      <c r="K461" s="440" t="s">
        <v>49</v>
      </c>
      <c r="L461" s="440" t="s">
        <v>27</v>
      </c>
      <c r="M461" s="440" t="s">
        <v>8262</v>
      </c>
      <c r="N461" s="443">
        <v>7544.0</v>
      </c>
      <c r="O461" s="443">
        <v>8902.0</v>
      </c>
      <c r="P461" s="5">
        <v>47.0</v>
      </c>
      <c r="Q461" s="31">
        <f t="shared" si="17"/>
        <v>3545.68</v>
      </c>
    </row>
    <row r="462">
      <c r="A462" s="526" t="s">
        <v>9292</v>
      </c>
      <c r="B462" s="440" t="s">
        <v>9296</v>
      </c>
      <c r="C462" s="440" t="s">
        <v>21</v>
      </c>
      <c r="D462" s="440" t="s">
        <v>9003</v>
      </c>
      <c r="E462" s="440" t="s">
        <v>9120</v>
      </c>
      <c r="F462" s="440"/>
      <c r="G462" s="440"/>
      <c r="H462" s="464">
        <v>11900.0</v>
      </c>
      <c r="I462" s="440" t="s">
        <v>9297</v>
      </c>
      <c r="J462" s="440" t="s">
        <v>25</v>
      </c>
      <c r="K462" s="440" t="s">
        <v>49</v>
      </c>
      <c r="L462" s="440" t="s">
        <v>27</v>
      </c>
      <c r="M462" s="440" t="s">
        <v>8262</v>
      </c>
      <c r="N462" s="443">
        <v>32060.0</v>
      </c>
      <c r="O462" s="443">
        <v>36200.0</v>
      </c>
      <c r="P462" s="5">
        <v>26.0</v>
      </c>
      <c r="Q462" s="31">
        <f t="shared" si="17"/>
        <v>8335.6</v>
      </c>
    </row>
    <row r="463">
      <c r="A463" s="526" t="s">
        <v>9292</v>
      </c>
      <c r="B463" s="440" t="s">
        <v>3717</v>
      </c>
      <c r="C463" s="440" t="s">
        <v>21</v>
      </c>
      <c r="D463" s="440" t="s">
        <v>9298</v>
      </c>
      <c r="E463" s="440" t="s">
        <v>9299</v>
      </c>
      <c r="F463" s="440"/>
      <c r="G463" s="440"/>
      <c r="H463" s="443">
        <v>9600.0</v>
      </c>
      <c r="I463" s="440" t="s">
        <v>3693</v>
      </c>
      <c r="J463" s="440" t="s">
        <v>9300</v>
      </c>
      <c r="K463" s="440" t="s">
        <v>26</v>
      </c>
      <c r="L463" s="440" t="s">
        <v>27</v>
      </c>
      <c r="M463" s="440" t="s">
        <v>8262</v>
      </c>
      <c r="N463" s="443">
        <v>27661.0</v>
      </c>
      <c r="O463" s="465">
        <v>31009.0</v>
      </c>
      <c r="P463" s="5">
        <v>43.0</v>
      </c>
      <c r="Q463" s="31">
        <f t="shared" si="17"/>
        <v>11894.23</v>
      </c>
    </row>
    <row r="464">
      <c r="A464" s="526" t="s">
        <v>9301</v>
      </c>
      <c r="B464" s="440" t="s">
        <v>7271</v>
      </c>
      <c r="C464" s="440" t="s">
        <v>21</v>
      </c>
      <c r="D464" s="440" t="s">
        <v>9302</v>
      </c>
      <c r="E464" s="440" t="s">
        <v>4333</v>
      </c>
      <c r="F464" s="440"/>
      <c r="G464" s="440"/>
      <c r="H464" s="464">
        <v>35000.0</v>
      </c>
      <c r="I464" s="440" t="s">
        <v>3693</v>
      </c>
      <c r="J464" s="396" t="s">
        <v>70</v>
      </c>
      <c r="K464" s="440" t="s">
        <v>49</v>
      </c>
      <c r="L464" s="440" t="s">
        <v>71</v>
      </c>
      <c r="M464" s="440" t="s">
        <v>8262</v>
      </c>
      <c r="N464" s="443">
        <v>48056.0</v>
      </c>
      <c r="O464" s="443">
        <v>54069.0</v>
      </c>
      <c r="P464" s="5">
        <v>23.0</v>
      </c>
      <c r="Q464" s="31">
        <f t="shared" si="17"/>
        <v>11052.88</v>
      </c>
    </row>
    <row r="465">
      <c r="A465" s="100" t="s">
        <v>9301</v>
      </c>
      <c r="B465" s="8" t="s">
        <v>3746</v>
      </c>
      <c r="C465" s="8" t="s">
        <v>1395</v>
      </c>
      <c r="D465" s="8" t="s">
        <v>9303</v>
      </c>
      <c r="E465" s="8" t="s">
        <v>9304</v>
      </c>
      <c r="F465" s="8"/>
      <c r="G465" s="440"/>
      <c r="H465" s="464">
        <v>2995.0</v>
      </c>
      <c r="I465" s="440" t="s">
        <v>9305</v>
      </c>
      <c r="J465" s="440" t="s">
        <v>9300</v>
      </c>
      <c r="K465" s="440" t="s">
        <v>49</v>
      </c>
      <c r="L465" s="440" t="s">
        <v>71</v>
      </c>
      <c r="M465" s="440" t="s">
        <v>8262</v>
      </c>
      <c r="N465" s="464">
        <v>19577.0</v>
      </c>
      <c r="O465" s="464">
        <v>22139.0</v>
      </c>
      <c r="P465" s="5">
        <v>50.0</v>
      </c>
      <c r="Q465" s="31">
        <f t="shared" si="17"/>
        <v>9788.5</v>
      </c>
    </row>
    <row r="466">
      <c r="A466" s="100" t="s">
        <v>9306</v>
      </c>
      <c r="B466" s="8" t="s">
        <v>9307</v>
      </c>
      <c r="C466" s="8" t="s">
        <v>21</v>
      </c>
      <c r="D466" s="8" t="s">
        <v>1936</v>
      </c>
      <c r="E466" s="8" t="s">
        <v>9308</v>
      </c>
      <c r="F466" s="8"/>
      <c r="G466" s="440"/>
      <c r="H466" s="464">
        <v>35000.0</v>
      </c>
      <c r="I466" s="440" t="s">
        <v>9305</v>
      </c>
      <c r="J466" s="396" t="s">
        <v>70</v>
      </c>
      <c r="K466" s="440" t="s">
        <v>49</v>
      </c>
      <c r="L466" s="440" t="s">
        <v>27</v>
      </c>
      <c r="M466" s="440" t="s">
        <v>8262</v>
      </c>
      <c r="N466" s="443">
        <v>47247.0</v>
      </c>
      <c r="O466" s="443">
        <v>53114.0</v>
      </c>
      <c r="P466" s="5">
        <v>23.0</v>
      </c>
      <c r="Q466" s="31">
        <f t="shared" si="17"/>
        <v>10866.81</v>
      </c>
    </row>
    <row r="467">
      <c r="A467" s="100" t="s">
        <v>9309</v>
      </c>
      <c r="B467" s="8" t="s">
        <v>9310</v>
      </c>
      <c r="C467" s="8" t="s">
        <v>21</v>
      </c>
      <c r="D467" s="8" t="s">
        <v>9311</v>
      </c>
      <c r="E467" s="8" t="s">
        <v>9312</v>
      </c>
      <c r="F467" s="8"/>
      <c r="G467" s="440"/>
      <c r="H467" s="464">
        <v>31000.0</v>
      </c>
      <c r="I467" s="440" t="s">
        <v>9305</v>
      </c>
      <c r="J467" s="396" t="s">
        <v>70</v>
      </c>
      <c r="K467" s="440" t="s">
        <v>49</v>
      </c>
      <c r="L467" s="440" t="s">
        <v>27</v>
      </c>
      <c r="M467" s="440" t="s">
        <v>8262</v>
      </c>
      <c r="N467" s="443">
        <v>46897.0</v>
      </c>
      <c r="O467" s="443">
        <v>52702.0</v>
      </c>
      <c r="P467" s="5">
        <v>23.0</v>
      </c>
      <c r="Q467" s="31">
        <f t="shared" si="17"/>
        <v>10786.31</v>
      </c>
    </row>
    <row r="468">
      <c r="A468" s="100" t="s">
        <v>9309</v>
      </c>
      <c r="B468" s="8" t="s">
        <v>9313</v>
      </c>
      <c r="C468" s="86" t="s">
        <v>1759</v>
      </c>
      <c r="D468" s="8" t="s">
        <v>9314</v>
      </c>
      <c r="E468" s="8" t="s">
        <v>9315</v>
      </c>
      <c r="F468" s="8"/>
      <c r="G468" s="440"/>
      <c r="H468" s="440"/>
      <c r="I468" s="440" t="s">
        <v>3716</v>
      </c>
      <c r="J468" s="440" t="s">
        <v>9300</v>
      </c>
      <c r="K468" s="440" t="s">
        <v>49</v>
      </c>
      <c r="L468" s="440" t="s">
        <v>1616</v>
      </c>
      <c r="M468" s="440" t="s">
        <v>8262</v>
      </c>
      <c r="N468" s="464">
        <v>6475.0</v>
      </c>
      <c r="O468" s="464">
        <v>7641.0</v>
      </c>
      <c r="P468" s="5">
        <v>52.0</v>
      </c>
      <c r="Q468" s="31">
        <f t="shared" si="17"/>
        <v>3367</v>
      </c>
    </row>
    <row r="469">
      <c r="A469" s="100" t="s">
        <v>9309</v>
      </c>
      <c r="B469" s="8" t="s">
        <v>7157</v>
      </c>
      <c r="C469" s="8" t="s">
        <v>1395</v>
      </c>
      <c r="D469" s="8" t="s">
        <v>8520</v>
      </c>
      <c r="E469" s="8" t="s">
        <v>9316</v>
      </c>
      <c r="F469" s="8"/>
      <c r="G469" s="8"/>
      <c r="H469" s="21">
        <v>1285.0</v>
      </c>
      <c r="I469" s="8" t="s">
        <v>3716</v>
      </c>
      <c r="J469" s="8" t="s">
        <v>9300</v>
      </c>
      <c r="K469" s="8" t="s">
        <v>49</v>
      </c>
      <c r="L469" s="8" t="s">
        <v>71</v>
      </c>
      <c r="M469" s="8" t="s">
        <v>8262</v>
      </c>
      <c r="N469" s="21">
        <v>17012.0</v>
      </c>
      <c r="O469" s="21">
        <v>19112.0</v>
      </c>
      <c r="P469" s="5">
        <v>52.0</v>
      </c>
      <c r="Q469" s="31">
        <f t="shared" si="17"/>
        <v>8846.24</v>
      </c>
    </row>
    <row r="470">
      <c r="A470" s="100" t="s">
        <v>9309</v>
      </c>
      <c r="B470" s="8" t="s">
        <v>3762</v>
      </c>
      <c r="C470" s="8" t="s">
        <v>1395</v>
      </c>
      <c r="D470" s="8" t="s">
        <v>2243</v>
      </c>
      <c r="E470" s="8" t="s">
        <v>9317</v>
      </c>
      <c r="F470" s="8"/>
      <c r="G470" s="8"/>
      <c r="H470" s="21">
        <v>2750.0</v>
      </c>
      <c r="I470" s="22">
        <v>45662.0</v>
      </c>
      <c r="J470" s="8" t="s">
        <v>1424</v>
      </c>
      <c r="K470" s="8" t="s">
        <v>49</v>
      </c>
      <c r="L470" s="8" t="s">
        <v>219</v>
      </c>
      <c r="M470" s="8" t="s">
        <v>8262</v>
      </c>
      <c r="N470" s="21">
        <v>20491.0</v>
      </c>
      <c r="O470" s="21">
        <v>23217.0</v>
      </c>
      <c r="P470" s="5">
        <v>52.0</v>
      </c>
      <c r="Q470" s="31">
        <f t="shared" si="17"/>
        <v>10655.32</v>
      </c>
    </row>
    <row r="471">
      <c r="A471" s="100" t="s">
        <v>9318</v>
      </c>
      <c r="B471" s="8" t="s">
        <v>9319</v>
      </c>
      <c r="C471" s="8" t="s">
        <v>21</v>
      </c>
      <c r="D471" s="8" t="s">
        <v>9320</v>
      </c>
      <c r="E471" s="8" t="s">
        <v>9321</v>
      </c>
      <c r="F471" s="8"/>
      <c r="G471" s="8"/>
      <c r="H471" s="21">
        <v>11990.0</v>
      </c>
      <c r="I471" s="7" t="s">
        <v>3722</v>
      </c>
      <c r="J471" s="8" t="s">
        <v>25</v>
      </c>
      <c r="K471" s="8" t="s">
        <v>49</v>
      </c>
      <c r="L471" s="8" t="s">
        <v>27</v>
      </c>
      <c r="M471" s="8" t="s">
        <v>8262</v>
      </c>
      <c r="N471" s="96">
        <v>31024.0</v>
      </c>
      <c r="O471" s="96">
        <v>34977.0</v>
      </c>
      <c r="P471" s="5">
        <v>26.0</v>
      </c>
      <c r="Q471" s="31">
        <f t="shared" si="17"/>
        <v>8066.24</v>
      </c>
    </row>
    <row r="472">
      <c r="A472" s="100" t="s">
        <v>9318</v>
      </c>
      <c r="B472" s="8" t="s">
        <v>3735</v>
      </c>
      <c r="C472" s="8" t="s">
        <v>21</v>
      </c>
      <c r="D472" s="8" t="s">
        <v>9320</v>
      </c>
      <c r="E472" s="8" t="s">
        <v>9322</v>
      </c>
      <c r="F472" s="8"/>
      <c r="G472" s="8"/>
      <c r="H472" s="21">
        <v>11990.0</v>
      </c>
      <c r="I472" s="7" t="s">
        <v>3716</v>
      </c>
      <c r="J472" s="8" t="s">
        <v>25</v>
      </c>
      <c r="K472" s="8" t="s">
        <v>49</v>
      </c>
      <c r="L472" s="8" t="s">
        <v>27</v>
      </c>
      <c r="M472" s="8" t="s">
        <v>8262</v>
      </c>
      <c r="N472" s="96">
        <v>29440.0</v>
      </c>
      <c r="O472" s="96">
        <v>33108.0</v>
      </c>
      <c r="P472" s="5">
        <v>26.0</v>
      </c>
      <c r="Q472" s="31">
        <f t="shared" si="17"/>
        <v>7654.4</v>
      </c>
    </row>
    <row r="473">
      <c r="A473" s="100" t="s">
        <v>9318</v>
      </c>
      <c r="B473" s="8" t="s">
        <v>3728</v>
      </c>
      <c r="C473" s="8" t="s">
        <v>1395</v>
      </c>
      <c r="D473" s="8" t="s">
        <v>2912</v>
      </c>
      <c r="E473" s="8" t="s">
        <v>9323</v>
      </c>
      <c r="F473" s="8"/>
      <c r="G473" s="8"/>
      <c r="H473" s="21">
        <v>1600.0</v>
      </c>
      <c r="I473" s="8" t="s">
        <v>3716</v>
      </c>
      <c r="J473" s="8" t="s">
        <v>1424</v>
      </c>
      <c r="K473" s="8" t="s">
        <v>49</v>
      </c>
      <c r="L473" s="8" t="s">
        <v>8392</v>
      </c>
      <c r="M473" s="8" t="s">
        <v>8262</v>
      </c>
      <c r="N473" s="21">
        <v>19208.0</v>
      </c>
      <c r="O473" s="21">
        <v>21702.0</v>
      </c>
      <c r="P473" s="5">
        <v>52.0</v>
      </c>
      <c r="Q473" s="31">
        <f t="shared" si="17"/>
        <v>9988.16</v>
      </c>
    </row>
    <row r="474">
      <c r="A474" s="100" t="s">
        <v>9318</v>
      </c>
      <c r="B474" s="8" t="s">
        <v>9324</v>
      </c>
      <c r="C474" s="8" t="s">
        <v>21</v>
      </c>
      <c r="D474" s="8" t="s">
        <v>2138</v>
      </c>
      <c r="E474" s="8"/>
      <c r="F474" s="8"/>
      <c r="G474" s="8"/>
      <c r="H474" s="21">
        <v>35000.0</v>
      </c>
      <c r="I474" s="7">
        <v>45721.0</v>
      </c>
      <c r="J474" s="8" t="s">
        <v>70</v>
      </c>
      <c r="K474" s="8" t="s">
        <v>49</v>
      </c>
      <c r="L474" s="8" t="s">
        <v>1436</v>
      </c>
      <c r="M474" s="8" t="s">
        <v>8262</v>
      </c>
      <c r="N474" s="96">
        <v>45849.0</v>
      </c>
      <c r="O474" s="96">
        <v>51465.0</v>
      </c>
      <c r="P474" s="5">
        <v>23.0</v>
      </c>
      <c r="Q474" s="31">
        <f t="shared" si="17"/>
        <v>10545.27</v>
      </c>
    </row>
    <row r="475">
      <c r="A475" s="100" t="s">
        <v>9318</v>
      </c>
      <c r="B475" s="8" t="s">
        <v>3804</v>
      </c>
      <c r="C475" s="8" t="s">
        <v>21</v>
      </c>
      <c r="D475" s="8" t="s">
        <v>9325</v>
      </c>
      <c r="E475" s="8"/>
      <c r="F475" s="8"/>
      <c r="G475" s="8"/>
      <c r="H475" s="21">
        <v>35000.0</v>
      </c>
      <c r="I475" s="7">
        <v>45782.0</v>
      </c>
      <c r="J475" s="8" t="s">
        <v>70</v>
      </c>
      <c r="K475" s="8" t="s">
        <v>49</v>
      </c>
      <c r="L475" s="8" t="s">
        <v>27</v>
      </c>
      <c r="M475" s="8" t="s">
        <v>8262</v>
      </c>
      <c r="N475" s="96">
        <v>46323.0</v>
      </c>
      <c r="O475" s="96">
        <v>52023.0</v>
      </c>
      <c r="P475" s="5">
        <v>23.0</v>
      </c>
      <c r="Q475" s="31">
        <f t="shared" si="17"/>
        <v>10654.29</v>
      </c>
    </row>
    <row r="476">
      <c r="A476" s="126"/>
      <c r="F476" s="236"/>
    </row>
    <row r="477">
      <c r="A477" s="126"/>
      <c r="F477" s="236"/>
    </row>
    <row r="478">
      <c r="A478" s="126"/>
      <c r="F478" s="236"/>
    </row>
    <row r="479">
      <c r="A479" s="126"/>
      <c r="F479" s="236"/>
    </row>
    <row r="480">
      <c r="A480" s="126"/>
      <c r="F480" s="236"/>
    </row>
    <row r="481">
      <c r="A481" s="534">
        <v>45356.0</v>
      </c>
      <c r="B481" s="440" t="s">
        <v>9326</v>
      </c>
      <c r="C481" s="440" t="s">
        <v>21</v>
      </c>
      <c r="D481" s="440" t="s">
        <v>9327</v>
      </c>
      <c r="E481" s="440" t="s">
        <v>9142</v>
      </c>
      <c r="F481" s="440"/>
      <c r="G481" s="440"/>
      <c r="H481" s="464">
        <v>35000.0</v>
      </c>
      <c r="I481" s="531">
        <v>45721.0</v>
      </c>
      <c r="J481" s="440" t="s">
        <v>78</v>
      </c>
      <c r="K481" s="440" t="s">
        <v>49</v>
      </c>
      <c r="L481" s="440" t="s">
        <v>71</v>
      </c>
      <c r="M481" s="440" t="s">
        <v>8262</v>
      </c>
      <c r="N481" s="464">
        <v>47124.0</v>
      </c>
      <c r="O481" s="542">
        <v>52969.0</v>
      </c>
      <c r="P481" s="6">
        <v>23.0</v>
      </c>
      <c r="Q481" s="31">
        <f t="shared" ref="Q481:Q484" si="18">N481*P481%</f>
        <v>10838.52</v>
      </c>
    </row>
    <row r="482">
      <c r="A482" s="534">
        <v>45327.0</v>
      </c>
      <c r="B482" s="440" t="s">
        <v>7167</v>
      </c>
      <c r="C482" s="440" t="s">
        <v>1395</v>
      </c>
      <c r="D482" s="440" t="s">
        <v>9328</v>
      </c>
      <c r="E482" s="440" t="s">
        <v>9329</v>
      </c>
      <c r="F482" s="440"/>
      <c r="G482" s="440"/>
      <c r="H482" s="464">
        <v>2500.0</v>
      </c>
      <c r="I482" s="531">
        <v>45693.0</v>
      </c>
      <c r="J482" s="440" t="s">
        <v>78</v>
      </c>
      <c r="K482" s="440" t="s">
        <v>49</v>
      </c>
      <c r="L482" s="440" t="s">
        <v>71</v>
      </c>
      <c r="M482" s="440" t="s">
        <v>8262</v>
      </c>
      <c r="N482" s="464">
        <v>16924.0</v>
      </c>
      <c r="O482" s="464">
        <v>19008.0</v>
      </c>
      <c r="P482" s="6">
        <v>53.0</v>
      </c>
      <c r="Q482" s="31">
        <f t="shared" si="18"/>
        <v>8969.72</v>
      </c>
    </row>
    <row r="483">
      <c r="A483" s="550" t="s">
        <v>9292</v>
      </c>
      <c r="B483" s="551" t="s">
        <v>6987</v>
      </c>
      <c r="C483" s="551" t="s">
        <v>21</v>
      </c>
      <c r="D483" s="551" t="s">
        <v>9330</v>
      </c>
      <c r="E483" s="551" t="s">
        <v>9331</v>
      </c>
      <c r="F483" s="552"/>
      <c r="G483" s="552"/>
      <c r="H483" s="553">
        <v>25000.0</v>
      </c>
      <c r="I483" s="551" t="s">
        <v>3658</v>
      </c>
      <c r="J483" s="551" t="s">
        <v>78</v>
      </c>
      <c r="K483" s="551" t="s">
        <v>49</v>
      </c>
      <c r="L483" s="551" t="s">
        <v>71</v>
      </c>
      <c r="M483" s="551" t="s">
        <v>8262</v>
      </c>
      <c r="N483" s="554">
        <v>45464.0</v>
      </c>
      <c r="O483" s="554">
        <v>51011.0</v>
      </c>
      <c r="P483" s="555">
        <v>23.0</v>
      </c>
      <c r="Q483" s="31">
        <f t="shared" si="18"/>
        <v>10456.72</v>
      </c>
      <c r="R483" s="556"/>
      <c r="S483" s="556"/>
      <c r="T483" s="556"/>
      <c r="U483" s="556"/>
      <c r="V483" s="556"/>
      <c r="W483" s="556"/>
      <c r="X483" s="556"/>
      <c r="Y483" s="556"/>
      <c r="Z483" s="556"/>
      <c r="AA483" s="556"/>
      <c r="AB483" s="556"/>
      <c r="AC483" s="556"/>
      <c r="AD483" s="556"/>
      <c r="AE483" s="556"/>
      <c r="AF483" s="556"/>
      <c r="AG483" s="556"/>
    </row>
    <row r="484">
      <c r="A484" s="557" t="s">
        <v>9301</v>
      </c>
      <c r="B484" s="558" t="s">
        <v>9332</v>
      </c>
      <c r="C484" s="558" t="s">
        <v>21</v>
      </c>
      <c r="D484" s="558" t="s">
        <v>1928</v>
      </c>
      <c r="E484" s="558" t="s">
        <v>9333</v>
      </c>
      <c r="F484" s="559"/>
      <c r="G484" s="559"/>
      <c r="H484" s="560">
        <v>35000.0</v>
      </c>
      <c r="I484" s="558" t="s">
        <v>3693</v>
      </c>
      <c r="J484" s="561" t="s">
        <v>70</v>
      </c>
      <c r="K484" s="558" t="s">
        <v>49</v>
      </c>
      <c r="L484" s="558" t="s">
        <v>27</v>
      </c>
      <c r="M484" s="558" t="s">
        <v>8262</v>
      </c>
      <c r="N484" s="562">
        <v>48086.0</v>
      </c>
      <c r="O484" s="562">
        <v>54105.0</v>
      </c>
      <c r="P484" s="555">
        <v>23.0</v>
      </c>
      <c r="Q484" s="31">
        <f t="shared" si="18"/>
        <v>11059.78</v>
      </c>
      <c r="R484" s="556"/>
      <c r="S484" s="556"/>
      <c r="T484" s="556"/>
      <c r="U484" s="556"/>
      <c r="V484" s="556"/>
      <c r="W484" s="556"/>
      <c r="X484" s="556"/>
      <c r="Y484" s="556"/>
      <c r="Z484" s="556"/>
      <c r="AA484" s="556"/>
      <c r="AB484" s="556"/>
      <c r="AC484" s="556"/>
      <c r="AD484" s="556"/>
      <c r="AE484" s="556"/>
      <c r="AF484" s="556"/>
      <c r="AG484" s="556"/>
    </row>
    <row r="485">
      <c r="A485" s="126"/>
      <c r="F485" s="236"/>
    </row>
    <row r="486">
      <c r="A486" s="126"/>
      <c r="F486" s="236"/>
    </row>
    <row r="487">
      <c r="A487" s="534">
        <v>45327.0</v>
      </c>
      <c r="B487" s="440" t="s">
        <v>7530</v>
      </c>
      <c r="C487" s="440" t="s">
        <v>1395</v>
      </c>
      <c r="D487" s="440" t="s">
        <v>528</v>
      </c>
      <c r="E487" s="440" t="s">
        <v>9334</v>
      </c>
      <c r="F487" s="440"/>
      <c r="G487" s="440"/>
      <c r="H487" s="464">
        <v>2620.0</v>
      </c>
      <c r="I487" s="440" t="s">
        <v>3921</v>
      </c>
      <c r="J487" s="440" t="s">
        <v>1424</v>
      </c>
      <c r="K487" s="440" t="s">
        <v>49</v>
      </c>
      <c r="L487" s="440" t="s">
        <v>71</v>
      </c>
      <c r="M487" s="440" t="s">
        <v>8262</v>
      </c>
      <c r="N487" s="464">
        <v>17089.0</v>
      </c>
      <c r="O487" s="464">
        <v>19203.0</v>
      </c>
      <c r="P487" s="6">
        <v>52.0</v>
      </c>
      <c r="Q487" s="31">
        <f t="shared" ref="Q487:Q510" si="19">N487*P487%</f>
        <v>8886.28</v>
      </c>
    </row>
    <row r="488" ht="13.5" customHeight="1">
      <c r="A488" s="534">
        <v>45327.0</v>
      </c>
      <c r="B488" s="440" t="s">
        <v>9335</v>
      </c>
      <c r="C488" s="396" t="s">
        <v>2749</v>
      </c>
      <c r="D488" s="440" t="s">
        <v>5116</v>
      </c>
      <c r="E488" s="440" t="s">
        <v>9336</v>
      </c>
      <c r="F488" s="440"/>
      <c r="G488" s="440"/>
      <c r="H488" s="440"/>
      <c r="I488" s="531">
        <v>45693.0</v>
      </c>
      <c r="J488" s="396" t="s">
        <v>70</v>
      </c>
      <c r="K488" s="440" t="s">
        <v>26</v>
      </c>
      <c r="L488" s="440" t="s">
        <v>27</v>
      </c>
      <c r="M488" s="440" t="s">
        <v>8262</v>
      </c>
      <c r="N488" s="443">
        <v>12337.0</v>
      </c>
      <c r="O488" s="443">
        <v>14558.0</v>
      </c>
      <c r="P488" s="6">
        <v>25.0</v>
      </c>
      <c r="Q488" s="31">
        <f t="shared" si="19"/>
        <v>3084.25</v>
      </c>
    </row>
    <row r="489">
      <c r="A489" s="534">
        <v>45356.0</v>
      </c>
      <c r="B489" s="440" t="s">
        <v>9337</v>
      </c>
      <c r="C489" s="440" t="s">
        <v>1395</v>
      </c>
      <c r="D489" s="440" t="s">
        <v>2143</v>
      </c>
      <c r="E489" s="440" t="s">
        <v>9338</v>
      </c>
      <c r="F489" s="440"/>
      <c r="G489" s="440"/>
      <c r="H489" s="464">
        <v>3490.0</v>
      </c>
      <c r="I489" s="531">
        <v>45693.0</v>
      </c>
      <c r="J489" s="440" t="s">
        <v>116</v>
      </c>
      <c r="K489" s="440" t="s">
        <v>49</v>
      </c>
      <c r="L489" s="440" t="s">
        <v>1436</v>
      </c>
      <c r="M489" s="440" t="s">
        <v>8262</v>
      </c>
      <c r="N489" s="465">
        <v>21620.0</v>
      </c>
      <c r="O489" s="443">
        <v>24544.0</v>
      </c>
      <c r="P489" s="6">
        <v>47.0</v>
      </c>
      <c r="Q489" s="31">
        <f t="shared" si="19"/>
        <v>10161.4</v>
      </c>
    </row>
    <row r="490">
      <c r="A490" s="534">
        <v>45356.0</v>
      </c>
      <c r="B490" s="440" t="s">
        <v>9339</v>
      </c>
      <c r="C490" s="440" t="s">
        <v>1432</v>
      </c>
      <c r="D490" s="440" t="s">
        <v>2125</v>
      </c>
      <c r="E490" s="440" t="s">
        <v>9340</v>
      </c>
      <c r="F490" s="440"/>
      <c r="G490" s="440"/>
      <c r="H490" s="440"/>
      <c r="I490" s="531">
        <v>45693.0</v>
      </c>
      <c r="J490" s="440" t="s">
        <v>1424</v>
      </c>
      <c r="K490" s="440" t="s">
        <v>49</v>
      </c>
      <c r="L490" s="440" t="s">
        <v>27</v>
      </c>
      <c r="M490" s="440" t="s">
        <v>8262</v>
      </c>
      <c r="N490" s="464">
        <v>6282.0</v>
      </c>
      <c r="O490" s="542">
        <v>7412.0</v>
      </c>
      <c r="P490" s="6">
        <v>52.0</v>
      </c>
      <c r="Q490" s="31">
        <f t="shared" si="19"/>
        <v>3266.64</v>
      </c>
    </row>
    <row r="491">
      <c r="A491" s="534">
        <v>45387.0</v>
      </c>
      <c r="B491" s="440" t="s">
        <v>7037</v>
      </c>
      <c r="C491" s="440" t="s">
        <v>21</v>
      </c>
      <c r="D491" s="440" t="s">
        <v>9193</v>
      </c>
      <c r="E491" s="440" t="s">
        <v>9341</v>
      </c>
      <c r="F491" s="440"/>
      <c r="G491" s="440"/>
      <c r="H491" s="464">
        <v>12990.0</v>
      </c>
      <c r="I491" s="531">
        <v>45752.0</v>
      </c>
      <c r="J491" s="440" t="s">
        <v>78</v>
      </c>
      <c r="K491" s="440" t="s">
        <v>49</v>
      </c>
      <c r="L491" s="440" t="s">
        <v>71</v>
      </c>
      <c r="M491" s="440" t="s">
        <v>8262</v>
      </c>
      <c r="N491" s="464">
        <v>37962.0</v>
      </c>
      <c r="O491" s="542">
        <v>42677.0</v>
      </c>
      <c r="P491" s="6">
        <v>23.0</v>
      </c>
      <c r="Q491" s="31">
        <f t="shared" si="19"/>
        <v>8731.26</v>
      </c>
    </row>
    <row r="492">
      <c r="A492" s="534">
        <v>45448.0</v>
      </c>
      <c r="B492" s="440" t="s">
        <v>9342</v>
      </c>
      <c r="C492" s="440" t="s">
        <v>21</v>
      </c>
      <c r="D492" s="440" t="s">
        <v>9343</v>
      </c>
      <c r="E492" s="440" t="s">
        <v>9344</v>
      </c>
      <c r="F492" s="440"/>
      <c r="G492" s="440"/>
      <c r="H492" s="464">
        <v>11990.0</v>
      </c>
      <c r="I492" s="531">
        <v>45782.0</v>
      </c>
      <c r="J492" s="440" t="s">
        <v>25</v>
      </c>
      <c r="K492" s="440" t="s">
        <v>49</v>
      </c>
      <c r="L492" s="440" t="s">
        <v>27</v>
      </c>
      <c r="M492" s="440" t="s">
        <v>8262</v>
      </c>
      <c r="N492" s="443">
        <v>29786.0</v>
      </c>
      <c r="O492" s="443">
        <v>33516.0</v>
      </c>
      <c r="P492" s="6">
        <v>25.0</v>
      </c>
      <c r="Q492" s="31">
        <f t="shared" si="19"/>
        <v>7446.5</v>
      </c>
    </row>
    <row r="493">
      <c r="A493" s="534">
        <v>45448.0</v>
      </c>
      <c r="B493" s="440" t="s">
        <v>3808</v>
      </c>
      <c r="C493" s="440" t="s">
        <v>1395</v>
      </c>
      <c r="D493" s="440" t="s">
        <v>9345</v>
      </c>
      <c r="E493" s="440" t="s">
        <v>9346</v>
      </c>
      <c r="F493" s="440"/>
      <c r="G493" s="440"/>
      <c r="H493" s="464">
        <v>2975.0</v>
      </c>
      <c r="I493" s="531">
        <v>45813.0</v>
      </c>
      <c r="J493" s="440" t="s">
        <v>1419</v>
      </c>
      <c r="K493" s="440" t="s">
        <v>49</v>
      </c>
      <c r="L493" s="440" t="s">
        <v>27</v>
      </c>
      <c r="M493" s="440" t="s">
        <v>8262</v>
      </c>
      <c r="N493" s="464">
        <v>19998.0</v>
      </c>
      <c r="O493" s="464">
        <v>22636.0</v>
      </c>
      <c r="P493" s="6">
        <v>50.0</v>
      </c>
      <c r="Q493" s="31">
        <f t="shared" si="19"/>
        <v>9999</v>
      </c>
    </row>
    <row r="494">
      <c r="A494" s="534">
        <v>45448.0</v>
      </c>
      <c r="B494" s="440" t="s">
        <v>7176</v>
      </c>
      <c r="C494" s="440" t="s">
        <v>21</v>
      </c>
      <c r="D494" s="440" t="s">
        <v>9347</v>
      </c>
      <c r="E494" s="440" t="s">
        <v>9348</v>
      </c>
      <c r="F494" s="440"/>
      <c r="G494" s="440"/>
      <c r="H494" s="464">
        <v>6950.0</v>
      </c>
      <c r="I494" s="531">
        <v>45813.0</v>
      </c>
      <c r="J494" s="440" t="s">
        <v>1419</v>
      </c>
      <c r="K494" s="396" t="s">
        <v>26</v>
      </c>
      <c r="L494" s="440" t="s">
        <v>71</v>
      </c>
      <c r="M494" s="440" t="s">
        <v>8262</v>
      </c>
      <c r="N494" s="464">
        <v>16149.0</v>
      </c>
      <c r="O494" s="464">
        <v>18093.0</v>
      </c>
      <c r="P494" s="6">
        <v>40.0</v>
      </c>
      <c r="Q494" s="31">
        <f t="shared" si="19"/>
        <v>6459.6</v>
      </c>
    </row>
    <row r="495">
      <c r="A495" s="534">
        <v>45448.0</v>
      </c>
      <c r="B495" s="440" t="s">
        <v>9349</v>
      </c>
      <c r="C495" s="440" t="s">
        <v>1432</v>
      </c>
      <c r="D495" s="440" t="s">
        <v>8514</v>
      </c>
      <c r="E495" s="440" t="s">
        <v>9350</v>
      </c>
      <c r="F495" s="440"/>
      <c r="G495" s="440"/>
      <c r="H495" s="440"/>
      <c r="I495" s="531">
        <v>45782.0</v>
      </c>
      <c r="J495" s="440" t="s">
        <v>1424</v>
      </c>
      <c r="K495" s="440" t="s">
        <v>49</v>
      </c>
      <c r="L495" s="440" t="s">
        <v>27</v>
      </c>
      <c r="M495" s="440" t="s">
        <v>8262</v>
      </c>
      <c r="N495" s="464">
        <v>6597.0</v>
      </c>
      <c r="O495" s="464">
        <v>7785.0</v>
      </c>
      <c r="P495" s="6">
        <v>52.0</v>
      </c>
      <c r="Q495" s="31">
        <f t="shared" si="19"/>
        <v>3430.44</v>
      </c>
    </row>
    <row r="496">
      <c r="A496" s="534">
        <v>45448.0</v>
      </c>
      <c r="B496" s="440" t="s">
        <v>9351</v>
      </c>
      <c r="C496" s="440" t="s">
        <v>1395</v>
      </c>
      <c r="D496" s="440" t="s">
        <v>9352</v>
      </c>
      <c r="E496" s="440" t="s">
        <v>9353</v>
      </c>
      <c r="F496" s="440"/>
      <c r="G496" s="440"/>
      <c r="H496" s="464">
        <v>2750.0</v>
      </c>
      <c r="I496" s="531">
        <v>45813.0</v>
      </c>
      <c r="J496" s="440" t="s">
        <v>1419</v>
      </c>
      <c r="K496" s="440" t="s">
        <v>49</v>
      </c>
      <c r="L496" s="440" t="s">
        <v>27</v>
      </c>
      <c r="M496" s="440" t="s">
        <v>8262</v>
      </c>
      <c r="N496" s="464">
        <v>18305.0</v>
      </c>
      <c r="O496" s="464">
        <v>20637.0</v>
      </c>
      <c r="P496" s="6">
        <v>50.0</v>
      </c>
      <c r="Q496" s="31">
        <f t="shared" si="19"/>
        <v>9152.5</v>
      </c>
    </row>
    <row r="497">
      <c r="A497" s="534">
        <v>45478.0</v>
      </c>
      <c r="B497" s="440" t="s">
        <v>9354</v>
      </c>
      <c r="C497" s="440" t="s">
        <v>21</v>
      </c>
      <c r="D497" s="440" t="s">
        <v>9355</v>
      </c>
      <c r="E497" s="440" t="s">
        <v>9356</v>
      </c>
      <c r="F497" s="440"/>
      <c r="G497" s="440"/>
      <c r="H497" s="464">
        <v>47500.0</v>
      </c>
      <c r="I497" s="531">
        <v>45721.0</v>
      </c>
      <c r="J497" s="440" t="s">
        <v>78</v>
      </c>
      <c r="K497" s="440" t="s">
        <v>49</v>
      </c>
      <c r="L497" s="440" t="s">
        <v>3028</v>
      </c>
      <c r="M497" s="440" t="s">
        <v>8262</v>
      </c>
      <c r="N497" s="465">
        <v>83681.85</v>
      </c>
      <c r="O497" s="465">
        <v>96090.0</v>
      </c>
      <c r="P497" s="6">
        <v>18.0</v>
      </c>
      <c r="Q497" s="31">
        <f t="shared" si="19"/>
        <v>15062.733</v>
      </c>
    </row>
    <row r="498">
      <c r="A498" s="534">
        <v>45478.0</v>
      </c>
      <c r="B498" s="440" t="s">
        <v>3828</v>
      </c>
      <c r="C498" s="440" t="s">
        <v>1395</v>
      </c>
      <c r="D498" s="440" t="s">
        <v>1969</v>
      </c>
      <c r="E498" s="440" t="s">
        <v>9357</v>
      </c>
      <c r="F498" s="440"/>
      <c r="G498" s="440"/>
      <c r="H498" s="464">
        <v>2960.0</v>
      </c>
      <c r="I498" s="531">
        <v>45843.0</v>
      </c>
      <c r="J498" s="440" t="s">
        <v>1419</v>
      </c>
      <c r="K498" s="440" t="s">
        <v>49</v>
      </c>
      <c r="L498" s="440" t="s">
        <v>3028</v>
      </c>
      <c r="M498" s="440" t="s">
        <v>8262</v>
      </c>
      <c r="N498" s="464">
        <v>17123.0</v>
      </c>
      <c r="O498" s="464">
        <v>19243.0</v>
      </c>
      <c r="P498" s="6">
        <v>50.0</v>
      </c>
      <c r="Q498" s="31">
        <f t="shared" si="19"/>
        <v>8561.5</v>
      </c>
    </row>
    <row r="499">
      <c r="A499" s="534">
        <v>45540.0</v>
      </c>
      <c r="B499" s="440" t="s">
        <v>9358</v>
      </c>
      <c r="C499" s="440" t="s">
        <v>21</v>
      </c>
      <c r="D499" s="440" t="s">
        <v>9355</v>
      </c>
      <c r="E499" s="440" t="s">
        <v>9359</v>
      </c>
      <c r="F499" s="440"/>
      <c r="G499" s="440"/>
      <c r="H499" s="464">
        <v>47500.0</v>
      </c>
      <c r="I499" s="531">
        <v>45721.0</v>
      </c>
      <c r="J499" s="440" t="s">
        <v>78</v>
      </c>
      <c r="K499" s="440" t="s">
        <v>49</v>
      </c>
      <c r="L499" s="440" t="s">
        <v>3028</v>
      </c>
      <c r="M499" s="440" t="s">
        <v>8262</v>
      </c>
      <c r="N499" s="465">
        <v>83681.85</v>
      </c>
      <c r="O499" s="465">
        <v>96090.0</v>
      </c>
      <c r="P499" s="6">
        <v>18.0</v>
      </c>
      <c r="Q499" s="31">
        <f t="shared" si="19"/>
        <v>15062.733</v>
      </c>
    </row>
    <row r="500">
      <c r="A500" s="534">
        <v>45570.0</v>
      </c>
      <c r="B500" s="440" t="s">
        <v>9360</v>
      </c>
      <c r="C500" s="440" t="s">
        <v>21</v>
      </c>
      <c r="D500" s="440" t="s">
        <v>9355</v>
      </c>
      <c r="E500" s="440" t="s">
        <v>9359</v>
      </c>
      <c r="F500" s="440"/>
      <c r="G500" s="440"/>
      <c r="H500" s="464">
        <v>47500.0</v>
      </c>
      <c r="I500" s="442">
        <v>45905.0</v>
      </c>
      <c r="J500" s="440" t="s">
        <v>78</v>
      </c>
      <c r="K500" s="440" t="s">
        <v>49</v>
      </c>
      <c r="L500" s="440" t="s">
        <v>3028</v>
      </c>
      <c r="M500" s="440" t="s">
        <v>8262</v>
      </c>
      <c r="N500" s="90">
        <v>83681.85</v>
      </c>
      <c r="O500" s="547">
        <v>96090.0</v>
      </c>
      <c r="P500" s="6">
        <v>18.0</v>
      </c>
      <c r="Q500" s="31">
        <f t="shared" si="19"/>
        <v>15062.733</v>
      </c>
    </row>
    <row r="501">
      <c r="A501" s="534">
        <v>45570.0</v>
      </c>
      <c r="B501" s="440" t="s">
        <v>3821</v>
      </c>
      <c r="C501" s="440" t="s">
        <v>1395</v>
      </c>
      <c r="D501" s="440" t="s">
        <v>9361</v>
      </c>
      <c r="E501" s="440" t="s">
        <v>3823</v>
      </c>
      <c r="F501" s="440"/>
      <c r="G501" s="440"/>
      <c r="H501" s="467">
        <v>3490.0</v>
      </c>
      <c r="I501" s="442">
        <v>45874.0</v>
      </c>
      <c r="J501" s="440" t="s">
        <v>116</v>
      </c>
      <c r="K501" s="440" t="s">
        <v>49</v>
      </c>
      <c r="L501" s="440" t="s">
        <v>71</v>
      </c>
      <c r="M501" s="440" t="s">
        <v>8262</v>
      </c>
      <c r="N501" s="134">
        <v>21887.0</v>
      </c>
      <c r="O501" s="547">
        <v>24860.0</v>
      </c>
      <c r="P501" s="6">
        <v>47.0</v>
      </c>
      <c r="Q501" s="31">
        <f t="shared" si="19"/>
        <v>10286.89</v>
      </c>
    </row>
    <row r="502">
      <c r="A502" s="534">
        <v>45570.0</v>
      </c>
      <c r="B502" s="440" t="s">
        <v>9362</v>
      </c>
      <c r="C502" s="440" t="s">
        <v>1759</v>
      </c>
      <c r="D502" s="440" t="s">
        <v>8514</v>
      </c>
      <c r="E502" s="440" t="s">
        <v>9363</v>
      </c>
      <c r="F502" s="440"/>
      <c r="G502" s="440"/>
      <c r="H502" s="440"/>
      <c r="I502" s="442">
        <v>45874.0</v>
      </c>
      <c r="J502" s="440" t="s">
        <v>1424</v>
      </c>
      <c r="K502" s="440" t="s">
        <v>49</v>
      </c>
      <c r="L502" s="440" t="s">
        <v>27</v>
      </c>
      <c r="M502" s="440" t="s">
        <v>8262</v>
      </c>
      <c r="N502" s="88">
        <v>6438.0</v>
      </c>
      <c r="O502" s="542">
        <v>7596.0</v>
      </c>
      <c r="P502" s="6">
        <v>52.0</v>
      </c>
      <c r="Q502" s="31">
        <f t="shared" si="19"/>
        <v>3347.76</v>
      </c>
    </row>
    <row r="503">
      <c r="A503" s="534">
        <v>45601.0</v>
      </c>
      <c r="B503" s="440" t="s">
        <v>9364</v>
      </c>
      <c r="C503" s="440" t="s">
        <v>966</v>
      </c>
      <c r="D503" s="440" t="s">
        <v>9365</v>
      </c>
      <c r="E503" s="440" t="s">
        <v>9366</v>
      </c>
      <c r="F503" s="440"/>
      <c r="G503" s="440"/>
      <c r="H503" s="440"/>
      <c r="I503" s="442">
        <v>45935.0</v>
      </c>
      <c r="J503" s="440" t="s">
        <v>78</v>
      </c>
      <c r="K503" s="440" t="s">
        <v>26</v>
      </c>
      <c r="L503" s="440" t="s">
        <v>27</v>
      </c>
      <c r="M503" s="440" t="s">
        <v>8262</v>
      </c>
      <c r="N503" s="88">
        <v>8772.0</v>
      </c>
      <c r="O503" s="542">
        <v>10351.0</v>
      </c>
      <c r="P503" s="6">
        <v>30.0</v>
      </c>
      <c r="Q503" s="31">
        <f t="shared" si="19"/>
        <v>2631.6</v>
      </c>
    </row>
    <row r="504">
      <c r="A504" s="534">
        <v>45601.0</v>
      </c>
      <c r="B504" s="440" t="s">
        <v>3860</v>
      </c>
      <c r="C504" s="440" t="s">
        <v>21</v>
      </c>
      <c r="D504" s="440" t="s">
        <v>748</v>
      </c>
      <c r="E504" s="440" t="s">
        <v>2365</v>
      </c>
      <c r="F504" s="440"/>
      <c r="G504" s="440"/>
      <c r="H504" s="464">
        <v>35000.0</v>
      </c>
      <c r="I504" s="442">
        <v>45966.0</v>
      </c>
      <c r="J504" s="440" t="s">
        <v>4916</v>
      </c>
      <c r="K504" s="440" t="s">
        <v>49</v>
      </c>
      <c r="L504" s="440" t="s">
        <v>71</v>
      </c>
      <c r="M504" s="440" t="s">
        <v>8262</v>
      </c>
      <c r="N504" s="88">
        <v>48077.06</v>
      </c>
      <c r="O504" s="542">
        <v>54093.94</v>
      </c>
      <c r="P504" s="6">
        <v>22.0</v>
      </c>
      <c r="Q504" s="31">
        <f t="shared" si="19"/>
        <v>10576.9532</v>
      </c>
    </row>
    <row r="505">
      <c r="A505" s="534">
        <v>45631.0</v>
      </c>
      <c r="B505" s="440" t="s">
        <v>7522</v>
      </c>
      <c r="C505" s="440" t="s">
        <v>1395</v>
      </c>
      <c r="D505" s="440" t="s">
        <v>2789</v>
      </c>
      <c r="E505" s="440" t="s">
        <v>9367</v>
      </c>
      <c r="F505" s="440"/>
      <c r="G505" s="440"/>
      <c r="H505" s="464">
        <v>2620.0</v>
      </c>
      <c r="I505" s="442">
        <v>45996.0</v>
      </c>
      <c r="J505" s="440" t="s">
        <v>1424</v>
      </c>
      <c r="K505" s="440" t="s">
        <v>49</v>
      </c>
      <c r="L505" s="440" t="s">
        <v>71</v>
      </c>
      <c r="M505" s="440" t="s">
        <v>8262</v>
      </c>
      <c r="N505" s="88">
        <v>17702.0</v>
      </c>
      <c r="O505" s="542">
        <v>19926.0</v>
      </c>
      <c r="P505" s="6">
        <v>52.0</v>
      </c>
      <c r="Q505" s="31">
        <f t="shared" si="19"/>
        <v>9205.04</v>
      </c>
    </row>
    <row r="506">
      <c r="A506" s="534">
        <v>45631.0</v>
      </c>
      <c r="B506" s="440" t="s">
        <v>3864</v>
      </c>
      <c r="C506" s="440" t="s">
        <v>1395</v>
      </c>
      <c r="D506" s="440" t="s">
        <v>3866</v>
      </c>
      <c r="E506" s="440" t="s">
        <v>9368</v>
      </c>
      <c r="F506" s="440"/>
      <c r="G506" s="440"/>
      <c r="H506" s="464">
        <v>2670.0</v>
      </c>
      <c r="I506" s="442">
        <v>45966.0</v>
      </c>
      <c r="J506" s="440" t="s">
        <v>1424</v>
      </c>
      <c r="K506" s="440" t="s">
        <v>49</v>
      </c>
      <c r="L506" s="440" t="s">
        <v>71</v>
      </c>
      <c r="M506" s="440" t="s">
        <v>8262</v>
      </c>
      <c r="N506" s="88">
        <v>17156.0</v>
      </c>
      <c r="O506" s="542">
        <v>19282.0</v>
      </c>
      <c r="P506" s="6">
        <v>52.0</v>
      </c>
      <c r="Q506" s="31">
        <f t="shared" si="19"/>
        <v>8921.12</v>
      </c>
    </row>
    <row r="507">
      <c r="A507" s="526" t="s">
        <v>9369</v>
      </c>
      <c r="B507" s="440" t="s">
        <v>9370</v>
      </c>
      <c r="C507" s="440" t="s">
        <v>9371</v>
      </c>
      <c r="D507" s="440" t="s">
        <v>9372</v>
      </c>
      <c r="E507" s="440" t="s">
        <v>9373</v>
      </c>
      <c r="F507" s="440"/>
      <c r="G507" s="440"/>
      <c r="H507" s="440"/>
      <c r="I507" s="440" t="s">
        <v>3887</v>
      </c>
      <c r="J507" s="440" t="s">
        <v>1419</v>
      </c>
      <c r="K507" s="440" t="s">
        <v>49</v>
      </c>
      <c r="L507" s="440" t="s">
        <v>1616</v>
      </c>
      <c r="M507" s="440" t="s">
        <v>8262</v>
      </c>
      <c r="N507" s="88">
        <v>6714.0</v>
      </c>
      <c r="O507" s="542">
        <v>7922.0</v>
      </c>
      <c r="P507" s="6">
        <v>52.0</v>
      </c>
      <c r="Q507" s="31">
        <f t="shared" si="19"/>
        <v>3491.28</v>
      </c>
    </row>
    <row r="508">
      <c r="A508" s="100" t="s">
        <v>9374</v>
      </c>
      <c r="B508" s="8" t="s">
        <v>9375</v>
      </c>
      <c r="C508" s="8" t="s">
        <v>1395</v>
      </c>
      <c r="D508" s="8" t="s">
        <v>2116</v>
      </c>
      <c r="E508" s="8" t="s">
        <v>9376</v>
      </c>
      <c r="F508" s="8"/>
      <c r="G508" s="8"/>
      <c r="H508" s="21">
        <v>1600.0</v>
      </c>
      <c r="I508" s="8" t="s">
        <v>3891</v>
      </c>
      <c r="J508" s="8" t="s">
        <v>1424</v>
      </c>
      <c r="K508" s="8" t="s">
        <v>49</v>
      </c>
      <c r="L508" s="8" t="s">
        <v>8392</v>
      </c>
      <c r="M508" s="8" t="s">
        <v>8262</v>
      </c>
      <c r="N508" s="21">
        <v>19217.0</v>
      </c>
      <c r="O508" s="21">
        <v>21713.0</v>
      </c>
      <c r="P508" s="6">
        <v>52.0</v>
      </c>
      <c r="Q508" s="31">
        <f t="shared" si="19"/>
        <v>9992.84</v>
      </c>
    </row>
    <row r="509">
      <c r="A509" s="100" t="s">
        <v>9374</v>
      </c>
      <c r="B509" s="8" t="s">
        <v>3882</v>
      </c>
      <c r="C509" s="8" t="s">
        <v>1395</v>
      </c>
      <c r="D509" s="8" t="s">
        <v>9361</v>
      </c>
      <c r="E509" s="8" t="s">
        <v>1067</v>
      </c>
      <c r="F509" s="8"/>
      <c r="G509" s="8"/>
      <c r="H509" s="165">
        <v>3490.0</v>
      </c>
      <c r="I509" s="8" t="s">
        <v>3870</v>
      </c>
      <c r="J509" s="8" t="s">
        <v>116</v>
      </c>
      <c r="K509" s="8" t="s">
        <v>49</v>
      </c>
      <c r="L509" s="8" t="s">
        <v>3028</v>
      </c>
      <c r="M509" s="8" t="s">
        <v>8262</v>
      </c>
      <c r="N509" s="96">
        <v>22511.0</v>
      </c>
      <c r="O509" s="96">
        <v>25594.0</v>
      </c>
      <c r="P509" s="6">
        <v>47.0</v>
      </c>
      <c r="Q509" s="31">
        <f t="shared" si="19"/>
        <v>10580.17</v>
      </c>
    </row>
    <row r="510">
      <c r="A510" s="100" t="s">
        <v>9374</v>
      </c>
      <c r="B510" s="8" t="s">
        <v>7188</v>
      </c>
      <c r="C510" s="8" t="s">
        <v>21</v>
      </c>
      <c r="D510" s="8" t="s">
        <v>9377</v>
      </c>
      <c r="E510" s="8"/>
      <c r="F510" s="8"/>
      <c r="G510" s="8"/>
      <c r="H510" s="8">
        <v>35000.0</v>
      </c>
      <c r="I510" s="8">
        <v>45935.0</v>
      </c>
      <c r="J510" s="8" t="s">
        <v>78</v>
      </c>
      <c r="K510" s="8" t="s">
        <v>49</v>
      </c>
      <c r="L510" s="8" t="s">
        <v>3028</v>
      </c>
      <c r="M510" s="8" t="s">
        <v>8262</v>
      </c>
      <c r="N510" s="8">
        <v>76755.0</v>
      </c>
      <c r="O510" s="8">
        <v>87934.0</v>
      </c>
      <c r="P510" s="6">
        <v>23.0</v>
      </c>
      <c r="Q510" s="31">
        <f t="shared" si="19"/>
        <v>17653.65</v>
      </c>
    </row>
    <row r="511">
      <c r="A511" s="93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</row>
    <row r="512">
      <c r="A512" s="93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</row>
    <row r="513">
      <c r="A513" s="100" t="s">
        <v>9374</v>
      </c>
      <c r="B513" s="563" t="s">
        <v>9378</v>
      </c>
      <c r="C513" s="479" t="s">
        <v>21</v>
      </c>
      <c r="D513" s="564" t="s">
        <v>9379</v>
      </c>
      <c r="E513" s="563" t="s">
        <v>9380</v>
      </c>
      <c r="F513" s="479">
        <v>9.909174846E9</v>
      </c>
      <c r="G513" s="479"/>
      <c r="H513" s="565">
        <v>7490.0</v>
      </c>
      <c r="I513" s="563" t="s">
        <v>3870</v>
      </c>
      <c r="J513" s="479" t="s">
        <v>1419</v>
      </c>
      <c r="K513" s="479" t="s">
        <v>26</v>
      </c>
      <c r="L513" s="479" t="s">
        <v>27</v>
      </c>
      <c r="M513" s="479" t="s">
        <v>8262</v>
      </c>
      <c r="N513" s="566">
        <v>16099.0</v>
      </c>
      <c r="O513" s="567">
        <v>18035.0</v>
      </c>
      <c r="P513" s="568">
        <v>40.0</v>
      </c>
      <c r="Q513" s="31">
        <f t="shared" ref="Q513:Q531" si="20">N513*P513%</f>
        <v>6439.6</v>
      </c>
    </row>
    <row r="514">
      <c r="A514" s="526" t="s">
        <v>9374</v>
      </c>
      <c r="B514" s="471" t="s">
        <v>9381</v>
      </c>
      <c r="C514" s="440" t="s">
        <v>1432</v>
      </c>
      <c r="D514" s="58" t="s">
        <v>1439</v>
      </c>
      <c r="E514" s="471" t="s">
        <v>9382</v>
      </c>
      <c r="F514" s="440"/>
      <c r="G514" s="440"/>
      <c r="H514" s="440"/>
      <c r="I514" s="471" t="s">
        <v>3870</v>
      </c>
      <c r="J514" s="440" t="s">
        <v>1419</v>
      </c>
      <c r="K514" s="440" t="s">
        <v>49</v>
      </c>
      <c r="L514" s="440" t="s">
        <v>27</v>
      </c>
      <c r="M514" s="440" t="s">
        <v>8262</v>
      </c>
      <c r="N514" s="88">
        <v>6991.0</v>
      </c>
      <c r="O514" s="542">
        <v>8249.0</v>
      </c>
      <c r="P514" s="568">
        <v>52.0</v>
      </c>
      <c r="Q514" s="31">
        <f t="shared" si="20"/>
        <v>3635.32</v>
      </c>
    </row>
    <row r="515">
      <c r="A515" s="526" t="s">
        <v>3870</v>
      </c>
      <c r="B515" s="569" t="s">
        <v>9383</v>
      </c>
      <c r="C515" s="570" t="s">
        <v>1759</v>
      </c>
      <c r="D515" s="571" t="s">
        <v>9314</v>
      </c>
      <c r="E515" s="471"/>
      <c r="F515" s="440"/>
      <c r="G515" s="440"/>
      <c r="H515" s="440"/>
      <c r="I515" s="569" t="s">
        <v>9384</v>
      </c>
      <c r="J515" s="570" t="s">
        <v>1424</v>
      </c>
      <c r="K515" s="570" t="s">
        <v>49</v>
      </c>
      <c r="L515" s="570" t="s">
        <v>27</v>
      </c>
      <c r="M515" s="570" t="s">
        <v>8262</v>
      </c>
      <c r="N515" s="572">
        <v>6355.0</v>
      </c>
      <c r="O515" s="573">
        <v>7499.0</v>
      </c>
      <c r="P515" s="568">
        <v>52.0</v>
      </c>
      <c r="Q515" s="31">
        <f t="shared" si="20"/>
        <v>3304.6</v>
      </c>
    </row>
    <row r="516">
      <c r="A516" s="526" t="s">
        <v>9385</v>
      </c>
      <c r="B516" s="440" t="s">
        <v>9386</v>
      </c>
      <c r="C516" s="440" t="s">
        <v>1432</v>
      </c>
      <c r="D516" s="58" t="s">
        <v>1439</v>
      </c>
      <c r="E516" s="471" t="s">
        <v>9387</v>
      </c>
      <c r="F516" s="440">
        <v>9.53720335E9</v>
      </c>
      <c r="G516" s="440"/>
      <c r="H516" s="440"/>
      <c r="I516" s="471" t="s">
        <v>9384</v>
      </c>
      <c r="J516" s="440" t="s">
        <v>1419</v>
      </c>
      <c r="K516" s="440" t="s">
        <v>49</v>
      </c>
      <c r="L516" s="440" t="s">
        <v>1616</v>
      </c>
      <c r="M516" s="440" t="s">
        <v>8262</v>
      </c>
      <c r="N516" s="88">
        <v>6669.0</v>
      </c>
      <c r="O516" s="542">
        <v>7869.0</v>
      </c>
      <c r="P516" s="568">
        <v>52.0</v>
      </c>
      <c r="Q516" s="31">
        <f t="shared" si="20"/>
        <v>3467.88</v>
      </c>
    </row>
    <row r="517">
      <c r="A517" s="526" t="s">
        <v>9388</v>
      </c>
      <c r="B517" s="440" t="s">
        <v>3922</v>
      </c>
      <c r="C517" s="440" t="s">
        <v>1395</v>
      </c>
      <c r="D517" s="58" t="s">
        <v>9389</v>
      </c>
      <c r="E517" s="471" t="s">
        <v>3925</v>
      </c>
      <c r="F517" s="440"/>
      <c r="G517" s="440"/>
      <c r="H517" s="88">
        <v>2750.0</v>
      </c>
      <c r="I517" s="471" t="s">
        <v>9390</v>
      </c>
      <c r="J517" s="440" t="s">
        <v>116</v>
      </c>
      <c r="K517" s="440" t="s">
        <v>49</v>
      </c>
      <c r="L517" s="440" t="s">
        <v>71</v>
      </c>
      <c r="M517" s="440" t="s">
        <v>8262</v>
      </c>
      <c r="N517" s="134">
        <v>17727.0</v>
      </c>
      <c r="O517" s="547">
        <v>19949.0</v>
      </c>
      <c r="P517" s="568">
        <v>47.0</v>
      </c>
      <c r="Q517" s="31">
        <f t="shared" si="20"/>
        <v>8331.69</v>
      </c>
    </row>
    <row r="518">
      <c r="A518" s="526" t="s">
        <v>9388</v>
      </c>
      <c r="B518" s="440" t="s">
        <v>9391</v>
      </c>
      <c r="C518" s="440" t="s">
        <v>21</v>
      </c>
      <c r="D518" s="58" t="s">
        <v>9392</v>
      </c>
      <c r="E518" s="471" t="s">
        <v>9393</v>
      </c>
      <c r="F518" s="440">
        <v>9.87974813E9</v>
      </c>
      <c r="G518" s="440"/>
      <c r="H518" s="88">
        <v>35000.0</v>
      </c>
      <c r="I518" s="471" t="s">
        <v>9390</v>
      </c>
      <c r="J518" s="440" t="s">
        <v>78</v>
      </c>
      <c r="K518" s="440" t="s">
        <v>49</v>
      </c>
      <c r="L518" s="440" t="s">
        <v>3028</v>
      </c>
      <c r="M518" s="440" t="s">
        <v>8262</v>
      </c>
      <c r="N518" s="88">
        <v>53680.0</v>
      </c>
      <c r="O518" s="542">
        <v>60705.0</v>
      </c>
      <c r="P518" s="568">
        <v>23.0</v>
      </c>
      <c r="Q518" s="31">
        <f t="shared" si="20"/>
        <v>12346.4</v>
      </c>
    </row>
    <row r="519">
      <c r="A519" s="526" t="s">
        <v>9394</v>
      </c>
      <c r="B519" s="440" t="s">
        <v>9395</v>
      </c>
      <c r="C519" s="440" t="s">
        <v>21</v>
      </c>
      <c r="D519" s="58" t="s">
        <v>9202</v>
      </c>
      <c r="E519" s="471" t="s">
        <v>9396</v>
      </c>
      <c r="F519" s="440"/>
      <c r="G519" s="440"/>
      <c r="H519" s="499">
        <v>12990.0</v>
      </c>
      <c r="I519" s="471" t="s">
        <v>9390</v>
      </c>
      <c r="J519" s="440" t="s">
        <v>78</v>
      </c>
      <c r="K519" s="440" t="s">
        <v>49</v>
      </c>
      <c r="L519" s="440" t="s">
        <v>71</v>
      </c>
      <c r="M519" s="440" t="s">
        <v>8262</v>
      </c>
      <c r="N519" s="88">
        <v>37147.0</v>
      </c>
      <c r="O519" s="542">
        <v>41715.0</v>
      </c>
      <c r="P519" s="568">
        <v>23.0</v>
      </c>
      <c r="Q519" s="31">
        <f t="shared" si="20"/>
        <v>8543.81</v>
      </c>
    </row>
    <row r="520">
      <c r="A520" s="526" t="s">
        <v>9394</v>
      </c>
      <c r="B520" s="440" t="s">
        <v>9397</v>
      </c>
      <c r="C520" s="440" t="s">
        <v>21</v>
      </c>
      <c r="D520" s="58" t="s">
        <v>9398</v>
      </c>
      <c r="E520" s="471" t="s">
        <v>9399</v>
      </c>
      <c r="F520" s="440"/>
      <c r="G520" s="440"/>
      <c r="H520" s="440"/>
      <c r="I520" s="471" t="s">
        <v>3887</v>
      </c>
      <c r="J520" s="440" t="s">
        <v>9400</v>
      </c>
      <c r="K520" s="440" t="s">
        <v>49</v>
      </c>
      <c r="L520" s="440" t="s">
        <v>27</v>
      </c>
      <c r="M520" s="440" t="s">
        <v>8262</v>
      </c>
      <c r="N520" s="88">
        <v>24040.0</v>
      </c>
      <c r="O520" s="542">
        <v>28367.2</v>
      </c>
      <c r="P520" s="568">
        <v>10.0</v>
      </c>
      <c r="Q520" s="31">
        <f t="shared" si="20"/>
        <v>2404</v>
      </c>
    </row>
    <row r="521">
      <c r="A521" s="526" t="s">
        <v>9394</v>
      </c>
      <c r="B521" s="440" t="s">
        <v>9401</v>
      </c>
      <c r="C521" s="440" t="s">
        <v>1432</v>
      </c>
      <c r="D521" s="58" t="s">
        <v>9402</v>
      </c>
      <c r="E521" s="471" t="s">
        <v>9403</v>
      </c>
      <c r="F521" s="440"/>
      <c r="G521" s="440"/>
      <c r="H521" s="440"/>
      <c r="I521" s="471" t="s">
        <v>9390</v>
      </c>
      <c r="J521" s="440" t="s">
        <v>1424</v>
      </c>
      <c r="K521" s="440" t="s">
        <v>49</v>
      </c>
      <c r="L521" s="440" t="s">
        <v>27</v>
      </c>
      <c r="M521" s="440" t="s">
        <v>8262</v>
      </c>
      <c r="N521" s="88">
        <v>6576.0</v>
      </c>
      <c r="O521" s="542">
        <v>7760.0</v>
      </c>
      <c r="P521" s="568">
        <v>52.0</v>
      </c>
      <c r="Q521" s="31">
        <f t="shared" si="20"/>
        <v>3419.52</v>
      </c>
    </row>
    <row r="522">
      <c r="A522" s="526" t="s">
        <v>9394</v>
      </c>
      <c r="B522" s="440" t="s">
        <v>9404</v>
      </c>
      <c r="C522" s="440" t="s">
        <v>21</v>
      </c>
      <c r="D522" s="58" t="s">
        <v>9405</v>
      </c>
      <c r="E522" s="471" t="s">
        <v>2553</v>
      </c>
      <c r="F522" s="440">
        <v>9.825855236E9</v>
      </c>
      <c r="G522" s="440"/>
      <c r="H522" s="440">
        <v>35000.0</v>
      </c>
      <c r="I522" s="471" t="s">
        <v>3891</v>
      </c>
      <c r="J522" s="440" t="s">
        <v>78</v>
      </c>
      <c r="K522" s="440" t="s">
        <v>49</v>
      </c>
      <c r="L522" s="440" t="s">
        <v>3028</v>
      </c>
      <c r="M522" s="440" t="s">
        <v>8262</v>
      </c>
      <c r="N522" s="88">
        <v>48804.0</v>
      </c>
      <c r="O522" s="542">
        <v>54952.0</v>
      </c>
      <c r="P522" s="568">
        <v>23.0</v>
      </c>
      <c r="Q522" s="31">
        <f t="shared" si="20"/>
        <v>11224.92</v>
      </c>
    </row>
    <row r="523">
      <c r="A523" s="526" t="s">
        <v>9394</v>
      </c>
      <c r="B523" s="440" t="s">
        <v>7528</v>
      </c>
      <c r="C523" s="440" t="s">
        <v>1395</v>
      </c>
      <c r="D523" s="58" t="s">
        <v>9406</v>
      </c>
      <c r="E523" s="471" t="s">
        <v>9407</v>
      </c>
      <c r="F523" s="440"/>
      <c r="G523" s="440"/>
      <c r="H523" s="88">
        <v>2620.0</v>
      </c>
      <c r="I523" s="471" t="s">
        <v>9408</v>
      </c>
      <c r="J523" s="440" t="s">
        <v>1424</v>
      </c>
      <c r="K523" s="440" t="s">
        <v>49</v>
      </c>
      <c r="L523" s="440" t="s">
        <v>71</v>
      </c>
      <c r="M523" s="440" t="s">
        <v>8262</v>
      </c>
      <c r="N523" s="88">
        <v>17491.0</v>
      </c>
      <c r="O523" s="542">
        <v>19677.0</v>
      </c>
      <c r="P523" s="568">
        <v>52.0</v>
      </c>
      <c r="Q523" s="31">
        <f t="shared" si="20"/>
        <v>9095.32</v>
      </c>
    </row>
    <row r="524">
      <c r="A524" s="526" t="s">
        <v>9394</v>
      </c>
      <c r="B524" s="440" t="s">
        <v>9409</v>
      </c>
      <c r="C524" s="440" t="s">
        <v>1395</v>
      </c>
      <c r="D524" s="58" t="s">
        <v>5695</v>
      </c>
      <c r="E524" s="471" t="s">
        <v>9410</v>
      </c>
      <c r="F524" s="440"/>
      <c r="G524" s="440"/>
      <c r="H524" s="134">
        <v>18500.0</v>
      </c>
      <c r="I524" s="471" t="s">
        <v>3891</v>
      </c>
      <c r="J524" s="440" t="s">
        <v>2638</v>
      </c>
      <c r="K524" s="440" t="s">
        <v>26</v>
      </c>
      <c r="L524" s="440" t="s">
        <v>27</v>
      </c>
      <c r="M524" s="440" t="s">
        <v>8262</v>
      </c>
      <c r="N524" s="134">
        <v>35413.0</v>
      </c>
      <c r="O524" s="574">
        <v>39668.56</v>
      </c>
      <c r="P524" s="568">
        <v>42.0</v>
      </c>
      <c r="Q524" s="31">
        <f t="shared" si="20"/>
        <v>14873.46</v>
      </c>
    </row>
    <row r="525">
      <c r="A525" s="526" t="s">
        <v>9411</v>
      </c>
      <c r="B525" s="440" t="s">
        <v>9412</v>
      </c>
      <c r="C525" s="440" t="s">
        <v>1395</v>
      </c>
      <c r="D525" s="58" t="s">
        <v>9049</v>
      </c>
      <c r="E525" s="471" t="s">
        <v>9413</v>
      </c>
      <c r="F525" s="440">
        <v>9.825705317E9</v>
      </c>
      <c r="G525" s="440"/>
      <c r="H525" s="88">
        <v>1420.0</v>
      </c>
      <c r="I525" s="471" t="s">
        <v>9408</v>
      </c>
      <c r="J525" s="440" t="s">
        <v>78</v>
      </c>
      <c r="K525" s="440" t="s">
        <v>49</v>
      </c>
      <c r="L525" s="440" t="s">
        <v>3028</v>
      </c>
      <c r="M525" s="440" t="s">
        <v>8262</v>
      </c>
      <c r="N525" s="88">
        <v>16474.0</v>
      </c>
      <c r="O525" s="542">
        <v>18476.0</v>
      </c>
      <c r="P525" s="568">
        <v>53.0</v>
      </c>
      <c r="Q525" s="31">
        <f t="shared" si="20"/>
        <v>8731.22</v>
      </c>
    </row>
    <row r="526">
      <c r="A526" s="526" t="s">
        <v>9411</v>
      </c>
      <c r="B526" s="471" t="s">
        <v>9414</v>
      </c>
      <c r="C526" s="440" t="s">
        <v>21</v>
      </c>
      <c r="D526" s="58" t="s">
        <v>9237</v>
      </c>
      <c r="E526" s="471" t="s">
        <v>9415</v>
      </c>
      <c r="F526" s="440">
        <v>9.924530901E9</v>
      </c>
      <c r="G526" s="440"/>
      <c r="H526" s="88">
        <v>35000.0</v>
      </c>
      <c r="I526" s="440" t="s">
        <v>9408</v>
      </c>
      <c r="J526" s="396" t="s">
        <v>70</v>
      </c>
      <c r="K526" s="440" t="s">
        <v>49</v>
      </c>
      <c r="L526" s="440" t="s">
        <v>1436</v>
      </c>
      <c r="M526" s="440" t="s">
        <v>8262</v>
      </c>
      <c r="N526" s="134">
        <v>47330.0</v>
      </c>
      <c r="O526" s="547">
        <v>53212.0</v>
      </c>
      <c r="P526" s="568">
        <v>21.0</v>
      </c>
      <c r="Q526" s="31">
        <f t="shared" si="20"/>
        <v>9939.3</v>
      </c>
    </row>
    <row r="527">
      <c r="A527" s="526" t="s">
        <v>9411</v>
      </c>
      <c r="B527" s="440" t="s">
        <v>3928</v>
      </c>
      <c r="C527" s="440" t="s">
        <v>1395</v>
      </c>
      <c r="D527" s="58" t="s">
        <v>9416</v>
      </c>
      <c r="E527" s="471" t="s">
        <v>9417</v>
      </c>
      <c r="F527" s="440"/>
      <c r="G527" s="440"/>
      <c r="H527" s="542">
        <v>2975.0</v>
      </c>
      <c r="I527" s="441" t="s">
        <v>9418</v>
      </c>
      <c r="J527" s="440" t="s">
        <v>25</v>
      </c>
      <c r="K527" s="440" t="s">
        <v>26</v>
      </c>
      <c r="L527" s="440" t="s">
        <v>27</v>
      </c>
      <c r="M527" s="440" t="s">
        <v>8262</v>
      </c>
      <c r="N527" s="88">
        <v>16049.0</v>
      </c>
      <c r="O527" s="542">
        <v>18800.0</v>
      </c>
      <c r="P527" s="568">
        <v>50.0</v>
      </c>
      <c r="Q527" s="31">
        <f t="shared" si="20"/>
        <v>8024.5</v>
      </c>
    </row>
    <row r="528">
      <c r="A528" s="100" t="s">
        <v>9419</v>
      </c>
      <c r="B528" s="8" t="s">
        <v>9420</v>
      </c>
      <c r="C528" s="8" t="s">
        <v>1395</v>
      </c>
      <c r="D528" s="8" t="s">
        <v>2154</v>
      </c>
      <c r="E528" s="8" t="s">
        <v>9421</v>
      </c>
      <c r="F528" s="8">
        <v>9.687705218E9</v>
      </c>
      <c r="G528" s="8"/>
      <c r="H528" s="21">
        <v>2670.0</v>
      </c>
      <c r="I528" s="8" t="s">
        <v>9408</v>
      </c>
      <c r="J528" s="8" t="s">
        <v>1424</v>
      </c>
      <c r="K528" s="8" t="s">
        <v>49</v>
      </c>
      <c r="L528" s="8" t="s">
        <v>3028</v>
      </c>
      <c r="M528" s="8" t="s">
        <v>8262</v>
      </c>
      <c r="N528" s="21">
        <v>18682.0</v>
      </c>
      <c r="O528" s="21">
        <v>21082.0</v>
      </c>
      <c r="P528" s="575">
        <v>52.0</v>
      </c>
      <c r="Q528" s="31">
        <f t="shared" si="20"/>
        <v>9714.64</v>
      </c>
    </row>
    <row r="529">
      <c r="A529" s="576" t="s">
        <v>9422</v>
      </c>
      <c r="B529" s="8" t="s">
        <v>9423</v>
      </c>
      <c r="C529" s="8" t="s">
        <v>21</v>
      </c>
      <c r="D529" s="8" t="s">
        <v>9424</v>
      </c>
      <c r="E529" s="8"/>
      <c r="F529" s="8"/>
      <c r="G529" s="8"/>
      <c r="H529" s="8">
        <v>35000.0</v>
      </c>
      <c r="I529" s="8" t="s">
        <v>9408</v>
      </c>
      <c r="J529" s="8" t="s">
        <v>78</v>
      </c>
      <c r="K529" s="8" t="s">
        <v>49</v>
      </c>
      <c r="L529" s="8" t="s">
        <v>3028</v>
      </c>
      <c r="M529" s="8" t="s">
        <v>8262</v>
      </c>
      <c r="N529" s="8">
        <v>79253.0</v>
      </c>
      <c r="O529" s="8">
        <v>90882.0</v>
      </c>
      <c r="P529" s="8">
        <v>23.0</v>
      </c>
      <c r="Q529" s="8">
        <f t="shared" si="20"/>
        <v>18228.19</v>
      </c>
    </row>
    <row r="530">
      <c r="A530" s="576" t="s">
        <v>9422</v>
      </c>
      <c r="B530" s="8" t="s">
        <v>9425</v>
      </c>
      <c r="C530" s="8" t="s">
        <v>21</v>
      </c>
      <c r="D530" s="8" t="s">
        <v>9426</v>
      </c>
      <c r="E530" s="8"/>
      <c r="F530" s="8"/>
      <c r="G530" s="8"/>
      <c r="H530" s="8">
        <v>35000.0</v>
      </c>
      <c r="I530" s="8" t="s">
        <v>9408</v>
      </c>
      <c r="J530" s="8" t="s">
        <v>78</v>
      </c>
      <c r="K530" s="8" t="s">
        <v>49</v>
      </c>
      <c r="L530" s="8" t="s">
        <v>3028</v>
      </c>
      <c r="M530" s="8" t="s">
        <v>8262</v>
      </c>
      <c r="N530" s="8">
        <v>77935.0</v>
      </c>
      <c r="O530" s="8">
        <v>89327.0</v>
      </c>
      <c r="P530" s="8">
        <v>23.0</v>
      </c>
      <c r="Q530" s="8">
        <f t="shared" si="20"/>
        <v>17925.05</v>
      </c>
    </row>
    <row r="531">
      <c r="A531" s="576" t="s">
        <v>9422</v>
      </c>
      <c r="B531" s="577" t="s">
        <v>6988</v>
      </c>
      <c r="C531" s="577" t="s">
        <v>21</v>
      </c>
      <c r="D531" s="577" t="s">
        <v>262</v>
      </c>
      <c r="E531" s="8"/>
      <c r="F531" s="8"/>
      <c r="G531" s="8"/>
      <c r="H531" s="577">
        <v>1600.0</v>
      </c>
      <c r="I531" s="577" t="s">
        <v>9418</v>
      </c>
      <c r="J531" s="577" t="s">
        <v>1424</v>
      </c>
      <c r="K531" s="577" t="s">
        <v>49</v>
      </c>
      <c r="L531" s="577" t="s">
        <v>71</v>
      </c>
      <c r="M531" s="577" t="s">
        <v>8262</v>
      </c>
      <c r="N531" s="577">
        <v>20325.0</v>
      </c>
      <c r="O531" s="577">
        <v>23021.0</v>
      </c>
      <c r="P531" s="577">
        <v>52.0</v>
      </c>
      <c r="Q531" s="8">
        <f t="shared" si="20"/>
        <v>10569</v>
      </c>
    </row>
    <row r="532">
      <c r="A532" s="100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>
      <c r="A533" s="100" t="s">
        <v>9427</v>
      </c>
      <c r="B533" s="578" t="s">
        <v>6769</v>
      </c>
      <c r="C533" s="479" t="s">
        <v>1395</v>
      </c>
      <c r="D533" s="8" t="s">
        <v>3866</v>
      </c>
      <c r="E533" s="8" t="s">
        <v>9428</v>
      </c>
      <c r="F533" s="8">
        <v>6.353279123E9</v>
      </c>
      <c r="G533" s="8"/>
      <c r="H533" s="21">
        <v>2700.0</v>
      </c>
      <c r="I533" s="471" t="s">
        <v>9418</v>
      </c>
      <c r="J533" s="479" t="s">
        <v>1424</v>
      </c>
      <c r="K533" s="479" t="s">
        <v>49</v>
      </c>
      <c r="L533" s="479" t="s">
        <v>27</v>
      </c>
      <c r="M533" s="479" t="s">
        <v>8262</v>
      </c>
      <c r="N533" s="542">
        <v>19219.0</v>
      </c>
      <c r="O533" s="481">
        <v>21715.0</v>
      </c>
      <c r="P533" s="6">
        <v>52.0</v>
      </c>
      <c r="Q533" s="8">
        <f t="shared" ref="Q533:Q542" si="21">N533*P533%</f>
        <v>9993.88</v>
      </c>
    </row>
    <row r="534">
      <c r="A534" s="526" t="s">
        <v>9427</v>
      </c>
      <c r="B534" s="579" t="s">
        <v>9429</v>
      </c>
      <c r="C534" s="440" t="s">
        <v>1432</v>
      </c>
      <c r="D534" s="8" t="s">
        <v>9430</v>
      </c>
      <c r="E534" s="8" t="s">
        <v>9431</v>
      </c>
      <c r="F534" s="8">
        <v>9.687058847E9</v>
      </c>
      <c r="G534" s="8"/>
      <c r="H534" s="8"/>
      <c r="I534" s="471" t="s">
        <v>3921</v>
      </c>
      <c r="J534" s="440" t="s">
        <v>1419</v>
      </c>
      <c r="K534" s="440" t="s">
        <v>49</v>
      </c>
      <c r="L534" s="440" t="s">
        <v>27</v>
      </c>
      <c r="M534" s="440" t="s">
        <v>8262</v>
      </c>
      <c r="N534" s="88">
        <v>6574.0</v>
      </c>
      <c r="O534" s="542">
        <v>7758.0</v>
      </c>
      <c r="P534" s="6">
        <v>52.0</v>
      </c>
      <c r="Q534" s="8">
        <f t="shared" si="21"/>
        <v>3418.48</v>
      </c>
    </row>
    <row r="535">
      <c r="A535" s="526" t="s">
        <v>9427</v>
      </c>
      <c r="B535" s="579" t="s">
        <v>9432</v>
      </c>
      <c r="C535" s="440" t="s">
        <v>1432</v>
      </c>
      <c r="D535" s="8" t="s">
        <v>1518</v>
      </c>
      <c r="E535" s="8" t="s">
        <v>9433</v>
      </c>
      <c r="F535" s="8">
        <v>8.5115088E9</v>
      </c>
      <c r="G535" s="8"/>
      <c r="H535" s="8"/>
      <c r="I535" s="471" t="s">
        <v>3921</v>
      </c>
      <c r="J535" s="440" t="s">
        <v>1419</v>
      </c>
      <c r="K535" s="440" t="s">
        <v>49</v>
      </c>
      <c r="L535" s="440" t="s">
        <v>27</v>
      </c>
      <c r="M535" s="440" t="s">
        <v>8262</v>
      </c>
      <c r="N535" s="88">
        <v>6566.0</v>
      </c>
      <c r="O535" s="542">
        <v>7748.0</v>
      </c>
      <c r="P535" s="6">
        <v>52.0</v>
      </c>
      <c r="Q535" s="8">
        <f t="shared" si="21"/>
        <v>3414.32</v>
      </c>
    </row>
    <row r="536">
      <c r="A536" s="526" t="s">
        <v>9427</v>
      </c>
      <c r="B536" s="510" t="s">
        <v>9434</v>
      </c>
      <c r="C536" s="440" t="s">
        <v>1432</v>
      </c>
      <c r="D536" s="8" t="s">
        <v>1439</v>
      </c>
      <c r="E536" s="8" t="s">
        <v>9435</v>
      </c>
      <c r="F536" s="8">
        <v>9.998865744E9</v>
      </c>
      <c r="G536" s="8"/>
      <c r="H536" s="8"/>
      <c r="I536" s="471" t="s">
        <v>3921</v>
      </c>
      <c r="J536" s="440" t="s">
        <v>1419</v>
      </c>
      <c r="K536" s="440" t="s">
        <v>49</v>
      </c>
      <c r="L536" s="440" t="s">
        <v>27</v>
      </c>
      <c r="M536" s="440" t="s">
        <v>8262</v>
      </c>
      <c r="N536" s="88">
        <v>6869.0</v>
      </c>
      <c r="O536" s="542">
        <v>8105.0</v>
      </c>
      <c r="P536" s="6">
        <v>52.0</v>
      </c>
      <c r="Q536" s="8">
        <f t="shared" si="21"/>
        <v>3571.88</v>
      </c>
    </row>
    <row r="537">
      <c r="A537" s="526" t="s">
        <v>9427</v>
      </c>
      <c r="B537" s="510" t="s">
        <v>9436</v>
      </c>
      <c r="C537" s="440" t="s">
        <v>1432</v>
      </c>
      <c r="D537" s="8" t="s">
        <v>9268</v>
      </c>
      <c r="E537" s="8" t="s">
        <v>9437</v>
      </c>
      <c r="F537" s="8">
        <v>9.327415912E9</v>
      </c>
      <c r="G537" s="8"/>
      <c r="H537" s="8"/>
      <c r="I537" s="471" t="s">
        <v>3921</v>
      </c>
      <c r="J537" s="440" t="s">
        <v>78</v>
      </c>
      <c r="K537" s="440" t="s">
        <v>49</v>
      </c>
      <c r="L537" s="440" t="s">
        <v>1616</v>
      </c>
      <c r="M537" s="440" t="s">
        <v>8262</v>
      </c>
      <c r="N537" s="88">
        <v>5522.0</v>
      </c>
      <c r="O537" s="542">
        <v>6246.0</v>
      </c>
      <c r="P537" s="6">
        <v>52.0</v>
      </c>
      <c r="Q537" s="8">
        <f t="shared" si="21"/>
        <v>2871.44</v>
      </c>
    </row>
    <row r="538">
      <c r="A538" s="526" t="s">
        <v>9427</v>
      </c>
      <c r="B538" s="510" t="s">
        <v>7236</v>
      </c>
      <c r="C538" s="440" t="s">
        <v>21</v>
      </c>
      <c r="D538" s="8" t="s">
        <v>9327</v>
      </c>
      <c r="E538" s="8" t="s">
        <v>1929</v>
      </c>
      <c r="F538" s="8">
        <v>8.140411111E9</v>
      </c>
      <c r="G538" s="8"/>
      <c r="H538" s="21">
        <v>35000.0</v>
      </c>
      <c r="I538" s="471" t="s">
        <v>3946</v>
      </c>
      <c r="J538" s="440" t="s">
        <v>78</v>
      </c>
      <c r="K538" s="440" t="s">
        <v>49</v>
      </c>
      <c r="L538" s="440" t="s">
        <v>71</v>
      </c>
      <c r="M538" s="440" t="s">
        <v>8262</v>
      </c>
      <c r="N538" s="88">
        <v>47221.0</v>
      </c>
      <c r="O538" s="542">
        <v>53084.0</v>
      </c>
      <c r="P538" s="6">
        <v>23.0</v>
      </c>
      <c r="Q538" s="8">
        <f t="shared" si="21"/>
        <v>10860.83</v>
      </c>
    </row>
    <row r="539">
      <c r="A539" s="526" t="s">
        <v>9427</v>
      </c>
      <c r="B539" s="510" t="s">
        <v>9438</v>
      </c>
      <c r="C539" s="440" t="s">
        <v>21</v>
      </c>
      <c r="D539" s="8" t="s">
        <v>9439</v>
      </c>
      <c r="E539" s="8" t="s">
        <v>9440</v>
      </c>
      <c r="F539" s="8">
        <v>9.998865464E9</v>
      </c>
      <c r="G539" s="8"/>
      <c r="H539" s="21">
        <v>28000.0</v>
      </c>
      <c r="I539" s="471" t="s">
        <v>3921</v>
      </c>
      <c r="J539" s="440" t="s">
        <v>78</v>
      </c>
      <c r="K539" s="440" t="s">
        <v>49</v>
      </c>
      <c r="L539" s="440" t="s">
        <v>27</v>
      </c>
      <c r="M539" s="440" t="s">
        <v>8262</v>
      </c>
      <c r="N539" s="88">
        <v>46747.0</v>
      </c>
      <c r="O539" s="542">
        <v>52524.0</v>
      </c>
      <c r="P539" s="6">
        <v>23.0</v>
      </c>
      <c r="Q539" s="8">
        <f t="shared" si="21"/>
        <v>10751.81</v>
      </c>
    </row>
    <row r="540">
      <c r="A540" s="526" t="s">
        <v>9427</v>
      </c>
      <c r="B540" s="510" t="s">
        <v>3959</v>
      </c>
      <c r="C540" s="440" t="s">
        <v>21</v>
      </c>
      <c r="D540" s="8" t="s">
        <v>9441</v>
      </c>
      <c r="E540" s="8" t="s">
        <v>9442</v>
      </c>
      <c r="F540" s="8">
        <v>9.428277711E9</v>
      </c>
      <c r="G540" s="8"/>
      <c r="H540" s="8">
        <v>25000.0</v>
      </c>
      <c r="I540" s="471" t="s">
        <v>3946</v>
      </c>
      <c r="J540" s="440" t="s">
        <v>2638</v>
      </c>
      <c r="K540" s="440" t="s">
        <v>26</v>
      </c>
      <c r="L540" s="440" t="s">
        <v>71</v>
      </c>
      <c r="M540" s="440" t="s">
        <v>8262</v>
      </c>
      <c r="N540" s="134">
        <v>43950.0</v>
      </c>
      <c r="O540" s="547">
        <v>49224.0</v>
      </c>
      <c r="P540" s="6">
        <v>42.0</v>
      </c>
      <c r="Q540" s="8">
        <f t="shared" si="21"/>
        <v>18459</v>
      </c>
    </row>
    <row r="541">
      <c r="A541" s="526" t="s">
        <v>9443</v>
      </c>
      <c r="B541" s="440" t="s">
        <v>9444</v>
      </c>
      <c r="C541" s="440" t="s">
        <v>21</v>
      </c>
      <c r="D541" s="8" t="s">
        <v>9445</v>
      </c>
      <c r="E541" s="8" t="s">
        <v>9446</v>
      </c>
      <c r="F541" s="8"/>
      <c r="G541" s="8"/>
      <c r="H541" s="8">
        <v>35000.0</v>
      </c>
      <c r="I541" s="471" t="s">
        <v>3946</v>
      </c>
      <c r="J541" s="440" t="s">
        <v>4916</v>
      </c>
      <c r="K541" s="440" t="s">
        <v>49</v>
      </c>
      <c r="L541" s="440" t="s">
        <v>27</v>
      </c>
      <c r="M541" s="440" t="s">
        <v>8262</v>
      </c>
      <c r="N541" s="88">
        <v>49252.06</v>
      </c>
      <c r="O541" s="542">
        <v>55480.44</v>
      </c>
      <c r="P541" s="6">
        <v>21.0</v>
      </c>
      <c r="Q541" s="8">
        <f t="shared" si="21"/>
        <v>10342.9326</v>
      </c>
    </row>
    <row r="542">
      <c r="A542" s="526" t="s">
        <v>9443</v>
      </c>
      <c r="B542" s="440" t="s">
        <v>9447</v>
      </c>
      <c r="C542" s="440" t="s">
        <v>21</v>
      </c>
      <c r="D542" s="8" t="s">
        <v>9448</v>
      </c>
      <c r="E542" s="8" t="s">
        <v>9449</v>
      </c>
      <c r="F542" s="8"/>
      <c r="G542" s="8"/>
      <c r="H542" s="21">
        <v>17750.0</v>
      </c>
      <c r="I542" s="440" t="s">
        <v>3946</v>
      </c>
      <c r="J542" s="440" t="s">
        <v>78</v>
      </c>
      <c r="K542" s="440" t="s">
        <v>49</v>
      </c>
      <c r="L542" s="440" t="s">
        <v>27</v>
      </c>
      <c r="M542" s="440" t="s">
        <v>8259</v>
      </c>
      <c r="N542" s="537">
        <v>53058.96</v>
      </c>
      <c r="O542" s="443">
        <v>60491.0</v>
      </c>
      <c r="P542" s="6">
        <v>23.0</v>
      </c>
      <c r="Q542" s="8">
        <f t="shared" si="21"/>
        <v>12203.5608</v>
      </c>
    </row>
    <row r="543">
      <c r="A543" s="126"/>
      <c r="F543" s="236"/>
    </row>
    <row r="544">
      <c r="A544" s="126"/>
      <c r="F544" s="236"/>
    </row>
    <row r="545">
      <c r="A545" s="100" t="s">
        <v>9450</v>
      </c>
      <c r="B545" s="479" t="s">
        <v>9451</v>
      </c>
      <c r="C545" s="529" t="s">
        <v>1405</v>
      </c>
      <c r="D545" s="479" t="s">
        <v>9268</v>
      </c>
      <c r="E545" s="479" t="s">
        <v>9452</v>
      </c>
      <c r="F545" s="479">
        <v>8.23819244E9</v>
      </c>
      <c r="G545" s="479"/>
      <c r="H545" s="479"/>
      <c r="I545" s="479" t="s">
        <v>3978</v>
      </c>
      <c r="J545" s="479" t="s">
        <v>78</v>
      </c>
      <c r="K545" s="479" t="s">
        <v>49</v>
      </c>
      <c r="L545" s="479" t="s">
        <v>1616</v>
      </c>
      <c r="M545" s="479" t="s">
        <v>8262</v>
      </c>
      <c r="N545" s="481">
        <v>5373.0</v>
      </c>
      <c r="O545" s="481">
        <v>6071.0</v>
      </c>
      <c r="P545" s="6">
        <v>53.0</v>
      </c>
      <c r="Q545" s="8">
        <f t="shared" ref="Q545:Q565" si="22">N545*P545%</f>
        <v>2847.69</v>
      </c>
    </row>
    <row r="546">
      <c r="A546" s="526" t="s">
        <v>9453</v>
      </c>
      <c r="B546" s="440" t="s">
        <v>9454</v>
      </c>
      <c r="C546" s="440" t="s">
        <v>1432</v>
      </c>
      <c r="D546" s="440" t="s">
        <v>9430</v>
      </c>
      <c r="E546" s="440" t="s">
        <v>9455</v>
      </c>
      <c r="F546" s="440">
        <v>6.356968462E9</v>
      </c>
      <c r="G546" s="440"/>
      <c r="H546" s="440"/>
      <c r="I546" s="440" t="s">
        <v>3978</v>
      </c>
      <c r="J546" s="440" t="s">
        <v>1419</v>
      </c>
      <c r="K546" s="440" t="s">
        <v>49</v>
      </c>
      <c r="L546" s="440" t="s">
        <v>27</v>
      </c>
      <c r="M546" s="440" t="s">
        <v>8262</v>
      </c>
      <c r="N546" s="464">
        <v>6532.0</v>
      </c>
      <c r="O546" s="464">
        <v>7708.0</v>
      </c>
      <c r="P546" s="6">
        <v>52.0</v>
      </c>
      <c r="Q546" s="8">
        <f t="shared" si="22"/>
        <v>3396.64</v>
      </c>
    </row>
    <row r="547">
      <c r="A547" s="526" t="s">
        <v>9453</v>
      </c>
      <c r="B547" s="440" t="s">
        <v>9456</v>
      </c>
      <c r="C547" s="440" t="s">
        <v>1405</v>
      </c>
      <c r="D547" s="440" t="s">
        <v>9457</v>
      </c>
      <c r="E547" s="440" t="s">
        <v>9458</v>
      </c>
      <c r="F547" s="440">
        <v>9.974695427E9</v>
      </c>
      <c r="G547" s="440"/>
      <c r="H547" s="464">
        <v>1020.0</v>
      </c>
      <c r="I547" s="440" t="s">
        <v>4002</v>
      </c>
      <c r="J547" s="440" t="s">
        <v>1419</v>
      </c>
      <c r="K547" s="440" t="s">
        <v>49</v>
      </c>
      <c r="L547" s="440" t="s">
        <v>27</v>
      </c>
      <c r="M547" s="440" t="s">
        <v>8262</v>
      </c>
      <c r="N547" s="464">
        <v>5106.0</v>
      </c>
      <c r="O547" s="464">
        <v>5758.0</v>
      </c>
      <c r="P547" s="6">
        <v>52.0</v>
      </c>
      <c r="Q547" s="8">
        <f t="shared" si="22"/>
        <v>2655.12</v>
      </c>
    </row>
    <row r="548">
      <c r="A548" s="526" t="s">
        <v>9453</v>
      </c>
      <c r="B548" s="440" t="s">
        <v>9459</v>
      </c>
      <c r="C548" s="440" t="s">
        <v>1432</v>
      </c>
      <c r="D548" s="440" t="s">
        <v>9151</v>
      </c>
      <c r="E548" s="440" t="s">
        <v>9460</v>
      </c>
      <c r="F548" s="440">
        <v>9.97905557E9</v>
      </c>
      <c r="G548" s="440"/>
      <c r="H548" s="440"/>
      <c r="I548" s="440" t="s">
        <v>3978</v>
      </c>
      <c r="J548" s="440" t="s">
        <v>1424</v>
      </c>
      <c r="K548" s="440" t="s">
        <v>49</v>
      </c>
      <c r="L548" s="440" t="s">
        <v>27</v>
      </c>
      <c r="M548" s="440" t="s">
        <v>8262</v>
      </c>
      <c r="N548" s="464">
        <v>6391.0</v>
      </c>
      <c r="O548" s="464">
        <v>7541.0</v>
      </c>
      <c r="P548" s="6">
        <v>52.0</v>
      </c>
      <c r="Q548" s="8">
        <f t="shared" si="22"/>
        <v>3323.32</v>
      </c>
    </row>
    <row r="549">
      <c r="A549" s="526" t="s">
        <v>9453</v>
      </c>
      <c r="B549" s="440" t="s">
        <v>9461</v>
      </c>
      <c r="C549" s="440" t="s">
        <v>1432</v>
      </c>
      <c r="D549" s="440" t="s">
        <v>9462</v>
      </c>
      <c r="E549" s="440" t="s">
        <v>9463</v>
      </c>
      <c r="F549" s="440">
        <v>9.016900956E9</v>
      </c>
      <c r="G549" s="440"/>
      <c r="H549" s="440"/>
      <c r="I549" s="440" t="s">
        <v>4002</v>
      </c>
      <c r="J549" s="440" t="s">
        <v>1419</v>
      </c>
      <c r="K549" s="440" t="s">
        <v>49</v>
      </c>
      <c r="L549" s="440" t="s">
        <v>27</v>
      </c>
      <c r="M549" s="440" t="s">
        <v>8262</v>
      </c>
      <c r="N549" s="464">
        <v>6439.0</v>
      </c>
      <c r="O549" s="464">
        <v>7599.0</v>
      </c>
      <c r="P549" s="6">
        <v>52.0</v>
      </c>
      <c r="Q549" s="8">
        <f t="shared" si="22"/>
        <v>3348.28</v>
      </c>
    </row>
    <row r="550">
      <c r="A550" s="526" t="s">
        <v>9464</v>
      </c>
      <c r="B550" s="440" t="s">
        <v>7167</v>
      </c>
      <c r="C550" s="440" t="s">
        <v>1395</v>
      </c>
      <c r="D550" s="440" t="s">
        <v>9465</v>
      </c>
      <c r="E550" s="440" t="s">
        <v>9329</v>
      </c>
      <c r="F550" s="440">
        <v>8.780698756E9</v>
      </c>
      <c r="G550" s="440"/>
      <c r="H550" s="396">
        <v>2500.0</v>
      </c>
      <c r="I550" s="440" t="s">
        <v>4015</v>
      </c>
      <c r="J550" s="440" t="s">
        <v>1419</v>
      </c>
      <c r="K550" s="440" t="s">
        <v>49</v>
      </c>
      <c r="L550" s="440" t="s">
        <v>71</v>
      </c>
      <c r="M550" s="440" t="s">
        <v>8262</v>
      </c>
      <c r="N550" s="464">
        <v>16824.0</v>
      </c>
      <c r="O550" s="464">
        <v>18890.0</v>
      </c>
      <c r="P550" s="6">
        <v>52.0</v>
      </c>
      <c r="Q550" s="8">
        <f t="shared" si="22"/>
        <v>8748.48</v>
      </c>
    </row>
    <row r="551">
      <c r="A551" s="526" t="s">
        <v>9466</v>
      </c>
      <c r="B551" s="440" t="s">
        <v>9467</v>
      </c>
      <c r="C551" s="440" t="s">
        <v>966</v>
      </c>
      <c r="D551" s="440" t="s">
        <v>9468</v>
      </c>
      <c r="E551" s="440" t="s">
        <v>9469</v>
      </c>
      <c r="F551" s="440">
        <v>9.173286107E9</v>
      </c>
      <c r="G551" s="440"/>
      <c r="H551" s="440"/>
      <c r="I551" s="440" t="s">
        <v>4015</v>
      </c>
      <c r="J551" s="440" t="s">
        <v>9400</v>
      </c>
      <c r="K551" s="440" t="s">
        <v>26</v>
      </c>
      <c r="L551" s="440" t="s">
        <v>27</v>
      </c>
      <c r="M551" s="440" t="s">
        <v>8262</v>
      </c>
      <c r="N551" s="464">
        <v>24040.0</v>
      </c>
      <c r="O551" s="464">
        <v>28367.2</v>
      </c>
      <c r="P551" s="6">
        <v>10.0</v>
      </c>
      <c r="Q551" s="8">
        <f t="shared" si="22"/>
        <v>2404</v>
      </c>
    </row>
    <row r="552">
      <c r="A552" s="526" t="s">
        <v>9466</v>
      </c>
      <c r="B552" s="440" t="s">
        <v>7247</v>
      </c>
      <c r="C552" s="440" t="s">
        <v>21</v>
      </c>
      <c r="D552" s="440" t="s">
        <v>9470</v>
      </c>
      <c r="E552" s="440" t="s">
        <v>2961</v>
      </c>
      <c r="F552" s="440">
        <v>9.97892069E9</v>
      </c>
      <c r="G552" s="440"/>
      <c r="H552" s="464">
        <v>28000.0</v>
      </c>
      <c r="I552" s="441" t="s">
        <v>4022</v>
      </c>
      <c r="J552" s="396" t="s">
        <v>70</v>
      </c>
      <c r="K552" s="440" t="s">
        <v>49</v>
      </c>
      <c r="L552" s="440" t="s">
        <v>71</v>
      </c>
      <c r="M552" s="440" t="s">
        <v>8262</v>
      </c>
      <c r="N552" s="443">
        <v>45403.0</v>
      </c>
      <c r="O552" s="443">
        <v>50939.0</v>
      </c>
      <c r="P552" s="6">
        <v>21.0</v>
      </c>
      <c r="Q552" s="8">
        <f t="shared" si="22"/>
        <v>9534.63</v>
      </c>
    </row>
    <row r="553">
      <c r="A553" s="526" t="s">
        <v>9466</v>
      </c>
      <c r="B553" s="440" t="s">
        <v>9471</v>
      </c>
      <c r="C553" s="440" t="s">
        <v>1432</v>
      </c>
      <c r="D553" s="440" t="s">
        <v>1439</v>
      </c>
      <c r="E553" s="440" t="s">
        <v>9472</v>
      </c>
      <c r="F553" s="440">
        <v>9.825778191E9</v>
      </c>
      <c r="G553" s="440"/>
      <c r="H553" s="440"/>
      <c r="I553" s="440" t="s">
        <v>4022</v>
      </c>
      <c r="J553" s="440" t="s">
        <v>1419</v>
      </c>
      <c r="K553" s="440" t="s">
        <v>49</v>
      </c>
      <c r="L553" s="440" t="s">
        <v>27</v>
      </c>
      <c r="M553" s="440" t="s">
        <v>8262</v>
      </c>
      <c r="N553" s="464">
        <v>6587.0</v>
      </c>
      <c r="O553" s="464">
        <v>7773.0</v>
      </c>
      <c r="P553" s="6">
        <v>52.0</v>
      </c>
      <c r="Q553" s="8">
        <f t="shared" si="22"/>
        <v>3425.24</v>
      </c>
    </row>
    <row r="554">
      <c r="A554" s="526" t="s">
        <v>9466</v>
      </c>
      <c r="B554" s="440" t="s">
        <v>9473</v>
      </c>
      <c r="C554" s="440" t="s">
        <v>1395</v>
      </c>
      <c r="D554" s="498" t="s">
        <v>9474</v>
      </c>
      <c r="E554" s="440" t="s">
        <v>9475</v>
      </c>
      <c r="F554" s="440">
        <v>7.567532326E9</v>
      </c>
      <c r="G554" s="440"/>
      <c r="H554" s="499">
        <v>2565.0</v>
      </c>
      <c r="I554" s="440" t="s">
        <v>4022</v>
      </c>
      <c r="J554" s="440" t="s">
        <v>1424</v>
      </c>
      <c r="K554" s="440" t="s">
        <v>49</v>
      </c>
      <c r="L554" s="440" t="s">
        <v>219</v>
      </c>
      <c r="M554" s="440" t="s">
        <v>8262</v>
      </c>
      <c r="N554" s="88">
        <v>20100.0</v>
      </c>
      <c r="O554" s="542">
        <v>22756.0</v>
      </c>
      <c r="P554" s="6">
        <v>52.0</v>
      </c>
      <c r="Q554" s="8">
        <f t="shared" si="22"/>
        <v>10452</v>
      </c>
    </row>
    <row r="555">
      <c r="A555" s="526" t="s">
        <v>9466</v>
      </c>
      <c r="B555" s="440" t="s">
        <v>9476</v>
      </c>
      <c r="C555" s="440" t="s">
        <v>1432</v>
      </c>
      <c r="D555" s="440" t="s">
        <v>9372</v>
      </c>
      <c r="E555" s="440" t="s">
        <v>9477</v>
      </c>
      <c r="F555" s="440">
        <v>9.879979251E9</v>
      </c>
      <c r="G555" s="440"/>
      <c r="H555" s="440"/>
      <c r="I555" s="440" t="s">
        <v>9478</v>
      </c>
      <c r="J555" s="440" t="s">
        <v>1419</v>
      </c>
      <c r="K555" s="440" t="s">
        <v>49</v>
      </c>
      <c r="L555" s="440" t="s">
        <v>27</v>
      </c>
      <c r="M555" s="440" t="s">
        <v>8262</v>
      </c>
      <c r="N555" s="88">
        <v>6568.0</v>
      </c>
      <c r="O555" s="542">
        <v>7750.0</v>
      </c>
      <c r="P555" s="6">
        <v>52.0</v>
      </c>
      <c r="Q555" s="8">
        <f t="shared" si="22"/>
        <v>3415.36</v>
      </c>
    </row>
    <row r="556">
      <c r="A556" s="526" t="s">
        <v>9466</v>
      </c>
      <c r="B556" s="440" t="s">
        <v>7540</v>
      </c>
      <c r="C556" s="440" t="s">
        <v>1395</v>
      </c>
      <c r="D556" s="440" t="s">
        <v>9479</v>
      </c>
      <c r="E556" s="440" t="s">
        <v>9480</v>
      </c>
      <c r="F556" s="440">
        <v>9.825621953E9</v>
      </c>
      <c r="G556" s="440"/>
      <c r="H556" s="464">
        <v>3490.0</v>
      </c>
      <c r="I556" s="440" t="s">
        <v>4056</v>
      </c>
      <c r="J556" s="440" t="s">
        <v>1419</v>
      </c>
      <c r="K556" s="440" t="s">
        <v>49</v>
      </c>
      <c r="L556" s="440" t="s">
        <v>71</v>
      </c>
      <c r="M556" s="440" t="s">
        <v>8262</v>
      </c>
      <c r="N556" s="88">
        <v>18309.0</v>
      </c>
      <c r="O556" s="542">
        <v>20641.0</v>
      </c>
      <c r="P556" s="6">
        <v>50.0</v>
      </c>
      <c r="Q556" s="8">
        <f t="shared" si="22"/>
        <v>9154.5</v>
      </c>
    </row>
    <row r="557">
      <c r="A557" s="526" t="s">
        <v>9481</v>
      </c>
      <c r="B557" s="440" t="s">
        <v>9482</v>
      </c>
      <c r="C557" s="440" t="s">
        <v>21</v>
      </c>
      <c r="D557" s="440" t="s">
        <v>9193</v>
      </c>
      <c r="E557" s="440" t="s">
        <v>9483</v>
      </c>
      <c r="F557" s="440">
        <v>9.979636464E9</v>
      </c>
      <c r="G557" s="440"/>
      <c r="H557" s="464">
        <v>12990.0</v>
      </c>
      <c r="I557" s="440" t="s">
        <v>4022</v>
      </c>
      <c r="J557" s="440" t="s">
        <v>78</v>
      </c>
      <c r="K557" s="440" t="s">
        <v>49</v>
      </c>
      <c r="L557" s="440" t="s">
        <v>27</v>
      </c>
      <c r="M557" s="440" t="s">
        <v>8262</v>
      </c>
      <c r="N557" s="88">
        <v>37026.0</v>
      </c>
      <c r="O557" s="542">
        <v>41572.0</v>
      </c>
      <c r="P557" s="6">
        <v>23.0</v>
      </c>
      <c r="Q557" s="8">
        <f t="shared" si="22"/>
        <v>8515.98</v>
      </c>
    </row>
    <row r="558">
      <c r="A558" s="526" t="s">
        <v>9481</v>
      </c>
      <c r="B558" s="440" t="s">
        <v>9484</v>
      </c>
      <c r="C558" s="440" t="s">
        <v>21</v>
      </c>
      <c r="D558" s="440" t="s">
        <v>9485</v>
      </c>
      <c r="E558" s="440" t="s">
        <v>9486</v>
      </c>
      <c r="F558" s="440">
        <v>9.879545172E9</v>
      </c>
      <c r="G558" s="440"/>
      <c r="H558" s="464">
        <v>31000.0</v>
      </c>
      <c r="I558" s="440" t="s">
        <v>9478</v>
      </c>
      <c r="J558" s="440" t="s">
        <v>9487</v>
      </c>
      <c r="K558" s="440" t="s">
        <v>49</v>
      </c>
      <c r="L558" s="440" t="s">
        <v>3028</v>
      </c>
      <c r="M558" s="440" t="s">
        <v>8262</v>
      </c>
      <c r="N558" s="134">
        <v>49161.0</v>
      </c>
      <c r="O558" s="547">
        <v>55373.0</v>
      </c>
      <c r="P558" s="6">
        <v>23.0</v>
      </c>
      <c r="Q558" s="8">
        <f t="shared" si="22"/>
        <v>11307.03</v>
      </c>
    </row>
    <row r="559">
      <c r="A559" s="526" t="s">
        <v>9481</v>
      </c>
      <c r="B559" s="440" t="s">
        <v>9488</v>
      </c>
      <c r="C559" s="440" t="s">
        <v>1395</v>
      </c>
      <c r="D559" s="440" t="s">
        <v>2116</v>
      </c>
      <c r="E559" s="440" t="s">
        <v>9489</v>
      </c>
      <c r="F559" s="440">
        <v>6.375530227E9</v>
      </c>
      <c r="G559" s="440"/>
      <c r="H559" s="464">
        <v>1600.0</v>
      </c>
      <c r="I559" s="440" t="s">
        <v>9478</v>
      </c>
      <c r="J559" s="440" t="s">
        <v>1424</v>
      </c>
      <c r="K559" s="440" t="s">
        <v>49</v>
      </c>
      <c r="L559" s="440" t="s">
        <v>1451</v>
      </c>
      <c r="M559" s="440" t="s">
        <v>8262</v>
      </c>
      <c r="N559" s="88">
        <v>18971.0</v>
      </c>
      <c r="O559" s="542">
        <v>21423.0</v>
      </c>
      <c r="P559" s="6">
        <v>52.0</v>
      </c>
      <c r="Q559" s="8">
        <f t="shared" si="22"/>
        <v>9864.92</v>
      </c>
    </row>
    <row r="560">
      <c r="A560" s="526" t="s">
        <v>9481</v>
      </c>
      <c r="B560" s="440" t="s">
        <v>9490</v>
      </c>
      <c r="C560" s="440" t="s">
        <v>1395</v>
      </c>
      <c r="D560" s="440" t="s">
        <v>2789</v>
      </c>
      <c r="E560" s="440" t="s">
        <v>9491</v>
      </c>
      <c r="F560" s="440">
        <v>9.974377516E9</v>
      </c>
      <c r="G560" s="440"/>
      <c r="H560" s="440">
        <v>2700.0</v>
      </c>
      <c r="I560" s="440" t="s">
        <v>4035</v>
      </c>
      <c r="J560" s="440" t="s">
        <v>1424</v>
      </c>
      <c r="K560" s="440" t="s">
        <v>49</v>
      </c>
      <c r="L560" s="440" t="s">
        <v>3028</v>
      </c>
      <c r="M560" s="440" t="s">
        <v>8262</v>
      </c>
      <c r="N560" s="88">
        <v>17764.0</v>
      </c>
      <c r="O560" s="542">
        <v>19998.0</v>
      </c>
      <c r="P560" s="6">
        <v>52.0</v>
      </c>
      <c r="Q560" s="8">
        <f t="shared" si="22"/>
        <v>9237.28</v>
      </c>
    </row>
    <row r="561">
      <c r="A561" s="526" t="s">
        <v>9481</v>
      </c>
      <c r="B561" s="440" t="s">
        <v>9492</v>
      </c>
      <c r="C561" s="440" t="s">
        <v>21</v>
      </c>
      <c r="D561" s="440" t="s">
        <v>9493</v>
      </c>
      <c r="E561" s="440" t="s">
        <v>9494</v>
      </c>
      <c r="F561" s="440">
        <v>9.51223346E9</v>
      </c>
      <c r="G561" s="440"/>
      <c r="H561" s="440">
        <v>11990.0</v>
      </c>
      <c r="I561" s="440" t="s">
        <v>9478</v>
      </c>
      <c r="J561" s="440" t="s">
        <v>25</v>
      </c>
      <c r="K561" s="440" t="s">
        <v>49</v>
      </c>
      <c r="L561" s="440" t="s">
        <v>3028</v>
      </c>
      <c r="M561" s="440" t="s">
        <v>8262</v>
      </c>
      <c r="N561" s="134">
        <v>33696.0</v>
      </c>
      <c r="O561" s="547">
        <v>38130.0</v>
      </c>
      <c r="P561" s="6">
        <v>25.0</v>
      </c>
      <c r="Q561" s="8">
        <f t="shared" si="22"/>
        <v>8424</v>
      </c>
    </row>
    <row r="562">
      <c r="A562" s="526" t="s">
        <v>9495</v>
      </c>
      <c r="B562" s="440" t="s">
        <v>7539</v>
      </c>
      <c r="C562" s="440" t="s">
        <v>1395</v>
      </c>
      <c r="D562" s="440" t="s">
        <v>9496</v>
      </c>
      <c r="E562" s="440" t="s">
        <v>9497</v>
      </c>
      <c r="F562" s="440">
        <v>9.925528205E9</v>
      </c>
      <c r="G562" s="440"/>
      <c r="H562" s="464">
        <v>2745.0</v>
      </c>
      <c r="I562" s="440" t="s">
        <v>4029</v>
      </c>
      <c r="J562" s="440" t="s">
        <v>1419</v>
      </c>
      <c r="K562" s="440" t="s">
        <v>49</v>
      </c>
      <c r="L562" s="440" t="s">
        <v>71</v>
      </c>
      <c r="M562" s="440" t="s">
        <v>8262</v>
      </c>
      <c r="N562" s="88">
        <v>17928.0</v>
      </c>
      <c r="O562" s="542">
        <v>20192.0</v>
      </c>
      <c r="P562" s="6">
        <v>50.0</v>
      </c>
      <c r="Q562" s="8">
        <f t="shared" si="22"/>
        <v>8964</v>
      </c>
    </row>
    <row r="563">
      <c r="A563" s="526" t="s">
        <v>9495</v>
      </c>
      <c r="B563" s="440" t="s">
        <v>9498</v>
      </c>
      <c r="C563" s="440" t="s">
        <v>1395</v>
      </c>
      <c r="D563" s="396" t="s">
        <v>1247</v>
      </c>
      <c r="E563" s="440" t="s">
        <v>9499</v>
      </c>
      <c r="F563" s="440">
        <v>9.016647347E9</v>
      </c>
      <c r="G563" s="440"/>
      <c r="H563" s="464">
        <v>2825.0</v>
      </c>
      <c r="I563" s="440" t="s">
        <v>4035</v>
      </c>
      <c r="J563" s="440" t="s">
        <v>116</v>
      </c>
      <c r="K563" s="440" t="s">
        <v>49</v>
      </c>
      <c r="L563" s="440" t="s">
        <v>219</v>
      </c>
      <c r="M563" s="440" t="s">
        <v>8262</v>
      </c>
      <c r="N563" s="134">
        <v>21129.0</v>
      </c>
      <c r="O563" s="547">
        <v>23965.0</v>
      </c>
      <c r="P563" s="6">
        <v>47.0</v>
      </c>
      <c r="Q563" s="8">
        <f t="shared" si="22"/>
        <v>9930.63</v>
      </c>
    </row>
    <row r="564">
      <c r="A564" s="526" t="s">
        <v>9495</v>
      </c>
      <c r="B564" s="440" t="s">
        <v>9500</v>
      </c>
      <c r="C564" s="440" t="s">
        <v>1395</v>
      </c>
      <c r="D564" s="440" t="s">
        <v>3866</v>
      </c>
      <c r="E564" s="440" t="s">
        <v>9501</v>
      </c>
      <c r="F564" s="440">
        <v>8.866442562E9</v>
      </c>
      <c r="G564" s="440"/>
      <c r="H564" s="464">
        <v>2670.0</v>
      </c>
      <c r="I564" s="442">
        <v>45753.0</v>
      </c>
      <c r="J564" s="440" t="s">
        <v>1424</v>
      </c>
      <c r="K564" s="440" t="s">
        <v>49</v>
      </c>
      <c r="L564" s="440" t="s">
        <v>3028</v>
      </c>
      <c r="M564" s="440" t="s">
        <v>8262</v>
      </c>
      <c r="N564" s="88">
        <v>18500.0</v>
      </c>
      <c r="O564" s="542">
        <v>20868.0</v>
      </c>
      <c r="P564" s="6">
        <v>52.0</v>
      </c>
      <c r="Q564" s="8">
        <f t="shared" si="22"/>
        <v>9620</v>
      </c>
    </row>
    <row r="565">
      <c r="A565" s="526" t="s">
        <v>9495</v>
      </c>
      <c r="B565" s="440" t="s">
        <v>3008</v>
      </c>
      <c r="C565" s="440" t="s">
        <v>21</v>
      </c>
      <c r="D565" s="440" t="s">
        <v>9502</v>
      </c>
      <c r="E565" s="440" t="s">
        <v>3011</v>
      </c>
      <c r="F565" s="440"/>
      <c r="G565" s="440"/>
      <c r="H565" s="443">
        <v>35000.0</v>
      </c>
      <c r="I565" s="440" t="s">
        <v>4035</v>
      </c>
      <c r="J565" s="440" t="s">
        <v>2562</v>
      </c>
      <c r="K565" s="440" t="s">
        <v>26</v>
      </c>
      <c r="L565" s="440" t="s">
        <v>71</v>
      </c>
      <c r="M565" s="440" t="s">
        <v>8262</v>
      </c>
      <c r="N565" s="548">
        <v>44050.0</v>
      </c>
      <c r="O565" s="443">
        <v>49342.0</v>
      </c>
      <c r="P565" s="6">
        <v>42.0</v>
      </c>
      <c r="Q565" s="8">
        <f t="shared" si="22"/>
        <v>18501</v>
      </c>
    </row>
    <row r="566">
      <c r="A566" s="126"/>
      <c r="F566" s="236"/>
    </row>
    <row r="567">
      <c r="A567" s="126"/>
      <c r="F567" s="236"/>
    </row>
    <row r="568">
      <c r="A568" s="126"/>
      <c r="F568" s="236"/>
    </row>
    <row r="569">
      <c r="A569" s="126"/>
      <c r="D569" s="546">
        <v>45413.0</v>
      </c>
    </row>
    <row r="570">
      <c r="A570" s="87">
        <v>45297.0</v>
      </c>
      <c r="B570" s="479" t="s">
        <v>9503</v>
      </c>
      <c r="C570" s="479" t="s">
        <v>1395</v>
      </c>
      <c r="D570" s="479" t="s">
        <v>481</v>
      </c>
      <c r="E570" s="479" t="s">
        <v>9504</v>
      </c>
      <c r="F570" s="479">
        <v>8.999977877E9</v>
      </c>
      <c r="G570" s="479"/>
      <c r="H570" s="481">
        <v>2620.0</v>
      </c>
      <c r="I570" s="481" t="s">
        <v>4035</v>
      </c>
      <c r="J570" s="479" t="s">
        <v>1419</v>
      </c>
      <c r="K570" s="525" t="s">
        <v>49</v>
      </c>
      <c r="L570" s="479" t="s">
        <v>27</v>
      </c>
      <c r="M570" s="479" t="s">
        <v>8262</v>
      </c>
      <c r="N570" s="481">
        <v>17441.0</v>
      </c>
      <c r="O570" s="481">
        <v>19619.0</v>
      </c>
      <c r="P570" s="6">
        <v>50.0</v>
      </c>
      <c r="Q570" s="8">
        <f t="shared" ref="Q570:Q587" si="23">N570*P570%</f>
        <v>8720.5</v>
      </c>
    </row>
    <row r="571">
      <c r="A571" s="534">
        <v>45388.0</v>
      </c>
      <c r="B571" s="440" t="s">
        <v>9505</v>
      </c>
      <c r="C571" s="440" t="s">
        <v>21</v>
      </c>
      <c r="D571" s="498" t="s">
        <v>9506</v>
      </c>
      <c r="E571" s="440" t="s">
        <v>9507</v>
      </c>
      <c r="F571" s="440">
        <v>9.925726801E9</v>
      </c>
      <c r="G571" s="440"/>
      <c r="H571" s="464">
        <v>35000.0</v>
      </c>
      <c r="I571" s="442">
        <v>45753.0</v>
      </c>
      <c r="J571" s="440" t="s">
        <v>2562</v>
      </c>
      <c r="K571" s="441" t="s">
        <v>49</v>
      </c>
      <c r="L571" s="440" t="s">
        <v>3028</v>
      </c>
      <c r="M571" s="440" t="s">
        <v>8262</v>
      </c>
      <c r="N571" s="465">
        <v>87526.0</v>
      </c>
      <c r="O571" s="465">
        <v>100643.68</v>
      </c>
      <c r="P571" s="6">
        <v>18.0</v>
      </c>
      <c r="Q571" s="8">
        <f t="shared" si="23"/>
        <v>15754.68</v>
      </c>
    </row>
    <row r="572">
      <c r="A572" s="534">
        <v>45418.0</v>
      </c>
      <c r="B572" s="440" t="s">
        <v>9508</v>
      </c>
      <c r="C572" s="440" t="s">
        <v>1395</v>
      </c>
      <c r="D572" s="440" t="s">
        <v>9509</v>
      </c>
      <c r="E572" s="440" t="s">
        <v>3894</v>
      </c>
      <c r="F572" s="440">
        <v>6.351612375E9</v>
      </c>
      <c r="G572" s="440"/>
      <c r="H572" s="464">
        <v>2855.0</v>
      </c>
      <c r="I572" s="442">
        <v>45783.0</v>
      </c>
      <c r="J572" s="440" t="s">
        <v>116</v>
      </c>
      <c r="K572" s="441" t="s">
        <v>49</v>
      </c>
      <c r="L572" s="440" t="s">
        <v>3028</v>
      </c>
      <c r="M572" s="440" t="s">
        <v>8262</v>
      </c>
      <c r="N572" s="465">
        <v>21220.0</v>
      </c>
      <c r="O572" s="465">
        <v>24068.0</v>
      </c>
      <c r="P572" s="6">
        <v>48.0</v>
      </c>
      <c r="Q572" s="8">
        <f t="shared" si="23"/>
        <v>10185.6</v>
      </c>
    </row>
    <row r="573">
      <c r="A573" s="534" t="s">
        <v>9510</v>
      </c>
      <c r="B573" s="440" t="s">
        <v>4072</v>
      </c>
      <c r="C573" s="440" t="s">
        <v>21</v>
      </c>
      <c r="D573" s="440" t="s">
        <v>9511</v>
      </c>
      <c r="E573" s="440" t="s">
        <v>4422</v>
      </c>
      <c r="F573" s="440">
        <v>6.352100183E9</v>
      </c>
      <c r="G573" s="440"/>
      <c r="H573" s="464">
        <v>25000.0</v>
      </c>
      <c r="I573" s="442">
        <v>45814.0</v>
      </c>
      <c r="J573" s="440" t="s">
        <v>2562</v>
      </c>
      <c r="K573" s="441" t="s">
        <v>49</v>
      </c>
      <c r="L573" s="440" t="s">
        <v>27</v>
      </c>
      <c r="M573" s="440" t="s">
        <v>8262</v>
      </c>
      <c r="N573" s="465">
        <v>49034.0</v>
      </c>
      <c r="O573" s="465">
        <v>55223.12</v>
      </c>
      <c r="P573" s="6">
        <v>23.0</v>
      </c>
      <c r="Q573" s="8">
        <f t="shared" si="23"/>
        <v>11277.82</v>
      </c>
    </row>
    <row r="574">
      <c r="A574" s="534">
        <v>45510.0</v>
      </c>
      <c r="B574" s="440" t="s">
        <v>9512</v>
      </c>
      <c r="C574" s="440" t="s">
        <v>21</v>
      </c>
      <c r="D574" s="440" t="s">
        <v>9513</v>
      </c>
      <c r="E574" s="440" t="s">
        <v>9514</v>
      </c>
      <c r="F574" s="440">
        <v>8.238569372E9</v>
      </c>
      <c r="G574" s="440"/>
      <c r="H574" s="464">
        <v>16200.0</v>
      </c>
      <c r="I574" s="442">
        <v>45844.0</v>
      </c>
      <c r="J574" s="396" t="s">
        <v>70</v>
      </c>
      <c r="K574" s="441" t="s">
        <v>49</v>
      </c>
      <c r="L574" s="440" t="s">
        <v>27</v>
      </c>
      <c r="M574" s="440" t="s">
        <v>8262</v>
      </c>
      <c r="N574" s="465">
        <v>38469.0</v>
      </c>
      <c r="O574" s="465">
        <v>43275.0</v>
      </c>
      <c r="P574" s="6">
        <v>22.0</v>
      </c>
      <c r="Q574" s="8">
        <f t="shared" si="23"/>
        <v>8463.18</v>
      </c>
    </row>
    <row r="575">
      <c r="A575" s="534">
        <v>45510.0</v>
      </c>
      <c r="B575" s="440" t="s">
        <v>9515</v>
      </c>
      <c r="C575" s="440" t="s">
        <v>1395</v>
      </c>
      <c r="D575" s="440" t="s">
        <v>9516</v>
      </c>
      <c r="E575" s="440" t="s">
        <v>9517</v>
      </c>
      <c r="F575" s="440">
        <v>9.879149383E9</v>
      </c>
      <c r="G575" s="440"/>
      <c r="H575" s="464">
        <v>2975.0</v>
      </c>
      <c r="I575" s="442">
        <v>45906.0</v>
      </c>
      <c r="J575" s="440" t="s">
        <v>1419</v>
      </c>
      <c r="K575" s="441" t="s">
        <v>49</v>
      </c>
      <c r="L575" s="440" t="s">
        <v>3028</v>
      </c>
      <c r="M575" s="440" t="s">
        <v>8262</v>
      </c>
      <c r="N575" s="464">
        <v>18087.0</v>
      </c>
      <c r="O575" s="464">
        <v>20381.0</v>
      </c>
      <c r="P575" s="6">
        <v>50.0</v>
      </c>
      <c r="Q575" s="8">
        <f t="shared" si="23"/>
        <v>9043.5</v>
      </c>
    </row>
    <row r="576">
      <c r="A576" s="534">
        <v>45510.0</v>
      </c>
      <c r="B576" s="440" t="s">
        <v>9518</v>
      </c>
      <c r="C576" s="440" t="s">
        <v>1395</v>
      </c>
      <c r="D576" s="440" t="s">
        <v>524</v>
      </c>
      <c r="E576" s="440" t="s">
        <v>9519</v>
      </c>
      <c r="F576" s="440">
        <v>7.433920234E9</v>
      </c>
      <c r="G576" s="440"/>
      <c r="H576" s="464">
        <v>3490.0</v>
      </c>
      <c r="I576" s="442">
        <v>45906.0</v>
      </c>
      <c r="J576" s="440" t="s">
        <v>116</v>
      </c>
      <c r="K576" s="441" t="s">
        <v>49</v>
      </c>
      <c r="L576" s="440" t="s">
        <v>3028</v>
      </c>
      <c r="M576" s="440" t="s">
        <v>8262</v>
      </c>
      <c r="N576" s="465">
        <v>20195.0</v>
      </c>
      <c r="O576" s="465">
        <v>22861.0</v>
      </c>
      <c r="P576" s="6">
        <v>48.0</v>
      </c>
      <c r="Q576" s="8">
        <f t="shared" si="23"/>
        <v>9693.6</v>
      </c>
    </row>
    <row r="577">
      <c r="A577" s="534">
        <v>45510.0</v>
      </c>
      <c r="B577" s="440" t="s">
        <v>9520</v>
      </c>
      <c r="C577" s="440" t="s">
        <v>1395</v>
      </c>
      <c r="D577" s="440" t="s">
        <v>9521</v>
      </c>
      <c r="E577" s="440" t="s">
        <v>9522</v>
      </c>
      <c r="F577" s="440">
        <v>9.913149899E9</v>
      </c>
      <c r="G577" s="440"/>
      <c r="H577" s="464">
        <v>2820.0</v>
      </c>
      <c r="I577" s="442">
        <v>45875.0</v>
      </c>
      <c r="J577" s="440" t="s">
        <v>116</v>
      </c>
      <c r="K577" s="441" t="s">
        <v>49</v>
      </c>
      <c r="L577" s="440" t="s">
        <v>27</v>
      </c>
      <c r="M577" s="440" t="s">
        <v>8262</v>
      </c>
      <c r="N577" s="465">
        <v>17949.0</v>
      </c>
      <c r="O577" s="465">
        <v>20213.0</v>
      </c>
      <c r="P577" s="6">
        <v>48.0</v>
      </c>
      <c r="Q577" s="8">
        <f t="shared" si="23"/>
        <v>8615.52</v>
      </c>
    </row>
    <row r="578">
      <c r="A578" s="534">
        <v>45510.0</v>
      </c>
      <c r="B578" s="440" t="s">
        <v>9523</v>
      </c>
      <c r="C578" s="440" t="s">
        <v>21</v>
      </c>
      <c r="D578" s="440" t="s">
        <v>9524</v>
      </c>
      <c r="E578" s="440" t="s">
        <v>9525</v>
      </c>
      <c r="F578" s="440">
        <v>9.737995241E9</v>
      </c>
      <c r="G578" s="440"/>
      <c r="H578" s="464">
        <v>5950.0</v>
      </c>
      <c r="I578" s="442">
        <v>45844.0</v>
      </c>
      <c r="J578" s="440" t="s">
        <v>1419</v>
      </c>
      <c r="K578" s="441" t="s">
        <v>26</v>
      </c>
      <c r="L578" s="440" t="s">
        <v>27</v>
      </c>
      <c r="M578" s="440" t="s">
        <v>8262</v>
      </c>
      <c r="N578" s="464">
        <v>16524.0</v>
      </c>
      <c r="O578" s="464">
        <v>18536.0</v>
      </c>
      <c r="P578" s="6">
        <v>43.0</v>
      </c>
      <c r="Q578" s="8">
        <f t="shared" si="23"/>
        <v>7105.32</v>
      </c>
    </row>
    <row r="579">
      <c r="A579" s="534">
        <v>45510.0</v>
      </c>
      <c r="B579" s="440" t="s">
        <v>9526</v>
      </c>
      <c r="C579" s="440" t="s">
        <v>21</v>
      </c>
      <c r="D579" s="440" t="s">
        <v>9527</v>
      </c>
      <c r="E579" s="440" t="s">
        <v>3011</v>
      </c>
      <c r="F579" s="440">
        <v>9.925580969E9</v>
      </c>
      <c r="G579" s="440"/>
      <c r="H579" s="464">
        <v>25000.0</v>
      </c>
      <c r="I579" s="442">
        <v>45844.0</v>
      </c>
      <c r="J579" s="440" t="s">
        <v>2562</v>
      </c>
      <c r="K579" s="441" t="s">
        <v>49</v>
      </c>
      <c r="L579" s="440" t="s">
        <v>27</v>
      </c>
      <c r="M579" s="440" t="s">
        <v>8262</v>
      </c>
      <c r="N579" s="465">
        <v>49657.0</v>
      </c>
      <c r="O579" s="465">
        <v>55958.26</v>
      </c>
      <c r="P579" s="6">
        <v>23.0</v>
      </c>
      <c r="Q579" s="8">
        <f t="shared" si="23"/>
        <v>11421.11</v>
      </c>
    </row>
    <row r="580">
      <c r="A580" s="526" t="s">
        <v>9528</v>
      </c>
      <c r="B580" s="440" t="s">
        <v>7558</v>
      </c>
      <c r="C580" s="440" t="s">
        <v>1395</v>
      </c>
      <c r="D580" s="440" t="s">
        <v>9529</v>
      </c>
      <c r="E580" s="440" t="s">
        <v>9530</v>
      </c>
      <c r="F580" s="440">
        <v>9.904270209E9</v>
      </c>
      <c r="G580" s="440"/>
      <c r="H580" s="464">
        <v>3225.0</v>
      </c>
      <c r="I580" s="442">
        <v>45967.0</v>
      </c>
      <c r="J580" s="440" t="s">
        <v>1419</v>
      </c>
      <c r="K580" s="441" t="s">
        <v>49</v>
      </c>
      <c r="L580" s="440" t="s">
        <v>71</v>
      </c>
      <c r="M580" s="440" t="s">
        <v>8262</v>
      </c>
      <c r="N580" s="464">
        <v>16943.0</v>
      </c>
      <c r="O580" s="464">
        <v>19029.0</v>
      </c>
      <c r="P580" s="6">
        <v>50.0</v>
      </c>
      <c r="Q580" s="8">
        <f t="shared" si="23"/>
        <v>8471.5</v>
      </c>
    </row>
    <row r="581">
      <c r="A581" s="526" t="s">
        <v>9528</v>
      </c>
      <c r="B581" s="440" t="s">
        <v>9531</v>
      </c>
      <c r="C581" s="440" t="s">
        <v>1395</v>
      </c>
      <c r="D581" s="440" t="s">
        <v>9532</v>
      </c>
      <c r="E581" s="440" t="s">
        <v>9533</v>
      </c>
      <c r="F581" s="440">
        <v>9.664574028E9</v>
      </c>
      <c r="G581" s="440"/>
      <c r="H581" s="464">
        <v>2670.0</v>
      </c>
      <c r="I581" s="442">
        <v>45936.0</v>
      </c>
      <c r="J581" s="440" t="s">
        <v>1419</v>
      </c>
      <c r="K581" s="441" t="s">
        <v>49</v>
      </c>
      <c r="L581" s="440" t="s">
        <v>27</v>
      </c>
      <c r="M581" s="440" t="s">
        <v>8262</v>
      </c>
      <c r="N581" s="464">
        <v>18630.0</v>
      </c>
      <c r="O581" s="464">
        <v>21020.0</v>
      </c>
      <c r="P581" s="6">
        <v>50.0</v>
      </c>
      <c r="Q581" s="8">
        <f t="shared" si="23"/>
        <v>9315</v>
      </c>
    </row>
    <row r="582">
      <c r="A582" s="526" t="s">
        <v>9528</v>
      </c>
      <c r="B582" s="440" t="s">
        <v>9534</v>
      </c>
      <c r="C582" s="440" t="s">
        <v>1432</v>
      </c>
      <c r="D582" s="396" t="s">
        <v>9535</v>
      </c>
      <c r="E582" s="440" t="s">
        <v>9536</v>
      </c>
      <c r="F582" s="440">
        <v>8.758991222E9</v>
      </c>
      <c r="G582" s="440"/>
      <c r="H582" s="464">
        <v>395.0</v>
      </c>
      <c r="I582" s="442">
        <v>45967.0</v>
      </c>
      <c r="J582" s="440" t="s">
        <v>1419</v>
      </c>
      <c r="K582" s="441" t="s">
        <v>49</v>
      </c>
      <c r="L582" s="440" t="s">
        <v>27</v>
      </c>
      <c r="M582" s="440" t="s">
        <v>8262</v>
      </c>
      <c r="N582" s="464">
        <v>6029.0</v>
      </c>
      <c r="O582" s="464">
        <v>7114.0</v>
      </c>
      <c r="P582" s="6">
        <v>40.0</v>
      </c>
      <c r="Q582" s="8">
        <f t="shared" si="23"/>
        <v>2411.6</v>
      </c>
    </row>
    <row r="583">
      <c r="A583" s="526" t="s">
        <v>9528</v>
      </c>
      <c r="B583" s="440" t="s">
        <v>7556</v>
      </c>
      <c r="C583" s="440" t="s">
        <v>1395</v>
      </c>
      <c r="D583" s="440" t="s">
        <v>524</v>
      </c>
      <c r="E583" s="440" t="s">
        <v>9537</v>
      </c>
      <c r="F583" s="440">
        <v>8.999977877E9</v>
      </c>
      <c r="G583" s="440"/>
      <c r="H583" s="464">
        <v>3490.0</v>
      </c>
      <c r="I583" s="464" t="s">
        <v>9538</v>
      </c>
      <c r="J583" s="440" t="s">
        <v>116</v>
      </c>
      <c r="K583" s="441" t="s">
        <v>49</v>
      </c>
      <c r="L583" s="440" t="s">
        <v>71</v>
      </c>
      <c r="M583" s="440" t="s">
        <v>8262</v>
      </c>
      <c r="N583" s="465">
        <v>20891.0</v>
      </c>
      <c r="O583" s="465">
        <v>23683.0</v>
      </c>
      <c r="P583" s="6">
        <v>48.0</v>
      </c>
      <c r="Q583" s="8">
        <f t="shared" si="23"/>
        <v>10027.68</v>
      </c>
    </row>
    <row r="584">
      <c r="A584" s="526" t="s">
        <v>9528</v>
      </c>
      <c r="B584" s="440" t="s">
        <v>9539</v>
      </c>
      <c r="C584" s="440" t="s">
        <v>966</v>
      </c>
      <c r="D584" s="440" t="s">
        <v>9540</v>
      </c>
      <c r="E584" s="440" t="s">
        <v>9541</v>
      </c>
      <c r="F584" s="440">
        <v>9.92547868E9</v>
      </c>
      <c r="G584" s="440"/>
      <c r="H584" s="464">
        <v>702.0</v>
      </c>
      <c r="I584" s="442">
        <v>45936.0</v>
      </c>
      <c r="J584" s="440" t="s">
        <v>1424</v>
      </c>
      <c r="K584" s="441" t="s">
        <v>26</v>
      </c>
      <c r="L584" s="440" t="s">
        <v>27</v>
      </c>
      <c r="M584" s="440" t="s">
        <v>8262</v>
      </c>
      <c r="N584" s="464">
        <v>20532.0</v>
      </c>
      <c r="O584" s="464">
        <v>24228.0</v>
      </c>
      <c r="P584" s="6">
        <v>10.0</v>
      </c>
      <c r="Q584" s="8">
        <f t="shared" si="23"/>
        <v>2053.2</v>
      </c>
    </row>
    <row r="585">
      <c r="A585" s="534">
        <v>45602.0</v>
      </c>
      <c r="B585" s="440" t="s">
        <v>9542</v>
      </c>
      <c r="C585" s="440" t="s">
        <v>1395</v>
      </c>
      <c r="D585" s="440" t="s">
        <v>524</v>
      </c>
      <c r="E585" s="440" t="s">
        <v>9543</v>
      </c>
      <c r="F585" s="440">
        <v>8.849845627E9</v>
      </c>
      <c r="G585" s="440"/>
      <c r="H585" s="464">
        <v>3490.0</v>
      </c>
      <c r="I585" s="580">
        <v>45997.0</v>
      </c>
      <c r="J585" s="440" t="s">
        <v>116</v>
      </c>
      <c r="K585" s="441" t="s">
        <v>49</v>
      </c>
      <c r="L585" s="440" t="s">
        <v>8392</v>
      </c>
      <c r="M585" s="440" t="s">
        <v>8262</v>
      </c>
      <c r="N585" s="465">
        <v>22581.0</v>
      </c>
      <c r="O585" s="465">
        <v>25677.0</v>
      </c>
      <c r="P585" s="6">
        <v>48.0</v>
      </c>
      <c r="Q585" s="8">
        <f t="shared" si="23"/>
        <v>10838.88</v>
      </c>
    </row>
    <row r="586">
      <c r="A586" s="534">
        <v>45602.0</v>
      </c>
      <c r="B586" s="440" t="s">
        <v>9544</v>
      </c>
      <c r="C586" s="440" t="s">
        <v>21</v>
      </c>
      <c r="D586" s="440" t="s">
        <v>7867</v>
      </c>
      <c r="E586" s="440"/>
      <c r="F586" s="440"/>
      <c r="G586" s="440"/>
      <c r="H586" s="440">
        <v>12990.0</v>
      </c>
      <c r="I586" s="580">
        <v>45936.0</v>
      </c>
      <c r="J586" s="440" t="s">
        <v>78</v>
      </c>
      <c r="K586" s="441" t="s">
        <v>49</v>
      </c>
      <c r="L586" s="440" t="s">
        <v>71</v>
      </c>
      <c r="M586" s="440" t="s">
        <v>8262</v>
      </c>
      <c r="N586" s="440">
        <v>38266.0</v>
      </c>
      <c r="O586" s="440">
        <v>43036.0</v>
      </c>
      <c r="P586" s="6">
        <v>23.0</v>
      </c>
      <c r="Q586" s="8">
        <f t="shared" si="23"/>
        <v>8801.18</v>
      </c>
    </row>
    <row r="587">
      <c r="A587" s="534">
        <v>45602.0</v>
      </c>
      <c r="B587" s="440" t="s">
        <v>9545</v>
      </c>
      <c r="C587" s="440" t="s">
        <v>2749</v>
      </c>
      <c r="D587" s="440" t="s">
        <v>9546</v>
      </c>
      <c r="E587" s="440"/>
      <c r="F587" s="440"/>
      <c r="G587" s="440"/>
      <c r="H587" s="440"/>
      <c r="I587" s="580">
        <v>45967.0</v>
      </c>
      <c r="J587" s="440" t="s">
        <v>1424</v>
      </c>
      <c r="K587" s="441" t="s">
        <v>26</v>
      </c>
      <c r="L587" s="440" t="s">
        <v>27</v>
      </c>
      <c r="M587" s="440" t="s">
        <v>8262</v>
      </c>
      <c r="N587" s="440">
        <v>20847.0</v>
      </c>
      <c r="O587" s="440">
        <v>24599.0</v>
      </c>
      <c r="P587" s="6">
        <v>10.0</v>
      </c>
      <c r="Q587" s="8">
        <f t="shared" si="23"/>
        <v>2084.7</v>
      </c>
    </row>
    <row r="588">
      <c r="A588" s="126"/>
      <c r="F588" s="236"/>
    </row>
    <row r="589">
      <c r="A589" s="126"/>
      <c r="F589" s="236"/>
    </row>
    <row r="590">
      <c r="A590" s="126"/>
      <c r="F590" s="236"/>
      <c r="I590" s="236"/>
    </row>
    <row r="591">
      <c r="A591" s="87">
        <v>45632.0</v>
      </c>
      <c r="B591" s="8" t="s">
        <v>9547</v>
      </c>
      <c r="C591" s="479" t="s">
        <v>1405</v>
      </c>
      <c r="D591" s="479" t="s">
        <v>9210</v>
      </c>
      <c r="E591" s="479" t="s">
        <v>9548</v>
      </c>
      <c r="F591" s="479">
        <v>9.510499574E9</v>
      </c>
      <c r="G591" s="479"/>
      <c r="H591" s="481">
        <v>395.0</v>
      </c>
      <c r="I591" s="480">
        <v>45967.0</v>
      </c>
      <c r="J591" s="479" t="s">
        <v>78</v>
      </c>
      <c r="K591" s="479" t="s">
        <v>49</v>
      </c>
      <c r="L591" s="479" t="s">
        <v>27</v>
      </c>
      <c r="M591" s="479" t="s">
        <v>8262</v>
      </c>
      <c r="N591" s="481">
        <v>4985.0</v>
      </c>
      <c r="O591" s="481">
        <v>5613.0</v>
      </c>
      <c r="P591" s="5">
        <v>53.0</v>
      </c>
      <c r="Q591" s="8">
        <f t="shared" ref="Q591:Q611" si="24">N591*P591%</f>
        <v>2642.05</v>
      </c>
    </row>
    <row r="592">
      <c r="A592" s="526" t="s">
        <v>9549</v>
      </c>
      <c r="B592" s="491" t="s">
        <v>7543</v>
      </c>
      <c r="C592" s="396" t="s">
        <v>2749</v>
      </c>
      <c r="D592" s="440" t="s">
        <v>9550</v>
      </c>
      <c r="E592" s="440" t="s">
        <v>9551</v>
      </c>
      <c r="F592" s="440">
        <v>9.638204711E9</v>
      </c>
      <c r="G592" s="440"/>
      <c r="H592" s="464">
        <v>1196.0</v>
      </c>
      <c r="I592" s="442">
        <v>45967.0</v>
      </c>
      <c r="J592" s="440" t="s">
        <v>1424</v>
      </c>
      <c r="K592" s="440" t="s">
        <v>49</v>
      </c>
      <c r="L592" s="440" t="s">
        <v>71</v>
      </c>
      <c r="M592" s="440" t="s">
        <v>8262</v>
      </c>
      <c r="N592" s="464">
        <v>15155.0</v>
      </c>
      <c r="O592" s="464">
        <v>17883.0</v>
      </c>
      <c r="P592" s="5">
        <v>25.0</v>
      </c>
      <c r="Q592" s="8">
        <f t="shared" si="24"/>
        <v>3788.75</v>
      </c>
    </row>
    <row r="593">
      <c r="A593" s="526" t="s">
        <v>9549</v>
      </c>
      <c r="B593" s="491" t="s">
        <v>9552</v>
      </c>
      <c r="C593" s="440" t="s">
        <v>21</v>
      </c>
      <c r="D593" s="440" t="s">
        <v>133</v>
      </c>
      <c r="E593" s="440" t="s">
        <v>1714</v>
      </c>
      <c r="F593" s="440">
        <v>9.909617917E9</v>
      </c>
      <c r="G593" s="440"/>
      <c r="H593" s="464">
        <v>42000.0</v>
      </c>
      <c r="I593" s="464" t="s">
        <v>4188</v>
      </c>
      <c r="J593" s="396" t="s">
        <v>70</v>
      </c>
      <c r="K593" s="440" t="s">
        <v>49</v>
      </c>
      <c r="L593" s="440" t="s">
        <v>3028</v>
      </c>
      <c r="M593" s="440" t="s">
        <v>8262</v>
      </c>
      <c r="N593" s="465">
        <v>49399.0</v>
      </c>
      <c r="O593" s="465">
        <v>55636.0</v>
      </c>
      <c r="P593" s="5">
        <v>21.0</v>
      </c>
      <c r="Q593" s="8">
        <f t="shared" si="24"/>
        <v>10373.79</v>
      </c>
    </row>
    <row r="594">
      <c r="A594" s="526" t="s">
        <v>9553</v>
      </c>
      <c r="B594" s="491" t="s">
        <v>9554</v>
      </c>
      <c r="C594" s="440" t="s">
        <v>1395</v>
      </c>
      <c r="D594" s="440" t="s">
        <v>9555</v>
      </c>
      <c r="E594" s="440" t="s">
        <v>9556</v>
      </c>
      <c r="F594" s="440">
        <v>8.32033693E9</v>
      </c>
      <c r="G594" s="440"/>
      <c r="H594" s="464">
        <v>2745.0</v>
      </c>
      <c r="I594" s="442">
        <v>45997.0</v>
      </c>
      <c r="J594" s="440" t="s">
        <v>116</v>
      </c>
      <c r="K594" s="440" t="s">
        <v>49</v>
      </c>
      <c r="L594" s="440" t="s">
        <v>3028</v>
      </c>
      <c r="M594" s="440" t="s">
        <v>8262</v>
      </c>
      <c r="N594" s="465">
        <v>20449.0</v>
      </c>
      <c r="O594" s="465">
        <v>23159.0</v>
      </c>
      <c r="P594" s="5">
        <v>48.0</v>
      </c>
      <c r="Q594" s="8">
        <f t="shared" si="24"/>
        <v>9815.52</v>
      </c>
    </row>
    <row r="595">
      <c r="A595" s="526" t="s">
        <v>9553</v>
      </c>
      <c r="B595" s="491" t="s">
        <v>9557</v>
      </c>
      <c r="C595" s="440" t="s">
        <v>21</v>
      </c>
      <c r="D595" s="440" t="s">
        <v>9558</v>
      </c>
      <c r="E595" s="440" t="s">
        <v>9559</v>
      </c>
      <c r="F595" s="440">
        <v>7.98467355E9</v>
      </c>
      <c r="G595" s="440"/>
      <c r="H595" s="467">
        <v>35000.0</v>
      </c>
      <c r="I595" s="442">
        <v>45997.0</v>
      </c>
      <c r="J595" s="440" t="s">
        <v>78</v>
      </c>
      <c r="K595" s="440" t="s">
        <v>49</v>
      </c>
      <c r="L595" s="440" t="s">
        <v>27</v>
      </c>
      <c r="M595" s="440" t="s">
        <v>8262</v>
      </c>
      <c r="N595" s="464">
        <v>47789.0</v>
      </c>
      <c r="O595" s="464">
        <v>53754.0</v>
      </c>
      <c r="P595" s="5">
        <v>23.0</v>
      </c>
      <c r="Q595" s="8">
        <f t="shared" si="24"/>
        <v>10991.47</v>
      </c>
    </row>
    <row r="596">
      <c r="A596" s="526" t="s">
        <v>9553</v>
      </c>
      <c r="B596" s="491" t="s">
        <v>9560</v>
      </c>
      <c r="C596" s="396" t="s">
        <v>2749</v>
      </c>
      <c r="D596" s="440" t="s">
        <v>9561</v>
      </c>
      <c r="E596" s="440" t="s">
        <v>9562</v>
      </c>
      <c r="F596" s="440">
        <v>9.97897442E9</v>
      </c>
      <c r="G596" s="440"/>
      <c r="H596" s="464">
        <v>702.0</v>
      </c>
      <c r="I596" s="464" t="s">
        <v>9538</v>
      </c>
      <c r="J596" s="440" t="s">
        <v>1424</v>
      </c>
      <c r="K596" s="440" t="s">
        <v>26</v>
      </c>
      <c r="L596" s="440" t="s">
        <v>27</v>
      </c>
      <c r="M596" s="440" t="s">
        <v>8262</v>
      </c>
      <c r="N596" s="464">
        <v>20532.0</v>
      </c>
      <c r="O596" s="464">
        <v>24228.0</v>
      </c>
      <c r="P596" s="5">
        <v>10.0</v>
      </c>
      <c r="Q596" s="8">
        <f t="shared" si="24"/>
        <v>2053.2</v>
      </c>
    </row>
    <row r="597">
      <c r="A597" s="526" t="s">
        <v>9563</v>
      </c>
      <c r="B597" s="491" t="s">
        <v>9564</v>
      </c>
      <c r="C597" s="440" t="s">
        <v>21</v>
      </c>
      <c r="D597" s="440" t="s">
        <v>1949</v>
      </c>
      <c r="E597" s="440" t="s">
        <v>9565</v>
      </c>
      <c r="F597" s="440">
        <v>9.979078037E9</v>
      </c>
      <c r="G597" s="440"/>
      <c r="H597" s="467">
        <v>28000.0</v>
      </c>
      <c r="I597" s="442">
        <v>45997.0</v>
      </c>
      <c r="J597" s="396" t="s">
        <v>70</v>
      </c>
      <c r="K597" s="440" t="s">
        <v>49</v>
      </c>
      <c r="L597" s="440" t="s">
        <v>27</v>
      </c>
      <c r="M597" s="440" t="s">
        <v>8262</v>
      </c>
      <c r="N597" s="465">
        <v>46042.0</v>
      </c>
      <c r="O597" s="465">
        <v>51693.0</v>
      </c>
      <c r="P597" s="5">
        <v>21.0</v>
      </c>
      <c r="Q597" s="8">
        <f t="shared" si="24"/>
        <v>9668.82</v>
      </c>
    </row>
    <row r="598">
      <c r="A598" s="526" t="s">
        <v>9563</v>
      </c>
      <c r="B598" s="491" t="s">
        <v>7568</v>
      </c>
      <c r="C598" s="440" t="s">
        <v>1395</v>
      </c>
      <c r="D598" s="440" t="s">
        <v>9566</v>
      </c>
      <c r="E598" s="440" t="s">
        <v>9567</v>
      </c>
      <c r="F598" s="440">
        <v>8.320136706E9</v>
      </c>
      <c r="G598" s="440"/>
      <c r="H598" s="464">
        <v>3490.0</v>
      </c>
      <c r="I598" s="464" t="s">
        <v>4115</v>
      </c>
      <c r="J598" s="440" t="s">
        <v>1419</v>
      </c>
      <c r="K598" s="440" t="s">
        <v>49</v>
      </c>
      <c r="L598" s="440" t="s">
        <v>71</v>
      </c>
      <c r="M598" s="440" t="s">
        <v>8262</v>
      </c>
      <c r="N598" s="464">
        <v>17378.0</v>
      </c>
      <c r="O598" s="464">
        <v>19544.0</v>
      </c>
      <c r="P598" s="5">
        <v>50.0</v>
      </c>
      <c r="Q598" s="8">
        <f t="shared" si="24"/>
        <v>8689</v>
      </c>
    </row>
    <row r="599">
      <c r="A599" s="526" t="s">
        <v>9563</v>
      </c>
      <c r="B599" s="491" t="s">
        <v>9568</v>
      </c>
      <c r="C599" s="440" t="s">
        <v>21</v>
      </c>
      <c r="D599" s="440" t="s">
        <v>2854</v>
      </c>
      <c r="E599" s="440" t="s">
        <v>9569</v>
      </c>
      <c r="F599" s="440">
        <v>9.58679648E9</v>
      </c>
      <c r="G599" s="440"/>
      <c r="H599" s="464">
        <v>11990.0</v>
      </c>
      <c r="I599" s="464" t="s">
        <v>4188</v>
      </c>
      <c r="J599" s="440" t="s">
        <v>25</v>
      </c>
      <c r="K599" s="440" t="s">
        <v>49</v>
      </c>
      <c r="L599" s="440" t="s">
        <v>27</v>
      </c>
      <c r="M599" s="440" t="s">
        <v>8262</v>
      </c>
      <c r="N599" s="464">
        <v>32447.0</v>
      </c>
      <c r="O599" s="464">
        <v>36656.0</v>
      </c>
      <c r="P599" s="5">
        <v>25.0</v>
      </c>
      <c r="Q599" s="8">
        <f t="shared" si="24"/>
        <v>8111.75</v>
      </c>
    </row>
    <row r="600">
      <c r="A600" s="526" t="s">
        <v>9570</v>
      </c>
      <c r="B600" s="491" t="s">
        <v>4327</v>
      </c>
      <c r="C600" s="440" t="s">
        <v>21</v>
      </c>
      <c r="D600" s="440" t="s">
        <v>4329</v>
      </c>
      <c r="E600" s="440" t="s">
        <v>4330</v>
      </c>
      <c r="F600" s="440">
        <v>9.824407837E9</v>
      </c>
      <c r="G600" s="440"/>
      <c r="H600" s="443">
        <v>28000.0</v>
      </c>
      <c r="I600" s="464" t="s">
        <v>4092</v>
      </c>
      <c r="J600" s="440" t="s">
        <v>2562</v>
      </c>
      <c r="K600" s="440" t="s">
        <v>26</v>
      </c>
      <c r="L600" s="440" t="s">
        <v>27</v>
      </c>
      <c r="M600" s="440" t="s">
        <v>8262</v>
      </c>
      <c r="N600" s="465">
        <v>44365.0</v>
      </c>
      <c r="O600" s="465">
        <v>49713.7</v>
      </c>
      <c r="P600" s="5">
        <v>42.0</v>
      </c>
      <c r="Q600" s="8">
        <f t="shared" si="24"/>
        <v>18633.3</v>
      </c>
    </row>
    <row r="601">
      <c r="A601" s="526" t="s">
        <v>9570</v>
      </c>
      <c r="B601" s="491" t="s">
        <v>9571</v>
      </c>
      <c r="C601" s="440" t="s">
        <v>1395</v>
      </c>
      <c r="D601" s="440" t="s">
        <v>3385</v>
      </c>
      <c r="E601" s="440" t="s">
        <v>9572</v>
      </c>
      <c r="F601" s="440">
        <v>9.723091547E9</v>
      </c>
      <c r="G601" s="440"/>
      <c r="H601" s="464">
        <v>2735.0</v>
      </c>
      <c r="I601" s="464" t="s">
        <v>4092</v>
      </c>
      <c r="J601" s="440" t="s">
        <v>1424</v>
      </c>
      <c r="K601" s="440" t="s">
        <v>49</v>
      </c>
      <c r="L601" s="440" t="s">
        <v>219</v>
      </c>
      <c r="M601" s="440" t="s">
        <v>8262</v>
      </c>
      <c r="N601" s="464">
        <v>21240.0</v>
      </c>
      <c r="O601" s="464">
        <v>24100.0</v>
      </c>
      <c r="P601" s="5">
        <v>52.0</v>
      </c>
      <c r="Q601" s="8">
        <f t="shared" si="24"/>
        <v>11044.8</v>
      </c>
    </row>
    <row r="602">
      <c r="A602" s="526" t="s">
        <v>9570</v>
      </c>
      <c r="B602" s="491" t="s">
        <v>9573</v>
      </c>
      <c r="C602" s="440" t="s">
        <v>21</v>
      </c>
      <c r="D602" s="440" t="s">
        <v>1591</v>
      </c>
      <c r="E602" s="440" t="s">
        <v>9569</v>
      </c>
      <c r="F602" s="440">
        <v>9.58679648E9</v>
      </c>
      <c r="G602" s="440"/>
      <c r="H602" s="464">
        <v>11990.0</v>
      </c>
      <c r="I602" s="464" t="s">
        <v>4092</v>
      </c>
      <c r="J602" s="440" t="s">
        <v>25</v>
      </c>
      <c r="K602" s="440" t="s">
        <v>49</v>
      </c>
      <c r="L602" s="440" t="s">
        <v>27</v>
      </c>
      <c r="M602" s="440" t="s">
        <v>8262</v>
      </c>
      <c r="N602" s="465">
        <v>31852.0</v>
      </c>
      <c r="O602" s="465">
        <v>35954.0</v>
      </c>
      <c r="P602" s="5">
        <v>25.0</v>
      </c>
      <c r="Q602" s="8">
        <f t="shared" si="24"/>
        <v>7963</v>
      </c>
    </row>
    <row r="603">
      <c r="A603" s="526" t="s">
        <v>9574</v>
      </c>
      <c r="B603" s="491" t="s">
        <v>9575</v>
      </c>
      <c r="C603" s="440" t="s">
        <v>21</v>
      </c>
      <c r="D603" s="440" t="s">
        <v>9576</v>
      </c>
      <c r="E603" s="440" t="s">
        <v>999</v>
      </c>
      <c r="F603" s="440">
        <v>9.979600037E9</v>
      </c>
      <c r="G603" s="440"/>
      <c r="H603" s="464">
        <v>16020.0</v>
      </c>
      <c r="I603" s="464" t="s">
        <v>9577</v>
      </c>
      <c r="J603" s="440" t="s">
        <v>78</v>
      </c>
      <c r="K603" s="440" t="s">
        <v>49</v>
      </c>
      <c r="L603" s="440" t="s">
        <v>71</v>
      </c>
      <c r="M603" s="440" t="s">
        <v>8262</v>
      </c>
      <c r="N603" s="465">
        <v>50430.21</v>
      </c>
      <c r="O603" s="465">
        <v>57389.0</v>
      </c>
      <c r="P603" s="5">
        <v>23.0</v>
      </c>
      <c r="Q603" s="8">
        <f t="shared" si="24"/>
        <v>11598.9483</v>
      </c>
    </row>
    <row r="604">
      <c r="A604" s="526" t="s">
        <v>9574</v>
      </c>
      <c r="B604" s="491" t="s">
        <v>9578</v>
      </c>
      <c r="C604" s="440" t="s">
        <v>21</v>
      </c>
      <c r="D604" s="440" t="s">
        <v>9579</v>
      </c>
      <c r="E604" s="440" t="s">
        <v>9580</v>
      </c>
      <c r="F604" s="440">
        <v>7.40561111E9</v>
      </c>
      <c r="G604" s="440"/>
      <c r="H604" s="464">
        <v>45500.0</v>
      </c>
      <c r="I604" s="464" t="s">
        <v>4092</v>
      </c>
      <c r="J604" s="396" t="s">
        <v>70</v>
      </c>
      <c r="K604" s="440" t="s">
        <v>49</v>
      </c>
      <c r="L604" s="440" t="s">
        <v>27</v>
      </c>
      <c r="M604" s="440" t="s">
        <v>8262</v>
      </c>
      <c r="N604" s="465">
        <v>48887.0</v>
      </c>
      <c r="O604" s="465">
        <v>55032.0</v>
      </c>
      <c r="P604" s="5">
        <v>21.0</v>
      </c>
      <c r="Q604" s="8">
        <f t="shared" si="24"/>
        <v>10266.27</v>
      </c>
    </row>
    <row r="605">
      <c r="A605" s="526" t="s">
        <v>9574</v>
      </c>
      <c r="B605" s="491" t="s">
        <v>9581</v>
      </c>
      <c r="C605" s="440" t="s">
        <v>21</v>
      </c>
      <c r="D605" s="440" t="s">
        <v>9003</v>
      </c>
      <c r="E605" s="440" t="s">
        <v>9582</v>
      </c>
      <c r="F605" s="440">
        <v>8.460344786E9</v>
      </c>
      <c r="G605" s="440"/>
      <c r="H605" s="464">
        <v>11990.0</v>
      </c>
      <c r="I605" s="464" t="s">
        <v>4216</v>
      </c>
      <c r="J605" s="440" t="s">
        <v>25</v>
      </c>
      <c r="K605" s="440" t="s">
        <v>49</v>
      </c>
      <c r="L605" s="440" t="s">
        <v>71</v>
      </c>
      <c r="M605" s="440" t="s">
        <v>8262</v>
      </c>
      <c r="N605" s="465">
        <v>43035.0</v>
      </c>
      <c r="O605" s="465">
        <v>49150.0</v>
      </c>
      <c r="P605" s="5">
        <v>25.0</v>
      </c>
      <c r="Q605" s="8">
        <f t="shared" si="24"/>
        <v>10758.75</v>
      </c>
    </row>
    <row r="606">
      <c r="A606" s="526" t="s">
        <v>9574</v>
      </c>
      <c r="B606" s="491" t="s">
        <v>9583</v>
      </c>
      <c r="C606" s="440" t="s">
        <v>1395</v>
      </c>
      <c r="D606" s="440" t="s">
        <v>9361</v>
      </c>
      <c r="E606" s="440" t="s">
        <v>9584</v>
      </c>
      <c r="F606" s="440">
        <v>9.726143791E9</v>
      </c>
      <c r="G606" s="440"/>
      <c r="H606" s="464">
        <v>3895.0</v>
      </c>
      <c r="I606" s="464" t="s">
        <v>4099</v>
      </c>
      <c r="J606" s="440" t="s">
        <v>116</v>
      </c>
      <c r="K606" s="440" t="s">
        <v>49</v>
      </c>
      <c r="L606" s="440" t="s">
        <v>3028</v>
      </c>
      <c r="M606" s="440" t="s">
        <v>8262</v>
      </c>
      <c r="N606" s="465">
        <v>22055.0</v>
      </c>
      <c r="O606" s="465">
        <v>25057.0</v>
      </c>
      <c r="P606" s="5">
        <v>31.0</v>
      </c>
      <c r="Q606" s="8">
        <f t="shared" si="24"/>
        <v>6837.05</v>
      </c>
    </row>
    <row r="607">
      <c r="A607" s="526" t="s">
        <v>9585</v>
      </c>
      <c r="B607" s="491" t="s">
        <v>9586</v>
      </c>
      <c r="C607" s="440" t="s">
        <v>1395</v>
      </c>
      <c r="D607" s="440" t="s">
        <v>9587</v>
      </c>
      <c r="E607" s="440" t="s">
        <v>9588</v>
      </c>
      <c r="F607" s="440">
        <v>9.913297786E9</v>
      </c>
      <c r="G607" s="440"/>
      <c r="H607" s="464">
        <v>1600.0</v>
      </c>
      <c r="I607" s="464" t="s">
        <v>4099</v>
      </c>
      <c r="J607" s="440" t="s">
        <v>78</v>
      </c>
      <c r="K607" s="440" t="s">
        <v>49</v>
      </c>
      <c r="L607" s="440" t="s">
        <v>27</v>
      </c>
      <c r="M607" s="440" t="s">
        <v>8262</v>
      </c>
      <c r="N607" s="464">
        <v>17787.0</v>
      </c>
      <c r="O607" s="464">
        <v>20026.0</v>
      </c>
      <c r="P607" s="5">
        <v>53.0</v>
      </c>
      <c r="Q607" s="8">
        <f t="shared" si="24"/>
        <v>9427.11</v>
      </c>
    </row>
    <row r="608">
      <c r="A608" s="526" t="s">
        <v>9585</v>
      </c>
      <c r="B608" s="491" t="s">
        <v>7280</v>
      </c>
      <c r="C608" s="440" t="s">
        <v>21</v>
      </c>
      <c r="D608" s="440" t="s">
        <v>9589</v>
      </c>
      <c r="E608" s="440" t="s">
        <v>9590</v>
      </c>
      <c r="F608" s="440">
        <v>9.427222549E9</v>
      </c>
      <c r="G608" s="440"/>
      <c r="H608" s="464">
        <v>35000.0</v>
      </c>
      <c r="I608" s="464" t="s">
        <v>4099</v>
      </c>
      <c r="J608" s="396" t="s">
        <v>70</v>
      </c>
      <c r="K608" s="440" t="s">
        <v>49</v>
      </c>
      <c r="L608" s="440" t="s">
        <v>71</v>
      </c>
      <c r="M608" s="440" t="s">
        <v>8262</v>
      </c>
      <c r="N608" s="465">
        <v>46580.0</v>
      </c>
      <c r="O608" s="465">
        <v>52327.0</v>
      </c>
      <c r="P608" s="5">
        <v>23.0</v>
      </c>
      <c r="Q608" s="8">
        <f t="shared" si="24"/>
        <v>10713.4</v>
      </c>
    </row>
    <row r="609">
      <c r="A609" s="526" t="s">
        <v>9585</v>
      </c>
      <c r="B609" s="491" t="s">
        <v>4105</v>
      </c>
      <c r="C609" s="440" t="s">
        <v>1395</v>
      </c>
      <c r="D609" s="581" t="s">
        <v>9591</v>
      </c>
      <c r="E609" s="440" t="s">
        <v>9592</v>
      </c>
      <c r="F609" s="440">
        <v>7.69804222E9</v>
      </c>
      <c r="G609" s="440"/>
      <c r="H609" s="464">
        <v>2700.0</v>
      </c>
      <c r="I609" s="464" t="s">
        <v>4092</v>
      </c>
      <c r="J609" s="440" t="s">
        <v>9593</v>
      </c>
      <c r="K609" s="440" t="s">
        <v>49</v>
      </c>
      <c r="L609" s="440" t="s">
        <v>71</v>
      </c>
      <c r="M609" s="440" t="s">
        <v>8262</v>
      </c>
      <c r="N609" s="582">
        <v>9174.0</v>
      </c>
      <c r="O609" s="582">
        <v>10825.0</v>
      </c>
      <c r="P609" s="5">
        <v>6.0</v>
      </c>
      <c r="Q609" s="8">
        <f t="shared" si="24"/>
        <v>550.44</v>
      </c>
    </row>
    <row r="610">
      <c r="A610" s="526" t="s">
        <v>9585</v>
      </c>
      <c r="B610" s="583" t="s">
        <v>9594</v>
      </c>
      <c r="C610" s="584" t="s">
        <v>1395</v>
      </c>
      <c r="D610" s="584" t="s">
        <v>9555</v>
      </c>
      <c r="E610" s="584" t="s">
        <v>9595</v>
      </c>
      <c r="F610" s="584"/>
      <c r="G610" s="584"/>
      <c r="H610" s="584"/>
      <c r="I610" s="585" t="s">
        <v>4115</v>
      </c>
      <c r="J610" s="584" t="s">
        <v>78</v>
      </c>
      <c r="K610" s="586" t="s">
        <v>49</v>
      </c>
      <c r="L610" s="584" t="s">
        <v>27</v>
      </c>
      <c r="M610" s="584" t="s">
        <v>8262</v>
      </c>
      <c r="N610" s="585">
        <v>17568.0</v>
      </c>
      <c r="O610" s="585">
        <v>19767.0</v>
      </c>
      <c r="P610" s="587">
        <v>53.0</v>
      </c>
      <c r="Q610" s="8">
        <f t="shared" si="24"/>
        <v>9311.04</v>
      </c>
      <c r="R610" s="588"/>
      <c r="S610" s="588"/>
      <c r="T610" s="588"/>
      <c r="U610" s="588"/>
      <c r="V610" s="588"/>
      <c r="W610" s="588"/>
      <c r="X610" s="588"/>
      <c r="Y610" s="588"/>
      <c r="Z610" s="588"/>
      <c r="AA610" s="588"/>
      <c r="AB610" s="588"/>
      <c r="AC610" s="588"/>
      <c r="AD610" s="588"/>
      <c r="AE610" s="588"/>
      <c r="AF610" s="588"/>
      <c r="AG610" s="588"/>
    </row>
    <row r="611">
      <c r="A611" s="526" t="s">
        <v>9585</v>
      </c>
      <c r="B611" s="583" t="s">
        <v>9596</v>
      </c>
      <c r="C611" s="583" t="s">
        <v>21</v>
      </c>
      <c r="D611" s="583" t="s">
        <v>9377</v>
      </c>
      <c r="E611" s="583"/>
      <c r="F611" s="583"/>
      <c r="G611" s="583"/>
      <c r="H611" s="589">
        <v>35000.0</v>
      </c>
      <c r="I611" s="589" t="s">
        <v>4115</v>
      </c>
      <c r="J611" s="583" t="s">
        <v>78</v>
      </c>
      <c r="K611" s="583" t="s">
        <v>49</v>
      </c>
      <c r="L611" s="583" t="s">
        <v>1436</v>
      </c>
      <c r="M611" s="583" t="s">
        <v>8262</v>
      </c>
      <c r="N611" s="590">
        <v>75132.0</v>
      </c>
      <c r="O611" s="590">
        <v>86020.0</v>
      </c>
      <c r="P611" s="5">
        <v>23.0</v>
      </c>
      <c r="Q611" s="8">
        <f t="shared" si="24"/>
        <v>17280.36</v>
      </c>
    </row>
    <row r="612">
      <c r="A612" s="126"/>
      <c r="F612" s="236"/>
    </row>
    <row r="613">
      <c r="A613" s="126"/>
      <c r="F613" s="236"/>
    </row>
    <row r="614">
      <c r="A614" s="100" t="s">
        <v>9597</v>
      </c>
      <c r="B614" s="160" t="s">
        <v>7281</v>
      </c>
      <c r="C614" s="8" t="s">
        <v>1405</v>
      </c>
      <c r="D614" s="8" t="s">
        <v>9598</v>
      </c>
      <c r="E614" s="8" t="s">
        <v>9599</v>
      </c>
      <c r="F614" s="8">
        <v>9.924721753E9</v>
      </c>
      <c r="G614" s="8"/>
      <c r="H614" s="21">
        <v>236.0</v>
      </c>
      <c r="I614" s="21" t="s">
        <v>4125</v>
      </c>
      <c r="J614" s="8" t="s">
        <v>1419</v>
      </c>
      <c r="K614" s="8" t="s">
        <v>49</v>
      </c>
      <c r="L614" s="8" t="s">
        <v>71</v>
      </c>
      <c r="M614" s="8" t="s">
        <v>8262</v>
      </c>
      <c r="N614" s="21">
        <v>6308.0</v>
      </c>
      <c r="O614" s="21">
        <v>7444.0</v>
      </c>
      <c r="P614" s="6">
        <v>52.0</v>
      </c>
      <c r="Q614" s="8">
        <f t="shared" ref="Q614:Q651" si="25">N614*P614%</f>
        <v>3280.16</v>
      </c>
    </row>
    <row r="615">
      <c r="A615" s="100" t="s">
        <v>9597</v>
      </c>
      <c r="B615" s="160" t="s">
        <v>9600</v>
      </c>
      <c r="C615" s="8" t="s">
        <v>21</v>
      </c>
      <c r="D615" s="8" t="s">
        <v>9601</v>
      </c>
      <c r="E615" s="8" t="s">
        <v>9602</v>
      </c>
      <c r="F615" s="8">
        <v>7.98467355E9</v>
      </c>
      <c r="G615" s="8"/>
      <c r="H615" s="21">
        <v>35000.0</v>
      </c>
      <c r="I615" s="21" t="s">
        <v>4125</v>
      </c>
      <c r="J615" s="8" t="s">
        <v>78</v>
      </c>
      <c r="K615" s="8" t="s">
        <v>49</v>
      </c>
      <c r="L615" s="8" t="s">
        <v>27</v>
      </c>
      <c r="M615" s="8" t="s">
        <v>8262</v>
      </c>
      <c r="N615" s="21">
        <v>47500.0</v>
      </c>
      <c r="O615" s="21">
        <v>53413.0</v>
      </c>
      <c r="P615" s="6">
        <v>23.0</v>
      </c>
      <c r="Q615" s="8">
        <f t="shared" si="25"/>
        <v>10925</v>
      </c>
    </row>
    <row r="616">
      <c r="A616" s="100" t="s">
        <v>9597</v>
      </c>
      <c r="B616" s="160" t="s">
        <v>9603</v>
      </c>
      <c r="C616" s="8" t="s">
        <v>1395</v>
      </c>
      <c r="D616" s="8" t="s">
        <v>9604</v>
      </c>
      <c r="E616" s="8" t="s">
        <v>9605</v>
      </c>
      <c r="F616" s="8">
        <v>9.904578647E9</v>
      </c>
      <c r="G616" s="8"/>
      <c r="H616" s="21">
        <v>960.0</v>
      </c>
      <c r="I616" s="21" t="s">
        <v>9606</v>
      </c>
      <c r="J616" s="8" t="s">
        <v>78</v>
      </c>
      <c r="K616" s="8" t="s">
        <v>49</v>
      </c>
      <c r="L616" s="8" t="s">
        <v>27</v>
      </c>
      <c r="M616" s="8" t="s">
        <v>8262</v>
      </c>
      <c r="N616" s="21">
        <v>5117.0</v>
      </c>
      <c r="O616" s="21">
        <v>5768.0</v>
      </c>
      <c r="P616" s="6">
        <v>53.0</v>
      </c>
      <c r="Q616" s="8">
        <f t="shared" si="25"/>
        <v>2712.01</v>
      </c>
    </row>
    <row r="617">
      <c r="A617" s="100" t="s">
        <v>9597</v>
      </c>
      <c r="B617" s="160" t="s">
        <v>7518</v>
      </c>
      <c r="C617" s="8" t="s">
        <v>1395</v>
      </c>
      <c r="D617" s="8" t="s">
        <v>9521</v>
      </c>
      <c r="E617" s="8" t="s">
        <v>9607</v>
      </c>
      <c r="F617" s="8">
        <v>9.328138032E9</v>
      </c>
      <c r="G617" s="8"/>
      <c r="H617" s="21">
        <v>2820.0</v>
      </c>
      <c r="I617" s="21" t="s">
        <v>4160</v>
      </c>
      <c r="J617" s="8" t="s">
        <v>116</v>
      </c>
      <c r="K617" s="8" t="s">
        <v>49</v>
      </c>
      <c r="L617" s="8" t="s">
        <v>71</v>
      </c>
      <c r="M617" s="8" t="s">
        <v>8262</v>
      </c>
      <c r="N617" s="97">
        <v>18200.0</v>
      </c>
      <c r="O617" s="97">
        <v>20507.0</v>
      </c>
      <c r="P617" s="6">
        <v>48.0</v>
      </c>
      <c r="Q617" s="8">
        <f t="shared" si="25"/>
        <v>8736</v>
      </c>
    </row>
    <row r="618">
      <c r="A618" s="100" t="s">
        <v>9597</v>
      </c>
      <c r="B618" s="160" t="s">
        <v>4137</v>
      </c>
      <c r="C618" s="8" t="s">
        <v>21</v>
      </c>
      <c r="D618" s="8" t="s">
        <v>9608</v>
      </c>
      <c r="E618" s="8" t="s">
        <v>1556</v>
      </c>
      <c r="F618" s="8">
        <v>9.825765417E9</v>
      </c>
      <c r="G618" s="8"/>
      <c r="H618" s="21">
        <v>28000.0</v>
      </c>
      <c r="I618" s="21" t="s">
        <v>4125</v>
      </c>
      <c r="J618" s="8" t="s">
        <v>25</v>
      </c>
      <c r="K618" s="8" t="s">
        <v>26</v>
      </c>
      <c r="L618" s="8" t="s">
        <v>71</v>
      </c>
      <c r="M618" s="8" t="s">
        <v>8262</v>
      </c>
      <c r="N618" s="165">
        <v>44000.0</v>
      </c>
      <c r="O618" s="21">
        <v>49283.0</v>
      </c>
      <c r="P618" s="6">
        <v>42.0</v>
      </c>
      <c r="Q618" s="8">
        <f t="shared" si="25"/>
        <v>18480</v>
      </c>
    </row>
    <row r="619">
      <c r="A619" s="100" t="s">
        <v>9597</v>
      </c>
      <c r="B619" s="160" t="s">
        <v>9609</v>
      </c>
      <c r="C619" s="8" t="s">
        <v>1405</v>
      </c>
      <c r="D619" s="8" t="s">
        <v>9430</v>
      </c>
      <c r="E619" s="8" t="s">
        <v>9610</v>
      </c>
      <c r="F619" s="8">
        <v>6.351347257E9</v>
      </c>
      <c r="G619" s="8"/>
      <c r="H619" s="21">
        <v>198.0</v>
      </c>
      <c r="I619" s="21" t="s">
        <v>4216</v>
      </c>
      <c r="J619" s="8" t="s">
        <v>1419</v>
      </c>
      <c r="K619" s="8" t="s">
        <v>49</v>
      </c>
      <c r="L619" s="8" t="s">
        <v>27</v>
      </c>
      <c r="M619" s="8" t="s">
        <v>8262</v>
      </c>
      <c r="N619" s="21">
        <v>6661.0</v>
      </c>
      <c r="O619" s="21">
        <v>7859.0</v>
      </c>
      <c r="P619" s="6">
        <v>52.0</v>
      </c>
      <c r="Q619" s="8">
        <f t="shared" si="25"/>
        <v>3463.72</v>
      </c>
    </row>
    <row r="620">
      <c r="A620" s="100" t="s">
        <v>9597</v>
      </c>
      <c r="B620" s="160" t="s">
        <v>7290</v>
      </c>
      <c r="C620" s="8" t="s">
        <v>1395</v>
      </c>
      <c r="D620" s="8" t="s">
        <v>3317</v>
      </c>
      <c r="E620" s="8" t="s">
        <v>9611</v>
      </c>
      <c r="F620" s="8">
        <v>9.428260539E9</v>
      </c>
      <c r="G620" s="8"/>
      <c r="H620" s="21">
        <v>2700.0</v>
      </c>
      <c r="I620" s="21" t="s">
        <v>4216</v>
      </c>
      <c r="J620" s="8" t="s">
        <v>116</v>
      </c>
      <c r="K620" s="8" t="s">
        <v>49</v>
      </c>
      <c r="L620" s="8" t="s">
        <v>71</v>
      </c>
      <c r="M620" s="8" t="s">
        <v>8262</v>
      </c>
      <c r="N620" s="97">
        <v>20848.0</v>
      </c>
      <c r="O620" s="97">
        <v>23632.0</v>
      </c>
      <c r="P620" s="6">
        <v>48.0</v>
      </c>
      <c r="Q620" s="8">
        <f t="shared" si="25"/>
        <v>10007.04</v>
      </c>
    </row>
    <row r="621">
      <c r="A621" s="100" t="s">
        <v>9612</v>
      </c>
      <c r="B621" s="160" t="s">
        <v>7315</v>
      </c>
      <c r="C621" s="8" t="s">
        <v>1395</v>
      </c>
      <c r="D621" s="8" t="s">
        <v>524</v>
      </c>
      <c r="E621" s="8" t="s">
        <v>9613</v>
      </c>
      <c r="F621" s="8">
        <v>9.925076222E9</v>
      </c>
      <c r="G621" s="8"/>
      <c r="H621" s="21">
        <v>3490.0</v>
      </c>
      <c r="I621" s="21" t="s">
        <v>4173</v>
      </c>
      <c r="J621" s="8" t="s">
        <v>116</v>
      </c>
      <c r="K621" s="8" t="s">
        <v>49</v>
      </c>
      <c r="L621" s="8" t="s">
        <v>71</v>
      </c>
      <c r="M621" s="8" t="s">
        <v>8262</v>
      </c>
      <c r="N621" s="97">
        <v>21207.0</v>
      </c>
      <c r="O621" s="97">
        <v>24058.0</v>
      </c>
      <c r="P621" s="6">
        <v>48.0</v>
      </c>
      <c r="Q621" s="8">
        <f t="shared" si="25"/>
        <v>10179.36</v>
      </c>
    </row>
    <row r="622">
      <c r="A622" s="100" t="s">
        <v>9614</v>
      </c>
      <c r="B622" s="160" t="s">
        <v>4179</v>
      </c>
      <c r="C622" s="8" t="s">
        <v>21</v>
      </c>
      <c r="D622" s="8" t="s">
        <v>9601</v>
      </c>
      <c r="E622" s="8" t="s">
        <v>9615</v>
      </c>
      <c r="F622" s="8">
        <v>8.849285752E9</v>
      </c>
      <c r="G622" s="8"/>
      <c r="H622" s="21">
        <v>35000.0</v>
      </c>
      <c r="I622" s="21" t="s">
        <v>9616</v>
      </c>
      <c r="J622" s="8" t="s">
        <v>78</v>
      </c>
      <c r="K622" s="8" t="s">
        <v>49</v>
      </c>
      <c r="L622" s="8" t="s">
        <v>71</v>
      </c>
      <c r="M622" s="8" t="s">
        <v>8262</v>
      </c>
      <c r="N622" s="21">
        <v>48306.0</v>
      </c>
      <c r="O622" s="21">
        <v>54364.0</v>
      </c>
      <c r="P622" s="6">
        <v>23.0</v>
      </c>
      <c r="Q622" s="8">
        <f t="shared" si="25"/>
        <v>11110.38</v>
      </c>
    </row>
    <row r="623">
      <c r="A623" s="100" t="s">
        <v>9614</v>
      </c>
      <c r="B623" s="160" t="s">
        <v>7296</v>
      </c>
      <c r="C623" s="8" t="s">
        <v>1395</v>
      </c>
      <c r="D623" s="8" t="s">
        <v>9617</v>
      </c>
      <c r="E623" s="8" t="s">
        <v>9618</v>
      </c>
      <c r="F623" s="8">
        <v>7.016719734E9</v>
      </c>
      <c r="G623" s="8"/>
      <c r="H623" s="21">
        <v>2745.0</v>
      </c>
      <c r="I623" s="21" t="s">
        <v>9616</v>
      </c>
      <c r="J623" s="8" t="s">
        <v>116</v>
      </c>
      <c r="K623" s="8" t="s">
        <v>49</v>
      </c>
      <c r="L623" s="8" t="s">
        <v>71</v>
      </c>
      <c r="M623" s="8" t="s">
        <v>8262</v>
      </c>
      <c r="N623" s="97">
        <v>20177.0</v>
      </c>
      <c r="O623" s="97">
        <v>22839.0</v>
      </c>
      <c r="P623" s="6">
        <v>48.0</v>
      </c>
      <c r="Q623" s="8">
        <f t="shared" si="25"/>
        <v>9684.96</v>
      </c>
    </row>
    <row r="624">
      <c r="A624" s="100" t="s">
        <v>9614</v>
      </c>
      <c r="B624" s="160" t="s">
        <v>7570</v>
      </c>
      <c r="C624" s="8" t="s">
        <v>966</v>
      </c>
      <c r="D624" s="8" t="s">
        <v>9619</v>
      </c>
      <c r="E624" s="8" t="s">
        <v>9620</v>
      </c>
      <c r="F624" s="8">
        <v>9.825324366E9</v>
      </c>
      <c r="G624" s="8"/>
      <c r="H624" s="21">
        <v>2596.0</v>
      </c>
      <c r="I624" s="21" t="s">
        <v>4167</v>
      </c>
      <c r="J624" s="8" t="s">
        <v>8045</v>
      </c>
      <c r="K624" s="8" t="s">
        <v>26</v>
      </c>
      <c r="L624" s="8" t="s">
        <v>27</v>
      </c>
      <c r="M624" s="157" t="s">
        <v>8262</v>
      </c>
      <c r="N624" s="97">
        <v>24040.0</v>
      </c>
      <c r="O624" s="21">
        <v>28367.0</v>
      </c>
      <c r="P624" s="529">
        <v>12.0</v>
      </c>
      <c r="Q624" s="8">
        <f t="shared" si="25"/>
        <v>2884.8</v>
      </c>
      <c r="R624" s="479"/>
      <c r="S624" s="479"/>
      <c r="T624" s="479"/>
      <c r="U624" s="479"/>
      <c r="V624" s="479"/>
      <c r="W624" s="479"/>
      <c r="X624" s="479"/>
      <c r="Y624" s="479"/>
      <c r="Z624" s="479"/>
      <c r="AA624" s="479"/>
      <c r="AB624" s="479"/>
      <c r="AC624" s="479"/>
      <c r="AD624" s="479"/>
    </row>
    <row r="625">
      <c r="A625" s="100" t="s">
        <v>9621</v>
      </c>
      <c r="B625" s="160" t="s">
        <v>4148</v>
      </c>
      <c r="C625" s="8" t="s">
        <v>1395</v>
      </c>
      <c r="D625" s="8" t="s">
        <v>9479</v>
      </c>
      <c r="E625" s="8" t="s">
        <v>9622</v>
      </c>
      <c r="F625" s="8">
        <v>9.898558319E9</v>
      </c>
      <c r="G625" s="8"/>
      <c r="H625" s="21">
        <v>3490.0</v>
      </c>
      <c r="I625" s="21" t="s">
        <v>4173</v>
      </c>
      <c r="J625" s="8" t="s">
        <v>1419</v>
      </c>
      <c r="K625" s="8" t="s">
        <v>49</v>
      </c>
      <c r="L625" s="8" t="s">
        <v>71</v>
      </c>
      <c r="M625" s="8" t="s">
        <v>8262</v>
      </c>
      <c r="N625" s="21">
        <v>18010.0</v>
      </c>
      <c r="O625" s="21">
        <v>20288.0</v>
      </c>
      <c r="P625" s="6">
        <v>50.0</v>
      </c>
      <c r="Q625" s="8">
        <f t="shared" si="25"/>
        <v>9005</v>
      </c>
    </row>
    <row r="626">
      <c r="A626" s="100" t="s">
        <v>9621</v>
      </c>
      <c r="B626" s="160" t="s">
        <v>9623</v>
      </c>
      <c r="C626" s="8" t="s">
        <v>1395</v>
      </c>
      <c r="D626" s="8" t="s">
        <v>9624</v>
      </c>
      <c r="E626" s="8" t="s">
        <v>9625</v>
      </c>
      <c r="F626" s="8">
        <v>9.974369742E9</v>
      </c>
      <c r="G626" s="8"/>
      <c r="H626" s="21">
        <v>2850.0</v>
      </c>
      <c r="I626" s="21" t="s">
        <v>9616</v>
      </c>
      <c r="J626" s="8" t="s">
        <v>1419</v>
      </c>
      <c r="K626" s="8" t="s">
        <v>49</v>
      </c>
      <c r="L626" s="8" t="s">
        <v>1436</v>
      </c>
      <c r="M626" s="8" t="s">
        <v>8262</v>
      </c>
      <c r="N626" s="21">
        <v>17622.0</v>
      </c>
      <c r="O626" s="21">
        <v>19832.0</v>
      </c>
      <c r="P626" s="6">
        <v>50.0</v>
      </c>
      <c r="Q626" s="8">
        <f t="shared" si="25"/>
        <v>8811</v>
      </c>
    </row>
    <row r="627">
      <c r="A627" s="100" t="s">
        <v>9621</v>
      </c>
      <c r="B627" s="160" t="s">
        <v>7303</v>
      </c>
      <c r="C627" s="8" t="s">
        <v>21</v>
      </c>
      <c r="D627" s="8" t="s">
        <v>9626</v>
      </c>
      <c r="E627" s="8" t="s">
        <v>9627</v>
      </c>
      <c r="F627" s="8">
        <v>9.664861257E9</v>
      </c>
      <c r="G627" s="8"/>
      <c r="H627" s="21">
        <v>35000.0</v>
      </c>
      <c r="I627" s="21" t="s">
        <v>4167</v>
      </c>
      <c r="J627" s="8" t="s">
        <v>78</v>
      </c>
      <c r="K627" s="8" t="s">
        <v>49</v>
      </c>
      <c r="L627" s="8" t="s">
        <v>71</v>
      </c>
      <c r="M627" s="8" t="s">
        <v>8262</v>
      </c>
      <c r="N627" s="97">
        <v>77678.97</v>
      </c>
      <c r="O627" s="97">
        <v>89024.0</v>
      </c>
      <c r="P627" s="6">
        <v>23.0</v>
      </c>
      <c r="Q627" s="8">
        <f t="shared" si="25"/>
        <v>17866.1631</v>
      </c>
    </row>
    <row r="628">
      <c r="A628" s="100" t="s">
        <v>9628</v>
      </c>
      <c r="B628" s="160" t="s">
        <v>4287</v>
      </c>
      <c r="C628" s="8" t="s">
        <v>21</v>
      </c>
      <c r="D628" s="8" t="s">
        <v>9629</v>
      </c>
      <c r="E628" s="8" t="s">
        <v>9630</v>
      </c>
      <c r="F628" s="8">
        <v>7.567554481E9</v>
      </c>
      <c r="G628" s="8"/>
      <c r="H628" s="21">
        <v>18500.0</v>
      </c>
      <c r="I628" s="21" t="s">
        <v>4173</v>
      </c>
      <c r="J628" s="8" t="s">
        <v>78</v>
      </c>
      <c r="K628" s="8" t="s">
        <v>49</v>
      </c>
      <c r="L628" s="8" t="s">
        <v>27</v>
      </c>
      <c r="M628" s="8" t="s">
        <v>8262</v>
      </c>
      <c r="N628" s="21">
        <v>36838.0</v>
      </c>
      <c r="O628" s="21">
        <v>41350.0</v>
      </c>
      <c r="P628" s="6">
        <v>23.0</v>
      </c>
      <c r="Q628" s="8">
        <f t="shared" si="25"/>
        <v>8472.74</v>
      </c>
    </row>
    <row r="629">
      <c r="A629" s="100" t="s">
        <v>9628</v>
      </c>
      <c r="B629" s="160" t="s">
        <v>4283</v>
      </c>
      <c r="C629" s="8" t="s">
        <v>21</v>
      </c>
      <c r="D629" s="8" t="s">
        <v>9631</v>
      </c>
      <c r="E629" s="8" t="s">
        <v>3091</v>
      </c>
      <c r="F629" s="8">
        <v>7.567554481E9</v>
      </c>
      <c r="G629" s="8"/>
      <c r="H629" s="21">
        <v>18500.0</v>
      </c>
      <c r="I629" s="21" t="s">
        <v>4173</v>
      </c>
      <c r="J629" s="8" t="s">
        <v>78</v>
      </c>
      <c r="K629" s="8" t="s">
        <v>49</v>
      </c>
      <c r="L629" s="8" t="s">
        <v>27</v>
      </c>
      <c r="M629" s="8" t="s">
        <v>8262</v>
      </c>
      <c r="N629" s="21">
        <v>37480.0</v>
      </c>
      <c r="O629" s="21">
        <v>42108.0</v>
      </c>
      <c r="P629" s="6">
        <v>23.0</v>
      </c>
      <c r="Q629" s="8">
        <f t="shared" si="25"/>
        <v>8620.4</v>
      </c>
    </row>
    <row r="630">
      <c r="A630" s="100" t="s">
        <v>9628</v>
      </c>
      <c r="B630" s="160" t="s">
        <v>9632</v>
      </c>
      <c r="C630" s="8" t="s">
        <v>1395</v>
      </c>
      <c r="D630" s="8" t="s">
        <v>9633</v>
      </c>
      <c r="E630" s="8" t="s">
        <v>9634</v>
      </c>
      <c r="F630" s="8">
        <v>9.909202914E9</v>
      </c>
      <c r="G630" s="8"/>
      <c r="H630" s="21">
        <v>2523.0</v>
      </c>
      <c r="I630" s="21" t="s">
        <v>4173</v>
      </c>
      <c r="J630" s="8" t="s">
        <v>1419</v>
      </c>
      <c r="K630" s="8" t="s">
        <v>49</v>
      </c>
      <c r="L630" s="8" t="s">
        <v>27</v>
      </c>
      <c r="M630" s="8" t="s">
        <v>8262</v>
      </c>
      <c r="N630" s="21">
        <v>9731.0</v>
      </c>
      <c r="O630" s="21">
        <v>11483.0</v>
      </c>
      <c r="P630" s="6">
        <v>27.0</v>
      </c>
      <c r="Q630" s="8">
        <f t="shared" si="25"/>
        <v>2627.37</v>
      </c>
    </row>
    <row r="631">
      <c r="A631" s="100" t="s">
        <v>9635</v>
      </c>
      <c r="B631" s="160" t="s">
        <v>7316</v>
      </c>
      <c r="C631" s="8" t="s">
        <v>1395</v>
      </c>
      <c r="D631" s="8" t="s">
        <v>9636</v>
      </c>
      <c r="E631" s="8" t="s">
        <v>9637</v>
      </c>
      <c r="F631" s="8">
        <v>9.825699562E9</v>
      </c>
      <c r="G631" s="8"/>
      <c r="H631" s="21">
        <v>2750.0</v>
      </c>
      <c r="I631" s="21" t="s">
        <v>9638</v>
      </c>
      <c r="J631" s="8" t="s">
        <v>1424</v>
      </c>
      <c r="K631" s="8" t="s">
        <v>49</v>
      </c>
      <c r="L631" s="8" t="s">
        <v>71</v>
      </c>
      <c r="M631" s="8" t="s">
        <v>8262</v>
      </c>
      <c r="N631" s="21">
        <v>17180.0</v>
      </c>
      <c r="O631" s="21">
        <v>19310.0</v>
      </c>
      <c r="P631" s="6">
        <v>52.0</v>
      </c>
      <c r="Q631" s="8">
        <f t="shared" si="25"/>
        <v>8933.6</v>
      </c>
    </row>
    <row r="632">
      <c r="A632" s="100" t="s">
        <v>9635</v>
      </c>
      <c r="B632" s="160" t="s">
        <v>4320</v>
      </c>
      <c r="C632" s="8" t="s">
        <v>1395</v>
      </c>
      <c r="D632" s="8" t="s">
        <v>9639</v>
      </c>
      <c r="E632" s="8" t="s">
        <v>9640</v>
      </c>
      <c r="F632" s="8">
        <v>8.758777865E9</v>
      </c>
      <c r="G632" s="8"/>
      <c r="H632" s="21">
        <v>3490.0</v>
      </c>
      <c r="I632" s="21" t="s">
        <v>9638</v>
      </c>
      <c r="J632" s="8" t="s">
        <v>1419</v>
      </c>
      <c r="K632" s="8" t="s">
        <v>49</v>
      </c>
      <c r="L632" s="8" t="s">
        <v>71</v>
      </c>
      <c r="M632" s="8" t="s">
        <v>8262</v>
      </c>
      <c r="N632" s="21">
        <v>26254.0</v>
      </c>
      <c r="O632" s="21">
        <v>30018.0</v>
      </c>
      <c r="P632" s="6">
        <v>50.0</v>
      </c>
      <c r="Q632" s="8">
        <f t="shared" si="25"/>
        <v>13127</v>
      </c>
    </row>
    <row r="633">
      <c r="A633" s="100" t="s">
        <v>9635</v>
      </c>
      <c r="B633" s="160" t="s">
        <v>7308</v>
      </c>
      <c r="C633" s="8" t="s">
        <v>21</v>
      </c>
      <c r="D633" s="8" t="s">
        <v>9641</v>
      </c>
      <c r="E633" s="8" t="s">
        <v>9642</v>
      </c>
      <c r="F633" s="8">
        <v>9.904300046E9</v>
      </c>
      <c r="G633" s="8"/>
      <c r="H633" s="21">
        <v>12500.0</v>
      </c>
      <c r="I633" s="21" t="s">
        <v>9638</v>
      </c>
      <c r="J633" s="8" t="s">
        <v>78</v>
      </c>
      <c r="K633" s="8" t="s">
        <v>49</v>
      </c>
      <c r="L633" s="8" t="s">
        <v>71</v>
      </c>
      <c r="M633" s="8" t="s">
        <v>8262</v>
      </c>
      <c r="N633" s="21">
        <v>36297.0</v>
      </c>
      <c r="O633" s="21">
        <v>40712.0</v>
      </c>
      <c r="P633" s="6">
        <v>23.0</v>
      </c>
      <c r="Q633" s="8">
        <f t="shared" si="25"/>
        <v>8348.31</v>
      </c>
    </row>
    <row r="634">
      <c r="A634" s="100" t="s">
        <v>9635</v>
      </c>
      <c r="B634" s="160" t="s">
        <v>7311</v>
      </c>
      <c r="C634" s="8" t="s">
        <v>1395</v>
      </c>
      <c r="D634" s="8" t="s">
        <v>2789</v>
      </c>
      <c r="E634" s="8" t="s">
        <v>9643</v>
      </c>
      <c r="F634" s="8">
        <v>9.825238101E9</v>
      </c>
      <c r="G634" s="8"/>
      <c r="H634" s="21">
        <v>2700.0</v>
      </c>
      <c r="I634" s="21" t="s">
        <v>9638</v>
      </c>
      <c r="J634" s="8" t="s">
        <v>1424</v>
      </c>
      <c r="K634" s="8" t="s">
        <v>49</v>
      </c>
      <c r="L634" s="8" t="s">
        <v>71</v>
      </c>
      <c r="M634" s="8" t="s">
        <v>8262</v>
      </c>
      <c r="N634" s="21">
        <v>18663.0</v>
      </c>
      <c r="O634" s="21">
        <v>21059.0</v>
      </c>
      <c r="P634" s="6">
        <v>52.0</v>
      </c>
      <c r="Q634" s="8">
        <f t="shared" si="25"/>
        <v>9704.76</v>
      </c>
    </row>
    <row r="635">
      <c r="A635" s="100" t="s">
        <v>9635</v>
      </c>
      <c r="B635" s="160" t="s">
        <v>4303</v>
      </c>
      <c r="C635" s="8" t="s">
        <v>21</v>
      </c>
      <c r="D635" s="8" t="s">
        <v>9644</v>
      </c>
      <c r="E635" s="8" t="s">
        <v>9645</v>
      </c>
      <c r="F635" s="8">
        <v>9.913049575E9</v>
      </c>
      <c r="G635" s="8"/>
      <c r="H635" s="21">
        <v>35000.0</v>
      </c>
      <c r="I635" s="21" t="s">
        <v>4278</v>
      </c>
      <c r="J635" s="8" t="s">
        <v>78</v>
      </c>
      <c r="K635" s="8" t="s">
        <v>49</v>
      </c>
      <c r="L635" s="8" t="s">
        <v>27</v>
      </c>
      <c r="M635" s="8" t="s">
        <v>8262</v>
      </c>
      <c r="N635" s="21">
        <v>47447.0</v>
      </c>
      <c r="O635" s="21">
        <v>53350.0</v>
      </c>
      <c r="P635" s="6">
        <v>23.0</v>
      </c>
      <c r="Q635" s="8">
        <f t="shared" si="25"/>
        <v>10912.81</v>
      </c>
    </row>
    <row r="636">
      <c r="A636" s="87">
        <v>45298.0</v>
      </c>
      <c r="B636" s="160" t="s">
        <v>7298</v>
      </c>
      <c r="C636" s="8" t="s">
        <v>1395</v>
      </c>
      <c r="D636" s="8" t="s">
        <v>9646</v>
      </c>
      <c r="E636" s="8" t="s">
        <v>9647</v>
      </c>
      <c r="F636" s="8">
        <v>9.72738007E9</v>
      </c>
      <c r="G636" s="8"/>
      <c r="H636" s="21">
        <v>2500.0</v>
      </c>
      <c r="I636" s="21" t="s">
        <v>4278</v>
      </c>
      <c r="J636" s="8" t="s">
        <v>78</v>
      </c>
      <c r="K636" s="8" t="s">
        <v>49</v>
      </c>
      <c r="L636" s="8" t="s">
        <v>71</v>
      </c>
      <c r="M636" s="8" t="s">
        <v>8262</v>
      </c>
      <c r="N636" s="21">
        <v>17248.0</v>
      </c>
      <c r="O636" s="21">
        <v>19390.0</v>
      </c>
      <c r="P636" s="6">
        <v>53.0</v>
      </c>
      <c r="Q636" s="8">
        <f t="shared" si="25"/>
        <v>9141.44</v>
      </c>
    </row>
    <row r="637">
      <c r="A637" s="87">
        <v>45298.0</v>
      </c>
      <c r="B637" s="160" t="s">
        <v>9648</v>
      </c>
      <c r="C637" s="8" t="s">
        <v>21</v>
      </c>
      <c r="D637" s="8" t="s">
        <v>9649</v>
      </c>
      <c r="E637" s="8" t="s">
        <v>9650</v>
      </c>
      <c r="F637" s="8">
        <v>9.925565744E9</v>
      </c>
      <c r="G637" s="8"/>
      <c r="H637" s="21">
        <v>28000.0</v>
      </c>
      <c r="I637" s="21" t="s">
        <v>4278</v>
      </c>
      <c r="J637" s="8" t="s">
        <v>9651</v>
      </c>
      <c r="K637" s="8" t="s">
        <v>49</v>
      </c>
      <c r="L637" s="8" t="s">
        <v>27</v>
      </c>
      <c r="M637" s="8" t="s">
        <v>8262</v>
      </c>
      <c r="N637" s="97">
        <v>47600.0</v>
      </c>
      <c r="O637" s="97">
        <v>53531.0</v>
      </c>
      <c r="P637" s="6">
        <v>23.0</v>
      </c>
      <c r="Q637" s="8">
        <f t="shared" si="25"/>
        <v>10948</v>
      </c>
    </row>
    <row r="638">
      <c r="A638" s="87">
        <v>45298.0</v>
      </c>
      <c r="B638" s="160" t="s">
        <v>9652</v>
      </c>
      <c r="C638" s="8" t="s">
        <v>21</v>
      </c>
      <c r="D638" s="8" t="s">
        <v>9653</v>
      </c>
      <c r="E638" s="8" t="s">
        <v>9654</v>
      </c>
      <c r="F638" s="8">
        <v>9.925153551E9</v>
      </c>
      <c r="G638" s="8"/>
      <c r="H638" s="21">
        <v>11990.0</v>
      </c>
      <c r="I638" s="22">
        <v>45664.0</v>
      </c>
      <c r="J638" s="8" t="s">
        <v>25</v>
      </c>
      <c r="K638" s="8" t="s">
        <v>49</v>
      </c>
      <c r="L638" s="8" t="s">
        <v>3028</v>
      </c>
      <c r="M638" s="8" t="s">
        <v>8262</v>
      </c>
      <c r="N638" s="97">
        <v>43680.0</v>
      </c>
      <c r="O638" s="97">
        <v>49911.0</v>
      </c>
      <c r="P638" s="6">
        <v>25.0</v>
      </c>
      <c r="Q638" s="8">
        <f t="shared" si="25"/>
        <v>10920</v>
      </c>
    </row>
    <row r="639">
      <c r="A639" s="87">
        <v>45298.0</v>
      </c>
      <c r="B639" s="160" t="s">
        <v>9655</v>
      </c>
      <c r="C639" s="8" t="s">
        <v>21</v>
      </c>
      <c r="D639" s="8" t="s">
        <v>9656</v>
      </c>
      <c r="E639" s="8" t="s">
        <v>9657</v>
      </c>
      <c r="F639" s="8"/>
      <c r="G639" s="8"/>
      <c r="H639" s="21">
        <v>39500.0</v>
      </c>
      <c r="I639" s="21" t="s">
        <v>4278</v>
      </c>
      <c r="J639" s="8" t="s">
        <v>78</v>
      </c>
      <c r="K639" s="8" t="s">
        <v>49</v>
      </c>
      <c r="L639" s="8" t="s">
        <v>27</v>
      </c>
      <c r="M639" s="8" t="s">
        <v>8262</v>
      </c>
      <c r="N639" s="97">
        <v>65981.97</v>
      </c>
      <c r="O639" s="97">
        <v>75222.0</v>
      </c>
      <c r="P639" s="6">
        <v>23.0</v>
      </c>
      <c r="Q639" s="8">
        <f t="shared" si="25"/>
        <v>15175.8531</v>
      </c>
    </row>
    <row r="640">
      <c r="A640" s="87">
        <v>45298.0</v>
      </c>
      <c r="B640" s="160" t="s">
        <v>9658</v>
      </c>
      <c r="C640" s="8" t="s">
        <v>21</v>
      </c>
      <c r="D640" s="8" t="s">
        <v>9659</v>
      </c>
      <c r="E640" s="8" t="s">
        <v>9657</v>
      </c>
      <c r="F640" s="8"/>
      <c r="G640" s="8"/>
      <c r="H640" s="21">
        <v>39500.0</v>
      </c>
      <c r="I640" s="21" t="s">
        <v>4278</v>
      </c>
      <c r="J640" s="8" t="s">
        <v>78</v>
      </c>
      <c r="K640" s="8" t="s">
        <v>49</v>
      </c>
      <c r="L640" s="8" t="s">
        <v>27</v>
      </c>
      <c r="M640" s="8" t="s">
        <v>8262</v>
      </c>
      <c r="N640" s="97">
        <v>66325.78</v>
      </c>
      <c r="O640" s="97">
        <v>75627.0</v>
      </c>
      <c r="P640" s="6">
        <v>23.0</v>
      </c>
      <c r="Q640" s="8">
        <f t="shared" si="25"/>
        <v>15254.9294</v>
      </c>
    </row>
    <row r="641">
      <c r="A641" s="87">
        <v>45298.0</v>
      </c>
      <c r="B641" s="160" t="s">
        <v>9660</v>
      </c>
      <c r="C641" s="8" t="s">
        <v>21</v>
      </c>
      <c r="D641" s="8" t="s">
        <v>9656</v>
      </c>
      <c r="E641" s="8" t="s">
        <v>9657</v>
      </c>
      <c r="F641" s="8"/>
      <c r="G641" s="8"/>
      <c r="H641" s="21">
        <v>39500.0</v>
      </c>
      <c r="I641" s="21" t="s">
        <v>4278</v>
      </c>
      <c r="J641" s="8" t="s">
        <v>78</v>
      </c>
      <c r="K641" s="8" t="s">
        <v>49</v>
      </c>
      <c r="L641" s="8" t="s">
        <v>27</v>
      </c>
      <c r="M641" s="8" t="s">
        <v>8262</v>
      </c>
      <c r="N641" s="97">
        <v>67708.5</v>
      </c>
      <c r="O641" s="97">
        <v>77259.0</v>
      </c>
      <c r="P641" s="6">
        <v>23.0</v>
      </c>
      <c r="Q641" s="8">
        <f t="shared" si="25"/>
        <v>15572.955</v>
      </c>
    </row>
    <row r="642">
      <c r="A642" s="87">
        <v>45298.0</v>
      </c>
      <c r="B642" s="160" t="s">
        <v>9661</v>
      </c>
      <c r="C642" s="8" t="s">
        <v>21</v>
      </c>
      <c r="D642" s="8" t="s">
        <v>9656</v>
      </c>
      <c r="E642" s="8" t="s">
        <v>9657</v>
      </c>
      <c r="F642" s="8"/>
      <c r="G642" s="8"/>
      <c r="H642" s="21">
        <v>39500.0</v>
      </c>
      <c r="I642" s="21" t="s">
        <v>4278</v>
      </c>
      <c r="J642" s="8" t="s">
        <v>78</v>
      </c>
      <c r="K642" s="8" t="s">
        <v>49</v>
      </c>
      <c r="L642" s="8" t="s">
        <v>27</v>
      </c>
      <c r="M642" s="8" t="s">
        <v>8262</v>
      </c>
      <c r="N642" s="97">
        <v>65981.97</v>
      </c>
      <c r="O642" s="97">
        <v>75222.0</v>
      </c>
      <c r="P642" s="6">
        <v>23.0</v>
      </c>
      <c r="Q642" s="8">
        <f t="shared" si="25"/>
        <v>15175.8531</v>
      </c>
    </row>
    <row r="643">
      <c r="A643" s="87">
        <v>45298.0</v>
      </c>
      <c r="B643" s="160" t="s">
        <v>9662</v>
      </c>
      <c r="C643" s="8" t="s">
        <v>21</v>
      </c>
      <c r="D643" s="8" t="s">
        <v>9656</v>
      </c>
      <c r="E643" s="8" t="s">
        <v>9657</v>
      </c>
      <c r="F643" s="8"/>
      <c r="G643" s="8"/>
      <c r="H643" s="21">
        <v>39500.0</v>
      </c>
      <c r="I643" s="21" t="s">
        <v>4278</v>
      </c>
      <c r="J643" s="8" t="s">
        <v>78</v>
      </c>
      <c r="K643" s="8" t="s">
        <v>49</v>
      </c>
      <c r="L643" s="8" t="s">
        <v>27</v>
      </c>
      <c r="M643" s="8" t="s">
        <v>8262</v>
      </c>
      <c r="N643" s="97">
        <v>65981.97</v>
      </c>
      <c r="O643" s="97">
        <v>75222.0</v>
      </c>
      <c r="P643" s="5">
        <v>23.0</v>
      </c>
      <c r="Q643" s="8">
        <f t="shared" si="25"/>
        <v>15175.8531</v>
      </c>
    </row>
    <row r="644">
      <c r="A644" s="87">
        <v>45329.0</v>
      </c>
      <c r="B644" s="160" t="s">
        <v>3488</v>
      </c>
      <c r="C644" s="8" t="s">
        <v>21</v>
      </c>
      <c r="D644" s="8" t="s">
        <v>9663</v>
      </c>
      <c r="E644" s="8" t="s">
        <v>9664</v>
      </c>
      <c r="F644" s="8"/>
      <c r="G644" s="8"/>
      <c r="H644" s="21">
        <v>18500.0</v>
      </c>
      <c r="I644" s="22">
        <v>45664.0</v>
      </c>
      <c r="J644" s="8" t="s">
        <v>78</v>
      </c>
      <c r="K644" s="8" t="s">
        <v>49</v>
      </c>
      <c r="L644" s="8" t="s">
        <v>27</v>
      </c>
      <c r="M644" s="8" t="s">
        <v>8262</v>
      </c>
      <c r="N644" s="97">
        <v>55947.21</v>
      </c>
      <c r="O644" s="97">
        <v>63899.0</v>
      </c>
      <c r="P644" s="5">
        <v>23.0</v>
      </c>
      <c r="Q644" s="8">
        <f t="shared" si="25"/>
        <v>12867.8583</v>
      </c>
    </row>
    <row r="645">
      <c r="A645" s="591">
        <v>45329.0</v>
      </c>
      <c r="B645" s="5" t="s">
        <v>9076</v>
      </c>
      <c r="C645" s="5" t="s">
        <v>21</v>
      </c>
      <c r="D645" s="5" t="s">
        <v>8268</v>
      </c>
      <c r="E645" s="31"/>
      <c r="F645" s="516"/>
      <c r="G645" s="31"/>
      <c r="H645" s="5">
        <v>16020.0</v>
      </c>
      <c r="I645" s="164">
        <v>45664.0</v>
      </c>
      <c r="J645" s="5" t="s">
        <v>78</v>
      </c>
      <c r="K645" s="5" t="s">
        <v>49</v>
      </c>
      <c r="L645" s="5" t="s">
        <v>71</v>
      </c>
      <c r="M645" s="5" t="s">
        <v>8262</v>
      </c>
      <c r="N645" s="5">
        <v>51603.0</v>
      </c>
      <c r="O645" s="5">
        <v>58773.0</v>
      </c>
      <c r="P645" s="5">
        <v>23.0</v>
      </c>
      <c r="Q645" s="8">
        <f t="shared" si="25"/>
        <v>11868.69</v>
      </c>
    </row>
    <row r="646">
      <c r="A646" s="591">
        <v>45329.0</v>
      </c>
      <c r="B646" s="5" t="s">
        <v>4331</v>
      </c>
      <c r="C646" s="5" t="s">
        <v>21</v>
      </c>
      <c r="D646" s="5" t="s">
        <v>2138</v>
      </c>
      <c r="E646" s="31"/>
      <c r="F646" s="516"/>
      <c r="G646" s="31"/>
      <c r="H646" s="5">
        <v>35000.0</v>
      </c>
      <c r="I646" s="164">
        <v>45695.0</v>
      </c>
      <c r="J646" s="5" t="s">
        <v>78</v>
      </c>
      <c r="K646" s="5" t="s">
        <v>49</v>
      </c>
      <c r="L646" s="5" t="s">
        <v>71</v>
      </c>
      <c r="M646" s="5" t="s">
        <v>8262</v>
      </c>
      <c r="N646" s="5">
        <v>47780.0</v>
      </c>
      <c r="O646" s="5">
        <v>53743.0</v>
      </c>
      <c r="P646" s="5">
        <v>23.0</v>
      </c>
      <c r="Q646" s="8">
        <f t="shared" si="25"/>
        <v>10989.4</v>
      </c>
    </row>
    <row r="647">
      <c r="A647" s="591">
        <v>45329.0</v>
      </c>
      <c r="B647" s="5" t="s">
        <v>4316</v>
      </c>
      <c r="C647" s="5" t="s">
        <v>9665</v>
      </c>
      <c r="D647" s="5" t="s">
        <v>9666</v>
      </c>
      <c r="E647" s="31"/>
      <c r="F647" s="516"/>
      <c r="G647" s="31"/>
      <c r="H647" s="31"/>
      <c r="I647" s="164">
        <v>45723.0</v>
      </c>
      <c r="J647" s="5" t="s">
        <v>4916</v>
      </c>
      <c r="K647" s="5" t="s">
        <v>49</v>
      </c>
      <c r="L647" s="5" t="s">
        <v>71</v>
      </c>
      <c r="M647" s="5" t="s">
        <v>8262</v>
      </c>
      <c r="N647" s="5">
        <v>37561.0</v>
      </c>
      <c r="O647" s="5">
        <v>44322.0</v>
      </c>
      <c r="P647" s="5">
        <v>50.0</v>
      </c>
      <c r="Q647" s="8">
        <f t="shared" si="25"/>
        <v>18780.5</v>
      </c>
    </row>
    <row r="648">
      <c r="A648" s="591">
        <v>45358.0</v>
      </c>
      <c r="B648" s="5" t="s">
        <v>9667</v>
      </c>
      <c r="C648" s="5" t="s">
        <v>4398</v>
      </c>
      <c r="D648" s="5" t="s">
        <v>9668</v>
      </c>
      <c r="E648" s="31"/>
      <c r="F648" s="516"/>
      <c r="G648" s="31"/>
      <c r="H648" s="31"/>
      <c r="I648" s="164">
        <v>45695.0</v>
      </c>
      <c r="J648" s="5" t="s">
        <v>4916</v>
      </c>
      <c r="K648" s="5" t="s">
        <v>49</v>
      </c>
      <c r="L648" s="5" t="s">
        <v>27</v>
      </c>
      <c r="M648" s="5" t="s">
        <v>8262</v>
      </c>
      <c r="N648" s="5">
        <v>53004.0</v>
      </c>
      <c r="O648" s="5">
        <v>62545.0</v>
      </c>
      <c r="P648" s="5">
        <v>70.0</v>
      </c>
      <c r="Q648" s="8">
        <f t="shared" si="25"/>
        <v>37102.8</v>
      </c>
    </row>
    <row r="649">
      <c r="A649" s="591">
        <v>45358.0</v>
      </c>
      <c r="B649" s="5" t="s">
        <v>4356</v>
      </c>
      <c r="C649" s="5" t="s">
        <v>1395</v>
      </c>
      <c r="D649" s="5" t="s">
        <v>8571</v>
      </c>
      <c r="E649" s="31"/>
      <c r="F649" s="516"/>
      <c r="G649" s="31"/>
      <c r="H649" s="5">
        <v>2745.0</v>
      </c>
      <c r="I649" s="164">
        <v>45754.0</v>
      </c>
      <c r="J649" s="5" t="s">
        <v>116</v>
      </c>
      <c r="K649" s="5" t="s">
        <v>49</v>
      </c>
      <c r="L649" s="5" t="s">
        <v>219</v>
      </c>
      <c r="M649" s="5" t="s">
        <v>8262</v>
      </c>
      <c r="N649" s="5">
        <v>19705.0</v>
      </c>
      <c r="O649" s="5">
        <v>22281.0</v>
      </c>
      <c r="P649" s="5">
        <v>48.0</v>
      </c>
      <c r="Q649" s="8">
        <f t="shared" si="25"/>
        <v>9458.4</v>
      </c>
    </row>
    <row r="650">
      <c r="A650" s="591">
        <v>45358.0</v>
      </c>
      <c r="B650" s="5" t="s">
        <v>7323</v>
      </c>
      <c r="C650" s="5" t="s">
        <v>1395</v>
      </c>
      <c r="D650" s="5" t="s">
        <v>8531</v>
      </c>
      <c r="E650" s="31"/>
      <c r="F650" s="516"/>
      <c r="G650" s="31"/>
      <c r="H650" s="5">
        <v>2960.0</v>
      </c>
      <c r="I650" s="164">
        <v>45723.0</v>
      </c>
      <c r="J650" s="5" t="s">
        <v>116</v>
      </c>
      <c r="K650" s="5" t="s">
        <v>49</v>
      </c>
      <c r="L650" s="5" t="s">
        <v>71</v>
      </c>
      <c r="M650" s="5" t="s">
        <v>8262</v>
      </c>
      <c r="N650" s="5">
        <v>18299.0</v>
      </c>
      <c r="O650" s="5">
        <v>20625.0</v>
      </c>
      <c r="P650" s="5">
        <v>48.0</v>
      </c>
      <c r="Q650" s="8">
        <f t="shared" si="25"/>
        <v>8783.52</v>
      </c>
    </row>
    <row r="651">
      <c r="A651" s="591">
        <v>45358.0</v>
      </c>
      <c r="B651" s="5" t="s">
        <v>9669</v>
      </c>
      <c r="C651" s="5" t="s">
        <v>9670</v>
      </c>
      <c r="D651" s="5" t="s">
        <v>9671</v>
      </c>
      <c r="E651" s="31"/>
      <c r="F651" s="516"/>
      <c r="G651" s="31"/>
      <c r="H651" s="31"/>
      <c r="I651" s="164">
        <v>45695.0</v>
      </c>
      <c r="J651" s="5" t="s">
        <v>1419</v>
      </c>
      <c r="K651" s="5" t="s">
        <v>49</v>
      </c>
      <c r="L651" s="5" t="s">
        <v>3977</v>
      </c>
      <c r="M651" s="5" t="s">
        <v>8262</v>
      </c>
      <c r="N651" s="5">
        <v>16256.0</v>
      </c>
      <c r="O651" s="5">
        <v>19182.0</v>
      </c>
      <c r="P651" s="5">
        <v>27.0</v>
      </c>
      <c r="Q651" s="8">
        <f t="shared" si="25"/>
        <v>4389.12</v>
      </c>
    </row>
    <row r="652">
      <c r="A652" s="126"/>
      <c r="F652" s="236"/>
    </row>
    <row r="653">
      <c r="A653" s="126"/>
      <c r="F653" s="236"/>
    </row>
    <row r="654">
      <c r="A654" s="87">
        <v>45389.0</v>
      </c>
      <c r="B654" s="8" t="s">
        <v>9672</v>
      </c>
      <c r="C654" s="8" t="s">
        <v>1432</v>
      </c>
      <c r="D654" s="8" t="s">
        <v>9673</v>
      </c>
      <c r="E654" s="8" t="s">
        <v>9674</v>
      </c>
      <c r="F654" s="8">
        <v>9.023288218E9</v>
      </c>
      <c r="G654" s="8"/>
      <c r="H654" s="21">
        <v>672.0</v>
      </c>
      <c r="I654" s="22">
        <v>45784.0</v>
      </c>
      <c r="J654" s="8" t="s">
        <v>4916</v>
      </c>
      <c r="K654" s="8" t="s">
        <v>49</v>
      </c>
      <c r="L654" s="8" t="s">
        <v>1616</v>
      </c>
      <c r="M654" s="8" t="s">
        <v>28</v>
      </c>
      <c r="N654" s="21">
        <v>6413.0</v>
      </c>
      <c r="O654" s="21">
        <v>7567.34</v>
      </c>
      <c r="P654" s="5">
        <v>55.0</v>
      </c>
      <c r="Q654" s="8">
        <f t="shared" ref="Q654:Q679" si="26">N654*P654%</f>
        <v>3527.15</v>
      </c>
    </row>
    <row r="655">
      <c r="A655" s="87">
        <v>45419.0</v>
      </c>
      <c r="B655" s="8" t="s">
        <v>9675</v>
      </c>
      <c r="C655" s="8" t="s">
        <v>1432</v>
      </c>
      <c r="D655" s="8" t="s">
        <v>9190</v>
      </c>
      <c r="E655" s="8" t="s">
        <v>9676</v>
      </c>
      <c r="F655" s="8">
        <v>9.099369398E9</v>
      </c>
      <c r="G655" s="8"/>
      <c r="H655" s="21">
        <v>236.0</v>
      </c>
      <c r="I655" s="21" t="s">
        <v>4438</v>
      </c>
      <c r="J655" s="8" t="s">
        <v>1424</v>
      </c>
      <c r="K655" s="8" t="s">
        <v>49</v>
      </c>
      <c r="L655" s="8" t="s">
        <v>1616</v>
      </c>
      <c r="M655" s="8" t="s">
        <v>8262</v>
      </c>
      <c r="N655" s="21">
        <v>6557.0</v>
      </c>
      <c r="O655" s="21">
        <v>7737.0</v>
      </c>
      <c r="P655" s="5">
        <v>52.0</v>
      </c>
      <c r="Q655" s="8">
        <f t="shared" si="26"/>
        <v>3409.64</v>
      </c>
    </row>
    <row r="656">
      <c r="A656" s="87">
        <v>45419.0</v>
      </c>
      <c r="B656" s="160" t="s">
        <v>4578</v>
      </c>
      <c r="C656" s="8" t="s">
        <v>21</v>
      </c>
      <c r="D656" s="8" t="s">
        <v>9677</v>
      </c>
      <c r="E656" s="8" t="s">
        <v>9678</v>
      </c>
      <c r="F656" s="8">
        <v>9.099369398E9</v>
      </c>
      <c r="G656" s="8"/>
      <c r="H656" s="21">
        <v>12990.0</v>
      </c>
      <c r="I656" s="22">
        <v>45784.0</v>
      </c>
      <c r="J656" s="8" t="s">
        <v>78</v>
      </c>
      <c r="K656" s="8" t="s">
        <v>49</v>
      </c>
      <c r="L656" s="8" t="s">
        <v>71</v>
      </c>
      <c r="M656" s="8" t="s">
        <v>8262</v>
      </c>
      <c r="N656" s="21">
        <v>37245.0</v>
      </c>
      <c r="O656" s="21">
        <v>41831.0</v>
      </c>
      <c r="P656" s="5">
        <v>24.0</v>
      </c>
      <c r="Q656" s="8">
        <f t="shared" si="26"/>
        <v>8938.8</v>
      </c>
    </row>
    <row r="657">
      <c r="A657" s="87">
        <v>45419.0</v>
      </c>
      <c r="B657" s="160" t="s">
        <v>7334</v>
      </c>
      <c r="C657" s="8" t="s">
        <v>1395</v>
      </c>
      <c r="D657" s="8" t="s">
        <v>1007</v>
      </c>
      <c r="E657" s="8" t="s">
        <v>9679</v>
      </c>
      <c r="F657" s="8">
        <v>9.104577244E9</v>
      </c>
      <c r="G657" s="8"/>
      <c r="H657" s="21">
        <v>2620.0</v>
      </c>
      <c r="I657" s="22">
        <v>45815.0</v>
      </c>
      <c r="J657" s="8" t="s">
        <v>116</v>
      </c>
      <c r="K657" s="8" t="s">
        <v>49</v>
      </c>
      <c r="L657" s="8" t="s">
        <v>71</v>
      </c>
      <c r="M657" s="8" t="s">
        <v>8262</v>
      </c>
      <c r="N657" s="97">
        <v>16861.0</v>
      </c>
      <c r="O657" s="97">
        <v>18927.0</v>
      </c>
      <c r="P657" s="5">
        <v>50.0</v>
      </c>
      <c r="Q657" s="8">
        <f t="shared" si="26"/>
        <v>8430.5</v>
      </c>
    </row>
    <row r="658">
      <c r="A658" s="87">
        <v>45419.0</v>
      </c>
      <c r="B658" s="8" t="s">
        <v>9680</v>
      </c>
      <c r="C658" s="8" t="s">
        <v>1432</v>
      </c>
      <c r="D658" s="8" t="s">
        <v>9151</v>
      </c>
      <c r="E658" s="8" t="s">
        <v>9681</v>
      </c>
      <c r="F658" s="8">
        <v>9.879672145E9</v>
      </c>
      <c r="G658" s="8"/>
      <c r="H658" s="21">
        <v>236.0</v>
      </c>
      <c r="I658" s="22">
        <v>45784.0</v>
      </c>
      <c r="J658" s="8" t="s">
        <v>1424</v>
      </c>
      <c r="K658" s="8" t="s">
        <v>49</v>
      </c>
      <c r="L658" s="8" t="s">
        <v>27</v>
      </c>
      <c r="M658" s="8" t="s">
        <v>8262</v>
      </c>
      <c r="N658" s="21">
        <v>6739.0</v>
      </c>
      <c r="O658" s="21">
        <v>7951.0</v>
      </c>
      <c r="P658" s="5">
        <v>52.0</v>
      </c>
      <c r="Q658" s="8">
        <f t="shared" si="26"/>
        <v>3504.28</v>
      </c>
    </row>
    <row r="659">
      <c r="A659" s="87">
        <v>45450.0</v>
      </c>
      <c r="B659" s="8" t="s">
        <v>9682</v>
      </c>
      <c r="C659" s="8" t="s">
        <v>1395</v>
      </c>
      <c r="D659" s="8" t="s">
        <v>9683</v>
      </c>
      <c r="E659" s="8" t="s">
        <v>9684</v>
      </c>
      <c r="F659" s="8">
        <v>9.909202914E9</v>
      </c>
      <c r="G659" s="8"/>
      <c r="H659" s="21">
        <v>1550.0</v>
      </c>
      <c r="I659" s="22">
        <v>45784.0</v>
      </c>
      <c r="J659" s="86" t="s">
        <v>70</v>
      </c>
      <c r="K659" s="8" t="s">
        <v>49</v>
      </c>
      <c r="L659" s="8" t="s">
        <v>27</v>
      </c>
      <c r="M659" s="8" t="s">
        <v>8262</v>
      </c>
      <c r="N659" s="97">
        <v>17538.0</v>
      </c>
      <c r="O659" s="97">
        <v>19732.0</v>
      </c>
      <c r="P659" s="5">
        <v>57.0</v>
      </c>
      <c r="Q659" s="8">
        <f t="shared" si="26"/>
        <v>9996.66</v>
      </c>
    </row>
    <row r="660">
      <c r="A660" s="87">
        <v>45450.0</v>
      </c>
      <c r="B660" s="160" t="s">
        <v>7394</v>
      </c>
      <c r="C660" s="8" t="s">
        <v>1395</v>
      </c>
      <c r="D660" s="8" t="s">
        <v>2087</v>
      </c>
      <c r="E660" s="8" t="s">
        <v>9685</v>
      </c>
      <c r="F660" s="8">
        <v>9.978294699E9</v>
      </c>
      <c r="G660" s="8"/>
      <c r="H660" s="21">
        <v>2995.0</v>
      </c>
      <c r="I660" s="21" t="s">
        <v>4481</v>
      </c>
      <c r="J660" s="8" t="s">
        <v>116</v>
      </c>
      <c r="K660" s="8" t="s">
        <v>49</v>
      </c>
      <c r="L660" s="8" t="s">
        <v>71</v>
      </c>
      <c r="M660" s="8" t="s">
        <v>8262</v>
      </c>
      <c r="N660" s="97">
        <v>20861.0</v>
      </c>
      <c r="O660" s="97">
        <v>23649.0</v>
      </c>
      <c r="P660" s="5">
        <v>50.0</v>
      </c>
      <c r="Q660" s="8">
        <f t="shared" si="26"/>
        <v>10430.5</v>
      </c>
    </row>
    <row r="661">
      <c r="A661" s="87">
        <v>45450.0</v>
      </c>
      <c r="B661" s="160" t="s">
        <v>4393</v>
      </c>
      <c r="C661" s="8" t="s">
        <v>1395</v>
      </c>
      <c r="D661" s="8" t="s">
        <v>524</v>
      </c>
      <c r="E661" s="8" t="s">
        <v>9686</v>
      </c>
      <c r="F661" s="8">
        <v>9.687761477E9</v>
      </c>
      <c r="G661" s="8"/>
      <c r="H661" s="21">
        <v>3490.0</v>
      </c>
      <c r="I661" s="22">
        <v>45845.0</v>
      </c>
      <c r="J661" s="8" t="s">
        <v>116</v>
      </c>
      <c r="K661" s="8" t="s">
        <v>49</v>
      </c>
      <c r="L661" s="8" t="s">
        <v>71</v>
      </c>
      <c r="M661" s="8" t="s">
        <v>8262</v>
      </c>
      <c r="N661" s="97">
        <v>19081.0</v>
      </c>
      <c r="O661" s="97">
        <v>21547.0</v>
      </c>
      <c r="P661" s="5">
        <v>50.0</v>
      </c>
      <c r="Q661" s="8">
        <f t="shared" si="26"/>
        <v>9540.5</v>
      </c>
    </row>
    <row r="662">
      <c r="A662" s="87">
        <v>45450.0</v>
      </c>
      <c r="B662" s="8" t="s">
        <v>4407</v>
      </c>
      <c r="C662" s="8" t="s">
        <v>21</v>
      </c>
      <c r="D662" s="8" t="s">
        <v>9687</v>
      </c>
      <c r="E662" s="8" t="s">
        <v>9688</v>
      </c>
      <c r="F662" s="8">
        <v>9.978460453E9</v>
      </c>
      <c r="G662" s="8"/>
      <c r="H662" s="21">
        <v>5300.0</v>
      </c>
      <c r="I662" s="22">
        <v>45815.0</v>
      </c>
      <c r="J662" s="8" t="s">
        <v>1419</v>
      </c>
      <c r="K662" s="8" t="s">
        <v>26</v>
      </c>
      <c r="L662" s="8" t="s">
        <v>27</v>
      </c>
      <c r="M662" s="8" t="s">
        <v>8262</v>
      </c>
      <c r="N662" s="21">
        <v>16524.0</v>
      </c>
      <c r="O662" s="21">
        <v>18536.0</v>
      </c>
      <c r="P662" s="5">
        <v>43.0</v>
      </c>
      <c r="Q662" s="8">
        <f t="shared" si="26"/>
        <v>7105.32</v>
      </c>
    </row>
    <row r="663">
      <c r="A663" s="87">
        <v>45480.0</v>
      </c>
      <c r="B663" s="8" t="s">
        <v>9689</v>
      </c>
      <c r="C663" s="8" t="s">
        <v>533</v>
      </c>
      <c r="D663" s="8" t="s">
        <v>9690</v>
      </c>
      <c r="E663" s="8" t="s">
        <v>9691</v>
      </c>
      <c r="F663" s="8">
        <v>9.979842105E9</v>
      </c>
      <c r="G663" s="8"/>
      <c r="H663" s="8"/>
      <c r="I663" s="22">
        <v>45815.0</v>
      </c>
      <c r="J663" s="8" t="s">
        <v>1424</v>
      </c>
      <c r="K663" s="8" t="s">
        <v>26</v>
      </c>
      <c r="L663" s="8" t="s">
        <v>27</v>
      </c>
      <c r="M663" s="8" t="s">
        <v>8262</v>
      </c>
      <c r="N663" s="21">
        <v>7317.0</v>
      </c>
      <c r="O663" s="21">
        <v>8635.0</v>
      </c>
      <c r="P663" s="5">
        <v>30.0</v>
      </c>
      <c r="Q663" s="8">
        <f t="shared" si="26"/>
        <v>2195.1</v>
      </c>
    </row>
    <row r="664">
      <c r="A664" s="87">
        <v>45511.0</v>
      </c>
      <c r="B664" s="160" t="s">
        <v>7335</v>
      </c>
      <c r="C664" s="8" t="s">
        <v>1395</v>
      </c>
      <c r="D664" s="8" t="s">
        <v>9125</v>
      </c>
      <c r="E664" s="8" t="s">
        <v>9692</v>
      </c>
      <c r="F664" s="8">
        <v>7.265999353E9</v>
      </c>
      <c r="G664" s="8"/>
      <c r="H664" s="21">
        <v>2545.0</v>
      </c>
      <c r="I664" s="22">
        <v>45876.0</v>
      </c>
      <c r="J664" s="8" t="s">
        <v>1424</v>
      </c>
      <c r="K664" s="8" t="s">
        <v>49</v>
      </c>
      <c r="L664" s="8" t="s">
        <v>71</v>
      </c>
      <c r="M664" s="8" t="s">
        <v>28</v>
      </c>
      <c r="N664" s="21">
        <v>18420.0</v>
      </c>
      <c r="O664" s="21">
        <v>20772.0</v>
      </c>
      <c r="P664" s="5">
        <v>52.0</v>
      </c>
      <c r="Q664" s="8">
        <f t="shared" si="26"/>
        <v>9578.4</v>
      </c>
    </row>
    <row r="665">
      <c r="A665" s="87">
        <v>45511.0</v>
      </c>
      <c r="B665" s="160" t="s">
        <v>4386</v>
      </c>
      <c r="C665" s="8" t="s">
        <v>1395</v>
      </c>
      <c r="D665" s="8" t="s">
        <v>9693</v>
      </c>
      <c r="E665" s="8" t="s">
        <v>9694</v>
      </c>
      <c r="F665" s="8">
        <v>9.89899104E9</v>
      </c>
      <c r="G665" s="8"/>
      <c r="H665" s="21">
        <v>2880.0</v>
      </c>
      <c r="I665" s="22">
        <v>45845.0</v>
      </c>
      <c r="J665" s="8" t="s">
        <v>116</v>
      </c>
      <c r="K665" s="8" t="s">
        <v>49</v>
      </c>
      <c r="L665" s="8" t="s">
        <v>71</v>
      </c>
      <c r="M665" s="8" t="s">
        <v>28</v>
      </c>
      <c r="N665" s="97">
        <v>17429.0</v>
      </c>
      <c r="O665" s="97">
        <v>19598.0</v>
      </c>
      <c r="P665" s="5">
        <v>50.0</v>
      </c>
      <c r="Q665" s="8">
        <f t="shared" si="26"/>
        <v>8714.5</v>
      </c>
    </row>
    <row r="666">
      <c r="A666" s="87">
        <v>45511.0</v>
      </c>
      <c r="B666" s="160" t="s">
        <v>9695</v>
      </c>
      <c r="C666" s="8" t="s">
        <v>1395</v>
      </c>
      <c r="D666" s="8" t="s">
        <v>2154</v>
      </c>
      <c r="E666" s="8" t="s">
        <v>9696</v>
      </c>
      <c r="F666" s="8">
        <v>9.925984887E9</v>
      </c>
      <c r="G666" s="8"/>
      <c r="H666" s="21">
        <v>2670.0</v>
      </c>
      <c r="I666" s="21" t="s">
        <v>9697</v>
      </c>
      <c r="J666" s="8" t="s">
        <v>1424</v>
      </c>
      <c r="K666" s="8" t="s">
        <v>49</v>
      </c>
      <c r="L666" s="8" t="s">
        <v>71</v>
      </c>
      <c r="M666" s="8" t="s">
        <v>28</v>
      </c>
      <c r="N666" s="21">
        <v>17930.0</v>
      </c>
      <c r="O666" s="21">
        <v>20194.0</v>
      </c>
      <c r="P666" s="5">
        <v>52.0</v>
      </c>
      <c r="Q666" s="8">
        <f t="shared" si="26"/>
        <v>9323.6</v>
      </c>
    </row>
    <row r="667">
      <c r="A667" s="87">
        <v>45572.0</v>
      </c>
      <c r="B667" s="8" t="s">
        <v>9698</v>
      </c>
      <c r="C667" s="8" t="s">
        <v>533</v>
      </c>
      <c r="D667" s="8" t="s">
        <v>3035</v>
      </c>
      <c r="E667" s="8" t="s">
        <v>9699</v>
      </c>
      <c r="F667" s="8">
        <v>9.904573879E9</v>
      </c>
      <c r="G667" s="8"/>
      <c r="H667" s="21">
        <v>2520.0</v>
      </c>
      <c r="I667" s="22">
        <v>45907.0</v>
      </c>
      <c r="J667" s="8" t="s">
        <v>4916</v>
      </c>
      <c r="K667" s="8" t="s">
        <v>26</v>
      </c>
      <c r="L667" s="8" t="s">
        <v>27</v>
      </c>
      <c r="M667" s="8" t="s">
        <v>28</v>
      </c>
      <c r="N667" s="21">
        <v>7317.0</v>
      </c>
      <c r="O667" s="21">
        <v>8634.0</v>
      </c>
      <c r="P667" s="5">
        <v>42.0</v>
      </c>
      <c r="Q667" s="8">
        <f t="shared" si="26"/>
        <v>3073.14</v>
      </c>
    </row>
    <row r="668">
      <c r="A668" s="87">
        <v>45572.0</v>
      </c>
      <c r="B668" s="8" t="s">
        <v>4410</v>
      </c>
      <c r="C668" s="8" t="s">
        <v>1395</v>
      </c>
      <c r="D668" s="8" t="s">
        <v>902</v>
      </c>
      <c r="E668" s="8" t="s">
        <v>4412</v>
      </c>
      <c r="F668" s="8">
        <v>9.429099222E9</v>
      </c>
      <c r="G668" s="8"/>
      <c r="H668" s="21">
        <v>2960.0</v>
      </c>
      <c r="I668" s="22">
        <v>45968.0</v>
      </c>
      <c r="J668" s="8" t="s">
        <v>116</v>
      </c>
      <c r="K668" s="8" t="s">
        <v>49</v>
      </c>
      <c r="L668" s="8" t="s">
        <v>3028</v>
      </c>
      <c r="M668" s="8" t="s">
        <v>28</v>
      </c>
      <c r="N668" s="97">
        <v>16963.0</v>
      </c>
      <c r="O668" s="97">
        <v>19047.0</v>
      </c>
      <c r="P668" s="5">
        <v>50.0</v>
      </c>
      <c r="Q668" s="8">
        <f t="shared" si="26"/>
        <v>8481.5</v>
      </c>
    </row>
    <row r="669">
      <c r="A669" s="87">
        <v>45572.0</v>
      </c>
      <c r="B669" s="8" t="s">
        <v>9700</v>
      </c>
      <c r="C669" s="8" t="s">
        <v>1395</v>
      </c>
      <c r="D669" s="8" t="s">
        <v>1303</v>
      </c>
      <c r="E669" s="8" t="s">
        <v>9701</v>
      </c>
      <c r="F669" s="8">
        <v>9.727046299E9</v>
      </c>
      <c r="G669" s="8"/>
      <c r="H669" s="21">
        <v>2825.0</v>
      </c>
      <c r="I669" s="22">
        <v>45968.0</v>
      </c>
      <c r="J669" s="8" t="s">
        <v>116</v>
      </c>
      <c r="K669" s="8" t="s">
        <v>49</v>
      </c>
      <c r="L669" s="8" t="s">
        <v>3028</v>
      </c>
      <c r="M669" s="8" t="s">
        <v>28</v>
      </c>
      <c r="N669" s="97">
        <v>20952.0</v>
      </c>
      <c r="O669" s="97">
        <v>23756.0</v>
      </c>
      <c r="P669" s="5">
        <v>50.0</v>
      </c>
      <c r="Q669" s="8">
        <f t="shared" si="26"/>
        <v>10476</v>
      </c>
    </row>
    <row r="670">
      <c r="A670" s="87">
        <v>45572.0</v>
      </c>
      <c r="B670" s="160" t="s">
        <v>7337</v>
      </c>
      <c r="C670" s="8" t="s">
        <v>1395</v>
      </c>
      <c r="D670" s="8" t="s">
        <v>9702</v>
      </c>
      <c r="E670" s="8" t="s">
        <v>9703</v>
      </c>
      <c r="F670" s="8">
        <v>8.000074745E9</v>
      </c>
      <c r="G670" s="8"/>
      <c r="H670" s="21">
        <v>2700.0</v>
      </c>
      <c r="I670" s="22">
        <v>45876.0</v>
      </c>
      <c r="J670" s="8" t="s">
        <v>1424</v>
      </c>
      <c r="K670" s="8" t="s">
        <v>49</v>
      </c>
      <c r="L670" s="8" t="s">
        <v>71</v>
      </c>
      <c r="M670" s="8" t="s">
        <v>28</v>
      </c>
      <c r="N670" s="21">
        <v>20139.0</v>
      </c>
      <c r="O670" s="21">
        <v>22801.0</v>
      </c>
      <c r="P670" s="5">
        <v>52.0</v>
      </c>
      <c r="Q670" s="8">
        <f t="shared" si="26"/>
        <v>10472.28</v>
      </c>
    </row>
    <row r="671">
      <c r="A671" s="87">
        <v>45603.0</v>
      </c>
      <c r="B671" s="8" t="s">
        <v>9704</v>
      </c>
      <c r="C671" s="86" t="s">
        <v>75</v>
      </c>
      <c r="D671" s="8" t="s">
        <v>1506</v>
      </c>
      <c r="E671" s="8" t="s">
        <v>9705</v>
      </c>
      <c r="F671" s="8">
        <v>7.09695915E9</v>
      </c>
      <c r="G671" s="8"/>
      <c r="H671" s="21">
        <v>990.0</v>
      </c>
      <c r="I671" s="22">
        <v>45937.0</v>
      </c>
      <c r="J671" s="8" t="s">
        <v>1419</v>
      </c>
      <c r="K671" s="8" t="s">
        <v>49</v>
      </c>
      <c r="L671" s="8" t="s">
        <v>1616</v>
      </c>
      <c r="M671" s="8" t="s">
        <v>28</v>
      </c>
      <c r="N671" s="21">
        <v>5583.0</v>
      </c>
      <c r="O671" s="21">
        <v>6321.0</v>
      </c>
      <c r="P671" s="5">
        <v>52.0</v>
      </c>
      <c r="Q671" s="8">
        <f t="shared" si="26"/>
        <v>2903.16</v>
      </c>
    </row>
    <row r="672">
      <c r="A672" s="87">
        <v>45603.0</v>
      </c>
      <c r="B672" s="8" t="s">
        <v>9706</v>
      </c>
      <c r="C672" s="8" t="s">
        <v>533</v>
      </c>
      <c r="D672" s="8" t="s">
        <v>3035</v>
      </c>
      <c r="E672" s="8" t="s">
        <v>9707</v>
      </c>
      <c r="F672" s="8">
        <v>9.825839604E9</v>
      </c>
      <c r="G672" s="8"/>
      <c r="H672" s="21">
        <v>2520.0</v>
      </c>
      <c r="I672" s="22">
        <v>45937.0</v>
      </c>
      <c r="J672" s="8" t="s">
        <v>4916</v>
      </c>
      <c r="K672" s="8" t="s">
        <v>26</v>
      </c>
      <c r="L672" s="8" t="s">
        <v>27</v>
      </c>
      <c r="M672" s="8" t="s">
        <v>28</v>
      </c>
      <c r="N672" s="21">
        <v>7317.0</v>
      </c>
      <c r="O672" s="21">
        <v>8634.0</v>
      </c>
      <c r="P672" s="5">
        <v>42.0</v>
      </c>
      <c r="Q672" s="8">
        <f t="shared" si="26"/>
        <v>3073.14</v>
      </c>
    </row>
    <row r="673">
      <c r="A673" s="87">
        <v>45603.0</v>
      </c>
      <c r="B673" s="8" t="s">
        <v>9708</v>
      </c>
      <c r="C673" s="8" t="s">
        <v>1395</v>
      </c>
      <c r="D673" s="8" t="s">
        <v>7909</v>
      </c>
      <c r="E673" s="8" t="s">
        <v>9709</v>
      </c>
      <c r="F673" s="8">
        <v>9.26521663E9</v>
      </c>
      <c r="G673" s="8"/>
      <c r="H673" s="21">
        <v>2500.0</v>
      </c>
      <c r="I673" s="22">
        <v>45937.0</v>
      </c>
      <c r="J673" s="8" t="s">
        <v>4916</v>
      </c>
      <c r="K673" s="8" t="s">
        <v>26</v>
      </c>
      <c r="L673" s="8" t="s">
        <v>1436</v>
      </c>
      <c r="M673" s="8" t="s">
        <v>28</v>
      </c>
      <c r="N673" s="21">
        <v>16479.0</v>
      </c>
      <c r="O673" s="21">
        <v>18482.0</v>
      </c>
      <c r="P673" s="5">
        <v>57.0</v>
      </c>
      <c r="Q673" s="8">
        <f t="shared" si="26"/>
        <v>9393.03</v>
      </c>
    </row>
    <row r="674">
      <c r="A674" s="87">
        <v>45603.0</v>
      </c>
      <c r="B674" s="8" t="s">
        <v>4507</v>
      </c>
      <c r="C674" s="8" t="s">
        <v>1395</v>
      </c>
      <c r="D674" s="8" t="s">
        <v>2116</v>
      </c>
      <c r="E674" s="8" t="s">
        <v>9710</v>
      </c>
      <c r="F674" s="8"/>
      <c r="G674" s="8"/>
      <c r="H674" s="21">
        <v>1600.0</v>
      </c>
      <c r="I674" s="21" t="s">
        <v>4496</v>
      </c>
      <c r="J674" s="8" t="s">
        <v>1424</v>
      </c>
      <c r="K674" s="8" t="s">
        <v>49</v>
      </c>
      <c r="L674" s="8" t="s">
        <v>71</v>
      </c>
      <c r="M674" s="8" t="s">
        <v>28</v>
      </c>
      <c r="N674" s="21">
        <v>18880.0</v>
      </c>
      <c r="O674" s="21">
        <v>21316.0</v>
      </c>
      <c r="P674" s="5">
        <v>52.0</v>
      </c>
      <c r="Q674" s="8">
        <f t="shared" si="26"/>
        <v>9817.6</v>
      </c>
    </row>
    <row r="675">
      <c r="A675" s="87">
        <v>45603.0</v>
      </c>
      <c r="B675" s="8" t="s">
        <v>4413</v>
      </c>
      <c r="C675" s="8" t="s">
        <v>1395</v>
      </c>
      <c r="D675" s="8" t="s">
        <v>9099</v>
      </c>
      <c r="E675" s="8" t="s">
        <v>9711</v>
      </c>
      <c r="F675" s="8"/>
      <c r="G675" s="8"/>
      <c r="H675" s="21">
        <v>2990.0</v>
      </c>
      <c r="I675" s="22">
        <v>45968.0</v>
      </c>
      <c r="J675" s="8" t="s">
        <v>116</v>
      </c>
      <c r="K675" s="8" t="s">
        <v>49</v>
      </c>
      <c r="L675" s="8" t="s">
        <v>71</v>
      </c>
      <c r="M675" s="8" t="s">
        <v>28</v>
      </c>
      <c r="N675" s="96">
        <v>18490.0</v>
      </c>
      <c r="O675" s="96">
        <v>20850.0</v>
      </c>
      <c r="P675" s="5">
        <v>50.0</v>
      </c>
      <c r="Q675" s="8">
        <f t="shared" si="26"/>
        <v>9245</v>
      </c>
    </row>
    <row r="676">
      <c r="A676" s="87">
        <v>45358.0</v>
      </c>
      <c r="B676" s="8" t="s">
        <v>3488</v>
      </c>
      <c r="C676" s="592" t="s">
        <v>4398</v>
      </c>
      <c r="D676" s="8" t="s">
        <v>9712</v>
      </c>
      <c r="E676" s="8" t="s">
        <v>9713</v>
      </c>
      <c r="F676" s="8">
        <v>9.978553553E9</v>
      </c>
      <c r="G676" s="8"/>
      <c r="H676" s="21">
        <v>7490.0</v>
      </c>
      <c r="I676" s="22">
        <v>45695.0</v>
      </c>
      <c r="J676" s="8" t="s">
        <v>4916</v>
      </c>
      <c r="K676" s="8" t="s">
        <v>49</v>
      </c>
      <c r="L676" s="8" t="s">
        <v>27</v>
      </c>
      <c r="M676" s="8" t="s">
        <v>8262</v>
      </c>
      <c r="N676" s="21">
        <v>53004.42</v>
      </c>
      <c r="O676" s="21">
        <v>62545.22</v>
      </c>
      <c r="P676" s="86">
        <v>70.0</v>
      </c>
      <c r="Q676" s="8">
        <f t="shared" si="26"/>
        <v>37103.094</v>
      </c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</row>
    <row r="677">
      <c r="A677" s="87">
        <v>45603.0</v>
      </c>
      <c r="B677" s="8" t="s">
        <v>3488</v>
      </c>
      <c r="C677" s="8" t="s">
        <v>4398</v>
      </c>
      <c r="D677" s="8" t="s">
        <v>9712</v>
      </c>
      <c r="E677" s="8" t="s">
        <v>9713</v>
      </c>
      <c r="F677" s="8">
        <v>9.978553553E9</v>
      </c>
      <c r="G677" s="8"/>
      <c r="H677" s="8">
        <v>7490.0</v>
      </c>
      <c r="I677" s="8">
        <v>45907.0</v>
      </c>
      <c r="J677" s="8" t="s">
        <v>4916</v>
      </c>
      <c r="K677" s="8" t="s">
        <v>49</v>
      </c>
      <c r="L677" s="8" t="s">
        <v>27</v>
      </c>
      <c r="M677" s="8" t="s">
        <v>8262</v>
      </c>
      <c r="N677" s="8">
        <v>53004.42</v>
      </c>
      <c r="O677" s="8">
        <v>62545.22</v>
      </c>
      <c r="P677" s="86">
        <v>70.0</v>
      </c>
      <c r="Q677" s="8">
        <f t="shared" si="26"/>
        <v>37103.094</v>
      </c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</row>
    <row r="678">
      <c r="A678" s="87">
        <v>45603.0</v>
      </c>
      <c r="B678" s="8" t="s">
        <v>9714</v>
      </c>
      <c r="C678" s="8" t="s">
        <v>1395</v>
      </c>
      <c r="D678" s="8" t="s">
        <v>4881</v>
      </c>
      <c r="E678" s="8"/>
      <c r="F678" s="8"/>
      <c r="G678" s="8"/>
      <c r="H678" s="8">
        <v>3460.0</v>
      </c>
      <c r="I678" s="21" t="s">
        <v>4583</v>
      </c>
      <c r="J678" s="8" t="s">
        <v>116</v>
      </c>
      <c r="K678" s="8" t="s">
        <v>49</v>
      </c>
      <c r="L678" s="8" t="s">
        <v>27</v>
      </c>
      <c r="M678" s="8" t="s">
        <v>28</v>
      </c>
      <c r="N678" s="8">
        <v>23064.0</v>
      </c>
      <c r="O678" s="8">
        <v>26248.0</v>
      </c>
      <c r="P678" s="86">
        <v>50.0</v>
      </c>
      <c r="Q678" s="8">
        <f t="shared" si="26"/>
        <v>11532</v>
      </c>
    </row>
    <row r="679">
      <c r="A679" s="87">
        <v>45603.0</v>
      </c>
      <c r="B679" s="5" t="s">
        <v>7344</v>
      </c>
      <c r="C679" s="5" t="s">
        <v>1759</v>
      </c>
      <c r="D679" s="5" t="s">
        <v>9715</v>
      </c>
      <c r="E679" s="31"/>
      <c r="F679" s="516"/>
      <c r="G679" s="31"/>
      <c r="H679" s="31"/>
      <c r="I679" s="5" t="s">
        <v>4531</v>
      </c>
      <c r="J679" s="5" t="s">
        <v>4916</v>
      </c>
      <c r="K679" s="5" t="s">
        <v>49</v>
      </c>
      <c r="L679" s="5" t="s">
        <v>71</v>
      </c>
      <c r="M679" s="5" t="s">
        <v>28</v>
      </c>
      <c r="N679" s="5">
        <v>6083.0</v>
      </c>
      <c r="O679" s="5">
        <v>7177.0</v>
      </c>
      <c r="P679" s="5">
        <v>55.0</v>
      </c>
      <c r="Q679" s="8">
        <f t="shared" si="26"/>
        <v>3345.65</v>
      </c>
    </row>
    <row r="680">
      <c r="A680" s="126"/>
      <c r="F680" s="236"/>
      <c r="Q680" s="58"/>
    </row>
    <row r="681">
      <c r="A681" s="126"/>
      <c r="F681" s="236"/>
    </row>
    <row r="682">
      <c r="A682" s="87">
        <v>45633.0</v>
      </c>
      <c r="B682" s="8" t="s">
        <v>9716</v>
      </c>
      <c r="C682" s="8" t="s">
        <v>21</v>
      </c>
      <c r="D682" s="8" t="s">
        <v>9037</v>
      </c>
      <c r="E682" s="8" t="s">
        <v>9717</v>
      </c>
      <c r="F682" s="8">
        <v>9.879229176E9</v>
      </c>
      <c r="G682" s="8"/>
      <c r="H682" s="21">
        <v>25000.0</v>
      </c>
      <c r="I682" s="22">
        <v>45937.0</v>
      </c>
      <c r="J682" s="86" t="s">
        <v>70</v>
      </c>
      <c r="K682" s="8" t="s">
        <v>49</v>
      </c>
      <c r="L682" s="8" t="s">
        <v>27</v>
      </c>
      <c r="M682" s="8" t="s">
        <v>28</v>
      </c>
      <c r="N682" s="97">
        <v>46912.0</v>
      </c>
      <c r="O682" s="97">
        <v>52719.0</v>
      </c>
      <c r="P682" s="5">
        <v>23.0</v>
      </c>
      <c r="Q682" s="8">
        <f t="shared" ref="Q682:Q707" si="27">N682*P682%</f>
        <v>10789.76</v>
      </c>
    </row>
    <row r="683">
      <c r="A683" s="100" t="s">
        <v>9718</v>
      </c>
      <c r="B683" s="8" t="s">
        <v>7355</v>
      </c>
      <c r="C683" s="8" t="s">
        <v>1395</v>
      </c>
      <c r="D683" s="8" t="s">
        <v>9702</v>
      </c>
      <c r="E683" s="8" t="s">
        <v>9719</v>
      </c>
      <c r="F683" s="8">
        <v>9.998070001E9</v>
      </c>
      <c r="G683" s="8"/>
      <c r="H683" s="21">
        <v>2700.0</v>
      </c>
      <c r="I683" s="21" t="s">
        <v>9697</v>
      </c>
      <c r="J683" s="8" t="s">
        <v>1424</v>
      </c>
      <c r="K683" s="8" t="s">
        <v>49</v>
      </c>
      <c r="L683" s="8" t="s">
        <v>71</v>
      </c>
      <c r="M683" s="8" t="s">
        <v>28</v>
      </c>
      <c r="N683" s="21">
        <v>17316.0</v>
      </c>
      <c r="O683" s="21">
        <v>19470.0</v>
      </c>
      <c r="P683" s="5">
        <v>52.0</v>
      </c>
      <c r="Q683" s="8">
        <f t="shared" si="27"/>
        <v>9004.32</v>
      </c>
    </row>
    <row r="684">
      <c r="A684" s="100" t="s">
        <v>9718</v>
      </c>
      <c r="B684" s="8" t="s">
        <v>9720</v>
      </c>
      <c r="C684" s="8" t="s">
        <v>1395</v>
      </c>
      <c r="D684" s="8" t="s">
        <v>9721</v>
      </c>
      <c r="E684" s="8" t="s">
        <v>9722</v>
      </c>
      <c r="F684" s="8">
        <v>8.238517047E9</v>
      </c>
      <c r="G684" s="8"/>
      <c r="H684" s="21">
        <v>1850.0</v>
      </c>
      <c r="I684" s="21" t="s">
        <v>4469</v>
      </c>
      <c r="J684" s="8" t="s">
        <v>1424</v>
      </c>
      <c r="K684" s="8" t="s">
        <v>49</v>
      </c>
      <c r="L684" s="8" t="s">
        <v>1436</v>
      </c>
      <c r="M684" s="8" t="s">
        <v>28</v>
      </c>
      <c r="N684" s="21">
        <v>19785.0</v>
      </c>
      <c r="O684" s="21">
        <v>22383.0</v>
      </c>
      <c r="P684" s="5">
        <v>52.0</v>
      </c>
      <c r="Q684" s="8">
        <f t="shared" si="27"/>
        <v>10288.2</v>
      </c>
    </row>
    <row r="685">
      <c r="A685" s="100" t="s">
        <v>9718</v>
      </c>
      <c r="B685" s="8" t="s">
        <v>9723</v>
      </c>
      <c r="C685" s="8" t="s">
        <v>21</v>
      </c>
      <c r="D685" s="8" t="s">
        <v>9724</v>
      </c>
      <c r="E685" s="8" t="s">
        <v>9725</v>
      </c>
      <c r="F685" s="8">
        <v>9.879175403E9</v>
      </c>
      <c r="G685" s="8"/>
      <c r="H685" s="21">
        <v>5300.0</v>
      </c>
      <c r="I685" s="21" t="s">
        <v>9697</v>
      </c>
      <c r="J685" s="8" t="s">
        <v>1419</v>
      </c>
      <c r="K685" s="8" t="s">
        <v>26</v>
      </c>
      <c r="L685" s="8" t="s">
        <v>27</v>
      </c>
      <c r="M685" s="8" t="s">
        <v>28</v>
      </c>
      <c r="N685" s="21">
        <v>16099.0</v>
      </c>
      <c r="O685" s="21">
        <v>18035.0</v>
      </c>
      <c r="P685" s="5">
        <v>43.0</v>
      </c>
      <c r="Q685" s="8">
        <f t="shared" si="27"/>
        <v>6922.57</v>
      </c>
    </row>
    <row r="686">
      <c r="A686" s="100" t="s">
        <v>9718</v>
      </c>
      <c r="B686" s="8" t="s">
        <v>9726</v>
      </c>
      <c r="C686" s="8" t="s">
        <v>1395</v>
      </c>
      <c r="D686" s="8" t="s">
        <v>9727</v>
      </c>
      <c r="E686" s="8" t="s">
        <v>9728</v>
      </c>
      <c r="F686" s="8">
        <v>9.974299402E9</v>
      </c>
      <c r="G686" s="8"/>
      <c r="H686" s="21">
        <v>3490.0</v>
      </c>
      <c r="I686" s="22">
        <v>45998.0</v>
      </c>
      <c r="J686" s="8" t="s">
        <v>116</v>
      </c>
      <c r="K686" s="8" t="s">
        <v>49</v>
      </c>
      <c r="L686" s="8" t="s">
        <v>219</v>
      </c>
      <c r="M686" s="8" t="s">
        <v>28</v>
      </c>
      <c r="N686" s="97">
        <v>22014.0</v>
      </c>
      <c r="O686" s="97">
        <v>25008.0</v>
      </c>
      <c r="P686" s="5">
        <v>50.0</v>
      </c>
      <c r="Q686" s="8">
        <f t="shared" si="27"/>
        <v>11007</v>
      </c>
    </row>
    <row r="687">
      <c r="A687" s="100" t="s">
        <v>9729</v>
      </c>
      <c r="B687" s="8" t="s">
        <v>4461</v>
      </c>
      <c r="C687" s="8" t="s">
        <v>21</v>
      </c>
      <c r="D687" s="8" t="s">
        <v>9730</v>
      </c>
      <c r="E687" s="8" t="s">
        <v>5136</v>
      </c>
      <c r="F687" s="8">
        <v>6.351000398E9</v>
      </c>
      <c r="G687" s="8"/>
      <c r="H687" s="21">
        <v>12990.0</v>
      </c>
      <c r="I687" s="21" t="s">
        <v>4438</v>
      </c>
      <c r="J687" s="86" t="s">
        <v>70</v>
      </c>
      <c r="K687" s="8" t="s">
        <v>49</v>
      </c>
      <c r="L687" s="8" t="s">
        <v>27</v>
      </c>
      <c r="M687" s="8" t="s">
        <v>28</v>
      </c>
      <c r="N687" s="97">
        <v>37111.0</v>
      </c>
      <c r="O687" s="97">
        <v>41672.0</v>
      </c>
      <c r="P687" s="5">
        <v>21.0</v>
      </c>
      <c r="Q687" s="8">
        <f t="shared" si="27"/>
        <v>7793.31</v>
      </c>
    </row>
    <row r="688">
      <c r="A688" s="100" t="s">
        <v>9731</v>
      </c>
      <c r="B688" s="8" t="s">
        <v>9732</v>
      </c>
      <c r="C688" s="8" t="s">
        <v>1395</v>
      </c>
      <c r="D688" s="8" t="s">
        <v>524</v>
      </c>
      <c r="E688" s="8" t="s">
        <v>9733</v>
      </c>
      <c r="F688" s="8">
        <v>8.128164008E9</v>
      </c>
      <c r="G688" s="8"/>
      <c r="H688" s="21">
        <v>3490.0</v>
      </c>
      <c r="I688" s="21" t="s">
        <v>4449</v>
      </c>
      <c r="J688" s="8" t="s">
        <v>116</v>
      </c>
      <c r="K688" s="8" t="s">
        <v>49</v>
      </c>
      <c r="L688" s="8" t="s">
        <v>3028</v>
      </c>
      <c r="M688" s="8" t="s">
        <v>28</v>
      </c>
      <c r="N688" s="97">
        <v>21188.0</v>
      </c>
      <c r="O688" s="97">
        <v>24032.0</v>
      </c>
      <c r="P688" s="5">
        <v>50.0</v>
      </c>
      <c r="Q688" s="8">
        <f t="shared" si="27"/>
        <v>10594</v>
      </c>
    </row>
    <row r="689">
      <c r="A689" s="100" t="s">
        <v>9731</v>
      </c>
      <c r="B689" s="8" t="s">
        <v>7369</v>
      </c>
      <c r="C689" s="8" t="s">
        <v>21</v>
      </c>
      <c r="D689" s="8" t="s">
        <v>9056</v>
      </c>
      <c r="E689" s="8" t="s">
        <v>9734</v>
      </c>
      <c r="F689" s="8">
        <v>9.727364709E9</v>
      </c>
      <c r="G689" s="8"/>
      <c r="H689" s="21">
        <v>35000.0</v>
      </c>
      <c r="I689" s="21" t="s">
        <v>4449</v>
      </c>
      <c r="J689" s="8" t="s">
        <v>78</v>
      </c>
      <c r="K689" s="8" t="s">
        <v>49</v>
      </c>
      <c r="L689" s="8" t="s">
        <v>71</v>
      </c>
      <c r="M689" s="8" t="s">
        <v>28</v>
      </c>
      <c r="N689" s="21">
        <v>81298.0</v>
      </c>
      <c r="O689" s="21">
        <v>93295.0</v>
      </c>
      <c r="P689" s="5">
        <v>24.0</v>
      </c>
      <c r="Q689" s="8">
        <f t="shared" si="27"/>
        <v>19511.52</v>
      </c>
    </row>
    <row r="690">
      <c r="A690" s="100" t="s">
        <v>9731</v>
      </c>
      <c r="B690" s="8" t="s">
        <v>9735</v>
      </c>
      <c r="C690" s="8" t="s">
        <v>21</v>
      </c>
      <c r="D690" s="8" t="s">
        <v>9736</v>
      </c>
      <c r="E690" s="8" t="s">
        <v>9737</v>
      </c>
      <c r="F690" s="8">
        <v>8.86674909E9</v>
      </c>
      <c r="G690" s="8"/>
      <c r="H690" s="21">
        <v>11950.0</v>
      </c>
      <c r="I690" s="21" t="s">
        <v>4449</v>
      </c>
      <c r="J690" s="8" t="s">
        <v>25</v>
      </c>
      <c r="K690" s="8" t="s">
        <v>49</v>
      </c>
      <c r="L690" s="8" t="s">
        <v>27</v>
      </c>
      <c r="M690" s="8" t="s">
        <v>28</v>
      </c>
      <c r="N690" s="97">
        <v>30824.0</v>
      </c>
      <c r="O690" s="97">
        <v>34741.0</v>
      </c>
      <c r="P690" s="5">
        <v>25.0</v>
      </c>
      <c r="Q690" s="8">
        <f t="shared" si="27"/>
        <v>7706</v>
      </c>
    </row>
    <row r="691">
      <c r="A691" s="100" t="s">
        <v>9731</v>
      </c>
      <c r="B691" s="8" t="s">
        <v>4465</v>
      </c>
      <c r="C691" s="8" t="s">
        <v>21</v>
      </c>
      <c r="D691" s="8" t="s">
        <v>9738</v>
      </c>
      <c r="E691" s="8" t="s">
        <v>9739</v>
      </c>
      <c r="F691" s="8">
        <v>9.97892069E9</v>
      </c>
      <c r="G691" s="8"/>
      <c r="H691" s="21">
        <v>28000.0</v>
      </c>
      <c r="I691" s="21" t="s">
        <v>9740</v>
      </c>
      <c r="J691" s="86" t="s">
        <v>70</v>
      </c>
      <c r="K691" s="8" t="s">
        <v>49</v>
      </c>
      <c r="L691" s="8" t="s">
        <v>71</v>
      </c>
      <c r="M691" s="8" t="s">
        <v>28</v>
      </c>
      <c r="N691" s="97">
        <v>46672.0</v>
      </c>
      <c r="O691" s="97">
        <v>52436.0</v>
      </c>
      <c r="P691" s="5">
        <v>23.0</v>
      </c>
      <c r="Q691" s="8">
        <f t="shared" si="27"/>
        <v>10734.56</v>
      </c>
    </row>
    <row r="692">
      <c r="A692" s="100" t="s">
        <v>9731</v>
      </c>
      <c r="B692" s="8" t="s">
        <v>9741</v>
      </c>
      <c r="C692" s="8" t="s">
        <v>21</v>
      </c>
      <c r="D692" s="8" t="s">
        <v>9742</v>
      </c>
      <c r="E692" s="8" t="s">
        <v>9743</v>
      </c>
      <c r="F692" s="8">
        <v>7.622018951E9</v>
      </c>
      <c r="G692" s="8"/>
      <c r="H692" s="21">
        <v>7490.0</v>
      </c>
      <c r="I692" s="21" t="s">
        <v>9744</v>
      </c>
      <c r="J692" s="8" t="s">
        <v>116</v>
      </c>
      <c r="K692" s="8" t="s">
        <v>49</v>
      </c>
      <c r="L692" s="8" t="s">
        <v>3028</v>
      </c>
      <c r="M692" s="8" t="s">
        <v>28</v>
      </c>
      <c r="N692" s="97">
        <v>25163.0</v>
      </c>
      <c r="O692" s="97">
        <v>28723.0</v>
      </c>
      <c r="P692" s="5">
        <v>30.0</v>
      </c>
      <c r="Q692" s="8">
        <f t="shared" si="27"/>
        <v>7548.9</v>
      </c>
    </row>
    <row r="693">
      <c r="A693" s="100" t="s">
        <v>9731</v>
      </c>
      <c r="B693" s="8" t="s">
        <v>7419</v>
      </c>
      <c r="C693" s="8" t="s">
        <v>1395</v>
      </c>
      <c r="D693" s="8" t="s">
        <v>2510</v>
      </c>
      <c r="E693" s="8" t="s">
        <v>9745</v>
      </c>
      <c r="F693" s="8">
        <v>7.069348777E9</v>
      </c>
      <c r="G693" s="8"/>
      <c r="H693" s="21">
        <v>1600.0</v>
      </c>
      <c r="I693" s="21" t="s">
        <v>4652</v>
      </c>
      <c r="J693" s="86" t="s">
        <v>70</v>
      </c>
      <c r="K693" s="8" t="s">
        <v>49</v>
      </c>
      <c r="L693" s="8" t="s">
        <v>71</v>
      </c>
      <c r="M693" s="8" t="s">
        <v>28</v>
      </c>
      <c r="N693" s="97">
        <v>17020.0</v>
      </c>
      <c r="O693" s="97">
        <v>19121.0</v>
      </c>
      <c r="P693" s="5">
        <v>57.0</v>
      </c>
      <c r="Q693" s="8">
        <f t="shared" si="27"/>
        <v>9701.4</v>
      </c>
    </row>
    <row r="694">
      <c r="A694" s="100" t="s">
        <v>9731</v>
      </c>
      <c r="B694" s="8" t="s">
        <v>8657</v>
      </c>
      <c r="C694" s="8" t="s">
        <v>21</v>
      </c>
      <c r="D694" s="8" t="s">
        <v>2218</v>
      </c>
      <c r="E694" s="8" t="s">
        <v>9746</v>
      </c>
      <c r="F694" s="8">
        <v>9.978648123E9</v>
      </c>
      <c r="G694" s="8"/>
      <c r="H694" s="96">
        <v>35000.0</v>
      </c>
      <c r="I694" s="21" t="s">
        <v>4469</v>
      </c>
      <c r="J694" s="8" t="s">
        <v>2562</v>
      </c>
      <c r="K694" s="8" t="s">
        <v>26</v>
      </c>
      <c r="L694" s="8" t="s">
        <v>27</v>
      </c>
      <c r="M694" s="8" t="s">
        <v>28</v>
      </c>
      <c r="N694" s="97">
        <v>44050.0</v>
      </c>
      <c r="O694" s="97">
        <v>49342.0</v>
      </c>
      <c r="P694" s="5">
        <v>43.0</v>
      </c>
      <c r="Q694" s="8">
        <f t="shared" si="27"/>
        <v>18941.5</v>
      </c>
    </row>
    <row r="695">
      <c r="A695" s="100" t="s">
        <v>9731</v>
      </c>
      <c r="B695" s="8" t="s">
        <v>9747</v>
      </c>
      <c r="C695" s="8" t="s">
        <v>1395</v>
      </c>
      <c r="D695" s="8" t="s">
        <v>1091</v>
      </c>
      <c r="E695" s="8" t="s">
        <v>9748</v>
      </c>
      <c r="F695" s="8">
        <v>7.984941517E9</v>
      </c>
      <c r="G695" s="8"/>
      <c r="H695" s="21">
        <v>3480.0</v>
      </c>
      <c r="I695" s="21" t="s">
        <v>4605</v>
      </c>
      <c r="J695" s="8" t="s">
        <v>116</v>
      </c>
      <c r="K695" s="8" t="s">
        <v>49</v>
      </c>
      <c r="L695" s="8" t="s">
        <v>71</v>
      </c>
      <c r="M695" s="8" t="s">
        <v>28</v>
      </c>
      <c r="N695" s="97">
        <v>22487.0</v>
      </c>
      <c r="O695" s="97">
        <v>25566.0</v>
      </c>
      <c r="P695" s="5">
        <v>50.0</v>
      </c>
      <c r="Q695" s="8">
        <f t="shared" si="27"/>
        <v>11243.5</v>
      </c>
    </row>
    <row r="696">
      <c r="A696" s="100" t="s">
        <v>9731</v>
      </c>
      <c r="B696" s="8" t="s">
        <v>7581</v>
      </c>
      <c r="C696" s="8" t="s">
        <v>21</v>
      </c>
      <c r="D696" s="8" t="s">
        <v>9749</v>
      </c>
      <c r="E696" s="8" t="s">
        <v>9750</v>
      </c>
      <c r="F696" s="8">
        <v>9.825796557E9</v>
      </c>
      <c r="G696" s="8"/>
      <c r="H696" s="21">
        <v>5700.0</v>
      </c>
      <c r="I696" s="21" t="s">
        <v>4481</v>
      </c>
      <c r="J696" s="8" t="s">
        <v>1419</v>
      </c>
      <c r="K696" s="8" t="s">
        <v>26</v>
      </c>
      <c r="L696" s="8" t="s">
        <v>71</v>
      </c>
      <c r="M696" s="8" t="s">
        <v>28</v>
      </c>
      <c r="N696" s="21">
        <v>16524.0</v>
      </c>
      <c r="O696" s="21">
        <v>18536.0</v>
      </c>
      <c r="P696" s="5">
        <v>43.0</v>
      </c>
      <c r="Q696" s="8">
        <f t="shared" si="27"/>
        <v>7105.32</v>
      </c>
    </row>
    <row r="697">
      <c r="A697" s="100" t="s">
        <v>9751</v>
      </c>
      <c r="B697" s="8" t="s">
        <v>4502</v>
      </c>
      <c r="C697" s="8" t="s">
        <v>1395</v>
      </c>
      <c r="D697" s="8" t="s">
        <v>9752</v>
      </c>
      <c r="E697" s="8" t="s">
        <v>9753</v>
      </c>
      <c r="F697" s="8">
        <v>8.128164008E9</v>
      </c>
      <c r="G697" s="8"/>
      <c r="H697" s="165">
        <v>2450.0</v>
      </c>
      <c r="I697" s="21" t="s">
        <v>4473</v>
      </c>
      <c r="J697" s="8" t="s">
        <v>78</v>
      </c>
      <c r="K697" s="8" t="s">
        <v>49</v>
      </c>
      <c r="L697" s="8" t="s">
        <v>3028</v>
      </c>
      <c r="M697" s="8" t="s">
        <v>28</v>
      </c>
      <c r="N697" s="21">
        <v>16149.0</v>
      </c>
      <c r="O697" s="21">
        <v>18093.0</v>
      </c>
      <c r="P697" s="5">
        <v>53.0</v>
      </c>
      <c r="Q697" s="8">
        <f t="shared" si="27"/>
        <v>8558.97</v>
      </c>
    </row>
    <row r="698">
      <c r="A698" s="100" t="s">
        <v>9754</v>
      </c>
      <c r="B698" s="8" t="s">
        <v>9755</v>
      </c>
      <c r="C698" s="8" t="s">
        <v>1395</v>
      </c>
      <c r="D698" s="8" t="s">
        <v>178</v>
      </c>
      <c r="E698" s="8" t="s">
        <v>9756</v>
      </c>
      <c r="F698" s="8">
        <v>8.758566775E9</v>
      </c>
      <c r="G698" s="8"/>
      <c r="H698" s="21">
        <v>3460.0</v>
      </c>
      <c r="I698" s="21" t="s">
        <v>9757</v>
      </c>
      <c r="J698" s="8" t="s">
        <v>116</v>
      </c>
      <c r="K698" s="8" t="s">
        <v>49</v>
      </c>
      <c r="L698" s="8" t="s">
        <v>3028</v>
      </c>
      <c r="M698" s="8" t="s">
        <v>28</v>
      </c>
      <c r="N698" s="97">
        <v>21464.0</v>
      </c>
      <c r="O698" s="97">
        <v>24358.0</v>
      </c>
      <c r="P698" s="5">
        <v>50.0</v>
      </c>
      <c r="Q698" s="8">
        <f t="shared" si="27"/>
        <v>10732</v>
      </c>
    </row>
    <row r="699">
      <c r="A699" s="100" t="s">
        <v>9754</v>
      </c>
      <c r="B699" s="8" t="s">
        <v>7376</v>
      </c>
      <c r="C699" s="8" t="s">
        <v>1395</v>
      </c>
      <c r="D699" s="8" t="s">
        <v>2116</v>
      </c>
      <c r="E699" s="8" t="s">
        <v>9758</v>
      </c>
      <c r="F699" s="8">
        <v>9.725332449E9</v>
      </c>
      <c r="G699" s="8"/>
      <c r="H699" s="21">
        <v>1600.0</v>
      </c>
      <c r="I699" s="21" t="s">
        <v>4473</v>
      </c>
      <c r="J699" s="8" t="s">
        <v>1424</v>
      </c>
      <c r="K699" s="8" t="s">
        <v>49</v>
      </c>
      <c r="L699" s="8" t="s">
        <v>71</v>
      </c>
      <c r="M699" s="8" t="s">
        <v>28</v>
      </c>
      <c r="N699" s="21">
        <v>19090.0</v>
      </c>
      <c r="O699" s="21">
        <v>21564.0</v>
      </c>
      <c r="P699" s="5">
        <v>52.0</v>
      </c>
      <c r="Q699" s="8">
        <f t="shared" si="27"/>
        <v>9926.8</v>
      </c>
    </row>
    <row r="700">
      <c r="A700" s="100" t="s">
        <v>9754</v>
      </c>
      <c r="B700" s="8" t="s">
        <v>4482</v>
      </c>
      <c r="C700" s="8" t="s">
        <v>1395</v>
      </c>
      <c r="D700" s="8" t="s">
        <v>2912</v>
      </c>
      <c r="E700" s="8" t="s">
        <v>9759</v>
      </c>
      <c r="F700" s="8">
        <v>9.067488146E9</v>
      </c>
      <c r="G700" s="8"/>
      <c r="H700" s="21">
        <v>1600.0</v>
      </c>
      <c r="I700" s="21" t="s">
        <v>4473</v>
      </c>
      <c r="J700" s="8" t="s">
        <v>1424</v>
      </c>
      <c r="K700" s="8" t="s">
        <v>49</v>
      </c>
      <c r="L700" s="8" t="s">
        <v>71</v>
      </c>
      <c r="M700" s="8" t="s">
        <v>28</v>
      </c>
      <c r="N700" s="21">
        <v>19805.0</v>
      </c>
      <c r="O700" s="21">
        <v>22407.0</v>
      </c>
      <c r="P700" s="5">
        <v>52.0</v>
      </c>
      <c r="Q700" s="8">
        <f t="shared" si="27"/>
        <v>10298.6</v>
      </c>
    </row>
    <row r="701">
      <c r="A701" s="100" t="s">
        <v>9760</v>
      </c>
      <c r="B701" s="8" t="s">
        <v>7580</v>
      </c>
      <c r="C701" s="8" t="s">
        <v>1395</v>
      </c>
      <c r="D701" s="8" t="s">
        <v>9702</v>
      </c>
      <c r="E701" s="8" t="s">
        <v>9761</v>
      </c>
      <c r="F701" s="8"/>
      <c r="G701" s="8"/>
      <c r="H701" s="21">
        <v>2670.0</v>
      </c>
      <c r="I701" s="21" t="s">
        <v>4481</v>
      </c>
      <c r="J701" s="8" t="s">
        <v>1424</v>
      </c>
      <c r="K701" s="8" t="s">
        <v>49</v>
      </c>
      <c r="L701" s="8" t="s">
        <v>71</v>
      </c>
      <c r="M701" s="8" t="s">
        <v>28</v>
      </c>
      <c r="N701" s="21">
        <v>17258.0</v>
      </c>
      <c r="O701" s="21">
        <v>19402.0</v>
      </c>
      <c r="P701" s="5">
        <v>52.0</v>
      </c>
      <c r="Q701" s="8">
        <f t="shared" si="27"/>
        <v>8974.16</v>
      </c>
    </row>
    <row r="702">
      <c r="A702" s="100" t="s">
        <v>9760</v>
      </c>
      <c r="B702" s="8" t="s">
        <v>9762</v>
      </c>
      <c r="C702" s="8" t="s">
        <v>1432</v>
      </c>
      <c r="D702" s="8" t="s">
        <v>9151</v>
      </c>
      <c r="E702" s="8" t="s">
        <v>9763</v>
      </c>
      <c r="F702" s="8"/>
      <c r="G702" s="8"/>
      <c r="H702" s="21">
        <v>236.0</v>
      </c>
      <c r="I702" s="21" t="s">
        <v>4473</v>
      </c>
      <c r="J702" s="8" t="s">
        <v>1424</v>
      </c>
      <c r="K702" s="8" t="s">
        <v>49</v>
      </c>
      <c r="L702" s="8" t="s">
        <v>27</v>
      </c>
      <c r="M702" s="8" t="s">
        <v>28</v>
      </c>
      <c r="N702" s="21">
        <v>6439.0</v>
      </c>
      <c r="O702" s="21">
        <v>7599.0</v>
      </c>
      <c r="P702" s="5">
        <v>52.0</v>
      </c>
      <c r="Q702" s="8">
        <f t="shared" si="27"/>
        <v>3348.28</v>
      </c>
    </row>
    <row r="703">
      <c r="A703" s="100" t="s">
        <v>9760</v>
      </c>
      <c r="B703" s="8" t="s">
        <v>9764</v>
      </c>
      <c r="C703" s="8" t="s">
        <v>1395</v>
      </c>
      <c r="D703" s="8" t="s">
        <v>3563</v>
      </c>
      <c r="E703" s="8" t="s">
        <v>1004</v>
      </c>
      <c r="F703" s="8">
        <v>7.990581079E9</v>
      </c>
      <c r="G703" s="8"/>
      <c r="H703" s="21">
        <v>3460.0</v>
      </c>
      <c r="I703" s="21" t="s">
        <v>4485</v>
      </c>
      <c r="J703" s="8" t="s">
        <v>116</v>
      </c>
      <c r="K703" s="8" t="s">
        <v>49</v>
      </c>
      <c r="L703" s="8" t="s">
        <v>3028</v>
      </c>
      <c r="M703" s="8" t="s">
        <v>28</v>
      </c>
      <c r="N703" s="97">
        <v>22014.0</v>
      </c>
      <c r="O703" s="97">
        <v>25008.0</v>
      </c>
      <c r="P703" s="5">
        <v>50.0</v>
      </c>
      <c r="Q703" s="8">
        <f t="shared" si="27"/>
        <v>11007</v>
      </c>
    </row>
    <row r="704">
      <c r="A704" s="100" t="s">
        <v>9760</v>
      </c>
      <c r="B704" s="8" t="s">
        <v>9765</v>
      </c>
      <c r="C704" s="8" t="s">
        <v>1395</v>
      </c>
      <c r="D704" s="8" t="s">
        <v>178</v>
      </c>
      <c r="E704" s="8" t="s">
        <v>9766</v>
      </c>
      <c r="F704" s="8">
        <v>9.974927586E9</v>
      </c>
      <c r="G704" s="8"/>
      <c r="H704" s="21">
        <v>3460.0</v>
      </c>
      <c r="I704" s="21" t="s">
        <v>4485</v>
      </c>
      <c r="J704" s="8" t="s">
        <v>116</v>
      </c>
      <c r="K704" s="8" t="s">
        <v>49</v>
      </c>
      <c r="L704" s="8" t="s">
        <v>3028</v>
      </c>
      <c r="M704" s="8" t="s">
        <v>28</v>
      </c>
      <c r="N704" s="97">
        <v>22311.0</v>
      </c>
      <c r="O704" s="97">
        <v>25358.0</v>
      </c>
      <c r="P704" s="5">
        <v>50.0</v>
      </c>
      <c r="Q704" s="8">
        <f t="shared" si="27"/>
        <v>11155.5</v>
      </c>
    </row>
    <row r="705">
      <c r="A705" s="100" t="s">
        <v>9760</v>
      </c>
      <c r="B705" s="8" t="s">
        <v>9767</v>
      </c>
      <c r="C705" s="86" t="s">
        <v>2749</v>
      </c>
      <c r="D705" s="8" t="s">
        <v>2056</v>
      </c>
      <c r="E705" s="8" t="s">
        <v>9768</v>
      </c>
      <c r="F705" s="8">
        <v>9.825828736E9</v>
      </c>
      <c r="G705" s="8"/>
      <c r="H705" s="21">
        <v>1493.0</v>
      </c>
      <c r="I705" s="21" t="s">
        <v>4481</v>
      </c>
      <c r="J705" s="86" t="s">
        <v>70</v>
      </c>
      <c r="K705" s="8" t="s">
        <v>49</v>
      </c>
      <c r="L705" s="8" t="s">
        <v>1436</v>
      </c>
      <c r="M705" s="8" t="s">
        <v>28</v>
      </c>
      <c r="N705" s="97">
        <v>33298.0</v>
      </c>
      <c r="O705" s="97">
        <v>39292.0</v>
      </c>
      <c r="P705" s="5">
        <v>25.0</v>
      </c>
      <c r="Q705" s="8">
        <f t="shared" si="27"/>
        <v>8324.5</v>
      </c>
    </row>
    <row r="706">
      <c r="A706" s="100" t="s">
        <v>9760</v>
      </c>
      <c r="B706" s="8" t="s">
        <v>4606</v>
      </c>
      <c r="C706" s="8" t="s">
        <v>21</v>
      </c>
      <c r="D706" s="8" t="s">
        <v>9769</v>
      </c>
      <c r="E706" s="8"/>
      <c r="F706" s="8"/>
      <c r="G706" s="8"/>
      <c r="H706" s="8">
        <v>25000.0</v>
      </c>
      <c r="I706" s="8" t="s">
        <v>4481</v>
      </c>
      <c r="J706" s="8" t="s">
        <v>2562</v>
      </c>
      <c r="K706" s="8" t="s">
        <v>26</v>
      </c>
      <c r="L706" s="8" t="s">
        <v>71</v>
      </c>
      <c r="M706" s="8" t="s">
        <v>28</v>
      </c>
      <c r="N706" s="8">
        <v>44050.0</v>
      </c>
      <c r="O706" s="8">
        <v>49342.0</v>
      </c>
      <c r="P706" s="5">
        <v>43.0</v>
      </c>
      <c r="Q706" s="8">
        <f t="shared" si="27"/>
        <v>18941.5</v>
      </c>
    </row>
    <row r="707">
      <c r="A707" s="100" t="s">
        <v>9760</v>
      </c>
      <c r="B707" s="86" t="s">
        <v>9770</v>
      </c>
      <c r="C707" s="8" t="s">
        <v>21</v>
      </c>
      <c r="D707" s="8" t="s">
        <v>9771</v>
      </c>
      <c r="E707" s="8"/>
      <c r="F707" s="8"/>
      <c r="G707" s="8"/>
      <c r="H707" s="8">
        <v>4600.0</v>
      </c>
      <c r="I707" s="8" t="s">
        <v>9757</v>
      </c>
      <c r="J707" s="8" t="s">
        <v>116</v>
      </c>
      <c r="K707" s="8" t="s">
        <v>49</v>
      </c>
      <c r="L707" s="8" t="s">
        <v>27</v>
      </c>
      <c r="M707" s="8" t="s">
        <v>28</v>
      </c>
      <c r="N707" s="8">
        <v>19400.0</v>
      </c>
      <c r="O707" s="8">
        <v>21924.0</v>
      </c>
      <c r="P707" s="5">
        <v>30.0</v>
      </c>
      <c r="Q707" s="8">
        <f t="shared" si="27"/>
        <v>5820</v>
      </c>
    </row>
    <row r="708">
      <c r="A708" s="126"/>
      <c r="F708" s="236"/>
    </row>
    <row r="709">
      <c r="A709" s="126"/>
      <c r="F709" s="236"/>
    </row>
    <row r="710">
      <c r="A710" s="126"/>
      <c r="F710" s="236"/>
    </row>
    <row r="711">
      <c r="A711" s="100" t="s">
        <v>9772</v>
      </c>
      <c r="B711" s="8" t="s">
        <v>9773</v>
      </c>
      <c r="C711" s="8" t="s">
        <v>21</v>
      </c>
      <c r="D711" s="8" t="s">
        <v>9774</v>
      </c>
      <c r="E711" s="8" t="s">
        <v>9775</v>
      </c>
      <c r="F711" s="8">
        <v>9.978883692E9</v>
      </c>
      <c r="G711" s="8"/>
      <c r="H711" s="21">
        <v>11990.0</v>
      </c>
      <c r="I711" s="21" t="s">
        <v>4496</v>
      </c>
      <c r="J711" s="8" t="s">
        <v>25</v>
      </c>
      <c r="K711" s="8" t="s">
        <v>49</v>
      </c>
      <c r="L711" s="8" t="s">
        <v>27</v>
      </c>
      <c r="M711" s="8" t="s">
        <v>28</v>
      </c>
      <c r="N711" s="97">
        <v>30202.0</v>
      </c>
      <c r="O711" s="97">
        <v>34007.0</v>
      </c>
      <c r="P711" s="5">
        <v>25.0</v>
      </c>
      <c r="Q711" s="8">
        <f t="shared" ref="Q711:Q744" si="28">N711*P711%</f>
        <v>7550.5</v>
      </c>
    </row>
    <row r="712">
      <c r="A712" s="100" t="s">
        <v>9772</v>
      </c>
      <c r="B712" s="8" t="s">
        <v>7380</v>
      </c>
      <c r="C712" s="8" t="s">
        <v>1395</v>
      </c>
      <c r="D712" s="8" t="s">
        <v>2116</v>
      </c>
      <c r="E712" s="8" t="s">
        <v>9776</v>
      </c>
      <c r="F712" s="8">
        <v>9.510753499E9</v>
      </c>
      <c r="G712" s="8"/>
      <c r="H712" s="21">
        <v>1600.0</v>
      </c>
      <c r="I712" s="21" t="s">
        <v>4485</v>
      </c>
      <c r="J712" s="8" t="s">
        <v>1424</v>
      </c>
      <c r="K712" s="8" t="s">
        <v>49</v>
      </c>
      <c r="L712" s="8" t="s">
        <v>71</v>
      </c>
      <c r="M712" s="8" t="s">
        <v>28</v>
      </c>
      <c r="N712" s="21">
        <v>20044.0</v>
      </c>
      <c r="O712" s="21">
        <v>22690.0</v>
      </c>
      <c r="P712" s="5">
        <v>52.0</v>
      </c>
      <c r="Q712" s="8">
        <f t="shared" si="28"/>
        <v>10422.88</v>
      </c>
    </row>
    <row r="713">
      <c r="A713" s="100" t="s">
        <v>9772</v>
      </c>
      <c r="B713" s="8" t="s">
        <v>4492</v>
      </c>
      <c r="C713" s="8" t="s">
        <v>1395</v>
      </c>
      <c r="D713" s="8" t="s">
        <v>2116</v>
      </c>
      <c r="E713" s="8" t="s">
        <v>4494</v>
      </c>
      <c r="F713" s="8">
        <v>9.106191792E9</v>
      </c>
      <c r="G713" s="8"/>
      <c r="H713" s="21">
        <v>1600.0</v>
      </c>
      <c r="I713" s="21" t="s">
        <v>4583</v>
      </c>
      <c r="J713" s="8" t="s">
        <v>1424</v>
      </c>
      <c r="K713" s="8" t="s">
        <v>49</v>
      </c>
      <c r="L713" s="8" t="s">
        <v>71</v>
      </c>
      <c r="M713" s="8" t="s">
        <v>28</v>
      </c>
      <c r="N713" s="21">
        <v>18817.0</v>
      </c>
      <c r="O713" s="21">
        <v>21241.0</v>
      </c>
      <c r="P713" s="5">
        <v>52.0</v>
      </c>
      <c r="Q713" s="8">
        <f t="shared" si="28"/>
        <v>9784.84</v>
      </c>
    </row>
    <row r="714">
      <c r="A714" s="100" t="s">
        <v>9772</v>
      </c>
      <c r="B714" s="8" t="s">
        <v>9777</v>
      </c>
      <c r="C714" s="8" t="s">
        <v>1432</v>
      </c>
      <c r="D714" s="8" t="s">
        <v>9151</v>
      </c>
      <c r="E714" s="8" t="s">
        <v>9778</v>
      </c>
      <c r="F714" s="8">
        <v>7.567699053E9</v>
      </c>
      <c r="G714" s="8"/>
      <c r="H714" s="21">
        <v>236.0</v>
      </c>
      <c r="I714" s="21" t="s">
        <v>4485</v>
      </c>
      <c r="J714" s="8" t="s">
        <v>1424</v>
      </c>
      <c r="K714" s="8" t="s">
        <v>49</v>
      </c>
      <c r="L714" s="8" t="s">
        <v>1451</v>
      </c>
      <c r="M714" s="8" t="s">
        <v>28</v>
      </c>
      <c r="N714" s="21">
        <v>6633.0</v>
      </c>
      <c r="O714" s="21">
        <v>7827.0</v>
      </c>
      <c r="P714" s="5">
        <v>52.0</v>
      </c>
      <c r="Q714" s="8">
        <f t="shared" si="28"/>
        <v>3449.16</v>
      </c>
    </row>
    <row r="715">
      <c r="A715" s="100" t="s">
        <v>9779</v>
      </c>
      <c r="B715" s="8" t="s">
        <v>6254</v>
      </c>
      <c r="C715" s="8" t="s">
        <v>21</v>
      </c>
      <c r="D715" s="8" t="s">
        <v>9780</v>
      </c>
      <c r="E715" s="8" t="s">
        <v>9781</v>
      </c>
      <c r="F715" s="8">
        <v>7.567163875E9</v>
      </c>
      <c r="G715" s="8"/>
      <c r="H715" s="21">
        <v>35000.0</v>
      </c>
      <c r="I715" s="21" t="s">
        <v>4496</v>
      </c>
      <c r="J715" s="8" t="s">
        <v>78</v>
      </c>
      <c r="K715" s="8" t="s">
        <v>49</v>
      </c>
      <c r="L715" s="8" t="s">
        <v>27</v>
      </c>
      <c r="M715" s="8" t="s">
        <v>28</v>
      </c>
      <c r="N715" s="21">
        <v>47890.0</v>
      </c>
      <c r="O715" s="21">
        <v>53873.0</v>
      </c>
      <c r="P715" s="5">
        <v>24.0</v>
      </c>
      <c r="Q715" s="8">
        <f t="shared" si="28"/>
        <v>11493.6</v>
      </c>
    </row>
    <row r="716">
      <c r="A716" s="159" t="s">
        <v>9779</v>
      </c>
      <c r="B716" s="160" t="s">
        <v>9782</v>
      </c>
      <c r="C716" s="160" t="s">
        <v>21</v>
      </c>
      <c r="D716" s="160" t="s">
        <v>9056</v>
      </c>
      <c r="E716" s="160" t="s">
        <v>9783</v>
      </c>
      <c r="F716" s="160">
        <v>7.984836271E9</v>
      </c>
      <c r="G716" s="160"/>
      <c r="H716" s="161">
        <v>35000.0</v>
      </c>
      <c r="I716" s="161" t="s">
        <v>4496</v>
      </c>
      <c r="J716" s="160" t="s">
        <v>78</v>
      </c>
      <c r="K716" s="160" t="s">
        <v>49</v>
      </c>
      <c r="L716" s="160" t="s">
        <v>3028</v>
      </c>
      <c r="M716" s="160" t="s">
        <v>28</v>
      </c>
      <c r="N716" s="161">
        <v>54021.0</v>
      </c>
      <c r="O716" s="161">
        <v>61108.0</v>
      </c>
      <c r="P716" s="407">
        <v>24.0</v>
      </c>
      <c r="Q716" s="160">
        <f t="shared" si="28"/>
        <v>12965.04</v>
      </c>
      <c r="R716" s="408" t="s">
        <v>9784</v>
      </c>
      <c r="S716" s="267"/>
      <c r="T716" s="267"/>
      <c r="U716" s="267"/>
      <c r="V716" s="267"/>
      <c r="W716" s="267"/>
      <c r="X716" s="267"/>
      <c r="Y716" s="267"/>
      <c r="Z716" s="267"/>
      <c r="AA716" s="267"/>
      <c r="AB716" s="267"/>
      <c r="AC716" s="267"/>
      <c r="AD716" s="267"/>
      <c r="AE716" s="267"/>
      <c r="AF716" s="267"/>
      <c r="AG716" s="267"/>
    </row>
    <row r="717">
      <c r="A717" s="100" t="s">
        <v>9779</v>
      </c>
      <c r="B717" s="131" t="s">
        <v>4588</v>
      </c>
      <c r="C717" s="8" t="s">
        <v>21</v>
      </c>
      <c r="D717" s="8" t="s">
        <v>9785</v>
      </c>
      <c r="E717" s="8" t="s">
        <v>9786</v>
      </c>
      <c r="F717" s="8">
        <v>8.128214132E9</v>
      </c>
      <c r="G717" s="8"/>
      <c r="H717" s="96">
        <v>35000.0</v>
      </c>
      <c r="I717" s="21" t="s">
        <v>4506</v>
      </c>
      <c r="J717" s="8" t="s">
        <v>2562</v>
      </c>
      <c r="K717" s="8" t="s">
        <v>26</v>
      </c>
      <c r="L717" s="8" t="s">
        <v>27</v>
      </c>
      <c r="M717" s="8" t="s">
        <v>28</v>
      </c>
      <c r="N717" s="97">
        <v>44050.0</v>
      </c>
      <c r="O717" s="97">
        <v>49342.0</v>
      </c>
      <c r="P717" s="5">
        <v>43.0</v>
      </c>
      <c r="Q717" s="8">
        <f t="shared" si="28"/>
        <v>18941.5</v>
      </c>
    </row>
    <row r="718">
      <c r="A718" s="100" t="s">
        <v>9787</v>
      </c>
      <c r="B718" s="131" t="s">
        <v>9788</v>
      </c>
      <c r="C718" s="8" t="s">
        <v>1395</v>
      </c>
      <c r="D718" s="8" t="s">
        <v>741</v>
      </c>
      <c r="E718" s="8" t="s">
        <v>9789</v>
      </c>
      <c r="F718" s="8">
        <v>7.043587583E9</v>
      </c>
      <c r="G718" s="8"/>
      <c r="H718" s="21">
        <v>3490.0</v>
      </c>
      <c r="I718" s="21" t="s">
        <v>4583</v>
      </c>
      <c r="J718" s="8" t="s">
        <v>116</v>
      </c>
      <c r="K718" s="8" t="s">
        <v>49</v>
      </c>
      <c r="L718" s="8" t="s">
        <v>3028</v>
      </c>
      <c r="M718" s="8" t="s">
        <v>28</v>
      </c>
      <c r="N718" s="97">
        <v>21601.0</v>
      </c>
      <c r="O718" s="97">
        <v>24521.0</v>
      </c>
      <c r="P718" s="5">
        <v>50.0</v>
      </c>
      <c r="Q718" s="8">
        <f t="shared" si="28"/>
        <v>10800.5</v>
      </c>
    </row>
    <row r="719">
      <c r="A719" s="100" t="s">
        <v>9790</v>
      </c>
      <c r="B719" s="8" t="s">
        <v>9791</v>
      </c>
      <c r="C719" s="8" t="s">
        <v>1432</v>
      </c>
      <c r="D719" s="8" t="s">
        <v>9792</v>
      </c>
      <c r="E719" s="8" t="s">
        <v>9793</v>
      </c>
      <c r="F719" s="8">
        <v>9.89899104E9</v>
      </c>
      <c r="G719" s="8"/>
      <c r="H719" s="21">
        <v>145.0</v>
      </c>
      <c r="I719" s="21" t="s">
        <v>4583</v>
      </c>
      <c r="J719" s="8" t="s">
        <v>1419</v>
      </c>
      <c r="K719" s="8" t="s">
        <v>49</v>
      </c>
      <c r="L719" s="8" t="s">
        <v>27</v>
      </c>
      <c r="M719" s="8" t="s">
        <v>28</v>
      </c>
      <c r="N719" s="21">
        <v>5998.0</v>
      </c>
      <c r="O719" s="21">
        <v>7078.0</v>
      </c>
      <c r="P719" s="5">
        <v>52.0</v>
      </c>
      <c r="Q719" s="8">
        <f t="shared" si="28"/>
        <v>3118.96</v>
      </c>
    </row>
    <row r="720">
      <c r="A720" s="100" t="s">
        <v>9790</v>
      </c>
      <c r="B720" s="8" t="s">
        <v>7424</v>
      </c>
      <c r="C720" s="8" t="s">
        <v>1395</v>
      </c>
      <c r="D720" s="8" t="s">
        <v>524</v>
      </c>
      <c r="E720" s="8" t="s">
        <v>9794</v>
      </c>
      <c r="F720" s="8">
        <v>8.200727312E9</v>
      </c>
      <c r="G720" s="8"/>
      <c r="H720" s="21">
        <v>3490.0</v>
      </c>
      <c r="I720" s="21" t="s">
        <v>9795</v>
      </c>
      <c r="J720" s="8" t="s">
        <v>116</v>
      </c>
      <c r="K720" s="8" t="s">
        <v>49</v>
      </c>
      <c r="L720" s="8" t="s">
        <v>71</v>
      </c>
      <c r="M720" s="8" t="s">
        <v>28</v>
      </c>
      <c r="N720" s="97">
        <v>20283.0</v>
      </c>
      <c r="O720" s="97">
        <v>22967.0</v>
      </c>
      <c r="P720" s="5">
        <v>50.0</v>
      </c>
      <c r="Q720" s="8">
        <f t="shared" si="28"/>
        <v>10141.5</v>
      </c>
    </row>
    <row r="721">
      <c r="A721" s="100" t="s">
        <v>9790</v>
      </c>
      <c r="B721" s="8" t="s">
        <v>4584</v>
      </c>
      <c r="C721" s="8" t="s">
        <v>1395</v>
      </c>
      <c r="D721" s="8" t="s">
        <v>9796</v>
      </c>
      <c r="E721" s="8" t="s">
        <v>4587</v>
      </c>
      <c r="F721" s="8">
        <v>7.38317157E9</v>
      </c>
      <c r="G721" s="8"/>
      <c r="H721" s="21">
        <v>2435.0</v>
      </c>
      <c r="I721" s="21" t="s">
        <v>4652</v>
      </c>
      <c r="J721" s="8" t="s">
        <v>1424</v>
      </c>
      <c r="K721" s="8" t="s">
        <v>49</v>
      </c>
      <c r="L721" s="8" t="s">
        <v>3028</v>
      </c>
      <c r="M721" s="8" t="s">
        <v>28</v>
      </c>
      <c r="N721" s="21">
        <v>17903.0</v>
      </c>
      <c r="O721" s="21">
        <v>20163.0</v>
      </c>
      <c r="P721" s="5">
        <v>52.0</v>
      </c>
      <c r="Q721" s="8">
        <f t="shared" si="28"/>
        <v>9309.56</v>
      </c>
    </row>
    <row r="722">
      <c r="A722" s="100" t="s">
        <v>9790</v>
      </c>
      <c r="B722" s="8" t="s">
        <v>9797</v>
      </c>
      <c r="C722" s="8" t="s">
        <v>1432</v>
      </c>
      <c r="D722" s="8" t="s">
        <v>9798</v>
      </c>
      <c r="E722" s="8" t="s">
        <v>9799</v>
      </c>
      <c r="F722" s="8">
        <v>9.624511318E9</v>
      </c>
      <c r="G722" s="8"/>
      <c r="H722" s="21">
        <v>236.0</v>
      </c>
      <c r="I722" s="21" t="s">
        <v>4583</v>
      </c>
      <c r="J722" s="8" t="s">
        <v>1419</v>
      </c>
      <c r="K722" s="8" t="s">
        <v>49</v>
      </c>
      <c r="L722" s="8" t="s">
        <v>365</v>
      </c>
      <c r="M722" s="8" t="s">
        <v>28</v>
      </c>
      <c r="N722" s="21">
        <v>6502.0</v>
      </c>
      <c r="O722" s="21">
        <v>7672.0</v>
      </c>
      <c r="P722" s="5">
        <v>52.0</v>
      </c>
      <c r="Q722" s="8">
        <f t="shared" si="28"/>
        <v>3381.04</v>
      </c>
    </row>
    <row r="723">
      <c r="A723" s="100" t="s">
        <v>9790</v>
      </c>
      <c r="B723" s="131" t="s">
        <v>9800</v>
      </c>
      <c r="C723" s="8" t="s">
        <v>21</v>
      </c>
      <c r="D723" s="8" t="s">
        <v>9801</v>
      </c>
      <c r="E723" s="8" t="s">
        <v>9802</v>
      </c>
      <c r="F723" s="8">
        <v>9.157888756E9</v>
      </c>
      <c r="G723" s="8"/>
      <c r="H723" s="96">
        <v>28000.0</v>
      </c>
      <c r="I723" s="21" t="s">
        <v>4706</v>
      </c>
      <c r="J723" s="8" t="s">
        <v>2562</v>
      </c>
      <c r="K723" s="8" t="s">
        <v>26</v>
      </c>
      <c r="L723" s="8" t="s">
        <v>27</v>
      </c>
      <c r="M723" s="8" t="s">
        <v>28</v>
      </c>
      <c r="N723" s="97">
        <v>44050.0</v>
      </c>
      <c r="O723" s="97">
        <v>49342.0</v>
      </c>
      <c r="P723" s="5">
        <v>43.0</v>
      </c>
      <c r="Q723" s="8">
        <f t="shared" si="28"/>
        <v>18941.5</v>
      </c>
    </row>
    <row r="724">
      <c r="A724" s="100" t="s">
        <v>9790</v>
      </c>
      <c r="B724" s="131" t="s">
        <v>9803</v>
      </c>
      <c r="C724" s="8" t="s">
        <v>21</v>
      </c>
      <c r="D724" s="8" t="s">
        <v>9644</v>
      </c>
      <c r="E724" s="8" t="s">
        <v>9804</v>
      </c>
      <c r="F724" s="8">
        <v>9.879412378E9</v>
      </c>
      <c r="G724" s="8"/>
      <c r="H724" s="21">
        <v>35000.0</v>
      </c>
      <c r="I724" s="21" t="s">
        <v>4600</v>
      </c>
      <c r="J724" s="8" t="s">
        <v>78</v>
      </c>
      <c r="K724" s="8" t="s">
        <v>49</v>
      </c>
      <c r="L724" s="8" t="s">
        <v>27</v>
      </c>
      <c r="M724" s="8" t="s">
        <v>28</v>
      </c>
      <c r="N724" s="21">
        <v>47789.0</v>
      </c>
      <c r="O724" s="21">
        <v>53754.0</v>
      </c>
      <c r="P724" s="5">
        <v>24.0</v>
      </c>
      <c r="Q724" s="8">
        <f t="shared" si="28"/>
        <v>11469.36</v>
      </c>
    </row>
    <row r="725">
      <c r="A725" s="100" t="s">
        <v>9790</v>
      </c>
      <c r="B725" s="8" t="s">
        <v>9805</v>
      </c>
      <c r="C725" s="8" t="s">
        <v>1432</v>
      </c>
      <c r="D725" s="8" t="s">
        <v>9798</v>
      </c>
      <c r="E725" s="8" t="s">
        <v>9806</v>
      </c>
      <c r="F725" s="8">
        <v>9.979011127E9</v>
      </c>
      <c r="G725" s="8"/>
      <c r="H725" s="21">
        <v>236.0</v>
      </c>
      <c r="I725" s="22">
        <v>45696.0</v>
      </c>
      <c r="J725" s="8" t="s">
        <v>1419</v>
      </c>
      <c r="K725" s="8" t="s">
        <v>49</v>
      </c>
      <c r="L725" s="8" t="s">
        <v>365</v>
      </c>
      <c r="M725" s="8" t="s">
        <v>28</v>
      </c>
      <c r="N725" s="21">
        <v>6684.0</v>
      </c>
      <c r="O725" s="21">
        <v>7888.0</v>
      </c>
      <c r="P725" s="5">
        <v>52.0</v>
      </c>
      <c r="Q725" s="8">
        <f t="shared" si="28"/>
        <v>3475.68</v>
      </c>
    </row>
    <row r="726">
      <c r="A726" s="100" t="s">
        <v>9790</v>
      </c>
      <c r="B726" s="131" t="s">
        <v>4610</v>
      </c>
      <c r="C726" s="8" t="s">
        <v>21</v>
      </c>
      <c r="D726" s="8" t="s">
        <v>9801</v>
      </c>
      <c r="E726" s="8" t="s">
        <v>9807</v>
      </c>
      <c r="F726" s="8">
        <v>9.879766747E9</v>
      </c>
      <c r="G726" s="8"/>
      <c r="H726" s="96">
        <v>28000.0</v>
      </c>
      <c r="I726" s="21" t="s">
        <v>4706</v>
      </c>
      <c r="J726" s="8" t="s">
        <v>2562</v>
      </c>
      <c r="K726" s="8" t="s">
        <v>26</v>
      </c>
      <c r="L726" s="8" t="s">
        <v>71</v>
      </c>
      <c r="M726" s="8" t="s">
        <v>28</v>
      </c>
      <c r="N726" s="97">
        <v>44050.0</v>
      </c>
      <c r="O726" s="97">
        <v>49342.0</v>
      </c>
      <c r="P726" s="5">
        <v>43.0</v>
      </c>
      <c r="Q726" s="8">
        <f t="shared" si="28"/>
        <v>18941.5</v>
      </c>
    </row>
    <row r="727">
      <c r="A727" s="100" t="s">
        <v>9808</v>
      </c>
      <c r="B727" s="8" t="s">
        <v>7413</v>
      </c>
      <c r="C727" s="8" t="s">
        <v>1395</v>
      </c>
      <c r="D727" s="8" t="s">
        <v>524</v>
      </c>
      <c r="E727" s="8" t="s">
        <v>9809</v>
      </c>
      <c r="F727" s="8">
        <v>9.26525941E9</v>
      </c>
      <c r="G727" s="8"/>
      <c r="H727" s="21">
        <v>3490.0</v>
      </c>
      <c r="I727" s="21" t="s">
        <v>4706</v>
      </c>
      <c r="J727" s="8" t="s">
        <v>116</v>
      </c>
      <c r="K727" s="8" t="s">
        <v>49</v>
      </c>
      <c r="L727" s="8" t="s">
        <v>71</v>
      </c>
      <c r="M727" s="8" t="s">
        <v>28</v>
      </c>
      <c r="N727" s="97">
        <v>21481.0</v>
      </c>
      <c r="O727" s="97">
        <v>24379.0</v>
      </c>
      <c r="P727" s="5">
        <v>50.0</v>
      </c>
      <c r="Q727" s="8">
        <f t="shared" si="28"/>
        <v>10740.5</v>
      </c>
    </row>
    <row r="728">
      <c r="A728" s="100" t="s">
        <v>9808</v>
      </c>
      <c r="B728" s="131" t="s">
        <v>9810</v>
      </c>
      <c r="C728" s="8" t="s">
        <v>21</v>
      </c>
      <c r="D728" s="8" t="s">
        <v>9811</v>
      </c>
      <c r="E728" s="8" t="s">
        <v>8461</v>
      </c>
      <c r="F728" s="8">
        <v>8.238569372E9</v>
      </c>
      <c r="G728" s="8"/>
      <c r="H728" s="21">
        <v>35000.0</v>
      </c>
      <c r="I728" s="21" t="s">
        <v>9795</v>
      </c>
      <c r="J728" s="86" t="s">
        <v>70</v>
      </c>
      <c r="K728" s="8" t="s">
        <v>49</v>
      </c>
      <c r="L728" s="8" t="s">
        <v>27</v>
      </c>
      <c r="M728" s="8" t="s">
        <v>28</v>
      </c>
      <c r="N728" s="97">
        <v>47640.0</v>
      </c>
      <c r="O728" s="97">
        <v>53578.0</v>
      </c>
      <c r="P728" s="5">
        <v>23.0</v>
      </c>
      <c r="Q728" s="8">
        <f t="shared" si="28"/>
        <v>10957.2</v>
      </c>
    </row>
    <row r="729">
      <c r="A729" s="100" t="s">
        <v>9812</v>
      </c>
      <c r="B729" s="8" t="s">
        <v>9813</v>
      </c>
      <c r="C729" s="8" t="s">
        <v>1395</v>
      </c>
      <c r="D729" s="8" t="s">
        <v>1303</v>
      </c>
      <c r="E729" s="8" t="s">
        <v>9814</v>
      </c>
      <c r="F729" s="8">
        <v>8.849670338E9</v>
      </c>
      <c r="G729" s="8"/>
      <c r="H729" s="21">
        <v>2825.0</v>
      </c>
      <c r="I729" s="21" t="s">
        <v>4592</v>
      </c>
      <c r="J729" s="8" t="s">
        <v>116</v>
      </c>
      <c r="K729" s="8" t="s">
        <v>49</v>
      </c>
      <c r="L729" s="8" t="s">
        <v>3028</v>
      </c>
      <c r="M729" s="8" t="s">
        <v>28</v>
      </c>
      <c r="N729" s="97">
        <v>21010.0</v>
      </c>
      <c r="O729" s="97">
        <v>23824.0</v>
      </c>
      <c r="P729" s="5">
        <v>50.0</v>
      </c>
      <c r="Q729" s="8">
        <f t="shared" si="28"/>
        <v>10505</v>
      </c>
    </row>
    <row r="730">
      <c r="A730" s="100" t="s">
        <v>9812</v>
      </c>
      <c r="B730" s="131" t="s">
        <v>9815</v>
      </c>
      <c r="C730" s="8" t="s">
        <v>1395</v>
      </c>
      <c r="D730" s="8" t="s">
        <v>2116</v>
      </c>
      <c r="E730" s="8" t="s">
        <v>9816</v>
      </c>
      <c r="F730" s="8">
        <v>6.352874722E9</v>
      </c>
      <c r="G730" s="8"/>
      <c r="H730" s="21">
        <v>1600.0</v>
      </c>
      <c r="I730" s="21" t="s">
        <v>9795</v>
      </c>
      <c r="J730" s="8" t="s">
        <v>1424</v>
      </c>
      <c r="K730" s="8" t="s">
        <v>49</v>
      </c>
      <c r="L730" s="8" t="s">
        <v>3028</v>
      </c>
      <c r="M730" s="8" t="s">
        <v>28</v>
      </c>
      <c r="N730" s="21">
        <v>19471.0</v>
      </c>
      <c r="O730" s="21">
        <v>22013.0</v>
      </c>
      <c r="P730" s="5">
        <v>52.0</v>
      </c>
      <c r="Q730" s="8">
        <f t="shared" si="28"/>
        <v>10124.92</v>
      </c>
    </row>
    <row r="731">
      <c r="A731" s="100" t="s">
        <v>9817</v>
      </c>
      <c r="B731" s="131" t="s">
        <v>7425</v>
      </c>
      <c r="C731" s="8" t="s">
        <v>1395</v>
      </c>
      <c r="D731" s="8" t="s">
        <v>9702</v>
      </c>
      <c r="E731" s="8" t="s">
        <v>9818</v>
      </c>
      <c r="F731" s="8">
        <v>9.662878974E9</v>
      </c>
      <c r="G731" s="8"/>
      <c r="H731" s="21">
        <v>2700.0</v>
      </c>
      <c r="I731" s="21" t="s">
        <v>4583</v>
      </c>
      <c r="J731" s="8" t="s">
        <v>1424</v>
      </c>
      <c r="K731" s="8" t="s">
        <v>49</v>
      </c>
      <c r="L731" s="8" t="s">
        <v>71</v>
      </c>
      <c r="M731" s="8" t="s">
        <v>28</v>
      </c>
      <c r="N731" s="21">
        <v>17616.0</v>
      </c>
      <c r="O731" s="21">
        <v>19824.0</v>
      </c>
      <c r="P731" s="5">
        <v>52.0</v>
      </c>
      <c r="Q731" s="8">
        <f t="shared" si="28"/>
        <v>9160.32</v>
      </c>
    </row>
    <row r="732">
      <c r="A732" s="100" t="s">
        <v>9817</v>
      </c>
      <c r="B732" s="131" t="s">
        <v>7439</v>
      </c>
      <c r="C732" s="8" t="s">
        <v>21</v>
      </c>
      <c r="D732" s="8" t="s">
        <v>9819</v>
      </c>
      <c r="E732" s="8" t="s">
        <v>9820</v>
      </c>
      <c r="F732" s="8">
        <v>9.601447786E9</v>
      </c>
      <c r="G732" s="8"/>
      <c r="H732" s="21">
        <v>8990.0</v>
      </c>
      <c r="I732" s="21" t="s">
        <v>4600</v>
      </c>
      <c r="J732" s="8" t="s">
        <v>25</v>
      </c>
      <c r="K732" s="8" t="s">
        <v>49</v>
      </c>
      <c r="L732" s="8" t="s">
        <v>71</v>
      </c>
      <c r="M732" s="8" t="s">
        <v>28</v>
      </c>
      <c r="N732" s="97">
        <v>43939.0</v>
      </c>
      <c r="O732" s="97">
        <v>50217.0</v>
      </c>
      <c r="P732" s="5">
        <v>25.0</v>
      </c>
      <c r="Q732" s="8">
        <f t="shared" si="28"/>
        <v>10984.75</v>
      </c>
    </row>
    <row r="733">
      <c r="A733" s="100" t="s">
        <v>9821</v>
      </c>
      <c r="B733" s="131" t="s">
        <v>9822</v>
      </c>
      <c r="C733" s="8" t="s">
        <v>21</v>
      </c>
      <c r="D733" s="8" t="s">
        <v>1503</v>
      </c>
      <c r="E733" s="8" t="s">
        <v>9823</v>
      </c>
      <c r="F733" s="8">
        <v>9.925381635E9</v>
      </c>
      <c r="G733" s="8"/>
      <c r="H733" s="21">
        <v>12990.0</v>
      </c>
      <c r="I733" s="21" t="s">
        <v>4592</v>
      </c>
      <c r="J733" s="86" t="s">
        <v>70</v>
      </c>
      <c r="K733" s="8" t="s">
        <v>49</v>
      </c>
      <c r="L733" s="8" t="s">
        <v>27</v>
      </c>
      <c r="M733" s="8" t="s">
        <v>28</v>
      </c>
      <c r="N733" s="97">
        <v>38261.0</v>
      </c>
      <c r="O733" s="97">
        <v>43029.0</v>
      </c>
      <c r="P733" s="5">
        <v>21.0</v>
      </c>
      <c r="Q733" s="8">
        <f t="shared" si="28"/>
        <v>8034.81</v>
      </c>
    </row>
    <row r="734">
      <c r="A734" s="100" t="s">
        <v>9821</v>
      </c>
      <c r="B734" s="8" t="s">
        <v>9824</v>
      </c>
      <c r="C734" s="8" t="s">
        <v>1395</v>
      </c>
      <c r="D734" s="8" t="s">
        <v>9825</v>
      </c>
      <c r="E734" s="8" t="s">
        <v>9826</v>
      </c>
      <c r="F734" s="8">
        <v>9.265091538E9</v>
      </c>
      <c r="G734" s="8"/>
      <c r="H734" s="21">
        <v>2880.0</v>
      </c>
      <c r="I734" s="21" t="s">
        <v>4592</v>
      </c>
      <c r="J734" s="8" t="s">
        <v>116</v>
      </c>
      <c r="K734" s="8" t="s">
        <v>49</v>
      </c>
      <c r="L734" s="8" t="s">
        <v>1451</v>
      </c>
      <c r="M734" s="8" t="s">
        <v>28</v>
      </c>
      <c r="N734" s="97">
        <v>18033.0</v>
      </c>
      <c r="O734" s="97">
        <v>20311.0</v>
      </c>
      <c r="P734" s="5">
        <v>50.0</v>
      </c>
      <c r="Q734" s="8">
        <f t="shared" si="28"/>
        <v>9016.5</v>
      </c>
    </row>
    <row r="735">
      <c r="A735" s="100" t="s">
        <v>9821</v>
      </c>
      <c r="B735" s="8" t="s">
        <v>9827</v>
      </c>
      <c r="C735" s="8" t="s">
        <v>1432</v>
      </c>
      <c r="D735" s="8" t="s">
        <v>9798</v>
      </c>
      <c r="E735" s="8" t="s">
        <v>9828</v>
      </c>
      <c r="F735" s="8">
        <v>7.567780132E9</v>
      </c>
      <c r="G735" s="8"/>
      <c r="H735" s="21">
        <v>236.0</v>
      </c>
      <c r="I735" s="21" t="s">
        <v>4605</v>
      </c>
      <c r="J735" s="8" t="s">
        <v>1419</v>
      </c>
      <c r="K735" s="8" t="s">
        <v>49</v>
      </c>
      <c r="L735" s="8" t="s">
        <v>27</v>
      </c>
      <c r="M735" s="8" t="s">
        <v>28</v>
      </c>
      <c r="N735" s="21">
        <v>6532.0</v>
      </c>
      <c r="O735" s="21">
        <v>7708.0</v>
      </c>
      <c r="P735" s="5">
        <v>52.0</v>
      </c>
      <c r="Q735" s="8">
        <f t="shared" si="28"/>
        <v>3396.64</v>
      </c>
    </row>
    <row r="736">
      <c r="A736" s="100" t="s">
        <v>9821</v>
      </c>
      <c r="B736" s="8" t="s">
        <v>9829</v>
      </c>
      <c r="C736" s="8" t="s">
        <v>1432</v>
      </c>
      <c r="D736" s="8" t="s">
        <v>9798</v>
      </c>
      <c r="E736" s="8" t="s">
        <v>9830</v>
      </c>
      <c r="F736" s="8">
        <v>7.567780132E9</v>
      </c>
      <c r="G736" s="8"/>
      <c r="H736" s="21">
        <v>236.0</v>
      </c>
      <c r="I736" s="21" t="s">
        <v>4605</v>
      </c>
      <c r="J736" s="8" t="s">
        <v>1419</v>
      </c>
      <c r="K736" s="8" t="s">
        <v>49</v>
      </c>
      <c r="L736" s="8" t="s">
        <v>27</v>
      </c>
      <c r="M736" s="8" t="s">
        <v>28</v>
      </c>
      <c r="N736" s="21">
        <v>6532.0</v>
      </c>
      <c r="O736" s="21">
        <v>7708.0</v>
      </c>
      <c r="P736" s="5">
        <v>52.0</v>
      </c>
      <c r="Q736" s="8">
        <f t="shared" si="28"/>
        <v>3396.64</v>
      </c>
    </row>
    <row r="737">
      <c r="A737" s="100" t="s">
        <v>9821</v>
      </c>
      <c r="B737" s="8" t="s">
        <v>9831</v>
      </c>
      <c r="C737" s="86" t="s">
        <v>2749</v>
      </c>
      <c r="D737" s="8" t="s">
        <v>1749</v>
      </c>
      <c r="E737" s="8" t="s">
        <v>9832</v>
      </c>
      <c r="F737" s="8">
        <v>9.725064259E9</v>
      </c>
      <c r="G737" s="8"/>
      <c r="H737" s="21">
        <v>1493.0</v>
      </c>
      <c r="I737" s="21" t="s">
        <v>4605</v>
      </c>
      <c r="J737" s="86" t="s">
        <v>70</v>
      </c>
      <c r="K737" s="8" t="s">
        <v>49</v>
      </c>
      <c r="L737" s="8" t="s">
        <v>71</v>
      </c>
      <c r="M737" s="8" t="s">
        <v>28</v>
      </c>
      <c r="N737" s="97">
        <v>16344.0</v>
      </c>
      <c r="O737" s="97">
        <v>19286.0</v>
      </c>
      <c r="P737" s="5">
        <v>25.0</v>
      </c>
      <c r="Q737" s="8">
        <f t="shared" si="28"/>
        <v>4086</v>
      </c>
    </row>
    <row r="738">
      <c r="A738" s="100" t="s">
        <v>9821</v>
      </c>
      <c r="B738" s="8" t="s">
        <v>7583</v>
      </c>
      <c r="C738" s="8" t="s">
        <v>1395</v>
      </c>
      <c r="D738" s="8" t="s">
        <v>741</v>
      </c>
      <c r="E738" s="8" t="s">
        <v>9833</v>
      </c>
      <c r="F738" s="8">
        <v>9.979356072E9</v>
      </c>
      <c r="G738" s="8"/>
      <c r="H738" s="21">
        <v>3490.0</v>
      </c>
      <c r="I738" s="21" t="s">
        <v>4605</v>
      </c>
      <c r="J738" s="8" t="s">
        <v>116</v>
      </c>
      <c r="K738" s="8" t="s">
        <v>49</v>
      </c>
      <c r="L738" s="8" t="s">
        <v>71</v>
      </c>
      <c r="M738" s="8" t="s">
        <v>28</v>
      </c>
      <c r="N738" s="97">
        <v>21569.0</v>
      </c>
      <c r="O738" s="97">
        <v>24483.0</v>
      </c>
      <c r="P738" s="5">
        <v>50.0</v>
      </c>
      <c r="Q738" s="8">
        <f t="shared" si="28"/>
        <v>10784.5</v>
      </c>
    </row>
    <row r="739">
      <c r="A739" s="100" t="s">
        <v>9821</v>
      </c>
      <c r="B739" s="8" t="s">
        <v>9834</v>
      </c>
      <c r="C739" s="8" t="s">
        <v>1395</v>
      </c>
      <c r="D739" s="8" t="s">
        <v>9835</v>
      </c>
      <c r="E739" s="8" t="s">
        <v>9836</v>
      </c>
      <c r="F739" s="8">
        <v>8.238197886E9</v>
      </c>
      <c r="G739" s="8"/>
      <c r="H739" s="21">
        <v>3490.0</v>
      </c>
      <c r="I739" s="22">
        <v>45665.0</v>
      </c>
      <c r="J739" s="8" t="s">
        <v>116</v>
      </c>
      <c r="K739" s="8" t="s">
        <v>49</v>
      </c>
      <c r="L739" s="8" t="s">
        <v>3028</v>
      </c>
      <c r="M739" s="8" t="s">
        <v>28</v>
      </c>
      <c r="N739" s="97">
        <v>22076.0</v>
      </c>
      <c r="O739" s="97">
        <v>25082.0</v>
      </c>
      <c r="P739" s="5">
        <v>50.0</v>
      </c>
      <c r="Q739" s="8">
        <f t="shared" si="28"/>
        <v>11038</v>
      </c>
    </row>
    <row r="740">
      <c r="A740" s="100" t="s">
        <v>9821</v>
      </c>
      <c r="B740" s="8" t="s">
        <v>9837</v>
      </c>
      <c r="C740" s="8" t="s">
        <v>1432</v>
      </c>
      <c r="D740" s="8" t="s">
        <v>2125</v>
      </c>
      <c r="E740" s="8" t="s">
        <v>9838</v>
      </c>
      <c r="F740" s="8">
        <v>7.069173823E9</v>
      </c>
      <c r="G740" s="8"/>
      <c r="H740" s="21">
        <v>436.0</v>
      </c>
      <c r="I740" s="21" t="s">
        <v>4600</v>
      </c>
      <c r="J740" s="8" t="s">
        <v>1424</v>
      </c>
      <c r="K740" s="8" t="s">
        <v>49</v>
      </c>
      <c r="L740" s="8" t="s">
        <v>27</v>
      </c>
      <c r="M740" s="8" t="s">
        <v>28</v>
      </c>
      <c r="N740" s="21">
        <v>6597.0</v>
      </c>
      <c r="O740" s="21">
        <v>7785.0</v>
      </c>
      <c r="P740" s="5">
        <v>52.0</v>
      </c>
      <c r="Q740" s="8">
        <f t="shared" si="28"/>
        <v>3430.44</v>
      </c>
    </row>
    <row r="741">
      <c r="A741" s="100" t="s">
        <v>9839</v>
      </c>
      <c r="B741" s="8" t="s">
        <v>7453</v>
      </c>
      <c r="C741" s="8" t="s">
        <v>1395</v>
      </c>
      <c r="D741" s="8" t="s">
        <v>9840</v>
      </c>
      <c r="E741" s="8" t="s">
        <v>9841</v>
      </c>
      <c r="F741" s="8">
        <v>9.898656515E9</v>
      </c>
      <c r="G741" s="8"/>
      <c r="H741" s="21">
        <v>2545.0</v>
      </c>
      <c r="I741" s="22">
        <v>45724.0</v>
      </c>
      <c r="J741" s="8" t="s">
        <v>1424</v>
      </c>
      <c r="K741" s="8" t="s">
        <v>49</v>
      </c>
      <c r="L741" s="8" t="s">
        <v>71</v>
      </c>
      <c r="M741" s="8" t="s">
        <v>28</v>
      </c>
      <c r="N741" s="21">
        <v>19760.0</v>
      </c>
      <c r="O741" s="21">
        <v>22354.0</v>
      </c>
      <c r="P741" s="5">
        <v>52.0</v>
      </c>
      <c r="Q741" s="8">
        <f t="shared" si="28"/>
        <v>10275.2</v>
      </c>
    </row>
    <row r="742">
      <c r="A742" s="100" t="s">
        <v>9839</v>
      </c>
      <c r="B742" s="8" t="s">
        <v>7440</v>
      </c>
      <c r="C742" s="8" t="s">
        <v>1395</v>
      </c>
      <c r="D742" s="8" t="s">
        <v>9702</v>
      </c>
      <c r="E742" s="8" t="s">
        <v>9842</v>
      </c>
      <c r="F742" s="8">
        <v>7.567296147E9</v>
      </c>
      <c r="G742" s="8"/>
      <c r="H742" s="21">
        <v>2700.0</v>
      </c>
      <c r="I742" s="21" t="s">
        <v>9744</v>
      </c>
      <c r="J742" s="8" t="s">
        <v>1424</v>
      </c>
      <c r="K742" s="8" t="s">
        <v>49</v>
      </c>
      <c r="L742" s="8" t="s">
        <v>71</v>
      </c>
      <c r="M742" s="8" t="s">
        <v>28</v>
      </c>
      <c r="N742" s="21">
        <v>20392.0</v>
      </c>
      <c r="O742" s="21">
        <v>23100.0</v>
      </c>
      <c r="P742" s="5">
        <v>52.0</v>
      </c>
      <c r="Q742" s="8">
        <f t="shared" si="28"/>
        <v>10603.84</v>
      </c>
    </row>
    <row r="743">
      <c r="A743" s="100" t="s">
        <v>9839</v>
      </c>
      <c r="B743" s="5" t="s">
        <v>7260</v>
      </c>
      <c r="C743" s="5" t="s">
        <v>21</v>
      </c>
      <c r="D743" s="5" t="s">
        <v>8613</v>
      </c>
      <c r="E743" s="31"/>
      <c r="F743" s="516"/>
      <c r="G743" s="31"/>
      <c r="H743" s="5">
        <v>12990.0</v>
      </c>
      <c r="I743" s="21" t="s">
        <v>4605</v>
      </c>
      <c r="J743" s="5" t="s">
        <v>78</v>
      </c>
      <c r="K743" s="5" t="s">
        <v>49</v>
      </c>
      <c r="L743" s="5" t="s">
        <v>71</v>
      </c>
      <c r="M743" s="5" t="s">
        <v>28</v>
      </c>
      <c r="N743" s="5">
        <v>37880.0</v>
      </c>
      <c r="O743" s="5">
        <v>42580.0</v>
      </c>
      <c r="P743" s="5">
        <v>24.0</v>
      </c>
      <c r="Q743" s="8">
        <f t="shared" si="28"/>
        <v>9091.2</v>
      </c>
    </row>
    <row r="744">
      <c r="A744" s="159" t="s">
        <v>9621</v>
      </c>
      <c r="B744" s="160" t="s">
        <v>9843</v>
      </c>
      <c r="C744" s="160" t="s">
        <v>21</v>
      </c>
      <c r="D744" s="160" t="s">
        <v>9844</v>
      </c>
      <c r="E744" s="160" t="s">
        <v>9845</v>
      </c>
      <c r="F744" s="160">
        <v>9.55805348E9</v>
      </c>
      <c r="G744" s="160"/>
      <c r="H744" s="161">
        <v>28000.0</v>
      </c>
      <c r="I744" s="161" t="s">
        <v>4167</v>
      </c>
      <c r="J744" s="408" t="s">
        <v>70</v>
      </c>
      <c r="K744" s="160" t="s">
        <v>49</v>
      </c>
      <c r="L744" s="160" t="s">
        <v>27</v>
      </c>
      <c r="M744" s="160" t="s">
        <v>8262</v>
      </c>
      <c r="N744" s="163">
        <v>46797.0</v>
      </c>
      <c r="O744" s="163">
        <v>52584.0</v>
      </c>
      <c r="P744" s="408">
        <v>23.0</v>
      </c>
      <c r="Q744" s="160">
        <f t="shared" si="28"/>
        <v>10763.31</v>
      </c>
      <c r="R744" s="408" t="s">
        <v>9784</v>
      </c>
      <c r="S744" s="160"/>
      <c r="T744" s="160"/>
      <c r="U744" s="160"/>
      <c r="V744" s="160"/>
      <c r="W744" s="160"/>
      <c r="X744" s="160"/>
      <c r="Y744" s="160"/>
      <c r="Z744" s="160"/>
      <c r="AA744" s="160"/>
      <c r="AB744" s="160"/>
      <c r="AC744" s="160"/>
      <c r="AD744" s="160"/>
      <c r="AE744" s="267"/>
      <c r="AF744" s="267"/>
      <c r="AG744" s="267"/>
    </row>
    <row r="745">
      <c r="A745" s="170" t="s">
        <v>9846</v>
      </c>
      <c r="Q745" s="6">
        <v>2000.0</v>
      </c>
    </row>
    <row r="746">
      <c r="A746" s="126"/>
      <c r="F746" s="236"/>
    </row>
    <row r="747">
      <c r="A747" s="126"/>
      <c r="F747" s="236"/>
    </row>
    <row r="748">
      <c r="A748" s="87">
        <v>45299.0</v>
      </c>
      <c r="B748" s="8" t="s">
        <v>9847</v>
      </c>
      <c r="C748" s="8" t="s">
        <v>1395</v>
      </c>
      <c r="D748" s="8" t="s">
        <v>481</v>
      </c>
      <c r="E748" s="8" t="s">
        <v>9848</v>
      </c>
      <c r="F748" s="8" t="s">
        <v>9849</v>
      </c>
      <c r="G748" s="8"/>
      <c r="H748" s="21">
        <v>3490.0</v>
      </c>
      <c r="I748" s="22">
        <v>45755.0</v>
      </c>
      <c r="J748" s="8" t="s">
        <v>1419</v>
      </c>
      <c r="K748" s="8" t="s">
        <v>49</v>
      </c>
      <c r="L748" s="8" t="s">
        <v>3028</v>
      </c>
      <c r="M748" s="8" t="s">
        <v>28</v>
      </c>
      <c r="N748" s="21">
        <v>25604.0</v>
      </c>
      <c r="O748" s="21">
        <v>29250.0</v>
      </c>
      <c r="P748" s="165">
        <v>50.0</v>
      </c>
      <c r="Q748" s="8">
        <f t="shared" ref="Q748:Q786" si="29">N748*P748%</f>
        <v>12802</v>
      </c>
    </row>
    <row r="749">
      <c r="A749" s="87">
        <v>45299.0</v>
      </c>
      <c r="B749" s="8" t="s">
        <v>9850</v>
      </c>
      <c r="C749" s="8" t="s">
        <v>21</v>
      </c>
      <c r="D749" s="8" t="s">
        <v>9851</v>
      </c>
      <c r="E749" s="8" t="s">
        <v>9852</v>
      </c>
      <c r="F749" s="8">
        <v>9.82564486E9</v>
      </c>
      <c r="G749" s="8"/>
      <c r="H749" s="21">
        <v>25000.0</v>
      </c>
      <c r="I749" s="22">
        <v>45696.0</v>
      </c>
      <c r="J749" s="8" t="s">
        <v>1424</v>
      </c>
      <c r="K749" s="8" t="s">
        <v>49</v>
      </c>
      <c r="L749" s="8" t="s">
        <v>71</v>
      </c>
      <c r="M749" s="8" t="s">
        <v>28</v>
      </c>
      <c r="N749" s="21">
        <v>47127.0</v>
      </c>
      <c r="O749" s="21">
        <v>52973.0</v>
      </c>
      <c r="P749" s="165">
        <v>23.0</v>
      </c>
      <c r="Q749" s="8">
        <f t="shared" si="29"/>
        <v>10839.21</v>
      </c>
    </row>
    <row r="750">
      <c r="A750" s="87">
        <v>45330.0</v>
      </c>
      <c r="B750" s="8" t="s">
        <v>7455</v>
      </c>
      <c r="C750" s="8" t="s">
        <v>1395</v>
      </c>
      <c r="D750" s="8" t="s">
        <v>9835</v>
      </c>
      <c r="E750" s="8" t="s">
        <v>9853</v>
      </c>
      <c r="F750" s="8" t="s">
        <v>9854</v>
      </c>
      <c r="G750" s="8"/>
      <c r="H750" s="21">
        <v>3490.0</v>
      </c>
      <c r="I750" s="22">
        <v>45665.0</v>
      </c>
      <c r="J750" s="8" t="s">
        <v>116</v>
      </c>
      <c r="K750" s="8" t="s">
        <v>49</v>
      </c>
      <c r="L750" s="8" t="s">
        <v>71</v>
      </c>
      <c r="M750" s="8" t="s">
        <v>28</v>
      </c>
      <c r="N750" s="97">
        <v>21678.0</v>
      </c>
      <c r="O750" s="97">
        <v>24612.0</v>
      </c>
      <c r="P750" s="165">
        <v>50.0</v>
      </c>
      <c r="Q750" s="8">
        <f t="shared" si="29"/>
        <v>10839</v>
      </c>
    </row>
    <row r="751">
      <c r="A751" s="87">
        <v>45330.0</v>
      </c>
      <c r="B751" s="8" t="s">
        <v>9855</v>
      </c>
      <c r="C751" s="8" t="s">
        <v>1395</v>
      </c>
      <c r="D751" s="8" t="s">
        <v>178</v>
      </c>
      <c r="E751" s="8" t="s">
        <v>9856</v>
      </c>
      <c r="F751" s="8" t="s">
        <v>9857</v>
      </c>
      <c r="G751" s="8"/>
      <c r="H751" s="21">
        <v>3460.0</v>
      </c>
      <c r="I751" s="22">
        <v>45696.0</v>
      </c>
      <c r="J751" s="8" t="s">
        <v>116</v>
      </c>
      <c r="K751" s="8" t="s">
        <v>49</v>
      </c>
      <c r="L751" s="8" t="s">
        <v>365</v>
      </c>
      <c r="M751" s="8" t="s">
        <v>28</v>
      </c>
      <c r="N751" s="97">
        <v>19557.0</v>
      </c>
      <c r="O751" s="97">
        <v>22109.0</v>
      </c>
      <c r="P751" s="165">
        <v>50.0</v>
      </c>
      <c r="Q751" s="8">
        <f t="shared" si="29"/>
        <v>9778.5</v>
      </c>
    </row>
    <row r="752">
      <c r="A752" s="87">
        <v>45330.0</v>
      </c>
      <c r="B752" s="8" t="s">
        <v>9858</v>
      </c>
      <c r="C752" s="8" t="s">
        <v>1432</v>
      </c>
      <c r="D752" s="8" t="s">
        <v>2125</v>
      </c>
      <c r="E752" s="8" t="s">
        <v>9859</v>
      </c>
      <c r="F752" s="8">
        <v>8.140075906E9</v>
      </c>
      <c r="G752" s="8"/>
      <c r="H752" s="21">
        <v>436.0</v>
      </c>
      <c r="I752" s="21" t="s">
        <v>9744</v>
      </c>
      <c r="J752" s="8" t="s">
        <v>1424</v>
      </c>
      <c r="K752" s="8" t="s">
        <v>49</v>
      </c>
      <c r="L752" s="8" t="s">
        <v>27</v>
      </c>
      <c r="M752" s="8" t="s">
        <v>28</v>
      </c>
      <c r="N752" s="21">
        <v>6720.0</v>
      </c>
      <c r="O752" s="21">
        <v>7930.0</v>
      </c>
      <c r="P752" s="86">
        <v>52.0</v>
      </c>
      <c r="Q752" s="8">
        <f t="shared" si="29"/>
        <v>3494.4</v>
      </c>
    </row>
    <row r="753">
      <c r="A753" s="87">
        <v>45330.0</v>
      </c>
      <c r="B753" s="8" t="s">
        <v>9860</v>
      </c>
      <c r="C753" s="8" t="s">
        <v>1395</v>
      </c>
      <c r="D753" s="8" t="s">
        <v>9702</v>
      </c>
      <c r="E753" s="8" t="s">
        <v>9861</v>
      </c>
      <c r="F753" s="8" t="s">
        <v>9862</v>
      </c>
      <c r="G753" s="8"/>
      <c r="H753" s="21">
        <v>2700.0</v>
      </c>
      <c r="I753" s="22">
        <v>45665.0</v>
      </c>
      <c r="J753" s="8" t="s">
        <v>1424</v>
      </c>
      <c r="K753" s="8" t="s">
        <v>49</v>
      </c>
      <c r="L753" s="8" t="s">
        <v>1616</v>
      </c>
      <c r="M753" s="8" t="s">
        <v>28</v>
      </c>
      <c r="N753" s="21">
        <v>17378.0</v>
      </c>
      <c r="O753" s="21">
        <v>19543.0</v>
      </c>
      <c r="P753" s="165">
        <v>52.0</v>
      </c>
      <c r="Q753" s="8">
        <f t="shared" si="29"/>
        <v>9036.56</v>
      </c>
    </row>
    <row r="754">
      <c r="A754" s="87">
        <v>45359.0</v>
      </c>
      <c r="B754" s="8" t="s">
        <v>4643</v>
      </c>
      <c r="C754" s="8" t="s">
        <v>1395</v>
      </c>
      <c r="D754" s="8" t="s">
        <v>2116</v>
      </c>
      <c r="E754" s="8" t="s">
        <v>9863</v>
      </c>
      <c r="F754" s="8">
        <v>9.924282762E9</v>
      </c>
      <c r="G754" s="8"/>
      <c r="H754" s="21">
        <v>1600.0</v>
      </c>
      <c r="I754" s="22">
        <v>45785.0</v>
      </c>
      <c r="J754" s="8" t="s">
        <v>1424</v>
      </c>
      <c r="K754" s="8" t="s">
        <v>49</v>
      </c>
      <c r="L754" s="8" t="s">
        <v>71</v>
      </c>
      <c r="M754" s="8" t="s">
        <v>28</v>
      </c>
      <c r="N754" s="21">
        <v>19471.0</v>
      </c>
      <c r="O754" s="21">
        <v>22013.0</v>
      </c>
      <c r="P754" s="165">
        <v>52.0</v>
      </c>
      <c r="Q754" s="8">
        <f t="shared" si="29"/>
        <v>10124.92</v>
      </c>
    </row>
    <row r="755">
      <c r="A755" s="87">
        <v>45359.0</v>
      </c>
      <c r="B755" s="8" t="s">
        <v>7594</v>
      </c>
      <c r="C755" s="8" t="s">
        <v>1395</v>
      </c>
      <c r="D755" s="8" t="s">
        <v>423</v>
      </c>
      <c r="E755" s="8" t="s">
        <v>9864</v>
      </c>
      <c r="F755" s="8">
        <v>9.909173549E9</v>
      </c>
      <c r="G755" s="8"/>
      <c r="H755" s="21">
        <v>2450.0</v>
      </c>
      <c r="I755" s="22">
        <v>45846.0</v>
      </c>
      <c r="J755" s="8" t="s">
        <v>1424</v>
      </c>
      <c r="K755" s="8" t="s">
        <v>49</v>
      </c>
      <c r="L755" s="8" t="s">
        <v>71</v>
      </c>
      <c r="M755" s="8" t="s">
        <v>28</v>
      </c>
      <c r="N755" s="21">
        <v>17423.0</v>
      </c>
      <c r="O755" s="21">
        <v>19597.0</v>
      </c>
      <c r="P755" s="165">
        <v>52.0</v>
      </c>
      <c r="Q755" s="8">
        <f t="shared" si="29"/>
        <v>9059.96</v>
      </c>
    </row>
    <row r="756">
      <c r="A756" s="87">
        <v>45359.0</v>
      </c>
      <c r="B756" s="8" t="s">
        <v>9865</v>
      </c>
      <c r="C756" s="8" t="s">
        <v>1405</v>
      </c>
      <c r="D756" s="8" t="s">
        <v>9866</v>
      </c>
      <c r="E756" s="8" t="s">
        <v>9299</v>
      </c>
      <c r="F756" s="8">
        <v>9.909577942E9</v>
      </c>
      <c r="G756" s="8"/>
      <c r="H756" s="21">
        <v>995.0</v>
      </c>
      <c r="I756" s="22">
        <v>45724.0</v>
      </c>
      <c r="J756" s="8" t="s">
        <v>1419</v>
      </c>
      <c r="K756" s="8" t="s">
        <v>49</v>
      </c>
      <c r="L756" s="8" t="s">
        <v>27</v>
      </c>
      <c r="M756" s="8" t="s">
        <v>28</v>
      </c>
      <c r="N756" s="21">
        <v>5640.0</v>
      </c>
      <c r="O756" s="21">
        <v>6388.0</v>
      </c>
      <c r="P756" s="86">
        <v>52.0</v>
      </c>
      <c r="Q756" s="8">
        <f t="shared" si="29"/>
        <v>2932.8</v>
      </c>
    </row>
    <row r="757">
      <c r="A757" s="87">
        <v>45420.0</v>
      </c>
      <c r="B757" s="8" t="s">
        <v>9867</v>
      </c>
      <c r="C757" s="8" t="s">
        <v>21</v>
      </c>
      <c r="D757" s="8" t="s">
        <v>9056</v>
      </c>
      <c r="E757" s="8" t="s">
        <v>9868</v>
      </c>
      <c r="F757" s="8">
        <v>9.978549988E9</v>
      </c>
      <c r="G757" s="8"/>
      <c r="H757" s="21">
        <v>35000.0</v>
      </c>
      <c r="I757" s="22">
        <v>45724.0</v>
      </c>
      <c r="J757" s="8" t="s">
        <v>78</v>
      </c>
      <c r="K757" s="8" t="s">
        <v>49</v>
      </c>
      <c r="L757" s="8" t="s">
        <v>3028</v>
      </c>
      <c r="M757" s="8" t="s">
        <v>28</v>
      </c>
      <c r="N757" s="21">
        <v>85834.0</v>
      </c>
      <c r="O757" s="21">
        <v>98647.0</v>
      </c>
      <c r="P757" s="165">
        <v>23.0</v>
      </c>
      <c r="Q757" s="8">
        <f t="shared" si="29"/>
        <v>19741.82</v>
      </c>
    </row>
    <row r="758">
      <c r="A758" s="87">
        <v>45420.0</v>
      </c>
      <c r="B758" s="8" t="s">
        <v>9869</v>
      </c>
      <c r="C758" s="8" t="s">
        <v>1395</v>
      </c>
      <c r="D758" s="8" t="s">
        <v>528</v>
      </c>
      <c r="E758" s="8" t="s">
        <v>9870</v>
      </c>
      <c r="F758" s="8">
        <v>6.359227835E9</v>
      </c>
      <c r="G758" s="8"/>
      <c r="H758" s="21">
        <v>2510.0</v>
      </c>
      <c r="I758" s="22">
        <v>45724.0</v>
      </c>
      <c r="J758" s="8" t="s">
        <v>1419</v>
      </c>
      <c r="K758" s="8" t="s">
        <v>49</v>
      </c>
      <c r="L758" s="8" t="s">
        <v>3028</v>
      </c>
      <c r="M758" s="8" t="s">
        <v>28</v>
      </c>
      <c r="N758" s="21">
        <v>18483.0</v>
      </c>
      <c r="O758" s="21">
        <v>20847.0</v>
      </c>
      <c r="P758" s="165">
        <v>50.0</v>
      </c>
      <c r="Q758" s="8">
        <f t="shared" si="29"/>
        <v>9241.5</v>
      </c>
    </row>
    <row r="759">
      <c r="A759" s="87">
        <v>45420.0</v>
      </c>
      <c r="B759" s="8" t="s">
        <v>4639</v>
      </c>
      <c r="C759" s="8" t="s">
        <v>1395</v>
      </c>
      <c r="D759" s="8" t="s">
        <v>9871</v>
      </c>
      <c r="E759" s="8" t="s">
        <v>9872</v>
      </c>
      <c r="F759" s="8">
        <v>9.724566096E9</v>
      </c>
      <c r="G759" s="8"/>
      <c r="H759" s="21">
        <v>1600.0</v>
      </c>
      <c r="I759" s="22">
        <v>45785.0</v>
      </c>
      <c r="J759" s="86" t="s">
        <v>70</v>
      </c>
      <c r="K759" s="8" t="s">
        <v>49</v>
      </c>
      <c r="L759" s="8" t="s">
        <v>71</v>
      </c>
      <c r="M759" s="8" t="s">
        <v>28</v>
      </c>
      <c r="N759" s="97">
        <v>17803.0</v>
      </c>
      <c r="O759" s="97">
        <v>20045.0</v>
      </c>
      <c r="P759" s="165">
        <v>57.0</v>
      </c>
      <c r="Q759" s="8">
        <f t="shared" si="29"/>
        <v>10147.71</v>
      </c>
    </row>
    <row r="760">
      <c r="A760" s="87">
        <v>45481.0</v>
      </c>
      <c r="B760" s="8" t="s">
        <v>7468</v>
      </c>
      <c r="C760" s="8" t="s">
        <v>1395</v>
      </c>
      <c r="D760" s="8" t="s">
        <v>9873</v>
      </c>
      <c r="E760" s="8" t="s">
        <v>9874</v>
      </c>
      <c r="F760" s="8">
        <v>7.600151111E9</v>
      </c>
      <c r="G760" s="8"/>
      <c r="H760" s="21">
        <v>1600.0</v>
      </c>
      <c r="I760" s="22">
        <v>45908.0</v>
      </c>
      <c r="J760" s="8" t="s">
        <v>1424</v>
      </c>
      <c r="K760" s="8" t="s">
        <v>49</v>
      </c>
      <c r="L760" s="8" t="s">
        <v>71</v>
      </c>
      <c r="M760" s="8" t="s">
        <v>28</v>
      </c>
      <c r="N760" s="21">
        <v>19652.0</v>
      </c>
      <c r="O760" s="21">
        <v>22226.0</v>
      </c>
      <c r="P760" s="165">
        <v>52.0</v>
      </c>
      <c r="Q760" s="8">
        <f t="shared" si="29"/>
        <v>10219.04</v>
      </c>
    </row>
    <row r="761">
      <c r="A761" s="87">
        <v>45481.0</v>
      </c>
      <c r="B761" s="8" t="s">
        <v>9875</v>
      </c>
      <c r="C761" s="8" t="s">
        <v>1432</v>
      </c>
      <c r="D761" s="8" t="s">
        <v>9151</v>
      </c>
      <c r="E761" s="8" t="s">
        <v>9876</v>
      </c>
      <c r="F761" s="8">
        <v>9.879879314E9</v>
      </c>
      <c r="G761" s="8"/>
      <c r="H761" s="21">
        <v>236.0</v>
      </c>
      <c r="I761" s="22">
        <v>45999.0</v>
      </c>
      <c r="J761" s="8" t="s">
        <v>1424</v>
      </c>
      <c r="K761" s="8" t="s">
        <v>49</v>
      </c>
      <c r="L761" s="8" t="s">
        <v>27</v>
      </c>
      <c r="M761" s="8" t="s">
        <v>28</v>
      </c>
      <c r="N761" s="21">
        <v>6213.0</v>
      </c>
      <c r="O761" s="21">
        <v>7331.0</v>
      </c>
      <c r="P761" s="86">
        <v>52.0</v>
      </c>
      <c r="Q761" s="8">
        <f t="shared" si="29"/>
        <v>3230.76</v>
      </c>
    </row>
    <row r="762">
      <c r="A762" s="87">
        <v>45481.0</v>
      </c>
      <c r="B762" s="8" t="s">
        <v>9877</v>
      </c>
      <c r="C762" s="8" t="s">
        <v>1395</v>
      </c>
      <c r="D762" s="8" t="s">
        <v>178</v>
      </c>
      <c r="E762" s="8" t="s">
        <v>9878</v>
      </c>
      <c r="F762" s="8">
        <v>8.320775623E9</v>
      </c>
      <c r="G762" s="8"/>
      <c r="H762" s="21">
        <v>3460.0</v>
      </c>
      <c r="I762" s="22">
        <v>45877.0</v>
      </c>
      <c r="J762" s="8" t="s">
        <v>116</v>
      </c>
      <c r="K762" s="8" t="s">
        <v>49</v>
      </c>
      <c r="L762" s="8" t="s">
        <v>3028</v>
      </c>
      <c r="M762" s="8" t="s">
        <v>28</v>
      </c>
      <c r="N762" s="97">
        <v>21907.0</v>
      </c>
      <c r="O762" s="97">
        <v>24883.0</v>
      </c>
      <c r="P762" s="165">
        <v>50.0</v>
      </c>
      <c r="Q762" s="8">
        <f t="shared" si="29"/>
        <v>10953.5</v>
      </c>
    </row>
    <row r="763">
      <c r="A763" s="87">
        <v>45481.0</v>
      </c>
      <c r="B763" s="8" t="s">
        <v>9879</v>
      </c>
      <c r="C763" s="8" t="s">
        <v>1395</v>
      </c>
      <c r="D763" s="8" t="s">
        <v>9880</v>
      </c>
      <c r="E763" s="8" t="s">
        <v>9881</v>
      </c>
      <c r="F763" s="8">
        <v>8.780275758E9</v>
      </c>
      <c r="G763" s="8"/>
      <c r="H763" s="21">
        <v>1950.0</v>
      </c>
      <c r="I763" s="22">
        <v>45785.0</v>
      </c>
      <c r="J763" s="8" t="s">
        <v>1424</v>
      </c>
      <c r="K763" s="8" t="s">
        <v>49</v>
      </c>
      <c r="L763" s="8" t="s">
        <v>27</v>
      </c>
      <c r="M763" s="8" t="s">
        <v>28</v>
      </c>
      <c r="N763" s="21">
        <v>19857.0</v>
      </c>
      <c r="O763" s="21">
        <v>22469.0</v>
      </c>
      <c r="P763" s="165">
        <v>52.0</v>
      </c>
      <c r="Q763" s="8">
        <f t="shared" si="29"/>
        <v>10325.64</v>
      </c>
    </row>
    <row r="764">
      <c r="A764" s="87">
        <v>45481.0</v>
      </c>
      <c r="B764" s="8" t="s">
        <v>9882</v>
      </c>
      <c r="C764" s="8" t="s">
        <v>1432</v>
      </c>
      <c r="D764" s="8" t="s">
        <v>9883</v>
      </c>
      <c r="E764" s="8" t="s">
        <v>9884</v>
      </c>
      <c r="F764" s="8">
        <v>9.737424597E9</v>
      </c>
      <c r="G764" s="8"/>
      <c r="H764" s="21">
        <v>145.0</v>
      </c>
      <c r="I764" s="22">
        <v>45785.0</v>
      </c>
      <c r="J764" s="8" t="s">
        <v>1424</v>
      </c>
      <c r="K764" s="8" t="s">
        <v>49</v>
      </c>
      <c r="L764" s="8" t="s">
        <v>27</v>
      </c>
      <c r="M764" s="8" t="s">
        <v>28</v>
      </c>
      <c r="N764" s="21">
        <v>6109.0</v>
      </c>
      <c r="O764" s="21">
        <v>7209.0</v>
      </c>
      <c r="P764" s="86">
        <v>52.0</v>
      </c>
      <c r="Q764" s="8">
        <f t="shared" si="29"/>
        <v>3176.68</v>
      </c>
    </row>
    <row r="765">
      <c r="A765" s="87">
        <v>45481.0</v>
      </c>
      <c r="B765" s="8" t="s">
        <v>9885</v>
      </c>
      <c r="C765" s="8" t="s">
        <v>1395</v>
      </c>
      <c r="D765" s="8" t="s">
        <v>9886</v>
      </c>
      <c r="E765" s="8" t="s">
        <v>9887</v>
      </c>
      <c r="F765" s="8">
        <v>8.140775772E9</v>
      </c>
      <c r="G765" s="8"/>
      <c r="H765" s="21">
        <v>2565.0</v>
      </c>
      <c r="I765" s="22">
        <v>45846.0</v>
      </c>
      <c r="J765" s="8" t="s">
        <v>1419</v>
      </c>
      <c r="K765" s="8" t="s">
        <v>49</v>
      </c>
      <c r="L765" s="8" t="s">
        <v>365</v>
      </c>
      <c r="M765" s="8" t="s">
        <v>28</v>
      </c>
      <c r="N765" s="21">
        <v>17638.0</v>
      </c>
      <c r="O765" s="21">
        <v>19850.0</v>
      </c>
      <c r="P765" s="165">
        <v>50.0</v>
      </c>
      <c r="Q765" s="8">
        <f t="shared" si="29"/>
        <v>8819</v>
      </c>
    </row>
    <row r="766">
      <c r="A766" s="87">
        <v>45481.0</v>
      </c>
      <c r="B766" s="8" t="s">
        <v>4714</v>
      </c>
      <c r="C766" s="8" t="s">
        <v>1395</v>
      </c>
      <c r="D766" s="8" t="s">
        <v>9888</v>
      </c>
      <c r="E766" s="8" t="s">
        <v>4717</v>
      </c>
      <c r="F766" s="8">
        <v>9.90962411E9</v>
      </c>
      <c r="G766" s="8"/>
      <c r="H766" s="21">
        <v>3490.0</v>
      </c>
      <c r="I766" s="22">
        <v>45816.0</v>
      </c>
      <c r="J766" s="8" t="s">
        <v>116</v>
      </c>
      <c r="K766" s="8" t="s">
        <v>49</v>
      </c>
      <c r="L766" s="8" t="s">
        <v>3028</v>
      </c>
      <c r="M766" s="8" t="s">
        <v>28</v>
      </c>
      <c r="N766" s="97">
        <v>21718.0</v>
      </c>
      <c r="O766" s="97">
        <v>24660.0</v>
      </c>
      <c r="P766" s="165">
        <v>50.0</v>
      </c>
      <c r="Q766" s="8">
        <f t="shared" si="29"/>
        <v>10859</v>
      </c>
    </row>
    <row r="767">
      <c r="A767" s="87">
        <v>45481.0</v>
      </c>
      <c r="B767" s="8" t="s">
        <v>4627</v>
      </c>
      <c r="C767" s="8" t="s">
        <v>1395</v>
      </c>
      <c r="D767" s="8" t="s">
        <v>9049</v>
      </c>
      <c r="E767" s="8" t="s">
        <v>9889</v>
      </c>
      <c r="F767" s="8">
        <v>9.510801847E9</v>
      </c>
      <c r="G767" s="8"/>
      <c r="H767" s="21">
        <v>1450.0</v>
      </c>
      <c r="I767" s="22">
        <v>45846.0</v>
      </c>
      <c r="J767" s="8" t="s">
        <v>78</v>
      </c>
      <c r="K767" s="8" t="s">
        <v>49</v>
      </c>
      <c r="L767" s="8" t="s">
        <v>71</v>
      </c>
      <c r="M767" s="8" t="s">
        <v>28</v>
      </c>
      <c r="N767" s="21">
        <v>16646.0</v>
      </c>
      <c r="O767" s="21">
        <v>18679.0</v>
      </c>
      <c r="P767" s="165">
        <v>55.0</v>
      </c>
      <c r="Q767" s="8">
        <f t="shared" si="29"/>
        <v>9155.3</v>
      </c>
    </row>
    <row r="768">
      <c r="A768" s="87">
        <v>45481.0</v>
      </c>
      <c r="B768" s="8" t="s">
        <v>9890</v>
      </c>
      <c r="C768" s="8" t="s">
        <v>21</v>
      </c>
      <c r="D768" s="8" t="s">
        <v>9037</v>
      </c>
      <c r="E768" s="8" t="s">
        <v>9891</v>
      </c>
      <c r="F768" s="8">
        <v>9.825227145E9</v>
      </c>
      <c r="G768" s="8"/>
      <c r="H768" s="21">
        <v>28000.0</v>
      </c>
      <c r="I768" s="22">
        <v>45846.0</v>
      </c>
      <c r="J768" s="86" t="s">
        <v>70</v>
      </c>
      <c r="K768" s="8" t="s">
        <v>49</v>
      </c>
      <c r="L768" s="8" t="s">
        <v>27</v>
      </c>
      <c r="M768" s="8" t="s">
        <v>28</v>
      </c>
      <c r="N768" s="97">
        <v>45615.0</v>
      </c>
      <c r="O768" s="97">
        <v>51189.0</v>
      </c>
      <c r="P768" s="165">
        <v>23.0</v>
      </c>
      <c r="Q768" s="8">
        <f t="shared" si="29"/>
        <v>10491.45</v>
      </c>
    </row>
    <row r="769">
      <c r="A769" s="87">
        <v>45481.0</v>
      </c>
      <c r="B769" s="8" t="s">
        <v>9892</v>
      </c>
      <c r="C769" s="8" t="s">
        <v>1432</v>
      </c>
      <c r="D769" s="8" t="s">
        <v>9893</v>
      </c>
      <c r="E769" s="8" t="s">
        <v>9894</v>
      </c>
      <c r="F769" s="8">
        <v>9.726597784E9</v>
      </c>
      <c r="G769" s="8"/>
      <c r="H769" s="21">
        <v>236.0</v>
      </c>
      <c r="I769" s="22">
        <v>45938.0</v>
      </c>
      <c r="J769" s="8" t="s">
        <v>1419</v>
      </c>
      <c r="K769" s="8" t="s">
        <v>49</v>
      </c>
      <c r="L769" s="8" t="s">
        <v>27</v>
      </c>
      <c r="M769" s="8" t="s">
        <v>28</v>
      </c>
      <c r="N769" s="21">
        <v>6443.0</v>
      </c>
      <c r="O769" s="21">
        <v>7603.0</v>
      </c>
      <c r="P769" s="86">
        <v>52.0</v>
      </c>
      <c r="Q769" s="8">
        <f t="shared" si="29"/>
        <v>3350.36</v>
      </c>
    </row>
    <row r="770">
      <c r="A770" s="87">
        <v>45481.0</v>
      </c>
      <c r="B770" s="8" t="s">
        <v>7461</v>
      </c>
      <c r="C770" s="8" t="s">
        <v>1432</v>
      </c>
      <c r="D770" s="8" t="s">
        <v>9895</v>
      </c>
      <c r="E770" s="8" t="s">
        <v>9896</v>
      </c>
      <c r="F770" s="8">
        <v>9.586961311E9</v>
      </c>
      <c r="G770" s="8"/>
      <c r="H770" s="21">
        <v>199.0</v>
      </c>
      <c r="I770" s="22">
        <v>45816.0</v>
      </c>
      <c r="J770" s="8" t="s">
        <v>1424</v>
      </c>
      <c r="K770" s="8" t="s">
        <v>49</v>
      </c>
      <c r="L770" s="8" t="s">
        <v>71</v>
      </c>
      <c r="M770" s="8" t="s">
        <v>28</v>
      </c>
      <c r="N770" s="21">
        <v>6077.0</v>
      </c>
      <c r="O770" s="21">
        <v>7171.0</v>
      </c>
      <c r="P770" s="86">
        <v>52.0</v>
      </c>
      <c r="Q770" s="8">
        <f t="shared" si="29"/>
        <v>3160.04</v>
      </c>
    </row>
    <row r="771">
      <c r="A771" s="87">
        <v>45512.0</v>
      </c>
      <c r="B771" s="8" t="s">
        <v>9897</v>
      </c>
      <c r="C771" s="8" t="s">
        <v>21</v>
      </c>
      <c r="D771" s="8" t="s">
        <v>9898</v>
      </c>
      <c r="E771" s="8" t="s">
        <v>9899</v>
      </c>
      <c r="F771" s="8">
        <v>9.925222547E9</v>
      </c>
      <c r="G771" s="8"/>
      <c r="H771" s="21">
        <v>45500.0</v>
      </c>
      <c r="I771" s="22">
        <v>45969.0</v>
      </c>
      <c r="J771" s="8" t="s">
        <v>1424</v>
      </c>
      <c r="K771" s="8" t="s">
        <v>49</v>
      </c>
      <c r="L771" s="8" t="s">
        <v>365</v>
      </c>
      <c r="M771" s="8" t="s">
        <v>28</v>
      </c>
      <c r="N771" s="21">
        <v>51298.0</v>
      </c>
      <c r="O771" s="21">
        <v>57878.0</v>
      </c>
      <c r="P771" s="165">
        <v>23.0</v>
      </c>
      <c r="Q771" s="8">
        <f t="shared" si="29"/>
        <v>11798.54</v>
      </c>
    </row>
    <row r="772">
      <c r="A772" s="87">
        <v>45512.0</v>
      </c>
      <c r="B772" s="8" t="s">
        <v>9900</v>
      </c>
      <c r="C772" s="8" t="s">
        <v>1395</v>
      </c>
      <c r="D772" s="8" t="s">
        <v>9901</v>
      </c>
      <c r="E772" s="8" t="s">
        <v>9902</v>
      </c>
      <c r="F772" s="8">
        <v>9.727134891E9</v>
      </c>
      <c r="G772" s="8"/>
      <c r="H772" s="21">
        <v>1950.0</v>
      </c>
      <c r="I772" s="22">
        <v>45846.0</v>
      </c>
      <c r="J772" s="8" t="s">
        <v>1424</v>
      </c>
      <c r="K772" s="8" t="s">
        <v>49</v>
      </c>
      <c r="L772" s="8" t="s">
        <v>27</v>
      </c>
      <c r="M772" s="8" t="s">
        <v>28</v>
      </c>
      <c r="N772" s="21">
        <v>19857.0</v>
      </c>
      <c r="O772" s="21">
        <v>22469.0</v>
      </c>
      <c r="P772" s="165">
        <v>52.0</v>
      </c>
      <c r="Q772" s="8">
        <f t="shared" si="29"/>
        <v>10325.64</v>
      </c>
    </row>
    <row r="773">
      <c r="A773" s="87">
        <v>45512.0</v>
      </c>
      <c r="B773" s="8" t="s">
        <v>9903</v>
      </c>
      <c r="C773" s="8" t="s">
        <v>2749</v>
      </c>
      <c r="D773" s="8" t="s">
        <v>9904</v>
      </c>
      <c r="E773" s="8" t="s">
        <v>9905</v>
      </c>
      <c r="F773" s="8">
        <v>9.73734016E9</v>
      </c>
      <c r="G773" s="8"/>
      <c r="H773" s="21">
        <v>1493.0</v>
      </c>
      <c r="I773" s="22">
        <v>45846.0</v>
      </c>
      <c r="J773" s="8" t="s">
        <v>1424</v>
      </c>
      <c r="K773" s="8" t="s">
        <v>49</v>
      </c>
      <c r="L773" s="8" t="s">
        <v>1616</v>
      </c>
      <c r="M773" s="8" t="s">
        <v>28</v>
      </c>
      <c r="N773" s="21">
        <v>30147.0</v>
      </c>
      <c r="O773" s="21">
        <v>35573.0</v>
      </c>
      <c r="P773" s="165">
        <v>25.0</v>
      </c>
      <c r="Q773" s="8">
        <f t="shared" si="29"/>
        <v>7536.75</v>
      </c>
    </row>
    <row r="774">
      <c r="A774" s="87">
        <v>45512.0</v>
      </c>
      <c r="B774" s="8" t="s">
        <v>7467</v>
      </c>
      <c r="C774" s="8" t="s">
        <v>1432</v>
      </c>
      <c r="D774" s="8" t="s">
        <v>9906</v>
      </c>
      <c r="E774" s="8" t="s">
        <v>9907</v>
      </c>
      <c r="F774" s="8">
        <v>6.354358775E9</v>
      </c>
      <c r="G774" s="8"/>
      <c r="H774" s="21">
        <v>236.0</v>
      </c>
      <c r="I774" s="22">
        <v>45877.0</v>
      </c>
      <c r="J774" s="8" t="s">
        <v>1419</v>
      </c>
      <c r="K774" s="8" t="s">
        <v>49</v>
      </c>
      <c r="L774" s="8" t="s">
        <v>71</v>
      </c>
      <c r="M774" s="8" t="s">
        <v>28</v>
      </c>
      <c r="N774" s="21">
        <v>6520.0</v>
      </c>
      <c r="O774" s="21">
        <v>7694.0</v>
      </c>
      <c r="P774" s="86">
        <v>52.0</v>
      </c>
      <c r="Q774" s="8">
        <f t="shared" si="29"/>
        <v>3390.4</v>
      </c>
    </row>
    <row r="775">
      <c r="A775" s="87">
        <v>45543.0</v>
      </c>
      <c r="B775" s="8" t="s">
        <v>8766</v>
      </c>
      <c r="C775" s="8" t="s">
        <v>1405</v>
      </c>
      <c r="D775" s="8" t="s">
        <v>9268</v>
      </c>
      <c r="E775" s="8" t="s">
        <v>9908</v>
      </c>
      <c r="F775" s="8">
        <v>9.913237111E9</v>
      </c>
      <c r="G775" s="8"/>
      <c r="H775" s="21">
        <v>990.0</v>
      </c>
      <c r="I775" s="22">
        <v>45908.0</v>
      </c>
      <c r="J775" s="8" t="s">
        <v>78</v>
      </c>
      <c r="K775" s="8" t="s">
        <v>49</v>
      </c>
      <c r="L775" s="8" t="s">
        <v>27</v>
      </c>
      <c r="M775" s="8" t="s">
        <v>28</v>
      </c>
      <c r="N775" s="21">
        <v>5017.0</v>
      </c>
      <c r="O775" s="21">
        <v>5650.0</v>
      </c>
      <c r="P775" s="86">
        <v>55.0</v>
      </c>
      <c r="Q775" s="8">
        <f t="shared" si="29"/>
        <v>2759.35</v>
      </c>
    </row>
    <row r="776">
      <c r="A776" s="87">
        <v>45543.0</v>
      </c>
      <c r="B776" s="8" t="s">
        <v>3488</v>
      </c>
      <c r="C776" s="8" t="s">
        <v>21</v>
      </c>
      <c r="D776" s="8" t="s">
        <v>9909</v>
      </c>
      <c r="E776" s="8" t="s">
        <v>9910</v>
      </c>
      <c r="F776" s="8">
        <v>7.990413031E9</v>
      </c>
      <c r="G776" s="8"/>
      <c r="H776" s="21">
        <v>47500.0</v>
      </c>
      <c r="I776" s="22">
        <v>45877.0</v>
      </c>
      <c r="J776" s="8" t="s">
        <v>78</v>
      </c>
      <c r="K776" s="8" t="s">
        <v>49</v>
      </c>
      <c r="L776" s="8" t="s">
        <v>27</v>
      </c>
      <c r="M776" s="8" t="s">
        <v>28</v>
      </c>
      <c r="N776" s="21">
        <v>112328.0</v>
      </c>
      <c r="O776" s="21">
        <v>129892.0</v>
      </c>
      <c r="P776" s="86">
        <v>18.0</v>
      </c>
      <c r="Q776" s="8">
        <f t="shared" si="29"/>
        <v>20219.04</v>
      </c>
    </row>
    <row r="777">
      <c r="A777" s="87">
        <v>45543.0</v>
      </c>
      <c r="B777" s="8" t="s">
        <v>9911</v>
      </c>
      <c r="C777" s="8" t="s">
        <v>1432</v>
      </c>
      <c r="D777" s="8" t="s">
        <v>9883</v>
      </c>
      <c r="E777" s="8" t="s">
        <v>9912</v>
      </c>
      <c r="F777" s="8">
        <v>8.469437692E9</v>
      </c>
      <c r="G777" s="8"/>
      <c r="H777" s="21">
        <v>145.0</v>
      </c>
      <c r="I777" s="22">
        <v>45877.0</v>
      </c>
      <c r="J777" s="8" t="s">
        <v>1424</v>
      </c>
      <c r="K777" s="8" t="s">
        <v>49</v>
      </c>
      <c r="L777" s="8" t="s">
        <v>27</v>
      </c>
      <c r="M777" s="8" t="s">
        <v>28</v>
      </c>
      <c r="N777" s="21">
        <v>6103.0</v>
      </c>
      <c r="O777" s="21">
        <v>7201.0</v>
      </c>
      <c r="P777" s="86">
        <v>52.0</v>
      </c>
      <c r="Q777" s="8">
        <f t="shared" si="29"/>
        <v>3173.56</v>
      </c>
    </row>
    <row r="778">
      <c r="A778" s="87">
        <v>45573.0</v>
      </c>
      <c r="B778" s="8" t="s">
        <v>9913</v>
      </c>
      <c r="C778" s="8" t="s">
        <v>21</v>
      </c>
      <c r="D778" s="8" t="s">
        <v>9914</v>
      </c>
      <c r="E778" s="8" t="s">
        <v>9915</v>
      </c>
      <c r="F778" s="8">
        <v>9.909281565E9</v>
      </c>
      <c r="G778" s="8"/>
      <c r="H778" s="21">
        <v>35000.0</v>
      </c>
      <c r="I778" s="22">
        <v>45908.0</v>
      </c>
      <c r="J778" s="86" t="s">
        <v>353</v>
      </c>
      <c r="K778" s="8" t="s">
        <v>49</v>
      </c>
      <c r="L778" s="8" t="s">
        <v>219</v>
      </c>
      <c r="M778" s="8" t="s">
        <v>28</v>
      </c>
      <c r="N778" s="97">
        <v>77337.0</v>
      </c>
      <c r="O778" s="97">
        <v>88621.0</v>
      </c>
      <c r="P778" s="86">
        <v>23.0</v>
      </c>
      <c r="Q778" s="8">
        <f t="shared" si="29"/>
        <v>17787.51</v>
      </c>
    </row>
    <row r="779">
      <c r="A779" s="87">
        <v>45573.0</v>
      </c>
      <c r="B779" s="8" t="s">
        <v>9916</v>
      </c>
      <c r="C779" s="8" t="s">
        <v>1432</v>
      </c>
      <c r="D779" s="8" t="s">
        <v>9917</v>
      </c>
      <c r="E779" s="8" t="s">
        <v>9918</v>
      </c>
      <c r="F779" s="8">
        <v>9.978898037E9</v>
      </c>
      <c r="G779" s="8"/>
      <c r="H779" s="21">
        <v>205.0</v>
      </c>
      <c r="I779" s="22">
        <v>45877.0</v>
      </c>
      <c r="J779" s="8" t="s">
        <v>1424</v>
      </c>
      <c r="K779" s="8" t="s">
        <v>49</v>
      </c>
      <c r="L779" s="8" t="s">
        <v>27</v>
      </c>
      <c r="M779" s="8" t="s">
        <v>28</v>
      </c>
      <c r="N779" s="21">
        <v>6103.0</v>
      </c>
      <c r="O779" s="21">
        <v>7201.0</v>
      </c>
      <c r="P779" s="86">
        <v>52.0</v>
      </c>
      <c r="Q779" s="8">
        <f t="shared" si="29"/>
        <v>3173.56</v>
      </c>
    </row>
    <row r="780">
      <c r="A780" s="87">
        <v>45573.0</v>
      </c>
      <c r="B780" s="8" t="s">
        <v>7595</v>
      </c>
      <c r="C780" s="8" t="s">
        <v>1395</v>
      </c>
      <c r="D780" s="8" t="s">
        <v>2745</v>
      </c>
      <c r="E780" s="8" t="s">
        <v>9919</v>
      </c>
      <c r="F780" s="8">
        <v>7.226025943E9</v>
      </c>
      <c r="G780" s="8"/>
      <c r="H780" s="21">
        <v>2880.0</v>
      </c>
      <c r="I780" s="22">
        <v>45938.0</v>
      </c>
      <c r="J780" s="8" t="s">
        <v>116</v>
      </c>
      <c r="K780" s="8" t="s">
        <v>49</v>
      </c>
      <c r="L780" s="8" t="s">
        <v>71</v>
      </c>
      <c r="M780" s="8" t="s">
        <v>28</v>
      </c>
      <c r="N780" s="97">
        <v>21355.0</v>
      </c>
      <c r="O780" s="97">
        <v>24229.0</v>
      </c>
      <c r="P780" s="165">
        <v>50.0</v>
      </c>
      <c r="Q780" s="8">
        <f t="shared" si="29"/>
        <v>10677.5</v>
      </c>
    </row>
    <row r="781">
      <c r="A781" s="87">
        <v>45573.0</v>
      </c>
      <c r="B781" s="8" t="s">
        <v>9920</v>
      </c>
      <c r="C781" s="8" t="s">
        <v>1395</v>
      </c>
      <c r="D781" s="8" t="s">
        <v>524</v>
      </c>
      <c r="E781" s="8" t="s">
        <v>9921</v>
      </c>
      <c r="F781" s="8">
        <v>9.636001977E9</v>
      </c>
      <c r="G781" s="8"/>
      <c r="H781" s="21">
        <v>3490.0</v>
      </c>
      <c r="I781" s="8" t="s">
        <v>4829</v>
      </c>
      <c r="J781" s="8" t="s">
        <v>116</v>
      </c>
      <c r="K781" s="8" t="s">
        <v>49</v>
      </c>
      <c r="L781" s="8" t="s">
        <v>71</v>
      </c>
      <c r="M781" s="8" t="s">
        <v>28</v>
      </c>
      <c r="N781" s="97">
        <v>21441.0</v>
      </c>
      <c r="O781" s="97">
        <v>24333.0</v>
      </c>
      <c r="P781" s="165">
        <v>50.0</v>
      </c>
      <c r="Q781" s="8">
        <f t="shared" si="29"/>
        <v>10720.5</v>
      </c>
    </row>
    <row r="782">
      <c r="A782" s="87">
        <v>45573.0</v>
      </c>
      <c r="B782" s="8" t="s">
        <v>9922</v>
      </c>
      <c r="C782" s="8" t="s">
        <v>1395</v>
      </c>
      <c r="D782" s="8" t="s">
        <v>1676</v>
      </c>
      <c r="E782" s="8" t="s">
        <v>9923</v>
      </c>
      <c r="F782" s="8"/>
      <c r="G782" s="8"/>
      <c r="H782" s="21">
        <v>2805.0</v>
      </c>
      <c r="I782" s="8" t="s">
        <v>9924</v>
      </c>
      <c r="J782" s="8" t="s">
        <v>116</v>
      </c>
      <c r="K782" s="8" t="s">
        <v>49</v>
      </c>
      <c r="L782" s="8" t="s">
        <v>3028</v>
      </c>
      <c r="M782" s="8" t="s">
        <v>28</v>
      </c>
      <c r="N782" s="97">
        <v>21389.0</v>
      </c>
      <c r="O782" s="97">
        <v>24271.0</v>
      </c>
      <c r="P782" s="165">
        <v>50.0</v>
      </c>
      <c r="Q782" s="8">
        <f t="shared" si="29"/>
        <v>10694.5</v>
      </c>
    </row>
    <row r="783">
      <c r="A783" s="87">
        <v>45573.0</v>
      </c>
      <c r="B783" s="8" t="s">
        <v>7597</v>
      </c>
      <c r="C783" s="8" t="s">
        <v>1395</v>
      </c>
      <c r="D783" s="8" t="s">
        <v>9925</v>
      </c>
      <c r="E783" s="8" t="s">
        <v>9926</v>
      </c>
      <c r="F783" s="8"/>
      <c r="G783" s="8"/>
      <c r="H783" s="21">
        <v>2670.0</v>
      </c>
      <c r="I783" s="22">
        <v>45969.0</v>
      </c>
      <c r="J783" s="8" t="s">
        <v>1424</v>
      </c>
      <c r="K783" s="8" t="s">
        <v>49</v>
      </c>
      <c r="L783" s="8" t="s">
        <v>71</v>
      </c>
      <c r="M783" s="8" t="s">
        <v>28</v>
      </c>
      <c r="N783" s="21">
        <v>18213.0</v>
      </c>
      <c r="O783" s="21">
        <v>20529.0</v>
      </c>
      <c r="P783" s="165">
        <v>52.0</v>
      </c>
      <c r="Q783" s="8">
        <f t="shared" si="29"/>
        <v>9470.76</v>
      </c>
    </row>
    <row r="784">
      <c r="A784" s="87">
        <v>45573.0</v>
      </c>
      <c r="B784" s="8" t="s">
        <v>7593</v>
      </c>
      <c r="C784" s="8" t="s">
        <v>1395</v>
      </c>
      <c r="D784" s="8" t="s">
        <v>906</v>
      </c>
      <c r="E784" s="8" t="s">
        <v>9927</v>
      </c>
      <c r="F784" s="8"/>
      <c r="G784" s="8"/>
      <c r="H784" s="21">
        <v>2735.0</v>
      </c>
      <c r="I784" s="22">
        <v>45938.0</v>
      </c>
      <c r="J784" s="8" t="s">
        <v>1424</v>
      </c>
      <c r="K784" s="8" t="s">
        <v>49</v>
      </c>
      <c r="L784" s="8" t="s">
        <v>71</v>
      </c>
      <c r="M784" s="8" t="s">
        <v>28</v>
      </c>
      <c r="N784" s="21">
        <v>20865.0</v>
      </c>
      <c r="O784" s="21">
        <v>23657.0</v>
      </c>
      <c r="P784" s="165">
        <v>52.0</v>
      </c>
      <c r="Q784" s="8">
        <f t="shared" si="29"/>
        <v>10849.8</v>
      </c>
    </row>
    <row r="785">
      <c r="A785" s="87">
        <v>45573.0</v>
      </c>
      <c r="B785" s="8" t="s">
        <v>9928</v>
      </c>
      <c r="C785" s="8" t="s">
        <v>1432</v>
      </c>
      <c r="D785" s="8" t="s">
        <v>9151</v>
      </c>
      <c r="E785" s="8" t="s">
        <v>9929</v>
      </c>
      <c r="F785" s="8"/>
      <c r="G785" s="8"/>
      <c r="H785" s="21">
        <v>236.0</v>
      </c>
      <c r="I785" s="22">
        <v>45908.0</v>
      </c>
      <c r="J785" s="8" t="s">
        <v>1424</v>
      </c>
      <c r="K785" s="8" t="s">
        <v>49</v>
      </c>
      <c r="L785" s="8" t="s">
        <v>27</v>
      </c>
      <c r="M785" s="8" t="s">
        <v>28</v>
      </c>
      <c r="N785" s="21">
        <v>6439.0</v>
      </c>
      <c r="O785" s="21">
        <v>7599.0</v>
      </c>
      <c r="P785" s="86">
        <v>52.0</v>
      </c>
      <c r="Q785" s="8">
        <f t="shared" si="29"/>
        <v>3348.28</v>
      </c>
    </row>
    <row r="786">
      <c r="A786" s="87">
        <v>45604.0</v>
      </c>
      <c r="B786" s="8" t="s">
        <v>7627</v>
      </c>
      <c r="C786" s="8" t="s">
        <v>21</v>
      </c>
      <c r="D786" s="8" t="s">
        <v>9914</v>
      </c>
      <c r="E786" s="8" t="s">
        <v>9930</v>
      </c>
      <c r="F786" s="8"/>
      <c r="G786" s="8"/>
      <c r="H786" s="21">
        <v>35000.0</v>
      </c>
      <c r="I786" s="22">
        <v>45969.0</v>
      </c>
      <c r="J786" s="86" t="s">
        <v>353</v>
      </c>
      <c r="K786" s="8" t="s">
        <v>49</v>
      </c>
      <c r="L786" s="8" t="s">
        <v>71</v>
      </c>
      <c r="M786" s="8" t="s">
        <v>28</v>
      </c>
      <c r="N786" s="97">
        <v>77618.0</v>
      </c>
      <c r="O786" s="97">
        <v>88952.0</v>
      </c>
      <c r="P786" s="86">
        <v>23.0</v>
      </c>
      <c r="Q786" s="8">
        <f t="shared" si="29"/>
        <v>17852.14</v>
      </c>
    </row>
    <row r="787">
      <c r="A787" s="126"/>
      <c r="F787" s="236"/>
    </row>
    <row r="788">
      <c r="A788" s="126"/>
      <c r="F788" s="236"/>
    </row>
    <row r="789">
      <c r="A789" s="100" t="s">
        <v>9931</v>
      </c>
      <c r="B789" s="8" t="s">
        <v>9932</v>
      </c>
      <c r="C789" s="8" t="s">
        <v>1395</v>
      </c>
      <c r="D789" s="8" t="s">
        <v>9933</v>
      </c>
      <c r="E789" s="8" t="s">
        <v>9934</v>
      </c>
      <c r="F789" s="8">
        <v>7.041951295E9</v>
      </c>
      <c r="G789" s="8"/>
      <c r="H789" s="21">
        <v>2700.0</v>
      </c>
      <c r="I789" s="22">
        <v>45999.0</v>
      </c>
      <c r="J789" s="8" t="s">
        <v>116</v>
      </c>
      <c r="K789" s="8" t="s">
        <v>49</v>
      </c>
      <c r="L789" s="8" t="s">
        <v>1451</v>
      </c>
      <c r="M789" s="8" t="s">
        <v>28</v>
      </c>
      <c r="N789" s="97">
        <v>22435.0</v>
      </c>
      <c r="O789" s="97">
        <v>25505.0</v>
      </c>
      <c r="P789" s="86">
        <v>50.0</v>
      </c>
      <c r="Q789" s="8">
        <f t="shared" ref="Q789:Q840" si="30">N789*P789%</f>
        <v>11217.5</v>
      </c>
    </row>
    <row r="790">
      <c r="A790" s="100" t="s">
        <v>9931</v>
      </c>
      <c r="B790" s="8" t="s">
        <v>7598</v>
      </c>
      <c r="C790" s="8" t="s">
        <v>1395</v>
      </c>
      <c r="D790" s="8" t="s">
        <v>741</v>
      </c>
      <c r="E790" s="8" t="s">
        <v>9935</v>
      </c>
      <c r="F790" s="8">
        <v>7.016298977E9</v>
      </c>
      <c r="G790" s="8"/>
      <c r="H790" s="21">
        <v>3490.0</v>
      </c>
      <c r="I790" s="21" t="s">
        <v>4718</v>
      </c>
      <c r="J790" s="8" t="s">
        <v>116</v>
      </c>
      <c r="K790" s="8" t="s">
        <v>49</v>
      </c>
      <c r="L790" s="8" t="s">
        <v>71</v>
      </c>
      <c r="M790" s="8" t="s">
        <v>28</v>
      </c>
      <c r="N790" s="97">
        <v>21294.0</v>
      </c>
      <c r="O790" s="97">
        <v>24160.0</v>
      </c>
      <c r="P790" s="86">
        <v>50.0</v>
      </c>
      <c r="Q790" s="8">
        <f t="shared" si="30"/>
        <v>10647</v>
      </c>
    </row>
    <row r="791">
      <c r="A791" s="100" t="s">
        <v>9931</v>
      </c>
      <c r="B791" s="8" t="s">
        <v>7588</v>
      </c>
      <c r="C791" s="8" t="s">
        <v>1395</v>
      </c>
      <c r="D791" s="8" t="s">
        <v>741</v>
      </c>
      <c r="E791" s="8" t="s">
        <v>9936</v>
      </c>
      <c r="F791" s="8">
        <v>8.799294064E9</v>
      </c>
      <c r="G791" s="8"/>
      <c r="H791" s="21">
        <v>3490.0</v>
      </c>
      <c r="I791" s="22">
        <v>45999.0</v>
      </c>
      <c r="J791" s="8" t="s">
        <v>116</v>
      </c>
      <c r="K791" s="8" t="s">
        <v>49</v>
      </c>
      <c r="L791" s="8" t="s">
        <v>71</v>
      </c>
      <c r="M791" s="8" t="s">
        <v>28</v>
      </c>
      <c r="N791" s="97">
        <v>21950.0</v>
      </c>
      <c r="O791" s="97">
        <v>24934.0</v>
      </c>
      <c r="P791" s="86">
        <v>50.0</v>
      </c>
      <c r="Q791" s="8">
        <f t="shared" si="30"/>
        <v>10975</v>
      </c>
    </row>
    <row r="792">
      <c r="A792" s="100" t="s">
        <v>9931</v>
      </c>
      <c r="B792" s="8" t="s">
        <v>9937</v>
      </c>
      <c r="C792" s="8" t="s">
        <v>1395</v>
      </c>
      <c r="D792" s="8" t="s">
        <v>524</v>
      </c>
      <c r="E792" s="8" t="s">
        <v>9938</v>
      </c>
      <c r="F792" s="8">
        <v>9.824298656E9</v>
      </c>
      <c r="G792" s="8"/>
      <c r="H792" s="21">
        <v>3490.0</v>
      </c>
      <c r="I792" s="22">
        <v>45999.0</v>
      </c>
      <c r="J792" s="8" t="s">
        <v>116</v>
      </c>
      <c r="K792" s="8" t="s">
        <v>49</v>
      </c>
      <c r="L792" s="8" t="s">
        <v>365</v>
      </c>
      <c r="M792" s="8" t="s">
        <v>28</v>
      </c>
      <c r="N792" s="97">
        <v>21972.0</v>
      </c>
      <c r="O792" s="97">
        <v>24960.0</v>
      </c>
      <c r="P792" s="86">
        <v>50.0</v>
      </c>
      <c r="Q792" s="8">
        <f t="shared" si="30"/>
        <v>10986</v>
      </c>
    </row>
    <row r="793">
      <c r="A793" s="100" t="s">
        <v>9931</v>
      </c>
      <c r="B793" s="8" t="s">
        <v>9939</v>
      </c>
      <c r="C793" s="8" t="s">
        <v>1432</v>
      </c>
      <c r="D793" s="8" t="s">
        <v>2125</v>
      </c>
      <c r="E793" s="8" t="s">
        <v>8292</v>
      </c>
      <c r="F793" s="8">
        <v>7.016560939E9</v>
      </c>
      <c r="G793" s="8"/>
      <c r="H793" s="21">
        <v>236.0</v>
      </c>
      <c r="I793" s="22">
        <v>45999.0</v>
      </c>
      <c r="J793" s="8" t="s">
        <v>1424</v>
      </c>
      <c r="K793" s="8" t="s">
        <v>49</v>
      </c>
      <c r="L793" s="8" t="s">
        <v>27</v>
      </c>
      <c r="M793" s="8" t="s">
        <v>28</v>
      </c>
      <c r="N793" s="21">
        <v>6262.0</v>
      </c>
      <c r="O793" s="21">
        <v>7390.0</v>
      </c>
      <c r="P793" s="86">
        <v>52.0</v>
      </c>
      <c r="Q793" s="8">
        <f t="shared" si="30"/>
        <v>3256.24</v>
      </c>
    </row>
    <row r="794">
      <c r="A794" s="100" t="s">
        <v>9931</v>
      </c>
      <c r="B794" s="8" t="s">
        <v>9940</v>
      </c>
      <c r="C794" s="8" t="s">
        <v>1432</v>
      </c>
      <c r="D794" s="8" t="s">
        <v>9941</v>
      </c>
      <c r="E794" s="8" t="s">
        <v>9942</v>
      </c>
      <c r="F794" s="8">
        <v>8.238197886E9</v>
      </c>
      <c r="G794" s="8"/>
      <c r="H794" s="21">
        <v>198.0</v>
      </c>
      <c r="I794" s="22">
        <v>45999.0</v>
      </c>
      <c r="J794" s="8" t="s">
        <v>1424</v>
      </c>
      <c r="K794" s="8" t="s">
        <v>49</v>
      </c>
      <c r="L794" s="8" t="s">
        <v>27</v>
      </c>
      <c r="M794" s="8" t="s">
        <v>28</v>
      </c>
      <c r="N794" s="21">
        <v>6166.0</v>
      </c>
      <c r="O794" s="21">
        <v>7276.0</v>
      </c>
      <c r="P794" s="86">
        <v>52.0</v>
      </c>
      <c r="Q794" s="8">
        <f t="shared" si="30"/>
        <v>3206.32</v>
      </c>
    </row>
    <row r="795">
      <c r="A795" s="100" t="s">
        <v>9931</v>
      </c>
      <c r="B795" s="8" t="s">
        <v>4725</v>
      </c>
      <c r="C795" s="8" t="s">
        <v>21</v>
      </c>
      <c r="D795" s="8" t="s">
        <v>9943</v>
      </c>
      <c r="E795" s="8" t="s">
        <v>9944</v>
      </c>
      <c r="F795" s="8">
        <v>9.979600037E9</v>
      </c>
      <c r="G795" s="8"/>
      <c r="H795" s="96">
        <v>28000.0</v>
      </c>
      <c r="I795" s="21" t="s">
        <v>4718</v>
      </c>
      <c r="J795" s="8" t="s">
        <v>2562</v>
      </c>
      <c r="K795" s="8" t="s">
        <v>26</v>
      </c>
      <c r="L795" s="8" t="s">
        <v>71</v>
      </c>
      <c r="M795" s="8" t="s">
        <v>28</v>
      </c>
      <c r="N795" s="97">
        <v>44050.0</v>
      </c>
      <c r="O795" s="97">
        <v>49342.0</v>
      </c>
      <c r="P795" s="86">
        <v>43.0</v>
      </c>
      <c r="Q795" s="8">
        <f t="shared" si="30"/>
        <v>18941.5</v>
      </c>
    </row>
    <row r="796">
      <c r="A796" s="100" t="s">
        <v>9931</v>
      </c>
      <c r="B796" s="8" t="s">
        <v>3614</v>
      </c>
      <c r="C796" s="8" t="s">
        <v>21</v>
      </c>
      <c r="D796" s="8" t="s">
        <v>1773</v>
      </c>
      <c r="E796" s="8" t="s">
        <v>9945</v>
      </c>
      <c r="F796" s="8">
        <v>8.000811331E9</v>
      </c>
      <c r="G796" s="8"/>
      <c r="H796" s="21">
        <v>42000.0</v>
      </c>
      <c r="I796" s="21" t="s">
        <v>4724</v>
      </c>
      <c r="J796" s="8" t="s">
        <v>9946</v>
      </c>
      <c r="K796" s="8" t="s">
        <v>26</v>
      </c>
      <c r="L796" s="8" t="s">
        <v>71</v>
      </c>
      <c r="M796" s="8" t="s">
        <v>28</v>
      </c>
      <c r="N796" s="21">
        <v>44392.0</v>
      </c>
      <c r="O796" s="21">
        <v>49728.0</v>
      </c>
      <c r="P796" s="86">
        <v>37.0</v>
      </c>
      <c r="Q796" s="8">
        <f t="shared" si="30"/>
        <v>16425.04</v>
      </c>
    </row>
    <row r="797">
      <c r="A797" s="100" t="s">
        <v>9947</v>
      </c>
      <c r="B797" s="8" t="s">
        <v>9948</v>
      </c>
      <c r="C797" s="8" t="s">
        <v>1432</v>
      </c>
      <c r="D797" s="8" t="s">
        <v>2125</v>
      </c>
      <c r="E797" s="8" t="s">
        <v>9949</v>
      </c>
      <c r="F797" s="8">
        <v>9.106302962E9</v>
      </c>
      <c r="G797" s="8">
        <v>8.320018755E9</v>
      </c>
      <c r="H797" s="21">
        <v>436.0</v>
      </c>
      <c r="I797" s="21" t="s">
        <v>4718</v>
      </c>
      <c r="J797" s="8" t="s">
        <v>1424</v>
      </c>
      <c r="K797" s="8" t="s">
        <v>49</v>
      </c>
      <c r="L797" s="8" t="s">
        <v>27</v>
      </c>
      <c r="M797" s="8" t="s">
        <v>28</v>
      </c>
      <c r="N797" s="21">
        <v>6135.0</v>
      </c>
      <c r="O797" s="21">
        <v>7239.0</v>
      </c>
      <c r="P797" s="86">
        <v>52.0</v>
      </c>
      <c r="Q797" s="8">
        <f t="shared" si="30"/>
        <v>3190.2</v>
      </c>
    </row>
    <row r="798">
      <c r="A798" s="100" t="s">
        <v>9947</v>
      </c>
      <c r="B798" s="8" t="s">
        <v>9950</v>
      </c>
      <c r="C798" s="8" t="s">
        <v>1395</v>
      </c>
      <c r="D798" s="8" t="s">
        <v>9099</v>
      </c>
      <c r="E798" s="8" t="s">
        <v>9951</v>
      </c>
      <c r="F798" s="8">
        <v>9.687434485E9</v>
      </c>
      <c r="G798" s="8"/>
      <c r="H798" s="21">
        <v>2523.0</v>
      </c>
      <c r="I798" s="21" t="s">
        <v>4729</v>
      </c>
      <c r="J798" s="8" t="s">
        <v>116</v>
      </c>
      <c r="K798" s="8" t="s">
        <v>49</v>
      </c>
      <c r="L798" s="8" t="s">
        <v>1616</v>
      </c>
      <c r="M798" s="8" t="s">
        <v>28</v>
      </c>
      <c r="N798" s="97">
        <v>22192.0</v>
      </c>
      <c r="O798" s="97">
        <v>25218.0</v>
      </c>
      <c r="P798" s="86">
        <v>50.0</v>
      </c>
      <c r="Q798" s="8">
        <f t="shared" si="30"/>
        <v>11096</v>
      </c>
    </row>
    <row r="799">
      <c r="A799" s="100" t="s">
        <v>9947</v>
      </c>
      <c r="B799" s="8" t="s">
        <v>9952</v>
      </c>
      <c r="C799" s="8" t="s">
        <v>1395</v>
      </c>
      <c r="D799" s="8" t="s">
        <v>9953</v>
      </c>
      <c r="E799" s="8" t="s">
        <v>9954</v>
      </c>
      <c r="F799" s="8">
        <v>8.160005741E9</v>
      </c>
      <c r="G799" s="8"/>
      <c r="H799" s="21">
        <v>1800.0</v>
      </c>
      <c r="I799" s="21" t="s">
        <v>4724</v>
      </c>
      <c r="J799" s="593" t="s">
        <v>70</v>
      </c>
      <c r="K799" s="8" t="s">
        <v>26</v>
      </c>
      <c r="L799" s="8" t="s">
        <v>27</v>
      </c>
      <c r="M799" s="8" t="s">
        <v>28</v>
      </c>
      <c r="N799" s="97">
        <v>16149.0</v>
      </c>
      <c r="O799" s="97">
        <v>18093.0</v>
      </c>
      <c r="P799" s="86">
        <v>58.0</v>
      </c>
      <c r="Q799" s="8">
        <f t="shared" si="30"/>
        <v>9366.42</v>
      </c>
    </row>
    <row r="800">
      <c r="A800" s="233" t="s">
        <v>9947</v>
      </c>
      <c r="B800" s="131" t="s">
        <v>4719</v>
      </c>
      <c r="C800" s="131" t="s">
        <v>1395</v>
      </c>
      <c r="D800" s="131" t="s">
        <v>4721</v>
      </c>
      <c r="E800" s="131" t="s">
        <v>9955</v>
      </c>
      <c r="F800" s="131">
        <v>9.925408717E9</v>
      </c>
      <c r="G800" s="131"/>
      <c r="H800" s="208">
        <v>1950.0</v>
      </c>
      <c r="I800" s="208" t="s">
        <v>4724</v>
      </c>
      <c r="J800" s="593" t="s">
        <v>70</v>
      </c>
      <c r="K800" s="131" t="s">
        <v>49</v>
      </c>
      <c r="L800" s="131" t="s">
        <v>71</v>
      </c>
      <c r="M800" s="131" t="s">
        <v>28</v>
      </c>
      <c r="N800" s="209">
        <v>20727.0</v>
      </c>
      <c r="O800" s="209">
        <v>23495.0</v>
      </c>
      <c r="P800" s="593">
        <v>58.0</v>
      </c>
      <c r="Q800" s="8">
        <f t="shared" si="30"/>
        <v>12021.66</v>
      </c>
    </row>
    <row r="801">
      <c r="A801" s="100" t="s">
        <v>9947</v>
      </c>
      <c r="B801" s="8" t="s">
        <v>7598</v>
      </c>
      <c r="C801" s="8" t="s">
        <v>1395</v>
      </c>
      <c r="D801" s="8" t="s">
        <v>741</v>
      </c>
      <c r="E801" s="8" t="s">
        <v>9935</v>
      </c>
      <c r="F801" s="8">
        <v>7.016298977E9</v>
      </c>
      <c r="G801" s="8"/>
      <c r="H801" s="21">
        <v>3490.0</v>
      </c>
      <c r="I801" s="21" t="s">
        <v>4718</v>
      </c>
      <c r="J801" s="8" t="s">
        <v>116</v>
      </c>
      <c r="K801" s="8" t="s">
        <v>49</v>
      </c>
      <c r="L801" s="8" t="s">
        <v>71</v>
      </c>
      <c r="M801" s="8" t="s">
        <v>28</v>
      </c>
      <c r="N801" s="97">
        <v>21294.0</v>
      </c>
      <c r="O801" s="97">
        <v>24160.0</v>
      </c>
      <c r="P801" s="86">
        <v>50.0</v>
      </c>
      <c r="Q801" s="8">
        <f t="shared" si="30"/>
        <v>10647</v>
      </c>
    </row>
    <row r="802">
      <c r="A802" s="100" t="s">
        <v>9947</v>
      </c>
      <c r="B802" s="8" t="s">
        <v>9956</v>
      </c>
      <c r="C802" s="8" t="s">
        <v>21</v>
      </c>
      <c r="D802" s="8" t="s">
        <v>9330</v>
      </c>
      <c r="E802" s="8" t="s">
        <v>9957</v>
      </c>
      <c r="F802" s="8">
        <v>9.727450222E9</v>
      </c>
      <c r="G802" s="8"/>
      <c r="H802" s="21">
        <v>28000.0</v>
      </c>
      <c r="I802" s="21" t="s">
        <v>4729</v>
      </c>
      <c r="J802" s="8" t="s">
        <v>78</v>
      </c>
      <c r="K802" s="8" t="s">
        <v>49</v>
      </c>
      <c r="L802" s="8" t="s">
        <v>27</v>
      </c>
      <c r="M802" s="8" t="s">
        <v>28</v>
      </c>
      <c r="N802" s="21">
        <v>46773.0</v>
      </c>
      <c r="O802" s="21">
        <v>52555.0</v>
      </c>
      <c r="P802" s="86">
        <v>23.0</v>
      </c>
      <c r="Q802" s="8">
        <f t="shared" si="30"/>
        <v>10757.79</v>
      </c>
    </row>
    <row r="803">
      <c r="A803" s="100" t="s">
        <v>9947</v>
      </c>
      <c r="B803" s="8" t="s">
        <v>4730</v>
      </c>
      <c r="C803" s="8" t="s">
        <v>21</v>
      </c>
      <c r="D803" s="8" t="s">
        <v>9958</v>
      </c>
      <c r="E803" s="8" t="s">
        <v>9959</v>
      </c>
      <c r="F803" s="8">
        <v>9.428277711E9</v>
      </c>
      <c r="G803" s="8"/>
      <c r="H803" s="21">
        <v>35000.0</v>
      </c>
      <c r="I803" s="21" t="s">
        <v>4724</v>
      </c>
      <c r="J803" s="593" t="s">
        <v>70</v>
      </c>
      <c r="K803" s="8" t="s">
        <v>49</v>
      </c>
      <c r="L803" s="8" t="s">
        <v>27</v>
      </c>
      <c r="M803" s="8" t="s">
        <v>28</v>
      </c>
      <c r="N803" s="97">
        <v>47369.0</v>
      </c>
      <c r="O803" s="97">
        <v>53258.0</v>
      </c>
      <c r="P803" s="86">
        <v>23.0</v>
      </c>
      <c r="Q803" s="8">
        <f t="shared" si="30"/>
        <v>10894.87</v>
      </c>
    </row>
    <row r="804">
      <c r="A804" s="100" t="s">
        <v>9960</v>
      </c>
      <c r="B804" s="8" t="s">
        <v>9961</v>
      </c>
      <c r="C804" s="8" t="s">
        <v>1405</v>
      </c>
      <c r="D804" s="8" t="s">
        <v>9039</v>
      </c>
      <c r="E804" s="8" t="s">
        <v>9962</v>
      </c>
      <c r="F804" s="8">
        <v>8.780662574E9</v>
      </c>
      <c r="G804" s="8"/>
      <c r="H804" s="21">
        <v>1150.0</v>
      </c>
      <c r="I804" s="21" t="s">
        <v>9963</v>
      </c>
      <c r="J804" s="8" t="s">
        <v>78</v>
      </c>
      <c r="K804" s="8" t="s">
        <v>49</v>
      </c>
      <c r="L804" s="8" t="s">
        <v>71</v>
      </c>
      <c r="M804" s="8" t="s">
        <v>28</v>
      </c>
      <c r="N804" s="21">
        <v>5403.0</v>
      </c>
      <c r="O804" s="21">
        <v>6106.0</v>
      </c>
      <c r="P804" s="86">
        <v>55.0</v>
      </c>
      <c r="Q804" s="8">
        <f t="shared" si="30"/>
        <v>2971.65</v>
      </c>
    </row>
    <row r="805">
      <c r="A805" s="100" t="s">
        <v>9960</v>
      </c>
      <c r="B805" s="8" t="s">
        <v>9964</v>
      </c>
      <c r="C805" s="8" t="s">
        <v>1405</v>
      </c>
      <c r="D805" s="8" t="s">
        <v>9210</v>
      </c>
      <c r="E805" s="8" t="s">
        <v>9965</v>
      </c>
      <c r="F805" s="8">
        <v>9.054314486E9</v>
      </c>
      <c r="G805" s="8"/>
      <c r="H805" s="21">
        <v>990.0</v>
      </c>
      <c r="I805" s="21" t="s">
        <v>9963</v>
      </c>
      <c r="J805" s="8" t="s">
        <v>78</v>
      </c>
      <c r="K805" s="8" t="s">
        <v>26</v>
      </c>
      <c r="L805" s="8" t="s">
        <v>27</v>
      </c>
      <c r="M805" s="8" t="s">
        <v>28</v>
      </c>
      <c r="N805" s="21">
        <v>4542.0</v>
      </c>
      <c r="O805" s="21">
        <v>5090.0</v>
      </c>
      <c r="P805" s="86">
        <v>55.0</v>
      </c>
      <c r="Q805" s="8">
        <f t="shared" si="30"/>
        <v>2498.1</v>
      </c>
    </row>
    <row r="806">
      <c r="A806" s="100" t="s">
        <v>9960</v>
      </c>
      <c r="B806" s="8" t="s">
        <v>9966</v>
      </c>
      <c r="C806" s="8" t="s">
        <v>1432</v>
      </c>
      <c r="D806" s="8" t="s">
        <v>9895</v>
      </c>
      <c r="E806" s="8" t="s">
        <v>9967</v>
      </c>
      <c r="F806" s="8">
        <v>9.979236627E9</v>
      </c>
      <c r="G806" s="8"/>
      <c r="H806" s="21">
        <v>199.0</v>
      </c>
      <c r="I806" s="21" t="s">
        <v>4729</v>
      </c>
      <c r="J806" s="8" t="s">
        <v>1424</v>
      </c>
      <c r="K806" s="8" t="s">
        <v>49</v>
      </c>
      <c r="L806" s="8" t="s">
        <v>27</v>
      </c>
      <c r="M806" s="8" t="s">
        <v>28</v>
      </c>
      <c r="N806" s="21">
        <v>6109.0</v>
      </c>
      <c r="O806" s="21">
        <v>7209.0</v>
      </c>
      <c r="P806" s="86">
        <v>52.0</v>
      </c>
      <c r="Q806" s="8">
        <f t="shared" si="30"/>
        <v>3176.68</v>
      </c>
    </row>
    <row r="807">
      <c r="A807" s="100" t="s">
        <v>9960</v>
      </c>
      <c r="B807" s="8" t="s">
        <v>9968</v>
      </c>
      <c r="C807" s="8" t="s">
        <v>1432</v>
      </c>
      <c r="D807" s="8" t="s">
        <v>9917</v>
      </c>
      <c r="E807" s="8" t="s">
        <v>9969</v>
      </c>
      <c r="F807" s="8">
        <v>7.859952834E9</v>
      </c>
      <c r="G807" s="8"/>
      <c r="H807" s="21">
        <v>205.0</v>
      </c>
      <c r="I807" s="21" t="s">
        <v>4756</v>
      </c>
      <c r="J807" s="8" t="s">
        <v>1424</v>
      </c>
      <c r="K807" s="8" t="s">
        <v>49</v>
      </c>
      <c r="L807" s="8" t="s">
        <v>27</v>
      </c>
      <c r="M807" s="8" t="s">
        <v>28</v>
      </c>
      <c r="N807" s="21">
        <v>6304.0</v>
      </c>
      <c r="O807" s="21">
        <v>7438.0</v>
      </c>
      <c r="P807" s="86">
        <v>52.0</v>
      </c>
      <c r="Q807" s="8">
        <f t="shared" si="30"/>
        <v>3278.08</v>
      </c>
    </row>
    <row r="808">
      <c r="A808" s="100" t="s">
        <v>9970</v>
      </c>
      <c r="B808" s="8" t="s">
        <v>9971</v>
      </c>
      <c r="C808" s="8" t="s">
        <v>1395</v>
      </c>
      <c r="D808" s="8" t="s">
        <v>9972</v>
      </c>
      <c r="E808" s="8" t="s">
        <v>9973</v>
      </c>
      <c r="F808" s="8">
        <v>7.043354443E9</v>
      </c>
      <c r="G808" s="8"/>
      <c r="H808" s="165">
        <v>3490.0</v>
      </c>
      <c r="I808" s="21" t="s">
        <v>9924</v>
      </c>
      <c r="J808" s="8" t="s">
        <v>116</v>
      </c>
      <c r="K808" s="8" t="s">
        <v>49</v>
      </c>
      <c r="L808" s="8" t="s">
        <v>365</v>
      </c>
      <c r="M808" s="8" t="s">
        <v>28</v>
      </c>
      <c r="N808" s="97">
        <v>22511.0</v>
      </c>
      <c r="O808" s="97">
        <v>25594.0</v>
      </c>
      <c r="P808" s="86">
        <v>50.0</v>
      </c>
      <c r="Q808" s="8">
        <f t="shared" si="30"/>
        <v>11255.5</v>
      </c>
    </row>
    <row r="809">
      <c r="A809" s="100" t="s">
        <v>9970</v>
      </c>
      <c r="B809" s="8" t="s">
        <v>9974</v>
      </c>
      <c r="C809" s="8" t="s">
        <v>1395</v>
      </c>
      <c r="D809" s="8" t="s">
        <v>524</v>
      </c>
      <c r="E809" s="8" t="s">
        <v>9975</v>
      </c>
      <c r="F809" s="8">
        <v>9.913446989E9</v>
      </c>
      <c r="G809" s="8"/>
      <c r="H809" s="21">
        <v>3490.0</v>
      </c>
      <c r="I809" s="21" t="s">
        <v>9976</v>
      </c>
      <c r="J809" s="8" t="s">
        <v>116</v>
      </c>
      <c r="K809" s="8" t="s">
        <v>49</v>
      </c>
      <c r="L809" s="8" t="s">
        <v>27</v>
      </c>
      <c r="M809" s="8" t="s">
        <v>28</v>
      </c>
      <c r="N809" s="97">
        <v>20073.0</v>
      </c>
      <c r="O809" s="97">
        <v>22719.0</v>
      </c>
      <c r="P809" s="86">
        <v>50.0</v>
      </c>
      <c r="Q809" s="8">
        <f t="shared" si="30"/>
        <v>10036.5</v>
      </c>
    </row>
    <row r="810">
      <c r="A810" s="100" t="s">
        <v>9970</v>
      </c>
      <c r="B810" s="8" t="s">
        <v>7632</v>
      </c>
      <c r="C810" s="8" t="s">
        <v>21</v>
      </c>
      <c r="D810" s="8" t="s">
        <v>9977</v>
      </c>
      <c r="E810" s="8" t="s">
        <v>9944</v>
      </c>
      <c r="F810" s="8">
        <v>9.727450222E9</v>
      </c>
      <c r="G810" s="8"/>
      <c r="H810" s="21">
        <v>16020.0</v>
      </c>
      <c r="I810" s="21" t="s">
        <v>9924</v>
      </c>
      <c r="J810" s="8" t="s">
        <v>78</v>
      </c>
      <c r="K810" s="8" t="s">
        <v>49</v>
      </c>
      <c r="L810" s="8" t="s">
        <v>71</v>
      </c>
      <c r="M810" s="8" t="s">
        <v>28</v>
      </c>
      <c r="N810" s="21">
        <v>55273.0</v>
      </c>
      <c r="O810" s="21">
        <v>63104.0</v>
      </c>
      <c r="P810" s="86">
        <v>25.0</v>
      </c>
      <c r="Q810" s="8">
        <f t="shared" si="30"/>
        <v>13818.25</v>
      </c>
    </row>
    <row r="811">
      <c r="A811" s="100" t="s">
        <v>9970</v>
      </c>
      <c r="B811" s="8" t="s">
        <v>9978</v>
      </c>
      <c r="C811" s="8" t="s">
        <v>1432</v>
      </c>
      <c r="D811" s="8" t="s">
        <v>9895</v>
      </c>
      <c r="E811" s="8" t="s">
        <v>9979</v>
      </c>
      <c r="F811" s="8">
        <v>9.327741338E9</v>
      </c>
      <c r="G811" s="8"/>
      <c r="H811" s="21">
        <v>199.0</v>
      </c>
      <c r="I811" s="21" t="s">
        <v>9963</v>
      </c>
      <c r="J811" s="8" t="s">
        <v>1424</v>
      </c>
      <c r="K811" s="8" t="s">
        <v>49</v>
      </c>
      <c r="L811" s="8" t="s">
        <v>27</v>
      </c>
      <c r="M811" s="8" t="s">
        <v>28</v>
      </c>
      <c r="N811" s="21">
        <v>6206.0</v>
      </c>
      <c r="O811" s="21">
        <v>7324.0</v>
      </c>
      <c r="P811" s="86">
        <v>52.0</v>
      </c>
      <c r="Q811" s="8">
        <f t="shared" si="30"/>
        <v>3227.12</v>
      </c>
    </row>
    <row r="812">
      <c r="A812" s="100" t="s">
        <v>9970</v>
      </c>
      <c r="B812" s="8" t="s">
        <v>9980</v>
      </c>
      <c r="C812" s="8" t="s">
        <v>1432</v>
      </c>
      <c r="D812" s="8" t="s">
        <v>9151</v>
      </c>
      <c r="E812" s="8" t="s">
        <v>9981</v>
      </c>
      <c r="F812" s="8">
        <v>9.909064956E9</v>
      </c>
      <c r="G812" s="8"/>
      <c r="H812" s="21">
        <v>236.0</v>
      </c>
      <c r="I812" s="21" t="s">
        <v>9963</v>
      </c>
      <c r="J812" s="8" t="s">
        <v>1424</v>
      </c>
      <c r="K812" s="8" t="s">
        <v>49</v>
      </c>
      <c r="L812" s="8" t="s">
        <v>27</v>
      </c>
      <c r="M812" s="8" t="s">
        <v>28</v>
      </c>
      <c r="N812" s="21">
        <v>6681.0</v>
      </c>
      <c r="O812" s="21">
        <v>7883.0</v>
      </c>
      <c r="P812" s="86">
        <v>52.0</v>
      </c>
      <c r="Q812" s="8">
        <f t="shared" si="30"/>
        <v>3474.12</v>
      </c>
    </row>
    <row r="813">
      <c r="A813" s="100" t="s">
        <v>9970</v>
      </c>
      <c r="B813" s="8" t="s">
        <v>9982</v>
      </c>
      <c r="C813" s="8" t="s">
        <v>1395</v>
      </c>
      <c r="D813" s="8" t="s">
        <v>9983</v>
      </c>
      <c r="E813" s="8" t="s">
        <v>9984</v>
      </c>
      <c r="F813" s="8">
        <v>9.727556143E9</v>
      </c>
      <c r="G813" s="8"/>
      <c r="H813" s="21">
        <v>2565.0</v>
      </c>
      <c r="I813" s="21" t="s">
        <v>4779</v>
      </c>
      <c r="J813" s="8" t="s">
        <v>1424</v>
      </c>
      <c r="K813" s="8" t="s">
        <v>49</v>
      </c>
      <c r="L813" s="8" t="s">
        <v>219</v>
      </c>
      <c r="M813" s="8" t="s">
        <v>28</v>
      </c>
      <c r="N813" s="21">
        <v>20548.0</v>
      </c>
      <c r="O813" s="21">
        <v>23284.0</v>
      </c>
      <c r="P813" s="86">
        <v>52.0</v>
      </c>
      <c r="Q813" s="8">
        <f t="shared" si="30"/>
        <v>10684.96</v>
      </c>
    </row>
    <row r="814">
      <c r="A814" s="100" t="s">
        <v>9985</v>
      </c>
      <c r="B814" s="8" t="s">
        <v>9986</v>
      </c>
      <c r="C814" s="8" t="s">
        <v>1395</v>
      </c>
      <c r="D814" s="8" t="s">
        <v>9987</v>
      </c>
      <c r="E814" s="8" t="s">
        <v>9988</v>
      </c>
      <c r="F814" s="8">
        <v>9.426991738E9</v>
      </c>
      <c r="G814" s="8"/>
      <c r="H814" s="21">
        <v>2670.0</v>
      </c>
      <c r="I814" s="21" t="s">
        <v>9924</v>
      </c>
      <c r="J814" s="8" t="s">
        <v>1424</v>
      </c>
      <c r="K814" s="8" t="s">
        <v>49</v>
      </c>
      <c r="L814" s="8" t="s">
        <v>365</v>
      </c>
      <c r="M814" s="8" t="s">
        <v>28</v>
      </c>
      <c r="N814" s="21">
        <v>18282.0</v>
      </c>
      <c r="O814" s="21">
        <v>20610.0</v>
      </c>
      <c r="P814" s="86">
        <v>52.0</v>
      </c>
      <c r="Q814" s="8">
        <f t="shared" si="30"/>
        <v>9506.64</v>
      </c>
    </row>
    <row r="815">
      <c r="A815" s="100" t="s">
        <v>9985</v>
      </c>
      <c r="B815" s="8" t="s">
        <v>9989</v>
      </c>
      <c r="C815" s="8" t="s">
        <v>1432</v>
      </c>
      <c r="D815" s="8" t="s">
        <v>9990</v>
      </c>
      <c r="E815" s="8" t="s">
        <v>9991</v>
      </c>
      <c r="F815" s="8">
        <v>6.35207913E9</v>
      </c>
      <c r="G815" s="8"/>
      <c r="H815" s="21">
        <v>236.0</v>
      </c>
      <c r="I815" s="21" t="s">
        <v>4743</v>
      </c>
      <c r="J815" s="8" t="s">
        <v>1424</v>
      </c>
      <c r="K815" s="8" t="s">
        <v>49</v>
      </c>
      <c r="L815" s="8" t="s">
        <v>1616</v>
      </c>
      <c r="M815" s="8" t="s">
        <v>28</v>
      </c>
      <c r="N815" s="21">
        <v>6517.0</v>
      </c>
      <c r="O815" s="21">
        <v>7691.0</v>
      </c>
      <c r="P815" s="86">
        <v>52.0</v>
      </c>
      <c r="Q815" s="8">
        <f t="shared" si="30"/>
        <v>3388.84</v>
      </c>
    </row>
    <row r="816">
      <c r="A816" s="100" t="s">
        <v>9985</v>
      </c>
      <c r="B816" s="8" t="s">
        <v>4739</v>
      </c>
      <c r="C816" s="8" t="s">
        <v>1395</v>
      </c>
      <c r="D816" s="8" t="s">
        <v>9871</v>
      </c>
      <c r="E816" s="8" t="s">
        <v>9992</v>
      </c>
      <c r="F816" s="8">
        <v>9.913914665E9</v>
      </c>
      <c r="G816" s="8"/>
      <c r="H816" s="21">
        <v>1600.0</v>
      </c>
      <c r="I816" s="21" t="s">
        <v>9924</v>
      </c>
      <c r="J816" s="593" t="s">
        <v>70</v>
      </c>
      <c r="K816" s="8" t="s">
        <v>49</v>
      </c>
      <c r="L816" s="8" t="s">
        <v>27</v>
      </c>
      <c r="M816" s="8" t="s">
        <v>28</v>
      </c>
      <c r="N816" s="97">
        <v>22022.0</v>
      </c>
      <c r="O816" s="97">
        <v>25023.0</v>
      </c>
      <c r="P816" s="86">
        <v>58.0</v>
      </c>
      <c r="Q816" s="8">
        <f t="shared" si="30"/>
        <v>12772.76</v>
      </c>
    </row>
    <row r="817">
      <c r="A817" s="100" t="s">
        <v>9985</v>
      </c>
      <c r="B817" s="8" t="s">
        <v>9993</v>
      </c>
      <c r="C817" s="8" t="s">
        <v>1432</v>
      </c>
      <c r="D817" s="8" t="s">
        <v>9462</v>
      </c>
      <c r="E817" s="8" t="s">
        <v>8292</v>
      </c>
      <c r="F817" s="8">
        <v>7.016560939E9</v>
      </c>
      <c r="G817" s="8"/>
      <c r="H817" s="21">
        <v>145.0</v>
      </c>
      <c r="I817" s="21" t="s">
        <v>9976</v>
      </c>
      <c r="J817" s="8" t="s">
        <v>1419</v>
      </c>
      <c r="K817" s="8" t="s">
        <v>49</v>
      </c>
      <c r="L817" s="8" t="s">
        <v>27</v>
      </c>
      <c r="M817" s="8" t="s">
        <v>28</v>
      </c>
      <c r="N817" s="21">
        <v>6015.0</v>
      </c>
      <c r="O817" s="21">
        <v>7097.0</v>
      </c>
      <c r="P817" s="86">
        <v>52.0</v>
      </c>
      <c r="Q817" s="8">
        <f t="shared" si="30"/>
        <v>3127.8</v>
      </c>
    </row>
    <row r="818">
      <c r="A818" s="100" t="s">
        <v>9985</v>
      </c>
      <c r="B818" s="8" t="s">
        <v>9994</v>
      </c>
      <c r="C818" s="8" t="s">
        <v>1395</v>
      </c>
      <c r="D818" s="8" t="s">
        <v>481</v>
      </c>
      <c r="E818" s="8" t="s">
        <v>9995</v>
      </c>
      <c r="F818" s="8">
        <v>9.725242787E9</v>
      </c>
      <c r="G818" s="8"/>
      <c r="H818" s="21">
        <v>2670.0</v>
      </c>
      <c r="I818" s="21" t="s">
        <v>9976</v>
      </c>
      <c r="J818" s="8" t="s">
        <v>1419</v>
      </c>
      <c r="K818" s="8" t="s">
        <v>49</v>
      </c>
      <c r="L818" s="8" t="s">
        <v>365</v>
      </c>
      <c r="M818" s="8" t="s">
        <v>28</v>
      </c>
      <c r="N818" s="21">
        <v>18083.0</v>
      </c>
      <c r="O818" s="21">
        <v>20375.0</v>
      </c>
      <c r="P818" s="86">
        <v>50.0</v>
      </c>
      <c r="Q818" s="8">
        <f t="shared" si="30"/>
        <v>9041.5</v>
      </c>
    </row>
    <row r="819">
      <c r="A819" s="100" t="s">
        <v>9985</v>
      </c>
      <c r="B819" s="8" t="s">
        <v>4852</v>
      </c>
      <c r="C819" s="8" t="s">
        <v>1395</v>
      </c>
      <c r="D819" s="8" t="s">
        <v>2116</v>
      </c>
      <c r="E819" s="8" t="s">
        <v>9996</v>
      </c>
      <c r="F819" s="8">
        <v>9.825613517E9</v>
      </c>
      <c r="G819" s="8"/>
      <c r="H819" s="21">
        <v>1600.0</v>
      </c>
      <c r="I819" s="21" t="s">
        <v>4829</v>
      </c>
      <c r="J819" s="8" t="s">
        <v>1424</v>
      </c>
      <c r="K819" s="8" t="s">
        <v>49</v>
      </c>
      <c r="L819" s="8" t="s">
        <v>27</v>
      </c>
      <c r="M819" s="8" t="s">
        <v>28</v>
      </c>
      <c r="N819" s="21">
        <v>19238.0</v>
      </c>
      <c r="O819" s="21">
        <v>21738.0</v>
      </c>
      <c r="P819" s="86">
        <v>52.0</v>
      </c>
      <c r="Q819" s="8">
        <f t="shared" si="30"/>
        <v>10003.76</v>
      </c>
    </row>
    <row r="820">
      <c r="A820" s="100" t="s">
        <v>9997</v>
      </c>
      <c r="B820" s="8" t="s">
        <v>9998</v>
      </c>
      <c r="C820" s="8" t="s">
        <v>1395</v>
      </c>
      <c r="D820" s="8" t="s">
        <v>178</v>
      </c>
      <c r="E820" s="8" t="s">
        <v>9999</v>
      </c>
      <c r="F820" s="8">
        <v>9.687555663E9</v>
      </c>
      <c r="G820" s="8"/>
      <c r="H820" s="21">
        <v>3460.0</v>
      </c>
      <c r="I820" s="21" t="s">
        <v>4743</v>
      </c>
      <c r="J820" s="8" t="s">
        <v>116</v>
      </c>
      <c r="K820" s="8" t="s">
        <v>49</v>
      </c>
      <c r="L820" s="8" t="s">
        <v>365</v>
      </c>
      <c r="M820" s="8" t="s">
        <v>28</v>
      </c>
      <c r="N820" s="97">
        <v>21779.0</v>
      </c>
      <c r="O820" s="97">
        <v>24730.0</v>
      </c>
      <c r="P820" s="86">
        <v>50.0</v>
      </c>
      <c r="Q820" s="8">
        <f t="shared" si="30"/>
        <v>10889.5</v>
      </c>
    </row>
    <row r="821">
      <c r="A821" s="100" t="s">
        <v>9997</v>
      </c>
      <c r="B821" s="8" t="s">
        <v>10000</v>
      </c>
      <c r="C821" s="8" t="s">
        <v>1432</v>
      </c>
      <c r="D821" s="8" t="s">
        <v>2125</v>
      </c>
      <c r="E821" s="8" t="s">
        <v>10001</v>
      </c>
      <c r="F821" s="8">
        <v>9.998153854E9</v>
      </c>
      <c r="G821" s="8"/>
      <c r="H821" s="21">
        <v>436.0</v>
      </c>
      <c r="I821" s="21" t="s">
        <v>9976</v>
      </c>
      <c r="J821" s="8" t="s">
        <v>1424</v>
      </c>
      <c r="K821" s="8" t="s">
        <v>49</v>
      </c>
      <c r="L821" s="8" t="s">
        <v>27</v>
      </c>
      <c r="M821" s="8" t="s">
        <v>28</v>
      </c>
      <c r="N821" s="21">
        <v>6513.0</v>
      </c>
      <c r="O821" s="21">
        <v>7685.0</v>
      </c>
      <c r="P821" s="86">
        <v>52.0</v>
      </c>
      <c r="Q821" s="8">
        <f t="shared" si="30"/>
        <v>3386.76</v>
      </c>
    </row>
    <row r="822">
      <c r="A822" s="100" t="s">
        <v>9997</v>
      </c>
      <c r="B822" s="8" t="s">
        <v>10002</v>
      </c>
      <c r="C822" s="8" t="s">
        <v>1432</v>
      </c>
      <c r="D822" s="8" t="s">
        <v>9402</v>
      </c>
      <c r="E822" s="8" t="s">
        <v>10003</v>
      </c>
      <c r="F822" s="8">
        <v>8.140075906E9</v>
      </c>
      <c r="G822" s="8"/>
      <c r="H822" s="21">
        <v>205.0</v>
      </c>
      <c r="I822" s="21" t="s">
        <v>4786</v>
      </c>
      <c r="J822" s="8" t="s">
        <v>1424</v>
      </c>
      <c r="K822" s="8" t="s">
        <v>49</v>
      </c>
      <c r="L822" s="8" t="s">
        <v>219</v>
      </c>
      <c r="M822" s="8" t="s">
        <v>28</v>
      </c>
      <c r="N822" s="21">
        <v>6576.0</v>
      </c>
      <c r="O822" s="21">
        <v>7760.0</v>
      </c>
      <c r="P822" s="86">
        <v>52.0</v>
      </c>
      <c r="Q822" s="8">
        <f t="shared" si="30"/>
        <v>3419.52</v>
      </c>
    </row>
    <row r="823">
      <c r="A823" s="100" t="s">
        <v>9997</v>
      </c>
      <c r="B823" s="8" t="s">
        <v>7616</v>
      </c>
      <c r="C823" s="8" t="s">
        <v>1395</v>
      </c>
      <c r="D823" s="8" t="s">
        <v>9266</v>
      </c>
      <c r="E823" s="8" t="s">
        <v>10004</v>
      </c>
      <c r="F823" s="8">
        <v>8.511522494E9</v>
      </c>
      <c r="G823" s="8"/>
      <c r="H823" s="21">
        <v>2565.0</v>
      </c>
      <c r="I823" s="21" t="s">
        <v>4743</v>
      </c>
      <c r="J823" s="8" t="s">
        <v>1424</v>
      </c>
      <c r="K823" s="8" t="s">
        <v>49</v>
      </c>
      <c r="L823" s="8" t="s">
        <v>71</v>
      </c>
      <c r="M823" s="8" t="s">
        <v>28</v>
      </c>
      <c r="N823" s="21">
        <v>19831.0</v>
      </c>
      <c r="O823" s="21">
        <v>22437.0</v>
      </c>
      <c r="P823" s="86">
        <v>52.0</v>
      </c>
      <c r="Q823" s="8">
        <f t="shared" si="30"/>
        <v>10312.12</v>
      </c>
    </row>
    <row r="824">
      <c r="A824" s="100" t="s">
        <v>9997</v>
      </c>
      <c r="B824" s="8" t="s">
        <v>10005</v>
      </c>
      <c r="C824" s="8" t="s">
        <v>1395</v>
      </c>
      <c r="D824" s="8" t="s">
        <v>10006</v>
      </c>
      <c r="E824" s="8" t="s">
        <v>10007</v>
      </c>
      <c r="F824" s="8">
        <v>9.824200204E9</v>
      </c>
      <c r="G824" s="8"/>
      <c r="H824" s="21">
        <v>2565.0</v>
      </c>
      <c r="I824" s="21" t="s">
        <v>4743</v>
      </c>
      <c r="J824" s="8" t="s">
        <v>1424</v>
      </c>
      <c r="K824" s="8" t="s">
        <v>49</v>
      </c>
      <c r="L824" s="8" t="s">
        <v>365</v>
      </c>
      <c r="M824" s="8" t="s">
        <v>28</v>
      </c>
      <c r="N824" s="21">
        <v>19756.0</v>
      </c>
      <c r="O824" s="21">
        <v>22350.0</v>
      </c>
      <c r="P824" s="86">
        <v>52.0</v>
      </c>
      <c r="Q824" s="8">
        <f t="shared" si="30"/>
        <v>10273.12</v>
      </c>
    </row>
    <row r="825">
      <c r="A825" s="100" t="s">
        <v>9997</v>
      </c>
      <c r="B825" s="8" t="s">
        <v>10008</v>
      </c>
      <c r="C825" s="8" t="s">
        <v>1395</v>
      </c>
      <c r="D825" s="8" t="s">
        <v>10009</v>
      </c>
      <c r="E825" s="8" t="s">
        <v>10010</v>
      </c>
      <c r="F825" s="8">
        <v>9.327311604E9</v>
      </c>
      <c r="G825" s="8"/>
      <c r="H825" s="21">
        <v>2575.0</v>
      </c>
      <c r="I825" s="21" t="s">
        <v>4743</v>
      </c>
      <c r="J825" s="8" t="s">
        <v>1424</v>
      </c>
      <c r="K825" s="8" t="s">
        <v>49</v>
      </c>
      <c r="L825" s="8" t="s">
        <v>1616</v>
      </c>
      <c r="M825" s="8" t="s">
        <v>28</v>
      </c>
      <c r="N825" s="21">
        <v>20901.0</v>
      </c>
      <c r="O825" s="21">
        <v>23701.0</v>
      </c>
      <c r="P825" s="86">
        <v>52.0</v>
      </c>
      <c r="Q825" s="8">
        <f t="shared" si="30"/>
        <v>10868.52</v>
      </c>
    </row>
    <row r="826">
      <c r="A826" s="100" t="s">
        <v>9997</v>
      </c>
      <c r="B826" s="8" t="s">
        <v>10011</v>
      </c>
      <c r="C826" s="8" t="s">
        <v>1395</v>
      </c>
      <c r="D826" s="8" t="s">
        <v>481</v>
      </c>
      <c r="E826" s="8" t="s">
        <v>10012</v>
      </c>
      <c r="F826" s="8">
        <v>9.879923161E9</v>
      </c>
      <c r="G826" s="8"/>
      <c r="H826" s="21">
        <v>2750.0</v>
      </c>
      <c r="I826" s="21" t="s">
        <v>4756</v>
      </c>
      <c r="J826" s="8" t="s">
        <v>1419</v>
      </c>
      <c r="K826" s="8" t="s">
        <v>26</v>
      </c>
      <c r="L826" s="8" t="s">
        <v>219</v>
      </c>
      <c r="M826" s="8" t="s">
        <v>28</v>
      </c>
      <c r="N826" s="21">
        <v>16149.0</v>
      </c>
      <c r="O826" s="21">
        <v>18093.0</v>
      </c>
      <c r="P826" s="86">
        <v>50.0</v>
      </c>
      <c r="Q826" s="8">
        <f t="shared" si="30"/>
        <v>8074.5</v>
      </c>
    </row>
    <row r="827">
      <c r="A827" s="100" t="s">
        <v>9997</v>
      </c>
      <c r="B827" s="8" t="s">
        <v>10013</v>
      </c>
      <c r="C827" s="8" t="s">
        <v>1432</v>
      </c>
      <c r="D827" s="8" t="s">
        <v>10014</v>
      </c>
      <c r="E827" s="8" t="s">
        <v>10015</v>
      </c>
      <c r="F827" s="8">
        <v>9.033372651E9</v>
      </c>
      <c r="G827" s="8"/>
      <c r="H827" s="21">
        <v>198.0</v>
      </c>
      <c r="I827" s="21" t="s">
        <v>4743</v>
      </c>
      <c r="J827" s="8" t="s">
        <v>1419</v>
      </c>
      <c r="K827" s="8" t="s">
        <v>49</v>
      </c>
      <c r="L827" s="8" t="s">
        <v>71</v>
      </c>
      <c r="M827" s="8" t="s">
        <v>28</v>
      </c>
      <c r="N827" s="21">
        <v>6012.0</v>
      </c>
      <c r="O827" s="21">
        <v>7094.0</v>
      </c>
      <c r="P827" s="86">
        <v>52.0</v>
      </c>
      <c r="Q827" s="8">
        <f t="shared" si="30"/>
        <v>3126.24</v>
      </c>
    </row>
    <row r="828">
      <c r="A828" s="100" t="s">
        <v>9997</v>
      </c>
      <c r="B828" s="8" t="s">
        <v>10016</v>
      </c>
      <c r="C828" s="8" t="s">
        <v>1432</v>
      </c>
      <c r="D828" s="8" t="s">
        <v>9893</v>
      </c>
      <c r="E828" s="8" t="s">
        <v>10017</v>
      </c>
      <c r="F828" s="8">
        <v>7.990487274E9</v>
      </c>
      <c r="G828" s="8"/>
      <c r="H828" s="21">
        <v>236.0</v>
      </c>
      <c r="I828" s="21" t="s">
        <v>4753</v>
      </c>
      <c r="J828" s="8" t="s">
        <v>1419</v>
      </c>
      <c r="K828" s="8" t="s">
        <v>49</v>
      </c>
      <c r="L828" s="8" t="s">
        <v>50</v>
      </c>
      <c r="M828" s="8" t="s">
        <v>28</v>
      </c>
      <c r="N828" s="21">
        <v>6794.0</v>
      </c>
      <c r="O828" s="21">
        <v>8016.0</v>
      </c>
      <c r="P828" s="86">
        <v>52.0</v>
      </c>
      <c r="Q828" s="8">
        <f t="shared" si="30"/>
        <v>3532.88</v>
      </c>
    </row>
    <row r="829">
      <c r="A829" s="100" t="s">
        <v>9997</v>
      </c>
      <c r="B829" s="8" t="s">
        <v>7617</v>
      </c>
      <c r="C829" s="8" t="s">
        <v>1395</v>
      </c>
      <c r="D829" s="8" t="s">
        <v>9702</v>
      </c>
      <c r="E829" s="8" t="s">
        <v>10018</v>
      </c>
      <c r="F829" s="8">
        <v>7.98417462E9</v>
      </c>
      <c r="G829" s="8"/>
      <c r="H829" s="21">
        <v>2735.0</v>
      </c>
      <c r="I829" s="21" t="s">
        <v>4743</v>
      </c>
      <c r="J829" s="8" t="s">
        <v>1424</v>
      </c>
      <c r="K829" s="8" t="s">
        <v>49</v>
      </c>
      <c r="L829" s="8" t="s">
        <v>71</v>
      </c>
      <c r="M829" s="8" t="s">
        <v>28</v>
      </c>
      <c r="N829" s="21">
        <v>20147.0</v>
      </c>
      <c r="O829" s="21">
        <v>22811.0</v>
      </c>
      <c r="P829" s="86">
        <v>52.0</v>
      </c>
      <c r="Q829" s="8">
        <f t="shared" si="30"/>
        <v>10476.44</v>
      </c>
    </row>
    <row r="830">
      <c r="A830" s="100" t="s">
        <v>10019</v>
      </c>
      <c r="B830" s="8" t="s">
        <v>10020</v>
      </c>
      <c r="C830" s="8" t="s">
        <v>1432</v>
      </c>
      <c r="D830" s="8" t="s">
        <v>2125</v>
      </c>
      <c r="E830" s="8" t="s">
        <v>10021</v>
      </c>
      <c r="F830" s="8">
        <v>9.879947496E9</v>
      </c>
      <c r="G830" s="8"/>
      <c r="H830" s="21">
        <v>436.0</v>
      </c>
      <c r="I830" s="21" t="s">
        <v>4756</v>
      </c>
      <c r="J830" s="8" t="s">
        <v>1424</v>
      </c>
      <c r="K830" s="8" t="s">
        <v>49</v>
      </c>
      <c r="L830" s="8" t="s">
        <v>50</v>
      </c>
      <c r="M830" s="8" t="s">
        <v>28</v>
      </c>
      <c r="N830" s="21">
        <v>6255.0</v>
      </c>
      <c r="O830" s="21">
        <v>7381.0</v>
      </c>
      <c r="P830" s="86">
        <v>52.0</v>
      </c>
      <c r="Q830" s="8">
        <f t="shared" si="30"/>
        <v>3252.6</v>
      </c>
    </row>
    <row r="831">
      <c r="A831" s="100" t="s">
        <v>10022</v>
      </c>
      <c r="B831" s="8" t="s">
        <v>10023</v>
      </c>
      <c r="C831" s="8" t="s">
        <v>21</v>
      </c>
      <c r="D831" s="8" t="s">
        <v>10024</v>
      </c>
      <c r="E831" s="8" t="s">
        <v>10025</v>
      </c>
      <c r="F831" s="8">
        <v>9.737090621E9</v>
      </c>
      <c r="G831" s="8"/>
      <c r="H831" s="21">
        <v>12990.0</v>
      </c>
      <c r="I831" s="21" t="s">
        <v>4743</v>
      </c>
      <c r="J831" s="8" t="s">
        <v>78</v>
      </c>
      <c r="K831" s="8" t="s">
        <v>49</v>
      </c>
      <c r="L831" s="8" t="s">
        <v>27</v>
      </c>
      <c r="M831" s="8" t="s">
        <v>28</v>
      </c>
      <c r="N831" s="21">
        <v>36588.0</v>
      </c>
      <c r="O831" s="21">
        <v>41056.0</v>
      </c>
      <c r="P831" s="86">
        <v>25.0</v>
      </c>
      <c r="Q831" s="8">
        <f t="shared" si="30"/>
        <v>9147</v>
      </c>
    </row>
    <row r="832">
      <c r="A832" s="100" t="s">
        <v>10022</v>
      </c>
      <c r="B832" s="8" t="s">
        <v>10026</v>
      </c>
      <c r="C832" s="8" t="s">
        <v>1432</v>
      </c>
      <c r="D832" s="8" t="s">
        <v>9893</v>
      </c>
      <c r="E832" s="8" t="s">
        <v>10027</v>
      </c>
      <c r="F832" s="8">
        <v>9.879754043E9</v>
      </c>
      <c r="G832" s="8"/>
      <c r="H832" s="21">
        <v>236.0</v>
      </c>
      <c r="I832" s="21" t="s">
        <v>4743</v>
      </c>
      <c r="J832" s="8" t="s">
        <v>1419</v>
      </c>
      <c r="K832" s="8" t="s">
        <v>49</v>
      </c>
      <c r="L832" s="8" t="s">
        <v>1451</v>
      </c>
      <c r="M832" s="8" t="s">
        <v>28</v>
      </c>
      <c r="N832" s="21">
        <v>6058.0</v>
      </c>
      <c r="O832" s="21">
        <v>7148.0</v>
      </c>
      <c r="P832" s="86">
        <v>52.0</v>
      </c>
      <c r="Q832" s="8">
        <f t="shared" si="30"/>
        <v>3150.16</v>
      </c>
    </row>
    <row r="833">
      <c r="A833" s="100" t="s">
        <v>10022</v>
      </c>
      <c r="B833" s="8" t="s">
        <v>10028</v>
      </c>
      <c r="C833" s="8" t="s">
        <v>1432</v>
      </c>
      <c r="D833" s="8" t="s">
        <v>2125</v>
      </c>
      <c r="E833" s="8" t="s">
        <v>10029</v>
      </c>
      <c r="F833" s="8">
        <v>7.990320413E9</v>
      </c>
      <c r="G833" s="8"/>
      <c r="H833" s="21">
        <v>436.0</v>
      </c>
      <c r="I833" s="21" t="s">
        <v>4743</v>
      </c>
      <c r="J833" s="8" t="s">
        <v>1424</v>
      </c>
      <c r="K833" s="8" t="s">
        <v>49</v>
      </c>
      <c r="L833" s="8" t="s">
        <v>50</v>
      </c>
      <c r="M833" s="8" t="s">
        <v>28</v>
      </c>
      <c r="N833" s="21">
        <v>6375.0</v>
      </c>
      <c r="O833" s="21">
        <v>7523.0</v>
      </c>
      <c r="P833" s="86">
        <v>52.0</v>
      </c>
      <c r="Q833" s="8">
        <f t="shared" si="30"/>
        <v>3315</v>
      </c>
    </row>
    <row r="834">
      <c r="A834" s="100" t="s">
        <v>10022</v>
      </c>
      <c r="B834" s="8" t="s">
        <v>10030</v>
      </c>
      <c r="C834" s="8" t="s">
        <v>1395</v>
      </c>
      <c r="D834" s="8" t="s">
        <v>524</v>
      </c>
      <c r="E834" s="8" t="s">
        <v>10031</v>
      </c>
      <c r="F834" s="8">
        <v>9.106188644E9</v>
      </c>
      <c r="G834" s="8"/>
      <c r="H834" s="21">
        <v>3490.0</v>
      </c>
      <c r="I834" s="21" t="s">
        <v>4756</v>
      </c>
      <c r="J834" s="8" t="s">
        <v>116</v>
      </c>
      <c r="K834" s="8" t="s">
        <v>49</v>
      </c>
      <c r="L834" s="8" t="s">
        <v>27</v>
      </c>
      <c r="M834" s="8" t="s">
        <v>28</v>
      </c>
      <c r="N834" s="97">
        <v>22581.0</v>
      </c>
      <c r="O834" s="97">
        <v>25677.0</v>
      </c>
      <c r="P834" s="86">
        <v>50.0</v>
      </c>
      <c r="Q834" s="8">
        <f t="shared" si="30"/>
        <v>11290.5</v>
      </c>
    </row>
    <row r="835">
      <c r="A835" s="100" t="s">
        <v>10022</v>
      </c>
      <c r="B835" s="8" t="s">
        <v>7482</v>
      </c>
      <c r="C835" s="8" t="s">
        <v>1395</v>
      </c>
      <c r="D835" s="8" t="s">
        <v>1318</v>
      </c>
      <c r="E835" s="8" t="s">
        <v>10032</v>
      </c>
      <c r="F835" s="8">
        <v>7.867860313E9</v>
      </c>
      <c r="G835" s="8"/>
      <c r="H835" s="21">
        <v>1600.0</v>
      </c>
      <c r="I835" s="21" t="s">
        <v>4779</v>
      </c>
      <c r="J835" s="593" t="s">
        <v>70</v>
      </c>
      <c r="K835" s="8" t="s">
        <v>49</v>
      </c>
      <c r="L835" s="8" t="s">
        <v>71</v>
      </c>
      <c r="M835" s="8" t="s">
        <v>28</v>
      </c>
      <c r="N835" s="97">
        <v>17491.0</v>
      </c>
      <c r="O835" s="97">
        <v>19677.0</v>
      </c>
      <c r="P835" s="86">
        <v>58.0</v>
      </c>
      <c r="Q835" s="8">
        <f t="shared" si="30"/>
        <v>10144.78</v>
      </c>
    </row>
    <row r="836">
      <c r="A836" s="100" t="s">
        <v>10022</v>
      </c>
      <c r="B836" s="86" t="s">
        <v>10033</v>
      </c>
      <c r="C836" s="86" t="s">
        <v>21</v>
      </c>
      <c r="D836" s="86" t="s">
        <v>10034</v>
      </c>
      <c r="E836" s="8"/>
      <c r="F836" s="8"/>
      <c r="G836" s="8"/>
      <c r="H836" s="165">
        <v>47500.0</v>
      </c>
      <c r="I836" s="165" t="s">
        <v>4791</v>
      </c>
      <c r="J836" s="86" t="s">
        <v>70</v>
      </c>
      <c r="K836" s="86" t="s">
        <v>49</v>
      </c>
      <c r="L836" s="86" t="s">
        <v>27</v>
      </c>
      <c r="M836" s="86" t="s">
        <v>28</v>
      </c>
      <c r="N836" s="165">
        <v>49784.0</v>
      </c>
      <c r="O836" s="165">
        <v>56091.0</v>
      </c>
      <c r="P836" s="86">
        <v>20.0</v>
      </c>
      <c r="Q836" s="8">
        <f t="shared" si="30"/>
        <v>9956.8</v>
      </c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</row>
    <row r="837">
      <c r="A837" s="100" t="s">
        <v>10022</v>
      </c>
      <c r="B837" s="86" t="s">
        <v>10035</v>
      </c>
      <c r="C837" s="86" t="s">
        <v>1759</v>
      </c>
      <c r="D837" s="86" t="s">
        <v>1760</v>
      </c>
      <c r="E837" s="8"/>
      <c r="F837" s="8"/>
      <c r="G837" s="8"/>
      <c r="H837" s="21"/>
      <c r="I837" s="21" t="s">
        <v>4779</v>
      </c>
      <c r="J837" s="86" t="s">
        <v>1419</v>
      </c>
      <c r="K837" s="86" t="s">
        <v>49</v>
      </c>
      <c r="L837" s="86" t="s">
        <v>27</v>
      </c>
      <c r="M837" s="86" t="s">
        <v>28</v>
      </c>
      <c r="N837" s="165">
        <v>6540.0</v>
      </c>
      <c r="O837" s="165">
        <v>7718.0</v>
      </c>
      <c r="P837" s="86">
        <v>52.0</v>
      </c>
      <c r="Q837" s="8">
        <f t="shared" si="30"/>
        <v>3400.8</v>
      </c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</row>
    <row r="838">
      <c r="A838" s="100" t="s">
        <v>10022</v>
      </c>
      <c r="B838" s="86" t="s">
        <v>10036</v>
      </c>
      <c r="C838" s="86" t="s">
        <v>1759</v>
      </c>
      <c r="D838" s="86" t="s">
        <v>1760</v>
      </c>
      <c r="E838" s="8"/>
      <c r="F838" s="8"/>
      <c r="G838" s="8"/>
      <c r="H838" s="21"/>
      <c r="I838" s="21" t="s">
        <v>4786</v>
      </c>
      <c r="J838" s="86" t="s">
        <v>1419</v>
      </c>
      <c r="K838" s="86" t="s">
        <v>49</v>
      </c>
      <c r="L838" s="86" t="s">
        <v>27</v>
      </c>
      <c r="M838" s="86" t="s">
        <v>28</v>
      </c>
      <c r="N838" s="165">
        <v>6370.0</v>
      </c>
      <c r="O838" s="165">
        <v>7516.0</v>
      </c>
      <c r="P838" s="86">
        <v>52.0</v>
      </c>
      <c r="Q838" s="8">
        <f t="shared" si="30"/>
        <v>3312.4</v>
      </c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</row>
    <row r="839">
      <c r="A839" s="100" t="s">
        <v>10022</v>
      </c>
      <c r="B839" s="86" t="s">
        <v>7479</v>
      </c>
      <c r="C839" s="86" t="s">
        <v>1395</v>
      </c>
      <c r="D839" s="86" t="s">
        <v>262</v>
      </c>
      <c r="E839" s="8"/>
      <c r="F839" s="8"/>
      <c r="G839" s="8"/>
      <c r="H839" s="165">
        <v>1600.0</v>
      </c>
      <c r="I839" s="21" t="s">
        <v>4786</v>
      </c>
      <c r="J839" s="86" t="s">
        <v>1424</v>
      </c>
      <c r="K839" s="86" t="s">
        <v>49</v>
      </c>
      <c r="L839" s="86" t="s">
        <v>71</v>
      </c>
      <c r="M839" s="86" t="s">
        <v>28</v>
      </c>
      <c r="N839" s="165">
        <v>19690.0</v>
      </c>
      <c r="O839" s="165">
        <v>22272.0</v>
      </c>
      <c r="P839" s="86">
        <v>52.0</v>
      </c>
      <c r="Q839" s="8">
        <f t="shared" si="30"/>
        <v>10238.8</v>
      </c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</row>
    <row r="840">
      <c r="A840" s="100" t="s">
        <v>10022</v>
      </c>
      <c r="B840" s="86" t="s">
        <v>10037</v>
      </c>
      <c r="C840" s="86" t="s">
        <v>1395</v>
      </c>
      <c r="D840" s="86" t="s">
        <v>10038</v>
      </c>
      <c r="E840" s="8"/>
      <c r="F840" s="8"/>
      <c r="G840" s="8"/>
      <c r="H840" s="165">
        <v>2805.0</v>
      </c>
      <c r="I840" s="102">
        <v>45666.0</v>
      </c>
      <c r="J840" s="86" t="s">
        <v>116</v>
      </c>
      <c r="K840" s="86" t="s">
        <v>49</v>
      </c>
      <c r="L840" s="86" t="s">
        <v>219</v>
      </c>
      <c r="M840" s="86" t="s">
        <v>28</v>
      </c>
      <c r="N840" s="165">
        <v>18735.0</v>
      </c>
      <c r="O840" s="165">
        <v>21139.0</v>
      </c>
      <c r="P840" s="86">
        <v>50.0</v>
      </c>
      <c r="Q840" s="8">
        <f t="shared" si="30"/>
        <v>9367.5</v>
      </c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</row>
    <row r="841">
      <c r="A841" s="126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</row>
    <row r="842">
      <c r="A842" s="126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126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126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126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126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126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126"/>
    </row>
    <row r="849">
      <c r="A849" s="126"/>
      <c r="F849" s="236"/>
    </row>
    <row r="850">
      <c r="A850" s="126"/>
      <c r="F850" s="236"/>
    </row>
    <row r="851">
      <c r="A851" s="100" t="s">
        <v>10039</v>
      </c>
      <c r="B851" s="8" t="s">
        <v>10040</v>
      </c>
      <c r="C851" s="8" t="s">
        <v>1432</v>
      </c>
      <c r="D851" s="8" t="s">
        <v>10041</v>
      </c>
      <c r="E851" s="8" t="s">
        <v>10042</v>
      </c>
      <c r="F851" s="8">
        <v>7.567684884E9</v>
      </c>
      <c r="G851" s="8"/>
      <c r="H851" s="21">
        <v>236.0</v>
      </c>
      <c r="I851" s="21" t="s">
        <v>4802</v>
      </c>
      <c r="J851" s="8" t="s">
        <v>1419</v>
      </c>
      <c r="K851" s="8" t="s">
        <v>49</v>
      </c>
      <c r="L851" s="8" t="s">
        <v>50</v>
      </c>
      <c r="M851" s="8" t="s">
        <v>28</v>
      </c>
      <c r="N851" s="21">
        <v>6370.0</v>
      </c>
      <c r="O851" s="21">
        <v>7516.0</v>
      </c>
      <c r="P851" s="5">
        <v>52.0</v>
      </c>
      <c r="Q851" s="8">
        <f t="shared" ref="Q851:Q870" si="31">N851*P851%</f>
        <v>3312.4</v>
      </c>
    </row>
    <row r="852">
      <c r="A852" s="100" t="s">
        <v>10039</v>
      </c>
      <c r="B852" s="8" t="s">
        <v>4797</v>
      </c>
      <c r="C852" s="8" t="s">
        <v>1395</v>
      </c>
      <c r="D852" s="8" t="s">
        <v>9127</v>
      </c>
      <c r="E852" s="8" t="s">
        <v>4800</v>
      </c>
      <c r="F852" s="8">
        <v>9.824184014E9</v>
      </c>
      <c r="G852" s="8"/>
      <c r="H852" s="21">
        <v>1630.0</v>
      </c>
      <c r="I852" s="21" t="s">
        <v>4791</v>
      </c>
      <c r="J852" s="8" t="s">
        <v>1424</v>
      </c>
      <c r="K852" s="8" t="s">
        <v>49</v>
      </c>
      <c r="L852" s="8" t="s">
        <v>365</v>
      </c>
      <c r="M852" s="8" t="s">
        <v>28</v>
      </c>
      <c r="N852" s="21">
        <v>19654.0</v>
      </c>
      <c r="O852" s="21">
        <v>22228.0</v>
      </c>
      <c r="P852" s="5">
        <v>52.0</v>
      </c>
      <c r="Q852" s="8">
        <f t="shared" si="31"/>
        <v>10220.08</v>
      </c>
    </row>
    <row r="853">
      <c r="A853" s="100" t="s">
        <v>10039</v>
      </c>
      <c r="B853" s="8" t="s">
        <v>10043</v>
      </c>
      <c r="C853" s="8" t="s">
        <v>1395</v>
      </c>
      <c r="D853" s="8" t="s">
        <v>1303</v>
      </c>
      <c r="E853" s="8" t="s">
        <v>9988</v>
      </c>
      <c r="F853" s="8">
        <v>9.426991738E9</v>
      </c>
      <c r="G853" s="8"/>
      <c r="H853" s="21">
        <v>2825.0</v>
      </c>
      <c r="I853" s="21" t="s">
        <v>4779</v>
      </c>
      <c r="J853" s="8" t="s">
        <v>116</v>
      </c>
      <c r="K853" s="8" t="s">
        <v>49</v>
      </c>
      <c r="L853" s="8" t="s">
        <v>365</v>
      </c>
      <c r="M853" s="8" t="s">
        <v>28</v>
      </c>
      <c r="N853" s="97">
        <v>21158.0</v>
      </c>
      <c r="O853" s="97">
        <v>23998.0</v>
      </c>
      <c r="P853" s="5">
        <v>50.0</v>
      </c>
      <c r="Q853" s="8">
        <f t="shared" si="31"/>
        <v>10579</v>
      </c>
    </row>
    <row r="854">
      <c r="A854" s="100" t="s">
        <v>10039</v>
      </c>
      <c r="B854" s="8" t="s">
        <v>10044</v>
      </c>
      <c r="C854" s="8" t="s">
        <v>1395</v>
      </c>
      <c r="D854" s="8" t="s">
        <v>6394</v>
      </c>
      <c r="E854" s="8" t="s">
        <v>10045</v>
      </c>
      <c r="F854" s="8">
        <v>7.600151111E9</v>
      </c>
      <c r="G854" s="8"/>
      <c r="H854" s="21">
        <v>2880.0</v>
      </c>
      <c r="I854" s="22">
        <v>45666.0</v>
      </c>
      <c r="J854" s="8" t="s">
        <v>116</v>
      </c>
      <c r="K854" s="8" t="s">
        <v>49</v>
      </c>
      <c r="L854" s="8" t="s">
        <v>185</v>
      </c>
      <c r="M854" s="8" t="s">
        <v>28</v>
      </c>
      <c r="N854" s="97">
        <v>21720.0</v>
      </c>
      <c r="O854" s="97">
        <v>24662.0</v>
      </c>
      <c r="P854" s="5">
        <v>50.0</v>
      </c>
      <c r="Q854" s="8">
        <f t="shared" si="31"/>
        <v>10860</v>
      </c>
    </row>
    <row r="855">
      <c r="A855" s="100" t="s">
        <v>10046</v>
      </c>
      <c r="B855" s="8" t="s">
        <v>7626</v>
      </c>
      <c r="C855" s="8" t="s">
        <v>1395</v>
      </c>
      <c r="D855" s="8" t="s">
        <v>9702</v>
      </c>
      <c r="E855" s="8" t="s">
        <v>10047</v>
      </c>
      <c r="F855" s="8">
        <v>9.574288853E9</v>
      </c>
      <c r="G855" s="8"/>
      <c r="H855" s="21">
        <v>2670.0</v>
      </c>
      <c r="I855" s="21" t="s">
        <v>10048</v>
      </c>
      <c r="J855" s="8" t="s">
        <v>1424</v>
      </c>
      <c r="K855" s="8" t="s">
        <v>49</v>
      </c>
      <c r="L855" s="8" t="s">
        <v>71</v>
      </c>
      <c r="M855" s="8" t="s">
        <v>28</v>
      </c>
      <c r="N855" s="21">
        <v>17003.0</v>
      </c>
      <c r="O855" s="21">
        <v>19101.0</v>
      </c>
      <c r="P855" s="5">
        <v>52.0</v>
      </c>
      <c r="Q855" s="8">
        <f t="shared" si="31"/>
        <v>8841.56</v>
      </c>
    </row>
    <row r="856">
      <c r="A856" s="100" t="s">
        <v>10046</v>
      </c>
      <c r="B856" s="8" t="s">
        <v>10049</v>
      </c>
      <c r="C856" s="8" t="s">
        <v>21</v>
      </c>
      <c r="D856" s="8" t="s">
        <v>8011</v>
      </c>
      <c r="E856" s="8" t="s">
        <v>10050</v>
      </c>
      <c r="F856" s="8">
        <v>7.990666343E9</v>
      </c>
      <c r="G856" s="8"/>
      <c r="H856" s="21">
        <v>16140.0</v>
      </c>
      <c r="I856" s="21" t="s">
        <v>4829</v>
      </c>
      <c r="J856" s="131" t="s">
        <v>2562</v>
      </c>
      <c r="K856" s="8" t="s">
        <v>49</v>
      </c>
      <c r="L856" s="8" t="s">
        <v>1436</v>
      </c>
      <c r="M856" s="8" t="s">
        <v>28</v>
      </c>
      <c r="N856" s="97">
        <v>49925.0</v>
      </c>
      <c r="O856" s="97">
        <v>56792.72</v>
      </c>
      <c r="P856" s="5">
        <v>23.0</v>
      </c>
      <c r="Q856" s="8">
        <f t="shared" si="31"/>
        <v>11482.75</v>
      </c>
    </row>
    <row r="857">
      <c r="A857" s="100" t="s">
        <v>10046</v>
      </c>
      <c r="B857" s="8" t="s">
        <v>7489</v>
      </c>
      <c r="C857" s="8" t="s">
        <v>1395</v>
      </c>
      <c r="D857" s="8" t="s">
        <v>2116</v>
      </c>
      <c r="E857" s="8" t="s">
        <v>10051</v>
      </c>
      <c r="F857" s="8">
        <v>9.574288853E9</v>
      </c>
      <c r="G857" s="8"/>
      <c r="H857" s="21">
        <v>1600.0</v>
      </c>
      <c r="I857" s="21" t="s">
        <v>4817</v>
      </c>
      <c r="J857" s="8" t="s">
        <v>1424</v>
      </c>
      <c r="K857" s="8" t="s">
        <v>49</v>
      </c>
      <c r="L857" s="8" t="s">
        <v>71</v>
      </c>
      <c r="M857" s="8" t="s">
        <v>28</v>
      </c>
      <c r="N857" s="21">
        <v>18979.0</v>
      </c>
      <c r="O857" s="21">
        <v>21433.0</v>
      </c>
      <c r="P857" s="5">
        <v>52.0</v>
      </c>
      <c r="Q857" s="8">
        <f t="shared" si="31"/>
        <v>9869.08</v>
      </c>
    </row>
    <row r="858">
      <c r="A858" s="100" t="s">
        <v>10046</v>
      </c>
      <c r="B858" s="8" t="s">
        <v>10052</v>
      </c>
      <c r="C858" s="8" t="s">
        <v>1395</v>
      </c>
      <c r="D858" s="8" t="s">
        <v>2091</v>
      </c>
      <c r="E858" s="8" t="s">
        <v>10053</v>
      </c>
      <c r="F858" s="8">
        <v>9.909541142E9</v>
      </c>
      <c r="G858" s="8"/>
      <c r="H858" s="21">
        <v>2825.0</v>
      </c>
      <c r="I858" s="21" t="s">
        <v>4817</v>
      </c>
      <c r="J858" s="8" t="s">
        <v>116</v>
      </c>
      <c r="K858" s="8" t="s">
        <v>49</v>
      </c>
      <c r="L858" s="8" t="s">
        <v>219</v>
      </c>
      <c r="M858" s="8" t="s">
        <v>28</v>
      </c>
      <c r="N858" s="97">
        <v>21424.0</v>
      </c>
      <c r="O858" s="97">
        <v>24312.0</v>
      </c>
      <c r="P858" s="5">
        <v>50.0</v>
      </c>
      <c r="Q858" s="8">
        <f t="shared" si="31"/>
        <v>10712</v>
      </c>
    </row>
    <row r="859">
      <c r="A859" s="100" t="s">
        <v>10046</v>
      </c>
      <c r="B859" s="8" t="s">
        <v>10054</v>
      </c>
      <c r="C859" s="8" t="s">
        <v>1432</v>
      </c>
      <c r="D859" s="8" t="s">
        <v>9151</v>
      </c>
      <c r="E859" s="8" t="s">
        <v>10055</v>
      </c>
      <c r="F859" s="8">
        <v>7.046956302E9</v>
      </c>
      <c r="G859" s="8"/>
      <c r="H859" s="21">
        <v>236.0</v>
      </c>
      <c r="I859" s="22">
        <v>46000.0</v>
      </c>
      <c r="J859" s="8" t="s">
        <v>1424</v>
      </c>
      <c r="K859" s="8" t="s">
        <v>49</v>
      </c>
      <c r="L859" s="8" t="s">
        <v>365</v>
      </c>
      <c r="M859" s="8" t="s">
        <v>28</v>
      </c>
      <c r="N859" s="21">
        <v>6424.0</v>
      </c>
      <c r="O859" s="21">
        <v>7580.0</v>
      </c>
      <c r="P859" s="5">
        <v>52.0</v>
      </c>
      <c r="Q859" s="8">
        <f t="shared" si="31"/>
        <v>3340.48</v>
      </c>
    </row>
    <row r="860">
      <c r="A860" s="100" t="s">
        <v>10046</v>
      </c>
      <c r="B860" s="8" t="s">
        <v>10056</v>
      </c>
      <c r="C860" s="8" t="s">
        <v>1432</v>
      </c>
      <c r="D860" s="8" t="s">
        <v>9151</v>
      </c>
      <c r="E860" s="8" t="s">
        <v>10057</v>
      </c>
      <c r="F860" s="8">
        <v>9.537572558E9</v>
      </c>
      <c r="G860" s="8"/>
      <c r="H860" s="21">
        <v>236.0</v>
      </c>
      <c r="I860" s="22">
        <v>45786.0</v>
      </c>
      <c r="J860" s="8" t="s">
        <v>1424</v>
      </c>
      <c r="K860" s="8" t="s">
        <v>49</v>
      </c>
      <c r="L860" s="8" t="s">
        <v>1616</v>
      </c>
      <c r="M860" s="8" t="s">
        <v>28</v>
      </c>
      <c r="N860" s="21">
        <v>6424.0</v>
      </c>
      <c r="O860" s="21">
        <v>7580.0</v>
      </c>
      <c r="P860" s="5">
        <v>52.0</v>
      </c>
      <c r="Q860" s="8">
        <f t="shared" si="31"/>
        <v>3340.48</v>
      </c>
    </row>
    <row r="861">
      <c r="A861" s="100" t="s">
        <v>10046</v>
      </c>
      <c r="B861" s="8" t="s">
        <v>10058</v>
      </c>
      <c r="C861" s="8" t="s">
        <v>1432</v>
      </c>
      <c r="D861" s="8" t="s">
        <v>9151</v>
      </c>
      <c r="E861" s="8" t="s">
        <v>10059</v>
      </c>
      <c r="F861" s="8">
        <v>9.726597655E9</v>
      </c>
      <c r="G861" s="8"/>
      <c r="H861" s="21">
        <v>236.0</v>
      </c>
      <c r="I861" s="21" t="s">
        <v>4817</v>
      </c>
      <c r="J861" s="8" t="s">
        <v>1424</v>
      </c>
      <c r="K861" s="8" t="s">
        <v>49</v>
      </c>
      <c r="L861" s="8" t="s">
        <v>1451</v>
      </c>
      <c r="M861" s="8" t="s">
        <v>28</v>
      </c>
      <c r="N861" s="21">
        <v>6202.0</v>
      </c>
      <c r="O861" s="21">
        <v>7318.0</v>
      </c>
      <c r="P861" s="5">
        <v>52.0</v>
      </c>
      <c r="Q861" s="8">
        <f t="shared" si="31"/>
        <v>3225.04</v>
      </c>
    </row>
    <row r="862">
      <c r="A862" s="100" t="s">
        <v>10046</v>
      </c>
      <c r="B862" s="8" t="s">
        <v>10060</v>
      </c>
      <c r="C862" s="8" t="s">
        <v>21</v>
      </c>
      <c r="D862" s="8" t="s">
        <v>9780</v>
      </c>
      <c r="E862" s="8" t="s">
        <v>10061</v>
      </c>
      <c r="F862" s="8">
        <v>9.016419898E9</v>
      </c>
      <c r="G862" s="8"/>
      <c r="H862" s="21">
        <v>35000.0</v>
      </c>
      <c r="I862" s="21" t="s">
        <v>4829</v>
      </c>
      <c r="J862" s="8" t="s">
        <v>78</v>
      </c>
      <c r="K862" s="8" t="s">
        <v>49</v>
      </c>
      <c r="L862" s="8" t="s">
        <v>27</v>
      </c>
      <c r="M862" s="8" t="s">
        <v>28</v>
      </c>
      <c r="N862" s="21">
        <v>46480.0</v>
      </c>
      <c r="O862" s="21">
        <v>52209.0</v>
      </c>
      <c r="P862" s="5">
        <v>23.0</v>
      </c>
      <c r="Q862" s="8">
        <f t="shared" si="31"/>
        <v>10690.4</v>
      </c>
    </row>
    <row r="863">
      <c r="A863" s="100" t="s">
        <v>10046</v>
      </c>
      <c r="B863" s="8" t="s">
        <v>7535</v>
      </c>
      <c r="C863" s="8" t="s">
        <v>1395</v>
      </c>
      <c r="D863" s="8" t="s">
        <v>10062</v>
      </c>
      <c r="E863" s="8" t="s">
        <v>10063</v>
      </c>
      <c r="F863" s="8">
        <v>7.016023309E9</v>
      </c>
      <c r="G863" s="8"/>
      <c r="H863" s="21">
        <v>2960.0</v>
      </c>
      <c r="I863" s="22">
        <v>45666.0</v>
      </c>
      <c r="J863" s="8" t="s">
        <v>116</v>
      </c>
      <c r="K863" s="8" t="s">
        <v>49</v>
      </c>
      <c r="L863" s="8" t="s">
        <v>71</v>
      </c>
      <c r="M863" s="8" t="s">
        <v>28</v>
      </c>
      <c r="N863" s="97">
        <v>19192.0</v>
      </c>
      <c r="O863" s="97">
        <v>21676.0</v>
      </c>
      <c r="P863" s="5">
        <v>50.0</v>
      </c>
      <c r="Q863" s="8">
        <f t="shared" si="31"/>
        <v>9596</v>
      </c>
    </row>
    <row r="864">
      <c r="A864" s="100" t="s">
        <v>10064</v>
      </c>
      <c r="B864" s="8" t="s">
        <v>10065</v>
      </c>
      <c r="C864" s="8" t="s">
        <v>1432</v>
      </c>
      <c r="D864" s="8" t="s">
        <v>1439</v>
      </c>
      <c r="E864" s="8" t="s">
        <v>10066</v>
      </c>
      <c r="F864" s="8">
        <v>9.726597655E9</v>
      </c>
      <c r="G864" s="8"/>
      <c r="H864" s="21">
        <v>236.0</v>
      </c>
      <c r="I864" s="22">
        <v>45756.0</v>
      </c>
      <c r="J864" s="8" t="s">
        <v>1419</v>
      </c>
      <c r="K864" s="8" t="s">
        <v>49</v>
      </c>
      <c r="L864" s="8" t="s">
        <v>1451</v>
      </c>
      <c r="M864" s="8" t="s">
        <v>28</v>
      </c>
      <c r="N864" s="21">
        <v>6431.0</v>
      </c>
      <c r="O864" s="21">
        <v>7589.0</v>
      </c>
      <c r="P864" s="5">
        <v>52.0</v>
      </c>
      <c r="Q864" s="8">
        <f t="shared" si="31"/>
        <v>3344.12</v>
      </c>
    </row>
    <row r="865">
      <c r="A865" s="100" t="s">
        <v>10064</v>
      </c>
      <c r="B865" s="8" t="s">
        <v>10067</v>
      </c>
      <c r="C865" s="8" t="s">
        <v>1432</v>
      </c>
      <c r="D865" s="8" t="s">
        <v>1439</v>
      </c>
      <c r="E865" s="8" t="s">
        <v>10068</v>
      </c>
      <c r="F865" s="8">
        <v>9.824522317E9</v>
      </c>
      <c r="G865" s="8"/>
      <c r="H865" s="21">
        <v>236.0</v>
      </c>
      <c r="I865" s="21" t="s">
        <v>4842</v>
      </c>
      <c r="J865" s="8" t="s">
        <v>1419</v>
      </c>
      <c r="K865" s="8" t="s">
        <v>49</v>
      </c>
      <c r="L865" s="8" t="s">
        <v>50</v>
      </c>
      <c r="M865" s="8" t="s">
        <v>28</v>
      </c>
      <c r="N865" s="21">
        <v>6370.0</v>
      </c>
      <c r="O865" s="21">
        <v>7516.0</v>
      </c>
      <c r="P865" s="5">
        <v>52.0</v>
      </c>
      <c r="Q865" s="8">
        <f t="shared" si="31"/>
        <v>3312.4</v>
      </c>
    </row>
    <row r="866">
      <c r="A866" s="100" t="s">
        <v>10064</v>
      </c>
      <c r="B866" s="8" t="s">
        <v>4867</v>
      </c>
      <c r="C866" s="8" t="s">
        <v>1395</v>
      </c>
      <c r="D866" s="8" t="s">
        <v>2116</v>
      </c>
      <c r="E866" s="8" t="s">
        <v>10069</v>
      </c>
      <c r="F866" s="8">
        <v>7.572976013E9</v>
      </c>
      <c r="G866" s="8"/>
      <c r="H866" s="21">
        <v>1600.0</v>
      </c>
      <c r="I866" s="22">
        <v>45697.0</v>
      </c>
      <c r="J866" s="8" t="s">
        <v>1424</v>
      </c>
      <c r="K866" s="8" t="s">
        <v>49</v>
      </c>
      <c r="L866" s="8" t="s">
        <v>71</v>
      </c>
      <c r="M866" s="8" t="s">
        <v>28</v>
      </c>
      <c r="N866" s="21">
        <v>18712.0</v>
      </c>
      <c r="O866" s="21">
        <v>21118.0</v>
      </c>
      <c r="P866" s="5">
        <v>52.0</v>
      </c>
      <c r="Q866" s="8">
        <f t="shared" si="31"/>
        <v>9730.24</v>
      </c>
    </row>
    <row r="867">
      <c r="A867" s="100" t="s">
        <v>10064</v>
      </c>
      <c r="B867" s="8" t="s">
        <v>7640</v>
      </c>
      <c r="C867" s="8" t="s">
        <v>21</v>
      </c>
      <c r="D867" s="8" t="s">
        <v>10070</v>
      </c>
      <c r="E867" s="8" t="s">
        <v>10071</v>
      </c>
      <c r="F867" s="8">
        <v>9.913772807E9</v>
      </c>
      <c r="G867" s="8"/>
      <c r="H867" s="21">
        <v>16020.0</v>
      </c>
      <c r="I867" s="21" t="s">
        <v>4829</v>
      </c>
      <c r="J867" s="8" t="s">
        <v>78</v>
      </c>
      <c r="K867" s="8" t="s">
        <v>49</v>
      </c>
      <c r="L867" s="8" t="s">
        <v>71</v>
      </c>
      <c r="M867" s="8" t="s">
        <v>28</v>
      </c>
      <c r="N867" s="21">
        <v>55282.0</v>
      </c>
      <c r="O867" s="21">
        <v>63114.0</v>
      </c>
      <c r="P867" s="5">
        <v>25.0</v>
      </c>
      <c r="Q867" s="8">
        <f t="shared" si="31"/>
        <v>13820.5</v>
      </c>
    </row>
    <row r="868">
      <c r="A868" s="100" t="s">
        <v>10064</v>
      </c>
      <c r="B868" s="8" t="s">
        <v>10072</v>
      </c>
      <c r="C868" s="8" t="s">
        <v>1432</v>
      </c>
      <c r="D868" s="8" t="s">
        <v>9151</v>
      </c>
      <c r="E868" s="8" t="s">
        <v>10073</v>
      </c>
      <c r="F868" s="8">
        <v>9.510443221E9</v>
      </c>
      <c r="G868" s="8"/>
      <c r="H868" s="21">
        <v>236.0</v>
      </c>
      <c r="I868" s="21" t="s">
        <v>4829</v>
      </c>
      <c r="J868" s="8" t="s">
        <v>1424</v>
      </c>
      <c r="K868" s="8" t="s">
        <v>49</v>
      </c>
      <c r="L868" s="8" t="s">
        <v>111</v>
      </c>
      <c r="M868" s="8" t="s">
        <v>28</v>
      </c>
      <c r="N868" s="21">
        <v>6528.0</v>
      </c>
      <c r="O868" s="21">
        <v>7704.0</v>
      </c>
      <c r="P868" s="5">
        <v>52.0</v>
      </c>
      <c r="Q868" s="8">
        <f t="shared" si="31"/>
        <v>3394.56</v>
      </c>
    </row>
    <row r="869">
      <c r="A869" s="100" t="s">
        <v>10064</v>
      </c>
      <c r="B869" s="8" t="s">
        <v>4803</v>
      </c>
      <c r="C869" s="8" t="s">
        <v>1395</v>
      </c>
      <c r="D869" s="8" t="s">
        <v>10074</v>
      </c>
      <c r="E869" s="8" t="s">
        <v>4806</v>
      </c>
      <c r="F869" s="8">
        <v>9.328499896E9</v>
      </c>
      <c r="G869" s="8"/>
      <c r="H869" s="21">
        <v>1950.0</v>
      </c>
      <c r="I869" s="21" t="s">
        <v>4817</v>
      </c>
      <c r="J869" s="8" t="s">
        <v>1424</v>
      </c>
      <c r="K869" s="8" t="s">
        <v>49</v>
      </c>
      <c r="L869" s="8" t="s">
        <v>71</v>
      </c>
      <c r="M869" s="8" t="s">
        <v>28</v>
      </c>
      <c r="N869" s="21">
        <v>19461.0</v>
      </c>
      <c r="O869" s="21">
        <v>22001.0</v>
      </c>
      <c r="P869" s="5">
        <v>52.0</v>
      </c>
      <c r="Q869" s="8">
        <f t="shared" si="31"/>
        <v>10119.72</v>
      </c>
    </row>
    <row r="870">
      <c r="A870" s="100" t="s">
        <v>10064</v>
      </c>
      <c r="B870" s="8" t="s">
        <v>4863</v>
      </c>
      <c r="C870" s="8" t="s">
        <v>21</v>
      </c>
      <c r="D870" s="8" t="s">
        <v>8011</v>
      </c>
      <c r="E870" s="8" t="s">
        <v>10075</v>
      </c>
      <c r="F870" s="8">
        <v>7.801855508E9</v>
      </c>
      <c r="G870" s="8"/>
      <c r="H870" s="21">
        <v>15184.0</v>
      </c>
      <c r="I870" s="22">
        <v>45666.0</v>
      </c>
      <c r="J870" s="131" t="s">
        <v>2562</v>
      </c>
      <c r="K870" s="8" t="s">
        <v>49</v>
      </c>
      <c r="L870" s="8" t="s">
        <v>71</v>
      </c>
      <c r="M870" s="8" t="s">
        <v>28</v>
      </c>
      <c r="N870" s="97">
        <v>37860.0</v>
      </c>
      <c r="O870" s="97">
        <v>42556.02</v>
      </c>
      <c r="P870" s="5">
        <v>23.0</v>
      </c>
      <c r="Q870" s="8">
        <f t="shared" si="31"/>
        <v>8707.8</v>
      </c>
    </row>
    <row r="871">
      <c r="A871" s="126"/>
      <c r="F871" s="236"/>
    </row>
    <row r="872">
      <c r="A872" s="87">
        <v>45331.0</v>
      </c>
      <c r="B872" s="8" t="s">
        <v>10076</v>
      </c>
      <c r="C872" s="8" t="s">
        <v>533</v>
      </c>
      <c r="D872" s="8" t="s">
        <v>10077</v>
      </c>
      <c r="E872" s="8" t="s">
        <v>10078</v>
      </c>
      <c r="F872" s="8">
        <v>7.874921126E9</v>
      </c>
      <c r="G872" s="8"/>
      <c r="H872" s="21">
        <v>2146.0</v>
      </c>
      <c r="I872" s="22" t="s">
        <v>10079</v>
      </c>
      <c r="J872" s="8" t="s">
        <v>4916</v>
      </c>
      <c r="K872" s="8" t="s">
        <v>26</v>
      </c>
      <c r="L872" s="8" t="s">
        <v>27</v>
      </c>
      <c r="M872" s="8" t="s">
        <v>28</v>
      </c>
      <c r="N872" s="21">
        <v>7317.0</v>
      </c>
      <c r="O872" s="21">
        <v>8634.0</v>
      </c>
      <c r="P872" s="5">
        <v>42.0</v>
      </c>
      <c r="Q872" s="8">
        <f t="shared" ref="Q872:Q907" si="32">N872*P872%</f>
        <v>3073.14</v>
      </c>
    </row>
    <row r="873">
      <c r="A873" s="87">
        <v>45360.0</v>
      </c>
      <c r="B873" s="8" t="s">
        <v>5300</v>
      </c>
      <c r="C873" s="8" t="s">
        <v>1432</v>
      </c>
      <c r="D873" s="8" t="s">
        <v>9941</v>
      </c>
      <c r="E873" s="8" t="s">
        <v>8235</v>
      </c>
      <c r="F873" s="8">
        <v>9.687058847E9</v>
      </c>
      <c r="G873" s="8"/>
      <c r="H873" s="21">
        <v>198.0</v>
      </c>
      <c r="I873" s="22">
        <v>45666.0</v>
      </c>
      <c r="J873" s="8" t="s">
        <v>1424</v>
      </c>
      <c r="K873" s="8" t="s">
        <v>49</v>
      </c>
      <c r="L873" s="8" t="s">
        <v>27</v>
      </c>
      <c r="M873" s="8" t="s">
        <v>28</v>
      </c>
      <c r="N873" s="21">
        <v>6095.0</v>
      </c>
      <c r="O873" s="21">
        <v>7193.0</v>
      </c>
      <c r="P873" s="5">
        <v>53.0</v>
      </c>
      <c r="Q873" s="8">
        <f t="shared" si="32"/>
        <v>3230.35</v>
      </c>
    </row>
    <row r="874">
      <c r="A874" s="87">
        <v>45360.0</v>
      </c>
      <c r="B874" s="8" t="s">
        <v>10080</v>
      </c>
      <c r="C874" s="8" t="s">
        <v>1432</v>
      </c>
      <c r="D874" s="8" t="s">
        <v>2125</v>
      </c>
      <c r="E874" s="8" t="s">
        <v>10081</v>
      </c>
      <c r="F874" s="8">
        <v>9.106296107E9</v>
      </c>
      <c r="G874" s="8"/>
      <c r="H874" s="21">
        <v>436.0</v>
      </c>
      <c r="I874" s="22">
        <v>45666.0</v>
      </c>
      <c r="J874" s="8" t="s">
        <v>1424</v>
      </c>
      <c r="K874" s="8" t="s">
        <v>49</v>
      </c>
      <c r="L874" s="8" t="s">
        <v>111</v>
      </c>
      <c r="M874" s="8" t="s">
        <v>28</v>
      </c>
      <c r="N874" s="21">
        <v>6320.0</v>
      </c>
      <c r="O874" s="21">
        <v>7458.0</v>
      </c>
      <c r="P874" s="5">
        <v>53.0</v>
      </c>
      <c r="Q874" s="8">
        <f t="shared" si="32"/>
        <v>3349.6</v>
      </c>
    </row>
    <row r="875">
      <c r="A875" s="87">
        <v>45360.0</v>
      </c>
      <c r="B875" s="8" t="s">
        <v>10082</v>
      </c>
      <c r="C875" s="8" t="s">
        <v>1432</v>
      </c>
      <c r="D875" s="8" t="s">
        <v>2125</v>
      </c>
      <c r="E875" s="8" t="s">
        <v>10083</v>
      </c>
      <c r="F875" s="8">
        <v>9.265283415E9</v>
      </c>
      <c r="G875" s="8"/>
      <c r="H875" s="21">
        <v>436.0</v>
      </c>
      <c r="I875" s="22">
        <v>45666.0</v>
      </c>
      <c r="J875" s="8" t="s">
        <v>1424</v>
      </c>
      <c r="K875" s="8" t="s">
        <v>49</v>
      </c>
      <c r="L875" s="8" t="s">
        <v>111</v>
      </c>
      <c r="M875" s="8" t="s">
        <v>28</v>
      </c>
      <c r="N875" s="21">
        <v>6266.0</v>
      </c>
      <c r="O875" s="21">
        <v>7394.0</v>
      </c>
      <c r="P875" s="5">
        <v>53.0</v>
      </c>
      <c r="Q875" s="8">
        <f t="shared" si="32"/>
        <v>3320.98</v>
      </c>
    </row>
    <row r="876">
      <c r="A876" s="87">
        <v>45360.0</v>
      </c>
      <c r="B876" s="8" t="s">
        <v>7495</v>
      </c>
      <c r="C876" s="8" t="s">
        <v>1395</v>
      </c>
      <c r="D876" s="8" t="s">
        <v>2112</v>
      </c>
      <c r="E876" s="8" t="s">
        <v>10084</v>
      </c>
      <c r="F876" s="8">
        <v>9.277204567E9</v>
      </c>
      <c r="G876" s="8"/>
      <c r="H876" s="21">
        <v>1600.0</v>
      </c>
      <c r="I876" s="22">
        <v>45697.0</v>
      </c>
      <c r="J876" s="8" t="s">
        <v>1424</v>
      </c>
      <c r="K876" s="8" t="s">
        <v>49</v>
      </c>
      <c r="L876" s="8" t="s">
        <v>71</v>
      </c>
      <c r="M876" s="8" t="s">
        <v>28</v>
      </c>
      <c r="N876" s="21">
        <v>18490.0</v>
      </c>
      <c r="O876" s="21">
        <v>20856.0</v>
      </c>
      <c r="P876" s="5">
        <v>52.0</v>
      </c>
      <c r="Q876" s="8">
        <f t="shared" si="32"/>
        <v>9614.8</v>
      </c>
    </row>
    <row r="877">
      <c r="A877" s="87">
        <v>45360.0</v>
      </c>
      <c r="B877" s="8" t="s">
        <v>7654</v>
      </c>
      <c r="C877" s="8" t="s">
        <v>21</v>
      </c>
      <c r="D877" s="8" t="s">
        <v>10085</v>
      </c>
      <c r="E877" s="8" t="s">
        <v>10086</v>
      </c>
      <c r="F877" s="8">
        <v>6.353380582E9</v>
      </c>
      <c r="G877" s="8"/>
      <c r="H877" s="21">
        <v>11950.0</v>
      </c>
      <c r="I877" s="22">
        <v>45756.0</v>
      </c>
      <c r="J877" s="8" t="s">
        <v>25</v>
      </c>
      <c r="K877" s="8" t="s">
        <v>49</v>
      </c>
      <c r="L877" s="8" t="s">
        <v>71</v>
      </c>
      <c r="M877" s="8" t="s">
        <v>28</v>
      </c>
      <c r="N877" s="97">
        <v>31471.0</v>
      </c>
      <c r="O877" s="97">
        <v>35505.0</v>
      </c>
      <c r="P877" s="5">
        <v>25.0</v>
      </c>
      <c r="Q877" s="8">
        <f t="shared" si="32"/>
        <v>7867.75</v>
      </c>
    </row>
    <row r="878">
      <c r="A878" s="87">
        <v>45391.0</v>
      </c>
      <c r="B878" s="8" t="s">
        <v>10087</v>
      </c>
      <c r="C878" s="8" t="s">
        <v>1405</v>
      </c>
      <c r="D878" s="8" t="s">
        <v>10088</v>
      </c>
      <c r="E878" s="8" t="s">
        <v>10089</v>
      </c>
      <c r="F878" s="8">
        <v>9.512704786E9</v>
      </c>
      <c r="G878" s="8"/>
      <c r="H878" s="21">
        <v>995.0</v>
      </c>
      <c r="I878" s="22">
        <v>45725.0</v>
      </c>
      <c r="J878" s="8" t="s">
        <v>78</v>
      </c>
      <c r="K878" s="8" t="s">
        <v>49</v>
      </c>
      <c r="L878" s="8" t="s">
        <v>50</v>
      </c>
      <c r="M878" s="8" t="s">
        <v>28</v>
      </c>
      <c r="N878" s="21">
        <v>5108.0</v>
      </c>
      <c r="O878" s="21">
        <v>5758.0</v>
      </c>
      <c r="P878" s="5">
        <v>55.0</v>
      </c>
      <c r="Q878" s="8">
        <f t="shared" si="32"/>
        <v>2809.4</v>
      </c>
    </row>
    <row r="879">
      <c r="A879" s="87">
        <v>45391.0</v>
      </c>
      <c r="B879" s="8" t="s">
        <v>7620</v>
      </c>
      <c r="C879" s="8" t="s">
        <v>1395</v>
      </c>
      <c r="D879" s="8" t="s">
        <v>10090</v>
      </c>
      <c r="E879" s="8" t="s">
        <v>10091</v>
      </c>
      <c r="F879" s="8">
        <v>9.913297786E9</v>
      </c>
      <c r="G879" s="8"/>
      <c r="H879" s="21">
        <v>2500.0</v>
      </c>
      <c r="I879" s="22">
        <v>45725.0</v>
      </c>
      <c r="J879" s="131" t="s">
        <v>9946</v>
      </c>
      <c r="K879" s="8" t="s">
        <v>49</v>
      </c>
      <c r="L879" s="8" t="s">
        <v>71</v>
      </c>
      <c r="M879" s="8" t="s">
        <v>28</v>
      </c>
      <c r="N879" s="97">
        <v>16907.0</v>
      </c>
      <c r="O879" s="97">
        <v>18987.0</v>
      </c>
      <c r="P879" s="5">
        <v>59.0</v>
      </c>
      <c r="Q879" s="8">
        <f t="shared" si="32"/>
        <v>9975.13</v>
      </c>
    </row>
    <row r="880">
      <c r="A880" s="87">
        <v>45391.0</v>
      </c>
      <c r="B880" s="8" t="s">
        <v>4894</v>
      </c>
      <c r="C880" s="8" t="s">
        <v>1395</v>
      </c>
      <c r="D880" s="8" t="s">
        <v>2116</v>
      </c>
      <c r="E880" s="8" t="s">
        <v>4896</v>
      </c>
      <c r="F880" s="8">
        <v>9.979476839E9</v>
      </c>
      <c r="G880" s="8"/>
      <c r="H880" s="21">
        <v>1600.0</v>
      </c>
      <c r="I880" s="22">
        <v>45725.0</v>
      </c>
      <c r="J880" s="8" t="s">
        <v>1424</v>
      </c>
      <c r="K880" s="8" t="s">
        <v>49</v>
      </c>
      <c r="L880" s="8" t="s">
        <v>27</v>
      </c>
      <c r="M880" s="8" t="s">
        <v>28</v>
      </c>
      <c r="N880" s="21">
        <v>19208.0</v>
      </c>
      <c r="O880" s="21">
        <v>21702.0</v>
      </c>
      <c r="P880" s="5">
        <v>52.0</v>
      </c>
      <c r="Q880" s="8">
        <f t="shared" si="32"/>
        <v>9988.16</v>
      </c>
    </row>
    <row r="881">
      <c r="A881" s="87">
        <v>45391.0</v>
      </c>
      <c r="B881" s="8" t="s">
        <v>10092</v>
      </c>
      <c r="C881" s="8" t="s">
        <v>1405</v>
      </c>
      <c r="D881" s="8" t="s">
        <v>10093</v>
      </c>
      <c r="E881" s="8" t="s">
        <v>10094</v>
      </c>
      <c r="F881" s="8">
        <v>8.347388756E9</v>
      </c>
      <c r="G881" s="8"/>
      <c r="H881" s="21">
        <v>1020.0</v>
      </c>
      <c r="I881" s="22">
        <v>45756.0</v>
      </c>
      <c r="J881" s="8" t="s">
        <v>78</v>
      </c>
      <c r="K881" s="8" t="s">
        <v>49</v>
      </c>
      <c r="L881" s="8" t="s">
        <v>365</v>
      </c>
      <c r="M881" s="8" t="s">
        <v>28</v>
      </c>
      <c r="N881" s="21">
        <v>5433.0</v>
      </c>
      <c r="O881" s="21">
        <v>6141.0</v>
      </c>
      <c r="P881" s="5">
        <v>55.0</v>
      </c>
      <c r="Q881" s="8">
        <f t="shared" si="32"/>
        <v>2988.15</v>
      </c>
    </row>
    <row r="882">
      <c r="A882" s="87">
        <v>45391.0</v>
      </c>
      <c r="B882" s="8" t="s">
        <v>10095</v>
      </c>
      <c r="C882" s="8" t="s">
        <v>1432</v>
      </c>
      <c r="D882" s="8" t="s">
        <v>2125</v>
      </c>
      <c r="E882" s="8" t="s">
        <v>10096</v>
      </c>
      <c r="F882" s="8">
        <v>8.140066412E9</v>
      </c>
      <c r="G882" s="8"/>
      <c r="H882" s="21">
        <v>436.0</v>
      </c>
      <c r="I882" s="22">
        <v>45786.0</v>
      </c>
      <c r="J882" s="8" t="s">
        <v>1424</v>
      </c>
      <c r="K882" s="8" t="s">
        <v>49</v>
      </c>
      <c r="L882" s="8" t="s">
        <v>1616</v>
      </c>
      <c r="M882" s="8" t="s">
        <v>28</v>
      </c>
      <c r="N882" s="21">
        <v>6375.0</v>
      </c>
      <c r="O882" s="21">
        <v>7523.0</v>
      </c>
      <c r="P882" s="5">
        <v>53.0</v>
      </c>
      <c r="Q882" s="8">
        <f t="shared" si="32"/>
        <v>3378.75</v>
      </c>
    </row>
    <row r="883">
      <c r="A883" s="87">
        <v>45391.0</v>
      </c>
      <c r="B883" s="8" t="s">
        <v>10097</v>
      </c>
      <c r="C883" s="8" t="s">
        <v>1405</v>
      </c>
      <c r="D883" s="8" t="s">
        <v>9210</v>
      </c>
      <c r="E883" s="8" t="s">
        <v>10098</v>
      </c>
      <c r="F883" s="8">
        <v>6.35591109E9</v>
      </c>
      <c r="G883" s="8"/>
      <c r="H883" s="21">
        <v>990.0</v>
      </c>
      <c r="I883" s="22">
        <v>45756.0</v>
      </c>
      <c r="J883" s="8" t="s">
        <v>78</v>
      </c>
      <c r="K883" s="8" t="s">
        <v>26</v>
      </c>
      <c r="L883" s="8" t="s">
        <v>27</v>
      </c>
      <c r="M883" s="8" t="s">
        <v>28</v>
      </c>
      <c r="N883" s="21">
        <v>4542.0</v>
      </c>
      <c r="O883" s="21">
        <v>5090.0</v>
      </c>
      <c r="P883" s="5">
        <v>55.0</v>
      </c>
      <c r="Q883" s="8">
        <f t="shared" si="32"/>
        <v>2498.1</v>
      </c>
    </row>
    <row r="884">
      <c r="A884" s="87">
        <v>45391.0</v>
      </c>
      <c r="B884" s="8" t="s">
        <v>4927</v>
      </c>
      <c r="C884" s="8" t="s">
        <v>1405</v>
      </c>
      <c r="D884" s="8" t="s">
        <v>1479</v>
      </c>
      <c r="E884" s="8" t="s">
        <v>10099</v>
      </c>
      <c r="F884" s="8">
        <v>9.879496972E9</v>
      </c>
      <c r="G884" s="8"/>
      <c r="H884" s="21">
        <v>990.0</v>
      </c>
      <c r="I884" s="8" t="s">
        <v>10100</v>
      </c>
      <c r="J884" s="8" t="s">
        <v>1419</v>
      </c>
      <c r="K884" s="8" t="s">
        <v>49</v>
      </c>
      <c r="L884" s="8" t="s">
        <v>365</v>
      </c>
      <c r="M884" s="8" t="s">
        <v>28</v>
      </c>
      <c r="N884" s="21">
        <v>5236.0</v>
      </c>
      <c r="O884" s="21">
        <v>5910.0</v>
      </c>
      <c r="P884" s="5">
        <v>52.0</v>
      </c>
      <c r="Q884" s="8">
        <f t="shared" si="32"/>
        <v>2722.72</v>
      </c>
    </row>
    <row r="885">
      <c r="A885" s="87">
        <v>45391.0</v>
      </c>
      <c r="B885" s="8" t="s">
        <v>10101</v>
      </c>
      <c r="C885" s="8" t="s">
        <v>1432</v>
      </c>
      <c r="D885" s="8" t="s">
        <v>1518</v>
      </c>
      <c r="E885" s="8" t="s">
        <v>10102</v>
      </c>
      <c r="F885" s="8">
        <v>8.128560338E9</v>
      </c>
      <c r="G885" s="8"/>
      <c r="H885" s="21">
        <v>470.0</v>
      </c>
      <c r="I885" s="22">
        <v>45786.0</v>
      </c>
      <c r="J885" s="8" t="s">
        <v>1419</v>
      </c>
      <c r="K885" s="8" t="s">
        <v>49</v>
      </c>
      <c r="L885" s="8" t="s">
        <v>1451</v>
      </c>
      <c r="M885" s="8" t="s">
        <v>28</v>
      </c>
      <c r="N885" s="21">
        <v>6370.0</v>
      </c>
      <c r="O885" s="21">
        <v>7516.0</v>
      </c>
      <c r="P885" s="5">
        <v>52.0</v>
      </c>
      <c r="Q885" s="8">
        <f t="shared" si="32"/>
        <v>3312.4</v>
      </c>
    </row>
    <row r="886">
      <c r="A886" s="87">
        <v>45391.0</v>
      </c>
      <c r="B886" s="8" t="s">
        <v>10103</v>
      </c>
      <c r="C886" s="8" t="s">
        <v>1432</v>
      </c>
      <c r="D886" s="8" t="s">
        <v>10104</v>
      </c>
      <c r="E886" s="8"/>
      <c r="F886" s="8">
        <v>9.081181248E9</v>
      </c>
      <c r="G886" s="8"/>
      <c r="H886" s="21">
        <v>145.0</v>
      </c>
      <c r="I886" s="22">
        <v>45756.0</v>
      </c>
      <c r="J886" s="8" t="s">
        <v>1419</v>
      </c>
      <c r="K886" s="8" t="s">
        <v>49</v>
      </c>
      <c r="L886" s="8" t="s">
        <v>1616</v>
      </c>
      <c r="M886" s="8" t="s">
        <v>28</v>
      </c>
      <c r="N886" s="21">
        <v>6015.0</v>
      </c>
      <c r="O886" s="21">
        <v>7097.0</v>
      </c>
      <c r="P886" s="5">
        <v>52.0</v>
      </c>
      <c r="Q886" s="8">
        <f t="shared" si="32"/>
        <v>3127.8</v>
      </c>
    </row>
    <row r="887">
      <c r="A887" s="87">
        <v>45391.0</v>
      </c>
      <c r="B887" s="8" t="s">
        <v>10105</v>
      </c>
      <c r="C887" s="8" t="s">
        <v>1432</v>
      </c>
      <c r="D887" s="8" t="s">
        <v>2125</v>
      </c>
      <c r="E887" s="8" t="s">
        <v>10106</v>
      </c>
      <c r="F887" s="8">
        <v>7.621055404E9</v>
      </c>
      <c r="G887" s="8"/>
      <c r="H887" s="21">
        <v>436.0</v>
      </c>
      <c r="I887" s="22">
        <v>45756.0</v>
      </c>
      <c r="J887" s="8" t="s">
        <v>1424</v>
      </c>
      <c r="K887" s="8" t="s">
        <v>49</v>
      </c>
      <c r="L887" s="8" t="s">
        <v>185</v>
      </c>
      <c r="M887" s="8" t="s">
        <v>28</v>
      </c>
      <c r="N887" s="21">
        <v>6375.0</v>
      </c>
      <c r="O887" s="21">
        <v>7523.0</v>
      </c>
      <c r="P887" s="5">
        <v>53.0</v>
      </c>
      <c r="Q887" s="8">
        <f t="shared" si="32"/>
        <v>3378.75</v>
      </c>
    </row>
    <row r="888">
      <c r="A888" s="87">
        <v>45421.0</v>
      </c>
      <c r="B888" s="8" t="s">
        <v>10107</v>
      </c>
      <c r="C888" s="8" t="s">
        <v>1395</v>
      </c>
      <c r="D888" s="8" t="s">
        <v>1247</v>
      </c>
      <c r="E888" s="8" t="s">
        <v>10108</v>
      </c>
      <c r="F888" s="8">
        <v>9.429579977E9</v>
      </c>
      <c r="G888" s="8"/>
      <c r="H888" s="21">
        <v>2825.0</v>
      </c>
      <c r="I888" s="22">
        <v>45725.0</v>
      </c>
      <c r="J888" s="8" t="s">
        <v>116</v>
      </c>
      <c r="K888" s="8" t="s">
        <v>49</v>
      </c>
      <c r="L888" s="8" t="s">
        <v>185</v>
      </c>
      <c r="M888" s="8" t="s">
        <v>28</v>
      </c>
      <c r="N888" s="97">
        <v>20848.0</v>
      </c>
      <c r="O888" s="97">
        <v>23632.0</v>
      </c>
      <c r="P888" s="5">
        <v>50.0</v>
      </c>
      <c r="Q888" s="8">
        <f t="shared" si="32"/>
        <v>10424</v>
      </c>
    </row>
    <row r="889">
      <c r="A889" s="87">
        <v>45421.0</v>
      </c>
      <c r="B889" s="8" t="s">
        <v>10109</v>
      </c>
      <c r="C889" s="8" t="s">
        <v>1395</v>
      </c>
      <c r="D889" s="8" t="s">
        <v>10074</v>
      </c>
      <c r="E889" s="8" t="s">
        <v>10110</v>
      </c>
      <c r="F889" s="8">
        <v>6.352846686E9</v>
      </c>
      <c r="G889" s="8"/>
      <c r="H889" s="21">
        <v>1850.0</v>
      </c>
      <c r="I889" s="22">
        <v>45756.0</v>
      </c>
      <c r="J889" s="8" t="s">
        <v>1424</v>
      </c>
      <c r="K889" s="8" t="s">
        <v>49</v>
      </c>
      <c r="L889" s="8" t="s">
        <v>1451</v>
      </c>
      <c r="M889" s="8" t="s">
        <v>28</v>
      </c>
      <c r="N889" s="21">
        <v>19253.0</v>
      </c>
      <c r="O889" s="21">
        <v>21755.0</v>
      </c>
      <c r="P889" s="5">
        <v>52.0</v>
      </c>
      <c r="Q889" s="8">
        <f t="shared" si="32"/>
        <v>10011.56</v>
      </c>
    </row>
    <row r="890">
      <c r="A890" s="87">
        <v>45421.0</v>
      </c>
      <c r="B890" s="8" t="s">
        <v>10111</v>
      </c>
      <c r="C890" s="8" t="s">
        <v>1432</v>
      </c>
      <c r="D890" s="8" t="s">
        <v>2125</v>
      </c>
      <c r="E890" s="8" t="s">
        <v>10112</v>
      </c>
      <c r="F890" s="8">
        <v>9.879767222E9</v>
      </c>
      <c r="G890" s="8"/>
      <c r="H890" s="21">
        <v>436.0</v>
      </c>
      <c r="I890" s="22">
        <v>46000.0</v>
      </c>
      <c r="J890" s="8" t="s">
        <v>1424</v>
      </c>
      <c r="K890" s="8" t="s">
        <v>49</v>
      </c>
      <c r="L890" s="8" t="s">
        <v>365</v>
      </c>
      <c r="M890" s="8" t="s">
        <v>28</v>
      </c>
      <c r="N890" s="21">
        <v>6375.0</v>
      </c>
      <c r="O890" s="21">
        <v>7523.0</v>
      </c>
      <c r="P890" s="5">
        <v>53.0</v>
      </c>
      <c r="Q890" s="8">
        <f t="shared" si="32"/>
        <v>3378.75</v>
      </c>
    </row>
    <row r="891">
      <c r="A891" s="87">
        <v>45421.0</v>
      </c>
      <c r="B891" s="8" t="s">
        <v>10113</v>
      </c>
      <c r="C891" s="8" t="s">
        <v>1395</v>
      </c>
      <c r="D891" s="8" t="s">
        <v>10074</v>
      </c>
      <c r="E891" s="8" t="s">
        <v>10114</v>
      </c>
      <c r="F891" s="8">
        <v>9.737191476E9</v>
      </c>
      <c r="G891" s="8"/>
      <c r="H891" s="21">
        <v>1850.0</v>
      </c>
      <c r="I891" s="22">
        <v>45786.0</v>
      </c>
      <c r="J891" s="8" t="s">
        <v>1424</v>
      </c>
      <c r="K891" s="8" t="s">
        <v>49</v>
      </c>
      <c r="L891" s="8" t="s">
        <v>219</v>
      </c>
      <c r="M891" s="8" t="s">
        <v>28</v>
      </c>
      <c r="N891" s="21">
        <v>19735.0</v>
      </c>
      <c r="O891" s="21">
        <v>22325.0</v>
      </c>
      <c r="P891" s="5">
        <v>52.0</v>
      </c>
      <c r="Q891" s="8">
        <f t="shared" si="32"/>
        <v>10262.2</v>
      </c>
    </row>
    <row r="892">
      <c r="A892" s="87">
        <v>45421.0</v>
      </c>
      <c r="B892" s="8" t="s">
        <v>10115</v>
      </c>
      <c r="C892" s="8" t="s">
        <v>1432</v>
      </c>
      <c r="D892" s="8" t="s">
        <v>10116</v>
      </c>
      <c r="E892" s="8" t="s">
        <v>10117</v>
      </c>
      <c r="F892" s="8">
        <v>9.054400228E9</v>
      </c>
      <c r="G892" s="8"/>
      <c r="H892" s="21">
        <v>198.0</v>
      </c>
      <c r="I892" s="22">
        <v>45786.0</v>
      </c>
      <c r="J892" s="8" t="s">
        <v>1419</v>
      </c>
      <c r="K892" s="8" t="s">
        <v>49</v>
      </c>
      <c r="L892" s="8" t="s">
        <v>389</v>
      </c>
      <c r="M892" s="8" t="s">
        <v>28</v>
      </c>
      <c r="N892" s="21">
        <v>6012.0</v>
      </c>
      <c r="O892" s="21">
        <v>7094.0</v>
      </c>
      <c r="P892" s="5">
        <v>52.0</v>
      </c>
      <c r="Q892" s="8">
        <f t="shared" si="32"/>
        <v>3126.24</v>
      </c>
    </row>
    <row r="893">
      <c r="A893" s="98">
        <v>45452.0</v>
      </c>
      <c r="B893" s="5" t="s">
        <v>4897</v>
      </c>
      <c r="C893" s="5" t="s">
        <v>21</v>
      </c>
      <c r="D893" s="5" t="s">
        <v>10118</v>
      </c>
      <c r="E893" s="31"/>
      <c r="F893" s="516"/>
      <c r="G893" s="31"/>
      <c r="H893" s="5">
        <v>16200.0</v>
      </c>
      <c r="I893" s="166">
        <v>45786.0</v>
      </c>
      <c r="J893" s="5" t="s">
        <v>116</v>
      </c>
      <c r="K893" s="5" t="s">
        <v>49</v>
      </c>
      <c r="L893" s="5" t="s">
        <v>27</v>
      </c>
      <c r="M893" s="5" t="s">
        <v>28</v>
      </c>
      <c r="N893" s="5">
        <v>43926.0</v>
      </c>
      <c r="O893" s="5">
        <v>49710.0</v>
      </c>
      <c r="P893" s="5">
        <v>18.0</v>
      </c>
      <c r="Q893" s="8">
        <f t="shared" si="32"/>
        <v>7906.68</v>
      </c>
    </row>
    <row r="894">
      <c r="A894" s="98">
        <v>45452.0</v>
      </c>
      <c r="B894" s="5" t="s">
        <v>5226</v>
      </c>
      <c r="C894" s="5" t="s">
        <v>21</v>
      </c>
      <c r="D894" s="5" t="s">
        <v>2138</v>
      </c>
      <c r="E894" s="31"/>
      <c r="F894" s="516"/>
      <c r="G894" s="31"/>
      <c r="H894" s="5">
        <v>35000.0</v>
      </c>
      <c r="I894" s="164">
        <v>45878.0</v>
      </c>
      <c r="J894" s="5" t="s">
        <v>9946</v>
      </c>
      <c r="K894" s="5" t="s">
        <v>49</v>
      </c>
      <c r="L894" s="5" t="s">
        <v>27</v>
      </c>
      <c r="M894" s="5" t="s">
        <v>28</v>
      </c>
      <c r="N894" s="5">
        <v>48428.0</v>
      </c>
      <c r="O894" s="5">
        <v>54508.0</v>
      </c>
      <c r="P894" s="5">
        <v>26.0</v>
      </c>
      <c r="Q894" s="8">
        <f t="shared" si="32"/>
        <v>12591.28</v>
      </c>
    </row>
    <row r="895">
      <c r="A895" s="98">
        <v>45452.0</v>
      </c>
      <c r="B895" s="5" t="s">
        <v>10119</v>
      </c>
      <c r="C895" s="5" t="s">
        <v>1395</v>
      </c>
      <c r="D895" s="5" t="s">
        <v>3930</v>
      </c>
      <c r="E895" s="31"/>
      <c r="F895" s="516"/>
      <c r="G895" s="31"/>
      <c r="H895" s="5">
        <v>2960.0</v>
      </c>
      <c r="I895" s="164">
        <v>45878.0</v>
      </c>
      <c r="J895" s="5" t="s">
        <v>116</v>
      </c>
      <c r="K895" s="5" t="s">
        <v>49</v>
      </c>
      <c r="L895" s="5" t="s">
        <v>27</v>
      </c>
      <c r="M895" s="5" t="s">
        <v>28</v>
      </c>
      <c r="N895" s="5">
        <v>18574.0</v>
      </c>
      <c r="O895" s="5">
        <v>20950.0</v>
      </c>
      <c r="P895" s="5">
        <v>50.0</v>
      </c>
      <c r="Q895" s="8">
        <f t="shared" si="32"/>
        <v>9287</v>
      </c>
    </row>
    <row r="896">
      <c r="A896" s="98">
        <v>45452.0</v>
      </c>
      <c r="B896" s="5" t="s">
        <v>10120</v>
      </c>
      <c r="C896" s="5" t="s">
        <v>1395</v>
      </c>
      <c r="D896" s="5" t="s">
        <v>3930</v>
      </c>
      <c r="E896" s="31"/>
      <c r="F896" s="516"/>
      <c r="G896" s="31"/>
      <c r="H896" s="5">
        <v>2700.0</v>
      </c>
      <c r="I896" s="166">
        <v>45786.0</v>
      </c>
      <c r="J896" s="5" t="s">
        <v>116</v>
      </c>
      <c r="K896" s="5" t="s">
        <v>49</v>
      </c>
      <c r="L896" s="5" t="s">
        <v>1451</v>
      </c>
      <c r="M896" s="5" t="s">
        <v>28</v>
      </c>
      <c r="N896" s="5">
        <v>20397.0</v>
      </c>
      <c r="O896" s="5">
        <v>23101.0</v>
      </c>
      <c r="P896" s="5">
        <v>50.0</v>
      </c>
      <c r="Q896" s="8">
        <f t="shared" si="32"/>
        <v>10198.5</v>
      </c>
    </row>
    <row r="897">
      <c r="A897" s="594">
        <v>45452.0</v>
      </c>
      <c r="B897" s="595" t="s">
        <v>7655</v>
      </c>
      <c r="C897" s="595" t="s">
        <v>1395</v>
      </c>
      <c r="D897" s="595" t="s">
        <v>3930</v>
      </c>
      <c r="E897" s="596"/>
      <c r="F897" s="597"/>
      <c r="G897" s="596"/>
      <c r="H897" s="595">
        <v>3490.0</v>
      </c>
      <c r="I897" s="598">
        <v>45909.0</v>
      </c>
      <c r="J897" s="595" t="s">
        <v>116</v>
      </c>
      <c r="K897" s="595" t="s">
        <v>49</v>
      </c>
      <c r="L897" s="595" t="s">
        <v>71</v>
      </c>
      <c r="M897" s="595" t="s">
        <v>28</v>
      </c>
      <c r="N897" s="595">
        <v>21441.0</v>
      </c>
      <c r="O897" s="595">
        <v>24333.0</v>
      </c>
      <c r="P897" s="5">
        <v>50.0</v>
      </c>
      <c r="Q897" s="8">
        <f t="shared" si="32"/>
        <v>10720.5</v>
      </c>
    </row>
    <row r="898">
      <c r="A898" s="599" t="s">
        <v>10022</v>
      </c>
      <c r="B898" s="243" t="s">
        <v>7618</v>
      </c>
      <c r="C898" s="125" t="s">
        <v>1395</v>
      </c>
      <c r="D898" s="125" t="s">
        <v>3930</v>
      </c>
      <c r="E898" s="108"/>
      <c r="F898" s="108"/>
      <c r="G898" s="108"/>
      <c r="H898" s="216">
        <v>3490.0</v>
      </c>
      <c r="I898" s="216" t="s">
        <v>10121</v>
      </c>
      <c r="J898" s="125" t="s">
        <v>116</v>
      </c>
      <c r="K898" s="125" t="s">
        <v>49</v>
      </c>
      <c r="L898" s="125" t="s">
        <v>71</v>
      </c>
      <c r="M898" s="125" t="s">
        <v>28</v>
      </c>
      <c r="N898" s="216">
        <v>17902.0</v>
      </c>
      <c r="O898" s="216">
        <v>20156.0</v>
      </c>
      <c r="P898" s="125">
        <v>50.0</v>
      </c>
      <c r="Q898" s="108">
        <f t="shared" si="32"/>
        <v>8951</v>
      </c>
    </row>
    <row r="899">
      <c r="A899" s="105">
        <v>45512.0</v>
      </c>
      <c r="B899" s="108" t="s">
        <v>10122</v>
      </c>
      <c r="C899" s="108" t="s">
        <v>21</v>
      </c>
      <c r="D899" s="108" t="s">
        <v>9330</v>
      </c>
      <c r="E899" s="108" t="s">
        <v>999</v>
      </c>
      <c r="F899" s="108">
        <v>9.979642929E9</v>
      </c>
      <c r="G899" s="108"/>
      <c r="H899" s="114">
        <v>28000.0</v>
      </c>
      <c r="I899" s="110">
        <v>45877.0</v>
      </c>
      <c r="J899" s="108" t="s">
        <v>78</v>
      </c>
      <c r="K899" s="108" t="s">
        <v>49</v>
      </c>
      <c r="L899" s="108" t="s">
        <v>27</v>
      </c>
      <c r="M899" s="108" t="s">
        <v>28</v>
      </c>
      <c r="N899" s="114">
        <v>47568.0</v>
      </c>
      <c r="O899" s="114">
        <v>53493.0</v>
      </c>
      <c r="P899" s="125">
        <v>23.0</v>
      </c>
      <c r="Q899" s="108">
        <f t="shared" si="32"/>
        <v>10940.64</v>
      </c>
    </row>
    <row r="900">
      <c r="A900" s="105">
        <v>45481.0</v>
      </c>
      <c r="B900" s="108" t="s">
        <v>10123</v>
      </c>
      <c r="C900" s="108" t="s">
        <v>21</v>
      </c>
      <c r="D900" s="108" t="s">
        <v>9677</v>
      </c>
      <c r="E900" s="108" t="s">
        <v>10124</v>
      </c>
      <c r="F900" s="108">
        <v>8.238569372E9</v>
      </c>
      <c r="G900" s="108"/>
      <c r="H900" s="114">
        <v>12500.0</v>
      </c>
      <c r="I900" s="110">
        <v>45846.0</v>
      </c>
      <c r="J900" s="108" t="s">
        <v>78</v>
      </c>
      <c r="K900" s="108" t="s">
        <v>49</v>
      </c>
      <c r="L900" s="108" t="s">
        <v>27</v>
      </c>
      <c r="M900" s="108" t="s">
        <v>28</v>
      </c>
      <c r="N900" s="114">
        <v>36508.0</v>
      </c>
      <c r="O900" s="114">
        <v>40961.0</v>
      </c>
      <c r="P900" s="216">
        <v>25.0</v>
      </c>
      <c r="Q900" s="108">
        <f t="shared" si="32"/>
        <v>9127</v>
      </c>
    </row>
    <row r="901">
      <c r="A901" s="107" t="s">
        <v>9821</v>
      </c>
      <c r="B901" s="108" t="s">
        <v>10125</v>
      </c>
      <c r="C901" s="108" t="s">
        <v>21</v>
      </c>
      <c r="D901" s="108" t="s">
        <v>10126</v>
      </c>
      <c r="E901" s="108" t="s">
        <v>10127</v>
      </c>
      <c r="F901" s="108">
        <v>9.97860677E9</v>
      </c>
      <c r="G901" s="108"/>
      <c r="H901" s="114">
        <v>35000.0</v>
      </c>
      <c r="I901" s="114" t="s">
        <v>4600</v>
      </c>
      <c r="J901" s="108" t="s">
        <v>78</v>
      </c>
      <c r="K901" s="108" t="s">
        <v>49</v>
      </c>
      <c r="L901" s="108" t="s">
        <v>27</v>
      </c>
      <c r="M901" s="108" t="s">
        <v>28</v>
      </c>
      <c r="N901" s="114">
        <v>51334.0</v>
      </c>
      <c r="O901" s="114">
        <v>57937.0</v>
      </c>
      <c r="P901" s="125">
        <v>23.0</v>
      </c>
      <c r="Q901" s="108">
        <f t="shared" si="32"/>
        <v>11806.82</v>
      </c>
    </row>
    <row r="902">
      <c r="A902" s="107" t="s">
        <v>9808</v>
      </c>
      <c r="B902" s="108" t="s">
        <v>9810</v>
      </c>
      <c r="C902" s="108" t="s">
        <v>21</v>
      </c>
      <c r="D902" s="108" t="s">
        <v>9811</v>
      </c>
      <c r="E902" s="108" t="s">
        <v>8461</v>
      </c>
      <c r="F902" s="108">
        <v>8.238569372E9</v>
      </c>
      <c r="G902" s="108"/>
      <c r="H902" s="114">
        <v>35000.0</v>
      </c>
      <c r="I902" s="114" t="s">
        <v>9795</v>
      </c>
      <c r="J902" s="125" t="s">
        <v>70</v>
      </c>
      <c r="K902" s="108" t="s">
        <v>49</v>
      </c>
      <c r="L902" s="108" t="s">
        <v>27</v>
      </c>
      <c r="M902" s="108" t="s">
        <v>28</v>
      </c>
      <c r="N902" s="116">
        <v>47640.0</v>
      </c>
      <c r="O902" s="116">
        <v>53578.0</v>
      </c>
      <c r="P902" s="125">
        <v>23.0</v>
      </c>
      <c r="Q902" s="108">
        <f t="shared" si="32"/>
        <v>10957.2</v>
      </c>
    </row>
    <row r="903">
      <c r="A903" s="107" t="s">
        <v>9808</v>
      </c>
      <c r="B903" s="108" t="s">
        <v>7405</v>
      </c>
      <c r="C903" s="108" t="s">
        <v>21</v>
      </c>
      <c r="D903" s="108" t="s">
        <v>9730</v>
      </c>
      <c r="E903" s="108" t="s">
        <v>382</v>
      </c>
      <c r="F903" s="108">
        <v>9.925068073E9</v>
      </c>
      <c r="G903" s="108"/>
      <c r="H903" s="114">
        <v>12990.0</v>
      </c>
      <c r="I903" s="114" t="s">
        <v>4706</v>
      </c>
      <c r="J903" s="125" t="s">
        <v>70</v>
      </c>
      <c r="K903" s="108" t="s">
        <v>49</v>
      </c>
      <c r="L903" s="108" t="s">
        <v>71</v>
      </c>
      <c r="M903" s="108" t="s">
        <v>28</v>
      </c>
      <c r="N903" s="116">
        <v>36388.0</v>
      </c>
      <c r="O903" s="116">
        <v>40819.0</v>
      </c>
      <c r="P903" s="125">
        <v>23.0</v>
      </c>
      <c r="Q903" s="108">
        <f t="shared" si="32"/>
        <v>8369.24</v>
      </c>
    </row>
    <row r="904">
      <c r="A904" s="107" t="s">
        <v>9772</v>
      </c>
      <c r="B904" s="108" t="s">
        <v>7401</v>
      </c>
      <c r="C904" s="108" t="s">
        <v>21</v>
      </c>
      <c r="D904" s="108" t="s">
        <v>10128</v>
      </c>
      <c r="E904" s="108" t="s">
        <v>10129</v>
      </c>
      <c r="F904" s="108">
        <v>9.97860677E9</v>
      </c>
      <c r="G904" s="108"/>
      <c r="H904" s="114">
        <v>42000.0</v>
      </c>
      <c r="I904" s="114" t="s">
        <v>4485</v>
      </c>
      <c r="J904" s="125" t="s">
        <v>70</v>
      </c>
      <c r="K904" s="108" t="s">
        <v>49</v>
      </c>
      <c r="L904" s="108" t="s">
        <v>71</v>
      </c>
      <c r="M904" s="108" t="s">
        <v>28</v>
      </c>
      <c r="N904" s="116">
        <v>48307.0</v>
      </c>
      <c r="O904" s="116">
        <v>54348.0</v>
      </c>
      <c r="P904" s="125">
        <v>23.0</v>
      </c>
      <c r="Q904" s="108">
        <f t="shared" si="32"/>
        <v>11110.61</v>
      </c>
    </row>
    <row r="905">
      <c r="A905" s="107" t="s">
        <v>10130</v>
      </c>
      <c r="B905" s="108" t="s">
        <v>10131</v>
      </c>
      <c r="C905" s="108" t="s">
        <v>21</v>
      </c>
      <c r="D905" s="108" t="s">
        <v>10132</v>
      </c>
      <c r="E905" s="108" t="s">
        <v>10133</v>
      </c>
      <c r="F905" s="108">
        <v>9.099557999E9</v>
      </c>
      <c r="G905" s="108"/>
      <c r="H905" s="108" t="s">
        <v>10134</v>
      </c>
      <c r="I905" s="114" t="s">
        <v>10121</v>
      </c>
      <c r="J905" s="108" t="s">
        <v>2562</v>
      </c>
      <c r="K905" s="108" t="s">
        <v>49</v>
      </c>
      <c r="L905" s="108" t="s">
        <v>71</v>
      </c>
      <c r="M905" s="108" t="s">
        <v>28</v>
      </c>
      <c r="N905" s="116">
        <v>75960.0</v>
      </c>
      <c r="O905" s="116">
        <v>86995.8</v>
      </c>
      <c r="P905" s="125">
        <v>18.0</v>
      </c>
      <c r="Q905" s="108">
        <f t="shared" si="32"/>
        <v>13672.8</v>
      </c>
    </row>
    <row r="906">
      <c r="A906" s="107" t="s">
        <v>9772</v>
      </c>
      <c r="B906" s="108" t="s">
        <v>9773</v>
      </c>
      <c r="C906" s="108" t="s">
        <v>21</v>
      </c>
      <c r="D906" s="108" t="s">
        <v>9774</v>
      </c>
      <c r="E906" s="108" t="s">
        <v>9775</v>
      </c>
      <c r="F906" s="108">
        <v>9.978883692E9</v>
      </c>
      <c r="G906" s="108"/>
      <c r="H906" s="114">
        <v>11990.0</v>
      </c>
      <c r="I906" s="114" t="s">
        <v>4496</v>
      </c>
      <c r="J906" s="108" t="s">
        <v>25</v>
      </c>
      <c r="K906" s="108" t="s">
        <v>49</v>
      </c>
      <c r="L906" s="108" t="s">
        <v>27</v>
      </c>
      <c r="M906" s="108" t="s">
        <v>28</v>
      </c>
      <c r="N906" s="116">
        <v>30202.0</v>
      </c>
      <c r="O906" s="116">
        <v>34007.0</v>
      </c>
      <c r="P906" s="125">
        <v>25.0</v>
      </c>
      <c r="Q906" s="108">
        <f t="shared" si="32"/>
        <v>7550.5</v>
      </c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</row>
    <row r="907">
      <c r="A907" s="105">
        <v>45573.0</v>
      </c>
      <c r="B907" s="108" t="s">
        <v>10135</v>
      </c>
      <c r="C907" s="108" t="s">
        <v>21</v>
      </c>
      <c r="D907" s="108" t="s">
        <v>10085</v>
      </c>
      <c r="E907" s="108" t="s">
        <v>10136</v>
      </c>
      <c r="F907" s="108">
        <v>9.978883692E9</v>
      </c>
      <c r="G907" s="108"/>
      <c r="H907" s="114">
        <v>11950.0</v>
      </c>
      <c r="I907" s="110">
        <v>45938.0</v>
      </c>
      <c r="J907" s="108" t="s">
        <v>25</v>
      </c>
      <c r="K907" s="108" t="s">
        <v>49</v>
      </c>
      <c r="L907" s="108" t="s">
        <v>27</v>
      </c>
      <c r="M907" s="108" t="s">
        <v>28</v>
      </c>
      <c r="N907" s="116">
        <v>32414.0</v>
      </c>
      <c r="O907" s="116">
        <v>36617.0</v>
      </c>
      <c r="P907" s="125">
        <v>25.0</v>
      </c>
      <c r="Q907" s="108">
        <f t="shared" si="32"/>
        <v>8103.5</v>
      </c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</row>
    <row r="908">
      <c r="A908" s="126"/>
      <c r="F908" s="236"/>
    </row>
    <row r="909">
      <c r="A909" s="126"/>
      <c r="F909" s="236"/>
    </row>
    <row r="910">
      <c r="A910" s="600"/>
      <c r="AG910" s="600"/>
    </row>
    <row r="911">
      <c r="AG911" s="600"/>
    </row>
    <row r="912">
      <c r="A912" s="126"/>
      <c r="F912" s="236"/>
    </row>
    <row r="913">
      <c r="A913" s="126"/>
      <c r="F913" s="236"/>
    </row>
    <row r="914">
      <c r="A914" s="87">
        <v>45513.0</v>
      </c>
      <c r="B914" s="8" t="s">
        <v>10137</v>
      </c>
      <c r="C914" s="8" t="s">
        <v>1395</v>
      </c>
      <c r="D914" s="8" t="s">
        <v>9702</v>
      </c>
      <c r="E914" s="8" t="s">
        <v>10138</v>
      </c>
      <c r="F914" s="8">
        <v>9.57414678E9</v>
      </c>
      <c r="G914" s="8"/>
      <c r="H914" s="21">
        <v>2735.0</v>
      </c>
      <c r="I914" s="22">
        <v>45878.0</v>
      </c>
      <c r="J914" s="8" t="s">
        <v>1424</v>
      </c>
      <c r="K914" s="8" t="s">
        <v>49</v>
      </c>
      <c r="L914" s="8" t="s">
        <v>219</v>
      </c>
      <c r="M914" s="8" t="s">
        <v>28</v>
      </c>
      <c r="N914" s="21">
        <v>20801.0</v>
      </c>
      <c r="O914" s="21">
        <v>23583.0</v>
      </c>
      <c r="P914" s="6">
        <v>52.0</v>
      </c>
      <c r="Q914" s="8">
        <f t="shared" ref="Q914:Q942" si="33">N914*P914%</f>
        <v>10816.52</v>
      </c>
    </row>
    <row r="915">
      <c r="A915" s="87">
        <v>45544.0</v>
      </c>
      <c r="B915" s="8" t="s">
        <v>10139</v>
      </c>
      <c r="C915" s="8" t="s">
        <v>1432</v>
      </c>
      <c r="D915" s="8" t="s">
        <v>1518</v>
      </c>
      <c r="E915" s="8" t="s">
        <v>10140</v>
      </c>
      <c r="F915" s="8">
        <v>9.879979251E9</v>
      </c>
      <c r="G915" s="8"/>
      <c r="H915" s="21">
        <v>470.0</v>
      </c>
      <c r="I915" s="22">
        <v>45909.0</v>
      </c>
      <c r="J915" s="8" t="s">
        <v>1419</v>
      </c>
      <c r="K915" s="8" t="s">
        <v>49</v>
      </c>
      <c r="L915" s="8" t="s">
        <v>27</v>
      </c>
      <c r="M915" s="8" t="s">
        <v>28</v>
      </c>
      <c r="N915" s="21">
        <v>6155.0</v>
      </c>
      <c r="O915" s="21">
        <v>7263.0</v>
      </c>
      <c r="P915" s="6">
        <v>52.0</v>
      </c>
      <c r="Q915" s="8">
        <f t="shared" si="33"/>
        <v>3200.6</v>
      </c>
    </row>
    <row r="916">
      <c r="A916" s="87">
        <v>45544.0</v>
      </c>
      <c r="B916" s="8" t="s">
        <v>7628</v>
      </c>
      <c r="C916" s="8" t="s">
        <v>533</v>
      </c>
      <c r="D916" s="8" t="s">
        <v>10141</v>
      </c>
      <c r="E916" s="8" t="s">
        <v>10142</v>
      </c>
      <c r="F916" s="8">
        <v>9.82544587E9</v>
      </c>
      <c r="G916" s="8"/>
      <c r="H916" s="8"/>
      <c r="I916" s="22">
        <v>45909.0</v>
      </c>
      <c r="J916" s="8" t="s">
        <v>78</v>
      </c>
      <c r="K916" s="8" t="s">
        <v>49</v>
      </c>
      <c r="L916" s="8" t="s">
        <v>71</v>
      </c>
      <c r="M916" s="8" t="s">
        <v>28</v>
      </c>
      <c r="N916" s="21">
        <v>8204.0</v>
      </c>
      <c r="O916" s="21">
        <v>9681.0</v>
      </c>
      <c r="P916" s="6">
        <v>48.0</v>
      </c>
      <c r="Q916" s="8">
        <f t="shared" si="33"/>
        <v>3937.92</v>
      </c>
    </row>
    <row r="917">
      <c r="A917" s="87">
        <v>45544.0</v>
      </c>
      <c r="B917" s="8" t="s">
        <v>7695</v>
      </c>
      <c r="C917" s="8" t="s">
        <v>1395</v>
      </c>
      <c r="D917" s="8" t="s">
        <v>10143</v>
      </c>
      <c r="E917" s="8" t="s">
        <v>10144</v>
      </c>
      <c r="F917" s="8">
        <v>9.726212E9</v>
      </c>
      <c r="G917" s="8"/>
      <c r="H917" s="21">
        <v>2975.0</v>
      </c>
      <c r="I917" s="22">
        <v>46000.0</v>
      </c>
      <c r="J917" s="8" t="s">
        <v>116</v>
      </c>
      <c r="K917" s="8" t="s">
        <v>49</v>
      </c>
      <c r="L917" s="8" t="s">
        <v>71</v>
      </c>
      <c r="M917" s="8" t="s">
        <v>28</v>
      </c>
      <c r="N917" s="97">
        <v>18393.0</v>
      </c>
      <c r="O917" s="97">
        <v>20735.0</v>
      </c>
      <c r="P917" s="6">
        <v>50.0</v>
      </c>
      <c r="Q917" s="8">
        <f t="shared" si="33"/>
        <v>9196.5</v>
      </c>
    </row>
    <row r="918">
      <c r="A918" s="87">
        <v>45544.0</v>
      </c>
      <c r="B918" s="8" t="s">
        <v>7699</v>
      </c>
      <c r="C918" s="8" t="s">
        <v>1395</v>
      </c>
      <c r="D918" s="8" t="s">
        <v>524</v>
      </c>
      <c r="E918" s="8" t="s">
        <v>10145</v>
      </c>
      <c r="F918" s="8">
        <v>6.353001069E9</v>
      </c>
      <c r="G918" s="8"/>
      <c r="H918" s="21">
        <v>3490.0</v>
      </c>
      <c r="I918" s="22">
        <v>46000.0</v>
      </c>
      <c r="J918" s="8" t="s">
        <v>116</v>
      </c>
      <c r="K918" s="8" t="s">
        <v>49</v>
      </c>
      <c r="L918" s="8" t="s">
        <v>365</v>
      </c>
      <c r="M918" s="8" t="s">
        <v>28</v>
      </c>
      <c r="N918" s="97">
        <v>21355.0</v>
      </c>
      <c r="O918" s="97">
        <v>24231.0</v>
      </c>
      <c r="P918" s="6">
        <v>50.0</v>
      </c>
      <c r="Q918" s="8">
        <f t="shared" si="33"/>
        <v>10677.5</v>
      </c>
    </row>
    <row r="919">
      <c r="A919" s="87">
        <v>45544.0</v>
      </c>
      <c r="B919" s="8" t="s">
        <v>10146</v>
      </c>
      <c r="C919" s="8" t="s">
        <v>1395</v>
      </c>
      <c r="D919" s="8" t="s">
        <v>178</v>
      </c>
      <c r="E919" s="8" t="s">
        <v>10147</v>
      </c>
      <c r="F919" s="8">
        <v>9.825322841E9</v>
      </c>
      <c r="G919" s="8"/>
      <c r="H919" s="21">
        <v>3460.0</v>
      </c>
      <c r="I919" s="22">
        <v>45970.0</v>
      </c>
      <c r="J919" s="8" t="s">
        <v>116</v>
      </c>
      <c r="K919" s="8" t="s">
        <v>49</v>
      </c>
      <c r="L919" s="8" t="s">
        <v>1436</v>
      </c>
      <c r="M919" s="8" t="s">
        <v>28</v>
      </c>
      <c r="N919" s="97">
        <v>22014.0</v>
      </c>
      <c r="O919" s="97">
        <v>25008.0</v>
      </c>
      <c r="P919" s="6">
        <v>50.0</v>
      </c>
      <c r="Q919" s="8">
        <f t="shared" si="33"/>
        <v>11007</v>
      </c>
    </row>
    <row r="920">
      <c r="A920" s="87">
        <v>45544.0</v>
      </c>
      <c r="B920" s="8" t="s">
        <v>10148</v>
      </c>
      <c r="C920" s="8" t="s">
        <v>1432</v>
      </c>
      <c r="D920" s="8" t="s">
        <v>1439</v>
      </c>
      <c r="E920" s="8" t="s">
        <v>10149</v>
      </c>
      <c r="F920" s="8">
        <v>7.984498465E9</v>
      </c>
      <c r="G920" s="8"/>
      <c r="H920" s="21">
        <v>236.0</v>
      </c>
      <c r="I920" s="22">
        <v>46000.0</v>
      </c>
      <c r="J920" s="8" t="s">
        <v>1419</v>
      </c>
      <c r="K920" s="8" t="s">
        <v>49</v>
      </c>
      <c r="L920" s="8" t="s">
        <v>1451</v>
      </c>
      <c r="M920" s="8" t="s">
        <v>28</v>
      </c>
      <c r="N920" s="21">
        <v>6370.0</v>
      </c>
      <c r="O920" s="21">
        <v>7516.0</v>
      </c>
      <c r="P920" s="6">
        <v>52.0</v>
      </c>
      <c r="Q920" s="8">
        <f t="shared" si="33"/>
        <v>3312.4</v>
      </c>
    </row>
    <row r="921">
      <c r="A921" s="87">
        <v>45544.0</v>
      </c>
      <c r="B921" s="8" t="s">
        <v>10150</v>
      </c>
      <c r="C921" s="8" t="s">
        <v>1432</v>
      </c>
      <c r="D921" s="8" t="s">
        <v>9941</v>
      </c>
      <c r="E921" s="8" t="s">
        <v>10151</v>
      </c>
      <c r="F921" s="8">
        <v>9.099792031E9</v>
      </c>
      <c r="G921" s="8"/>
      <c r="H921" s="21">
        <v>198.0</v>
      </c>
      <c r="I921" s="21" t="s">
        <v>10100</v>
      </c>
      <c r="J921" s="8" t="s">
        <v>1424</v>
      </c>
      <c r="K921" s="8" t="s">
        <v>49</v>
      </c>
      <c r="L921" s="8" t="s">
        <v>219</v>
      </c>
      <c r="M921" s="8" t="s">
        <v>28</v>
      </c>
      <c r="N921" s="21">
        <v>6626.0</v>
      </c>
      <c r="O921" s="21">
        <v>7818.0</v>
      </c>
      <c r="P921" s="6">
        <v>53.0</v>
      </c>
      <c r="Q921" s="8">
        <f t="shared" si="33"/>
        <v>3511.78</v>
      </c>
    </row>
    <row r="922">
      <c r="A922" s="87">
        <v>45544.0</v>
      </c>
      <c r="B922" s="8" t="s">
        <v>10152</v>
      </c>
      <c r="C922" s="8" t="s">
        <v>1432</v>
      </c>
      <c r="D922" s="8" t="s">
        <v>2125</v>
      </c>
      <c r="E922" s="8" t="s">
        <v>10153</v>
      </c>
      <c r="F922" s="8">
        <v>9.979799283E9</v>
      </c>
      <c r="G922" s="8"/>
      <c r="H922" s="21">
        <v>470.0</v>
      </c>
      <c r="I922" s="22">
        <v>45878.0</v>
      </c>
      <c r="J922" s="8" t="s">
        <v>1424</v>
      </c>
      <c r="K922" s="8" t="s">
        <v>49</v>
      </c>
      <c r="L922" s="8" t="s">
        <v>50</v>
      </c>
      <c r="M922" s="8" t="s">
        <v>28</v>
      </c>
      <c r="N922" s="21">
        <v>6375.0</v>
      </c>
      <c r="O922" s="21">
        <v>7523.0</v>
      </c>
      <c r="P922" s="6">
        <v>53.0</v>
      </c>
      <c r="Q922" s="8">
        <f t="shared" si="33"/>
        <v>3378.75</v>
      </c>
    </row>
    <row r="923">
      <c r="A923" s="87">
        <v>45544.0</v>
      </c>
      <c r="B923" s="8" t="s">
        <v>7687</v>
      </c>
      <c r="C923" s="8" t="s">
        <v>1395</v>
      </c>
      <c r="D923" s="8" t="s">
        <v>9702</v>
      </c>
      <c r="E923" s="8" t="s">
        <v>8592</v>
      </c>
      <c r="F923" s="8">
        <v>9.998706993E9</v>
      </c>
      <c r="G923" s="8"/>
      <c r="H923" s="21">
        <v>2670.0</v>
      </c>
      <c r="I923" s="22">
        <v>46000.0</v>
      </c>
      <c r="J923" s="8" t="s">
        <v>1424</v>
      </c>
      <c r="K923" s="8" t="s">
        <v>49</v>
      </c>
      <c r="L923" s="8" t="s">
        <v>71</v>
      </c>
      <c r="M923" s="8" t="s">
        <v>28</v>
      </c>
      <c r="N923" s="21">
        <v>17685.0</v>
      </c>
      <c r="O923" s="21">
        <v>19905.0</v>
      </c>
      <c r="P923" s="6">
        <v>52.0</v>
      </c>
      <c r="Q923" s="8">
        <f t="shared" si="33"/>
        <v>9196.2</v>
      </c>
    </row>
    <row r="924">
      <c r="A924" s="87">
        <v>45544.0</v>
      </c>
      <c r="B924" s="8" t="s">
        <v>10154</v>
      </c>
      <c r="C924" s="8" t="s">
        <v>1432</v>
      </c>
      <c r="D924" s="8" t="s">
        <v>9151</v>
      </c>
      <c r="E924" s="8" t="s">
        <v>8340</v>
      </c>
      <c r="F924" s="8">
        <v>9.106201195E9</v>
      </c>
      <c r="G924" s="8"/>
      <c r="H924" s="21">
        <v>236.0</v>
      </c>
      <c r="I924" s="22">
        <v>45878.0</v>
      </c>
      <c r="J924" s="8" t="s">
        <v>1424</v>
      </c>
      <c r="K924" s="8" t="s">
        <v>49</v>
      </c>
      <c r="L924" s="8" t="s">
        <v>27</v>
      </c>
      <c r="M924" s="8" t="s">
        <v>28</v>
      </c>
      <c r="N924" s="21">
        <v>6344.0</v>
      </c>
      <c r="O924" s="21">
        <v>7486.0</v>
      </c>
      <c r="P924" s="6">
        <v>53.0</v>
      </c>
      <c r="Q924" s="8">
        <f t="shared" si="33"/>
        <v>3362.32</v>
      </c>
    </row>
    <row r="925">
      <c r="A925" s="87">
        <v>45605.0</v>
      </c>
      <c r="B925" s="8" t="s">
        <v>10155</v>
      </c>
      <c r="C925" s="8" t="s">
        <v>1405</v>
      </c>
      <c r="D925" s="8" t="s">
        <v>10088</v>
      </c>
      <c r="E925" s="8" t="s">
        <v>10156</v>
      </c>
      <c r="F925" s="8">
        <v>7.069403756E9</v>
      </c>
      <c r="G925" s="8"/>
      <c r="H925" s="21">
        <v>995.0</v>
      </c>
      <c r="I925" s="22">
        <v>45939.0</v>
      </c>
      <c r="J925" s="8" t="s">
        <v>78</v>
      </c>
      <c r="K925" s="8" t="s">
        <v>49</v>
      </c>
      <c r="L925" s="8" t="s">
        <v>365</v>
      </c>
      <c r="M925" s="8" t="s">
        <v>28</v>
      </c>
      <c r="N925" s="21">
        <v>5153.0</v>
      </c>
      <c r="O925" s="21">
        <v>5811.0</v>
      </c>
      <c r="P925" s="6">
        <v>55.0</v>
      </c>
      <c r="Q925" s="8">
        <f t="shared" si="33"/>
        <v>2834.15</v>
      </c>
    </row>
    <row r="926">
      <c r="A926" s="87">
        <v>45605.0</v>
      </c>
      <c r="B926" s="8" t="s">
        <v>10157</v>
      </c>
      <c r="C926" s="8" t="s">
        <v>21</v>
      </c>
      <c r="D926" s="8" t="s">
        <v>1936</v>
      </c>
      <c r="E926" s="8" t="s">
        <v>10158</v>
      </c>
      <c r="F926" s="8">
        <v>9.72704571E9</v>
      </c>
      <c r="G926" s="8"/>
      <c r="H926" s="21">
        <v>35000.0</v>
      </c>
      <c r="I926" s="22">
        <v>45939.0</v>
      </c>
      <c r="J926" s="131" t="s">
        <v>9946</v>
      </c>
      <c r="K926" s="8" t="s">
        <v>49</v>
      </c>
      <c r="L926" s="8" t="s">
        <v>1451</v>
      </c>
      <c r="M926" s="8" t="s">
        <v>28</v>
      </c>
      <c r="N926" s="97">
        <v>46136.0</v>
      </c>
      <c r="O926" s="97">
        <v>51803.0</v>
      </c>
      <c r="P926" s="6">
        <v>26.0</v>
      </c>
      <c r="Q926" s="8">
        <f t="shared" si="33"/>
        <v>11995.36</v>
      </c>
    </row>
    <row r="927">
      <c r="A927" s="87">
        <v>45605.0</v>
      </c>
      <c r="B927" s="8" t="s">
        <v>10159</v>
      </c>
      <c r="C927" s="8" t="s">
        <v>1405</v>
      </c>
      <c r="D927" s="8" t="s">
        <v>9268</v>
      </c>
      <c r="E927" s="8" t="s">
        <v>10160</v>
      </c>
      <c r="F927" s="8">
        <v>6.351642303E9</v>
      </c>
      <c r="G927" s="8"/>
      <c r="H927" s="21">
        <v>990.0</v>
      </c>
      <c r="I927" s="22">
        <v>45970.0</v>
      </c>
      <c r="J927" s="8" t="s">
        <v>78</v>
      </c>
      <c r="K927" s="8" t="s">
        <v>49</v>
      </c>
      <c r="L927" s="8" t="s">
        <v>185</v>
      </c>
      <c r="M927" s="8" t="s">
        <v>28</v>
      </c>
      <c r="N927" s="21">
        <v>5197.0</v>
      </c>
      <c r="O927" s="21">
        <v>5863.0</v>
      </c>
      <c r="P927" s="6">
        <v>55.0</v>
      </c>
      <c r="Q927" s="8">
        <f t="shared" si="33"/>
        <v>2858.35</v>
      </c>
    </row>
    <row r="928">
      <c r="A928" s="87">
        <v>45605.0</v>
      </c>
      <c r="B928" s="8" t="s">
        <v>10161</v>
      </c>
      <c r="C928" s="8" t="s">
        <v>1405</v>
      </c>
      <c r="D928" s="8" t="s">
        <v>1479</v>
      </c>
      <c r="E928" s="8" t="s">
        <v>10162</v>
      </c>
      <c r="F928" s="8">
        <v>9.879948474E9</v>
      </c>
      <c r="G928" s="8"/>
      <c r="H928" s="21">
        <v>990.0</v>
      </c>
      <c r="I928" s="22">
        <v>46000.0</v>
      </c>
      <c r="J928" s="8" t="s">
        <v>1419</v>
      </c>
      <c r="K928" s="8" t="s">
        <v>49</v>
      </c>
      <c r="L928" s="8" t="s">
        <v>1616</v>
      </c>
      <c r="M928" s="8" t="s">
        <v>28</v>
      </c>
      <c r="N928" s="21">
        <v>5362.0</v>
      </c>
      <c r="O928" s="21">
        <v>6058.0</v>
      </c>
      <c r="P928" s="6">
        <v>52.0</v>
      </c>
      <c r="Q928" s="8">
        <f t="shared" si="33"/>
        <v>2788.24</v>
      </c>
    </row>
    <row r="929">
      <c r="A929" s="87">
        <v>45635.0</v>
      </c>
      <c r="B929" s="8" t="s">
        <v>10163</v>
      </c>
      <c r="C929" s="8" t="s">
        <v>1432</v>
      </c>
      <c r="D929" s="8" t="s">
        <v>9151</v>
      </c>
      <c r="E929" s="8" t="s">
        <v>10164</v>
      </c>
      <c r="F929" s="8">
        <v>6.351910306E9</v>
      </c>
      <c r="G929" s="8"/>
      <c r="H929" s="21">
        <v>236.0</v>
      </c>
      <c r="I929" s="22">
        <v>45939.0</v>
      </c>
      <c r="J929" s="8" t="s">
        <v>1424</v>
      </c>
      <c r="K929" s="8" t="s">
        <v>49</v>
      </c>
      <c r="L929" s="8" t="s">
        <v>365</v>
      </c>
      <c r="M929" s="8" t="s">
        <v>28</v>
      </c>
      <c r="N929" s="21">
        <v>6324.0</v>
      </c>
      <c r="O929" s="21">
        <v>7462.0</v>
      </c>
      <c r="P929" s="6">
        <v>53.0</v>
      </c>
      <c r="Q929" s="8">
        <f t="shared" si="33"/>
        <v>3351.72</v>
      </c>
    </row>
    <row r="930">
      <c r="A930" s="87">
        <v>45635.0</v>
      </c>
      <c r="B930" s="8" t="s">
        <v>10165</v>
      </c>
      <c r="C930" s="8" t="s">
        <v>1432</v>
      </c>
      <c r="D930" s="8" t="s">
        <v>2125</v>
      </c>
      <c r="E930" s="8" t="s">
        <v>10166</v>
      </c>
      <c r="F930" s="8">
        <v>7.359525632E9</v>
      </c>
      <c r="G930" s="8"/>
      <c r="H930" s="21">
        <v>436.0</v>
      </c>
      <c r="I930" s="22">
        <v>46000.0</v>
      </c>
      <c r="J930" s="8" t="s">
        <v>1424</v>
      </c>
      <c r="K930" s="8" t="s">
        <v>49</v>
      </c>
      <c r="L930" s="8" t="s">
        <v>185</v>
      </c>
      <c r="M930" s="8" t="s">
        <v>28</v>
      </c>
      <c r="N930" s="21">
        <v>6310.0</v>
      </c>
      <c r="O930" s="21">
        <v>7446.0</v>
      </c>
      <c r="P930" s="6">
        <v>53.0</v>
      </c>
      <c r="Q930" s="8">
        <f t="shared" si="33"/>
        <v>3344.3</v>
      </c>
    </row>
    <row r="931">
      <c r="A931" s="87">
        <v>45635.0</v>
      </c>
      <c r="B931" s="8" t="s">
        <v>4909</v>
      </c>
      <c r="C931" s="8" t="s">
        <v>1405</v>
      </c>
      <c r="D931" s="8" t="s">
        <v>9268</v>
      </c>
      <c r="E931" s="8" t="s">
        <v>10167</v>
      </c>
      <c r="F931" s="8">
        <v>9.558261343E9</v>
      </c>
      <c r="G931" s="8"/>
      <c r="H931" s="21">
        <v>990.0</v>
      </c>
      <c r="I931" s="22">
        <v>46000.0</v>
      </c>
      <c r="J931" s="8" t="s">
        <v>78</v>
      </c>
      <c r="K931" s="8" t="s">
        <v>49</v>
      </c>
      <c r="L931" s="8" t="s">
        <v>185</v>
      </c>
      <c r="M931" s="8" t="s">
        <v>28</v>
      </c>
      <c r="N931" s="21">
        <v>5078.0</v>
      </c>
      <c r="O931" s="21">
        <v>5722.0</v>
      </c>
      <c r="P931" s="6">
        <v>55.0</v>
      </c>
      <c r="Q931" s="8">
        <f t="shared" si="33"/>
        <v>2792.9</v>
      </c>
    </row>
    <row r="932">
      <c r="A932" s="100" t="s">
        <v>10168</v>
      </c>
      <c r="B932" s="8" t="s">
        <v>10169</v>
      </c>
      <c r="C932" s="8" t="s">
        <v>1432</v>
      </c>
      <c r="D932" s="8" t="s">
        <v>2125</v>
      </c>
      <c r="E932" s="8" t="s">
        <v>10170</v>
      </c>
      <c r="F932" s="8">
        <v>9.687158231E9</v>
      </c>
      <c r="G932" s="8"/>
      <c r="H932" s="21">
        <v>436.0</v>
      </c>
      <c r="I932" s="21" t="s">
        <v>10171</v>
      </c>
      <c r="J932" s="8" t="s">
        <v>1424</v>
      </c>
      <c r="K932" s="8" t="s">
        <v>49</v>
      </c>
      <c r="L932" s="8" t="s">
        <v>185</v>
      </c>
      <c r="M932" s="8" t="s">
        <v>28</v>
      </c>
      <c r="N932" s="21">
        <v>6375.0</v>
      </c>
      <c r="O932" s="21">
        <v>7523.0</v>
      </c>
      <c r="P932" s="6">
        <v>53.0</v>
      </c>
      <c r="Q932" s="8">
        <f t="shared" si="33"/>
        <v>3378.75</v>
      </c>
    </row>
    <row r="933">
      <c r="A933" s="100" t="s">
        <v>10168</v>
      </c>
      <c r="B933" s="8" t="s">
        <v>4904</v>
      </c>
      <c r="C933" s="8" t="s">
        <v>1395</v>
      </c>
      <c r="D933" s="8" t="s">
        <v>2116</v>
      </c>
      <c r="E933" s="8" t="s">
        <v>10172</v>
      </c>
      <c r="F933" s="8">
        <v>9.879145201E9</v>
      </c>
      <c r="G933" s="8"/>
      <c r="H933" s="21">
        <v>1600.0</v>
      </c>
      <c r="I933" s="22">
        <v>46000.0</v>
      </c>
      <c r="J933" s="8" t="s">
        <v>1424</v>
      </c>
      <c r="K933" s="8" t="s">
        <v>49</v>
      </c>
      <c r="L933" s="8" t="s">
        <v>365</v>
      </c>
      <c r="M933" s="8" t="s">
        <v>28</v>
      </c>
      <c r="N933" s="21">
        <v>19024.0</v>
      </c>
      <c r="O933" s="21">
        <v>21486.0</v>
      </c>
      <c r="P933" s="6">
        <v>52.0</v>
      </c>
      <c r="Q933" s="8">
        <f t="shared" si="33"/>
        <v>9892.48</v>
      </c>
    </row>
    <row r="934">
      <c r="A934" s="100" t="s">
        <v>10168</v>
      </c>
      <c r="B934" s="8" t="s">
        <v>7647</v>
      </c>
      <c r="C934" s="8" t="s">
        <v>21</v>
      </c>
      <c r="D934" s="8" t="s">
        <v>10173</v>
      </c>
      <c r="E934" s="8" t="s">
        <v>10174</v>
      </c>
      <c r="F934" s="8">
        <v>9.925140651E9</v>
      </c>
      <c r="G934" s="8"/>
      <c r="H934" s="21">
        <v>11990.0</v>
      </c>
      <c r="I934" s="22">
        <v>46000.0</v>
      </c>
      <c r="J934" s="8" t="s">
        <v>1419</v>
      </c>
      <c r="K934" s="8" t="s">
        <v>26</v>
      </c>
      <c r="L934" s="8" t="s">
        <v>71</v>
      </c>
      <c r="M934" s="8" t="s">
        <v>28</v>
      </c>
      <c r="N934" s="21">
        <v>27336.0</v>
      </c>
      <c r="O934" s="21">
        <v>30626.0</v>
      </c>
      <c r="P934" s="6">
        <v>45.0</v>
      </c>
      <c r="Q934" s="8">
        <f t="shared" si="33"/>
        <v>12301.2</v>
      </c>
    </row>
    <row r="935">
      <c r="A935" s="100" t="s">
        <v>10168</v>
      </c>
      <c r="B935" s="8" t="s">
        <v>7409</v>
      </c>
      <c r="C935" s="8" t="s">
        <v>1395</v>
      </c>
      <c r="D935" s="8" t="s">
        <v>524</v>
      </c>
      <c r="E935" s="8" t="s">
        <v>10175</v>
      </c>
      <c r="F935" s="8">
        <v>8.320189731E9</v>
      </c>
      <c r="G935" s="8"/>
      <c r="H935" s="21">
        <v>3490.0</v>
      </c>
      <c r="I935" s="21" t="s">
        <v>5218</v>
      </c>
      <c r="J935" s="8" t="s">
        <v>116</v>
      </c>
      <c r="K935" s="8" t="s">
        <v>49</v>
      </c>
      <c r="L935" s="8" t="s">
        <v>71</v>
      </c>
      <c r="M935" s="8" t="s">
        <v>28</v>
      </c>
      <c r="N935" s="97">
        <v>21641.0</v>
      </c>
      <c r="O935" s="97">
        <v>24569.0</v>
      </c>
      <c r="P935" s="6">
        <v>50.0</v>
      </c>
      <c r="Q935" s="8">
        <f t="shared" si="33"/>
        <v>10820.5</v>
      </c>
    </row>
    <row r="936">
      <c r="A936" s="100" t="s">
        <v>10168</v>
      </c>
      <c r="B936" s="8" t="s">
        <v>10176</v>
      </c>
      <c r="C936" s="8" t="s">
        <v>1395</v>
      </c>
      <c r="D936" s="8" t="s">
        <v>10177</v>
      </c>
      <c r="E936" s="8" t="s">
        <v>10178</v>
      </c>
      <c r="F936" s="8">
        <v>9.079131129E9</v>
      </c>
      <c r="G936" s="8"/>
      <c r="H936" s="21">
        <v>2500.0</v>
      </c>
      <c r="I936" s="22">
        <v>46000.0</v>
      </c>
      <c r="J936" s="131" t="s">
        <v>9946</v>
      </c>
      <c r="K936" s="8" t="s">
        <v>49</v>
      </c>
      <c r="L936" s="8" t="s">
        <v>27</v>
      </c>
      <c r="M936" s="8" t="s">
        <v>28</v>
      </c>
      <c r="N936" s="97">
        <v>17191.0</v>
      </c>
      <c r="O936" s="97">
        <v>19322.0</v>
      </c>
      <c r="P936" s="6">
        <v>59.0</v>
      </c>
      <c r="Q936" s="8">
        <f t="shared" si="33"/>
        <v>10142.69</v>
      </c>
    </row>
    <row r="937">
      <c r="A937" s="100" t="s">
        <v>10168</v>
      </c>
      <c r="B937" s="8" t="s">
        <v>7682</v>
      </c>
      <c r="C937" s="8" t="s">
        <v>1395</v>
      </c>
      <c r="D937" s="8" t="s">
        <v>9796</v>
      </c>
      <c r="E937" s="8" t="s">
        <v>7683</v>
      </c>
      <c r="F937" s="8">
        <v>9.714496259E9</v>
      </c>
      <c r="G937" s="8"/>
      <c r="H937" s="21">
        <v>2545.0</v>
      </c>
      <c r="I937" s="22">
        <v>46000.0</v>
      </c>
      <c r="J937" s="8" t="s">
        <v>1424</v>
      </c>
      <c r="K937" s="8" t="s">
        <v>49</v>
      </c>
      <c r="L937" s="8" t="s">
        <v>71</v>
      </c>
      <c r="M937" s="8" t="s">
        <v>28</v>
      </c>
      <c r="N937" s="21">
        <v>17049.0</v>
      </c>
      <c r="O937" s="21">
        <v>19155.0</v>
      </c>
      <c r="P937" s="6">
        <v>52.0</v>
      </c>
      <c r="Q937" s="8">
        <f t="shared" si="33"/>
        <v>8865.48</v>
      </c>
    </row>
    <row r="938">
      <c r="A938" s="100" t="s">
        <v>10168</v>
      </c>
      <c r="B938" s="8" t="s">
        <v>4931</v>
      </c>
      <c r="C938" s="8" t="s">
        <v>1395</v>
      </c>
      <c r="D938" s="8" t="s">
        <v>481</v>
      </c>
      <c r="E938" s="8" t="s">
        <v>10179</v>
      </c>
      <c r="F938" s="8">
        <v>9.925905999E9</v>
      </c>
      <c r="G938" s="8"/>
      <c r="H938" s="21">
        <v>2820.0</v>
      </c>
      <c r="I938" s="21" t="s">
        <v>5218</v>
      </c>
      <c r="J938" s="8" t="s">
        <v>1419</v>
      </c>
      <c r="K938" s="8" t="s">
        <v>49</v>
      </c>
      <c r="L938" s="8" t="s">
        <v>71</v>
      </c>
      <c r="M938" s="8" t="s">
        <v>28</v>
      </c>
      <c r="N938" s="21">
        <v>17011.0</v>
      </c>
      <c r="O938" s="21">
        <v>19111.0</v>
      </c>
      <c r="P938" s="6">
        <v>50.0</v>
      </c>
      <c r="Q938" s="8">
        <f t="shared" si="33"/>
        <v>8505.5</v>
      </c>
    </row>
    <row r="939">
      <c r="A939" s="100" t="s">
        <v>10168</v>
      </c>
      <c r="B939" s="8" t="s">
        <v>10180</v>
      </c>
      <c r="C939" s="8" t="s">
        <v>533</v>
      </c>
      <c r="D939" s="8" t="s">
        <v>5459</v>
      </c>
      <c r="E939" s="8" t="s">
        <v>3755</v>
      </c>
      <c r="F939" s="8">
        <v>7.016184293E9</v>
      </c>
      <c r="G939" s="8"/>
      <c r="H939" s="21">
        <v>5400.0</v>
      </c>
      <c r="I939" s="22">
        <v>46000.0</v>
      </c>
      <c r="J939" s="8" t="s">
        <v>116</v>
      </c>
      <c r="K939" s="8" t="s">
        <v>26</v>
      </c>
      <c r="L939" s="157" t="s">
        <v>27</v>
      </c>
      <c r="M939" s="8" t="s">
        <v>28</v>
      </c>
      <c r="N939" s="97">
        <v>7317.0</v>
      </c>
      <c r="O939" s="97">
        <v>8634.0</v>
      </c>
      <c r="P939" s="6">
        <v>27.0</v>
      </c>
      <c r="Q939" s="8">
        <f t="shared" si="33"/>
        <v>1975.59</v>
      </c>
    </row>
    <row r="940">
      <c r="A940" s="100" t="s">
        <v>10168</v>
      </c>
      <c r="B940" s="8" t="s">
        <v>7712</v>
      </c>
      <c r="C940" s="8" t="s">
        <v>1395</v>
      </c>
      <c r="D940" s="8" t="s">
        <v>2867</v>
      </c>
      <c r="E940" s="8" t="s">
        <v>7713</v>
      </c>
      <c r="F940" s="8">
        <v>7.81907818E9</v>
      </c>
      <c r="G940" s="8"/>
      <c r="H940" s="21">
        <v>2820.0</v>
      </c>
      <c r="I940" s="21" t="s">
        <v>10100</v>
      </c>
      <c r="J940" s="8" t="s">
        <v>116</v>
      </c>
      <c r="K940" s="8" t="s">
        <v>49</v>
      </c>
      <c r="L940" s="8" t="s">
        <v>71</v>
      </c>
      <c r="M940" s="8" t="s">
        <v>28</v>
      </c>
      <c r="N940" s="97">
        <v>18366.0</v>
      </c>
      <c r="O940" s="97">
        <v>20704.0</v>
      </c>
      <c r="P940" s="6">
        <v>50.0</v>
      </c>
      <c r="Q940" s="8">
        <f t="shared" si="33"/>
        <v>9183</v>
      </c>
    </row>
    <row r="941">
      <c r="A941" s="100" t="s">
        <v>10168</v>
      </c>
      <c r="B941" s="8" t="s">
        <v>10181</v>
      </c>
      <c r="C941" s="8" t="s">
        <v>1395</v>
      </c>
      <c r="D941" s="8" t="s">
        <v>9163</v>
      </c>
      <c r="E941" s="8" t="s">
        <v>10182</v>
      </c>
      <c r="F941" s="8">
        <v>9.099828311E9</v>
      </c>
      <c r="G941" s="8"/>
      <c r="H941" s="21">
        <v>2825.0</v>
      </c>
      <c r="I941" s="21" t="s">
        <v>10100</v>
      </c>
      <c r="J941" s="8" t="s">
        <v>116</v>
      </c>
      <c r="K941" s="8" t="s">
        <v>49</v>
      </c>
      <c r="L941" s="8" t="s">
        <v>1451</v>
      </c>
      <c r="M941" s="8" t="s">
        <v>28</v>
      </c>
      <c r="N941" s="97">
        <v>21441.0</v>
      </c>
      <c r="O941" s="97">
        <v>24333.0</v>
      </c>
      <c r="P941" s="6">
        <v>50.0</v>
      </c>
      <c r="Q941" s="8">
        <f t="shared" si="33"/>
        <v>10720.5</v>
      </c>
    </row>
    <row r="942">
      <c r="A942" s="100" t="s">
        <v>10168</v>
      </c>
      <c r="B942" s="8" t="s">
        <v>10183</v>
      </c>
      <c r="C942" s="8" t="s">
        <v>1395</v>
      </c>
      <c r="D942" s="8" t="s">
        <v>9702</v>
      </c>
      <c r="E942" s="8" t="s">
        <v>10184</v>
      </c>
      <c r="F942" s="8">
        <v>8.511650022E9</v>
      </c>
      <c r="G942" s="8"/>
      <c r="H942" s="21">
        <v>2523.0</v>
      </c>
      <c r="I942" s="21" t="s">
        <v>10185</v>
      </c>
      <c r="J942" s="86" t="s">
        <v>1424</v>
      </c>
      <c r="K942" s="8" t="s">
        <v>49</v>
      </c>
      <c r="L942" s="8" t="s">
        <v>365</v>
      </c>
      <c r="M942" s="8" t="s">
        <v>28</v>
      </c>
      <c r="N942" s="21">
        <v>19999.0</v>
      </c>
      <c r="O942" s="21">
        <v>22637.0</v>
      </c>
      <c r="P942" s="6">
        <v>52.0</v>
      </c>
      <c r="Q942" s="8">
        <f t="shared" si="33"/>
        <v>10399.48</v>
      </c>
    </row>
    <row r="943">
      <c r="A943" s="601" t="s">
        <v>10186</v>
      </c>
      <c r="B943" s="602" t="s">
        <v>10187</v>
      </c>
      <c r="C943" s="602" t="s">
        <v>2749</v>
      </c>
      <c r="D943" s="602" t="s">
        <v>10188</v>
      </c>
      <c r="E943" s="602" t="s">
        <v>8948</v>
      </c>
      <c r="F943" s="603">
        <v>1462.0</v>
      </c>
      <c r="G943" s="603">
        <v>45912.0</v>
      </c>
      <c r="H943" s="602"/>
      <c r="I943" s="602"/>
      <c r="J943" s="602" t="s">
        <v>9946</v>
      </c>
      <c r="K943" s="602" t="s">
        <v>49</v>
      </c>
      <c r="L943" s="602"/>
      <c r="M943" s="602"/>
      <c r="N943" s="603">
        <v>20296.0</v>
      </c>
      <c r="O943" s="603">
        <v>23949.0</v>
      </c>
      <c r="P943" s="603">
        <v>27.0</v>
      </c>
      <c r="Q943" s="604">
        <v>5480.0</v>
      </c>
      <c r="R943" s="605"/>
      <c r="S943" s="606"/>
      <c r="T943" s="607"/>
      <c r="U943" s="607"/>
      <c r="V943" s="607"/>
      <c r="W943" s="607"/>
      <c r="X943" s="607"/>
      <c r="Y943" s="607"/>
      <c r="Z943" s="607"/>
      <c r="AA943" s="607"/>
      <c r="AB943" s="607"/>
      <c r="AC943" s="607"/>
    </row>
    <row r="944">
      <c r="A944" s="100" t="s">
        <v>10189</v>
      </c>
      <c r="B944" s="8" t="s">
        <v>7720</v>
      </c>
      <c r="C944" s="8" t="s">
        <v>1395</v>
      </c>
      <c r="D944" s="8" t="s">
        <v>9796</v>
      </c>
      <c r="E944" s="8" t="s">
        <v>10190</v>
      </c>
      <c r="F944" s="8">
        <v>9.099299879E9</v>
      </c>
      <c r="G944" s="8"/>
      <c r="H944" s="21">
        <v>2545.0</v>
      </c>
      <c r="I944" s="21" t="s">
        <v>10191</v>
      </c>
      <c r="J944" s="8" t="s">
        <v>1424</v>
      </c>
      <c r="K944" s="8" t="s">
        <v>49</v>
      </c>
      <c r="L944" s="8" t="s">
        <v>71</v>
      </c>
      <c r="M944" s="8" t="s">
        <v>28</v>
      </c>
      <c r="N944" s="97">
        <v>17126.0</v>
      </c>
      <c r="O944" s="97">
        <v>19246.0</v>
      </c>
      <c r="P944" s="6">
        <v>52.0</v>
      </c>
      <c r="Q944" s="8">
        <f t="shared" ref="Q944:Q991" si="34">N944*P944%</f>
        <v>8905.52</v>
      </c>
    </row>
    <row r="945">
      <c r="A945" s="100" t="s">
        <v>10192</v>
      </c>
      <c r="B945" s="8" t="s">
        <v>10193</v>
      </c>
      <c r="C945" s="8" t="s">
        <v>1405</v>
      </c>
      <c r="D945" s="8" t="s">
        <v>1479</v>
      </c>
      <c r="E945" s="8" t="s">
        <v>10194</v>
      </c>
      <c r="F945" s="8">
        <v>9.429579977E9</v>
      </c>
      <c r="G945" s="8"/>
      <c r="H945" s="21">
        <v>990.0</v>
      </c>
      <c r="I945" s="21" t="s">
        <v>10195</v>
      </c>
      <c r="J945" s="8" t="s">
        <v>1419</v>
      </c>
      <c r="K945" s="8" t="s">
        <v>49</v>
      </c>
      <c r="L945" s="8" t="s">
        <v>185</v>
      </c>
      <c r="M945" s="8" t="s">
        <v>28</v>
      </c>
      <c r="N945" s="21">
        <v>5299.0</v>
      </c>
      <c r="O945" s="21">
        <v>5985.0</v>
      </c>
      <c r="P945" s="6">
        <v>52.0</v>
      </c>
      <c r="Q945" s="8">
        <f t="shared" si="34"/>
        <v>2755.48</v>
      </c>
    </row>
    <row r="946">
      <c r="A946" s="100" t="s">
        <v>10192</v>
      </c>
      <c r="B946" s="8" t="s">
        <v>10196</v>
      </c>
      <c r="C946" s="8" t="s">
        <v>1432</v>
      </c>
      <c r="D946" s="8" t="s">
        <v>2125</v>
      </c>
      <c r="E946" s="8" t="s">
        <v>10197</v>
      </c>
      <c r="F946" s="8">
        <v>7.984766411E9</v>
      </c>
      <c r="G946" s="8"/>
      <c r="H946" s="21">
        <v>436.0</v>
      </c>
      <c r="I946" s="21" t="s">
        <v>5020</v>
      </c>
      <c r="J946" s="8" t="s">
        <v>1424</v>
      </c>
      <c r="K946" s="8" t="s">
        <v>49</v>
      </c>
      <c r="L946" s="8" t="s">
        <v>27</v>
      </c>
      <c r="M946" s="8" t="s">
        <v>28</v>
      </c>
      <c r="N946" s="21">
        <v>6375.0</v>
      </c>
      <c r="O946" s="21">
        <v>7523.0</v>
      </c>
      <c r="P946" s="6">
        <v>53.0</v>
      </c>
      <c r="Q946" s="8">
        <f t="shared" si="34"/>
        <v>3378.75</v>
      </c>
    </row>
    <row r="947">
      <c r="A947" s="100" t="s">
        <v>10198</v>
      </c>
      <c r="B947" s="8" t="s">
        <v>10199</v>
      </c>
      <c r="C947" s="8" t="s">
        <v>1432</v>
      </c>
      <c r="D947" s="8" t="s">
        <v>2125</v>
      </c>
      <c r="E947" s="8" t="s">
        <v>10200</v>
      </c>
      <c r="F947" s="8">
        <v>9.909875734E9</v>
      </c>
      <c r="G947" s="8"/>
      <c r="H947" s="21">
        <v>436.0</v>
      </c>
      <c r="I947" s="21" t="s">
        <v>10195</v>
      </c>
      <c r="J947" s="8" t="s">
        <v>1424</v>
      </c>
      <c r="K947" s="8" t="s">
        <v>49</v>
      </c>
      <c r="L947" s="8" t="s">
        <v>1436</v>
      </c>
      <c r="M947" s="8" t="s">
        <v>28</v>
      </c>
      <c r="N947" s="21">
        <v>6261.0</v>
      </c>
      <c r="O947" s="21">
        <v>7387.0</v>
      </c>
      <c r="P947" s="6">
        <v>53.0</v>
      </c>
      <c r="Q947" s="8">
        <f t="shared" si="34"/>
        <v>3318.33</v>
      </c>
    </row>
    <row r="948">
      <c r="A948" s="100" t="s">
        <v>10198</v>
      </c>
      <c r="B948" s="8" t="s">
        <v>10201</v>
      </c>
      <c r="C948" s="8" t="s">
        <v>1395</v>
      </c>
      <c r="D948" s="8" t="s">
        <v>961</v>
      </c>
      <c r="E948" s="8" t="s">
        <v>10202</v>
      </c>
      <c r="F948" s="8">
        <v>9.978278186E9</v>
      </c>
      <c r="G948" s="8"/>
      <c r="H948" s="21">
        <v>2880.0</v>
      </c>
      <c r="I948" s="21" t="s">
        <v>5001</v>
      </c>
      <c r="J948" s="8" t="s">
        <v>116</v>
      </c>
      <c r="K948" s="8" t="s">
        <v>49</v>
      </c>
      <c r="L948" s="8" t="s">
        <v>389</v>
      </c>
      <c r="M948" s="8" t="s">
        <v>28</v>
      </c>
      <c r="N948" s="97">
        <v>22014.0</v>
      </c>
      <c r="O948" s="97">
        <v>25008.0</v>
      </c>
      <c r="P948" s="6">
        <v>50.0</v>
      </c>
      <c r="Q948" s="8">
        <f t="shared" si="34"/>
        <v>11007</v>
      </c>
    </row>
    <row r="949">
      <c r="A949" s="100" t="s">
        <v>10203</v>
      </c>
      <c r="B949" s="8" t="s">
        <v>10204</v>
      </c>
      <c r="C949" s="8" t="s">
        <v>1432</v>
      </c>
      <c r="D949" s="8" t="s">
        <v>2125</v>
      </c>
      <c r="E949" s="8" t="s">
        <v>10205</v>
      </c>
      <c r="F949" s="8">
        <v>9.328917247E9</v>
      </c>
      <c r="G949" s="8"/>
      <c r="H949" s="21">
        <v>436.0</v>
      </c>
      <c r="I949" s="21" t="s">
        <v>10191</v>
      </c>
      <c r="J949" s="8" t="s">
        <v>1424</v>
      </c>
      <c r="K949" s="8" t="s">
        <v>49</v>
      </c>
      <c r="L949" s="8" t="s">
        <v>50</v>
      </c>
      <c r="M949" s="8" t="s">
        <v>28</v>
      </c>
      <c r="N949" s="21">
        <v>6375.0</v>
      </c>
      <c r="O949" s="21">
        <v>7523.0</v>
      </c>
      <c r="P949" s="6">
        <v>53.0</v>
      </c>
      <c r="Q949" s="8">
        <f t="shared" si="34"/>
        <v>3378.75</v>
      </c>
    </row>
    <row r="950">
      <c r="A950" s="100" t="s">
        <v>10203</v>
      </c>
      <c r="B950" s="8" t="s">
        <v>7724</v>
      </c>
      <c r="C950" s="8" t="s">
        <v>1395</v>
      </c>
      <c r="D950" s="8" t="s">
        <v>9702</v>
      </c>
      <c r="E950" s="8" t="s">
        <v>7725</v>
      </c>
      <c r="F950" s="8">
        <v>9.624707845E9</v>
      </c>
      <c r="G950" s="8"/>
      <c r="H950" s="21">
        <v>2620.0</v>
      </c>
      <c r="I950" s="21" t="s">
        <v>10171</v>
      </c>
      <c r="J950" s="8" t="s">
        <v>1424</v>
      </c>
      <c r="K950" s="8" t="s">
        <v>49</v>
      </c>
      <c r="L950" s="8" t="s">
        <v>71</v>
      </c>
      <c r="M950" s="8" t="s">
        <v>28</v>
      </c>
      <c r="N950" s="21">
        <v>17335.0</v>
      </c>
      <c r="O950" s="21">
        <v>19493.0</v>
      </c>
      <c r="P950" s="6">
        <v>52.0</v>
      </c>
      <c r="Q950" s="8">
        <f t="shared" si="34"/>
        <v>9014.2</v>
      </c>
    </row>
    <row r="951">
      <c r="A951" s="100" t="s">
        <v>10203</v>
      </c>
      <c r="B951" s="8" t="s">
        <v>10206</v>
      </c>
      <c r="C951" s="8" t="s">
        <v>1432</v>
      </c>
      <c r="D951" s="8" t="s">
        <v>2125</v>
      </c>
      <c r="E951" s="8" t="s">
        <v>10207</v>
      </c>
      <c r="F951" s="8">
        <v>9.106110361E9</v>
      </c>
      <c r="G951" s="8"/>
      <c r="H951" s="21">
        <v>436.0</v>
      </c>
      <c r="I951" s="21" t="s">
        <v>10185</v>
      </c>
      <c r="J951" s="8" t="s">
        <v>1424</v>
      </c>
      <c r="K951" s="8" t="s">
        <v>49</v>
      </c>
      <c r="L951" s="8" t="s">
        <v>1616</v>
      </c>
      <c r="M951" s="8" t="s">
        <v>28</v>
      </c>
      <c r="N951" s="21">
        <v>6567.0</v>
      </c>
      <c r="O951" s="21">
        <v>7749.0</v>
      </c>
      <c r="P951" s="6">
        <v>53.0</v>
      </c>
      <c r="Q951" s="8">
        <f t="shared" si="34"/>
        <v>3480.51</v>
      </c>
    </row>
    <row r="952">
      <c r="A952" s="100" t="s">
        <v>10203</v>
      </c>
      <c r="B952" s="8" t="s">
        <v>10208</v>
      </c>
      <c r="C952" s="8" t="s">
        <v>1432</v>
      </c>
      <c r="D952" s="8" t="s">
        <v>2125</v>
      </c>
      <c r="E952" s="8" t="s">
        <v>10209</v>
      </c>
      <c r="F952" s="8">
        <v>9.824993656E9</v>
      </c>
      <c r="G952" s="8"/>
      <c r="H952" s="21">
        <v>436.0</v>
      </c>
      <c r="I952" s="21" t="s">
        <v>10171</v>
      </c>
      <c r="J952" s="8" t="s">
        <v>1424</v>
      </c>
      <c r="K952" s="8" t="s">
        <v>49</v>
      </c>
      <c r="L952" s="8" t="s">
        <v>365</v>
      </c>
      <c r="M952" s="8" t="s">
        <v>28</v>
      </c>
      <c r="N952" s="21">
        <v>6375.0</v>
      </c>
      <c r="O952" s="21">
        <v>7523.0</v>
      </c>
      <c r="P952" s="6">
        <v>53.0</v>
      </c>
      <c r="Q952" s="8">
        <f t="shared" si="34"/>
        <v>3378.75</v>
      </c>
    </row>
    <row r="953">
      <c r="A953" s="100" t="s">
        <v>10203</v>
      </c>
      <c r="B953" s="8" t="s">
        <v>10210</v>
      </c>
      <c r="C953" s="8" t="s">
        <v>1432</v>
      </c>
      <c r="D953" s="8" t="s">
        <v>2125</v>
      </c>
      <c r="E953" s="8" t="s">
        <v>10211</v>
      </c>
      <c r="F953" s="8">
        <v>8.238886226E9</v>
      </c>
      <c r="G953" s="8"/>
      <c r="H953" s="21">
        <v>436.0</v>
      </c>
      <c r="I953" s="21" t="s">
        <v>10191</v>
      </c>
      <c r="J953" s="8" t="s">
        <v>1424</v>
      </c>
      <c r="K953" s="8" t="s">
        <v>49</v>
      </c>
      <c r="L953" s="8" t="s">
        <v>50</v>
      </c>
      <c r="M953" s="8" t="s">
        <v>28</v>
      </c>
      <c r="N953" s="21">
        <v>6497.0</v>
      </c>
      <c r="O953" s="21">
        <v>7667.0</v>
      </c>
      <c r="P953" s="6">
        <v>53.0</v>
      </c>
      <c r="Q953" s="8">
        <f t="shared" si="34"/>
        <v>3443.41</v>
      </c>
    </row>
    <row r="954">
      <c r="A954" s="100" t="s">
        <v>10203</v>
      </c>
      <c r="B954" s="592" t="s">
        <v>10212</v>
      </c>
      <c r="C954" s="8" t="s">
        <v>1432</v>
      </c>
      <c r="D954" s="8" t="s">
        <v>2125</v>
      </c>
      <c r="E954" s="8" t="s">
        <v>10213</v>
      </c>
      <c r="F954" s="8">
        <v>9.870094924E9</v>
      </c>
      <c r="G954" s="8"/>
      <c r="H954" s="21">
        <v>436.0</v>
      </c>
      <c r="I954" s="21" t="s">
        <v>10191</v>
      </c>
      <c r="J954" s="8" t="s">
        <v>1424</v>
      </c>
      <c r="K954" s="8" t="s">
        <v>49</v>
      </c>
      <c r="L954" s="8" t="s">
        <v>27</v>
      </c>
      <c r="M954" s="8" t="s">
        <v>28</v>
      </c>
      <c r="N954" s="21">
        <v>6344.0</v>
      </c>
      <c r="O954" s="21">
        <v>7486.0</v>
      </c>
      <c r="P954" s="6">
        <v>53.0</v>
      </c>
      <c r="Q954" s="8">
        <f t="shared" si="34"/>
        <v>3362.32</v>
      </c>
    </row>
    <row r="955">
      <c r="A955" s="100" t="s">
        <v>10214</v>
      </c>
      <c r="B955" s="8" t="s">
        <v>7710</v>
      </c>
      <c r="C955" s="8" t="s">
        <v>21</v>
      </c>
      <c r="D955" s="8" t="s">
        <v>10215</v>
      </c>
      <c r="E955" s="8" t="s">
        <v>7711</v>
      </c>
      <c r="F955" s="8">
        <v>9.879783545E9</v>
      </c>
      <c r="G955" s="8"/>
      <c r="H955" s="21">
        <v>18500.0</v>
      </c>
      <c r="I955" s="21" t="s">
        <v>5001</v>
      </c>
      <c r="J955" s="131" t="s">
        <v>9946</v>
      </c>
      <c r="K955" s="8" t="s">
        <v>49</v>
      </c>
      <c r="L955" s="8" t="s">
        <v>71</v>
      </c>
      <c r="M955" s="8" t="s">
        <v>28</v>
      </c>
      <c r="N955" s="97">
        <v>37625.0</v>
      </c>
      <c r="O955" s="97">
        <v>42279.0</v>
      </c>
      <c r="P955" s="6">
        <v>26.0</v>
      </c>
      <c r="Q955" s="8">
        <f t="shared" si="34"/>
        <v>9782.5</v>
      </c>
    </row>
    <row r="956">
      <c r="A956" s="100" t="s">
        <v>10214</v>
      </c>
      <c r="B956" s="8" t="s">
        <v>7890</v>
      </c>
      <c r="C956" s="8" t="s">
        <v>21</v>
      </c>
      <c r="D956" s="8" t="s">
        <v>10215</v>
      </c>
      <c r="E956" s="8" t="s">
        <v>7711</v>
      </c>
      <c r="F956" s="8">
        <v>9.879783545E9</v>
      </c>
      <c r="G956" s="8"/>
      <c r="H956" s="21">
        <v>18500.0</v>
      </c>
      <c r="I956" s="22">
        <v>45879.0</v>
      </c>
      <c r="J956" s="131" t="s">
        <v>9946</v>
      </c>
      <c r="K956" s="8" t="s">
        <v>49</v>
      </c>
      <c r="L956" s="8" t="s">
        <v>71</v>
      </c>
      <c r="M956" s="8" t="s">
        <v>28</v>
      </c>
      <c r="N956" s="97">
        <v>37773.0</v>
      </c>
      <c r="O956" s="97">
        <v>42453.0</v>
      </c>
      <c r="P956" s="6">
        <v>26.0</v>
      </c>
      <c r="Q956" s="8">
        <f t="shared" si="34"/>
        <v>9820.98</v>
      </c>
    </row>
    <row r="957">
      <c r="A957" s="233" t="s">
        <v>10214</v>
      </c>
      <c r="B957" s="131" t="s">
        <v>7650</v>
      </c>
      <c r="C957" s="131" t="s">
        <v>1395</v>
      </c>
      <c r="D957" s="131" t="s">
        <v>1247</v>
      </c>
      <c r="E957" s="131" t="s">
        <v>10216</v>
      </c>
      <c r="F957" s="131">
        <v>9.879950246E9</v>
      </c>
      <c r="G957" s="131"/>
      <c r="H957" s="208">
        <v>2825.0</v>
      </c>
      <c r="I957" s="208" t="s">
        <v>10217</v>
      </c>
      <c r="J957" s="131" t="s">
        <v>116</v>
      </c>
      <c r="K957" s="131" t="s">
        <v>49</v>
      </c>
      <c r="L957" s="131" t="s">
        <v>71</v>
      </c>
      <c r="M957" s="131" t="s">
        <v>28</v>
      </c>
      <c r="N957" s="209">
        <v>19319.0</v>
      </c>
      <c r="O957" s="209">
        <v>21829.0</v>
      </c>
      <c r="P957" s="6">
        <v>50.0</v>
      </c>
      <c r="Q957" s="8">
        <f t="shared" si="34"/>
        <v>9659.5</v>
      </c>
    </row>
    <row r="958">
      <c r="A958" s="100" t="s">
        <v>10218</v>
      </c>
      <c r="B958" s="8" t="s">
        <v>10219</v>
      </c>
      <c r="C958" s="8" t="s">
        <v>1432</v>
      </c>
      <c r="D958" s="8" t="s">
        <v>10041</v>
      </c>
      <c r="E958" s="8" t="s">
        <v>10220</v>
      </c>
      <c r="F958" s="8">
        <v>6.355169575E9</v>
      </c>
      <c r="G958" s="8"/>
      <c r="H958" s="21">
        <v>236.0</v>
      </c>
      <c r="I958" s="21" t="s">
        <v>10171</v>
      </c>
      <c r="J958" s="8" t="s">
        <v>1419</v>
      </c>
      <c r="K958" s="8" t="s">
        <v>49</v>
      </c>
      <c r="L958" s="8" t="s">
        <v>1451</v>
      </c>
      <c r="M958" s="8" t="s">
        <v>28</v>
      </c>
      <c r="N958" s="21">
        <v>6370.0</v>
      </c>
      <c r="O958" s="21">
        <v>7516.0</v>
      </c>
      <c r="P958" s="6">
        <v>52.0</v>
      </c>
      <c r="Q958" s="8">
        <f t="shared" si="34"/>
        <v>3312.4</v>
      </c>
    </row>
    <row r="959">
      <c r="A959" s="100" t="s">
        <v>10218</v>
      </c>
      <c r="B959" s="8" t="s">
        <v>5002</v>
      </c>
      <c r="C959" s="8" t="s">
        <v>1405</v>
      </c>
      <c r="D959" s="8" t="s">
        <v>9268</v>
      </c>
      <c r="E959" s="8" t="s">
        <v>10221</v>
      </c>
      <c r="F959" s="8">
        <v>9.537309647E9</v>
      </c>
      <c r="G959" s="8"/>
      <c r="H959" s="21">
        <v>990.0</v>
      </c>
      <c r="I959" s="21" t="s">
        <v>5001</v>
      </c>
      <c r="J959" s="8" t="s">
        <v>78</v>
      </c>
      <c r="K959" s="8" t="s">
        <v>49</v>
      </c>
      <c r="L959" s="8" t="s">
        <v>1616</v>
      </c>
      <c r="M959" s="8" t="s">
        <v>28</v>
      </c>
      <c r="N959" s="21">
        <v>5124.0</v>
      </c>
      <c r="O959" s="21">
        <v>5777.0</v>
      </c>
      <c r="P959" s="6">
        <v>55.0</v>
      </c>
      <c r="Q959" s="8">
        <f t="shared" si="34"/>
        <v>2818.2</v>
      </c>
    </row>
    <row r="960">
      <c r="A960" s="100" t="s">
        <v>10218</v>
      </c>
      <c r="B960" s="8" t="s">
        <v>4947</v>
      </c>
      <c r="C960" s="8" t="s">
        <v>21</v>
      </c>
      <c r="D960" s="8" t="s">
        <v>10222</v>
      </c>
      <c r="E960" s="8" t="s">
        <v>4950</v>
      </c>
      <c r="F960" s="8">
        <v>9.712510058E9</v>
      </c>
      <c r="G960" s="8"/>
      <c r="H960" s="21">
        <v>42000.0</v>
      </c>
      <c r="I960" s="21" t="s">
        <v>10223</v>
      </c>
      <c r="J960" s="8" t="s">
        <v>1424</v>
      </c>
      <c r="K960" s="8" t="s">
        <v>49</v>
      </c>
      <c r="L960" s="8" t="s">
        <v>27</v>
      </c>
      <c r="M960" s="8" t="s">
        <v>28</v>
      </c>
      <c r="N960" s="21">
        <v>50881.0</v>
      </c>
      <c r="O960" s="21">
        <v>57387.0</v>
      </c>
      <c r="P960" s="6">
        <v>24.0</v>
      </c>
      <c r="Q960" s="8">
        <f t="shared" si="34"/>
        <v>12211.44</v>
      </c>
    </row>
    <row r="961">
      <c r="A961" s="100" t="s">
        <v>10218</v>
      </c>
      <c r="B961" s="8" t="s">
        <v>10224</v>
      </c>
      <c r="C961" s="8" t="s">
        <v>1432</v>
      </c>
      <c r="D961" s="8" t="s">
        <v>10041</v>
      </c>
      <c r="E961" s="8" t="s">
        <v>10225</v>
      </c>
      <c r="F961" s="8">
        <v>9.687923371E9</v>
      </c>
      <c r="G961" s="8"/>
      <c r="H961" s="21">
        <v>236.0</v>
      </c>
      <c r="I961" s="21" t="s">
        <v>5012</v>
      </c>
      <c r="J961" s="8" t="s">
        <v>1419</v>
      </c>
      <c r="K961" s="8" t="s">
        <v>49</v>
      </c>
      <c r="L961" s="8" t="s">
        <v>365</v>
      </c>
      <c r="M961" s="8" t="s">
        <v>28</v>
      </c>
      <c r="N961" s="21">
        <v>6492.0</v>
      </c>
      <c r="O961" s="21">
        <v>7660.0</v>
      </c>
      <c r="P961" s="6">
        <v>52.0</v>
      </c>
      <c r="Q961" s="8">
        <f t="shared" si="34"/>
        <v>3375.84</v>
      </c>
    </row>
    <row r="962">
      <c r="A962" s="100" t="s">
        <v>10218</v>
      </c>
      <c r="B962" s="8" t="s">
        <v>6162</v>
      </c>
      <c r="C962" s="131" t="s">
        <v>1395</v>
      </c>
      <c r="D962" s="8" t="s">
        <v>10226</v>
      </c>
      <c r="E962" s="8" t="s">
        <v>10227</v>
      </c>
      <c r="F962" s="8">
        <v>9.974348444E9</v>
      </c>
      <c r="G962" s="8"/>
      <c r="H962" s="21">
        <v>2145.0</v>
      </c>
      <c r="I962" s="21" t="s">
        <v>10223</v>
      </c>
      <c r="J962" s="131" t="s">
        <v>9946</v>
      </c>
      <c r="K962" s="8" t="s">
        <v>49</v>
      </c>
      <c r="L962" s="8" t="s">
        <v>71</v>
      </c>
      <c r="M962" s="8" t="s">
        <v>28</v>
      </c>
      <c r="N962" s="97">
        <v>16149.0</v>
      </c>
      <c r="O962" s="97">
        <v>20435.0</v>
      </c>
      <c r="P962" s="6">
        <v>59.0</v>
      </c>
      <c r="Q962" s="8">
        <f t="shared" si="34"/>
        <v>9527.91</v>
      </c>
    </row>
    <row r="963">
      <c r="A963" s="100" t="s">
        <v>10218</v>
      </c>
      <c r="B963" s="8" t="s">
        <v>7775</v>
      </c>
      <c r="C963" s="131" t="s">
        <v>1395</v>
      </c>
      <c r="D963" s="8" t="s">
        <v>4641</v>
      </c>
      <c r="E963" s="8" t="s">
        <v>10228</v>
      </c>
      <c r="F963" s="8">
        <v>6.353547946E9</v>
      </c>
      <c r="G963" s="8"/>
      <c r="H963" s="21">
        <v>1600.0</v>
      </c>
      <c r="I963" s="21" t="s">
        <v>10229</v>
      </c>
      <c r="J963" s="131" t="s">
        <v>9946</v>
      </c>
      <c r="K963" s="8" t="s">
        <v>49</v>
      </c>
      <c r="L963" s="8" t="s">
        <v>71</v>
      </c>
      <c r="M963" s="8" t="s">
        <v>28</v>
      </c>
      <c r="N963" s="97">
        <v>17546.0</v>
      </c>
      <c r="O963" s="97">
        <v>19741.0</v>
      </c>
      <c r="P963" s="6">
        <v>59.0</v>
      </c>
      <c r="Q963" s="8">
        <f t="shared" si="34"/>
        <v>10352.14</v>
      </c>
    </row>
    <row r="964">
      <c r="A964" s="100" t="s">
        <v>10218</v>
      </c>
      <c r="B964" s="8" t="s">
        <v>10230</v>
      </c>
      <c r="C964" s="593" t="s">
        <v>21</v>
      </c>
      <c r="D964" s="8" t="s">
        <v>10231</v>
      </c>
      <c r="E964" s="8" t="s">
        <v>10232</v>
      </c>
      <c r="F964" s="8">
        <v>8.000811331E9</v>
      </c>
      <c r="G964" s="8"/>
      <c r="H964" s="21">
        <v>6950.0</v>
      </c>
      <c r="I964" s="21" t="s">
        <v>10185</v>
      </c>
      <c r="J964" s="8" t="s">
        <v>1419</v>
      </c>
      <c r="K964" s="8" t="s">
        <v>26</v>
      </c>
      <c r="L964" s="8" t="s">
        <v>27</v>
      </c>
      <c r="M964" s="8" t="s">
        <v>28</v>
      </c>
      <c r="N964" s="21">
        <v>16149.0</v>
      </c>
      <c r="O964" s="21">
        <v>18093.0</v>
      </c>
      <c r="P964" s="6">
        <v>43.0</v>
      </c>
      <c r="Q964" s="8">
        <f t="shared" si="34"/>
        <v>6944.07</v>
      </c>
    </row>
    <row r="965">
      <c r="A965" s="100" t="s">
        <v>10218</v>
      </c>
      <c r="B965" s="8" t="s">
        <v>7718</v>
      </c>
      <c r="C965" s="131" t="s">
        <v>1395</v>
      </c>
      <c r="D965" s="8" t="s">
        <v>9702</v>
      </c>
      <c r="E965" s="8" t="s">
        <v>10233</v>
      </c>
      <c r="F965" s="8">
        <v>9.773037975E9</v>
      </c>
      <c r="G965" s="8"/>
      <c r="H965" s="21">
        <v>2750.0</v>
      </c>
      <c r="I965" s="21" t="s">
        <v>10217</v>
      </c>
      <c r="J965" s="8" t="s">
        <v>1424</v>
      </c>
      <c r="K965" s="8" t="s">
        <v>49</v>
      </c>
      <c r="L965" s="8" t="s">
        <v>71</v>
      </c>
      <c r="M965" s="8" t="s">
        <v>28</v>
      </c>
      <c r="N965" s="21">
        <v>17556.0</v>
      </c>
      <c r="O965" s="21">
        <v>19754.0</v>
      </c>
      <c r="P965" s="6">
        <v>52.0</v>
      </c>
      <c r="Q965" s="8">
        <f t="shared" si="34"/>
        <v>9129.12</v>
      </c>
    </row>
    <row r="966">
      <c r="A966" s="100" t="s">
        <v>10218</v>
      </c>
      <c r="B966" s="8" t="s">
        <v>10234</v>
      </c>
      <c r="C966" s="8" t="s">
        <v>1432</v>
      </c>
      <c r="D966" s="8" t="s">
        <v>9190</v>
      </c>
      <c r="E966" s="8" t="s">
        <v>10235</v>
      </c>
      <c r="F966" s="8">
        <v>8.469183492E9</v>
      </c>
      <c r="G966" s="8"/>
      <c r="H966" s="21">
        <v>236.0</v>
      </c>
      <c r="I966" s="21" t="s">
        <v>5030</v>
      </c>
      <c r="J966" s="8" t="s">
        <v>1424</v>
      </c>
      <c r="K966" s="8" t="s">
        <v>49</v>
      </c>
      <c r="L966" s="8" t="s">
        <v>1616</v>
      </c>
      <c r="M966" s="8" t="s">
        <v>28</v>
      </c>
      <c r="N966" s="21">
        <v>6375.0</v>
      </c>
      <c r="O966" s="21">
        <v>7523.0</v>
      </c>
      <c r="P966" s="6">
        <v>53.0</v>
      </c>
      <c r="Q966" s="8">
        <f t="shared" si="34"/>
        <v>3378.75</v>
      </c>
    </row>
    <row r="967">
      <c r="A967" s="100" t="s">
        <v>10218</v>
      </c>
      <c r="B967" s="8" t="s">
        <v>7744</v>
      </c>
      <c r="C967" s="131" t="s">
        <v>1395</v>
      </c>
      <c r="D967" s="8" t="s">
        <v>524</v>
      </c>
      <c r="E967" s="8" t="s">
        <v>10236</v>
      </c>
      <c r="F967" s="8">
        <v>9.87002269E9</v>
      </c>
      <c r="G967" s="8"/>
      <c r="H967" s="21">
        <v>3490.0</v>
      </c>
      <c r="I967" s="21" t="s">
        <v>5001</v>
      </c>
      <c r="J967" s="131" t="s">
        <v>116</v>
      </c>
      <c r="K967" s="8" t="s">
        <v>49</v>
      </c>
      <c r="L967" s="8" t="s">
        <v>71</v>
      </c>
      <c r="M967" s="8" t="s">
        <v>28</v>
      </c>
      <c r="N967" s="97">
        <v>19002.0</v>
      </c>
      <c r="O967" s="97">
        <v>21454.0</v>
      </c>
      <c r="P967" s="6">
        <v>50.0</v>
      </c>
      <c r="Q967" s="8">
        <f t="shared" si="34"/>
        <v>9501</v>
      </c>
    </row>
    <row r="968">
      <c r="A968" s="100" t="s">
        <v>7746</v>
      </c>
      <c r="B968" s="8" t="s">
        <v>10237</v>
      </c>
      <c r="C968" s="131" t="s">
        <v>1395</v>
      </c>
      <c r="D968" s="8" t="s">
        <v>178</v>
      </c>
      <c r="E968" s="8" t="s">
        <v>10238</v>
      </c>
      <c r="F968" s="8">
        <v>9.638917351E9</v>
      </c>
      <c r="G968" s="8"/>
      <c r="H968" s="21">
        <v>3460.0</v>
      </c>
      <c r="I968" s="21" t="s">
        <v>5007</v>
      </c>
      <c r="J968" s="131" t="s">
        <v>116</v>
      </c>
      <c r="K968" s="8" t="s">
        <v>49</v>
      </c>
      <c r="L968" s="8" t="s">
        <v>1436</v>
      </c>
      <c r="M968" s="8" t="s">
        <v>28</v>
      </c>
      <c r="N968" s="97">
        <v>21424.0</v>
      </c>
      <c r="O968" s="97">
        <v>24312.0</v>
      </c>
      <c r="P968" s="6">
        <v>50.0</v>
      </c>
      <c r="Q968" s="8">
        <f t="shared" si="34"/>
        <v>10712</v>
      </c>
    </row>
    <row r="969">
      <c r="A969" s="100" t="s">
        <v>7746</v>
      </c>
      <c r="B969" s="8" t="s">
        <v>10239</v>
      </c>
      <c r="C969" s="131" t="s">
        <v>1395</v>
      </c>
      <c r="D969" s="8" t="s">
        <v>9521</v>
      </c>
      <c r="E969" s="8" t="s">
        <v>10240</v>
      </c>
      <c r="F969" s="8">
        <v>9.316245681E9</v>
      </c>
      <c r="G969" s="8"/>
      <c r="H969" s="21">
        <v>2820.0</v>
      </c>
      <c r="I969" s="21" t="s">
        <v>5169</v>
      </c>
      <c r="J969" s="131" t="s">
        <v>116</v>
      </c>
      <c r="K969" s="8" t="s">
        <v>49</v>
      </c>
      <c r="L969" s="8" t="s">
        <v>27</v>
      </c>
      <c r="M969" s="8" t="s">
        <v>28</v>
      </c>
      <c r="N969" s="97">
        <v>18053.0</v>
      </c>
      <c r="O969" s="97">
        <v>20335.0</v>
      </c>
      <c r="P969" s="6">
        <v>50.0</v>
      </c>
      <c r="Q969" s="8">
        <f t="shared" si="34"/>
        <v>9026.5</v>
      </c>
    </row>
    <row r="970">
      <c r="A970" s="100" t="s">
        <v>7746</v>
      </c>
      <c r="B970" s="8" t="s">
        <v>10241</v>
      </c>
      <c r="C970" s="8" t="s">
        <v>1432</v>
      </c>
      <c r="D970" s="8" t="s">
        <v>9151</v>
      </c>
      <c r="E970" s="8" t="s">
        <v>10242</v>
      </c>
      <c r="F970" s="8">
        <v>9.978376855E9</v>
      </c>
      <c r="G970" s="8"/>
      <c r="H970" s="21">
        <v>236.0</v>
      </c>
      <c r="I970" s="21" t="s">
        <v>10185</v>
      </c>
      <c r="J970" s="8" t="s">
        <v>1424</v>
      </c>
      <c r="K970" s="8" t="s">
        <v>49</v>
      </c>
      <c r="L970" s="8" t="s">
        <v>111</v>
      </c>
      <c r="M970" s="8" t="s">
        <v>28</v>
      </c>
      <c r="N970" s="21">
        <v>6519.0</v>
      </c>
      <c r="O970" s="21">
        <v>7693.0</v>
      </c>
      <c r="P970" s="6">
        <v>53.0</v>
      </c>
      <c r="Q970" s="8">
        <f t="shared" si="34"/>
        <v>3455.07</v>
      </c>
    </row>
    <row r="971">
      <c r="A971" s="100" t="s">
        <v>7746</v>
      </c>
      <c r="B971" s="8" t="s">
        <v>10243</v>
      </c>
      <c r="C971" s="8" t="s">
        <v>1405</v>
      </c>
      <c r="D971" s="8" t="s">
        <v>9210</v>
      </c>
      <c r="E971" s="8" t="s">
        <v>10244</v>
      </c>
      <c r="F971" s="8">
        <v>9.265347776E9</v>
      </c>
      <c r="G971" s="8"/>
      <c r="H971" s="21">
        <v>990.0</v>
      </c>
      <c r="I971" s="21" t="s">
        <v>10217</v>
      </c>
      <c r="J971" s="8" t="s">
        <v>78</v>
      </c>
      <c r="K971" s="8" t="s">
        <v>49</v>
      </c>
      <c r="L971" s="8" t="s">
        <v>27</v>
      </c>
      <c r="M971" s="8" t="s">
        <v>28</v>
      </c>
      <c r="N971" s="21">
        <v>4690.0</v>
      </c>
      <c r="O971" s="21">
        <v>5265.0</v>
      </c>
      <c r="P971" s="6">
        <v>55.0</v>
      </c>
      <c r="Q971" s="8">
        <f t="shared" si="34"/>
        <v>2579.5</v>
      </c>
    </row>
    <row r="972">
      <c r="A972" s="100" t="s">
        <v>7746</v>
      </c>
      <c r="B972" s="8" t="s">
        <v>5021</v>
      </c>
      <c r="C972" s="8" t="s">
        <v>1405</v>
      </c>
      <c r="D972" s="8" t="s">
        <v>10088</v>
      </c>
      <c r="E972" s="8" t="s">
        <v>10245</v>
      </c>
      <c r="F972" s="8">
        <v>8.849500437E9</v>
      </c>
      <c r="G972" s="8"/>
      <c r="H972" s="21">
        <v>995.0</v>
      </c>
      <c r="I972" s="21" t="s">
        <v>5020</v>
      </c>
      <c r="J972" s="8" t="s">
        <v>78</v>
      </c>
      <c r="K972" s="8" t="s">
        <v>49</v>
      </c>
      <c r="L972" s="8" t="s">
        <v>365</v>
      </c>
      <c r="M972" s="8" t="s">
        <v>28</v>
      </c>
      <c r="N972" s="21">
        <v>5108.0</v>
      </c>
      <c r="O972" s="21">
        <v>5758.0</v>
      </c>
      <c r="P972" s="6">
        <v>55.0</v>
      </c>
      <c r="Q972" s="8">
        <f t="shared" si="34"/>
        <v>2809.4</v>
      </c>
    </row>
    <row r="973">
      <c r="A973" s="100" t="s">
        <v>7746</v>
      </c>
      <c r="B973" s="8" t="s">
        <v>10246</v>
      </c>
      <c r="C973" s="8" t="s">
        <v>533</v>
      </c>
      <c r="D973" s="8" t="s">
        <v>10247</v>
      </c>
      <c r="E973" s="8" t="s">
        <v>10248</v>
      </c>
      <c r="F973" s="8">
        <v>8.12836294E9</v>
      </c>
      <c r="G973" s="8"/>
      <c r="H973" s="8"/>
      <c r="I973" s="21" t="s">
        <v>10217</v>
      </c>
      <c r="J973" s="8" t="s">
        <v>78</v>
      </c>
      <c r="K973" s="8" t="s">
        <v>49</v>
      </c>
      <c r="L973" s="8" t="s">
        <v>27</v>
      </c>
      <c r="M973" s="8" t="s">
        <v>28</v>
      </c>
      <c r="N973" s="21">
        <v>7554.0</v>
      </c>
      <c r="O973" s="21">
        <v>8914.0</v>
      </c>
      <c r="P973" s="6">
        <v>48.0</v>
      </c>
      <c r="Q973" s="8">
        <f t="shared" si="34"/>
        <v>3625.92</v>
      </c>
    </row>
    <row r="974">
      <c r="A974" s="100" t="s">
        <v>7746</v>
      </c>
      <c r="B974" s="8" t="s">
        <v>7748</v>
      </c>
      <c r="C974" s="8" t="s">
        <v>1432</v>
      </c>
      <c r="D974" s="8" t="s">
        <v>1439</v>
      </c>
      <c r="E974" s="8" t="s">
        <v>10249</v>
      </c>
      <c r="F974" s="8">
        <v>9.925067445E9</v>
      </c>
      <c r="G974" s="8"/>
      <c r="H974" s="21">
        <v>236.0</v>
      </c>
      <c r="I974" s="21" t="s">
        <v>5007</v>
      </c>
      <c r="J974" s="8" t="s">
        <v>1419</v>
      </c>
      <c r="K974" s="8" t="s">
        <v>49</v>
      </c>
      <c r="L974" s="8" t="s">
        <v>365</v>
      </c>
      <c r="M974" s="8" t="s">
        <v>28</v>
      </c>
      <c r="N974" s="21">
        <v>6180.0</v>
      </c>
      <c r="O974" s="21">
        <v>7292.0</v>
      </c>
      <c r="P974" s="6">
        <v>52.0</v>
      </c>
      <c r="Q974" s="8">
        <f t="shared" si="34"/>
        <v>3213.6</v>
      </c>
    </row>
    <row r="975">
      <c r="A975" s="100" t="s">
        <v>7746</v>
      </c>
      <c r="B975" s="8" t="s">
        <v>10250</v>
      </c>
      <c r="C975" s="8" t="s">
        <v>1432</v>
      </c>
      <c r="D975" s="8" t="s">
        <v>1439</v>
      </c>
      <c r="E975" s="8" t="s">
        <v>10251</v>
      </c>
      <c r="F975" s="8">
        <v>8.238779841E9</v>
      </c>
      <c r="G975" s="8"/>
      <c r="H975" s="21">
        <v>236.0</v>
      </c>
      <c r="I975" s="21" t="s">
        <v>5030</v>
      </c>
      <c r="J975" s="8" t="s">
        <v>1419</v>
      </c>
      <c r="K975" s="8" t="s">
        <v>49</v>
      </c>
      <c r="L975" s="8" t="s">
        <v>185</v>
      </c>
      <c r="M975" s="8" t="s">
        <v>28</v>
      </c>
      <c r="N975" s="21">
        <v>6370.0</v>
      </c>
      <c r="O975" s="21">
        <v>7516.0</v>
      </c>
      <c r="P975" s="6">
        <v>52.0</v>
      </c>
      <c r="Q975" s="8">
        <f t="shared" si="34"/>
        <v>3312.4</v>
      </c>
    </row>
    <row r="976">
      <c r="A976" s="100" t="s">
        <v>7758</v>
      </c>
      <c r="B976" s="8" t="s">
        <v>10252</v>
      </c>
      <c r="C976" s="8" t="s">
        <v>1405</v>
      </c>
      <c r="D976" s="8" t="s">
        <v>9268</v>
      </c>
      <c r="E976" s="8" t="s">
        <v>10253</v>
      </c>
      <c r="F976" s="8">
        <v>9.870004644E9</v>
      </c>
      <c r="G976" s="8"/>
      <c r="H976" s="21">
        <v>990.0</v>
      </c>
      <c r="I976" s="21" t="s">
        <v>5001</v>
      </c>
      <c r="J976" s="8" t="s">
        <v>78</v>
      </c>
      <c r="K976" s="8" t="s">
        <v>49</v>
      </c>
      <c r="L976" s="8" t="s">
        <v>50</v>
      </c>
      <c r="M976" s="8" t="s">
        <v>28</v>
      </c>
      <c r="N976" s="21">
        <v>5197.0</v>
      </c>
      <c r="O976" s="21">
        <v>5863.0</v>
      </c>
      <c r="P976" s="6">
        <v>55.0</v>
      </c>
      <c r="Q976" s="8">
        <f t="shared" si="34"/>
        <v>2858.35</v>
      </c>
    </row>
    <row r="977">
      <c r="A977" s="100" t="s">
        <v>7758</v>
      </c>
      <c r="B977" s="8" t="s">
        <v>10254</v>
      </c>
      <c r="C977" s="131" t="s">
        <v>1395</v>
      </c>
      <c r="D977" s="8" t="s">
        <v>481</v>
      </c>
      <c r="E977" s="8" t="s">
        <v>10255</v>
      </c>
      <c r="F977" s="8">
        <v>8.485993847E9</v>
      </c>
      <c r="G977" s="8"/>
      <c r="H977" s="21">
        <v>2750.0</v>
      </c>
      <c r="I977" s="21" t="s">
        <v>5007</v>
      </c>
      <c r="J977" s="8" t="s">
        <v>1419</v>
      </c>
      <c r="K977" s="8" t="s">
        <v>49</v>
      </c>
      <c r="L977" s="8" t="s">
        <v>27</v>
      </c>
      <c r="M977" s="8" t="s">
        <v>28</v>
      </c>
      <c r="N977" s="21">
        <v>16607.0</v>
      </c>
      <c r="O977" s="21">
        <v>18633.0</v>
      </c>
      <c r="P977" s="6">
        <v>50.0</v>
      </c>
      <c r="Q977" s="8">
        <f t="shared" si="34"/>
        <v>8303.5</v>
      </c>
    </row>
    <row r="978">
      <c r="A978" s="100" t="s">
        <v>7758</v>
      </c>
      <c r="B978" s="8" t="s">
        <v>5013</v>
      </c>
      <c r="C978" s="131" t="s">
        <v>1395</v>
      </c>
      <c r="D978" s="8" t="s">
        <v>2116</v>
      </c>
      <c r="E978" s="8" t="s">
        <v>10256</v>
      </c>
      <c r="F978" s="8">
        <v>9.510620415E9</v>
      </c>
      <c r="G978" s="8"/>
      <c r="H978" s="21">
        <v>1196.0</v>
      </c>
      <c r="I978" s="21" t="s">
        <v>5001</v>
      </c>
      <c r="J978" s="8" t="s">
        <v>1424</v>
      </c>
      <c r="K978" s="8" t="s">
        <v>49</v>
      </c>
      <c r="L978" s="8" t="s">
        <v>71</v>
      </c>
      <c r="M978" s="8" t="s">
        <v>28</v>
      </c>
      <c r="N978" s="21">
        <v>18964.0</v>
      </c>
      <c r="O978" s="21">
        <v>21414.0</v>
      </c>
      <c r="P978" s="6">
        <v>52.0</v>
      </c>
      <c r="Q978" s="8">
        <f t="shared" si="34"/>
        <v>9861.28</v>
      </c>
    </row>
    <row r="979">
      <c r="A979" s="100" t="s">
        <v>7751</v>
      </c>
      <c r="B979" s="8" t="s">
        <v>10257</v>
      </c>
      <c r="C979" s="8" t="s">
        <v>1432</v>
      </c>
      <c r="D979" s="8" t="s">
        <v>2125</v>
      </c>
      <c r="E979" s="8" t="s">
        <v>10258</v>
      </c>
      <c r="F979" s="8">
        <v>6.351686841E9</v>
      </c>
      <c r="G979" s="8"/>
      <c r="H979" s="21">
        <v>436.0</v>
      </c>
      <c r="I979" s="21" t="s">
        <v>10217</v>
      </c>
      <c r="J979" s="8" t="s">
        <v>1424</v>
      </c>
      <c r="K979" s="8" t="s">
        <v>49</v>
      </c>
      <c r="L979" s="8" t="s">
        <v>111</v>
      </c>
      <c r="M979" s="8" t="s">
        <v>28</v>
      </c>
      <c r="N979" s="21">
        <v>6805.0</v>
      </c>
      <c r="O979" s="21">
        <v>8029.0</v>
      </c>
      <c r="P979" s="6">
        <v>53.0</v>
      </c>
      <c r="Q979" s="8">
        <f t="shared" si="34"/>
        <v>3606.65</v>
      </c>
    </row>
    <row r="980">
      <c r="A980" s="100" t="s">
        <v>7751</v>
      </c>
      <c r="B980" s="8" t="s">
        <v>10259</v>
      </c>
      <c r="C980" s="8" t="s">
        <v>21</v>
      </c>
      <c r="D980" s="8" t="s">
        <v>10260</v>
      </c>
      <c r="E980" s="8" t="s">
        <v>10261</v>
      </c>
      <c r="F980" s="8">
        <v>9.925250827E9</v>
      </c>
      <c r="G980" s="8"/>
      <c r="H980" s="21">
        <v>25000.0</v>
      </c>
      <c r="I980" s="21" t="s">
        <v>5150</v>
      </c>
      <c r="J980" s="131" t="s">
        <v>9946</v>
      </c>
      <c r="K980" s="8" t="s">
        <v>49</v>
      </c>
      <c r="L980" s="8" t="s">
        <v>27</v>
      </c>
      <c r="M980" s="8" t="s">
        <v>28</v>
      </c>
      <c r="N980" s="97">
        <v>47165.0</v>
      </c>
      <c r="O980" s="97">
        <v>53018.0</v>
      </c>
      <c r="P980" s="6">
        <v>25.0</v>
      </c>
      <c r="Q980" s="8">
        <f t="shared" si="34"/>
        <v>11791.25</v>
      </c>
    </row>
    <row r="981">
      <c r="A981" s="100" t="s">
        <v>10262</v>
      </c>
      <c r="B981" s="8" t="s">
        <v>10263</v>
      </c>
      <c r="C981" s="8" t="s">
        <v>1432</v>
      </c>
      <c r="D981" s="8" t="s">
        <v>9883</v>
      </c>
      <c r="E981" s="8" t="s">
        <v>10264</v>
      </c>
      <c r="F981" s="8">
        <v>9.033820592E9</v>
      </c>
      <c r="G981" s="8"/>
      <c r="H981" s="21">
        <v>145.0</v>
      </c>
      <c r="I981" s="21" t="s">
        <v>10185</v>
      </c>
      <c r="J981" s="8" t="s">
        <v>1424</v>
      </c>
      <c r="K981" s="8" t="s">
        <v>49</v>
      </c>
      <c r="L981" s="8" t="s">
        <v>27</v>
      </c>
      <c r="M981" s="8" t="s">
        <v>28</v>
      </c>
      <c r="N981" s="21">
        <v>6634.0</v>
      </c>
      <c r="O981" s="21">
        <v>7828.0</v>
      </c>
      <c r="P981" s="6">
        <v>53.0</v>
      </c>
      <c r="Q981" s="8">
        <f t="shared" si="34"/>
        <v>3516.02</v>
      </c>
    </row>
    <row r="982">
      <c r="A982" s="117">
        <v>45574.0</v>
      </c>
      <c r="B982" s="24" t="s">
        <v>10265</v>
      </c>
      <c r="C982" s="24" t="s">
        <v>21</v>
      </c>
      <c r="D982" s="24" t="s">
        <v>9056</v>
      </c>
      <c r="E982" s="24" t="s">
        <v>10266</v>
      </c>
      <c r="F982" s="30">
        <v>7.698764024E9</v>
      </c>
      <c r="G982" s="28"/>
      <c r="H982" s="30">
        <v>35000.0</v>
      </c>
      <c r="I982" s="151">
        <v>45939.0</v>
      </c>
      <c r="J982" s="24" t="s">
        <v>78</v>
      </c>
      <c r="K982" s="24" t="s">
        <v>49</v>
      </c>
      <c r="L982" s="24" t="s">
        <v>1436</v>
      </c>
      <c r="M982" s="24" t="s">
        <v>28</v>
      </c>
      <c r="N982" s="30">
        <v>83237.0</v>
      </c>
      <c r="O982" s="30">
        <v>95583.0</v>
      </c>
      <c r="P982" s="153">
        <v>23.0</v>
      </c>
      <c r="Q982" s="8">
        <f t="shared" si="34"/>
        <v>19144.51</v>
      </c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</row>
    <row r="983">
      <c r="A983" s="117">
        <v>45605.0</v>
      </c>
      <c r="B983" s="24" t="s">
        <v>7670</v>
      </c>
      <c r="C983" s="24" t="s">
        <v>21</v>
      </c>
      <c r="D983" s="24" t="s">
        <v>133</v>
      </c>
      <c r="E983" s="24" t="s">
        <v>10267</v>
      </c>
      <c r="F983" s="30">
        <v>9.979861378E9</v>
      </c>
      <c r="G983" s="28"/>
      <c r="H983" s="30">
        <v>42000.0</v>
      </c>
      <c r="I983" s="151">
        <v>45970.0</v>
      </c>
      <c r="J983" s="24" t="s">
        <v>9946</v>
      </c>
      <c r="K983" s="24" t="s">
        <v>49</v>
      </c>
      <c r="L983" s="24" t="s">
        <v>71</v>
      </c>
      <c r="M983" s="24" t="s">
        <v>28</v>
      </c>
      <c r="N983" s="152">
        <v>47263.0</v>
      </c>
      <c r="O983" s="152">
        <v>53116.0</v>
      </c>
      <c r="P983" s="153">
        <v>26.0</v>
      </c>
      <c r="Q983" s="8">
        <f t="shared" si="34"/>
        <v>12288.38</v>
      </c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</row>
    <row r="984">
      <c r="A984" s="117">
        <v>45635.0</v>
      </c>
      <c r="B984" s="24" t="s">
        <v>4901</v>
      </c>
      <c r="C984" s="24" t="s">
        <v>21</v>
      </c>
      <c r="D984" s="24" t="s">
        <v>133</v>
      </c>
      <c r="E984" s="24" t="s">
        <v>4903</v>
      </c>
      <c r="F984" s="30">
        <v>7.567163875E9</v>
      </c>
      <c r="G984" s="28"/>
      <c r="H984" s="30">
        <v>42000.0</v>
      </c>
      <c r="I984" s="151">
        <v>45970.0</v>
      </c>
      <c r="J984" s="24" t="s">
        <v>9946</v>
      </c>
      <c r="K984" s="24" t="s">
        <v>49</v>
      </c>
      <c r="L984" s="24" t="s">
        <v>27</v>
      </c>
      <c r="M984" s="24" t="s">
        <v>28</v>
      </c>
      <c r="N984" s="152">
        <v>50787.0</v>
      </c>
      <c r="O984" s="152">
        <v>57274.0</v>
      </c>
      <c r="P984" s="153">
        <v>26.0</v>
      </c>
      <c r="Q984" s="8">
        <f t="shared" si="34"/>
        <v>13204.62</v>
      </c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</row>
    <row r="985">
      <c r="A985" s="105">
        <v>45452.0</v>
      </c>
      <c r="B985" s="108" t="s">
        <v>10268</v>
      </c>
      <c r="C985" s="108" t="s">
        <v>21</v>
      </c>
      <c r="D985" s="108" t="s">
        <v>1928</v>
      </c>
      <c r="E985" s="108" t="s">
        <v>10269</v>
      </c>
      <c r="F985" s="108">
        <v>8.104702952E9</v>
      </c>
      <c r="G985" s="108"/>
      <c r="H985" s="114">
        <v>35000.0</v>
      </c>
      <c r="I985" s="110">
        <v>45847.0</v>
      </c>
      <c r="J985" s="108" t="s">
        <v>9946</v>
      </c>
      <c r="K985" s="108" t="s">
        <v>49</v>
      </c>
      <c r="L985" s="108" t="s">
        <v>27</v>
      </c>
      <c r="M985" s="108" t="s">
        <v>28</v>
      </c>
      <c r="N985" s="116">
        <v>47890.0</v>
      </c>
      <c r="O985" s="116">
        <v>53873.0</v>
      </c>
      <c r="P985" s="125">
        <v>26.0</v>
      </c>
      <c r="Q985" s="8">
        <f t="shared" si="34"/>
        <v>12451.4</v>
      </c>
      <c r="R985" s="108" t="s">
        <v>10270</v>
      </c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</row>
    <row r="986">
      <c r="A986" s="105">
        <v>45360.0</v>
      </c>
      <c r="B986" s="108" t="s">
        <v>5230</v>
      </c>
      <c r="C986" s="108" t="s">
        <v>21</v>
      </c>
      <c r="D986" s="108" t="s">
        <v>9003</v>
      </c>
      <c r="E986" s="108" t="s">
        <v>5232</v>
      </c>
      <c r="F986" s="108">
        <v>9.313440575E9</v>
      </c>
      <c r="G986" s="108"/>
      <c r="H986" s="114">
        <v>11990.0</v>
      </c>
      <c r="I986" s="110" t="s">
        <v>10079</v>
      </c>
      <c r="J986" s="108" t="s">
        <v>25</v>
      </c>
      <c r="K986" s="108" t="s">
        <v>49</v>
      </c>
      <c r="L986" s="108" t="s">
        <v>27</v>
      </c>
      <c r="M986" s="108" t="s">
        <v>28</v>
      </c>
      <c r="N986" s="116">
        <v>31157.0</v>
      </c>
      <c r="O986" s="116">
        <v>35134.0</v>
      </c>
      <c r="P986" s="125">
        <v>25.0</v>
      </c>
      <c r="Q986" s="8">
        <f t="shared" si="34"/>
        <v>7789.25</v>
      </c>
      <c r="R986" s="108" t="s">
        <v>10271</v>
      </c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</row>
    <row r="987">
      <c r="A987" s="107" t="s">
        <v>10046</v>
      </c>
      <c r="B987" s="108" t="s">
        <v>7623</v>
      </c>
      <c r="C987" s="108" t="s">
        <v>21</v>
      </c>
      <c r="D987" s="108" t="s">
        <v>6483</v>
      </c>
      <c r="E987" s="108" t="s">
        <v>8859</v>
      </c>
      <c r="F987" s="108">
        <v>9.725794288E9</v>
      </c>
      <c r="G987" s="108"/>
      <c r="H987" s="114">
        <v>47500.0</v>
      </c>
      <c r="I987" s="114" t="s">
        <v>4817</v>
      </c>
      <c r="J987" s="108" t="s">
        <v>9946</v>
      </c>
      <c r="K987" s="108" t="s">
        <v>49</v>
      </c>
      <c r="L987" s="108" t="s">
        <v>71</v>
      </c>
      <c r="M987" s="108" t="s">
        <v>28</v>
      </c>
      <c r="N987" s="116">
        <v>54319.0</v>
      </c>
      <c r="O987" s="116">
        <v>61442.0</v>
      </c>
      <c r="P987" s="125">
        <v>20.0</v>
      </c>
      <c r="Q987" s="8">
        <f t="shared" si="34"/>
        <v>10863.8</v>
      </c>
      <c r="R987" s="108" t="s">
        <v>10272</v>
      </c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</row>
    <row r="988">
      <c r="A988" s="107" t="s">
        <v>10046</v>
      </c>
      <c r="B988" s="108" t="s">
        <v>10273</v>
      </c>
      <c r="C988" s="108" t="s">
        <v>21</v>
      </c>
      <c r="D988" s="108" t="s">
        <v>10274</v>
      </c>
      <c r="E988" s="108" t="s">
        <v>10267</v>
      </c>
      <c r="F988" s="108">
        <v>7.98450612E9</v>
      </c>
      <c r="G988" s="108"/>
      <c r="H988" s="114">
        <v>42000.0</v>
      </c>
      <c r="I988" s="114" t="s">
        <v>4817</v>
      </c>
      <c r="J988" s="108" t="s">
        <v>9946</v>
      </c>
      <c r="K988" s="108" t="s">
        <v>49</v>
      </c>
      <c r="L988" s="108" t="s">
        <v>27</v>
      </c>
      <c r="M988" s="108" t="s">
        <v>28</v>
      </c>
      <c r="N988" s="116">
        <v>48338.0</v>
      </c>
      <c r="O988" s="116">
        <v>54384.0</v>
      </c>
      <c r="P988" s="125">
        <v>26.0</v>
      </c>
      <c r="Q988" s="8">
        <f t="shared" si="34"/>
        <v>12567.88</v>
      </c>
      <c r="R988" s="108" t="s">
        <v>10275</v>
      </c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</row>
    <row r="989">
      <c r="A989" s="107" t="s">
        <v>10276</v>
      </c>
      <c r="B989" s="108" t="s">
        <v>10277</v>
      </c>
      <c r="C989" s="108" t="s">
        <v>21</v>
      </c>
      <c r="D989" s="108" t="s">
        <v>10278</v>
      </c>
      <c r="E989" s="108" t="s">
        <v>10279</v>
      </c>
      <c r="F989" s="108">
        <v>9.925112481E9</v>
      </c>
      <c r="G989" s="108"/>
      <c r="H989" s="114">
        <v>55000.0</v>
      </c>
      <c r="I989" s="114" t="s">
        <v>4791</v>
      </c>
      <c r="J989" s="108" t="s">
        <v>9946</v>
      </c>
      <c r="K989" s="108" t="s">
        <v>49</v>
      </c>
      <c r="L989" s="108" t="s">
        <v>1616</v>
      </c>
      <c r="M989" s="108" t="s">
        <v>28</v>
      </c>
      <c r="N989" s="116">
        <v>52051.0</v>
      </c>
      <c r="O989" s="116">
        <v>58766.0</v>
      </c>
      <c r="P989" s="125">
        <v>26.0</v>
      </c>
      <c r="Q989" s="8">
        <f t="shared" si="34"/>
        <v>13533.26</v>
      </c>
      <c r="R989" s="108" t="s">
        <v>10280</v>
      </c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</row>
    <row r="990">
      <c r="A990" s="107" t="s">
        <v>10019</v>
      </c>
      <c r="B990" s="108" t="s">
        <v>10281</v>
      </c>
      <c r="C990" s="108" t="s">
        <v>21</v>
      </c>
      <c r="D990" s="108" t="s">
        <v>1503</v>
      </c>
      <c r="E990" s="108" t="s">
        <v>2656</v>
      </c>
      <c r="F990" s="108">
        <v>9.727450222E9</v>
      </c>
      <c r="G990" s="108"/>
      <c r="H990" s="114">
        <v>12990.0</v>
      </c>
      <c r="I990" s="114" t="s">
        <v>4743</v>
      </c>
      <c r="J990" s="108" t="s">
        <v>9946</v>
      </c>
      <c r="K990" s="108" t="s">
        <v>49</v>
      </c>
      <c r="L990" s="108" t="s">
        <v>71</v>
      </c>
      <c r="M990" s="108" t="s">
        <v>28</v>
      </c>
      <c r="N990" s="116">
        <v>37268.0</v>
      </c>
      <c r="O990" s="116">
        <v>41857.0</v>
      </c>
      <c r="P990" s="125">
        <v>26.0</v>
      </c>
      <c r="Q990" s="8">
        <f t="shared" si="34"/>
        <v>9689.68</v>
      </c>
      <c r="R990" s="108" t="s">
        <v>10282</v>
      </c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</row>
    <row r="991">
      <c r="A991" s="107" t="s">
        <v>9931</v>
      </c>
      <c r="B991" s="108" t="s">
        <v>10283</v>
      </c>
      <c r="C991" s="108" t="s">
        <v>21</v>
      </c>
      <c r="D991" s="108" t="s">
        <v>10284</v>
      </c>
      <c r="E991" s="108" t="s">
        <v>10285</v>
      </c>
      <c r="F991" s="108">
        <v>9.265049485E9</v>
      </c>
      <c r="G991" s="108"/>
      <c r="H991" s="114">
        <v>35000.0</v>
      </c>
      <c r="I991" s="114" t="s">
        <v>4718</v>
      </c>
      <c r="J991" s="108" t="s">
        <v>9946</v>
      </c>
      <c r="K991" s="108" t="s">
        <v>49</v>
      </c>
      <c r="L991" s="108" t="s">
        <v>71</v>
      </c>
      <c r="M991" s="108" t="s">
        <v>28</v>
      </c>
      <c r="N991" s="116">
        <v>47369.0</v>
      </c>
      <c r="O991" s="116">
        <v>53258.0</v>
      </c>
      <c r="P991" s="125">
        <v>26.0</v>
      </c>
      <c r="Q991" s="8">
        <f t="shared" si="34"/>
        <v>12315.94</v>
      </c>
      <c r="R991" s="108" t="s">
        <v>10286</v>
      </c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</row>
    <row r="992">
      <c r="A992" s="93"/>
      <c r="B992" s="58"/>
      <c r="C992" s="58"/>
      <c r="D992" s="58"/>
      <c r="E992" s="58"/>
      <c r="F992" s="58"/>
      <c r="G992" s="58"/>
      <c r="H992" s="88"/>
      <c r="I992" s="88"/>
      <c r="J992" s="58"/>
      <c r="K992" s="58"/>
      <c r="L992" s="58"/>
      <c r="M992" s="58"/>
      <c r="N992" s="88"/>
      <c r="O992" s="88"/>
    </row>
    <row r="993">
      <c r="A993" s="93"/>
      <c r="B993" s="58"/>
      <c r="C993" s="58"/>
      <c r="D993" s="58"/>
      <c r="E993" s="58"/>
      <c r="F993" s="58"/>
      <c r="G993" s="58"/>
      <c r="H993" s="88"/>
      <c r="I993" s="88"/>
      <c r="J993" s="58"/>
      <c r="K993" s="58"/>
      <c r="L993" s="58"/>
      <c r="M993" s="58"/>
      <c r="N993" s="88"/>
      <c r="O993" s="88"/>
    </row>
    <row r="994">
      <c r="A994" s="237"/>
      <c r="AG994" s="237"/>
    </row>
    <row r="995">
      <c r="AG995" s="237"/>
    </row>
    <row r="996">
      <c r="A996" s="93"/>
      <c r="B996" s="58"/>
      <c r="C996" s="58"/>
      <c r="D996" s="58"/>
      <c r="E996" s="58"/>
      <c r="F996" s="58"/>
      <c r="G996" s="58"/>
      <c r="H996" s="88"/>
      <c r="I996" s="88"/>
      <c r="J996" s="58"/>
      <c r="K996" s="58"/>
      <c r="L996" s="58"/>
      <c r="M996" s="58"/>
      <c r="N996" s="88"/>
      <c r="O996" s="88"/>
    </row>
    <row r="997">
      <c r="A997" s="93"/>
      <c r="B997" s="58"/>
      <c r="C997" s="58"/>
      <c r="D997" s="58"/>
      <c r="E997" s="58"/>
      <c r="F997" s="58"/>
      <c r="G997" s="58"/>
      <c r="H997" s="88"/>
      <c r="I997" s="88"/>
      <c r="J997" s="58"/>
      <c r="K997" s="140"/>
      <c r="L997" s="58"/>
      <c r="M997" s="58"/>
      <c r="N997" s="88"/>
      <c r="O997" s="88"/>
    </row>
    <row r="998">
      <c r="A998" s="100" t="s">
        <v>7767</v>
      </c>
      <c r="B998" s="8" t="s">
        <v>10287</v>
      </c>
      <c r="C998" s="8" t="s">
        <v>1432</v>
      </c>
      <c r="D998" s="8" t="s">
        <v>2125</v>
      </c>
      <c r="E998" s="8" t="s">
        <v>10288</v>
      </c>
      <c r="F998" s="8">
        <v>9.510291441E9</v>
      </c>
      <c r="G998" s="8"/>
      <c r="H998" s="21">
        <v>436.0</v>
      </c>
      <c r="I998" s="21" t="s">
        <v>5030</v>
      </c>
      <c r="J998" s="8" t="s">
        <v>1424</v>
      </c>
      <c r="K998" s="8" t="s">
        <v>49</v>
      </c>
      <c r="L998" s="8" t="s">
        <v>365</v>
      </c>
      <c r="M998" s="8" t="s">
        <v>28</v>
      </c>
      <c r="N998" s="21">
        <v>6375.0</v>
      </c>
      <c r="O998" s="21">
        <v>7523.0</v>
      </c>
      <c r="P998" s="5">
        <v>53.0</v>
      </c>
      <c r="Q998" s="8">
        <f t="shared" ref="Q998:Q1113" si="35">N998*P998%</f>
        <v>3378.75</v>
      </c>
    </row>
    <row r="999">
      <c r="A999" s="100" t="s">
        <v>7767</v>
      </c>
      <c r="B999" s="8" t="s">
        <v>5016</v>
      </c>
      <c r="C999" s="131" t="s">
        <v>1395</v>
      </c>
      <c r="D999" s="8" t="s">
        <v>2116</v>
      </c>
      <c r="E999" s="8" t="s">
        <v>10289</v>
      </c>
      <c r="F999" s="8">
        <v>9.687789442E9</v>
      </c>
      <c r="G999" s="8"/>
      <c r="H999" s="21">
        <v>1600.0</v>
      </c>
      <c r="I999" s="21" t="s">
        <v>5150</v>
      </c>
      <c r="J999" s="8" t="s">
        <v>1424</v>
      </c>
      <c r="K999" s="8" t="s">
        <v>49</v>
      </c>
      <c r="L999" s="8" t="s">
        <v>71</v>
      </c>
      <c r="M999" s="8" t="s">
        <v>28</v>
      </c>
      <c r="N999" s="21">
        <v>19187.0</v>
      </c>
      <c r="O999" s="21">
        <v>21677.0</v>
      </c>
      <c r="P999" s="5">
        <v>52.0</v>
      </c>
      <c r="Q999" s="8">
        <f t="shared" si="35"/>
        <v>9977.24</v>
      </c>
    </row>
    <row r="1000">
      <c r="A1000" s="100" t="s">
        <v>7767</v>
      </c>
      <c r="B1000" s="8" t="s">
        <v>10290</v>
      </c>
      <c r="C1000" s="8" t="s">
        <v>1432</v>
      </c>
      <c r="D1000" s="8" t="s">
        <v>2125</v>
      </c>
      <c r="E1000" s="8" t="s">
        <v>10291</v>
      </c>
      <c r="F1000" s="8">
        <v>8.849588598E9</v>
      </c>
      <c r="G1000" s="8"/>
      <c r="H1000" s="21">
        <v>436.0</v>
      </c>
      <c r="I1000" s="21" t="s">
        <v>5007</v>
      </c>
      <c r="J1000" s="8" t="s">
        <v>1424</v>
      </c>
      <c r="K1000" s="8" t="s">
        <v>49</v>
      </c>
      <c r="L1000" s="8" t="s">
        <v>365</v>
      </c>
      <c r="M1000" s="8" t="s">
        <v>28</v>
      </c>
      <c r="N1000" s="21">
        <v>6375.0</v>
      </c>
      <c r="O1000" s="21">
        <v>7523.0</v>
      </c>
      <c r="P1000" s="5">
        <v>53.0</v>
      </c>
      <c r="Q1000" s="8">
        <f t="shared" si="35"/>
        <v>3378.75</v>
      </c>
    </row>
    <row r="1001">
      <c r="A1001" s="100" t="s">
        <v>7767</v>
      </c>
      <c r="B1001" s="8" t="s">
        <v>10292</v>
      </c>
      <c r="C1001" s="131" t="s">
        <v>1395</v>
      </c>
      <c r="D1001" s="8" t="s">
        <v>524</v>
      </c>
      <c r="E1001" s="8" t="s">
        <v>10293</v>
      </c>
      <c r="F1001" s="8">
        <v>9.974369169E9</v>
      </c>
      <c r="G1001" s="8"/>
      <c r="H1001" s="21">
        <v>3490.0</v>
      </c>
      <c r="I1001" s="21" t="s">
        <v>5020</v>
      </c>
      <c r="J1001" s="131" t="s">
        <v>116</v>
      </c>
      <c r="K1001" s="8" t="s">
        <v>49</v>
      </c>
      <c r="L1001" s="8" t="s">
        <v>27</v>
      </c>
      <c r="M1001" s="8" t="s">
        <v>28</v>
      </c>
      <c r="N1001" s="97">
        <v>21301.0</v>
      </c>
      <c r="O1001" s="97">
        <v>24166.0</v>
      </c>
      <c r="P1001" s="5">
        <v>50.0</v>
      </c>
      <c r="Q1001" s="8">
        <f t="shared" si="35"/>
        <v>10650.5</v>
      </c>
    </row>
    <row r="1002">
      <c r="A1002" s="100" t="s">
        <v>7767</v>
      </c>
      <c r="B1002" s="8" t="s">
        <v>10294</v>
      </c>
      <c r="C1002" s="8" t="s">
        <v>1432</v>
      </c>
      <c r="D1002" s="8" t="s">
        <v>2125</v>
      </c>
      <c r="E1002" s="8" t="s">
        <v>10295</v>
      </c>
      <c r="F1002" s="8">
        <v>7.984545878E9</v>
      </c>
      <c r="G1002" s="8"/>
      <c r="H1002" s="21">
        <v>436.0</v>
      </c>
      <c r="I1002" s="21" t="s">
        <v>5150</v>
      </c>
      <c r="J1002" s="8" t="s">
        <v>1424</v>
      </c>
      <c r="K1002" s="8" t="s">
        <v>49</v>
      </c>
      <c r="L1002" s="8" t="s">
        <v>219</v>
      </c>
      <c r="M1002" s="8" t="s">
        <v>28</v>
      </c>
      <c r="N1002" s="21">
        <v>6183.0</v>
      </c>
      <c r="O1002" s="21">
        <v>7295.0</v>
      </c>
      <c r="P1002" s="5">
        <v>53.0</v>
      </c>
      <c r="Q1002" s="8">
        <f t="shared" si="35"/>
        <v>3276.99</v>
      </c>
    </row>
    <row r="1003">
      <c r="A1003" s="100" t="s">
        <v>7767</v>
      </c>
      <c r="B1003" s="8" t="s">
        <v>10296</v>
      </c>
      <c r="C1003" s="8" t="s">
        <v>1432</v>
      </c>
      <c r="D1003" s="8" t="s">
        <v>10041</v>
      </c>
      <c r="E1003" s="8" t="s">
        <v>10297</v>
      </c>
      <c r="F1003" s="8">
        <v>9.687778597E9</v>
      </c>
      <c r="G1003" s="8"/>
      <c r="H1003" s="21">
        <v>236.0</v>
      </c>
      <c r="I1003" s="21" t="s">
        <v>5150</v>
      </c>
      <c r="J1003" s="8" t="s">
        <v>1419</v>
      </c>
      <c r="K1003" s="8" t="s">
        <v>49</v>
      </c>
      <c r="L1003" s="8" t="s">
        <v>185</v>
      </c>
      <c r="M1003" s="8" t="s">
        <v>28</v>
      </c>
      <c r="N1003" s="21">
        <v>6370.0</v>
      </c>
      <c r="O1003" s="21">
        <v>7516.0</v>
      </c>
      <c r="P1003" s="5">
        <v>52.0</v>
      </c>
      <c r="Q1003" s="8">
        <f t="shared" si="35"/>
        <v>3312.4</v>
      </c>
    </row>
    <row r="1004">
      <c r="A1004" s="100" t="s">
        <v>7767</v>
      </c>
      <c r="B1004" s="8" t="s">
        <v>10298</v>
      </c>
      <c r="C1004" s="131" t="s">
        <v>1395</v>
      </c>
      <c r="D1004" s="8" t="s">
        <v>2116</v>
      </c>
      <c r="E1004" s="8" t="s">
        <v>10299</v>
      </c>
      <c r="F1004" s="8">
        <v>9.71263348E9</v>
      </c>
      <c r="G1004" s="8"/>
      <c r="H1004" s="21">
        <v>1600.0</v>
      </c>
      <c r="I1004" s="21" t="s">
        <v>5169</v>
      </c>
      <c r="J1004" s="8" t="s">
        <v>1424</v>
      </c>
      <c r="K1004" s="8" t="s">
        <v>49</v>
      </c>
      <c r="L1004" s="8" t="s">
        <v>71</v>
      </c>
      <c r="M1004" s="8" t="s">
        <v>28</v>
      </c>
      <c r="N1004" s="21">
        <v>19730.0</v>
      </c>
      <c r="O1004" s="21">
        <v>22318.0</v>
      </c>
      <c r="P1004" s="5">
        <v>52.0</v>
      </c>
      <c r="Q1004" s="8">
        <f t="shared" si="35"/>
        <v>10259.6</v>
      </c>
    </row>
    <row r="1005">
      <c r="A1005" s="100" t="s">
        <v>7767</v>
      </c>
      <c r="B1005" s="8" t="s">
        <v>10300</v>
      </c>
      <c r="C1005" s="8" t="s">
        <v>21</v>
      </c>
      <c r="D1005" s="8" t="s">
        <v>10301</v>
      </c>
      <c r="E1005" s="8" t="s">
        <v>10302</v>
      </c>
      <c r="F1005" s="8">
        <v>9.428277711E9</v>
      </c>
      <c r="G1005" s="8"/>
      <c r="H1005" s="96">
        <v>28000.0</v>
      </c>
      <c r="I1005" s="21" t="s">
        <v>5020</v>
      </c>
      <c r="J1005" s="131" t="s">
        <v>2562</v>
      </c>
      <c r="K1005" s="8" t="s">
        <v>26</v>
      </c>
      <c r="L1005" s="8" t="s">
        <v>71</v>
      </c>
      <c r="M1005" s="8" t="s">
        <v>28</v>
      </c>
      <c r="N1005" s="97">
        <v>44050.0</v>
      </c>
      <c r="O1005" s="97">
        <v>49342.0</v>
      </c>
      <c r="P1005" s="5">
        <v>43.0</v>
      </c>
      <c r="Q1005" s="8">
        <f t="shared" si="35"/>
        <v>18941.5</v>
      </c>
    </row>
    <row r="1006">
      <c r="A1006" s="100" t="s">
        <v>7767</v>
      </c>
      <c r="B1006" s="8" t="s">
        <v>10303</v>
      </c>
      <c r="C1006" s="131" t="s">
        <v>1395</v>
      </c>
      <c r="D1006" s="8" t="s">
        <v>481</v>
      </c>
      <c r="E1006" s="8" t="s">
        <v>10304</v>
      </c>
      <c r="F1006" s="8">
        <v>9.726242095E9</v>
      </c>
      <c r="G1006" s="8"/>
      <c r="H1006" s="21">
        <v>2670.0</v>
      </c>
      <c r="I1006" s="21" t="s">
        <v>5012</v>
      </c>
      <c r="J1006" s="8" t="s">
        <v>1419</v>
      </c>
      <c r="K1006" s="8" t="s">
        <v>49</v>
      </c>
      <c r="L1006" s="8" t="s">
        <v>1616</v>
      </c>
      <c r="M1006" s="8" t="s">
        <v>28</v>
      </c>
      <c r="N1006" s="21">
        <v>18134.0</v>
      </c>
      <c r="O1006" s="21">
        <v>20436.0</v>
      </c>
      <c r="P1006" s="5">
        <v>52.0</v>
      </c>
      <c r="Q1006" s="8">
        <f t="shared" si="35"/>
        <v>9429.68</v>
      </c>
    </row>
    <row r="1007">
      <c r="A1007" s="100" t="s">
        <v>7755</v>
      </c>
      <c r="B1007" s="8" t="s">
        <v>10305</v>
      </c>
      <c r="C1007" s="8" t="s">
        <v>1432</v>
      </c>
      <c r="D1007" s="8" t="s">
        <v>1518</v>
      </c>
      <c r="E1007" s="8" t="s">
        <v>10306</v>
      </c>
      <c r="F1007" s="8">
        <v>9.328228641E9</v>
      </c>
      <c r="G1007" s="8"/>
      <c r="H1007" s="21">
        <v>470.0</v>
      </c>
      <c r="I1007" s="21" t="s">
        <v>5012</v>
      </c>
      <c r="J1007" s="8" t="s">
        <v>1419</v>
      </c>
      <c r="K1007" s="8" t="s">
        <v>49</v>
      </c>
      <c r="L1007" s="8" t="s">
        <v>185</v>
      </c>
      <c r="M1007" s="8" t="s">
        <v>28</v>
      </c>
      <c r="N1007" s="21">
        <v>6419.0</v>
      </c>
      <c r="O1007" s="21">
        <v>7575.0</v>
      </c>
      <c r="P1007" s="5">
        <v>52.0</v>
      </c>
      <c r="Q1007" s="8">
        <f t="shared" si="35"/>
        <v>3337.88</v>
      </c>
    </row>
    <row r="1008">
      <c r="A1008" s="100" t="s">
        <v>7755</v>
      </c>
      <c r="B1008" s="8" t="s">
        <v>10307</v>
      </c>
      <c r="C1008" s="8" t="s">
        <v>1432</v>
      </c>
      <c r="D1008" s="8" t="s">
        <v>2125</v>
      </c>
      <c r="E1008" s="8" t="s">
        <v>10308</v>
      </c>
      <c r="F1008" s="8">
        <v>9.727926147E9</v>
      </c>
      <c r="G1008" s="8"/>
      <c r="H1008" s="21">
        <v>436.0</v>
      </c>
      <c r="I1008" s="22">
        <v>45726.0</v>
      </c>
      <c r="J1008" s="8" t="s">
        <v>1424</v>
      </c>
      <c r="K1008" s="8" t="s">
        <v>49</v>
      </c>
      <c r="L1008" s="8" t="s">
        <v>340</v>
      </c>
      <c r="M1008" s="8" t="s">
        <v>28</v>
      </c>
      <c r="N1008" s="21">
        <v>6252.0</v>
      </c>
      <c r="O1008" s="21">
        <v>7378.0</v>
      </c>
      <c r="P1008" s="5">
        <v>53.0</v>
      </c>
      <c r="Q1008" s="8">
        <f t="shared" si="35"/>
        <v>3313.56</v>
      </c>
    </row>
    <row r="1009">
      <c r="A1009" s="100" t="s">
        <v>7755</v>
      </c>
      <c r="B1009" s="8" t="s">
        <v>5058</v>
      </c>
      <c r="C1009" s="8" t="s">
        <v>1405</v>
      </c>
      <c r="D1009" s="8" t="s">
        <v>9268</v>
      </c>
      <c r="E1009" s="8" t="s">
        <v>10309</v>
      </c>
      <c r="F1009" s="8">
        <v>6.353728009E9</v>
      </c>
      <c r="G1009" s="8"/>
      <c r="H1009" s="21">
        <v>990.0</v>
      </c>
      <c r="I1009" s="21" t="s">
        <v>10310</v>
      </c>
      <c r="J1009" s="8" t="s">
        <v>78</v>
      </c>
      <c r="K1009" s="8" t="s">
        <v>49</v>
      </c>
      <c r="L1009" s="8" t="s">
        <v>185</v>
      </c>
      <c r="M1009" s="8" t="s">
        <v>28</v>
      </c>
      <c r="N1009" s="21">
        <v>5124.0</v>
      </c>
      <c r="O1009" s="21">
        <v>5777.0</v>
      </c>
      <c r="P1009" s="5">
        <v>55.0</v>
      </c>
      <c r="Q1009" s="8">
        <f t="shared" si="35"/>
        <v>2818.2</v>
      </c>
    </row>
    <row r="1010">
      <c r="A1010" s="100" t="s">
        <v>7795</v>
      </c>
      <c r="B1010" s="8" t="s">
        <v>10311</v>
      </c>
      <c r="C1010" s="8" t="s">
        <v>1432</v>
      </c>
      <c r="D1010" s="8" t="s">
        <v>2125</v>
      </c>
      <c r="E1010" s="8" t="s">
        <v>10312</v>
      </c>
      <c r="F1010" s="8">
        <v>9.723210052E9</v>
      </c>
      <c r="G1010" s="8"/>
      <c r="H1010" s="21">
        <v>436.0</v>
      </c>
      <c r="I1010" s="21" t="s">
        <v>5020</v>
      </c>
      <c r="J1010" s="8" t="s">
        <v>1424</v>
      </c>
      <c r="K1010" s="8" t="s">
        <v>49</v>
      </c>
      <c r="L1010" s="8" t="s">
        <v>219</v>
      </c>
      <c r="M1010" s="8" t="s">
        <v>28</v>
      </c>
      <c r="N1010" s="21">
        <v>6183.0</v>
      </c>
      <c r="O1010" s="21">
        <v>7295.0</v>
      </c>
      <c r="P1010" s="5">
        <v>53.0</v>
      </c>
      <c r="Q1010" s="8">
        <f t="shared" si="35"/>
        <v>3276.99</v>
      </c>
    </row>
    <row r="1011">
      <c r="A1011" s="100" t="s">
        <v>7795</v>
      </c>
      <c r="B1011" s="8" t="s">
        <v>10313</v>
      </c>
      <c r="C1011" s="8" t="s">
        <v>21</v>
      </c>
      <c r="D1011" s="8" t="s">
        <v>10314</v>
      </c>
      <c r="E1011" s="8" t="s">
        <v>10315</v>
      </c>
      <c r="F1011" s="8">
        <v>6.353832388E9</v>
      </c>
      <c r="G1011" s="8"/>
      <c r="H1011" s="21">
        <v>11990.0</v>
      </c>
      <c r="I1011" s="21" t="s">
        <v>5020</v>
      </c>
      <c r="J1011" s="8" t="s">
        <v>353</v>
      </c>
      <c r="K1011" s="8" t="s">
        <v>49</v>
      </c>
      <c r="L1011" s="8" t="s">
        <v>27</v>
      </c>
      <c r="M1011" s="8" t="s">
        <v>28</v>
      </c>
      <c r="N1011" s="97">
        <v>47666.0</v>
      </c>
      <c r="O1011" s="97">
        <v>54615.0</v>
      </c>
      <c r="P1011" s="5">
        <v>23.0</v>
      </c>
      <c r="Q1011" s="8">
        <f t="shared" si="35"/>
        <v>10963.18</v>
      </c>
    </row>
    <row r="1012">
      <c r="A1012" s="100" t="s">
        <v>7795</v>
      </c>
      <c r="B1012" s="8" t="s">
        <v>7853</v>
      </c>
      <c r="C1012" s="131" t="s">
        <v>1395</v>
      </c>
      <c r="D1012" s="8" t="s">
        <v>481</v>
      </c>
      <c r="E1012" s="8" t="s">
        <v>7854</v>
      </c>
      <c r="F1012" s="8">
        <v>9.624739149E9</v>
      </c>
      <c r="G1012" s="8"/>
      <c r="H1012" s="21">
        <v>3225.0</v>
      </c>
      <c r="I1012" s="22">
        <v>45726.0</v>
      </c>
      <c r="J1012" s="8" t="s">
        <v>1419</v>
      </c>
      <c r="K1012" s="8" t="s">
        <v>49</v>
      </c>
      <c r="L1012" s="8" t="s">
        <v>71</v>
      </c>
      <c r="M1012" s="8" t="s">
        <v>28</v>
      </c>
      <c r="N1012" s="21">
        <v>17981.0</v>
      </c>
      <c r="O1012" s="21">
        <v>20255.0</v>
      </c>
      <c r="P1012" s="5">
        <v>52.0</v>
      </c>
      <c r="Q1012" s="8">
        <f t="shared" si="35"/>
        <v>9350.12</v>
      </c>
    </row>
    <row r="1013">
      <c r="A1013" s="100" t="s">
        <v>7791</v>
      </c>
      <c r="B1013" s="8" t="s">
        <v>5063</v>
      </c>
      <c r="C1013" s="131" t="s">
        <v>1395</v>
      </c>
      <c r="D1013" s="8" t="s">
        <v>481</v>
      </c>
      <c r="E1013" s="8" t="s">
        <v>7830</v>
      </c>
      <c r="F1013" s="8">
        <v>9.510801847E9</v>
      </c>
      <c r="G1013" s="8"/>
      <c r="H1013" s="21">
        <v>2735.0</v>
      </c>
      <c r="I1013" s="21" t="s">
        <v>5069</v>
      </c>
      <c r="J1013" s="8" t="s">
        <v>1419</v>
      </c>
      <c r="K1013" s="8" t="s">
        <v>49</v>
      </c>
      <c r="L1013" s="8" t="s">
        <v>71</v>
      </c>
      <c r="M1013" s="8" t="s">
        <v>28</v>
      </c>
      <c r="N1013" s="21">
        <v>17399.0</v>
      </c>
      <c r="O1013" s="21">
        <v>19569.0</v>
      </c>
      <c r="P1013" s="5">
        <v>52.0</v>
      </c>
      <c r="Q1013" s="8">
        <f t="shared" si="35"/>
        <v>9047.48</v>
      </c>
    </row>
    <row r="1014">
      <c r="A1014" s="100" t="s">
        <v>7791</v>
      </c>
      <c r="B1014" s="8" t="s">
        <v>7814</v>
      </c>
      <c r="C1014" s="131" t="s">
        <v>1395</v>
      </c>
      <c r="D1014" s="8" t="s">
        <v>9702</v>
      </c>
      <c r="E1014" s="8" t="s">
        <v>7815</v>
      </c>
      <c r="F1014" s="8">
        <v>9.979474574E9</v>
      </c>
      <c r="G1014" s="8"/>
      <c r="H1014" s="21">
        <v>2735.0</v>
      </c>
      <c r="I1014" s="22">
        <v>45667.0</v>
      </c>
      <c r="J1014" s="8" t="s">
        <v>1424</v>
      </c>
      <c r="K1014" s="8" t="s">
        <v>49</v>
      </c>
      <c r="L1014" s="8" t="s">
        <v>71</v>
      </c>
      <c r="M1014" s="8" t="s">
        <v>28</v>
      </c>
      <c r="N1014" s="21">
        <v>17394.0</v>
      </c>
      <c r="O1014" s="21">
        <v>19562.0</v>
      </c>
      <c r="P1014" s="5">
        <v>52.0</v>
      </c>
      <c r="Q1014" s="8">
        <f t="shared" si="35"/>
        <v>9044.88</v>
      </c>
    </row>
    <row r="1015">
      <c r="A1015" s="100" t="s">
        <v>7791</v>
      </c>
      <c r="B1015" s="8" t="s">
        <v>10316</v>
      </c>
      <c r="C1015" s="8" t="s">
        <v>1432</v>
      </c>
      <c r="D1015" s="8" t="s">
        <v>9402</v>
      </c>
      <c r="E1015" s="8" t="s">
        <v>10317</v>
      </c>
      <c r="F1015" s="8">
        <v>9.824121192E9</v>
      </c>
      <c r="G1015" s="8"/>
      <c r="H1015" s="21">
        <v>205.0</v>
      </c>
      <c r="I1015" s="21" t="s">
        <v>5169</v>
      </c>
      <c r="J1015" s="8" t="s">
        <v>1424</v>
      </c>
      <c r="K1015" s="8" t="s">
        <v>49</v>
      </c>
      <c r="L1015" s="8" t="s">
        <v>27</v>
      </c>
      <c r="M1015" s="8" t="s">
        <v>28</v>
      </c>
      <c r="N1015" s="21">
        <v>6206.0</v>
      </c>
      <c r="O1015" s="21">
        <v>7324.0</v>
      </c>
      <c r="P1015" s="5">
        <v>53.0</v>
      </c>
      <c r="Q1015" s="8">
        <f t="shared" si="35"/>
        <v>3289.18</v>
      </c>
    </row>
    <row r="1016">
      <c r="A1016" s="100" t="s">
        <v>7791</v>
      </c>
      <c r="B1016" s="8" t="s">
        <v>10318</v>
      </c>
      <c r="C1016" s="8" t="s">
        <v>1432</v>
      </c>
      <c r="D1016" s="8" t="s">
        <v>2125</v>
      </c>
      <c r="E1016" s="8" t="s">
        <v>10319</v>
      </c>
      <c r="F1016" s="8">
        <v>9.687553096E9</v>
      </c>
      <c r="G1016" s="8"/>
      <c r="H1016" s="21">
        <v>436.0</v>
      </c>
      <c r="I1016" s="21" t="s">
        <v>5169</v>
      </c>
      <c r="J1016" s="8" t="s">
        <v>1424</v>
      </c>
      <c r="K1016" s="8" t="s">
        <v>49</v>
      </c>
      <c r="L1016" s="8" t="s">
        <v>185</v>
      </c>
      <c r="M1016" s="8" t="s">
        <v>28</v>
      </c>
      <c r="N1016" s="21">
        <v>6375.0</v>
      </c>
      <c r="O1016" s="21">
        <v>7523.0</v>
      </c>
      <c r="P1016" s="5">
        <v>53.0</v>
      </c>
      <c r="Q1016" s="8">
        <f t="shared" si="35"/>
        <v>3378.75</v>
      </c>
    </row>
    <row r="1017">
      <c r="A1017" s="100" t="s">
        <v>7791</v>
      </c>
      <c r="B1017" s="8" t="s">
        <v>5119</v>
      </c>
      <c r="C1017" s="131" t="s">
        <v>1395</v>
      </c>
      <c r="D1017" s="8" t="s">
        <v>10320</v>
      </c>
      <c r="E1017" s="8" t="s">
        <v>5122</v>
      </c>
      <c r="F1017" s="8">
        <v>9.51254476E9</v>
      </c>
      <c r="G1017" s="8"/>
      <c r="H1017" s="21">
        <v>1675.0</v>
      </c>
      <c r="I1017" s="22">
        <v>45726.0</v>
      </c>
      <c r="J1017" s="8" t="s">
        <v>1424</v>
      </c>
      <c r="K1017" s="8" t="s">
        <v>49</v>
      </c>
      <c r="L1017" s="8" t="s">
        <v>71</v>
      </c>
      <c r="M1017" s="8" t="s">
        <v>28</v>
      </c>
      <c r="N1017" s="21">
        <v>19523.0</v>
      </c>
      <c r="O1017" s="21">
        <v>22075.0</v>
      </c>
      <c r="P1017" s="5">
        <v>52.0</v>
      </c>
      <c r="Q1017" s="8">
        <f t="shared" si="35"/>
        <v>10151.96</v>
      </c>
    </row>
    <row r="1018">
      <c r="A1018" s="100" t="s">
        <v>7791</v>
      </c>
      <c r="B1018" s="8" t="s">
        <v>10321</v>
      </c>
      <c r="C1018" s="8" t="s">
        <v>1432</v>
      </c>
      <c r="D1018" s="8" t="s">
        <v>9402</v>
      </c>
      <c r="E1018" s="8" t="s">
        <v>10322</v>
      </c>
      <c r="F1018" s="8">
        <v>9.824121192E9</v>
      </c>
      <c r="G1018" s="8"/>
      <c r="H1018" s="21">
        <v>205.0</v>
      </c>
      <c r="I1018" s="21" t="s">
        <v>5169</v>
      </c>
      <c r="J1018" s="8" t="s">
        <v>1424</v>
      </c>
      <c r="K1018" s="8" t="s">
        <v>49</v>
      </c>
      <c r="L1018" s="8" t="s">
        <v>71</v>
      </c>
      <c r="M1018" s="8" t="s">
        <v>28</v>
      </c>
      <c r="N1018" s="21">
        <v>6206.0</v>
      </c>
      <c r="O1018" s="21">
        <v>7324.0</v>
      </c>
      <c r="P1018" s="5">
        <v>53.0</v>
      </c>
      <c r="Q1018" s="8">
        <f t="shared" si="35"/>
        <v>3289.18</v>
      </c>
    </row>
    <row r="1019">
      <c r="A1019" s="100" t="s">
        <v>7836</v>
      </c>
      <c r="B1019" s="8" t="s">
        <v>10323</v>
      </c>
      <c r="C1019" s="131" t="s">
        <v>1395</v>
      </c>
      <c r="D1019" s="8" t="s">
        <v>10320</v>
      </c>
      <c r="E1019" s="8" t="s">
        <v>10324</v>
      </c>
      <c r="F1019" s="8">
        <v>8.469990899E9</v>
      </c>
      <c r="G1019" s="8"/>
      <c r="H1019" s="21">
        <v>1630.0</v>
      </c>
      <c r="I1019" s="21" t="s">
        <v>5030</v>
      </c>
      <c r="J1019" s="8" t="s">
        <v>1424</v>
      </c>
      <c r="K1019" s="8" t="s">
        <v>49</v>
      </c>
      <c r="L1019" s="8" t="s">
        <v>1616</v>
      </c>
      <c r="M1019" s="8" t="s">
        <v>28</v>
      </c>
      <c r="N1019" s="21">
        <v>19115.0</v>
      </c>
      <c r="O1019" s="21">
        <v>21593.0</v>
      </c>
      <c r="P1019" s="5">
        <v>52.0</v>
      </c>
      <c r="Q1019" s="8">
        <f t="shared" si="35"/>
        <v>9939.8</v>
      </c>
    </row>
    <row r="1020">
      <c r="A1020" s="100" t="s">
        <v>7836</v>
      </c>
      <c r="B1020" s="8" t="s">
        <v>10325</v>
      </c>
      <c r="C1020" s="8" t="s">
        <v>1432</v>
      </c>
      <c r="D1020" s="8" t="s">
        <v>9151</v>
      </c>
      <c r="E1020" s="8" t="s">
        <v>10326</v>
      </c>
      <c r="F1020" s="8">
        <v>9.537904552E9</v>
      </c>
      <c r="G1020" s="8"/>
      <c r="H1020" s="21">
        <v>236.0</v>
      </c>
      <c r="I1020" s="21" t="s">
        <v>5030</v>
      </c>
      <c r="J1020" s="8" t="s">
        <v>1424</v>
      </c>
      <c r="K1020" s="8" t="s">
        <v>49</v>
      </c>
      <c r="L1020" s="8" t="s">
        <v>111</v>
      </c>
      <c r="M1020" s="8" t="s">
        <v>28</v>
      </c>
      <c r="N1020" s="21">
        <v>6774.0</v>
      </c>
      <c r="O1020" s="21">
        <v>7994.0</v>
      </c>
      <c r="P1020" s="5">
        <v>53.0</v>
      </c>
      <c r="Q1020" s="8">
        <f t="shared" si="35"/>
        <v>3590.22</v>
      </c>
    </row>
    <row r="1021">
      <c r="A1021" s="100" t="s">
        <v>7836</v>
      </c>
      <c r="B1021" s="8" t="s">
        <v>5054</v>
      </c>
      <c r="C1021" s="8" t="s">
        <v>21</v>
      </c>
      <c r="D1021" s="8" t="s">
        <v>5695</v>
      </c>
      <c r="E1021" s="8" t="s">
        <v>10327</v>
      </c>
      <c r="F1021" s="8">
        <v>9.979642929E9</v>
      </c>
      <c r="G1021" s="8"/>
      <c r="H1021" s="96">
        <v>28000.0</v>
      </c>
      <c r="I1021" s="21" t="s">
        <v>10229</v>
      </c>
      <c r="J1021" s="131" t="s">
        <v>2562</v>
      </c>
      <c r="K1021" s="8" t="s">
        <v>26</v>
      </c>
      <c r="L1021" s="8" t="s">
        <v>71</v>
      </c>
      <c r="M1021" s="8" t="s">
        <v>28</v>
      </c>
      <c r="N1021" s="97">
        <v>44100.0</v>
      </c>
      <c r="O1021" s="97">
        <v>49401.0</v>
      </c>
      <c r="P1021" s="5">
        <v>43.0</v>
      </c>
      <c r="Q1021" s="8">
        <f t="shared" si="35"/>
        <v>18963</v>
      </c>
    </row>
    <row r="1022">
      <c r="A1022" s="100" t="s">
        <v>7836</v>
      </c>
      <c r="B1022" s="8" t="s">
        <v>10328</v>
      </c>
      <c r="C1022" s="8" t="s">
        <v>1432</v>
      </c>
      <c r="D1022" s="8" t="s">
        <v>2125</v>
      </c>
      <c r="E1022" s="8" t="s">
        <v>10329</v>
      </c>
      <c r="F1022" s="8">
        <v>9.979038873E9</v>
      </c>
      <c r="G1022" s="8"/>
      <c r="H1022" s="21">
        <v>436.0</v>
      </c>
      <c r="I1022" s="21" t="s">
        <v>10310</v>
      </c>
      <c r="J1022" s="8" t="s">
        <v>1424</v>
      </c>
      <c r="K1022" s="8" t="s">
        <v>49</v>
      </c>
      <c r="L1022" s="8" t="s">
        <v>1616</v>
      </c>
      <c r="M1022" s="8" t="s">
        <v>28</v>
      </c>
      <c r="N1022" s="21">
        <v>6375.0</v>
      </c>
      <c r="O1022" s="21">
        <v>7523.0</v>
      </c>
      <c r="P1022" s="5">
        <v>53.0</v>
      </c>
      <c r="Q1022" s="8">
        <f t="shared" si="35"/>
        <v>3378.75</v>
      </c>
    </row>
    <row r="1023">
      <c r="A1023" s="100" t="s">
        <v>7836</v>
      </c>
      <c r="B1023" s="8" t="s">
        <v>10330</v>
      </c>
      <c r="C1023" s="131" t="s">
        <v>1395</v>
      </c>
      <c r="D1023" s="8" t="s">
        <v>9796</v>
      </c>
      <c r="E1023" s="8" t="s">
        <v>10331</v>
      </c>
      <c r="F1023" s="8">
        <v>7.5750066E9</v>
      </c>
      <c r="G1023" s="8"/>
      <c r="H1023" s="21">
        <v>2545.0</v>
      </c>
      <c r="I1023" s="21" t="s">
        <v>10310</v>
      </c>
      <c r="J1023" s="8" t="s">
        <v>1424</v>
      </c>
      <c r="K1023" s="8" t="s">
        <v>49</v>
      </c>
      <c r="L1023" s="8" t="s">
        <v>1451</v>
      </c>
      <c r="M1023" s="8" t="s">
        <v>28</v>
      </c>
      <c r="N1023" s="21">
        <v>17258.0</v>
      </c>
      <c r="O1023" s="21">
        <v>19402.0</v>
      </c>
      <c r="P1023" s="5">
        <v>52.0</v>
      </c>
      <c r="Q1023" s="8">
        <f t="shared" si="35"/>
        <v>8974.16</v>
      </c>
    </row>
    <row r="1024">
      <c r="A1024" s="100" t="s">
        <v>7836</v>
      </c>
      <c r="B1024" s="8" t="s">
        <v>10332</v>
      </c>
      <c r="C1024" s="131" t="s">
        <v>1395</v>
      </c>
      <c r="D1024" s="8" t="s">
        <v>10333</v>
      </c>
      <c r="E1024" s="8" t="s">
        <v>10334</v>
      </c>
      <c r="F1024" s="8">
        <v>9.925906161E9</v>
      </c>
      <c r="G1024" s="8"/>
      <c r="H1024" s="21">
        <v>2880.0</v>
      </c>
      <c r="I1024" s="22">
        <v>45726.0</v>
      </c>
      <c r="J1024" s="8" t="s">
        <v>1424</v>
      </c>
      <c r="K1024" s="8" t="s">
        <v>49</v>
      </c>
      <c r="L1024" s="8" t="s">
        <v>1616</v>
      </c>
      <c r="M1024" s="8" t="s">
        <v>28</v>
      </c>
      <c r="N1024" s="21">
        <v>20883.0</v>
      </c>
      <c r="O1024" s="21">
        <v>23679.0</v>
      </c>
      <c r="P1024" s="5">
        <v>52.0</v>
      </c>
      <c r="Q1024" s="8">
        <f t="shared" si="35"/>
        <v>10859.16</v>
      </c>
    </row>
    <row r="1025">
      <c r="A1025" s="100" t="s">
        <v>7832</v>
      </c>
      <c r="B1025" s="8" t="s">
        <v>10335</v>
      </c>
      <c r="C1025" s="131" t="s">
        <v>1395</v>
      </c>
      <c r="D1025" s="8" t="s">
        <v>2116</v>
      </c>
      <c r="E1025" s="8" t="s">
        <v>10336</v>
      </c>
      <c r="F1025" s="8"/>
      <c r="G1025" s="8"/>
      <c r="H1025" s="21">
        <v>1600.0</v>
      </c>
      <c r="I1025" s="22">
        <v>45726.0</v>
      </c>
      <c r="J1025" s="8" t="s">
        <v>1424</v>
      </c>
      <c r="K1025" s="8" t="s">
        <v>49</v>
      </c>
      <c r="L1025" s="8" t="s">
        <v>340</v>
      </c>
      <c r="M1025" s="8" t="s">
        <v>28</v>
      </c>
      <c r="N1025" s="21">
        <v>19734.0</v>
      </c>
      <c r="O1025" s="21">
        <v>22324.0</v>
      </c>
      <c r="P1025" s="5">
        <v>52.0</v>
      </c>
      <c r="Q1025" s="8">
        <f t="shared" si="35"/>
        <v>10261.68</v>
      </c>
    </row>
    <row r="1026">
      <c r="A1026" s="100" t="s">
        <v>7832</v>
      </c>
      <c r="B1026" s="8" t="s">
        <v>10337</v>
      </c>
      <c r="C1026" s="131" t="s">
        <v>1395</v>
      </c>
      <c r="D1026" s="8" t="s">
        <v>2912</v>
      </c>
      <c r="E1026" s="8" t="s">
        <v>10338</v>
      </c>
      <c r="F1026" s="8">
        <v>9.601905127E9</v>
      </c>
      <c r="G1026" s="8"/>
      <c r="H1026" s="21">
        <v>1600.0</v>
      </c>
      <c r="I1026" s="21" t="s">
        <v>5069</v>
      </c>
      <c r="J1026" s="8" t="s">
        <v>1424</v>
      </c>
      <c r="K1026" s="8" t="s">
        <v>49</v>
      </c>
      <c r="L1026" s="8" t="s">
        <v>365</v>
      </c>
      <c r="M1026" s="8" t="s">
        <v>28</v>
      </c>
      <c r="N1026" s="21">
        <v>18561.0</v>
      </c>
      <c r="O1026" s="21">
        <v>20939.0</v>
      </c>
      <c r="P1026" s="5">
        <v>52.0</v>
      </c>
      <c r="Q1026" s="8">
        <f t="shared" si="35"/>
        <v>9651.72</v>
      </c>
    </row>
    <row r="1027">
      <c r="A1027" s="100" t="s">
        <v>7832</v>
      </c>
      <c r="B1027" s="8" t="s">
        <v>10339</v>
      </c>
      <c r="C1027" s="8" t="s">
        <v>1432</v>
      </c>
      <c r="D1027" s="8" t="s">
        <v>9151</v>
      </c>
      <c r="E1027" s="8" t="s">
        <v>10340</v>
      </c>
      <c r="F1027" s="8"/>
      <c r="G1027" s="8"/>
      <c r="H1027" s="21">
        <v>236.0</v>
      </c>
      <c r="I1027" s="22">
        <v>45698.0</v>
      </c>
      <c r="J1027" s="8" t="s">
        <v>1424</v>
      </c>
      <c r="K1027" s="8" t="s">
        <v>49</v>
      </c>
      <c r="L1027" s="8" t="s">
        <v>219</v>
      </c>
      <c r="M1027" s="8" t="s">
        <v>28</v>
      </c>
      <c r="N1027" s="21">
        <v>6198.0</v>
      </c>
      <c r="O1027" s="21">
        <v>7314.0</v>
      </c>
      <c r="P1027" s="5">
        <v>53.0</v>
      </c>
      <c r="Q1027" s="8">
        <f t="shared" si="35"/>
        <v>3284.94</v>
      </c>
    </row>
    <row r="1028">
      <c r="A1028" s="100" t="s">
        <v>7832</v>
      </c>
      <c r="B1028" s="8" t="s">
        <v>10341</v>
      </c>
      <c r="C1028" s="8" t="s">
        <v>1432</v>
      </c>
      <c r="D1028" s="8" t="s">
        <v>9190</v>
      </c>
      <c r="E1028" s="8" t="s">
        <v>10342</v>
      </c>
      <c r="F1028" s="8">
        <v>9.099815412E9</v>
      </c>
      <c r="G1028" s="8"/>
      <c r="H1028" s="21">
        <v>236.0</v>
      </c>
      <c r="I1028" s="21" t="s">
        <v>10310</v>
      </c>
      <c r="J1028" s="8" t="s">
        <v>1424</v>
      </c>
      <c r="K1028" s="8" t="s">
        <v>49</v>
      </c>
      <c r="L1028" s="8" t="s">
        <v>27</v>
      </c>
      <c r="M1028" s="8" t="s">
        <v>28</v>
      </c>
      <c r="N1028" s="21">
        <v>6418.0</v>
      </c>
      <c r="O1028" s="21">
        <v>7574.0</v>
      </c>
      <c r="P1028" s="5">
        <v>53.0</v>
      </c>
      <c r="Q1028" s="8">
        <f t="shared" si="35"/>
        <v>3401.54</v>
      </c>
    </row>
    <row r="1029">
      <c r="A1029" s="100" t="s">
        <v>7832</v>
      </c>
      <c r="B1029" s="8" t="s">
        <v>10343</v>
      </c>
      <c r="C1029" s="8" t="s">
        <v>1432</v>
      </c>
      <c r="D1029" s="8" t="s">
        <v>10344</v>
      </c>
      <c r="E1029" s="8" t="s">
        <v>10345</v>
      </c>
      <c r="F1029" s="8">
        <v>9.624644526E9</v>
      </c>
      <c r="G1029" s="8"/>
      <c r="H1029" s="21">
        <v>436.0</v>
      </c>
      <c r="I1029" s="22">
        <v>45787.0</v>
      </c>
      <c r="J1029" s="8" t="s">
        <v>4696</v>
      </c>
      <c r="K1029" s="8" t="s">
        <v>49</v>
      </c>
      <c r="L1029" s="8" t="s">
        <v>1616</v>
      </c>
      <c r="M1029" s="8" t="s">
        <v>28</v>
      </c>
      <c r="N1029" s="97">
        <v>6330.0</v>
      </c>
      <c r="O1029" s="97">
        <v>7469.0</v>
      </c>
      <c r="P1029" s="5">
        <v>45.0</v>
      </c>
      <c r="Q1029" s="8">
        <f t="shared" si="35"/>
        <v>2848.5</v>
      </c>
    </row>
    <row r="1030">
      <c r="A1030" s="100" t="s">
        <v>7832</v>
      </c>
      <c r="B1030" s="8" t="s">
        <v>5087</v>
      </c>
      <c r="C1030" s="8" t="s">
        <v>75</v>
      </c>
      <c r="D1030" s="8" t="s">
        <v>9268</v>
      </c>
      <c r="E1030" s="8" t="s">
        <v>10346</v>
      </c>
      <c r="F1030" s="8">
        <v>8.141204459E9</v>
      </c>
      <c r="G1030" s="8"/>
      <c r="H1030" s="21">
        <v>990.0</v>
      </c>
      <c r="I1030" s="22">
        <v>45667.0</v>
      </c>
      <c r="J1030" s="8" t="s">
        <v>78</v>
      </c>
      <c r="K1030" s="8" t="s">
        <v>49</v>
      </c>
      <c r="L1030" s="8" t="s">
        <v>1616</v>
      </c>
      <c r="M1030" s="8" t="s">
        <v>28</v>
      </c>
      <c r="N1030" s="21">
        <v>5078.0</v>
      </c>
      <c r="O1030" s="21">
        <v>5722.0</v>
      </c>
      <c r="P1030" s="5">
        <v>55.0</v>
      </c>
      <c r="Q1030" s="8">
        <f t="shared" si="35"/>
        <v>2792.9</v>
      </c>
    </row>
    <row r="1031">
      <c r="A1031" s="87">
        <v>45301.0</v>
      </c>
      <c r="B1031" s="8" t="s">
        <v>10347</v>
      </c>
      <c r="C1031" s="8" t="s">
        <v>75</v>
      </c>
      <c r="D1031" s="8" t="s">
        <v>9268</v>
      </c>
      <c r="E1031" s="8" t="s">
        <v>10348</v>
      </c>
      <c r="F1031" s="8">
        <v>9.106689303E9</v>
      </c>
      <c r="G1031" s="8"/>
      <c r="H1031" s="21">
        <v>990.0</v>
      </c>
      <c r="I1031" s="22">
        <v>45667.0</v>
      </c>
      <c r="J1031" s="8" t="s">
        <v>78</v>
      </c>
      <c r="K1031" s="8" t="s">
        <v>49</v>
      </c>
      <c r="L1031" s="8" t="s">
        <v>365</v>
      </c>
      <c r="M1031" s="8" t="s">
        <v>28</v>
      </c>
      <c r="N1031" s="21">
        <v>5315.0</v>
      </c>
      <c r="O1031" s="21">
        <v>6002.0</v>
      </c>
      <c r="P1031" s="5">
        <v>55.0</v>
      </c>
      <c r="Q1031" s="8">
        <f t="shared" si="35"/>
        <v>2923.25</v>
      </c>
    </row>
    <row r="1032">
      <c r="A1032" s="87">
        <v>45301.0</v>
      </c>
      <c r="B1032" s="8" t="s">
        <v>7845</v>
      </c>
      <c r="C1032" s="131" t="s">
        <v>1395</v>
      </c>
      <c r="D1032" s="8" t="s">
        <v>10349</v>
      </c>
      <c r="E1032" s="8" t="s">
        <v>10350</v>
      </c>
      <c r="F1032" s="8"/>
      <c r="G1032" s="8"/>
      <c r="H1032" s="21">
        <v>2100.0</v>
      </c>
      <c r="I1032" s="22">
        <v>45757.0</v>
      </c>
      <c r="J1032" s="131" t="s">
        <v>9946</v>
      </c>
      <c r="K1032" s="8" t="s">
        <v>49</v>
      </c>
      <c r="L1032" s="8" t="s">
        <v>71</v>
      </c>
      <c r="M1032" s="8" t="s">
        <v>28</v>
      </c>
      <c r="N1032" s="97">
        <v>17094.0</v>
      </c>
      <c r="O1032" s="97">
        <v>19208.0</v>
      </c>
      <c r="P1032" s="5">
        <v>59.0</v>
      </c>
      <c r="Q1032" s="8">
        <f t="shared" si="35"/>
        <v>10085.46</v>
      </c>
    </row>
    <row r="1033">
      <c r="A1033" s="87">
        <v>45301.0</v>
      </c>
      <c r="B1033" s="8" t="s">
        <v>3488</v>
      </c>
      <c r="C1033" s="8" t="s">
        <v>21</v>
      </c>
      <c r="D1033" s="8" t="s">
        <v>10351</v>
      </c>
      <c r="E1033" s="8" t="s">
        <v>9915</v>
      </c>
      <c r="F1033" s="8">
        <v>9.909281565E9</v>
      </c>
      <c r="G1033" s="8"/>
      <c r="H1033" s="21">
        <v>35000.0</v>
      </c>
      <c r="I1033" s="21" t="s">
        <v>5069</v>
      </c>
      <c r="J1033" s="131" t="s">
        <v>116</v>
      </c>
      <c r="K1033" s="8" t="s">
        <v>49</v>
      </c>
      <c r="L1033" s="8" t="s">
        <v>219</v>
      </c>
      <c r="M1033" s="8" t="s">
        <v>28</v>
      </c>
      <c r="N1033" s="97">
        <v>80307.0</v>
      </c>
      <c r="O1033" s="97">
        <v>92121.0</v>
      </c>
      <c r="P1033" s="5">
        <v>21.0</v>
      </c>
      <c r="Q1033" s="8">
        <f t="shared" si="35"/>
        <v>16864.47</v>
      </c>
    </row>
    <row r="1034">
      <c r="A1034" s="87">
        <v>45301.0</v>
      </c>
      <c r="B1034" s="8" t="s">
        <v>10352</v>
      </c>
      <c r="C1034" s="8" t="s">
        <v>1432</v>
      </c>
      <c r="D1034" s="8" t="s">
        <v>2125</v>
      </c>
      <c r="E1034" s="8" t="s">
        <v>10353</v>
      </c>
      <c r="F1034" s="8"/>
      <c r="G1034" s="8"/>
      <c r="H1034" s="21">
        <v>470.0</v>
      </c>
      <c r="I1034" s="21" t="s">
        <v>5069</v>
      </c>
      <c r="J1034" s="8" t="s">
        <v>1424</v>
      </c>
      <c r="K1034" s="8" t="s">
        <v>49</v>
      </c>
      <c r="L1034" s="8" t="s">
        <v>27</v>
      </c>
      <c r="M1034" s="8" t="s">
        <v>28</v>
      </c>
      <c r="N1034" s="21">
        <v>6185.0</v>
      </c>
      <c r="O1034" s="21">
        <v>7299.0</v>
      </c>
      <c r="P1034" s="5">
        <v>53.0</v>
      </c>
      <c r="Q1034" s="8">
        <f t="shared" si="35"/>
        <v>3278.05</v>
      </c>
    </row>
    <row r="1035">
      <c r="A1035" s="87">
        <v>45301.0</v>
      </c>
      <c r="B1035" s="8" t="s">
        <v>7905</v>
      </c>
      <c r="C1035" s="131" t="s">
        <v>1395</v>
      </c>
      <c r="D1035" s="8" t="s">
        <v>741</v>
      </c>
      <c r="E1035" s="8" t="s">
        <v>7906</v>
      </c>
      <c r="F1035" s="8"/>
      <c r="G1035" s="8"/>
      <c r="H1035" s="21">
        <v>3490.0</v>
      </c>
      <c r="I1035" s="22">
        <v>45787.0</v>
      </c>
      <c r="J1035" s="131" t="s">
        <v>116</v>
      </c>
      <c r="K1035" s="8" t="s">
        <v>49</v>
      </c>
      <c r="L1035" s="8" t="s">
        <v>71</v>
      </c>
      <c r="M1035" s="8" t="s">
        <v>28</v>
      </c>
      <c r="N1035" s="97">
        <v>22084.0</v>
      </c>
      <c r="O1035" s="97">
        <v>25088.0</v>
      </c>
      <c r="P1035" s="5">
        <v>50.0</v>
      </c>
      <c r="Q1035" s="8">
        <f t="shared" si="35"/>
        <v>11042</v>
      </c>
    </row>
    <row r="1036">
      <c r="A1036" s="87">
        <v>45361.0</v>
      </c>
      <c r="B1036" s="8" t="s">
        <v>10354</v>
      </c>
      <c r="C1036" s="8" t="s">
        <v>1432</v>
      </c>
      <c r="D1036" s="8" t="s">
        <v>1439</v>
      </c>
      <c r="E1036" s="8" t="s">
        <v>10355</v>
      </c>
      <c r="F1036" s="8">
        <v>9.687526991E9</v>
      </c>
      <c r="G1036" s="8"/>
      <c r="H1036" s="21">
        <v>236.0</v>
      </c>
      <c r="I1036" s="22">
        <v>45726.0</v>
      </c>
      <c r="J1036" s="8" t="s">
        <v>1419</v>
      </c>
      <c r="K1036" s="8" t="s">
        <v>49</v>
      </c>
      <c r="L1036" s="8" t="s">
        <v>185</v>
      </c>
      <c r="M1036" s="8" t="s">
        <v>28</v>
      </c>
      <c r="N1036" s="21">
        <v>6370.0</v>
      </c>
      <c r="O1036" s="21">
        <v>7516.0</v>
      </c>
      <c r="P1036" s="5">
        <v>52.0</v>
      </c>
      <c r="Q1036" s="8">
        <f t="shared" si="35"/>
        <v>3312.4</v>
      </c>
    </row>
    <row r="1037">
      <c r="A1037" s="87">
        <v>45361.0</v>
      </c>
      <c r="B1037" s="8" t="s">
        <v>10356</v>
      </c>
      <c r="C1037" s="8" t="s">
        <v>1432</v>
      </c>
      <c r="D1037" s="8" t="s">
        <v>2125</v>
      </c>
      <c r="E1037" s="8" t="s">
        <v>10357</v>
      </c>
      <c r="F1037" s="8">
        <v>9.925948367E9</v>
      </c>
      <c r="G1037" s="8"/>
      <c r="H1037" s="21">
        <v>436.0</v>
      </c>
      <c r="I1037" s="22">
        <v>45698.0</v>
      </c>
      <c r="J1037" s="8" t="s">
        <v>1424</v>
      </c>
      <c r="K1037" s="8" t="s">
        <v>49</v>
      </c>
      <c r="L1037" s="8" t="s">
        <v>185</v>
      </c>
      <c r="M1037" s="8" t="s">
        <v>28</v>
      </c>
      <c r="N1037" s="21">
        <v>6375.0</v>
      </c>
      <c r="O1037" s="21">
        <v>7523.0</v>
      </c>
      <c r="P1037" s="5">
        <v>53.0</v>
      </c>
      <c r="Q1037" s="8">
        <f t="shared" si="35"/>
        <v>3378.75</v>
      </c>
    </row>
    <row r="1038">
      <c r="A1038" s="87">
        <v>45361.0</v>
      </c>
      <c r="B1038" s="8" t="s">
        <v>5102</v>
      </c>
      <c r="C1038" s="131" t="s">
        <v>1395</v>
      </c>
      <c r="D1038" s="8" t="s">
        <v>2116</v>
      </c>
      <c r="E1038" s="8" t="s">
        <v>10358</v>
      </c>
      <c r="F1038" s="8"/>
      <c r="G1038" s="8"/>
      <c r="H1038" s="21">
        <v>1600.0</v>
      </c>
      <c r="I1038" s="22">
        <v>45757.0</v>
      </c>
      <c r="J1038" s="8" t="s">
        <v>1424</v>
      </c>
      <c r="K1038" s="8" t="s">
        <v>49</v>
      </c>
      <c r="L1038" s="8" t="s">
        <v>340</v>
      </c>
      <c r="M1038" s="8" t="s">
        <v>28</v>
      </c>
      <c r="N1038" s="21">
        <v>19477.0</v>
      </c>
      <c r="O1038" s="21">
        <v>22021.0</v>
      </c>
      <c r="P1038" s="5">
        <v>52.0</v>
      </c>
      <c r="Q1038" s="8">
        <f t="shared" si="35"/>
        <v>10128.04</v>
      </c>
    </row>
    <row r="1039">
      <c r="A1039" s="87">
        <v>45361.0</v>
      </c>
      <c r="B1039" s="8" t="s">
        <v>5097</v>
      </c>
      <c r="C1039" s="8" t="s">
        <v>75</v>
      </c>
      <c r="D1039" s="8" t="s">
        <v>9268</v>
      </c>
      <c r="E1039" s="8" t="s">
        <v>10359</v>
      </c>
      <c r="F1039" s="8">
        <v>7.874016819E9</v>
      </c>
      <c r="G1039" s="8"/>
      <c r="H1039" s="21">
        <v>990.0</v>
      </c>
      <c r="I1039" s="22">
        <v>45698.0</v>
      </c>
      <c r="J1039" s="8" t="s">
        <v>78</v>
      </c>
      <c r="K1039" s="8" t="s">
        <v>49</v>
      </c>
      <c r="L1039" s="8" t="s">
        <v>50</v>
      </c>
      <c r="M1039" s="8" t="s">
        <v>28</v>
      </c>
      <c r="N1039" s="21">
        <v>5315.0</v>
      </c>
      <c r="O1039" s="21">
        <v>6002.0</v>
      </c>
      <c r="P1039" s="5">
        <v>55.0</v>
      </c>
      <c r="Q1039" s="8">
        <f t="shared" si="35"/>
        <v>2923.25</v>
      </c>
    </row>
    <row r="1040">
      <c r="A1040" s="87">
        <v>45361.0</v>
      </c>
      <c r="B1040" s="8" t="s">
        <v>5110</v>
      </c>
      <c r="C1040" s="8" t="s">
        <v>21</v>
      </c>
      <c r="D1040" s="8" t="s">
        <v>10360</v>
      </c>
      <c r="E1040" s="8" t="s">
        <v>10361</v>
      </c>
      <c r="F1040" s="8"/>
      <c r="G1040" s="8"/>
      <c r="H1040" s="21">
        <v>25000.0</v>
      </c>
      <c r="I1040" s="22">
        <v>45726.0</v>
      </c>
      <c r="J1040" s="8" t="s">
        <v>1419</v>
      </c>
      <c r="K1040" s="8" t="s">
        <v>26</v>
      </c>
      <c r="L1040" s="8" t="s">
        <v>71</v>
      </c>
      <c r="M1040" s="8" t="s">
        <v>28</v>
      </c>
      <c r="N1040" s="21">
        <v>44100.0</v>
      </c>
      <c r="O1040" s="21">
        <v>49402.0</v>
      </c>
      <c r="P1040" s="5">
        <v>42.0</v>
      </c>
      <c r="Q1040" s="8">
        <f t="shared" si="35"/>
        <v>18522</v>
      </c>
    </row>
    <row r="1041">
      <c r="A1041" s="87">
        <v>45361.0</v>
      </c>
      <c r="B1041" s="8" t="s">
        <v>5074</v>
      </c>
      <c r="C1041" s="8" t="s">
        <v>533</v>
      </c>
      <c r="D1041" s="8" t="s">
        <v>5386</v>
      </c>
      <c r="E1041" s="8" t="s">
        <v>3199</v>
      </c>
      <c r="F1041" s="8"/>
      <c r="G1041" s="8"/>
      <c r="H1041" s="21">
        <v>1350.0</v>
      </c>
      <c r="I1041" s="249">
        <v>46001.0</v>
      </c>
      <c r="J1041" s="131" t="s">
        <v>116</v>
      </c>
      <c r="K1041" s="8" t="s">
        <v>26</v>
      </c>
      <c r="L1041" s="8" t="s">
        <v>1451</v>
      </c>
      <c r="M1041" s="8" t="s">
        <v>28</v>
      </c>
      <c r="N1041" s="97">
        <v>7317.0</v>
      </c>
      <c r="O1041" s="97">
        <v>8634.0</v>
      </c>
      <c r="P1041" s="5">
        <v>27.0</v>
      </c>
      <c r="Q1041" s="8">
        <f t="shared" si="35"/>
        <v>1975.59</v>
      </c>
    </row>
    <row r="1042">
      <c r="A1042" s="87">
        <v>45361.0</v>
      </c>
      <c r="B1042" s="8" t="s">
        <v>10362</v>
      </c>
      <c r="C1042" s="131" t="s">
        <v>1395</v>
      </c>
      <c r="D1042" s="8" t="s">
        <v>2116</v>
      </c>
      <c r="E1042" s="8" t="s">
        <v>10363</v>
      </c>
      <c r="F1042" s="8"/>
      <c r="G1042" s="8"/>
      <c r="H1042" s="21">
        <v>1600.0</v>
      </c>
      <c r="I1042" s="22">
        <v>45787.0</v>
      </c>
      <c r="J1042" s="8" t="s">
        <v>1424</v>
      </c>
      <c r="K1042" s="8" t="s">
        <v>49</v>
      </c>
      <c r="L1042" s="8" t="s">
        <v>71</v>
      </c>
      <c r="M1042" s="8" t="s">
        <v>28</v>
      </c>
      <c r="N1042" s="21">
        <v>19478.0</v>
      </c>
      <c r="O1042" s="21">
        <v>22022.0</v>
      </c>
      <c r="P1042" s="5">
        <v>52.0</v>
      </c>
      <c r="Q1042" s="8">
        <f t="shared" si="35"/>
        <v>10128.56</v>
      </c>
    </row>
    <row r="1043">
      <c r="A1043" s="87">
        <v>45361.0</v>
      </c>
      <c r="B1043" s="8" t="s">
        <v>10364</v>
      </c>
      <c r="C1043" s="131" t="s">
        <v>1395</v>
      </c>
      <c r="D1043" s="8" t="s">
        <v>9702</v>
      </c>
      <c r="E1043" s="8" t="s">
        <v>10365</v>
      </c>
      <c r="F1043" s="8"/>
      <c r="G1043" s="8"/>
      <c r="H1043" s="21">
        <v>2620.0</v>
      </c>
      <c r="I1043" s="22">
        <v>45757.0</v>
      </c>
      <c r="J1043" s="8" t="s">
        <v>1424</v>
      </c>
      <c r="K1043" s="8" t="s">
        <v>49</v>
      </c>
      <c r="L1043" s="8" t="s">
        <v>1436</v>
      </c>
      <c r="M1043" s="8" t="s">
        <v>28</v>
      </c>
      <c r="N1043" s="21">
        <v>17609.0</v>
      </c>
      <c r="O1043" s="21">
        <v>19815.0</v>
      </c>
      <c r="P1043" s="5">
        <v>52.0</v>
      </c>
      <c r="Q1043" s="8">
        <f t="shared" si="35"/>
        <v>9156.68</v>
      </c>
    </row>
    <row r="1044">
      <c r="A1044" s="87">
        <v>45361.0</v>
      </c>
      <c r="B1044" s="8" t="s">
        <v>10366</v>
      </c>
      <c r="C1044" s="8" t="s">
        <v>1432</v>
      </c>
      <c r="D1044" s="8" t="s">
        <v>2125</v>
      </c>
      <c r="E1044" s="8" t="s">
        <v>10367</v>
      </c>
      <c r="F1044" s="8"/>
      <c r="G1044" s="8"/>
      <c r="H1044" s="21">
        <v>436.0</v>
      </c>
      <c r="I1044" s="22">
        <v>45757.0</v>
      </c>
      <c r="J1044" s="8" t="s">
        <v>1424</v>
      </c>
      <c r="K1044" s="8" t="s">
        <v>49</v>
      </c>
      <c r="L1044" s="8" t="s">
        <v>365</v>
      </c>
      <c r="M1044" s="8" t="s">
        <v>28</v>
      </c>
      <c r="N1044" s="21">
        <v>6375.0</v>
      </c>
      <c r="O1044" s="21">
        <v>7523.0</v>
      </c>
      <c r="P1044" s="5">
        <v>53.0</v>
      </c>
      <c r="Q1044" s="8">
        <f t="shared" si="35"/>
        <v>3378.75</v>
      </c>
    </row>
    <row r="1045">
      <c r="A1045" s="87">
        <v>45361.0</v>
      </c>
      <c r="B1045" s="8" t="s">
        <v>7851</v>
      </c>
      <c r="C1045" s="8" t="s">
        <v>1432</v>
      </c>
      <c r="D1045" s="8" t="s">
        <v>2125</v>
      </c>
      <c r="E1045" s="8" t="s">
        <v>10368</v>
      </c>
      <c r="F1045" s="8"/>
      <c r="G1045" s="8"/>
      <c r="H1045" s="21">
        <v>470.0</v>
      </c>
      <c r="I1045" s="22">
        <v>45787.0</v>
      </c>
      <c r="J1045" s="8" t="s">
        <v>1424</v>
      </c>
      <c r="K1045" s="8" t="s">
        <v>49</v>
      </c>
      <c r="L1045" s="8" t="s">
        <v>71</v>
      </c>
      <c r="M1045" s="8" t="s">
        <v>28</v>
      </c>
      <c r="N1045" s="21">
        <v>6021.0</v>
      </c>
      <c r="O1045" s="21">
        <v>7105.0</v>
      </c>
      <c r="P1045" s="5">
        <v>53.0</v>
      </c>
      <c r="Q1045" s="8">
        <f t="shared" si="35"/>
        <v>3191.13</v>
      </c>
    </row>
    <row r="1046">
      <c r="A1046" s="87">
        <v>45361.0</v>
      </c>
      <c r="B1046" s="8" t="s">
        <v>7881</v>
      </c>
      <c r="C1046" s="131" t="s">
        <v>1395</v>
      </c>
      <c r="D1046" s="8" t="s">
        <v>3790</v>
      </c>
      <c r="E1046" s="8" t="s">
        <v>7882</v>
      </c>
      <c r="F1046" s="8"/>
      <c r="G1046" s="8"/>
      <c r="H1046" s="21">
        <v>3425.0</v>
      </c>
      <c r="I1046" s="22">
        <v>45818.0</v>
      </c>
      <c r="J1046" s="131" t="s">
        <v>116</v>
      </c>
      <c r="K1046" s="8" t="s">
        <v>49</v>
      </c>
      <c r="L1046" s="8" t="s">
        <v>71</v>
      </c>
      <c r="M1046" s="8" t="s">
        <v>28</v>
      </c>
      <c r="N1046" s="97">
        <v>18274.0</v>
      </c>
      <c r="O1046" s="97">
        <v>20595.0</v>
      </c>
      <c r="P1046" s="5">
        <v>50.0</v>
      </c>
      <c r="Q1046" s="8">
        <f t="shared" si="35"/>
        <v>9137</v>
      </c>
    </row>
    <row r="1047">
      <c r="A1047" s="87">
        <v>45361.0</v>
      </c>
      <c r="B1047" s="8" t="s">
        <v>10369</v>
      </c>
      <c r="C1047" s="8" t="s">
        <v>1432</v>
      </c>
      <c r="D1047" s="8" t="s">
        <v>2125</v>
      </c>
      <c r="E1047" s="8" t="s">
        <v>10370</v>
      </c>
      <c r="F1047" s="8"/>
      <c r="G1047" s="8"/>
      <c r="H1047" s="21">
        <v>436.0</v>
      </c>
      <c r="I1047" s="22">
        <v>45757.0</v>
      </c>
      <c r="J1047" s="8" t="s">
        <v>1424</v>
      </c>
      <c r="K1047" s="8" t="s">
        <v>49</v>
      </c>
      <c r="L1047" s="8" t="s">
        <v>219</v>
      </c>
      <c r="M1047" s="8" t="s">
        <v>28</v>
      </c>
      <c r="N1047" s="21">
        <v>6375.0</v>
      </c>
      <c r="O1047" s="21">
        <v>7523.0</v>
      </c>
      <c r="P1047" s="5">
        <v>53.0</v>
      </c>
      <c r="Q1047" s="8">
        <f t="shared" si="35"/>
        <v>3378.75</v>
      </c>
    </row>
    <row r="1048">
      <c r="A1048" s="87">
        <v>45361.0</v>
      </c>
      <c r="B1048" s="8" t="s">
        <v>10371</v>
      </c>
      <c r="C1048" s="131" t="s">
        <v>1395</v>
      </c>
      <c r="D1048" s="8" t="s">
        <v>1318</v>
      </c>
      <c r="E1048" s="8" t="s">
        <v>10372</v>
      </c>
      <c r="F1048" s="8"/>
      <c r="G1048" s="8"/>
      <c r="H1048" s="21">
        <v>1600.0</v>
      </c>
      <c r="I1048" s="22">
        <v>45787.0</v>
      </c>
      <c r="J1048" s="131" t="s">
        <v>9946</v>
      </c>
      <c r="K1048" s="8" t="s">
        <v>49</v>
      </c>
      <c r="L1048" s="8" t="s">
        <v>71</v>
      </c>
      <c r="M1048" s="8" t="s">
        <v>28</v>
      </c>
      <c r="N1048" s="97">
        <v>17616.0</v>
      </c>
      <c r="O1048" s="97">
        <v>19824.0</v>
      </c>
      <c r="P1048" s="5">
        <v>59.0</v>
      </c>
      <c r="Q1048" s="8">
        <f t="shared" si="35"/>
        <v>10393.44</v>
      </c>
    </row>
    <row r="1049">
      <c r="A1049" s="87">
        <v>45392.0</v>
      </c>
      <c r="B1049" s="8" t="s">
        <v>10373</v>
      </c>
      <c r="C1049" s="131" t="s">
        <v>1395</v>
      </c>
      <c r="D1049" s="8" t="s">
        <v>10374</v>
      </c>
      <c r="E1049" s="8" t="s">
        <v>10375</v>
      </c>
      <c r="F1049" s="8"/>
      <c r="G1049" s="8"/>
      <c r="H1049" s="21">
        <v>3480.0</v>
      </c>
      <c r="I1049" s="21" t="s">
        <v>6278</v>
      </c>
      <c r="J1049" s="131" t="s">
        <v>116</v>
      </c>
      <c r="K1049" s="8" t="s">
        <v>49</v>
      </c>
      <c r="L1049" s="8" t="s">
        <v>1436</v>
      </c>
      <c r="M1049" s="8" t="s">
        <v>28</v>
      </c>
      <c r="N1049" s="97">
        <v>21858.0</v>
      </c>
      <c r="O1049" s="97">
        <v>24824.0</v>
      </c>
      <c r="P1049" s="5">
        <v>50.0</v>
      </c>
      <c r="Q1049" s="8">
        <f t="shared" si="35"/>
        <v>10929</v>
      </c>
    </row>
    <row r="1050">
      <c r="A1050" s="100" t="s">
        <v>10189</v>
      </c>
      <c r="B1050" s="8" t="s">
        <v>10376</v>
      </c>
      <c r="C1050" s="131" t="s">
        <v>1395</v>
      </c>
      <c r="D1050" s="8" t="s">
        <v>9127</v>
      </c>
      <c r="E1050" s="8" t="s">
        <v>10377</v>
      </c>
      <c r="F1050" s="8"/>
      <c r="G1050" s="8"/>
      <c r="H1050" s="21">
        <v>1630.0</v>
      </c>
      <c r="I1050" s="21" t="s">
        <v>10100</v>
      </c>
      <c r="J1050" s="8" t="s">
        <v>1424</v>
      </c>
      <c r="K1050" s="8" t="s">
        <v>49</v>
      </c>
      <c r="L1050" s="8" t="s">
        <v>71</v>
      </c>
      <c r="M1050" s="8" t="s">
        <v>28</v>
      </c>
      <c r="N1050" s="21">
        <v>19387.0</v>
      </c>
      <c r="O1050" s="21">
        <v>21913.0</v>
      </c>
      <c r="P1050" s="5">
        <v>52.0</v>
      </c>
      <c r="Q1050" s="8">
        <f t="shared" si="35"/>
        <v>10081.24</v>
      </c>
    </row>
    <row r="1051">
      <c r="A1051" s="87">
        <v>45392.0</v>
      </c>
      <c r="B1051" s="8" t="s">
        <v>6271</v>
      </c>
      <c r="C1051" s="131" t="s">
        <v>1395</v>
      </c>
      <c r="D1051" s="8" t="s">
        <v>2116</v>
      </c>
      <c r="E1051" s="8" t="s">
        <v>10378</v>
      </c>
      <c r="F1051" s="8"/>
      <c r="G1051" s="8"/>
      <c r="H1051" s="21">
        <v>1600.0</v>
      </c>
      <c r="I1051" s="22">
        <v>45757.0</v>
      </c>
      <c r="J1051" s="8" t="s">
        <v>1424</v>
      </c>
      <c r="K1051" s="8" t="s">
        <v>49</v>
      </c>
      <c r="L1051" s="8" t="s">
        <v>365</v>
      </c>
      <c r="M1051" s="8" t="s">
        <v>28</v>
      </c>
      <c r="N1051" s="21">
        <v>19281.0</v>
      </c>
      <c r="O1051" s="21">
        <v>21789.0</v>
      </c>
      <c r="P1051" s="5">
        <v>52.0</v>
      </c>
      <c r="Q1051" s="8">
        <f t="shared" si="35"/>
        <v>10026.12</v>
      </c>
    </row>
    <row r="1052">
      <c r="A1052" s="87">
        <v>45392.0</v>
      </c>
      <c r="B1052" s="8" t="s">
        <v>10379</v>
      </c>
      <c r="C1052" s="8" t="s">
        <v>1432</v>
      </c>
      <c r="D1052" s="8" t="s">
        <v>9190</v>
      </c>
      <c r="E1052" s="8" t="s">
        <v>10380</v>
      </c>
      <c r="F1052" s="8"/>
      <c r="G1052" s="8"/>
      <c r="H1052" s="21">
        <v>236.0</v>
      </c>
      <c r="I1052" s="21" t="s">
        <v>6488</v>
      </c>
      <c r="J1052" s="8" t="s">
        <v>1424</v>
      </c>
      <c r="K1052" s="8" t="s">
        <v>49</v>
      </c>
      <c r="L1052" s="8" t="s">
        <v>1436</v>
      </c>
      <c r="M1052" s="8" t="s">
        <v>28</v>
      </c>
      <c r="N1052" s="21">
        <v>6375.0</v>
      </c>
      <c r="O1052" s="21">
        <v>7523.0</v>
      </c>
      <c r="P1052" s="5">
        <v>53.0</v>
      </c>
      <c r="Q1052" s="8">
        <f t="shared" si="35"/>
        <v>3378.75</v>
      </c>
    </row>
    <row r="1053">
      <c r="A1053" s="87">
        <v>45392.0</v>
      </c>
      <c r="B1053" s="8" t="s">
        <v>6279</v>
      </c>
      <c r="C1053" s="8" t="s">
        <v>21</v>
      </c>
      <c r="D1053" s="8" t="s">
        <v>10381</v>
      </c>
      <c r="E1053" s="8" t="s">
        <v>10382</v>
      </c>
      <c r="F1053" s="8"/>
      <c r="G1053" s="8"/>
      <c r="H1053" s="96">
        <v>25000.0</v>
      </c>
      <c r="I1053" s="22">
        <v>45757.0</v>
      </c>
      <c r="J1053" s="131" t="s">
        <v>2562</v>
      </c>
      <c r="K1053" s="8" t="s">
        <v>26</v>
      </c>
      <c r="L1053" s="8" t="s">
        <v>27</v>
      </c>
      <c r="M1053" s="8" t="s">
        <v>28</v>
      </c>
      <c r="N1053" s="97">
        <v>44100.0</v>
      </c>
      <c r="O1053" s="97">
        <v>49401.0</v>
      </c>
      <c r="P1053" s="5">
        <v>43.0</v>
      </c>
      <c r="Q1053" s="8">
        <f t="shared" si="35"/>
        <v>18963</v>
      </c>
    </row>
    <row r="1054">
      <c r="A1054" s="87">
        <v>45392.0</v>
      </c>
      <c r="B1054" s="8" t="s">
        <v>6274</v>
      </c>
      <c r="C1054" s="8" t="s">
        <v>21</v>
      </c>
      <c r="D1054" s="8" t="s">
        <v>1613</v>
      </c>
      <c r="E1054" s="8" t="s">
        <v>10383</v>
      </c>
      <c r="F1054" s="8"/>
      <c r="G1054" s="8"/>
      <c r="H1054" s="21">
        <v>28000.0</v>
      </c>
      <c r="I1054" s="22">
        <v>45757.0</v>
      </c>
      <c r="J1054" s="8" t="s">
        <v>25</v>
      </c>
      <c r="K1054" s="8" t="s">
        <v>26</v>
      </c>
      <c r="L1054" s="8" t="s">
        <v>27</v>
      </c>
      <c r="M1054" s="8" t="s">
        <v>28</v>
      </c>
      <c r="N1054" s="21">
        <v>44100.0</v>
      </c>
      <c r="O1054" s="21">
        <v>49401.0</v>
      </c>
      <c r="P1054" s="5">
        <v>44.0</v>
      </c>
      <c r="Q1054" s="8">
        <f t="shared" si="35"/>
        <v>19404</v>
      </c>
    </row>
    <row r="1055">
      <c r="A1055" s="87">
        <v>45422.0</v>
      </c>
      <c r="B1055" s="8" t="s">
        <v>5406</v>
      </c>
      <c r="C1055" s="8" t="s">
        <v>1432</v>
      </c>
      <c r="D1055" s="8" t="s">
        <v>2125</v>
      </c>
      <c r="E1055" s="8" t="s">
        <v>10384</v>
      </c>
      <c r="F1055" s="8"/>
      <c r="G1055" s="8"/>
      <c r="H1055" s="21">
        <v>436.0</v>
      </c>
      <c r="I1055" s="22">
        <v>45757.0</v>
      </c>
      <c r="J1055" s="8" t="s">
        <v>1424</v>
      </c>
      <c r="K1055" s="8" t="s">
        <v>49</v>
      </c>
      <c r="L1055" s="8" t="s">
        <v>50</v>
      </c>
      <c r="M1055" s="8" t="s">
        <v>28</v>
      </c>
      <c r="N1055" s="21">
        <v>6344.0</v>
      </c>
      <c r="O1055" s="21">
        <v>7486.0</v>
      </c>
      <c r="P1055" s="5">
        <v>53.0</v>
      </c>
      <c r="Q1055" s="8">
        <f t="shared" si="35"/>
        <v>3362.32</v>
      </c>
    </row>
    <row r="1056">
      <c r="A1056" s="87">
        <v>45422.0</v>
      </c>
      <c r="B1056" s="8" t="s">
        <v>5142</v>
      </c>
      <c r="C1056" s="8" t="s">
        <v>21</v>
      </c>
      <c r="D1056" s="8" t="s">
        <v>133</v>
      </c>
      <c r="E1056" s="8" t="s">
        <v>10385</v>
      </c>
      <c r="F1056" s="8"/>
      <c r="G1056" s="8"/>
      <c r="H1056" s="21">
        <v>42000.0</v>
      </c>
      <c r="I1056" s="22">
        <v>45818.0</v>
      </c>
      <c r="J1056" s="131" t="s">
        <v>9946</v>
      </c>
      <c r="K1056" s="8" t="s">
        <v>49</v>
      </c>
      <c r="L1056" s="8" t="s">
        <v>27</v>
      </c>
      <c r="M1056" s="8" t="s">
        <v>28</v>
      </c>
      <c r="N1056" s="97">
        <v>48401.0</v>
      </c>
      <c r="O1056" s="97">
        <v>54459.0</v>
      </c>
      <c r="P1056" s="5">
        <v>26.0</v>
      </c>
      <c r="Q1056" s="8">
        <f t="shared" si="35"/>
        <v>12584.26</v>
      </c>
    </row>
    <row r="1057">
      <c r="A1057" s="87">
        <v>45422.0</v>
      </c>
      <c r="B1057" s="8" t="s">
        <v>10386</v>
      </c>
      <c r="C1057" s="8" t="s">
        <v>1432</v>
      </c>
      <c r="D1057" s="8" t="s">
        <v>2125</v>
      </c>
      <c r="E1057" s="8" t="s">
        <v>10387</v>
      </c>
      <c r="F1057" s="8"/>
      <c r="G1057" s="8"/>
      <c r="H1057" s="21">
        <v>436.0</v>
      </c>
      <c r="I1057" s="249">
        <v>45940.0</v>
      </c>
      <c r="J1057" s="8" t="s">
        <v>1424</v>
      </c>
      <c r="K1057" s="8" t="s">
        <v>49</v>
      </c>
      <c r="L1057" s="8" t="s">
        <v>219</v>
      </c>
      <c r="M1057" s="8" t="s">
        <v>28</v>
      </c>
      <c r="N1057" s="21">
        <v>6375.0</v>
      </c>
      <c r="O1057" s="21">
        <v>7523.0</v>
      </c>
      <c r="P1057" s="5">
        <v>53.0</v>
      </c>
      <c r="Q1057" s="8">
        <f t="shared" si="35"/>
        <v>3378.75</v>
      </c>
    </row>
    <row r="1058">
      <c r="A1058" s="87">
        <v>45422.0</v>
      </c>
      <c r="B1058" s="8" t="s">
        <v>10388</v>
      </c>
      <c r="C1058" s="131" t="s">
        <v>1395</v>
      </c>
      <c r="D1058" s="8" t="s">
        <v>4641</v>
      </c>
      <c r="E1058" s="8" t="s">
        <v>10389</v>
      </c>
      <c r="F1058" s="8"/>
      <c r="G1058" s="8"/>
      <c r="H1058" s="21">
        <v>1600.0</v>
      </c>
      <c r="I1058" s="22">
        <v>45787.0</v>
      </c>
      <c r="J1058" s="131" t="s">
        <v>9946</v>
      </c>
      <c r="K1058" s="8" t="s">
        <v>49</v>
      </c>
      <c r="L1058" s="8" t="s">
        <v>27</v>
      </c>
      <c r="M1058" s="8" t="s">
        <v>28</v>
      </c>
      <c r="N1058" s="97">
        <v>18293.0</v>
      </c>
      <c r="O1058" s="97">
        <v>20623.0</v>
      </c>
      <c r="P1058" s="5">
        <v>59.0</v>
      </c>
      <c r="Q1058" s="8">
        <f t="shared" si="35"/>
        <v>10792.87</v>
      </c>
    </row>
    <row r="1059">
      <c r="A1059" s="87">
        <v>45422.0</v>
      </c>
      <c r="B1059" s="8" t="s">
        <v>7873</v>
      </c>
      <c r="C1059" s="131" t="s">
        <v>1395</v>
      </c>
      <c r="D1059" s="8" t="s">
        <v>9702</v>
      </c>
      <c r="E1059" s="8" t="s">
        <v>7874</v>
      </c>
      <c r="F1059" s="8"/>
      <c r="G1059" s="8"/>
      <c r="H1059" s="21">
        <v>2735.0</v>
      </c>
      <c r="I1059" s="22">
        <v>45757.0</v>
      </c>
      <c r="J1059" s="8" t="s">
        <v>1424</v>
      </c>
      <c r="K1059" s="8" t="s">
        <v>49</v>
      </c>
      <c r="L1059" s="8" t="s">
        <v>71</v>
      </c>
      <c r="M1059" s="8" t="s">
        <v>28</v>
      </c>
      <c r="N1059" s="21">
        <v>21268.0</v>
      </c>
      <c r="O1059" s="21">
        <v>24134.0</v>
      </c>
      <c r="P1059" s="5">
        <v>52.0</v>
      </c>
      <c r="Q1059" s="8">
        <f t="shared" si="35"/>
        <v>11059.36</v>
      </c>
    </row>
    <row r="1060">
      <c r="A1060" s="87">
        <v>45422.0</v>
      </c>
      <c r="B1060" s="8" t="s">
        <v>10390</v>
      </c>
      <c r="C1060" s="8" t="s">
        <v>1432</v>
      </c>
      <c r="D1060" s="8" t="s">
        <v>2125</v>
      </c>
      <c r="E1060" s="8" t="s">
        <v>10391</v>
      </c>
      <c r="F1060" s="8"/>
      <c r="G1060" s="8"/>
      <c r="H1060" s="21">
        <v>436.0</v>
      </c>
      <c r="I1060" s="249">
        <v>45971.0</v>
      </c>
      <c r="J1060" s="8" t="s">
        <v>1424</v>
      </c>
      <c r="K1060" s="8" t="s">
        <v>49</v>
      </c>
      <c r="L1060" s="8" t="s">
        <v>365</v>
      </c>
      <c r="M1060" s="8" t="s">
        <v>28</v>
      </c>
      <c r="N1060" s="21">
        <v>6344.0</v>
      </c>
      <c r="O1060" s="21">
        <v>7486.0</v>
      </c>
      <c r="P1060" s="5">
        <v>53.0</v>
      </c>
      <c r="Q1060" s="8">
        <f t="shared" si="35"/>
        <v>3362.32</v>
      </c>
    </row>
    <row r="1061">
      <c r="A1061" s="87">
        <v>45422.0</v>
      </c>
      <c r="B1061" s="8" t="s">
        <v>7866</v>
      </c>
      <c r="C1061" s="8" t="s">
        <v>21</v>
      </c>
      <c r="D1061" s="8" t="s">
        <v>10392</v>
      </c>
      <c r="E1061" s="8" t="s">
        <v>10393</v>
      </c>
      <c r="F1061" s="8"/>
      <c r="G1061" s="8"/>
      <c r="H1061" s="21">
        <v>11900.0</v>
      </c>
      <c r="I1061" s="22">
        <v>45787.0</v>
      </c>
      <c r="J1061" s="8" t="s">
        <v>1419</v>
      </c>
      <c r="K1061" s="8" t="s">
        <v>26</v>
      </c>
      <c r="L1061" s="8" t="s">
        <v>71</v>
      </c>
      <c r="M1061" s="8" t="s">
        <v>28</v>
      </c>
      <c r="N1061" s="21">
        <v>27361.0</v>
      </c>
      <c r="O1061" s="21">
        <v>30655.0</v>
      </c>
      <c r="P1061" s="5">
        <v>45.0</v>
      </c>
      <c r="Q1061" s="8">
        <f t="shared" si="35"/>
        <v>12312.45</v>
      </c>
    </row>
    <row r="1062">
      <c r="A1062" s="87">
        <v>45453.0</v>
      </c>
      <c r="B1062" s="8" t="s">
        <v>10394</v>
      </c>
      <c r="C1062" s="8" t="s">
        <v>21</v>
      </c>
      <c r="D1062" s="8" t="s">
        <v>9202</v>
      </c>
      <c r="E1062" s="8" t="s">
        <v>10395</v>
      </c>
      <c r="F1062" s="8"/>
      <c r="G1062" s="8"/>
      <c r="H1062" s="21">
        <v>12990.0</v>
      </c>
      <c r="I1062" s="22">
        <v>45726.0</v>
      </c>
      <c r="J1062" s="8" t="s">
        <v>78</v>
      </c>
      <c r="K1062" s="8" t="s">
        <v>49</v>
      </c>
      <c r="L1062" s="8" t="s">
        <v>27</v>
      </c>
      <c r="M1062" s="8" t="s">
        <v>28</v>
      </c>
      <c r="N1062" s="21">
        <v>37625.0</v>
      </c>
      <c r="O1062" s="21">
        <v>42279.0</v>
      </c>
      <c r="P1062" s="5">
        <v>25.0</v>
      </c>
      <c r="Q1062" s="8">
        <f t="shared" si="35"/>
        <v>9406.25</v>
      </c>
    </row>
    <row r="1063">
      <c r="A1063" s="87">
        <v>45514.0</v>
      </c>
      <c r="B1063" s="8" t="s">
        <v>10396</v>
      </c>
      <c r="C1063" s="8" t="s">
        <v>75</v>
      </c>
      <c r="D1063" s="8" t="s">
        <v>9268</v>
      </c>
      <c r="E1063" s="8" t="s">
        <v>10397</v>
      </c>
      <c r="F1063" s="8"/>
      <c r="G1063" s="8"/>
      <c r="H1063" s="21">
        <v>990.0</v>
      </c>
      <c r="I1063" s="249">
        <v>46001.0</v>
      </c>
      <c r="J1063" s="8" t="s">
        <v>78</v>
      </c>
      <c r="K1063" s="8" t="s">
        <v>49</v>
      </c>
      <c r="L1063" s="8" t="s">
        <v>1436</v>
      </c>
      <c r="M1063" s="8" t="s">
        <v>28</v>
      </c>
      <c r="N1063" s="21">
        <v>5088.0</v>
      </c>
      <c r="O1063" s="21">
        <v>5734.0</v>
      </c>
      <c r="P1063" s="5">
        <v>55.0</v>
      </c>
      <c r="Q1063" s="8">
        <f t="shared" si="35"/>
        <v>2798.4</v>
      </c>
    </row>
    <row r="1064">
      <c r="A1064" s="87">
        <v>45514.0</v>
      </c>
      <c r="B1064" s="8" t="s">
        <v>10398</v>
      </c>
      <c r="C1064" s="8" t="s">
        <v>1432</v>
      </c>
      <c r="D1064" s="8" t="s">
        <v>2125</v>
      </c>
      <c r="E1064" s="8" t="s">
        <v>10399</v>
      </c>
      <c r="F1064" s="8"/>
      <c r="G1064" s="8"/>
      <c r="H1064" s="21">
        <v>436.0</v>
      </c>
      <c r="I1064" s="22">
        <v>45818.0</v>
      </c>
      <c r="J1064" s="8" t="s">
        <v>1424</v>
      </c>
      <c r="K1064" s="8" t="s">
        <v>49</v>
      </c>
      <c r="L1064" s="8" t="s">
        <v>219</v>
      </c>
      <c r="M1064" s="8" t="s">
        <v>28</v>
      </c>
      <c r="N1064" s="21">
        <v>6375.0</v>
      </c>
      <c r="O1064" s="21">
        <v>7523.0</v>
      </c>
      <c r="P1064" s="5">
        <v>53.0</v>
      </c>
      <c r="Q1064" s="8">
        <f t="shared" si="35"/>
        <v>3378.75</v>
      </c>
    </row>
    <row r="1065">
      <c r="A1065" s="87">
        <v>45514.0</v>
      </c>
      <c r="B1065" s="8" t="s">
        <v>10400</v>
      </c>
      <c r="C1065" s="131" t="s">
        <v>1395</v>
      </c>
      <c r="D1065" s="8" t="s">
        <v>9702</v>
      </c>
      <c r="E1065" s="8" t="s">
        <v>10401</v>
      </c>
      <c r="F1065" s="8"/>
      <c r="G1065" s="8"/>
      <c r="H1065" s="21">
        <v>2750.0</v>
      </c>
      <c r="I1065" s="22">
        <v>45848.0</v>
      </c>
      <c r="J1065" s="8" t="s">
        <v>1424</v>
      </c>
      <c r="K1065" s="8" t="s">
        <v>49</v>
      </c>
      <c r="L1065" s="8" t="s">
        <v>27</v>
      </c>
      <c r="M1065" s="8" t="s">
        <v>28</v>
      </c>
      <c r="N1065" s="21">
        <v>17652.0</v>
      </c>
      <c r="O1065" s="21">
        <v>19866.0</v>
      </c>
      <c r="P1065" s="5">
        <v>52.0</v>
      </c>
      <c r="Q1065" s="8">
        <f t="shared" si="35"/>
        <v>9179.04</v>
      </c>
    </row>
    <row r="1066">
      <c r="A1066" s="87">
        <v>45514.0</v>
      </c>
      <c r="B1066" s="8" t="s">
        <v>3488</v>
      </c>
      <c r="C1066" s="8" t="s">
        <v>21</v>
      </c>
      <c r="D1066" s="8" t="s">
        <v>10402</v>
      </c>
      <c r="E1066" s="8" t="s">
        <v>10403</v>
      </c>
      <c r="F1066" s="8"/>
      <c r="G1066" s="8"/>
      <c r="H1066" s="21">
        <v>35000.0</v>
      </c>
      <c r="I1066" s="22">
        <v>45818.0</v>
      </c>
      <c r="J1066" s="8" t="s">
        <v>1424</v>
      </c>
      <c r="K1066" s="8" t="s">
        <v>49</v>
      </c>
      <c r="L1066" s="8" t="s">
        <v>27</v>
      </c>
      <c r="M1066" s="8" t="s">
        <v>28</v>
      </c>
      <c r="N1066" s="21">
        <v>83548.0</v>
      </c>
      <c r="O1066" s="21">
        <v>95950.0</v>
      </c>
      <c r="P1066" s="5">
        <v>24.0</v>
      </c>
      <c r="Q1066" s="8">
        <f t="shared" si="35"/>
        <v>20051.52</v>
      </c>
    </row>
    <row r="1067">
      <c r="A1067" s="87">
        <v>45514.0</v>
      </c>
      <c r="B1067" s="8" t="s">
        <v>7601</v>
      </c>
      <c r="C1067" s="131" t="s">
        <v>1395</v>
      </c>
      <c r="D1067" s="8" t="s">
        <v>481</v>
      </c>
      <c r="E1067" s="8" t="s">
        <v>10404</v>
      </c>
      <c r="F1067" s="8"/>
      <c r="G1067" s="8"/>
      <c r="H1067" s="21">
        <v>3225.0</v>
      </c>
      <c r="I1067" s="22">
        <v>45848.0</v>
      </c>
      <c r="J1067" s="8" t="s">
        <v>1419</v>
      </c>
      <c r="K1067" s="8" t="s">
        <v>49</v>
      </c>
      <c r="L1067" s="8" t="s">
        <v>71</v>
      </c>
      <c r="M1067" s="8" t="s">
        <v>28</v>
      </c>
      <c r="N1067" s="21">
        <v>17676.0</v>
      </c>
      <c r="O1067" s="21">
        <v>19894.0</v>
      </c>
      <c r="P1067" s="5">
        <v>52.0</v>
      </c>
      <c r="Q1067" s="8">
        <f t="shared" si="35"/>
        <v>9191.52</v>
      </c>
    </row>
    <row r="1068">
      <c r="A1068" s="87">
        <v>45514.0</v>
      </c>
      <c r="B1068" s="8" t="s">
        <v>10405</v>
      </c>
      <c r="C1068" s="131" t="s">
        <v>1395</v>
      </c>
      <c r="D1068" s="8" t="s">
        <v>524</v>
      </c>
      <c r="E1068" s="8" t="s">
        <v>10406</v>
      </c>
      <c r="F1068" s="8"/>
      <c r="G1068" s="8"/>
      <c r="H1068" s="21">
        <v>3490.0</v>
      </c>
      <c r="I1068" s="21" t="s">
        <v>6488</v>
      </c>
      <c r="J1068" s="131" t="s">
        <v>116</v>
      </c>
      <c r="K1068" s="8" t="s">
        <v>49</v>
      </c>
      <c r="L1068" s="8" t="s">
        <v>1616</v>
      </c>
      <c r="M1068" s="8" t="s">
        <v>28</v>
      </c>
      <c r="N1068" s="97">
        <v>20574.0</v>
      </c>
      <c r="O1068" s="97">
        <v>23305.0</v>
      </c>
      <c r="P1068" s="5">
        <v>50.0</v>
      </c>
      <c r="Q1068" s="8">
        <f t="shared" si="35"/>
        <v>10287</v>
      </c>
    </row>
    <row r="1069">
      <c r="A1069" s="87">
        <v>45514.0</v>
      </c>
      <c r="B1069" s="8" t="s">
        <v>10407</v>
      </c>
      <c r="C1069" s="8" t="s">
        <v>75</v>
      </c>
      <c r="D1069" s="8" t="s">
        <v>9268</v>
      </c>
      <c r="E1069" s="8" t="s">
        <v>10408</v>
      </c>
      <c r="F1069" s="8"/>
      <c r="G1069" s="8"/>
      <c r="H1069" s="21">
        <v>990.0</v>
      </c>
      <c r="I1069" s="22">
        <v>45848.0</v>
      </c>
      <c r="J1069" s="8" t="s">
        <v>78</v>
      </c>
      <c r="K1069" s="8" t="s">
        <v>49</v>
      </c>
      <c r="L1069" s="8" t="s">
        <v>27</v>
      </c>
      <c r="M1069" s="8" t="s">
        <v>28</v>
      </c>
      <c r="N1069" s="21">
        <v>4962.0</v>
      </c>
      <c r="O1069" s="21">
        <v>5586.0</v>
      </c>
      <c r="P1069" s="5">
        <v>55.0</v>
      </c>
      <c r="Q1069" s="8">
        <f t="shared" si="35"/>
        <v>2729.1</v>
      </c>
    </row>
    <row r="1070">
      <c r="A1070" s="87">
        <v>45545.0</v>
      </c>
      <c r="B1070" s="8" t="s">
        <v>10409</v>
      </c>
      <c r="C1070" s="8" t="s">
        <v>1432</v>
      </c>
      <c r="D1070" s="8" t="s">
        <v>1439</v>
      </c>
      <c r="E1070" s="8" t="s">
        <v>10410</v>
      </c>
      <c r="F1070" s="8"/>
      <c r="G1070" s="8"/>
      <c r="H1070" s="21">
        <v>236.0</v>
      </c>
      <c r="I1070" s="21" t="s">
        <v>6278</v>
      </c>
      <c r="J1070" s="8" t="s">
        <v>1419</v>
      </c>
      <c r="K1070" s="8" t="s">
        <v>49</v>
      </c>
      <c r="L1070" s="8" t="s">
        <v>1616</v>
      </c>
      <c r="M1070" s="8" t="s">
        <v>28</v>
      </c>
      <c r="N1070" s="21">
        <v>6349.0</v>
      </c>
      <c r="O1070" s="21">
        <v>7491.0</v>
      </c>
      <c r="P1070" s="5">
        <v>52.0</v>
      </c>
      <c r="Q1070" s="8">
        <f t="shared" si="35"/>
        <v>3301.48</v>
      </c>
    </row>
    <row r="1071">
      <c r="A1071" s="87">
        <v>45545.0</v>
      </c>
      <c r="B1071" s="8" t="s">
        <v>10411</v>
      </c>
      <c r="C1071" s="131" t="s">
        <v>1395</v>
      </c>
      <c r="D1071" s="8" t="s">
        <v>10412</v>
      </c>
      <c r="E1071" s="8" t="s">
        <v>10413</v>
      </c>
      <c r="F1071" s="8"/>
      <c r="G1071" s="8"/>
      <c r="H1071" s="21">
        <v>2400.0</v>
      </c>
      <c r="I1071" s="21" t="s">
        <v>6476</v>
      </c>
      <c r="J1071" s="131" t="s">
        <v>9946</v>
      </c>
      <c r="K1071" s="8" t="s">
        <v>49</v>
      </c>
      <c r="L1071" s="8" t="s">
        <v>71</v>
      </c>
      <c r="M1071" s="8" t="s">
        <v>28</v>
      </c>
      <c r="N1071" s="97">
        <v>17087.0</v>
      </c>
      <c r="O1071" s="97">
        <v>19200.0</v>
      </c>
      <c r="P1071" s="5">
        <v>59.0</v>
      </c>
      <c r="Q1071" s="8">
        <f t="shared" si="35"/>
        <v>10081.33</v>
      </c>
    </row>
    <row r="1072">
      <c r="A1072" s="87">
        <v>45545.0</v>
      </c>
      <c r="B1072" s="8" t="s">
        <v>10414</v>
      </c>
      <c r="C1072" s="8" t="s">
        <v>21</v>
      </c>
      <c r="D1072" s="8" t="s">
        <v>10415</v>
      </c>
      <c r="E1072" s="8" t="s">
        <v>10158</v>
      </c>
      <c r="F1072" s="8"/>
      <c r="G1072" s="8"/>
      <c r="H1072" s="21">
        <v>11990.0</v>
      </c>
      <c r="I1072" s="22">
        <v>45848.0</v>
      </c>
      <c r="J1072" s="8" t="s">
        <v>353</v>
      </c>
      <c r="K1072" s="8" t="s">
        <v>49</v>
      </c>
      <c r="L1072" s="8" t="s">
        <v>1451</v>
      </c>
      <c r="M1072" s="8" t="s">
        <v>28</v>
      </c>
      <c r="N1072" s="97">
        <v>45026.0</v>
      </c>
      <c r="O1072" s="97">
        <v>51500.0</v>
      </c>
      <c r="P1072" s="5">
        <v>23.0</v>
      </c>
      <c r="Q1072" s="8">
        <f t="shared" si="35"/>
        <v>10355.98</v>
      </c>
    </row>
    <row r="1073">
      <c r="A1073" s="87">
        <v>45545.0</v>
      </c>
      <c r="B1073" s="8" t="s">
        <v>7893</v>
      </c>
      <c r="C1073" s="8" t="s">
        <v>21</v>
      </c>
      <c r="D1073" s="8" t="s">
        <v>4329</v>
      </c>
      <c r="E1073" s="8" t="s">
        <v>439</v>
      </c>
      <c r="F1073" s="8"/>
      <c r="G1073" s="8"/>
      <c r="H1073" s="96">
        <v>28000.0</v>
      </c>
      <c r="I1073" s="22">
        <v>45848.0</v>
      </c>
      <c r="J1073" s="131" t="s">
        <v>2562</v>
      </c>
      <c r="K1073" s="8" t="s">
        <v>26</v>
      </c>
      <c r="L1073" s="8" t="s">
        <v>71</v>
      </c>
      <c r="M1073" s="8" t="s">
        <v>28</v>
      </c>
      <c r="N1073" s="97">
        <v>44050.0</v>
      </c>
      <c r="O1073" s="97">
        <v>49342.0</v>
      </c>
      <c r="P1073" s="5">
        <v>43.0</v>
      </c>
      <c r="Q1073" s="8">
        <f t="shared" si="35"/>
        <v>18941.5</v>
      </c>
    </row>
    <row r="1074">
      <c r="A1074" s="87">
        <v>45545.0</v>
      </c>
      <c r="B1074" s="8" t="s">
        <v>10416</v>
      </c>
      <c r="C1074" s="131" t="s">
        <v>1395</v>
      </c>
      <c r="D1074" s="8" t="s">
        <v>9702</v>
      </c>
      <c r="E1074" s="8" t="s">
        <v>10417</v>
      </c>
      <c r="F1074" s="8"/>
      <c r="G1074" s="8"/>
      <c r="H1074" s="21">
        <v>2735.0</v>
      </c>
      <c r="I1074" s="21" t="s">
        <v>6476</v>
      </c>
      <c r="J1074" s="8" t="s">
        <v>1424</v>
      </c>
      <c r="K1074" s="8" t="s">
        <v>49</v>
      </c>
      <c r="L1074" s="8" t="s">
        <v>27</v>
      </c>
      <c r="M1074" s="8" t="s">
        <v>28</v>
      </c>
      <c r="N1074" s="21">
        <v>21256.0</v>
      </c>
      <c r="O1074" s="21">
        <v>24120.0</v>
      </c>
      <c r="P1074" s="5">
        <v>52.0</v>
      </c>
      <c r="Q1074" s="8">
        <f t="shared" si="35"/>
        <v>11053.12</v>
      </c>
    </row>
    <row r="1075">
      <c r="A1075" s="87">
        <v>45545.0</v>
      </c>
      <c r="B1075" s="8" t="s">
        <v>7994</v>
      </c>
      <c r="C1075" s="8" t="s">
        <v>1432</v>
      </c>
      <c r="D1075" s="8" t="s">
        <v>2125</v>
      </c>
      <c r="E1075" s="8" t="s">
        <v>7995</v>
      </c>
      <c r="F1075" s="8"/>
      <c r="G1075" s="8"/>
      <c r="H1075" s="21">
        <v>470.0</v>
      </c>
      <c r="I1075" s="21" t="s">
        <v>6278</v>
      </c>
      <c r="J1075" s="8" t="s">
        <v>1424</v>
      </c>
      <c r="K1075" s="8" t="s">
        <v>49</v>
      </c>
      <c r="L1075" s="8" t="s">
        <v>71</v>
      </c>
      <c r="M1075" s="8" t="s">
        <v>28</v>
      </c>
      <c r="N1075" s="21">
        <v>6129.0</v>
      </c>
      <c r="O1075" s="21">
        <v>7233.0</v>
      </c>
      <c r="P1075" s="5">
        <v>53.0</v>
      </c>
      <c r="Q1075" s="8">
        <f t="shared" si="35"/>
        <v>3248.37</v>
      </c>
    </row>
    <row r="1076">
      <c r="A1076" s="87">
        <v>45545.0</v>
      </c>
      <c r="B1076" s="8" t="s">
        <v>10418</v>
      </c>
      <c r="C1076" s="8" t="s">
        <v>1432</v>
      </c>
      <c r="D1076" s="8" t="s">
        <v>2125</v>
      </c>
      <c r="E1076" s="8" t="s">
        <v>10419</v>
      </c>
      <c r="F1076" s="8"/>
      <c r="G1076" s="8"/>
      <c r="H1076" s="21">
        <v>436.0</v>
      </c>
      <c r="I1076" s="249">
        <v>46001.0</v>
      </c>
      <c r="J1076" s="8" t="s">
        <v>1424</v>
      </c>
      <c r="K1076" s="8" t="s">
        <v>49</v>
      </c>
      <c r="L1076" s="8" t="s">
        <v>1616</v>
      </c>
      <c r="M1076" s="8" t="s">
        <v>28</v>
      </c>
      <c r="N1076" s="21">
        <v>6375.0</v>
      </c>
      <c r="O1076" s="21">
        <v>7523.0</v>
      </c>
      <c r="P1076" s="5">
        <v>53.0</v>
      </c>
      <c r="Q1076" s="8">
        <f t="shared" si="35"/>
        <v>3378.75</v>
      </c>
    </row>
    <row r="1077">
      <c r="A1077" s="87">
        <v>45545.0</v>
      </c>
      <c r="B1077" s="8" t="s">
        <v>7923</v>
      </c>
      <c r="C1077" s="131" t="s">
        <v>1395</v>
      </c>
      <c r="D1077" s="8" t="s">
        <v>9702</v>
      </c>
      <c r="E1077" s="8" t="s">
        <v>7924</v>
      </c>
      <c r="F1077" s="8"/>
      <c r="G1077" s="8"/>
      <c r="H1077" s="21">
        <v>2670.0</v>
      </c>
      <c r="I1077" s="249">
        <v>46001.0</v>
      </c>
      <c r="J1077" s="8" t="s">
        <v>1424</v>
      </c>
      <c r="K1077" s="8" t="s">
        <v>49</v>
      </c>
      <c r="L1077" s="8" t="s">
        <v>71</v>
      </c>
      <c r="M1077" s="8" t="s">
        <v>28</v>
      </c>
      <c r="N1077" s="21">
        <v>17003.0</v>
      </c>
      <c r="O1077" s="21">
        <v>19101.0</v>
      </c>
      <c r="P1077" s="5">
        <v>52.0</v>
      </c>
      <c r="Q1077" s="8">
        <f t="shared" si="35"/>
        <v>8841.56</v>
      </c>
    </row>
    <row r="1078">
      <c r="A1078" s="87">
        <v>45545.0</v>
      </c>
      <c r="B1078" s="8" t="s">
        <v>10420</v>
      </c>
      <c r="C1078" s="131" t="s">
        <v>1395</v>
      </c>
      <c r="D1078" s="8" t="s">
        <v>9702</v>
      </c>
      <c r="E1078" s="8" t="s">
        <v>10421</v>
      </c>
      <c r="F1078" s="8"/>
      <c r="G1078" s="8"/>
      <c r="H1078" s="21">
        <v>2735.0</v>
      </c>
      <c r="I1078" s="22">
        <v>45910.0</v>
      </c>
      <c r="J1078" s="8" t="s">
        <v>1424</v>
      </c>
      <c r="K1078" s="8" t="s">
        <v>49</v>
      </c>
      <c r="L1078" s="8" t="s">
        <v>365</v>
      </c>
      <c r="M1078" s="8" t="s">
        <v>28</v>
      </c>
      <c r="N1078" s="21">
        <v>21029.0</v>
      </c>
      <c r="O1078" s="21">
        <v>23851.0</v>
      </c>
      <c r="P1078" s="5">
        <v>52.0</v>
      </c>
      <c r="Q1078" s="8">
        <f t="shared" si="35"/>
        <v>10935.08</v>
      </c>
    </row>
    <row r="1079">
      <c r="A1079" s="87">
        <v>45545.0</v>
      </c>
      <c r="B1079" s="8" t="s">
        <v>5137</v>
      </c>
      <c r="C1079" s="131" t="s">
        <v>1395</v>
      </c>
      <c r="D1079" s="8" t="s">
        <v>4629</v>
      </c>
      <c r="E1079" s="8" t="s">
        <v>5138</v>
      </c>
      <c r="F1079" s="8"/>
      <c r="G1079" s="8"/>
      <c r="H1079" s="21">
        <v>1426.0</v>
      </c>
      <c r="I1079" s="22">
        <v>45879.0</v>
      </c>
      <c r="J1079" s="131" t="s">
        <v>9946</v>
      </c>
      <c r="K1079" s="8" t="s">
        <v>49</v>
      </c>
      <c r="L1079" s="8" t="s">
        <v>27</v>
      </c>
      <c r="M1079" s="8" t="s">
        <v>28</v>
      </c>
      <c r="N1079" s="97">
        <v>17338.0</v>
      </c>
      <c r="O1079" s="97">
        <v>19496.0</v>
      </c>
      <c r="P1079" s="5">
        <v>59.0</v>
      </c>
      <c r="Q1079" s="8">
        <f t="shared" si="35"/>
        <v>10229.42</v>
      </c>
    </row>
    <row r="1080">
      <c r="A1080" s="87">
        <v>45545.0</v>
      </c>
      <c r="B1080" s="8" t="s">
        <v>10422</v>
      </c>
      <c r="C1080" s="8" t="s">
        <v>1432</v>
      </c>
      <c r="D1080" s="8" t="s">
        <v>1439</v>
      </c>
      <c r="E1080" s="8" t="s">
        <v>10423</v>
      </c>
      <c r="F1080" s="8"/>
      <c r="G1080" s="8"/>
      <c r="H1080" s="21">
        <v>236.0</v>
      </c>
      <c r="I1080" s="22">
        <v>45910.0</v>
      </c>
      <c r="J1080" s="8" t="s">
        <v>1419</v>
      </c>
      <c r="K1080" s="8" t="s">
        <v>49</v>
      </c>
      <c r="L1080" s="8" t="s">
        <v>185</v>
      </c>
      <c r="M1080" s="8" t="s">
        <v>28</v>
      </c>
      <c r="N1080" s="21">
        <v>6339.0</v>
      </c>
      <c r="O1080" s="21">
        <v>7481.0</v>
      </c>
      <c r="P1080" s="5">
        <v>52.0</v>
      </c>
      <c r="Q1080" s="8">
        <f t="shared" si="35"/>
        <v>3296.28</v>
      </c>
    </row>
    <row r="1081">
      <c r="A1081" s="608">
        <v>45575.0</v>
      </c>
      <c r="B1081" s="8" t="s">
        <v>10424</v>
      </c>
      <c r="C1081" s="8" t="s">
        <v>1432</v>
      </c>
      <c r="D1081" s="8" t="s">
        <v>2125</v>
      </c>
      <c r="E1081" s="8" t="s">
        <v>10425</v>
      </c>
      <c r="F1081" s="8"/>
      <c r="G1081" s="8"/>
      <c r="H1081" s="21">
        <v>436.0</v>
      </c>
      <c r="I1081" s="249">
        <v>46001.0</v>
      </c>
      <c r="J1081" s="8" t="s">
        <v>1424</v>
      </c>
      <c r="K1081" s="8" t="s">
        <v>49</v>
      </c>
      <c r="L1081" s="8" t="s">
        <v>219</v>
      </c>
      <c r="M1081" s="8" t="s">
        <v>28</v>
      </c>
      <c r="N1081" s="21">
        <v>6344.0</v>
      </c>
      <c r="O1081" s="21">
        <v>7486.0</v>
      </c>
      <c r="P1081" s="5">
        <v>53.0</v>
      </c>
      <c r="Q1081" s="8">
        <f t="shared" si="35"/>
        <v>3362.32</v>
      </c>
    </row>
    <row r="1082">
      <c r="A1082" s="608">
        <v>45575.0</v>
      </c>
      <c r="B1082" s="8" t="s">
        <v>10426</v>
      </c>
      <c r="C1082" s="8" t="s">
        <v>1432</v>
      </c>
      <c r="D1082" s="8" t="s">
        <v>10427</v>
      </c>
      <c r="E1082" s="8" t="s">
        <v>10428</v>
      </c>
      <c r="F1082" s="8"/>
      <c r="G1082" s="8"/>
      <c r="H1082" s="8"/>
      <c r="I1082" s="8" t="s">
        <v>6278</v>
      </c>
      <c r="J1082" s="8" t="s">
        <v>1424</v>
      </c>
      <c r="K1082" s="8" t="s">
        <v>49</v>
      </c>
      <c r="L1082" s="8" t="s">
        <v>1436</v>
      </c>
      <c r="M1082" s="8" t="s">
        <v>28</v>
      </c>
      <c r="N1082" s="21">
        <v>4976.0</v>
      </c>
      <c r="O1082" s="21">
        <v>5872.0</v>
      </c>
      <c r="P1082" s="5">
        <v>53.0</v>
      </c>
      <c r="Q1082" s="8">
        <f t="shared" si="35"/>
        <v>2637.28</v>
      </c>
    </row>
    <row r="1083">
      <c r="A1083" s="608">
        <v>45575.0</v>
      </c>
      <c r="B1083" s="8" t="s">
        <v>10429</v>
      </c>
      <c r="C1083" s="131" t="s">
        <v>1395</v>
      </c>
      <c r="D1083" s="8" t="s">
        <v>10430</v>
      </c>
      <c r="E1083" s="8" t="s">
        <v>10431</v>
      </c>
      <c r="F1083" s="8"/>
      <c r="G1083" s="8"/>
      <c r="H1083" s="21">
        <v>2850.0</v>
      </c>
      <c r="I1083" s="22">
        <v>45910.0</v>
      </c>
      <c r="J1083" s="8" t="s">
        <v>1419</v>
      </c>
      <c r="K1083" s="8" t="s">
        <v>49</v>
      </c>
      <c r="L1083" s="8" t="s">
        <v>27</v>
      </c>
      <c r="M1083" s="8" t="s">
        <v>28</v>
      </c>
      <c r="N1083" s="21">
        <v>19179.0</v>
      </c>
      <c r="O1083" s="21">
        <v>21669.0</v>
      </c>
      <c r="P1083" s="5">
        <v>52.0</v>
      </c>
      <c r="Q1083" s="8">
        <f t="shared" si="35"/>
        <v>9973.08</v>
      </c>
    </row>
    <row r="1084">
      <c r="A1084" s="608">
        <v>45575.0</v>
      </c>
      <c r="B1084" s="8" t="s">
        <v>10432</v>
      </c>
      <c r="C1084" s="8" t="s">
        <v>1432</v>
      </c>
      <c r="D1084" s="8" t="s">
        <v>2125</v>
      </c>
      <c r="E1084" s="8" t="s">
        <v>10433</v>
      </c>
      <c r="F1084" s="8"/>
      <c r="G1084" s="8"/>
      <c r="H1084" s="21">
        <v>436.0</v>
      </c>
      <c r="I1084" s="8" t="s">
        <v>6488</v>
      </c>
      <c r="J1084" s="8" t="s">
        <v>1424</v>
      </c>
      <c r="K1084" s="8" t="s">
        <v>49</v>
      </c>
      <c r="L1084" s="8" t="s">
        <v>340</v>
      </c>
      <c r="M1084" s="8" t="s">
        <v>28</v>
      </c>
      <c r="N1084" s="21">
        <v>6375.0</v>
      </c>
      <c r="O1084" s="21">
        <v>7523.0</v>
      </c>
      <c r="P1084" s="5">
        <v>53.0</v>
      </c>
      <c r="Q1084" s="8">
        <f t="shared" si="35"/>
        <v>3378.75</v>
      </c>
    </row>
    <row r="1085">
      <c r="A1085" s="608">
        <v>45575.0</v>
      </c>
      <c r="B1085" s="8" t="s">
        <v>10434</v>
      </c>
      <c r="C1085" s="8" t="s">
        <v>533</v>
      </c>
      <c r="D1085" s="8" t="s">
        <v>2827</v>
      </c>
      <c r="E1085" s="8" t="s">
        <v>10435</v>
      </c>
      <c r="F1085" s="8"/>
      <c r="G1085" s="8"/>
      <c r="H1085" s="21">
        <v>4765.0</v>
      </c>
      <c r="I1085" s="22">
        <v>45910.0</v>
      </c>
      <c r="J1085" s="8" t="s">
        <v>25</v>
      </c>
      <c r="K1085" s="8" t="s">
        <v>26</v>
      </c>
      <c r="L1085" s="8" t="s">
        <v>219</v>
      </c>
      <c r="M1085" s="8" t="s">
        <v>28</v>
      </c>
      <c r="N1085" s="97">
        <v>7317.0</v>
      </c>
      <c r="O1085" s="97">
        <v>8634.0</v>
      </c>
      <c r="P1085" s="5">
        <v>31.5</v>
      </c>
      <c r="Q1085" s="8">
        <f t="shared" si="35"/>
        <v>2304.855</v>
      </c>
    </row>
    <row r="1086">
      <c r="A1086" s="608">
        <v>45575.0</v>
      </c>
      <c r="B1086" s="8" t="s">
        <v>10436</v>
      </c>
      <c r="C1086" s="8" t="s">
        <v>533</v>
      </c>
      <c r="D1086" s="8" t="s">
        <v>2827</v>
      </c>
      <c r="E1086" s="8" t="s">
        <v>10437</v>
      </c>
      <c r="F1086" s="8"/>
      <c r="G1086" s="8"/>
      <c r="H1086" s="21">
        <v>4765.0</v>
      </c>
      <c r="I1086" s="22">
        <v>45910.0</v>
      </c>
      <c r="J1086" s="8" t="s">
        <v>25</v>
      </c>
      <c r="K1086" s="8" t="s">
        <v>26</v>
      </c>
      <c r="L1086" s="8" t="s">
        <v>1451</v>
      </c>
      <c r="M1086" s="8" t="s">
        <v>28</v>
      </c>
      <c r="N1086" s="97">
        <v>7317.0</v>
      </c>
      <c r="O1086" s="97">
        <v>8634.0</v>
      </c>
      <c r="P1086" s="5">
        <v>31.5</v>
      </c>
      <c r="Q1086" s="8">
        <f t="shared" si="35"/>
        <v>2304.855</v>
      </c>
    </row>
    <row r="1087">
      <c r="A1087" s="608">
        <v>45575.0</v>
      </c>
      <c r="B1087" s="8" t="s">
        <v>10438</v>
      </c>
      <c r="C1087" s="131" t="s">
        <v>1395</v>
      </c>
      <c r="D1087" s="8" t="s">
        <v>178</v>
      </c>
      <c r="E1087" s="8" t="s">
        <v>10439</v>
      </c>
      <c r="F1087" s="8"/>
      <c r="G1087" s="8"/>
      <c r="H1087" s="21">
        <v>3460.0</v>
      </c>
      <c r="I1087" s="249">
        <v>45940.0</v>
      </c>
      <c r="J1087" s="131" t="s">
        <v>116</v>
      </c>
      <c r="K1087" s="8" t="s">
        <v>49</v>
      </c>
      <c r="L1087" s="8" t="s">
        <v>1436</v>
      </c>
      <c r="M1087" s="8" t="s">
        <v>28</v>
      </c>
      <c r="N1087" s="97">
        <v>22025.0</v>
      </c>
      <c r="O1087" s="97">
        <v>25021.0</v>
      </c>
      <c r="P1087" s="5">
        <v>50.0</v>
      </c>
      <c r="Q1087" s="8">
        <f t="shared" si="35"/>
        <v>11012.5</v>
      </c>
    </row>
    <row r="1088">
      <c r="A1088" s="608">
        <v>45575.0</v>
      </c>
      <c r="B1088" s="8" t="s">
        <v>10440</v>
      </c>
      <c r="C1088" s="8" t="s">
        <v>21</v>
      </c>
      <c r="D1088" s="8" t="s">
        <v>10215</v>
      </c>
      <c r="E1088" s="8" t="s">
        <v>10441</v>
      </c>
      <c r="F1088" s="8"/>
      <c r="G1088" s="8"/>
      <c r="H1088" s="21">
        <v>18500.0</v>
      </c>
      <c r="I1088" s="22">
        <v>45910.0</v>
      </c>
      <c r="J1088" s="131" t="s">
        <v>9946</v>
      </c>
      <c r="K1088" s="8" t="s">
        <v>49</v>
      </c>
      <c r="L1088" s="8" t="s">
        <v>27</v>
      </c>
      <c r="M1088" s="8" t="s">
        <v>28</v>
      </c>
      <c r="N1088" s="97">
        <v>38872.0</v>
      </c>
      <c r="O1088" s="97">
        <v>43750.0</v>
      </c>
      <c r="P1088" s="5">
        <v>26.0</v>
      </c>
      <c r="Q1088" s="8">
        <f t="shared" si="35"/>
        <v>10106.72</v>
      </c>
    </row>
    <row r="1089">
      <c r="A1089" s="608">
        <v>45575.0</v>
      </c>
      <c r="B1089" s="8" t="s">
        <v>7921</v>
      </c>
      <c r="C1089" s="131" t="s">
        <v>1395</v>
      </c>
      <c r="D1089" s="8" t="s">
        <v>524</v>
      </c>
      <c r="E1089" s="8" t="s">
        <v>7922</v>
      </c>
      <c r="F1089" s="8"/>
      <c r="G1089" s="8"/>
      <c r="H1089" s="21">
        <v>3490.0</v>
      </c>
      <c r="I1089" s="249">
        <v>45971.0</v>
      </c>
      <c r="J1089" s="131" t="s">
        <v>116</v>
      </c>
      <c r="K1089" s="8" t="s">
        <v>49</v>
      </c>
      <c r="L1089" s="8" t="s">
        <v>71</v>
      </c>
      <c r="M1089" s="8" t="s">
        <v>28</v>
      </c>
      <c r="N1089" s="97">
        <v>21323.0</v>
      </c>
      <c r="O1089" s="97">
        <v>24193.0</v>
      </c>
      <c r="P1089" s="5">
        <v>50.0</v>
      </c>
      <c r="Q1089" s="8">
        <f t="shared" si="35"/>
        <v>10661.5</v>
      </c>
    </row>
    <row r="1090">
      <c r="A1090" s="608">
        <v>45575.0</v>
      </c>
      <c r="B1090" s="8" t="s">
        <v>7884</v>
      </c>
      <c r="C1090" s="8" t="s">
        <v>1432</v>
      </c>
      <c r="D1090" s="8" t="s">
        <v>2125</v>
      </c>
      <c r="E1090" s="8" t="s">
        <v>7886</v>
      </c>
      <c r="F1090" s="8"/>
      <c r="G1090" s="8"/>
      <c r="H1090" s="21">
        <v>470.0</v>
      </c>
      <c r="I1090" s="249">
        <v>45971.0</v>
      </c>
      <c r="J1090" s="8" t="s">
        <v>1424</v>
      </c>
      <c r="K1090" s="8" t="s">
        <v>49</v>
      </c>
      <c r="L1090" s="8" t="s">
        <v>71</v>
      </c>
      <c r="M1090" s="8" t="s">
        <v>28</v>
      </c>
      <c r="N1090" s="21">
        <v>6183.0</v>
      </c>
      <c r="O1090" s="21">
        <v>7295.0</v>
      </c>
      <c r="P1090" s="5">
        <v>53.0</v>
      </c>
      <c r="Q1090" s="8">
        <f t="shared" si="35"/>
        <v>3276.99</v>
      </c>
    </row>
    <row r="1091">
      <c r="A1091" s="608">
        <v>45575.0</v>
      </c>
      <c r="B1091" s="8" t="s">
        <v>10442</v>
      </c>
      <c r="C1091" s="8" t="s">
        <v>1432</v>
      </c>
      <c r="D1091" s="8" t="s">
        <v>2125</v>
      </c>
      <c r="E1091" s="8" t="s">
        <v>10443</v>
      </c>
      <c r="F1091" s="8"/>
      <c r="G1091" s="8"/>
      <c r="H1091" s="21">
        <v>436.0</v>
      </c>
      <c r="I1091" s="249">
        <v>45971.0</v>
      </c>
      <c r="J1091" s="8" t="s">
        <v>1424</v>
      </c>
      <c r="K1091" s="8" t="s">
        <v>49</v>
      </c>
      <c r="L1091" s="8" t="s">
        <v>365</v>
      </c>
      <c r="M1091" s="8" t="s">
        <v>28</v>
      </c>
      <c r="N1091" s="21">
        <v>6497.0</v>
      </c>
      <c r="O1091" s="21">
        <v>7667.0</v>
      </c>
      <c r="P1091" s="5">
        <v>53.0</v>
      </c>
      <c r="Q1091" s="8">
        <f t="shared" si="35"/>
        <v>3443.41</v>
      </c>
    </row>
    <row r="1092">
      <c r="A1092" s="608">
        <v>45575.0</v>
      </c>
      <c r="B1092" s="8" t="s">
        <v>10444</v>
      </c>
      <c r="C1092" s="8" t="s">
        <v>1432</v>
      </c>
      <c r="D1092" s="8" t="s">
        <v>9895</v>
      </c>
      <c r="E1092" s="8" t="s">
        <v>10445</v>
      </c>
      <c r="F1092" s="8"/>
      <c r="G1092" s="8"/>
      <c r="H1092" s="21">
        <v>199.0</v>
      </c>
      <c r="I1092" s="22">
        <v>45910.0</v>
      </c>
      <c r="J1092" s="8" t="s">
        <v>1424</v>
      </c>
      <c r="K1092" s="8" t="s">
        <v>49</v>
      </c>
      <c r="L1092" s="8" t="s">
        <v>71</v>
      </c>
      <c r="M1092" s="8" t="s">
        <v>28</v>
      </c>
      <c r="N1092" s="21">
        <v>6206.0</v>
      </c>
      <c r="O1092" s="21">
        <v>7324.0</v>
      </c>
      <c r="P1092" s="5">
        <v>53.0</v>
      </c>
      <c r="Q1092" s="8">
        <f t="shared" si="35"/>
        <v>3289.18</v>
      </c>
    </row>
    <row r="1093">
      <c r="A1093" s="608">
        <v>45575.0</v>
      </c>
      <c r="B1093" s="8" t="s">
        <v>10446</v>
      </c>
      <c r="C1093" s="8" t="s">
        <v>1432</v>
      </c>
      <c r="D1093" s="8" t="s">
        <v>2125</v>
      </c>
      <c r="E1093" s="8" t="s">
        <v>10447</v>
      </c>
      <c r="F1093" s="8"/>
      <c r="G1093" s="8"/>
      <c r="H1093" s="21">
        <v>436.0</v>
      </c>
      <c r="I1093" s="8" t="s">
        <v>6476</v>
      </c>
      <c r="J1093" s="8" t="s">
        <v>1424</v>
      </c>
      <c r="K1093" s="8" t="s">
        <v>49</v>
      </c>
      <c r="L1093" s="8" t="s">
        <v>27</v>
      </c>
      <c r="M1093" s="8" t="s">
        <v>28</v>
      </c>
      <c r="N1093" s="21">
        <v>6375.0</v>
      </c>
      <c r="O1093" s="21">
        <v>7523.0</v>
      </c>
      <c r="P1093" s="5">
        <v>53.0</v>
      </c>
      <c r="Q1093" s="8">
        <f t="shared" si="35"/>
        <v>3378.75</v>
      </c>
    </row>
    <row r="1094">
      <c r="A1094" s="608">
        <v>45575.0</v>
      </c>
      <c r="B1094" s="8" t="s">
        <v>10448</v>
      </c>
      <c r="C1094" s="8" t="s">
        <v>21</v>
      </c>
      <c r="D1094" s="8" t="s">
        <v>10449</v>
      </c>
      <c r="E1094" s="8" t="s">
        <v>10450</v>
      </c>
      <c r="F1094" s="131"/>
      <c r="G1094" s="131"/>
      <c r="H1094" s="21">
        <v>11950.0</v>
      </c>
      <c r="I1094" s="22">
        <v>45910.0</v>
      </c>
      <c r="J1094" s="8" t="s">
        <v>1419</v>
      </c>
      <c r="K1094" s="131" t="s">
        <v>49</v>
      </c>
      <c r="L1094" s="131" t="s">
        <v>27</v>
      </c>
      <c r="M1094" s="131" t="s">
        <v>28</v>
      </c>
      <c r="N1094" s="97">
        <v>30194.0</v>
      </c>
      <c r="O1094" s="97">
        <v>33998.0</v>
      </c>
      <c r="P1094" s="609">
        <v>30.0</v>
      </c>
      <c r="Q1094" s="8">
        <f t="shared" si="35"/>
        <v>9058.2</v>
      </c>
      <c r="R1094" s="77"/>
      <c r="S1094" s="77"/>
      <c r="T1094" s="77"/>
      <c r="U1094" s="77"/>
      <c r="V1094" s="77"/>
      <c r="W1094" s="77"/>
      <c r="X1094" s="77"/>
      <c r="Y1094" s="77"/>
      <c r="Z1094" s="77"/>
      <c r="AA1094" s="77"/>
      <c r="AB1094" s="77"/>
      <c r="AC1094" s="77"/>
      <c r="AD1094" s="77"/>
      <c r="AE1094" s="77"/>
      <c r="AF1094" s="77"/>
      <c r="AG1094" s="77"/>
    </row>
    <row r="1095">
      <c r="A1095" s="608">
        <v>45575.0</v>
      </c>
      <c r="B1095" s="8" t="s">
        <v>7930</v>
      </c>
      <c r="C1095" s="8" t="s">
        <v>1432</v>
      </c>
      <c r="D1095" s="8" t="s">
        <v>2125</v>
      </c>
      <c r="E1095" s="8" t="s">
        <v>10451</v>
      </c>
      <c r="F1095" s="8"/>
      <c r="G1095" s="8"/>
      <c r="H1095" s="21">
        <v>470.0</v>
      </c>
      <c r="I1095" s="249">
        <v>45940.0</v>
      </c>
      <c r="J1095" s="8" t="s">
        <v>1424</v>
      </c>
      <c r="K1095" s="8" t="s">
        <v>49</v>
      </c>
      <c r="L1095" s="8" t="s">
        <v>71</v>
      </c>
      <c r="M1095" s="8" t="s">
        <v>28</v>
      </c>
      <c r="N1095" s="97">
        <v>6178.0</v>
      </c>
      <c r="O1095" s="97">
        <v>7290.0</v>
      </c>
      <c r="P1095" s="609">
        <v>53.0</v>
      </c>
      <c r="Q1095" s="8">
        <f t="shared" si="35"/>
        <v>3274.34</v>
      </c>
      <c r="R1095" s="77"/>
      <c r="S1095" s="77"/>
      <c r="T1095" s="77"/>
      <c r="U1095" s="77"/>
      <c r="V1095" s="77"/>
      <c r="W1095" s="77"/>
      <c r="X1095" s="77"/>
      <c r="Y1095" s="77"/>
      <c r="Z1095" s="77"/>
      <c r="AA1095" s="77"/>
      <c r="AB1095" s="77"/>
      <c r="AC1095" s="77"/>
      <c r="AD1095" s="77"/>
      <c r="AE1095" s="77"/>
      <c r="AF1095" s="77"/>
      <c r="AG1095" s="77"/>
    </row>
    <row r="1096">
      <c r="A1096" s="608">
        <v>45575.0</v>
      </c>
      <c r="B1096" s="8" t="s">
        <v>7802</v>
      </c>
      <c r="C1096" s="131" t="s">
        <v>1395</v>
      </c>
      <c r="D1096" s="8" t="s">
        <v>9702</v>
      </c>
      <c r="E1096" s="8" t="s">
        <v>10452</v>
      </c>
      <c r="F1096" s="8"/>
      <c r="G1096" s="8"/>
      <c r="H1096" s="21">
        <v>2670.0</v>
      </c>
      <c r="I1096" s="22" t="s">
        <v>6462</v>
      </c>
      <c r="J1096" s="8" t="s">
        <v>1424</v>
      </c>
      <c r="K1096" s="8" t="s">
        <v>49</v>
      </c>
      <c r="L1096" s="8" t="s">
        <v>71</v>
      </c>
      <c r="M1096" s="8" t="s">
        <v>28</v>
      </c>
      <c r="N1096" s="97">
        <v>17380.0</v>
      </c>
      <c r="O1096" s="97">
        <v>19546.0</v>
      </c>
      <c r="P1096" s="609">
        <v>52.0</v>
      </c>
      <c r="Q1096" s="8">
        <f t="shared" si="35"/>
        <v>9037.6</v>
      </c>
      <c r="R1096" s="77"/>
      <c r="S1096" s="77"/>
      <c r="T1096" s="77"/>
      <c r="U1096" s="77"/>
      <c r="V1096" s="77"/>
      <c r="W1096" s="77"/>
      <c r="X1096" s="77"/>
      <c r="Y1096" s="77"/>
      <c r="Z1096" s="77"/>
      <c r="AA1096" s="77"/>
      <c r="AB1096" s="77"/>
      <c r="AC1096" s="77"/>
      <c r="AD1096" s="77"/>
      <c r="AE1096" s="77"/>
      <c r="AF1096" s="77"/>
      <c r="AG1096" s="77"/>
    </row>
    <row r="1097">
      <c r="A1097" s="608">
        <v>45575.0</v>
      </c>
      <c r="B1097" s="8" t="s">
        <v>7932</v>
      </c>
      <c r="C1097" s="8" t="s">
        <v>1432</v>
      </c>
      <c r="D1097" s="8" t="s">
        <v>2125</v>
      </c>
      <c r="E1097" s="8" t="s">
        <v>7933</v>
      </c>
      <c r="F1097" s="8"/>
      <c r="G1097" s="8"/>
      <c r="H1097" s="21">
        <v>470.0</v>
      </c>
      <c r="I1097" s="249">
        <v>45971.0</v>
      </c>
      <c r="J1097" s="8" t="s">
        <v>1424</v>
      </c>
      <c r="K1097" s="8" t="s">
        <v>49</v>
      </c>
      <c r="L1097" s="8" t="s">
        <v>71</v>
      </c>
      <c r="M1097" s="8" t="s">
        <v>28</v>
      </c>
      <c r="N1097" s="97">
        <v>6229.0</v>
      </c>
      <c r="O1097" s="97">
        <v>7351.0</v>
      </c>
      <c r="P1097" s="609">
        <v>53.0</v>
      </c>
      <c r="Q1097" s="8">
        <f t="shared" si="35"/>
        <v>3301.37</v>
      </c>
      <c r="R1097" s="77"/>
      <c r="S1097" s="77"/>
      <c r="T1097" s="77"/>
      <c r="U1097" s="77"/>
      <c r="V1097" s="77"/>
      <c r="W1097" s="77"/>
      <c r="X1097" s="77"/>
      <c r="Y1097" s="77"/>
      <c r="Z1097" s="77"/>
      <c r="AA1097" s="77"/>
      <c r="AB1097" s="77"/>
      <c r="AC1097" s="77"/>
      <c r="AD1097" s="77"/>
      <c r="AE1097" s="77"/>
      <c r="AF1097" s="77"/>
      <c r="AG1097" s="77"/>
    </row>
    <row r="1098">
      <c r="A1098" s="608">
        <v>45606.0</v>
      </c>
      <c r="B1098" s="8" t="s">
        <v>10453</v>
      </c>
      <c r="C1098" s="131" t="s">
        <v>1395</v>
      </c>
      <c r="D1098" s="8" t="s">
        <v>4629</v>
      </c>
      <c r="E1098" s="8" t="s">
        <v>10454</v>
      </c>
      <c r="F1098" s="8"/>
      <c r="G1098" s="8"/>
      <c r="H1098" s="21">
        <v>1426.0</v>
      </c>
      <c r="I1098" s="249">
        <v>45971.0</v>
      </c>
      <c r="J1098" s="131" t="s">
        <v>9946</v>
      </c>
      <c r="K1098" s="8" t="s">
        <v>49</v>
      </c>
      <c r="L1098" s="8" t="s">
        <v>71</v>
      </c>
      <c r="M1098" s="8" t="s">
        <v>28</v>
      </c>
      <c r="N1098" s="97">
        <v>16890.0</v>
      </c>
      <c r="O1098" s="97">
        <v>18967.0</v>
      </c>
      <c r="P1098" s="609">
        <v>59.0</v>
      </c>
      <c r="Q1098" s="8">
        <f t="shared" si="35"/>
        <v>9965.1</v>
      </c>
      <c r="R1098" s="77"/>
      <c r="S1098" s="77"/>
      <c r="T1098" s="77"/>
      <c r="U1098" s="77"/>
      <c r="V1098" s="77"/>
      <c r="W1098" s="77"/>
      <c r="X1098" s="77"/>
      <c r="Y1098" s="77"/>
      <c r="Z1098" s="77"/>
      <c r="AA1098" s="77"/>
      <c r="AB1098" s="77"/>
      <c r="AC1098" s="77"/>
      <c r="AD1098" s="77"/>
      <c r="AE1098" s="77"/>
      <c r="AF1098" s="77"/>
      <c r="AG1098" s="77"/>
    </row>
    <row r="1099">
      <c r="A1099" s="608">
        <v>45606.0</v>
      </c>
      <c r="B1099" s="8" t="s">
        <v>10455</v>
      </c>
      <c r="C1099" s="131" t="s">
        <v>1395</v>
      </c>
      <c r="D1099" s="8" t="s">
        <v>524</v>
      </c>
      <c r="E1099" s="8" t="s">
        <v>10456</v>
      </c>
      <c r="F1099" s="8"/>
      <c r="G1099" s="8"/>
      <c r="H1099" s="21">
        <v>3490.0</v>
      </c>
      <c r="I1099" s="22" t="s">
        <v>6488</v>
      </c>
      <c r="J1099" s="131" t="s">
        <v>116</v>
      </c>
      <c r="K1099" s="8" t="s">
        <v>49</v>
      </c>
      <c r="L1099" s="8" t="s">
        <v>27</v>
      </c>
      <c r="M1099" s="8" t="s">
        <v>28</v>
      </c>
      <c r="N1099" s="97">
        <v>21442.0</v>
      </c>
      <c r="O1099" s="97">
        <v>24334.0</v>
      </c>
      <c r="P1099" s="609">
        <v>50.0</v>
      </c>
      <c r="Q1099" s="8">
        <f t="shared" si="35"/>
        <v>10721</v>
      </c>
      <c r="R1099" s="77"/>
      <c r="S1099" s="77"/>
      <c r="T1099" s="77"/>
      <c r="U1099" s="77"/>
      <c r="V1099" s="77"/>
      <c r="W1099" s="77"/>
      <c r="X1099" s="77"/>
      <c r="Y1099" s="77"/>
      <c r="Z1099" s="77"/>
      <c r="AA1099" s="77"/>
      <c r="AB1099" s="77"/>
      <c r="AC1099" s="77"/>
      <c r="AD1099" s="77"/>
      <c r="AE1099" s="77"/>
      <c r="AF1099" s="77"/>
      <c r="AG1099" s="77"/>
    </row>
    <row r="1100">
      <c r="A1100" s="608">
        <v>45606.0</v>
      </c>
      <c r="B1100" s="8" t="s">
        <v>10457</v>
      </c>
      <c r="C1100" s="8" t="s">
        <v>21</v>
      </c>
      <c r="D1100" s="8" t="s">
        <v>1549</v>
      </c>
      <c r="E1100" s="8" t="s">
        <v>10458</v>
      </c>
      <c r="F1100" s="8"/>
      <c r="G1100" s="8"/>
      <c r="H1100" s="21">
        <v>12990.0</v>
      </c>
      <c r="I1100" s="249">
        <v>45940.0</v>
      </c>
      <c r="J1100" s="131" t="s">
        <v>9946</v>
      </c>
      <c r="K1100" s="8" t="s">
        <v>49</v>
      </c>
      <c r="L1100" s="8" t="s">
        <v>27</v>
      </c>
      <c r="M1100" s="8" t="s">
        <v>28</v>
      </c>
      <c r="N1100" s="97">
        <v>37903.0</v>
      </c>
      <c r="O1100" s="97">
        <v>42607.0</v>
      </c>
      <c r="P1100" s="609">
        <v>26.0</v>
      </c>
      <c r="Q1100" s="8">
        <f t="shared" si="35"/>
        <v>9854.78</v>
      </c>
      <c r="R1100" s="77"/>
      <c r="S1100" s="77"/>
      <c r="T1100" s="77"/>
      <c r="U1100" s="77"/>
      <c r="V1100" s="77"/>
      <c r="W1100" s="77"/>
      <c r="X1100" s="77"/>
      <c r="Y1100" s="77"/>
      <c r="Z1100" s="77"/>
      <c r="AA1100" s="77"/>
      <c r="AB1100" s="77"/>
      <c r="AC1100" s="77"/>
      <c r="AD1100" s="77"/>
      <c r="AE1100" s="77"/>
      <c r="AF1100" s="77"/>
      <c r="AG1100" s="77"/>
    </row>
    <row r="1101">
      <c r="A1101" s="608">
        <v>45606.0</v>
      </c>
      <c r="B1101" s="8" t="s">
        <v>10459</v>
      </c>
      <c r="C1101" s="8" t="s">
        <v>75</v>
      </c>
      <c r="D1101" s="8" t="s">
        <v>9268</v>
      </c>
      <c r="E1101" s="8" t="s">
        <v>10460</v>
      </c>
      <c r="F1101" s="8"/>
      <c r="G1101" s="8"/>
      <c r="H1101" s="21">
        <v>990.0</v>
      </c>
      <c r="I1101" s="249">
        <v>45971.0</v>
      </c>
      <c r="J1101" s="8" t="s">
        <v>78</v>
      </c>
      <c r="K1101" s="8" t="s">
        <v>49</v>
      </c>
      <c r="L1101" s="8" t="s">
        <v>365</v>
      </c>
      <c r="M1101" s="8" t="s">
        <v>28</v>
      </c>
      <c r="N1101" s="97">
        <v>5078.0</v>
      </c>
      <c r="O1101" s="97">
        <v>5722.0</v>
      </c>
      <c r="P1101" s="609">
        <v>55.0</v>
      </c>
      <c r="Q1101" s="8">
        <f t="shared" si="35"/>
        <v>2792.9</v>
      </c>
      <c r="R1101" s="77"/>
      <c r="S1101" s="77"/>
      <c r="T1101" s="77"/>
      <c r="U1101" s="77"/>
      <c r="V1101" s="77"/>
      <c r="W1101" s="77"/>
      <c r="X1101" s="77"/>
      <c r="Y1101" s="77"/>
      <c r="Z1101" s="77"/>
      <c r="AA1101" s="77"/>
      <c r="AB1101" s="77"/>
      <c r="AC1101" s="77"/>
      <c r="AD1101" s="77"/>
      <c r="AE1101" s="77"/>
      <c r="AF1101" s="77"/>
      <c r="AG1101" s="77"/>
    </row>
    <row r="1102">
      <c r="A1102" s="608">
        <v>45606.0</v>
      </c>
      <c r="B1102" s="8" t="s">
        <v>10461</v>
      </c>
      <c r="C1102" s="8" t="s">
        <v>21</v>
      </c>
      <c r="D1102" s="8" t="s">
        <v>10462</v>
      </c>
      <c r="E1102" s="8" t="s">
        <v>5232</v>
      </c>
      <c r="F1102" s="8"/>
      <c r="G1102" s="8"/>
      <c r="H1102" s="21">
        <v>15800.0</v>
      </c>
      <c r="I1102" s="249">
        <v>45971.0</v>
      </c>
      <c r="J1102" s="131" t="s">
        <v>9946</v>
      </c>
      <c r="K1102" s="8" t="s">
        <v>49</v>
      </c>
      <c r="L1102" s="8" t="s">
        <v>27</v>
      </c>
      <c r="M1102" s="8" t="s">
        <v>28</v>
      </c>
      <c r="N1102" s="97">
        <v>38482.0</v>
      </c>
      <c r="O1102" s="97">
        <v>43290.0</v>
      </c>
      <c r="P1102" s="609">
        <v>26.0</v>
      </c>
      <c r="Q1102" s="8">
        <f t="shared" si="35"/>
        <v>10005.32</v>
      </c>
      <c r="R1102" s="77"/>
      <c r="S1102" s="77"/>
      <c r="T1102" s="77"/>
      <c r="U1102" s="77"/>
      <c r="V1102" s="77"/>
      <c r="W1102" s="77"/>
      <c r="X1102" s="77"/>
      <c r="Y1102" s="77"/>
      <c r="Z1102" s="77"/>
      <c r="AA1102" s="77"/>
      <c r="AB1102" s="77"/>
      <c r="AC1102" s="77"/>
      <c r="AD1102" s="77"/>
      <c r="AE1102" s="77"/>
      <c r="AF1102" s="77"/>
      <c r="AG1102" s="77"/>
    </row>
    <row r="1103">
      <c r="A1103" s="608">
        <v>45606.0</v>
      </c>
      <c r="B1103" s="8" t="s">
        <v>10463</v>
      </c>
      <c r="C1103" s="8" t="s">
        <v>1432</v>
      </c>
      <c r="D1103" s="8" t="s">
        <v>10464</v>
      </c>
      <c r="E1103" s="8" t="s">
        <v>10465</v>
      </c>
      <c r="F1103" s="8"/>
      <c r="G1103" s="8"/>
      <c r="H1103" s="21">
        <v>395.0</v>
      </c>
      <c r="I1103" s="249">
        <v>46001.0</v>
      </c>
      <c r="J1103" s="8" t="s">
        <v>10466</v>
      </c>
      <c r="K1103" s="8" t="s">
        <v>49</v>
      </c>
      <c r="L1103" s="8" t="s">
        <v>27</v>
      </c>
      <c r="M1103" s="8" t="s">
        <v>28</v>
      </c>
      <c r="N1103" s="97">
        <v>6790.0</v>
      </c>
      <c r="O1103" s="97">
        <v>8012.0</v>
      </c>
      <c r="P1103" s="609">
        <v>46.0</v>
      </c>
      <c r="Q1103" s="8">
        <f t="shared" si="35"/>
        <v>3123.4</v>
      </c>
      <c r="R1103" s="77"/>
      <c r="S1103" s="77"/>
      <c r="T1103" s="77"/>
      <c r="U1103" s="77"/>
      <c r="V1103" s="77"/>
      <c r="W1103" s="77"/>
      <c r="X1103" s="77"/>
      <c r="Y1103" s="77"/>
      <c r="Z1103" s="77"/>
      <c r="AA1103" s="77"/>
      <c r="AB1103" s="77"/>
      <c r="AC1103" s="77"/>
      <c r="AD1103" s="77"/>
      <c r="AE1103" s="77"/>
      <c r="AF1103" s="77"/>
      <c r="AG1103" s="77"/>
    </row>
    <row r="1104">
      <c r="A1104" s="608">
        <v>45636.0</v>
      </c>
      <c r="B1104" s="8" t="s">
        <v>5233</v>
      </c>
      <c r="C1104" s="131" t="s">
        <v>1395</v>
      </c>
      <c r="D1104" s="8" t="s">
        <v>10467</v>
      </c>
      <c r="E1104" s="8" t="s">
        <v>10468</v>
      </c>
      <c r="F1104" s="8"/>
      <c r="G1104" s="8"/>
      <c r="H1104" s="21">
        <v>4950.0</v>
      </c>
      <c r="I1104" s="249">
        <v>45971.0</v>
      </c>
      <c r="J1104" s="131" t="s">
        <v>116</v>
      </c>
      <c r="K1104" s="8" t="s">
        <v>49</v>
      </c>
      <c r="L1104" s="8" t="s">
        <v>389</v>
      </c>
      <c r="M1104" s="8" t="s">
        <v>28</v>
      </c>
      <c r="N1104" s="97">
        <v>22897.0</v>
      </c>
      <c r="O1104" s="97">
        <v>26051.0</v>
      </c>
      <c r="P1104" s="609">
        <v>30.0</v>
      </c>
      <c r="Q1104" s="8">
        <f t="shared" si="35"/>
        <v>6869.1</v>
      </c>
      <c r="R1104" s="77"/>
      <c r="S1104" s="77"/>
      <c r="T1104" s="77"/>
      <c r="U1104" s="77"/>
      <c r="V1104" s="77"/>
      <c r="W1104" s="77"/>
      <c r="X1104" s="77"/>
      <c r="Y1104" s="77"/>
      <c r="Z1104" s="77"/>
      <c r="AA1104" s="77"/>
      <c r="AB1104" s="77"/>
      <c r="AC1104" s="77"/>
      <c r="AD1104" s="77"/>
      <c r="AE1104" s="77"/>
      <c r="AF1104" s="77"/>
      <c r="AG1104" s="77"/>
    </row>
    <row r="1105">
      <c r="A1105" s="119" t="s">
        <v>7836</v>
      </c>
      <c r="B1105" s="24" t="s">
        <v>10469</v>
      </c>
      <c r="C1105" s="24" t="s">
        <v>21</v>
      </c>
      <c r="D1105" s="24" t="s">
        <v>10470</v>
      </c>
      <c r="E1105" s="24" t="s">
        <v>10471</v>
      </c>
      <c r="F1105" s="30">
        <v>9.099259999E9</v>
      </c>
      <c r="G1105" s="28"/>
      <c r="H1105" s="30" t="s">
        <v>10472</v>
      </c>
      <c r="I1105" s="151">
        <v>45667.0</v>
      </c>
      <c r="J1105" s="24" t="s">
        <v>2562</v>
      </c>
      <c r="K1105" s="24" t="s">
        <v>49</v>
      </c>
      <c r="L1105" s="24" t="s">
        <v>71</v>
      </c>
      <c r="M1105" s="24" t="s">
        <v>28</v>
      </c>
      <c r="N1105" s="152">
        <v>31529.0</v>
      </c>
      <c r="O1105" s="152">
        <v>36241.28</v>
      </c>
      <c r="P1105" s="609">
        <v>18.0</v>
      </c>
      <c r="Q1105" s="8">
        <f t="shared" si="35"/>
        <v>5675.22</v>
      </c>
      <c r="R1105" s="77"/>
      <c r="S1105" s="77"/>
      <c r="T1105" s="77"/>
      <c r="U1105" s="77"/>
      <c r="V1105" s="77"/>
      <c r="W1105" s="77"/>
      <c r="X1105" s="77"/>
      <c r="Y1105" s="77"/>
      <c r="Z1105" s="77"/>
      <c r="AA1105" s="77"/>
      <c r="AB1105" s="77"/>
      <c r="AC1105" s="77"/>
      <c r="AD1105" s="77"/>
      <c r="AE1105" s="77"/>
      <c r="AF1105" s="77"/>
      <c r="AG1105" s="77"/>
    </row>
    <row r="1106">
      <c r="A1106" s="117">
        <v>45361.0</v>
      </c>
      <c r="B1106" s="24" t="s">
        <v>10473</v>
      </c>
      <c r="C1106" s="24" t="s">
        <v>21</v>
      </c>
      <c r="D1106" s="24" t="s">
        <v>1883</v>
      </c>
      <c r="E1106" s="24" t="s">
        <v>1809</v>
      </c>
      <c r="F1106" s="28"/>
      <c r="G1106" s="28"/>
      <c r="H1106" s="30">
        <v>35000.0</v>
      </c>
      <c r="I1106" s="151">
        <v>45726.0</v>
      </c>
      <c r="J1106" s="24" t="s">
        <v>9946</v>
      </c>
      <c r="K1106" s="24" t="s">
        <v>49</v>
      </c>
      <c r="L1106" s="24" t="s">
        <v>71</v>
      </c>
      <c r="M1106" s="24" t="s">
        <v>28</v>
      </c>
      <c r="N1106" s="152">
        <v>45869.0</v>
      </c>
      <c r="O1106" s="152">
        <v>51488.0</v>
      </c>
      <c r="P1106" s="609">
        <v>26.0</v>
      </c>
      <c r="Q1106" s="8">
        <f t="shared" si="35"/>
        <v>11925.94</v>
      </c>
      <c r="R1106" s="77"/>
      <c r="S1106" s="77"/>
      <c r="T1106" s="77"/>
      <c r="U1106" s="77"/>
      <c r="V1106" s="77"/>
      <c r="W1106" s="77"/>
      <c r="X1106" s="77"/>
      <c r="Y1106" s="77"/>
      <c r="Z1106" s="77"/>
      <c r="AA1106" s="77"/>
      <c r="AB1106" s="77"/>
      <c r="AC1106" s="77"/>
      <c r="AD1106" s="77"/>
      <c r="AE1106" s="77"/>
      <c r="AF1106" s="77"/>
      <c r="AG1106" s="77"/>
    </row>
    <row r="1107">
      <c r="A1107" s="117">
        <v>45361.0</v>
      </c>
      <c r="B1107" s="24" t="s">
        <v>10474</v>
      </c>
      <c r="C1107" s="24" t="s">
        <v>1395</v>
      </c>
      <c r="D1107" s="24" t="s">
        <v>481</v>
      </c>
      <c r="E1107" s="24" t="s">
        <v>10475</v>
      </c>
      <c r="F1107" s="28"/>
      <c r="G1107" s="28"/>
      <c r="H1107" s="30">
        <v>2750.0</v>
      </c>
      <c r="I1107" s="151">
        <v>45879.0</v>
      </c>
      <c r="J1107" s="24" t="s">
        <v>1419</v>
      </c>
      <c r="K1107" s="24" t="s">
        <v>49</v>
      </c>
      <c r="L1107" s="24" t="s">
        <v>365</v>
      </c>
      <c r="M1107" s="24" t="s">
        <v>28</v>
      </c>
      <c r="N1107" s="30">
        <v>17472.0</v>
      </c>
      <c r="O1107" s="30">
        <v>19654.0</v>
      </c>
      <c r="P1107" s="609">
        <v>50.0</v>
      </c>
      <c r="Q1107" s="8">
        <f t="shared" si="35"/>
        <v>8736</v>
      </c>
      <c r="R1107" s="77"/>
      <c r="S1107" s="77"/>
      <c r="T1107" s="77"/>
      <c r="U1107" s="77"/>
      <c r="V1107" s="77"/>
      <c r="W1107" s="77"/>
      <c r="X1107" s="77"/>
      <c r="Y1107" s="77"/>
      <c r="Z1107" s="77"/>
      <c r="AA1107" s="77"/>
      <c r="AB1107" s="77"/>
      <c r="AC1107" s="77"/>
      <c r="AD1107" s="77"/>
      <c r="AE1107" s="77"/>
      <c r="AF1107" s="77"/>
      <c r="AG1107" s="77"/>
    </row>
    <row r="1108">
      <c r="A1108" s="117">
        <v>45392.0</v>
      </c>
      <c r="B1108" s="24" t="s">
        <v>5215</v>
      </c>
      <c r="C1108" s="24" t="s">
        <v>21</v>
      </c>
      <c r="D1108" s="24" t="s">
        <v>9037</v>
      </c>
      <c r="E1108" s="24" t="s">
        <v>5217</v>
      </c>
      <c r="F1108" s="28"/>
      <c r="G1108" s="28"/>
      <c r="H1108" s="30">
        <v>28000.0</v>
      </c>
      <c r="I1108" s="151">
        <v>45910.0</v>
      </c>
      <c r="J1108" s="24" t="s">
        <v>9946</v>
      </c>
      <c r="K1108" s="24" t="s">
        <v>49</v>
      </c>
      <c r="L1108" s="24" t="s">
        <v>71</v>
      </c>
      <c r="M1108" s="24" t="s">
        <v>28</v>
      </c>
      <c r="N1108" s="152">
        <v>46494.0</v>
      </c>
      <c r="O1108" s="152">
        <v>52226.0</v>
      </c>
      <c r="P1108" s="609">
        <v>26.0</v>
      </c>
      <c r="Q1108" s="8">
        <f t="shared" si="35"/>
        <v>12088.44</v>
      </c>
      <c r="R1108" s="77"/>
      <c r="S1108" s="77"/>
      <c r="T1108" s="77"/>
      <c r="U1108" s="77"/>
      <c r="V1108" s="77"/>
      <c r="W1108" s="77"/>
      <c r="X1108" s="77"/>
      <c r="Y1108" s="77"/>
      <c r="Z1108" s="77"/>
      <c r="AA1108" s="77"/>
      <c r="AB1108" s="77"/>
      <c r="AC1108" s="77"/>
      <c r="AD1108" s="77"/>
      <c r="AE1108" s="77"/>
      <c r="AF1108" s="77"/>
      <c r="AG1108" s="77"/>
    </row>
    <row r="1109">
      <c r="A1109" s="105">
        <v>45635.0</v>
      </c>
      <c r="B1109" s="108" t="s">
        <v>10476</v>
      </c>
      <c r="C1109" s="108" t="s">
        <v>21</v>
      </c>
      <c r="D1109" s="108" t="s">
        <v>10284</v>
      </c>
      <c r="E1109" s="108" t="s">
        <v>10477</v>
      </c>
      <c r="F1109" s="108">
        <v>9.773043831E9</v>
      </c>
      <c r="G1109" s="108"/>
      <c r="H1109" s="114">
        <v>35000.0</v>
      </c>
      <c r="I1109" s="110">
        <v>45939.0</v>
      </c>
      <c r="J1109" s="24" t="s">
        <v>9946</v>
      </c>
      <c r="K1109" s="108" t="s">
        <v>49</v>
      </c>
      <c r="L1109" s="108" t="s">
        <v>27</v>
      </c>
      <c r="M1109" s="108" t="s">
        <v>28</v>
      </c>
      <c r="N1109" s="116">
        <v>47327.0</v>
      </c>
      <c r="O1109" s="116">
        <v>53209.0</v>
      </c>
      <c r="P1109" s="5">
        <v>26.0</v>
      </c>
      <c r="Q1109" s="8">
        <f t="shared" si="35"/>
        <v>12305.02</v>
      </c>
    </row>
    <row r="1110">
      <c r="A1110" s="105">
        <v>45635.0</v>
      </c>
      <c r="B1110" s="108" t="s">
        <v>5222</v>
      </c>
      <c r="C1110" s="108" t="s">
        <v>21</v>
      </c>
      <c r="D1110" s="108" t="s">
        <v>1883</v>
      </c>
      <c r="E1110" s="108" t="s">
        <v>7918</v>
      </c>
      <c r="F1110" s="108">
        <v>9.9790711E9</v>
      </c>
      <c r="G1110" s="108"/>
      <c r="H1110" s="114">
        <v>35000.0</v>
      </c>
      <c r="I1110" s="110">
        <v>46000.0</v>
      </c>
      <c r="J1110" s="24" t="s">
        <v>9946</v>
      </c>
      <c r="K1110" s="108" t="s">
        <v>49</v>
      </c>
      <c r="L1110" s="108" t="s">
        <v>71</v>
      </c>
      <c r="M1110" s="108" t="s">
        <v>28</v>
      </c>
      <c r="N1110" s="116">
        <v>46622.0</v>
      </c>
      <c r="O1110" s="116">
        <v>52377.0</v>
      </c>
      <c r="P1110" s="5">
        <v>26.0</v>
      </c>
      <c r="Q1110" s="8">
        <f t="shared" si="35"/>
        <v>12121.72</v>
      </c>
    </row>
    <row r="1111">
      <c r="A1111" s="105">
        <v>45605.0</v>
      </c>
      <c r="B1111" s="108" t="s">
        <v>7670</v>
      </c>
      <c r="C1111" s="108" t="s">
        <v>21</v>
      </c>
      <c r="D1111" s="108" t="s">
        <v>133</v>
      </c>
      <c r="E1111" s="108" t="s">
        <v>10267</v>
      </c>
      <c r="F1111" s="108">
        <v>9.979861378E9</v>
      </c>
      <c r="G1111" s="108"/>
      <c r="H1111" s="114">
        <v>42000.0</v>
      </c>
      <c r="I1111" s="110">
        <v>45970.0</v>
      </c>
      <c r="J1111" s="24" t="s">
        <v>9946</v>
      </c>
      <c r="K1111" s="108" t="s">
        <v>49</v>
      </c>
      <c r="L1111" s="108" t="s">
        <v>71</v>
      </c>
      <c r="M1111" s="108" t="s">
        <v>28</v>
      </c>
      <c r="N1111" s="116">
        <v>47263.0</v>
      </c>
      <c r="O1111" s="116">
        <v>53116.0</v>
      </c>
      <c r="P1111" s="86">
        <v>26.0</v>
      </c>
      <c r="Q1111" s="8">
        <f t="shared" si="35"/>
        <v>12288.38</v>
      </c>
    </row>
    <row r="1112">
      <c r="A1112" s="105">
        <v>45421.0</v>
      </c>
      <c r="B1112" s="108" t="s">
        <v>10478</v>
      </c>
      <c r="C1112" s="108" t="s">
        <v>21</v>
      </c>
      <c r="D1112" s="108" t="s">
        <v>10284</v>
      </c>
      <c r="E1112" s="108" t="s">
        <v>10479</v>
      </c>
      <c r="F1112" s="108">
        <v>9.924006994E9</v>
      </c>
      <c r="G1112" s="108"/>
      <c r="H1112" s="114">
        <v>35000.0</v>
      </c>
      <c r="I1112" s="110">
        <v>45786.0</v>
      </c>
      <c r="J1112" s="24" t="s">
        <v>9946</v>
      </c>
      <c r="K1112" s="108" t="s">
        <v>49</v>
      </c>
      <c r="L1112" s="108" t="s">
        <v>27</v>
      </c>
      <c r="M1112" s="108" t="s">
        <v>28</v>
      </c>
      <c r="N1112" s="116">
        <v>46997.0</v>
      </c>
      <c r="O1112" s="116">
        <v>52819.0</v>
      </c>
      <c r="P1112" s="86">
        <v>26.0</v>
      </c>
      <c r="Q1112" s="8">
        <f t="shared" si="35"/>
        <v>12219.22</v>
      </c>
    </row>
    <row r="1113">
      <c r="A1113" s="105">
        <v>45360.0</v>
      </c>
      <c r="B1113" s="108" t="s">
        <v>7639</v>
      </c>
      <c r="C1113" s="108" t="s">
        <v>21</v>
      </c>
      <c r="D1113" s="108" t="s">
        <v>9003</v>
      </c>
      <c r="E1113" s="108" t="s">
        <v>10480</v>
      </c>
      <c r="F1113" s="108">
        <v>9.726916109E9</v>
      </c>
      <c r="G1113" s="108"/>
      <c r="H1113" s="114">
        <v>11990.0</v>
      </c>
      <c r="I1113" s="110" t="s">
        <v>10079</v>
      </c>
      <c r="J1113" s="24" t="s">
        <v>25</v>
      </c>
      <c r="K1113" s="108" t="s">
        <v>49</v>
      </c>
      <c r="L1113" s="108" t="s">
        <v>71</v>
      </c>
      <c r="M1113" s="108" t="s">
        <v>28</v>
      </c>
      <c r="N1113" s="116">
        <v>31610.0</v>
      </c>
      <c r="O1113" s="116">
        <v>35669.0</v>
      </c>
      <c r="P1113" s="86">
        <v>27.0</v>
      </c>
      <c r="Q1113" s="8">
        <f t="shared" si="35"/>
        <v>8534.7</v>
      </c>
    </row>
    <row r="1114">
      <c r="A1114" s="93"/>
      <c r="B1114" s="58"/>
      <c r="C1114" s="58"/>
      <c r="D1114" s="58"/>
      <c r="E1114" s="58"/>
      <c r="F1114" s="58"/>
      <c r="G1114" s="58"/>
      <c r="H1114" s="88"/>
      <c r="I1114" s="88"/>
      <c r="J1114" s="58"/>
      <c r="K1114" s="58"/>
      <c r="L1114" s="58"/>
      <c r="M1114" s="58"/>
      <c r="N1114" s="88"/>
      <c r="O1114" s="88"/>
    </row>
    <row r="1115">
      <c r="A1115" s="93"/>
      <c r="B1115" s="58"/>
      <c r="C1115" s="58"/>
      <c r="D1115" s="58"/>
      <c r="E1115" s="58"/>
      <c r="F1115" s="58"/>
      <c r="G1115" s="58"/>
      <c r="H1115" s="88"/>
      <c r="I1115" s="88"/>
      <c r="J1115" s="58"/>
      <c r="K1115" s="58"/>
      <c r="L1115" s="58"/>
      <c r="M1115" s="58"/>
      <c r="N1115" s="88"/>
      <c r="O1115" s="88"/>
    </row>
    <row r="1116">
      <c r="A1116" s="93"/>
      <c r="B1116" s="58"/>
      <c r="C1116" s="58"/>
      <c r="D1116" s="58"/>
      <c r="E1116" s="58"/>
      <c r="F1116" s="58"/>
      <c r="G1116" s="58"/>
      <c r="H1116" s="88"/>
      <c r="I1116" s="88"/>
      <c r="J1116" s="58"/>
      <c r="K1116" s="58"/>
      <c r="L1116" s="58"/>
      <c r="M1116" s="58"/>
      <c r="N1116" s="88"/>
      <c r="O1116" s="88"/>
    </row>
    <row r="1117">
      <c r="A1117" s="608">
        <v>45636.0</v>
      </c>
      <c r="B1117" s="8" t="s">
        <v>10481</v>
      </c>
      <c r="C1117" s="8" t="s">
        <v>1432</v>
      </c>
      <c r="D1117" s="8" t="s">
        <v>2125</v>
      </c>
      <c r="E1117" s="8" t="s">
        <v>10482</v>
      </c>
      <c r="F1117" s="8"/>
      <c r="G1117" s="8"/>
      <c r="H1117" s="21">
        <v>436.0</v>
      </c>
      <c r="I1117" s="249">
        <v>45971.0</v>
      </c>
      <c r="J1117" s="8" t="s">
        <v>1424</v>
      </c>
      <c r="K1117" s="8" t="s">
        <v>49</v>
      </c>
      <c r="L1117" s="8" t="s">
        <v>389</v>
      </c>
      <c r="M1117" s="8" t="s">
        <v>28</v>
      </c>
      <c r="N1117" s="21">
        <v>6375.0</v>
      </c>
      <c r="O1117" s="21">
        <v>7523.0</v>
      </c>
      <c r="P1117" s="5">
        <v>53.0</v>
      </c>
      <c r="Q1117" s="8">
        <f t="shared" ref="Q1117:Q1166" si="36">N1117*P1117%</f>
        <v>3378.75</v>
      </c>
    </row>
    <row r="1118">
      <c r="A1118" s="608">
        <v>45636.0</v>
      </c>
      <c r="B1118" s="8" t="s">
        <v>10483</v>
      </c>
      <c r="C1118" s="8" t="s">
        <v>1432</v>
      </c>
      <c r="D1118" s="8" t="s">
        <v>2125</v>
      </c>
      <c r="E1118" s="8" t="s">
        <v>10484</v>
      </c>
      <c r="F1118" s="8"/>
      <c r="G1118" s="8"/>
      <c r="H1118" s="21">
        <v>436.0</v>
      </c>
      <c r="I1118" s="21" t="s">
        <v>6488</v>
      </c>
      <c r="J1118" s="8" t="s">
        <v>1424</v>
      </c>
      <c r="K1118" s="8" t="s">
        <v>49</v>
      </c>
      <c r="L1118" s="8" t="s">
        <v>389</v>
      </c>
      <c r="M1118" s="8" t="s">
        <v>28</v>
      </c>
      <c r="N1118" s="21">
        <v>6375.0</v>
      </c>
      <c r="O1118" s="21">
        <v>7523.0</v>
      </c>
      <c r="P1118" s="5">
        <v>53.0</v>
      </c>
      <c r="Q1118" s="8">
        <f t="shared" si="36"/>
        <v>3378.75</v>
      </c>
    </row>
    <row r="1119">
      <c r="A1119" s="608">
        <v>45636.0</v>
      </c>
      <c r="B1119" s="8" t="s">
        <v>6468</v>
      </c>
      <c r="C1119" s="131" t="s">
        <v>1395</v>
      </c>
      <c r="D1119" s="8" t="s">
        <v>6470</v>
      </c>
      <c r="E1119" s="8" t="s">
        <v>6471</v>
      </c>
      <c r="F1119" s="8"/>
      <c r="G1119" s="8"/>
      <c r="H1119" s="21">
        <v>1600.0</v>
      </c>
      <c r="I1119" s="249">
        <v>46001.0</v>
      </c>
      <c r="J1119" s="131" t="s">
        <v>9946</v>
      </c>
      <c r="K1119" s="8" t="s">
        <v>49</v>
      </c>
      <c r="L1119" s="8" t="s">
        <v>365</v>
      </c>
      <c r="M1119" s="8" t="s">
        <v>28</v>
      </c>
      <c r="N1119" s="97">
        <v>17213.0</v>
      </c>
      <c r="O1119" s="97">
        <v>19348.0</v>
      </c>
      <c r="P1119" s="5">
        <v>58.0</v>
      </c>
      <c r="Q1119" s="8">
        <f t="shared" si="36"/>
        <v>9983.54</v>
      </c>
    </row>
    <row r="1120">
      <c r="A1120" s="100" t="s">
        <v>7944</v>
      </c>
      <c r="B1120" s="8" t="s">
        <v>10485</v>
      </c>
      <c r="C1120" s="8" t="s">
        <v>21</v>
      </c>
      <c r="D1120" s="8" t="s">
        <v>10486</v>
      </c>
      <c r="E1120" s="8" t="s">
        <v>10487</v>
      </c>
      <c r="F1120" s="8"/>
      <c r="G1120" s="8"/>
      <c r="H1120" s="21">
        <v>12500.0</v>
      </c>
      <c r="I1120" s="8" t="s">
        <v>6488</v>
      </c>
      <c r="J1120" s="8" t="s">
        <v>353</v>
      </c>
      <c r="K1120" s="8" t="s">
        <v>49</v>
      </c>
      <c r="L1120" s="8" t="s">
        <v>27</v>
      </c>
      <c r="M1120" s="8" t="s">
        <v>28</v>
      </c>
      <c r="N1120" s="97">
        <v>37438.0</v>
      </c>
      <c r="O1120" s="97">
        <v>42058.0</v>
      </c>
      <c r="P1120" s="5">
        <v>22.0</v>
      </c>
      <c r="Q1120" s="8">
        <f t="shared" si="36"/>
        <v>8236.36</v>
      </c>
    </row>
    <row r="1121">
      <c r="A1121" s="100" t="s">
        <v>7944</v>
      </c>
      <c r="B1121" s="8" t="s">
        <v>7950</v>
      </c>
      <c r="C1121" s="131" t="s">
        <v>1395</v>
      </c>
      <c r="D1121" s="8" t="s">
        <v>9702</v>
      </c>
      <c r="E1121" s="8" t="s">
        <v>10488</v>
      </c>
      <c r="F1121" s="8"/>
      <c r="G1121" s="8"/>
      <c r="H1121" s="21">
        <v>2620.0</v>
      </c>
      <c r="I1121" s="8" t="s">
        <v>6488</v>
      </c>
      <c r="J1121" s="8" t="s">
        <v>1424</v>
      </c>
      <c r="K1121" s="8" t="s">
        <v>49</v>
      </c>
      <c r="L1121" s="8" t="s">
        <v>71</v>
      </c>
      <c r="M1121" s="8" t="s">
        <v>28</v>
      </c>
      <c r="N1121" s="21">
        <v>21192.0</v>
      </c>
      <c r="O1121" s="21">
        <v>24044.0</v>
      </c>
      <c r="P1121" s="5">
        <v>52.0</v>
      </c>
      <c r="Q1121" s="8">
        <f t="shared" si="36"/>
        <v>11019.84</v>
      </c>
    </row>
    <row r="1122">
      <c r="A1122" s="100" t="s">
        <v>7805</v>
      </c>
      <c r="B1122" s="8" t="s">
        <v>10489</v>
      </c>
      <c r="C1122" s="131" t="s">
        <v>1395</v>
      </c>
      <c r="D1122" s="8" t="s">
        <v>10006</v>
      </c>
      <c r="E1122" s="8" t="s">
        <v>10490</v>
      </c>
      <c r="F1122" s="8"/>
      <c r="G1122" s="8"/>
      <c r="H1122" s="21">
        <v>2565.0</v>
      </c>
      <c r="I1122" s="8" t="s">
        <v>6488</v>
      </c>
      <c r="J1122" s="8" t="s">
        <v>1424</v>
      </c>
      <c r="K1122" s="8" t="s">
        <v>49</v>
      </c>
      <c r="L1122" s="8" t="s">
        <v>27</v>
      </c>
      <c r="M1122" s="8" t="s">
        <v>28</v>
      </c>
      <c r="N1122" s="21">
        <v>20797.0</v>
      </c>
      <c r="O1122" s="21">
        <v>23577.0</v>
      </c>
      <c r="P1122" s="5">
        <v>52.0</v>
      </c>
      <c r="Q1122" s="8">
        <f t="shared" si="36"/>
        <v>10814.44</v>
      </c>
    </row>
    <row r="1123">
      <c r="A1123" s="100" t="s">
        <v>7997</v>
      </c>
      <c r="B1123" s="8" t="s">
        <v>10491</v>
      </c>
      <c r="C1123" s="8" t="s">
        <v>1432</v>
      </c>
      <c r="D1123" s="8" t="s">
        <v>2125</v>
      </c>
      <c r="E1123" s="8" t="s">
        <v>10492</v>
      </c>
      <c r="F1123" s="8"/>
      <c r="G1123" s="8"/>
      <c r="H1123" s="21">
        <v>436.0</v>
      </c>
      <c r="I1123" s="8" t="s">
        <v>6488</v>
      </c>
      <c r="J1123" s="8" t="s">
        <v>1424</v>
      </c>
      <c r="K1123" s="8" t="s">
        <v>49</v>
      </c>
      <c r="L1123" s="8" t="s">
        <v>389</v>
      </c>
      <c r="M1123" s="8" t="s">
        <v>28</v>
      </c>
      <c r="N1123" s="21">
        <v>6375.0</v>
      </c>
      <c r="O1123" s="21">
        <v>7523.0</v>
      </c>
      <c r="P1123" s="5">
        <v>53.0</v>
      </c>
      <c r="Q1123" s="8">
        <f t="shared" si="36"/>
        <v>3378.75</v>
      </c>
    </row>
    <row r="1124">
      <c r="A1124" s="100" t="s">
        <v>7997</v>
      </c>
      <c r="B1124" s="8" t="s">
        <v>7912</v>
      </c>
      <c r="C1124" s="131" t="s">
        <v>1395</v>
      </c>
      <c r="D1124" s="8" t="s">
        <v>9693</v>
      </c>
      <c r="E1124" s="8" t="s">
        <v>7913</v>
      </c>
      <c r="F1124" s="8"/>
      <c r="G1124" s="8"/>
      <c r="H1124" s="21">
        <v>2880.0</v>
      </c>
      <c r="I1124" s="249">
        <v>46001.0</v>
      </c>
      <c r="J1124" s="8" t="s">
        <v>116</v>
      </c>
      <c r="K1124" s="8" t="s">
        <v>49</v>
      </c>
      <c r="L1124" s="8" t="s">
        <v>71</v>
      </c>
      <c r="M1124" s="8" t="s">
        <v>28</v>
      </c>
      <c r="N1124" s="97">
        <v>17859.0</v>
      </c>
      <c r="O1124" s="97">
        <v>20105.0</v>
      </c>
      <c r="P1124" s="5">
        <v>48.0</v>
      </c>
      <c r="Q1124" s="8">
        <f t="shared" si="36"/>
        <v>8572.32</v>
      </c>
    </row>
    <row r="1125">
      <c r="A1125" s="100" t="s">
        <v>7997</v>
      </c>
      <c r="B1125" s="8" t="s">
        <v>10493</v>
      </c>
      <c r="C1125" s="8" t="s">
        <v>533</v>
      </c>
      <c r="D1125" s="8" t="s">
        <v>10494</v>
      </c>
      <c r="E1125" s="8" t="s">
        <v>2702</v>
      </c>
      <c r="F1125" s="8"/>
      <c r="G1125" s="8"/>
      <c r="H1125" s="21">
        <v>3783.0</v>
      </c>
      <c r="I1125" s="8" t="s">
        <v>6488</v>
      </c>
      <c r="J1125" s="8" t="s">
        <v>116</v>
      </c>
      <c r="K1125" s="8" t="s">
        <v>26</v>
      </c>
      <c r="L1125" s="8" t="s">
        <v>1616</v>
      </c>
      <c r="M1125" s="8" t="s">
        <v>28</v>
      </c>
      <c r="N1125" s="97">
        <v>7317.0</v>
      </c>
      <c r="O1125" s="97">
        <v>8634.0</v>
      </c>
      <c r="P1125" s="5">
        <v>27.0</v>
      </c>
      <c r="Q1125" s="8">
        <f t="shared" si="36"/>
        <v>1975.59</v>
      </c>
    </row>
    <row r="1126">
      <c r="A1126" s="100" t="s">
        <v>7997</v>
      </c>
      <c r="B1126" s="8" t="s">
        <v>10495</v>
      </c>
      <c r="C1126" s="8" t="s">
        <v>533</v>
      </c>
      <c r="D1126" s="8" t="s">
        <v>10494</v>
      </c>
      <c r="E1126" s="8" t="s">
        <v>2702</v>
      </c>
      <c r="F1126" s="8"/>
      <c r="G1126" s="8"/>
      <c r="H1126" s="21">
        <v>3783.0</v>
      </c>
      <c r="I1126" s="8" t="s">
        <v>6488</v>
      </c>
      <c r="J1126" s="8" t="s">
        <v>116</v>
      </c>
      <c r="K1126" s="8" t="s">
        <v>26</v>
      </c>
      <c r="L1126" s="8" t="s">
        <v>1451</v>
      </c>
      <c r="M1126" s="8" t="s">
        <v>28</v>
      </c>
      <c r="N1126" s="97">
        <v>7317.0</v>
      </c>
      <c r="O1126" s="97">
        <v>8634.0</v>
      </c>
      <c r="P1126" s="5">
        <v>27.0</v>
      </c>
      <c r="Q1126" s="8">
        <f t="shared" si="36"/>
        <v>1975.59</v>
      </c>
    </row>
    <row r="1127">
      <c r="A1127" s="100" t="s">
        <v>7997</v>
      </c>
      <c r="B1127" s="8" t="s">
        <v>5254</v>
      </c>
      <c r="C1127" s="8" t="s">
        <v>533</v>
      </c>
      <c r="D1127" s="8" t="s">
        <v>10496</v>
      </c>
      <c r="E1127" s="8" t="s">
        <v>5256</v>
      </c>
      <c r="F1127" s="8"/>
      <c r="G1127" s="8"/>
      <c r="H1127" s="21">
        <v>4800.0</v>
      </c>
      <c r="I1127" s="8" t="s">
        <v>6462</v>
      </c>
      <c r="J1127" s="8" t="s">
        <v>116</v>
      </c>
      <c r="K1127" s="8" t="s">
        <v>49</v>
      </c>
      <c r="L1127" s="8" t="s">
        <v>1451</v>
      </c>
      <c r="M1127" s="8" t="s">
        <v>28</v>
      </c>
      <c r="N1127" s="97">
        <v>13769.0</v>
      </c>
      <c r="O1127" s="97">
        <v>16247.0</v>
      </c>
      <c r="P1127" s="5">
        <v>27.0</v>
      </c>
      <c r="Q1127" s="8">
        <f t="shared" si="36"/>
        <v>3717.63</v>
      </c>
    </row>
    <row r="1128">
      <c r="A1128" s="100" t="s">
        <v>7997</v>
      </c>
      <c r="B1128" s="8" t="s">
        <v>5271</v>
      </c>
      <c r="C1128" s="8" t="s">
        <v>1432</v>
      </c>
      <c r="D1128" s="8" t="s">
        <v>2125</v>
      </c>
      <c r="E1128" s="8" t="s">
        <v>10497</v>
      </c>
      <c r="F1128" s="8"/>
      <c r="G1128" s="8"/>
      <c r="H1128" s="21">
        <v>436.0</v>
      </c>
      <c r="I1128" s="8" t="s">
        <v>6462</v>
      </c>
      <c r="J1128" s="8" t="s">
        <v>1424</v>
      </c>
      <c r="K1128" s="8" t="s">
        <v>49</v>
      </c>
      <c r="L1128" s="8" t="s">
        <v>340</v>
      </c>
      <c r="M1128" s="8" t="s">
        <v>28</v>
      </c>
      <c r="N1128" s="21">
        <v>6375.0</v>
      </c>
      <c r="O1128" s="21">
        <v>7523.0</v>
      </c>
      <c r="P1128" s="5">
        <v>53.0</v>
      </c>
      <c r="Q1128" s="8">
        <f t="shared" si="36"/>
        <v>3378.75</v>
      </c>
    </row>
    <row r="1129">
      <c r="A1129" s="100" t="s">
        <v>7997</v>
      </c>
      <c r="B1129" s="8" t="s">
        <v>10498</v>
      </c>
      <c r="C1129" s="8" t="s">
        <v>1432</v>
      </c>
      <c r="D1129" s="8" t="s">
        <v>2125</v>
      </c>
      <c r="E1129" s="8" t="s">
        <v>10499</v>
      </c>
      <c r="F1129" s="8"/>
      <c r="G1129" s="8"/>
      <c r="H1129" s="21">
        <v>436.0</v>
      </c>
      <c r="I1129" s="8" t="s">
        <v>6480</v>
      </c>
      <c r="J1129" s="8" t="s">
        <v>1424</v>
      </c>
      <c r="K1129" s="8" t="s">
        <v>49</v>
      </c>
      <c r="L1129" s="8" t="s">
        <v>1616</v>
      </c>
      <c r="M1129" s="8" t="s">
        <v>28</v>
      </c>
      <c r="N1129" s="21">
        <v>6375.0</v>
      </c>
      <c r="O1129" s="21">
        <v>7523.0</v>
      </c>
      <c r="P1129" s="5">
        <v>53.0</v>
      </c>
      <c r="Q1129" s="8">
        <f t="shared" si="36"/>
        <v>3378.75</v>
      </c>
    </row>
    <row r="1130">
      <c r="A1130" s="100" t="s">
        <v>7997</v>
      </c>
      <c r="B1130" s="8" t="s">
        <v>5377</v>
      </c>
      <c r="C1130" s="8" t="s">
        <v>1432</v>
      </c>
      <c r="D1130" s="8" t="s">
        <v>2125</v>
      </c>
      <c r="E1130" s="8" t="s">
        <v>10500</v>
      </c>
      <c r="F1130" s="8"/>
      <c r="G1130" s="8"/>
      <c r="H1130" s="21">
        <v>436.0</v>
      </c>
      <c r="I1130" s="8" t="s">
        <v>6480</v>
      </c>
      <c r="J1130" s="8" t="s">
        <v>1424</v>
      </c>
      <c r="K1130" s="8" t="s">
        <v>49</v>
      </c>
      <c r="L1130" s="8" t="s">
        <v>365</v>
      </c>
      <c r="M1130" s="8" t="s">
        <v>28</v>
      </c>
      <c r="N1130" s="21">
        <v>6375.0</v>
      </c>
      <c r="O1130" s="21">
        <v>7523.0</v>
      </c>
      <c r="P1130" s="5">
        <v>53.0</v>
      </c>
      <c r="Q1130" s="8">
        <f t="shared" si="36"/>
        <v>3378.75</v>
      </c>
    </row>
    <row r="1131">
      <c r="A1131" s="100" t="s">
        <v>7900</v>
      </c>
      <c r="B1131" s="8" t="s">
        <v>10501</v>
      </c>
      <c r="C1131" s="8" t="s">
        <v>1432</v>
      </c>
      <c r="D1131" s="8" t="s">
        <v>9402</v>
      </c>
      <c r="E1131" s="8" t="s">
        <v>10502</v>
      </c>
      <c r="F1131" s="8"/>
      <c r="G1131" s="8"/>
      <c r="H1131" s="21">
        <v>205.0</v>
      </c>
      <c r="I1131" s="8" t="s">
        <v>6278</v>
      </c>
      <c r="J1131" s="8" t="s">
        <v>1424</v>
      </c>
      <c r="K1131" s="8" t="s">
        <v>49</v>
      </c>
      <c r="L1131" s="8" t="s">
        <v>27</v>
      </c>
      <c r="M1131" s="8" t="s">
        <v>28</v>
      </c>
      <c r="N1131" s="21">
        <v>6270.0</v>
      </c>
      <c r="O1131" s="21">
        <v>7398.0</v>
      </c>
      <c r="P1131" s="5">
        <v>53.0</v>
      </c>
      <c r="Q1131" s="8">
        <f t="shared" si="36"/>
        <v>3323.1</v>
      </c>
    </row>
    <row r="1132">
      <c r="A1132" s="100" t="s">
        <v>7900</v>
      </c>
      <c r="B1132" s="8" t="s">
        <v>10503</v>
      </c>
      <c r="C1132" s="8" t="s">
        <v>1432</v>
      </c>
      <c r="D1132" s="8" t="s">
        <v>2125</v>
      </c>
      <c r="E1132" s="8" t="s">
        <v>10504</v>
      </c>
      <c r="F1132" s="8"/>
      <c r="G1132" s="8"/>
      <c r="H1132" s="21">
        <v>436.0</v>
      </c>
      <c r="I1132" s="8" t="s">
        <v>6480</v>
      </c>
      <c r="J1132" s="8" t="s">
        <v>1424</v>
      </c>
      <c r="K1132" s="8" t="s">
        <v>49</v>
      </c>
      <c r="L1132" s="8" t="s">
        <v>365</v>
      </c>
      <c r="M1132" s="8" t="s">
        <v>28</v>
      </c>
      <c r="N1132" s="21">
        <v>6375.0</v>
      </c>
      <c r="O1132" s="21">
        <v>7523.0</v>
      </c>
      <c r="P1132" s="5">
        <v>53.0</v>
      </c>
      <c r="Q1132" s="8">
        <f t="shared" si="36"/>
        <v>3378.75</v>
      </c>
    </row>
    <row r="1133">
      <c r="A1133" s="100" t="s">
        <v>7900</v>
      </c>
      <c r="B1133" s="8" t="s">
        <v>10505</v>
      </c>
      <c r="C1133" s="8" t="s">
        <v>1432</v>
      </c>
      <c r="D1133" s="8" t="s">
        <v>2125</v>
      </c>
      <c r="E1133" s="8" t="s">
        <v>10506</v>
      </c>
      <c r="F1133" s="8"/>
      <c r="G1133" s="8"/>
      <c r="H1133" s="21">
        <v>436.0</v>
      </c>
      <c r="I1133" s="8" t="s">
        <v>6480</v>
      </c>
      <c r="J1133" s="8" t="s">
        <v>1424</v>
      </c>
      <c r="K1133" s="8" t="s">
        <v>49</v>
      </c>
      <c r="L1133" s="8" t="s">
        <v>1436</v>
      </c>
      <c r="M1133" s="8" t="s">
        <v>28</v>
      </c>
      <c r="N1133" s="21">
        <v>6375.0</v>
      </c>
      <c r="O1133" s="21">
        <v>7523.0</v>
      </c>
      <c r="P1133" s="5">
        <v>53.0</v>
      </c>
      <c r="Q1133" s="8">
        <f t="shared" si="36"/>
        <v>3378.75</v>
      </c>
    </row>
    <row r="1134">
      <c r="A1134" s="100" t="s">
        <v>7900</v>
      </c>
      <c r="B1134" s="8" t="s">
        <v>5282</v>
      </c>
      <c r="C1134" s="8" t="s">
        <v>1432</v>
      </c>
      <c r="D1134" s="8" t="s">
        <v>2125</v>
      </c>
      <c r="E1134" s="8" t="s">
        <v>10507</v>
      </c>
      <c r="F1134" s="8"/>
      <c r="G1134" s="8"/>
      <c r="H1134" s="21">
        <v>470.0</v>
      </c>
      <c r="I1134" s="8" t="s">
        <v>5278</v>
      </c>
      <c r="J1134" s="8" t="s">
        <v>1424</v>
      </c>
      <c r="K1134" s="8" t="s">
        <v>49</v>
      </c>
      <c r="L1134" s="8" t="s">
        <v>365</v>
      </c>
      <c r="M1134" s="8" t="s">
        <v>28</v>
      </c>
      <c r="N1134" s="21">
        <v>6375.0</v>
      </c>
      <c r="O1134" s="21">
        <v>7523.0</v>
      </c>
      <c r="P1134" s="5">
        <v>53.0</v>
      </c>
      <c r="Q1134" s="8">
        <f t="shared" si="36"/>
        <v>3378.75</v>
      </c>
    </row>
    <row r="1135">
      <c r="A1135" s="100" t="s">
        <v>7900</v>
      </c>
      <c r="B1135" s="8" t="s">
        <v>10508</v>
      </c>
      <c r="C1135" s="131" t="s">
        <v>1395</v>
      </c>
      <c r="D1135" s="8" t="s">
        <v>1091</v>
      </c>
      <c r="E1135" s="8" t="s">
        <v>10509</v>
      </c>
      <c r="F1135" s="8"/>
      <c r="G1135" s="8"/>
      <c r="H1135" s="21">
        <v>3480.0</v>
      </c>
      <c r="I1135" s="8" t="s">
        <v>6278</v>
      </c>
      <c r="J1135" s="8" t="s">
        <v>116</v>
      </c>
      <c r="K1135" s="8" t="s">
        <v>49</v>
      </c>
      <c r="L1135" s="8" t="s">
        <v>365</v>
      </c>
      <c r="M1135" s="8" t="s">
        <v>28</v>
      </c>
      <c r="N1135" s="97">
        <v>22045.0</v>
      </c>
      <c r="O1135" s="97">
        <v>25045.0</v>
      </c>
      <c r="P1135" s="5">
        <v>48.0</v>
      </c>
      <c r="Q1135" s="8">
        <f t="shared" si="36"/>
        <v>10581.6</v>
      </c>
    </row>
    <row r="1136">
      <c r="A1136" s="100" t="s">
        <v>7990</v>
      </c>
      <c r="B1136" s="8" t="s">
        <v>7908</v>
      </c>
      <c r="C1136" s="131" t="s">
        <v>1395</v>
      </c>
      <c r="D1136" s="8" t="s">
        <v>2264</v>
      </c>
      <c r="E1136" s="8" t="s">
        <v>10454</v>
      </c>
      <c r="F1136" s="8"/>
      <c r="G1136" s="8"/>
      <c r="H1136" s="21">
        <v>2500.0</v>
      </c>
      <c r="I1136" s="8" t="s">
        <v>6476</v>
      </c>
      <c r="J1136" s="8" t="s">
        <v>9946</v>
      </c>
      <c r="K1136" s="8" t="s">
        <v>49</v>
      </c>
      <c r="L1136" s="8" t="s">
        <v>71</v>
      </c>
      <c r="M1136" s="8" t="s">
        <v>28</v>
      </c>
      <c r="N1136" s="97">
        <v>17107.0</v>
      </c>
      <c r="O1136" s="97">
        <v>19223.0</v>
      </c>
      <c r="P1136" s="5">
        <v>58.0</v>
      </c>
      <c r="Q1136" s="8">
        <f t="shared" si="36"/>
        <v>9922.06</v>
      </c>
    </row>
    <row r="1137">
      <c r="A1137" s="100" t="s">
        <v>7990</v>
      </c>
      <c r="B1137" s="8" t="s">
        <v>10510</v>
      </c>
      <c r="C1137" s="131" t="s">
        <v>1395</v>
      </c>
      <c r="D1137" s="8" t="s">
        <v>741</v>
      </c>
      <c r="E1137" s="8" t="s">
        <v>10511</v>
      </c>
      <c r="F1137" s="8"/>
      <c r="G1137" s="8"/>
      <c r="H1137" s="21">
        <v>3490.0</v>
      </c>
      <c r="I1137" s="8" t="s">
        <v>5299</v>
      </c>
      <c r="J1137" s="8" t="s">
        <v>116</v>
      </c>
      <c r="K1137" s="8" t="s">
        <v>49</v>
      </c>
      <c r="L1137" s="8" t="s">
        <v>71</v>
      </c>
      <c r="M1137" s="8" t="s">
        <v>28</v>
      </c>
      <c r="N1137" s="97">
        <v>20730.0</v>
      </c>
      <c r="O1137" s="610">
        <v>23494.0</v>
      </c>
      <c r="P1137" s="5">
        <v>48.0</v>
      </c>
      <c r="Q1137" s="8">
        <f t="shared" si="36"/>
        <v>9950.4</v>
      </c>
    </row>
    <row r="1138">
      <c r="A1138" s="100" t="s">
        <v>10512</v>
      </c>
      <c r="B1138" s="8" t="s">
        <v>10513</v>
      </c>
      <c r="C1138" s="131" t="s">
        <v>1395</v>
      </c>
      <c r="D1138" s="8" t="s">
        <v>741</v>
      </c>
      <c r="E1138" s="8" t="s">
        <v>10514</v>
      </c>
      <c r="F1138" s="8"/>
      <c r="G1138" s="8"/>
      <c r="H1138" s="21">
        <v>3490.0</v>
      </c>
      <c r="I1138" s="8" t="s">
        <v>10515</v>
      </c>
      <c r="J1138" s="8" t="s">
        <v>116</v>
      </c>
      <c r="K1138" s="8" t="s">
        <v>49</v>
      </c>
      <c r="L1138" s="8" t="s">
        <v>27</v>
      </c>
      <c r="M1138" s="8" t="s">
        <v>28</v>
      </c>
      <c r="N1138" s="97">
        <v>22319.0</v>
      </c>
      <c r="O1138" s="610">
        <v>25369.0</v>
      </c>
      <c r="P1138" s="5">
        <v>48.0</v>
      </c>
      <c r="Q1138" s="8">
        <f t="shared" si="36"/>
        <v>10713.12</v>
      </c>
    </row>
    <row r="1139">
      <c r="A1139" s="100" t="s">
        <v>10512</v>
      </c>
      <c r="B1139" s="8" t="s">
        <v>10516</v>
      </c>
      <c r="C1139" s="131" t="s">
        <v>1395</v>
      </c>
      <c r="D1139" s="8" t="s">
        <v>9702</v>
      </c>
      <c r="E1139" s="8" t="s">
        <v>10517</v>
      </c>
      <c r="F1139" s="8"/>
      <c r="G1139" s="8"/>
      <c r="H1139" s="21">
        <v>2700.0</v>
      </c>
      <c r="I1139" s="8" t="s">
        <v>6480</v>
      </c>
      <c r="J1139" s="8" t="s">
        <v>1424</v>
      </c>
      <c r="K1139" s="8" t="s">
        <v>49</v>
      </c>
      <c r="L1139" s="8" t="s">
        <v>219</v>
      </c>
      <c r="M1139" s="8" t="s">
        <v>28</v>
      </c>
      <c r="N1139" s="21">
        <v>21116.0</v>
      </c>
      <c r="O1139" s="611">
        <v>23954.0</v>
      </c>
      <c r="P1139" s="5">
        <v>52.0</v>
      </c>
      <c r="Q1139" s="8">
        <f t="shared" si="36"/>
        <v>10980.32</v>
      </c>
    </row>
    <row r="1140">
      <c r="A1140" s="100" t="s">
        <v>10512</v>
      </c>
      <c r="B1140" s="8" t="s">
        <v>6497</v>
      </c>
      <c r="C1140" s="131" t="s">
        <v>1395</v>
      </c>
      <c r="D1140" s="8" t="s">
        <v>10074</v>
      </c>
      <c r="E1140" s="8" t="s">
        <v>10518</v>
      </c>
      <c r="F1140" s="8"/>
      <c r="G1140" s="8"/>
      <c r="H1140" s="21">
        <v>1950.0</v>
      </c>
      <c r="I1140" s="8" t="s">
        <v>6480</v>
      </c>
      <c r="J1140" s="8" t="s">
        <v>1424</v>
      </c>
      <c r="K1140" s="8" t="s">
        <v>49</v>
      </c>
      <c r="L1140" s="8" t="s">
        <v>185</v>
      </c>
      <c r="M1140" s="8" t="s">
        <v>28</v>
      </c>
      <c r="N1140" s="21">
        <v>20031.0</v>
      </c>
      <c r="O1140" s="611">
        <v>22673.0</v>
      </c>
      <c r="P1140" s="5">
        <v>52.0</v>
      </c>
      <c r="Q1140" s="8">
        <f t="shared" si="36"/>
        <v>10416.12</v>
      </c>
    </row>
    <row r="1141">
      <c r="A1141" s="100" t="s">
        <v>10512</v>
      </c>
      <c r="B1141" s="8" t="s">
        <v>10519</v>
      </c>
      <c r="C1141" s="8" t="s">
        <v>21</v>
      </c>
      <c r="D1141" s="8" t="s">
        <v>10520</v>
      </c>
      <c r="E1141" s="8" t="s">
        <v>10521</v>
      </c>
      <c r="F1141" s="8"/>
      <c r="G1141" s="8"/>
      <c r="H1141" s="21">
        <v>35000.0</v>
      </c>
      <c r="I1141" s="8" t="s">
        <v>5299</v>
      </c>
      <c r="J1141" s="8" t="s">
        <v>353</v>
      </c>
      <c r="K1141" s="8" t="s">
        <v>49</v>
      </c>
      <c r="L1141" s="8" t="s">
        <v>27</v>
      </c>
      <c r="M1141" s="8" t="s">
        <v>28</v>
      </c>
      <c r="N1141" s="97">
        <v>47369.0</v>
      </c>
      <c r="O1141" s="610">
        <v>53258.0</v>
      </c>
      <c r="P1141" s="5">
        <v>23.0</v>
      </c>
      <c r="Q1141" s="8">
        <f t="shared" si="36"/>
        <v>10894.87</v>
      </c>
    </row>
    <row r="1142">
      <c r="A1142" s="100" t="s">
        <v>10512</v>
      </c>
      <c r="B1142" s="8" t="s">
        <v>10522</v>
      </c>
      <c r="C1142" s="131" t="s">
        <v>1395</v>
      </c>
      <c r="D1142" s="8" t="s">
        <v>524</v>
      </c>
      <c r="E1142" s="8" t="s">
        <v>10523</v>
      </c>
      <c r="F1142" s="8"/>
      <c r="G1142" s="8"/>
      <c r="H1142" s="21">
        <v>3490.0</v>
      </c>
      <c r="I1142" s="8" t="s">
        <v>5307</v>
      </c>
      <c r="J1142" s="8" t="s">
        <v>116</v>
      </c>
      <c r="K1142" s="8" t="s">
        <v>49</v>
      </c>
      <c r="L1142" s="8" t="s">
        <v>1436</v>
      </c>
      <c r="M1142" s="8" t="s">
        <v>28</v>
      </c>
      <c r="N1142" s="97">
        <v>21442.0</v>
      </c>
      <c r="O1142" s="610">
        <v>24334.0</v>
      </c>
      <c r="P1142" s="5">
        <v>48.0</v>
      </c>
      <c r="Q1142" s="8">
        <f t="shared" si="36"/>
        <v>10292.16</v>
      </c>
    </row>
    <row r="1143">
      <c r="A1143" s="100" t="s">
        <v>10512</v>
      </c>
      <c r="B1143" s="8" t="s">
        <v>5296</v>
      </c>
      <c r="C1143" s="131" t="s">
        <v>1395</v>
      </c>
      <c r="D1143" s="8" t="s">
        <v>178</v>
      </c>
      <c r="E1143" s="8" t="s">
        <v>5298</v>
      </c>
      <c r="F1143" s="8"/>
      <c r="G1143" s="8"/>
      <c r="H1143" s="21">
        <v>3460.0</v>
      </c>
      <c r="I1143" s="8" t="s">
        <v>5278</v>
      </c>
      <c r="J1143" s="8" t="s">
        <v>116</v>
      </c>
      <c r="K1143" s="8" t="s">
        <v>49</v>
      </c>
      <c r="L1143" s="8" t="s">
        <v>185</v>
      </c>
      <c r="M1143" s="8" t="s">
        <v>28</v>
      </c>
      <c r="N1143" s="97">
        <v>22025.0</v>
      </c>
      <c r="O1143" s="610">
        <v>25021.0</v>
      </c>
      <c r="P1143" s="5">
        <v>48.0</v>
      </c>
      <c r="Q1143" s="8">
        <f t="shared" si="36"/>
        <v>10572</v>
      </c>
    </row>
    <row r="1144">
      <c r="A1144" s="100" t="s">
        <v>10524</v>
      </c>
      <c r="B1144" s="8" t="s">
        <v>10525</v>
      </c>
      <c r="C1144" s="8" t="s">
        <v>533</v>
      </c>
      <c r="D1144" s="8" t="s">
        <v>5386</v>
      </c>
      <c r="E1144" s="8" t="s">
        <v>10526</v>
      </c>
      <c r="F1144" s="8"/>
      <c r="G1144" s="8"/>
      <c r="H1144" s="21">
        <v>1350.0</v>
      </c>
      <c r="I1144" s="8" t="s">
        <v>6480</v>
      </c>
      <c r="J1144" s="8" t="s">
        <v>116</v>
      </c>
      <c r="K1144" s="8" t="s">
        <v>49</v>
      </c>
      <c r="L1144" s="8" t="s">
        <v>340</v>
      </c>
      <c r="M1144" s="8" t="s">
        <v>28</v>
      </c>
      <c r="N1144" s="97">
        <v>14072.0</v>
      </c>
      <c r="O1144" s="610">
        <v>16604.0</v>
      </c>
      <c r="P1144" s="5">
        <v>27.0</v>
      </c>
      <c r="Q1144" s="8">
        <f t="shared" si="36"/>
        <v>3799.44</v>
      </c>
    </row>
    <row r="1145">
      <c r="A1145" s="100" t="s">
        <v>10524</v>
      </c>
      <c r="B1145" s="8" t="s">
        <v>10527</v>
      </c>
      <c r="C1145" s="8" t="s">
        <v>533</v>
      </c>
      <c r="D1145" s="8" t="s">
        <v>10528</v>
      </c>
      <c r="E1145" s="8" t="s">
        <v>10529</v>
      </c>
      <c r="F1145" s="8"/>
      <c r="G1145" s="8"/>
      <c r="H1145" s="21">
        <v>2990.0</v>
      </c>
      <c r="I1145" s="8" t="s">
        <v>5278</v>
      </c>
      <c r="J1145" s="8" t="s">
        <v>116</v>
      </c>
      <c r="K1145" s="8" t="s">
        <v>26</v>
      </c>
      <c r="L1145" s="8" t="s">
        <v>27</v>
      </c>
      <c r="M1145" s="8" t="s">
        <v>28</v>
      </c>
      <c r="N1145" s="97">
        <v>7317.0</v>
      </c>
      <c r="O1145" s="610">
        <v>8634.0</v>
      </c>
      <c r="P1145" s="5">
        <v>27.0</v>
      </c>
      <c r="Q1145" s="8">
        <f t="shared" si="36"/>
        <v>1975.59</v>
      </c>
    </row>
    <row r="1146">
      <c r="A1146" s="100" t="s">
        <v>10524</v>
      </c>
      <c r="B1146" s="86" t="s">
        <v>10530</v>
      </c>
      <c r="C1146" s="86" t="s">
        <v>1432</v>
      </c>
      <c r="D1146" s="86" t="s">
        <v>1760</v>
      </c>
      <c r="E1146" s="8"/>
      <c r="F1146" s="8"/>
      <c r="G1146" s="8"/>
      <c r="H1146" s="21"/>
      <c r="I1146" s="8" t="s">
        <v>5278</v>
      </c>
      <c r="J1146" s="86" t="s">
        <v>1424</v>
      </c>
      <c r="K1146" s="86" t="s">
        <v>49</v>
      </c>
      <c r="L1146" s="86" t="s">
        <v>27</v>
      </c>
      <c r="M1146" s="86" t="s">
        <v>28</v>
      </c>
      <c r="N1146" s="203">
        <v>6450.0</v>
      </c>
      <c r="O1146" s="612">
        <v>7610.0</v>
      </c>
      <c r="P1146" s="5">
        <v>53.0</v>
      </c>
      <c r="Q1146" s="8">
        <f t="shared" si="36"/>
        <v>3418.5</v>
      </c>
    </row>
    <row r="1147">
      <c r="A1147" s="100" t="s">
        <v>10524</v>
      </c>
      <c r="B1147" s="86" t="s">
        <v>6283</v>
      </c>
      <c r="C1147" s="86" t="s">
        <v>21</v>
      </c>
      <c r="D1147" s="86" t="s">
        <v>10531</v>
      </c>
      <c r="E1147" s="8"/>
      <c r="F1147" s="8"/>
      <c r="G1147" s="8"/>
      <c r="H1147" s="165">
        <v>16200.0</v>
      </c>
      <c r="I1147" s="8" t="s">
        <v>5299</v>
      </c>
      <c r="J1147" s="86" t="s">
        <v>1419</v>
      </c>
      <c r="K1147" s="86" t="s">
        <v>26</v>
      </c>
      <c r="L1147" s="86" t="s">
        <v>71</v>
      </c>
      <c r="M1147" s="86" t="s">
        <v>28</v>
      </c>
      <c r="N1147" s="203">
        <v>35463.0</v>
      </c>
      <c r="O1147" s="612">
        <v>39729.0</v>
      </c>
      <c r="P1147" s="5">
        <v>43.0</v>
      </c>
      <c r="Q1147" s="8">
        <f t="shared" si="36"/>
        <v>15249.09</v>
      </c>
    </row>
    <row r="1148">
      <c r="A1148" s="100" t="s">
        <v>10524</v>
      </c>
      <c r="B1148" s="86" t="s">
        <v>10532</v>
      </c>
      <c r="C1148" s="86" t="s">
        <v>1395</v>
      </c>
      <c r="D1148" s="86" t="s">
        <v>528</v>
      </c>
      <c r="E1148" s="8"/>
      <c r="F1148" s="8"/>
      <c r="G1148" s="8"/>
      <c r="H1148" s="165">
        <v>2400.0</v>
      </c>
      <c r="I1148" s="86" t="s">
        <v>5285</v>
      </c>
      <c r="J1148" s="86" t="s">
        <v>9946</v>
      </c>
      <c r="K1148" s="86" t="s">
        <v>49</v>
      </c>
      <c r="L1148" s="86" t="s">
        <v>71</v>
      </c>
      <c r="M1148" s="86" t="s">
        <v>28</v>
      </c>
      <c r="N1148" s="203">
        <v>17441.0</v>
      </c>
      <c r="O1148" s="612">
        <v>19617.0</v>
      </c>
      <c r="P1148" s="5">
        <v>58.0</v>
      </c>
      <c r="Q1148" s="8">
        <f t="shared" si="36"/>
        <v>10115.78</v>
      </c>
    </row>
    <row r="1149">
      <c r="A1149" s="100" t="s">
        <v>10524</v>
      </c>
      <c r="B1149" s="86" t="s">
        <v>10533</v>
      </c>
      <c r="C1149" s="86" t="s">
        <v>1432</v>
      </c>
      <c r="D1149" s="86" t="s">
        <v>1760</v>
      </c>
      <c r="E1149" s="8"/>
      <c r="F1149" s="8"/>
      <c r="G1149" s="8"/>
      <c r="H1149" s="21"/>
      <c r="I1149" s="8" t="s">
        <v>5278</v>
      </c>
      <c r="J1149" s="86" t="s">
        <v>1424</v>
      </c>
      <c r="K1149" s="86" t="s">
        <v>49</v>
      </c>
      <c r="L1149" s="86" t="s">
        <v>27</v>
      </c>
      <c r="M1149" s="86" t="s">
        <v>28</v>
      </c>
      <c r="N1149" s="203">
        <v>6344.0</v>
      </c>
      <c r="O1149" s="612">
        <v>7486.0</v>
      </c>
      <c r="P1149" s="5">
        <v>53.0</v>
      </c>
      <c r="Q1149" s="8">
        <f t="shared" si="36"/>
        <v>3362.32</v>
      </c>
    </row>
    <row r="1150">
      <c r="A1150" s="100" t="s">
        <v>10524</v>
      </c>
      <c r="B1150" s="86" t="s">
        <v>10534</v>
      </c>
      <c r="C1150" s="86" t="s">
        <v>1395</v>
      </c>
      <c r="D1150" s="86" t="s">
        <v>262</v>
      </c>
      <c r="E1150" s="8"/>
      <c r="F1150" s="8"/>
      <c r="G1150" s="8"/>
      <c r="H1150" s="165">
        <v>1600.0</v>
      </c>
      <c r="I1150" s="8" t="s">
        <v>5278</v>
      </c>
      <c r="J1150" s="86" t="s">
        <v>1424</v>
      </c>
      <c r="K1150" s="86" t="s">
        <v>49</v>
      </c>
      <c r="L1150" s="86" t="s">
        <v>185</v>
      </c>
      <c r="M1150" s="86" t="s">
        <v>28</v>
      </c>
      <c r="N1150" s="203">
        <v>19131.0</v>
      </c>
      <c r="O1150" s="612">
        <v>21611.0</v>
      </c>
      <c r="P1150" s="5">
        <v>52.0</v>
      </c>
      <c r="Q1150" s="8">
        <f t="shared" si="36"/>
        <v>9948.12</v>
      </c>
    </row>
    <row r="1151">
      <c r="A1151" s="100" t="s">
        <v>10524</v>
      </c>
      <c r="B1151" s="86" t="s">
        <v>10535</v>
      </c>
      <c r="C1151" s="86" t="s">
        <v>75</v>
      </c>
      <c r="D1151" s="86" t="s">
        <v>1760</v>
      </c>
      <c r="H1151" s="86">
        <v>990.0</v>
      </c>
      <c r="I1151" s="86" t="s">
        <v>10536</v>
      </c>
      <c r="J1151" s="86" t="s">
        <v>78</v>
      </c>
      <c r="K1151" s="86" t="s">
        <v>49</v>
      </c>
      <c r="L1151" s="86" t="s">
        <v>365</v>
      </c>
      <c r="M1151" s="86" t="s">
        <v>28</v>
      </c>
      <c r="N1151" s="86">
        <v>5078.0</v>
      </c>
      <c r="O1151" s="86">
        <v>5722.0</v>
      </c>
      <c r="P1151" s="86">
        <v>55.0</v>
      </c>
      <c r="Q1151" s="8">
        <f t="shared" si="36"/>
        <v>2792.9</v>
      </c>
    </row>
    <row r="1152">
      <c r="A1152" s="100" t="s">
        <v>10524</v>
      </c>
      <c r="B1152" s="86" t="s">
        <v>10537</v>
      </c>
      <c r="C1152" s="86" t="s">
        <v>1395</v>
      </c>
      <c r="D1152" s="86" t="s">
        <v>528</v>
      </c>
      <c r="H1152" s="86">
        <v>2670.0</v>
      </c>
      <c r="I1152" s="86" t="s">
        <v>10515</v>
      </c>
      <c r="J1152" s="86" t="s">
        <v>1424</v>
      </c>
      <c r="K1152" s="86" t="s">
        <v>49</v>
      </c>
      <c r="L1152" s="86" t="s">
        <v>27</v>
      </c>
      <c r="M1152" s="86" t="s">
        <v>28</v>
      </c>
      <c r="N1152" s="86">
        <v>18981.0</v>
      </c>
      <c r="O1152" s="86">
        <v>21435.0</v>
      </c>
      <c r="P1152" s="5">
        <v>52.0</v>
      </c>
      <c r="Q1152" s="8">
        <f t="shared" si="36"/>
        <v>9870.12</v>
      </c>
    </row>
    <row r="1153">
      <c r="A1153" s="100" t="s">
        <v>10524</v>
      </c>
      <c r="B1153" s="86" t="s">
        <v>10538</v>
      </c>
      <c r="C1153" s="86" t="s">
        <v>21</v>
      </c>
      <c r="D1153" s="86" t="s">
        <v>1537</v>
      </c>
      <c r="H1153" s="86">
        <v>28000.0</v>
      </c>
      <c r="I1153" s="86" t="s">
        <v>5285</v>
      </c>
      <c r="J1153" s="86" t="s">
        <v>25</v>
      </c>
      <c r="K1153" s="86" t="s">
        <v>26</v>
      </c>
      <c r="L1153" s="86" t="s">
        <v>27</v>
      </c>
      <c r="M1153" s="86" t="s">
        <v>28</v>
      </c>
      <c r="N1153" s="86">
        <v>44150.0</v>
      </c>
      <c r="O1153" s="86">
        <v>49460.0</v>
      </c>
      <c r="P1153" s="5">
        <v>43.0</v>
      </c>
      <c r="Q1153" s="8">
        <f t="shared" si="36"/>
        <v>18984.5</v>
      </c>
    </row>
    <row r="1154">
      <c r="A1154" s="100" t="s">
        <v>10524</v>
      </c>
      <c r="B1154" s="86" t="s">
        <v>5305</v>
      </c>
      <c r="C1154" s="86" t="s">
        <v>1432</v>
      </c>
      <c r="D1154" s="86" t="s">
        <v>1760</v>
      </c>
      <c r="H1154" s="86"/>
      <c r="I1154" s="86" t="s">
        <v>5307</v>
      </c>
      <c r="J1154" s="86" t="s">
        <v>1424</v>
      </c>
      <c r="K1154" s="86" t="s">
        <v>49</v>
      </c>
      <c r="L1154" s="86" t="s">
        <v>10539</v>
      </c>
      <c r="M1154" s="86" t="s">
        <v>28</v>
      </c>
      <c r="N1154" s="86">
        <v>6375.0</v>
      </c>
      <c r="O1154" s="86">
        <v>7523.0</v>
      </c>
      <c r="P1154" s="5">
        <v>53.0</v>
      </c>
      <c r="Q1154" s="8">
        <f t="shared" si="36"/>
        <v>3378.75</v>
      </c>
    </row>
    <row r="1155">
      <c r="A1155" s="100" t="s">
        <v>10524</v>
      </c>
      <c r="B1155" s="86" t="s">
        <v>10540</v>
      </c>
      <c r="C1155" s="86" t="s">
        <v>1432</v>
      </c>
      <c r="D1155" s="86" t="s">
        <v>1760</v>
      </c>
      <c r="H1155" s="86"/>
      <c r="I1155" s="86" t="s">
        <v>5278</v>
      </c>
      <c r="J1155" s="86" t="s">
        <v>1424</v>
      </c>
      <c r="K1155" s="86" t="s">
        <v>49</v>
      </c>
      <c r="L1155" s="86" t="s">
        <v>1436</v>
      </c>
      <c r="M1155" s="86" t="s">
        <v>28</v>
      </c>
      <c r="N1155" s="86">
        <v>6375.0</v>
      </c>
      <c r="O1155" s="86">
        <v>7523.0</v>
      </c>
      <c r="P1155" s="5">
        <v>53.0</v>
      </c>
      <c r="Q1155" s="8">
        <f t="shared" si="36"/>
        <v>3378.75</v>
      </c>
    </row>
    <row r="1156">
      <c r="A1156" s="100" t="s">
        <v>10524</v>
      </c>
      <c r="B1156" s="86" t="s">
        <v>10541</v>
      </c>
      <c r="C1156" s="86" t="s">
        <v>1395</v>
      </c>
      <c r="D1156" s="86" t="s">
        <v>741</v>
      </c>
      <c r="E1156" s="86"/>
      <c r="F1156" s="86"/>
      <c r="G1156" s="86"/>
      <c r="H1156" s="86">
        <v>3490.0</v>
      </c>
      <c r="I1156" s="8" t="s">
        <v>5299</v>
      </c>
      <c r="J1156" s="86" t="s">
        <v>116</v>
      </c>
      <c r="K1156" s="86" t="s">
        <v>49</v>
      </c>
      <c r="L1156" s="86" t="s">
        <v>1616</v>
      </c>
      <c r="M1156" s="86" t="s">
        <v>28</v>
      </c>
      <c r="N1156" s="86">
        <v>21750.0</v>
      </c>
      <c r="O1156" s="86">
        <v>24698.0</v>
      </c>
      <c r="P1156" s="5">
        <v>48.0</v>
      </c>
      <c r="Q1156" s="8">
        <f t="shared" si="36"/>
        <v>10440</v>
      </c>
    </row>
    <row r="1157">
      <c r="A1157" s="100" t="s">
        <v>10524</v>
      </c>
      <c r="B1157" s="86" t="s">
        <v>10542</v>
      </c>
      <c r="C1157" s="86" t="s">
        <v>1395</v>
      </c>
      <c r="D1157" s="86" t="s">
        <v>528</v>
      </c>
      <c r="E1157" s="86"/>
      <c r="F1157" s="86"/>
      <c r="G1157" s="86"/>
      <c r="H1157" s="86">
        <v>3480.0</v>
      </c>
      <c r="I1157" s="86" t="s">
        <v>5315</v>
      </c>
      <c r="J1157" s="86" t="s">
        <v>116</v>
      </c>
      <c r="K1157" s="86" t="s">
        <v>49</v>
      </c>
      <c r="L1157" s="86" t="s">
        <v>1616</v>
      </c>
      <c r="M1157" s="86" t="s">
        <v>28</v>
      </c>
      <c r="N1157" s="86">
        <v>22319.0</v>
      </c>
      <c r="O1157" s="86">
        <v>25369.0</v>
      </c>
      <c r="P1157" s="5">
        <v>48.0</v>
      </c>
      <c r="Q1157" s="8">
        <f t="shared" si="36"/>
        <v>10713.12</v>
      </c>
    </row>
    <row r="1158">
      <c r="A1158" s="107" t="s">
        <v>7997</v>
      </c>
      <c r="B1158" s="108" t="s">
        <v>10543</v>
      </c>
      <c r="C1158" s="108" t="s">
        <v>21</v>
      </c>
      <c r="D1158" s="108" t="s">
        <v>10544</v>
      </c>
      <c r="E1158" s="108" t="s">
        <v>10545</v>
      </c>
      <c r="F1158" s="108"/>
      <c r="G1158" s="108"/>
      <c r="H1158" s="114">
        <v>35000.0</v>
      </c>
      <c r="I1158" s="108" t="s">
        <v>6278</v>
      </c>
      <c r="J1158" s="108" t="s">
        <v>353</v>
      </c>
      <c r="K1158" s="108" t="s">
        <v>49</v>
      </c>
      <c r="L1158" s="108" t="s">
        <v>389</v>
      </c>
      <c r="M1158" s="108" t="s">
        <v>28</v>
      </c>
      <c r="N1158" s="116">
        <v>77348.0</v>
      </c>
      <c r="O1158" s="613">
        <v>88634.0</v>
      </c>
      <c r="P1158" s="5">
        <v>23.0</v>
      </c>
      <c r="Q1158" s="8">
        <f t="shared" si="36"/>
        <v>17790.04</v>
      </c>
      <c r="R1158" s="614" t="s">
        <v>10546</v>
      </c>
      <c r="S1158" s="615"/>
    </row>
    <row r="1159">
      <c r="A1159" s="107" t="s">
        <v>7997</v>
      </c>
      <c r="B1159" s="108" t="s">
        <v>10547</v>
      </c>
      <c r="C1159" s="108" t="s">
        <v>21</v>
      </c>
      <c r="D1159" s="108" t="s">
        <v>10544</v>
      </c>
      <c r="E1159" s="108" t="s">
        <v>10545</v>
      </c>
      <c r="F1159" s="108"/>
      <c r="G1159" s="108"/>
      <c r="H1159" s="114">
        <v>35000.0</v>
      </c>
      <c r="I1159" s="108" t="s">
        <v>6278</v>
      </c>
      <c r="J1159" s="108" t="s">
        <v>353</v>
      </c>
      <c r="K1159" s="108" t="s">
        <v>49</v>
      </c>
      <c r="L1159" s="108" t="s">
        <v>389</v>
      </c>
      <c r="M1159" s="108" t="s">
        <v>28</v>
      </c>
      <c r="N1159" s="116">
        <v>79490.0</v>
      </c>
      <c r="O1159" s="613">
        <v>91161.0</v>
      </c>
      <c r="P1159" s="5">
        <v>23.0</v>
      </c>
      <c r="Q1159" s="8">
        <f t="shared" si="36"/>
        <v>18282.7</v>
      </c>
      <c r="R1159" s="616"/>
      <c r="S1159" s="617"/>
    </row>
    <row r="1160">
      <c r="A1160" s="107" t="s">
        <v>10524</v>
      </c>
      <c r="B1160" s="108" t="s">
        <v>8015</v>
      </c>
      <c r="C1160" s="108" t="s">
        <v>1395</v>
      </c>
      <c r="D1160" s="108" t="s">
        <v>481</v>
      </c>
      <c r="E1160" s="108" t="s">
        <v>8016</v>
      </c>
      <c r="F1160" s="108"/>
      <c r="G1160" s="108"/>
      <c r="H1160" s="114">
        <v>3490.0</v>
      </c>
      <c r="I1160" s="108" t="s">
        <v>5299</v>
      </c>
      <c r="J1160" s="108" t="s">
        <v>1419</v>
      </c>
      <c r="K1160" s="108" t="s">
        <v>49</v>
      </c>
      <c r="L1160" s="108" t="s">
        <v>71</v>
      </c>
      <c r="M1160" s="108" t="s">
        <v>28</v>
      </c>
      <c r="N1160" s="114">
        <v>26408.0</v>
      </c>
      <c r="O1160" s="618">
        <v>30198.0</v>
      </c>
      <c r="P1160" s="5">
        <v>50.0</v>
      </c>
      <c r="Q1160" s="8">
        <f t="shared" si="36"/>
        <v>13204</v>
      </c>
      <c r="R1160" s="616"/>
      <c r="S1160" s="617"/>
    </row>
    <row r="1161">
      <c r="A1161" s="105">
        <v>45392.0</v>
      </c>
      <c r="B1161" s="108" t="s">
        <v>10548</v>
      </c>
      <c r="C1161" s="108" t="s">
        <v>21</v>
      </c>
      <c r="D1161" s="108" t="s">
        <v>10549</v>
      </c>
      <c r="E1161" s="108" t="s">
        <v>10550</v>
      </c>
      <c r="F1161" s="108">
        <v>9.825404974E9</v>
      </c>
      <c r="G1161" s="108"/>
      <c r="H1161" s="114">
        <v>25000.0</v>
      </c>
      <c r="I1161" s="110">
        <v>45787.0</v>
      </c>
      <c r="J1161" s="108" t="s">
        <v>9946</v>
      </c>
      <c r="K1161" s="108" t="s">
        <v>49</v>
      </c>
      <c r="L1161" s="108" t="s">
        <v>71</v>
      </c>
      <c r="M1161" s="108" t="s">
        <v>28</v>
      </c>
      <c r="N1161" s="116">
        <v>45533.0</v>
      </c>
      <c r="O1161" s="613">
        <v>51092.0</v>
      </c>
      <c r="P1161" s="86">
        <v>26.0</v>
      </c>
      <c r="Q1161" s="8">
        <f t="shared" si="36"/>
        <v>11838.58</v>
      </c>
      <c r="R1161" s="616"/>
      <c r="S1161" s="617"/>
      <c r="T1161" s="58"/>
      <c r="U1161" s="58"/>
      <c r="V1161" s="58"/>
      <c r="W1161" s="58"/>
      <c r="X1161" s="58"/>
      <c r="Y1161" s="58"/>
      <c r="Z1161" s="58"/>
      <c r="AA1161" s="58"/>
      <c r="AB1161" s="58"/>
      <c r="AC1161" s="58"/>
      <c r="AD1161" s="58"/>
      <c r="AE1161" s="58"/>
    </row>
    <row r="1162">
      <c r="A1162" s="105">
        <v>45361.0</v>
      </c>
      <c r="B1162" s="108" t="s">
        <v>10551</v>
      </c>
      <c r="C1162" s="108" t="s">
        <v>21</v>
      </c>
      <c r="D1162" s="108" t="s">
        <v>9056</v>
      </c>
      <c r="E1162" s="108" t="s">
        <v>10552</v>
      </c>
      <c r="F1162" s="108">
        <v>7.698764024E9</v>
      </c>
      <c r="G1162" s="108"/>
      <c r="H1162" s="114">
        <v>35000.0</v>
      </c>
      <c r="I1162" s="110">
        <v>45757.0</v>
      </c>
      <c r="J1162" s="108" t="s">
        <v>78</v>
      </c>
      <c r="K1162" s="108" t="s">
        <v>49</v>
      </c>
      <c r="L1162" s="108" t="s">
        <v>219</v>
      </c>
      <c r="M1162" s="108" t="s">
        <v>28</v>
      </c>
      <c r="N1162" s="114">
        <v>89080.0</v>
      </c>
      <c r="O1162" s="618">
        <v>102477.0</v>
      </c>
      <c r="P1162" s="86">
        <v>23.0</v>
      </c>
      <c r="Q1162" s="8">
        <f t="shared" si="36"/>
        <v>20488.4</v>
      </c>
      <c r="R1162" s="616"/>
      <c r="S1162" s="617"/>
      <c r="T1162" s="58"/>
      <c r="U1162" s="58"/>
      <c r="V1162" s="58"/>
      <c r="W1162" s="58"/>
      <c r="X1162" s="58"/>
      <c r="Y1162" s="58"/>
      <c r="Z1162" s="58"/>
      <c r="AA1162" s="58"/>
      <c r="AB1162" s="58"/>
      <c r="AC1162" s="58"/>
      <c r="AD1162" s="58"/>
      <c r="AE1162" s="58"/>
    </row>
    <row r="1163">
      <c r="A1163" s="107" t="s">
        <v>7791</v>
      </c>
      <c r="B1163" s="108" t="s">
        <v>7826</v>
      </c>
      <c r="C1163" s="108" t="s">
        <v>21</v>
      </c>
      <c r="D1163" s="108" t="s">
        <v>2002</v>
      </c>
      <c r="E1163" s="108" t="s">
        <v>7827</v>
      </c>
      <c r="F1163" s="108">
        <v>9.925112789E9</v>
      </c>
      <c r="G1163" s="108"/>
      <c r="H1163" s="114">
        <v>42000.0</v>
      </c>
      <c r="I1163" s="114" t="s">
        <v>10229</v>
      </c>
      <c r="J1163" s="108" t="s">
        <v>9946</v>
      </c>
      <c r="K1163" s="108" t="s">
        <v>49</v>
      </c>
      <c r="L1163" s="108" t="s">
        <v>71</v>
      </c>
      <c r="M1163" s="108" t="s">
        <v>28</v>
      </c>
      <c r="N1163" s="116">
        <v>46579.0</v>
      </c>
      <c r="O1163" s="613">
        <v>52309.0</v>
      </c>
      <c r="P1163" s="86">
        <v>26.0</v>
      </c>
      <c r="Q1163" s="8">
        <f t="shared" si="36"/>
        <v>12110.54</v>
      </c>
      <c r="R1163" s="616"/>
      <c r="S1163" s="617"/>
      <c r="T1163" s="58"/>
      <c r="U1163" s="58"/>
      <c r="V1163" s="58"/>
      <c r="W1163" s="58"/>
      <c r="X1163" s="58"/>
      <c r="Y1163" s="58"/>
      <c r="Z1163" s="58"/>
      <c r="AA1163" s="58"/>
      <c r="AB1163" s="58"/>
      <c r="AC1163" s="58"/>
      <c r="AD1163" s="58"/>
      <c r="AE1163" s="58"/>
    </row>
    <row r="1164">
      <c r="A1164" s="107" t="s">
        <v>7755</v>
      </c>
      <c r="B1164" s="108" t="s">
        <v>10553</v>
      </c>
      <c r="C1164" s="108" t="s">
        <v>21</v>
      </c>
      <c r="D1164" s="108" t="s">
        <v>10554</v>
      </c>
      <c r="E1164" s="108" t="s">
        <v>10555</v>
      </c>
      <c r="F1164" s="108">
        <v>8.758870374E9</v>
      </c>
      <c r="G1164" s="108"/>
      <c r="H1164" s="114">
        <v>17750.0</v>
      </c>
      <c r="I1164" s="114" t="s">
        <v>5020</v>
      </c>
      <c r="J1164" s="108" t="s">
        <v>78</v>
      </c>
      <c r="K1164" s="108" t="s">
        <v>49</v>
      </c>
      <c r="L1164" s="108" t="s">
        <v>365</v>
      </c>
      <c r="M1164" s="108" t="s">
        <v>28</v>
      </c>
      <c r="N1164" s="114">
        <v>39525.0</v>
      </c>
      <c r="O1164" s="618">
        <v>44521.0</v>
      </c>
      <c r="P1164" s="86">
        <v>25.0</v>
      </c>
      <c r="Q1164" s="8">
        <f t="shared" si="36"/>
        <v>9881.25</v>
      </c>
      <c r="R1164" s="616"/>
      <c r="S1164" s="617"/>
      <c r="T1164" s="58"/>
      <c r="U1164" s="58"/>
      <c r="V1164" s="58"/>
      <c r="W1164" s="58"/>
      <c r="X1164" s="58"/>
      <c r="Y1164" s="58"/>
      <c r="Z1164" s="58"/>
      <c r="AA1164" s="58"/>
      <c r="AB1164" s="58"/>
      <c r="AC1164" s="58"/>
      <c r="AD1164" s="58"/>
      <c r="AE1164" s="58"/>
    </row>
    <row r="1165">
      <c r="A1165" s="107" t="s">
        <v>7795</v>
      </c>
      <c r="B1165" s="108" t="s">
        <v>10556</v>
      </c>
      <c r="C1165" s="108" t="s">
        <v>21</v>
      </c>
      <c r="D1165" s="108" t="s">
        <v>9392</v>
      </c>
      <c r="E1165" s="108" t="s">
        <v>10557</v>
      </c>
      <c r="F1165" s="108">
        <v>9.727364709E9</v>
      </c>
      <c r="G1165" s="108"/>
      <c r="H1165" s="114">
        <v>35000.0</v>
      </c>
      <c r="I1165" s="114" t="s">
        <v>5169</v>
      </c>
      <c r="J1165" s="108" t="s">
        <v>78</v>
      </c>
      <c r="K1165" s="108" t="s">
        <v>49</v>
      </c>
      <c r="L1165" s="108" t="s">
        <v>1436</v>
      </c>
      <c r="M1165" s="108" t="s">
        <v>28</v>
      </c>
      <c r="N1165" s="114">
        <v>93162.0</v>
      </c>
      <c r="O1165" s="618">
        <v>107294.0</v>
      </c>
      <c r="P1165" s="86">
        <v>23.0</v>
      </c>
      <c r="Q1165" s="8">
        <f t="shared" si="36"/>
        <v>21427.26</v>
      </c>
      <c r="R1165" s="616"/>
      <c r="S1165" s="617"/>
      <c r="T1165" s="58"/>
      <c r="U1165" s="58"/>
      <c r="V1165" s="58"/>
      <c r="W1165" s="58"/>
      <c r="X1165" s="58"/>
      <c r="Y1165" s="58"/>
      <c r="Z1165" s="58"/>
      <c r="AA1165" s="58"/>
      <c r="AB1165" s="58"/>
      <c r="AC1165" s="58"/>
      <c r="AD1165" s="58"/>
      <c r="AE1165" s="58"/>
    </row>
    <row r="1166">
      <c r="A1166" s="107" t="s">
        <v>7791</v>
      </c>
      <c r="B1166" s="108" t="s">
        <v>10558</v>
      </c>
      <c r="C1166" s="108" t="s">
        <v>21</v>
      </c>
      <c r="D1166" s="108" t="s">
        <v>10554</v>
      </c>
      <c r="E1166" s="108" t="s">
        <v>10559</v>
      </c>
      <c r="F1166" s="108">
        <v>9.913772807E9</v>
      </c>
      <c r="G1166" s="108"/>
      <c r="H1166" s="114">
        <v>17750.0</v>
      </c>
      <c r="I1166" s="114" t="s">
        <v>5030</v>
      </c>
      <c r="J1166" s="108" t="s">
        <v>78</v>
      </c>
      <c r="K1166" s="108" t="s">
        <v>49</v>
      </c>
      <c r="L1166" s="108" t="s">
        <v>1451</v>
      </c>
      <c r="M1166" s="108" t="s">
        <v>28</v>
      </c>
      <c r="N1166" s="114">
        <v>59184.0</v>
      </c>
      <c r="O1166" s="618">
        <v>67719.0</v>
      </c>
      <c r="P1166" s="86">
        <v>25.0</v>
      </c>
      <c r="Q1166" s="8">
        <f t="shared" si="36"/>
        <v>14796</v>
      </c>
      <c r="R1166" s="619"/>
      <c r="S1166" s="506"/>
      <c r="T1166" s="58"/>
      <c r="U1166" s="58"/>
      <c r="V1166" s="58"/>
      <c r="W1166" s="58"/>
      <c r="X1166" s="58"/>
      <c r="Y1166" s="58"/>
      <c r="Z1166" s="58"/>
      <c r="AA1166" s="58"/>
      <c r="AB1166" s="58"/>
      <c r="AC1166" s="58"/>
      <c r="AD1166" s="58"/>
      <c r="AE1166" s="58"/>
    </row>
    <row r="1167">
      <c r="A1167" s="93"/>
      <c r="B1167" s="58"/>
      <c r="C1167" s="58"/>
      <c r="D1167" s="58"/>
      <c r="E1167" s="58"/>
      <c r="F1167" s="58"/>
      <c r="G1167" s="58"/>
      <c r="H1167" s="88"/>
      <c r="I1167" s="88"/>
      <c r="J1167" s="58"/>
      <c r="K1167" s="58"/>
      <c r="L1167" s="58"/>
      <c r="M1167" s="58"/>
      <c r="N1167" s="88"/>
      <c r="O1167" s="88"/>
    </row>
    <row r="1168">
      <c r="A1168" s="93"/>
      <c r="B1168" s="58"/>
      <c r="C1168" s="58"/>
      <c r="D1168" s="58"/>
      <c r="E1168" s="58"/>
      <c r="F1168" s="58"/>
      <c r="G1168" s="58"/>
      <c r="H1168" s="88"/>
      <c r="I1168" s="88"/>
      <c r="J1168" s="58"/>
      <c r="K1168" s="58"/>
      <c r="L1168" s="58"/>
      <c r="M1168" s="58"/>
      <c r="N1168" s="88"/>
      <c r="O1168" s="88"/>
    </row>
    <row r="1169">
      <c r="A1169" s="100" t="s">
        <v>10560</v>
      </c>
      <c r="B1169" s="8" t="s">
        <v>10561</v>
      </c>
      <c r="C1169" s="131" t="s">
        <v>1395</v>
      </c>
      <c r="D1169" s="8" t="s">
        <v>2116</v>
      </c>
      <c r="E1169" s="8" t="s">
        <v>10562</v>
      </c>
      <c r="F1169" s="8">
        <v>9.924565213E9</v>
      </c>
      <c r="G1169" s="8"/>
      <c r="H1169" s="21">
        <v>1600.0</v>
      </c>
      <c r="I1169" s="21" t="s">
        <v>10515</v>
      </c>
      <c r="J1169" s="8" t="s">
        <v>1424</v>
      </c>
      <c r="K1169" s="8" t="s">
        <v>49</v>
      </c>
      <c r="L1169" s="8" t="s">
        <v>219</v>
      </c>
      <c r="M1169" s="8" t="s">
        <v>28</v>
      </c>
      <c r="N1169" s="21">
        <v>19341.0</v>
      </c>
      <c r="O1169" s="21">
        <v>21859.0</v>
      </c>
      <c r="P1169" s="6">
        <v>52.0</v>
      </c>
      <c r="Q1169" s="8">
        <f t="shared" ref="Q1169:Q1221" si="37">N1169*P1169%</f>
        <v>10057.32</v>
      </c>
    </row>
    <row r="1170">
      <c r="A1170" s="100" t="s">
        <v>8014</v>
      </c>
      <c r="B1170" s="8" t="s">
        <v>10563</v>
      </c>
      <c r="C1170" s="8" t="s">
        <v>1432</v>
      </c>
      <c r="D1170" s="8" t="s">
        <v>2125</v>
      </c>
      <c r="E1170" s="8" t="s">
        <v>10564</v>
      </c>
      <c r="F1170" s="8"/>
      <c r="G1170" s="8"/>
      <c r="H1170" s="21">
        <v>436.0</v>
      </c>
      <c r="I1170" s="21" t="s">
        <v>10565</v>
      </c>
      <c r="J1170" s="8" t="s">
        <v>1424</v>
      </c>
      <c r="K1170" s="8" t="s">
        <v>49</v>
      </c>
      <c r="L1170" s="8" t="s">
        <v>1451</v>
      </c>
      <c r="M1170" s="8" t="s">
        <v>28</v>
      </c>
      <c r="N1170" s="21">
        <v>6375.0</v>
      </c>
      <c r="O1170" s="21">
        <v>7523.0</v>
      </c>
      <c r="P1170" s="6">
        <v>53.0</v>
      </c>
      <c r="Q1170" s="8">
        <f t="shared" si="37"/>
        <v>3378.75</v>
      </c>
    </row>
    <row r="1171">
      <c r="A1171" s="100" t="s">
        <v>8014</v>
      </c>
      <c r="B1171" s="8" t="s">
        <v>8025</v>
      </c>
      <c r="C1171" s="131" t="s">
        <v>1395</v>
      </c>
      <c r="D1171" s="8" t="s">
        <v>9702</v>
      </c>
      <c r="E1171" s="8" t="s">
        <v>8026</v>
      </c>
      <c r="F1171" s="8"/>
      <c r="G1171" s="8"/>
      <c r="H1171" s="21">
        <v>2620.0</v>
      </c>
      <c r="I1171" s="21" t="s">
        <v>5307</v>
      </c>
      <c r="J1171" s="8" t="s">
        <v>1424</v>
      </c>
      <c r="K1171" s="8" t="s">
        <v>49</v>
      </c>
      <c r="L1171" s="8" t="s">
        <v>71</v>
      </c>
      <c r="M1171" s="8" t="s">
        <v>28</v>
      </c>
      <c r="N1171" s="21">
        <v>17702.0</v>
      </c>
      <c r="O1171" s="21">
        <v>19926.0</v>
      </c>
      <c r="P1171" s="6">
        <v>52.0</v>
      </c>
      <c r="Q1171" s="8">
        <f t="shared" si="37"/>
        <v>9205.04</v>
      </c>
    </row>
    <row r="1172">
      <c r="A1172" s="100" t="s">
        <v>8014</v>
      </c>
      <c r="B1172" s="8" t="s">
        <v>10566</v>
      </c>
      <c r="C1172" s="131" t="s">
        <v>1395</v>
      </c>
      <c r="D1172" s="8" t="s">
        <v>9702</v>
      </c>
      <c r="E1172" s="8" t="s">
        <v>10567</v>
      </c>
      <c r="F1172" s="8"/>
      <c r="G1172" s="8"/>
      <c r="H1172" s="21">
        <v>2620.0</v>
      </c>
      <c r="I1172" s="21" t="s">
        <v>5315</v>
      </c>
      <c r="J1172" s="8" t="s">
        <v>1424</v>
      </c>
      <c r="K1172" s="8" t="s">
        <v>49</v>
      </c>
      <c r="L1172" s="8" t="s">
        <v>71</v>
      </c>
      <c r="M1172" s="8" t="s">
        <v>28</v>
      </c>
      <c r="N1172" s="21">
        <v>17348.0</v>
      </c>
      <c r="O1172" s="21">
        <v>19508.0</v>
      </c>
      <c r="P1172" s="6">
        <v>52.0</v>
      </c>
      <c r="Q1172" s="8">
        <f t="shared" si="37"/>
        <v>9020.96</v>
      </c>
    </row>
    <row r="1173">
      <c r="A1173" s="100" t="s">
        <v>8014</v>
      </c>
      <c r="B1173" s="8" t="s">
        <v>10568</v>
      </c>
      <c r="C1173" s="8" t="s">
        <v>1432</v>
      </c>
      <c r="D1173" s="8" t="s">
        <v>10041</v>
      </c>
      <c r="E1173" s="8" t="s">
        <v>10569</v>
      </c>
      <c r="F1173" s="8">
        <v>9.726915269E9</v>
      </c>
      <c r="G1173" s="8"/>
      <c r="H1173" s="21">
        <v>236.0</v>
      </c>
      <c r="I1173" s="21" t="s">
        <v>5307</v>
      </c>
      <c r="J1173" s="8" t="s">
        <v>1419</v>
      </c>
      <c r="K1173" s="8" t="s">
        <v>49</v>
      </c>
      <c r="L1173" s="8" t="s">
        <v>365</v>
      </c>
      <c r="M1173" s="8" t="s">
        <v>28</v>
      </c>
      <c r="N1173" s="21">
        <v>6370.0</v>
      </c>
      <c r="O1173" s="21">
        <v>7516.0</v>
      </c>
      <c r="P1173" s="6">
        <v>52.0</v>
      </c>
      <c r="Q1173" s="8">
        <f t="shared" si="37"/>
        <v>3312.4</v>
      </c>
    </row>
    <row r="1174">
      <c r="A1174" s="100" t="s">
        <v>8014</v>
      </c>
      <c r="B1174" s="8" t="s">
        <v>10570</v>
      </c>
      <c r="C1174" s="8" t="s">
        <v>1432</v>
      </c>
      <c r="D1174" s="8" t="s">
        <v>2125</v>
      </c>
      <c r="E1174" s="8" t="s">
        <v>10571</v>
      </c>
      <c r="F1174" s="8">
        <v>8.128425145E9</v>
      </c>
      <c r="G1174" s="8"/>
      <c r="H1174" s="21">
        <v>436.0</v>
      </c>
      <c r="I1174" s="21" t="s">
        <v>10536</v>
      </c>
      <c r="J1174" s="8" t="s">
        <v>1424</v>
      </c>
      <c r="K1174" s="8" t="s">
        <v>49</v>
      </c>
      <c r="L1174" s="8" t="s">
        <v>365</v>
      </c>
      <c r="M1174" s="8" t="s">
        <v>28</v>
      </c>
      <c r="N1174" s="21">
        <v>6375.0</v>
      </c>
      <c r="O1174" s="21">
        <v>7523.0</v>
      </c>
      <c r="P1174" s="6">
        <v>53.0</v>
      </c>
      <c r="Q1174" s="8">
        <f t="shared" si="37"/>
        <v>3378.75</v>
      </c>
    </row>
    <row r="1175">
      <c r="A1175" s="100" t="s">
        <v>8014</v>
      </c>
      <c r="B1175" s="8" t="s">
        <v>7945</v>
      </c>
      <c r="C1175" s="8" t="s">
        <v>1432</v>
      </c>
      <c r="D1175" s="8" t="s">
        <v>9917</v>
      </c>
      <c r="E1175" s="8" t="s">
        <v>7947</v>
      </c>
      <c r="F1175" s="8"/>
      <c r="G1175" s="8"/>
      <c r="H1175" s="21">
        <v>205.0</v>
      </c>
      <c r="I1175" s="21" t="s">
        <v>5307</v>
      </c>
      <c r="J1175" s="8" t="s">
        <v>1424</v>
      </c>
      <c r="K1175" s="8" t="s">
        <v>49</v>
      </c>
      <c r="L1175" s="8" t="s">
        <v>71</v>
      </c>
      <c r="M1175" s="8" t="s">
        <v>28</v>
      </c>
      <c r="N1175" s="21">
        <v>6017.0</v>
      </c>
      <c r="O1175" s="21">
        <v>7101.0</v>
      </c>
      <c r="P1175" s="6">
        <v>53.0</v>
      </c>
      <c r="Q1175" s="8">
        <f t="shared" si="37"/>
        <v>3189.01</v>
      </c>
    </row>
    <row r="1176">
      <c r="A1176" s="100" t="s">
        <v>8014</v>
      </c>
      <c r="B1176" s="8" t="s">
        <v>10572</v>
      </c>
      <c r="C1176" s="8" t="s">
        <v>21</v>
      </c>
      <c r="D1176" s="8" t="s">
        <v>10573</v>
      </c>
      <c r="E1176" s="8" t="s">
        <v>10574</v>
      </c>
      <c r="F1176" s="8"/>
      <c r="G1176" s="8"/>
      <c r="H1176" s="21">
        <v>42000.0</v>
      </c>
      <c r="I1176" s="21" t="s">
        <v>5299</v>
      </c>
      <c r="J1176" s="8" t="s">
        <v>353</v>
      </c>
      <c r="K1176" s="8" t="s">
        <v>49</v>
      </c>
      <c r="L1176" s="8" t="s">
        <v>27</v>
      </c>
      <c r="M1176" s="8" t="s">
        <v>28</v>
      </c>
      <c r="N1176" s="97">
        <v>48694.0</v>
      </c>
      <c r="O1176" s="97">
        <v>54804.0</v>
      </c>
      <c r="P1176" s="6">
        <v>23.0</v>
      </c>
      <c r="Q1176" s="8">
        <f t="shared" si="37"/>
        <v>11199.62</v>
      </c>
    </row>
    <row r="1177">
      <c r="A1177" s="100" t="s">
        <v>8014</v>
      </c>
      <c r="B1177" s="8" t="s">
        <v>10575</v>
      </c>
      <c r="C1177" s="131" t="s">
        <v>1395</v>
      </c>
      <c r="D1177" s="8" t="s">
        <v>178</v>
      </c>
      <c r="E1177" s="8" t="s">
        <v>10576</v>
      </c>
      <c r="F1177" s="8">
        <v>9.723239179E9</v>
      </c>
      <c r="G1177" s="8"/>
      <c r="H1177" s="21">
        <v>3460.0</v>
      </c>
      <c r="I1177" s="21" t="s">
        <v>5307</v>
      </c>
      <c r="J1177" s="8" t="s">
        <v>116</v>
      </c>
      <c r="K1177" s="8" t="s">
        <v>49</v>
      </c>
      <c r="L1177" s="8" t="s">
        <v>1616</v>
      </c>
      <c r="M1177" s="8" t="s">
        <v>28</v>
      </c>
      <c r="N1177" s="97">
        <v>22320.0</v>
      </c>
      <c r="O1177" s="97">
        <v>25369.0</v>
      </c>
      <c r="P1177" s="6">
        <v>48.0</v>
      </c>
      <c r="Q1177" s="8">
        <f t="shared" si="37"/>
        <v>10713.6</v>
      </c>
    </row>
    <row r="1178">
      <c r="A1178" s="100" t="s">
        <v>8014</v>
      </c>
      <c r="B1178" s="8" t="s">
        <v>8022</v>
      </c>
      <c r="C1178" s="131" t="s">
        <v>1395</v>
      </c>
      <c r="D1178" s="8" t="s">
        <v>524</v>
      </c>
      <c r="E1178" s="8" t="s">
        <v>8023</v>
      </c>
      <c r="F1178" s="8"/>
      <c r="G1178" s="8"/>
      <c r="H1178" s="21">
        <v>3490.0</v>
      </c>
      <c r="I1178" s="21" t="s">
        <v>5307</v>
      </c>
      <c r="J1178" s="8" t="s">
        <v>116</v>
      </c>
      <c r="K1178" s="8" t="s">
        <v>49</v>
      </c>
      <c r="L1178" s="8" t="s">
        <v>71</v>
      </c>
      <c r="M1178" s="8" t="s">
        <v>28</v>
      </c>
      <c r="N1178" s="97">
        <v>18169.0</v>
      </c>
      <c r="O1178" s="97">
        <v>20471.0</v>
      </c>
      <c r="P1178" s="6">
        <v>48.0</v>
      </c>
      <c r="Q1178" s="8">
        <f t="shared" si="37"/>
        <v>8721.12</v>
      </c>
    </row>
    <row r="1179">
      <c r="A1179" s="100" t="s">
        <v>8014</v>
      </c>
      <c r="B1179" s="8" t="s">
        <v>10577</v>
      </c>
      <c r="C1179" s="131" t="s">
        <v>1395</v>
      </c>
      <c r="D1179" s="8" t="s">
        <v>524</v>
      </c>
      <c r="E1179" s="8" t="s">
        <v>10578</v>
      </c>
      <c r="F1179" s="8">
        <v>9.825826626E9</v>
      </c>
      <c r="G1179" s="8"/>
      <c r="H1179" s="21">
        <v>3490.0</v>
      </c>
      <c r="I1179" s="21" t="s">
        <v>5315</v>
      </c>
      <c r="J1179" s="8" t="s">
        <v>116</v>
      </c>
      <c r="K1179" s="8" t="s">
        <v>49</v>
      </c>
      <c r="L1179" s="8" t="s">
        <v>1616</v>
      </c>
      <c r="M1179" s="8" t="s">
        <v>28</v>
      </c>
      <c r="N1179" s="97">
        <v>21314.0</v>
      </c>
      <c r="O1179" s="97">
        <v>24181.0</v>
      </c>
      <c r="P1179" s="6">
        <v>48.0</v>
      </c>
      <c r="Q1179" s="8">
        <f t="shared" si="37"/>
        <v>10230.72</v>
      </c>
    </row>
    <row r="1180">
      <c r="A1180" s="100" t="s">
        <v>8014</v>
      </c>
      <c r="B1180" s="8" t="s">
        <v>10579</v>
      </c>
      <c r="C1180" s="8" t="s">
        <v>1432</v>
      </c>
      <c r="D1180" s="8" t="s">
        <v>9151</v>
      </c>
      <c r="E1180" s="8" t="s">
        <v>10580</v>
      </c>
      <c r="F1180" s="8"/>
      <c r="G1180" s="8"/>
      <c r="H1180" s="21">
        <v>236.0</v>
      </c>
      <c r="I1180" s="21" t="s">
        <v>10515</v>
      </c>
      <c r="J1180" s="8" t="s">
        <v>1424</v>
      </c>
      <c r="K1180" s="8" t="s">
        <v>49</v>
      </c>
      <c r="L1180" s="8" t="s">
        <v>71</v>
      </c>
      <c r="M1180" s="8" t="s">
        <v>28</v>
      </c>
      <c r="N1180" s="21">
        <v>6100.0</v>
      </c>
      <c r="O1180" s="21">
        <v>7198.0</v>
      </c>
      <c r="P1180" s="6">
        <v>53.0</v>
      </c>
      <c r="Q1180" s="8">
        <f t="shared" si="37"/>
        <v>3233</v>
      </c>
    </row>
    <row r="1181">
      <c r="A1181" s="100" t="s">
        <v>7949</v>
      </c>
      <c r="B1181" s="8" t="s">
        <v>10581</v>
      </c>
      <c r="C1181" s="8" t="s">
        <v>21</v>
      </c>
      <c r="D1181" s="8" t="s">
        <v>10582</v>
      </c>
      <c r="E1181" s="8" t="s">
        <v>10583</v>
      </c>
      <c r="F1181" s="8"/>
      <c r="G1181" s="8"/>
      <c r="H1181" s="21">
        <v>9600.0</v>
      </c>
      <c r="I1181" s="21" t="s">
        <v>5307</v>
      </c>
      <c r="J1181" s="8" t="s">
        <v>1419</v>
      </c>
      <c r="K1181" s="8" t="s">
        <v>26</v>
      </c>
      <c r="L1181" s="8" t="s">
        <v>27</v>
      </c>
      <c r="M1181" s="8" t="s">
        <v>28</v>
      </c>
      <c r="N1181" s="21">
        <v>27336.0</v>
      </c>
      <c r="O1181" s="21">
        <v>30626.0</v>
      </c>
      <c r="P1181" s="6">
        <v>45.0</v>
      </c>
      <c r="Q1181" s="8">
        <f t="shared" si="37"/>
        <v>12301.2</v>
      </c>
    </row>
    <row r="1182">
      <c r="A1182" s="100" t="s">
        <v>7949</v>
      </c>
      <c r="B1182" s="8" t="s">
        <v>10584</v>
      </c>
      <c r="C1182" s="8" t="s">
        <v>21</v>
      </c>
      <c r="D1182" s="8" t="s">
        <v>10585</v>
      </c>
      <c r="E1182" s="8" t="s">
        <v>10586</v>
      </c>
      <c r="F1182" s="8"/>
      <c r="G1182" s="8"/>
      <c r="H1182" s="21">
        <v>16200.0</v>
      </c>
      <c r="I1182" s="21" t="s">
        <v>5307</v>
      </c>
      <c r="J1182" s="8" t="s">
        <v>1419</v>
      </c>
      <c r="K1182" s="8" t="s">
        <v>26</v>
      </c>
      <c r="L1182" s="8" t="s">
        <v>27</v>
      </c>
      <c r="M1182" s="8" t="s">
        <v>28</v>
      </c>
      <c r="N1182" s="21">
        <v>35463.0</v>
      </c>
      <c r="O1182" s="21">
        <v>39729.0</v>
      </c>
      <c r="P1182" s="6">
        <v>42.0</v>
      </c>
      <c r="Q1182" s="8">
        <f t="shared" si="37"/>
        <v>14894.46</v>
      </c>
    </row>
    <row r="1183">
      <c r="A1183" s="100" t="s">
        <v>8030</v>
      </c>
      <c r="B1183" s="8" t="s">
        <v>10587</v>
      </c>
      <c r="C1183" s="8" t="s">
        <v>21</v>
      </c>
      <c r="D1183" s="8" t="s">
        <v>10588</v>
      </c>
      <c r="E1183" s="8" t="s">
        <v>10589</v>
      </c>
      <c r="F1183" s="8"/>
      <c r="G1183" s="8"/>
      <c r="H1183" s="21">
        <v>16200.0</v>
      </c>
      <c r="I1183" s="21" t="s">
        <v>5307</v>
      </c>
      <c r="J1183" s="8" t="s">
        <v>25</v>
      </c>
      <c r="K1183" s="8" t="s">
        <v>26</v>
      </c>
      <c r="L1183" s="8" t="s">
        <v>27</v>
      </c>
      <c r="M1183" s="8" t="s">
        <v>28</v>
      </c>
      <c r="N1183" s="21">
        <v>35463.0</v>
      </c>
      <c r="O1183" s="21">
        <v>39728.0</v>
      </c>
      <c r="P1183" s="6">
        <v>43.0</v>
      </c>
      <c r="Q1183" s="8">
        <f t="shared" si="37"/>
        <v>15249.09</v>
      </c>
    </row>
    <row r="1184">
      <c r="A1184" s="100" t="s">
        <v>8030</v>
      </c>
      <c r="B1184" s="8" t="s">
        <v>10590</v>
      </c>
      <c r="C1184" s="8" t="s">
        <v>21</v>
      </c>
      <c r="D1184" s="8" t="s">
        <v>10591</v>
      </c>
      <c r="E1184" s="8" t="s">
        <v>10592</v>
      </c>
      <c r="F1184" s="8"/>
      <c r="G1184" s="8"/>
      <c r="H1184" s="21">
        <v>16200.0</v>
      </c>
      <c r="I1184" s="21" t="s">
        <v>5299</v>
      </c>
      <c r="J1184" s="8" t="s">
        <v>25</v>
      </c>
      <c r="K1184" s="8" t="s">
        <v>26</v>
      </c>
      <c r="L1184" s="8" t="s">
        <v>27</v>
      </c>
      <c r="M1184" s="8" t="s">
        <v>28</v>
      </c>
      <c r="N1184" s="21">
        <v>35463.0</v>
      </c>
      <c r="O1184" s="21">
        <v>39728.0</v>
      </c>
      <c r="P1184" s="6">
        <v>43.0</v>
      </c>
      <c r="Q1184" s="8">
        <f t="shared" si="37"/>
        <v>15249.09</v>
      </c>
    </row>
    <row r="1185">
      <c r="A1185" s="100" t="s">
        <v>8030</v>
      </c>
      <c r="B1185" s="8" t="s">
        <v>10593</v>
      </c>
      <c r="C1185" s="8" t="s">
        <v>1432</v>
      </c>
      <c r="D1185" s="8" t="s">
        <v>9917</v>
      </c>
      <c r="E1185" s="8" t="s">
        <v>10594</v>
      </c>
      <c r="F1185" s="8"/>
      <c r="G1185" s="8"/>
      <c r="H1185" s="21">
        <v>205.0</v>
      </c>
      <c r="I1185" s="21" t="s">
        <v>5307</v>
      </c>
      <c r="J1185" s="8" t="s">
        <v>1424</v>
      </c>
      <c r="K1185" s="8" t="s">
        <v>49</v>
      </c>
      <c r="L1185" s="8" t="s">
        <v>71</v>
      </c>
      <c r="M1185" s="8" t="s">
        <v>28</v>
      </c>
      <c r="N1185" s="21">
        <v>6028.0</v>
      </c>
      <c r="O1185" s="21">
        <v>7114.0</v>
      </c>
      <c r="P1185" s="6">
        <v>53.0</v>
      </c>
      <c r="Q1185" s="8">
        <f t="shared" si="37"/>
        <v>3194.84</v>
      </c>
    </row>
    <row r="1186">
      <c r="A1186" s="100" t="s">
        <v>8030</v>
      </c>
      <c r="B1186" s="8" t="s">
        <v>10595</v>
      </c>
      <c r="C1186" s="8" t="s">
        <v>21</v>
      </c>
      <c r="D1186" s="8" t="s">
        <v>10596</v>
      </c>
      <c r="E1186" s="8" t="s">
        <v>10597</v>
      </c>
      <c r="F1186" s="8">
        <v>9.687022136E9</v>
      </c>
      <c r="G1186" s="8"/>
      <c r="H1186" s="21">
        <v>35000.0</v>
      </c>
      <c r="I1186" s="21" t="s">
        <v>10598</v>
      </c>
      <c r="J1186" s="8" t="s">
        <v>353</v>
      </c>
      <c r="K1186" s="8" t="s">
        <v>49</v>
      </c>
      <c r="L1186" s="8" t="s">
        <v>219</v>
      </c>
      <c r="M1186" s="8" t="s">
        <v>28</v>
      </c>
      <c r="N1186" s="97">
        <v>79455.0</v>
      </c>
      <c r="O1186" s="97">
        <v>91120.0</v>
      </c>
      <c r="P1186" s="6">
        <v>23.0</v>
      </c>
      <c r="Q1186" s="8">
        <f t="shared" si="37"/>
        <v>18274.65</v>
      </c>
    </row>
    <row r="1187">
      <c r="A1187" s="100" t="s">
        <v>8030</v>
      </c>
      <c r="B1187" s="8" t="s">
        <v>10599</v>
      </c>
      <c r="C1187" s="8" t="s">
        <v>1432</v>
      </c>
      <c r="D1187" s="8" t="s">
        <v>9190</v>
      </c>
      <c r="E1187" s="8" t="s">
        <v>10600</v>
      </c>
      <c r="F1187" s="8">
        <v>9.624218235E9</v>
      </c>
      <c r="G1187" s="8"/>
      <c r="H1187" s="21">
        <v>236.0</v>
      </c>
      <c r="I1187" s="21" t="s">
        <v>5402</v>
      </c>
      <c r="J1187" s="8" t="s">
        <v>1424</v>
      </c>
      <c r="K1187" s="8" t="s">
        <v>49</v>
      </c>
      <c r="L1187" s="8" t="s">
        <v>219</v>
      </c>
      <c r="M1187" s="8" t="s">
        <v>28</v>
      </c>
      <c r="N1187" s="21">
        <v>6136.0</v>
      </c>
      <c r="O1187" s="21">
        <v>7240.0</v>
      </c>
      <c r="P1187" s="6">
        <v>53.0</v>
      </c>
      <c r="Q1187" s="8">
        <f t="shared" si="37"/>
        <v>3252.08</v>
      </c>
    </row>
    <row r="1188">
      <c r="A1188" s="100" t="s">
        <v>8030</v>
      </c>
      <c r="B1188" s="8" t="s">
        <v>10601</v>
      </c>
      <c r="C1188" s="8" t="s">
        <v>1432</v>
      </c>
      <c r="D1188" s="8" t="s">
        <v>2125</v>
      </c>
      <c r="E1188" s="8" t="s">
        <v>10602</v>
      </c>
      <c r="F1188" s="8">
        <v>9.909202951E9</v>
      </c>
      <c r="G1188" s="8"/>
      <c r="H1188" s="21">
        <v>436.0</v>
      </c>
      <c r="I1188" s="21" t="s">
        <v>5307</v>
      </c>
      <c r="J1188" s="8" t="s">
        <v>1424</v>
      </c>
      <c r="K1188" s="8" t="s">
        <v>49</v>
      </c>
      <c r="L1188" s="8" t="s">
        <v>1436</v>
      </c>
      <c r="M1188" s="8" t="s">
        <v>28</v>
      </c>
      <c r="N1188" s="21">
        <v>6375.0</v>
      </c>
      <c r="O1188" s="21">
        <v>7523.0</v>
      </c>
      <c r="P1188" s="6">
        <v>53.0</v>
      </c>
      <c r="Q1188" s="8">
        <f t="shared" si="37"/>
        <v>3378.75</v>
      </c>
    </row>
    <row r="1189">
      <c r="A1189" s="100" t="s">
        <v>8030</v>
      </c>
      <c r="B1189" s="8" t="s">
        <v>5292</v>
      </c>
      <c r="C1189" s="8" t="s">
        <v>1432</v>
      </c>
      <c r="D1189" s="8" t="s">
        <v>2125</v>
      </c>
      <c r="E1189" s="8" t="s">
        <v>10603</v>
      </c>
      <c r="F1189" s="8"/>
      <c r="G1189" s="8"/>
      <c r="H1189" s="21">
        <v>436.0</v>
      </c>
      <c r="I1189" s="21" t="s">
        <v>5307</v>
      </c>
      <c r="J1189" s="8" t="s">
        <v>1424</v>
      </c>
      <c r="K1189" s="8" t="s">
        <v>49</v>
      </c>
      <c r="L1189" s="8" t="s">
        <v>389</v>
      </c>
      <c r="M1189" s="8" t="s">
        <v>28</v>
      </c>
      <c r="N1189" s="21">
        <v>6375.0</v>
      </c>
      <c r="O1189" s="21">
        <v>7523.0</v>
      </c>
      <c r="P1189" s="6">
        <v>53.0</v>
      </c>
      <c r="Q1189" s="8">
        <f t="shared" si="37"/>
        <v>3378.75</v>
      </c>
    </row>
    <row r="1190">
      <c r="A1190" s="100" t="s">
        <v>8030</v>
      </c>
      <c r="B1190" s="8" t="s">
        <v>10604</v>
      </c>
      <c r="C1190" s="8" t="s">
        <v>21</v>
      </c>
      <c r="D1190" s="8" t="s">
        <v>9003</v>
      </c>
      <c r="E1190" s="8" t="s">
        <v>10605</v>
      </c>
      <c r="F1190" s="8"/>
      <c r="G1190" s="8"/>
      <c r="H1190" s="21">
        <v>11990.0</v>
      </c>
      <c r="I1190" s="21" t="s">
        <v>5311</v>
      </c>
      <c r="J1190" s="8" t="s">
        <v>25</v>
      </c>
      <c r="K1190" s="8" t="s">
        <v>49</v>
      </c>
      <c r="L1190" s="8" t="s">
        <v>389</v>
      </c>
      <c r="M1190" s="8" t="s">
        <v>28</v>
      </c>
      <c r="N1190" s="97">
        <v>31064.0</v>
      </c>
      <c r="O1190" s="97">
        <v>35024.0</v>
      </c>
      <c r="P1190" s="6">
        <v>33.0</v>
      </c>
      <c r="Q1190" s="8">
        <f t="shared" si="37"/>
        <v>10251.12</v>
      </c>
    </row>
    <row r="1191">
      <c r="A1191" s="100" t="s">
        <v>8030</v>
      </c>
      <c r="B1191" s="8" t="s">
        <v>10606</v>
      </c>
      <c r="C1191" s="8" t="s">
        <v>1432</v>
      </c>
      <c r="D1191" s="8" t="s">
        <v>2125</v>
      </c>
      <c r="E1191" s="8" t="s">
        <v>10607</v>
      </c>
      <c r="F1191" s="8"/>
      <c r="G1191" s="8"/>
      <c r="H1191" s="21">
        <v>436.0</v>
      </c>
      <c r="I1191" s="22">
        <v>45668.0</v>
      </c>
      <c r="J1191" s="8" t="s">
        <v>1424</v>
      </c>
      <c r="K1191" s="8" t="s">
        <v>49</v>
      </c>
      <c r="L1191" s="8" t="s">
        <v>1616</v>
      </c>
      <c r="M1191" s="8" t="s">
        <v>28</v>
      </c>
      <c r="N1191" s="21">
        <v>6375.0</v>
      </c>
      <c r="O1191" s="21">
        <v>7523.0</v>
      </c>
      <c r="P1191" s="6">
        <v>53.0</v>
      </c>
      <c r="Q1191" s="8">
        <f t="shared" si="37"/>
        <v>3378.75</v>
      </c>
    </row>
    <row r="1192">
      <c r="A1192" s="100" t="s">
        <v>8030</v>
      </c>
      <c r="B1192" s="8" t="s">
        <v>10608</v>
      </c>
      <c r="C1192" s="8" t="s">
        <v>21</v>
      </c>
      <c r="D1192" s="8" t="s">
        <v>762</v>
      </c>
      <c r="E1192" s="8" t="s">
        <v>10609</v>
      </c>
      <c r="F1192" s="8"/>
      <c r="G1192" s="8"/>
      <c r="H1192" s="21">
        <v>42000.0</v>
      </c>
      <c r="I1192" s="21" t="s">
        <v>5311</v>
      </c>
      <c r="J1192" s="8" t="s">
        <v>9946</v>
      </c>
      <c r="K1192" s="8" t="s">
        <v>49</v>
      </c>
      <c r="L1192" s="8" t="s">
        <v>27</v>
      </c>
      <c r="M1192" s="8" t="s">
        <v>28</v>
      </c>
      <c r="N1192" s="97">
        <v>48608.0</v>
      </c>
      <c r="O1192" s="97">
        <v>54703.0</v>
      </c>
      <c r="P1192" s="6">
        <v>26.0</v>
      </c>
      <c r="Q1192" s="8">
        <f t="shared" si="37"/>
        <v>12638.08</v>
      </c>
    </row>
    <row r="1193">
      <c r="A1193" s="100" t="s">
        <v>8030</v>
      </c>
      <c r="B1193" s="8" t="s">
        <v>5353</v>
      </c>
      <c r="C1193" s="8" t="s">
        <v>21</v>
      </c>
      <c r="D1193" s="8" t="s">
        <v>1503</v>
      </c>
      <c r="E1193" s="8" t="s">
        <v>10610</v>
      </c>
      <c r="F1193" s="8"/>
      <c r="G1193" s="8"/>
      <c r="H1193" s="21">
        <v>12990.0</v>
      </c>
      <c r="I1193" s="21" t="s">
        <v>5311</v>
      </c>
      <c r="J1193" s="8" t="s">
        <v>9946</v>
      </c>
      <c r="K1193" s="8" t="s">
        <v>49</v>
      </c>
      <c r="L1193" s="8" t="s">
        <v>71</v>
      </c>
      <c r="M1193" s="8" t="s">
        <v>28</v>
      </c>
      <c r="N1193" s="97">
        <v>37479.0</v>
      </c>
      <c r="O1193" s="97">
        <v>42106.0</v>
      </c>
      <c r="P1193" s="6">
        <v>26.0</v>
      </c>
      <c r="Q1193" s="8">
        <f t="shared" si="37"/>
        <v>9744.54</v>
      </c>
    </row>
    <row r="1194">
      <c r="A1194" s="100" t="s">
        <v>8030</v>
      </c>
      <c r="B1194" s="8" t="s">
        <v>10611</v>
      </c>
      <c r="C1194" s="8" t="s">
        <v>21</v>
      </c>
      <c r="D1194" s="8" t="s">
        <v>762</v>
      </c>
      <c r="E1194" s="8" t="s">
        <v>10612</v>
      </c>
      <c r="F1194" s="8"/>
      <c r="G1194" s="8"/>
      <c r="H1194" s="21">
        <v>42000.0</v>
      </c>
      <c r="I1194" s="21" t="s">
        <v>10536</v>
      </c>
      <c r="J1194" s="8" t="s">
        <v>9946</v>
      </c>
      <c r="K1194" s="8" t="s">
        <v>49</v>
      </c>
      <c r="L1194" s="8" t="s">
        <v>27</v>
      </c>
      <c r="M1194" s="8" t="s">
        <v>28</v>
      </c>
      <c r="N1194" s="97">
        <v>49087.0</v>
      </c>
      <c r="O1194" s="97">
        <v>55268.0</v>
      </c>
      <c r="P1194" s="6">
        <v>26.0</v>
      </c>
      <c r="Q1194" s="8">
        <f t="shared" si="37"/>
        <v>12762.62</v>
      </c>
    </row>
    <row r="1195">
      <c r="A1195" s="100" t="s">
        <v>10613</v>
      </c>
      <c r="B1195" s="8" t="s">
        <v>6520</v>
      </c>
      <c r="C1195" s="8" t="s">
        <v>21</v>
      </c>
      <c r="D1195" s="8" t="s">
        <v>10614</v>
      </c>
      <c r="E1195" s="8" t="s">
        <v>10615</v>
      </c>
      <c r="F1195" s="8"/>
      <c r="G1195" s="8"/>
      <c r="H1195" s="21">
        <v>42000.0</v>
      </c>
      <c r="I1195" s="21" t="s">
        <v>5356</v>
      </c>
      <c r="J1195" s="8" t="s">
        <v>353</v>
      </c>
      <c r="K1195" s="8" t="s">
        <v>49</v>
      </c>
      <c r="L1195" s="8" t="s">
        <v>27</v>
      </c>
      <c r="M1195" s="8" t="s">
        <v>28</v>
      </c>
      <c r="N1195" s="97">
        <v>48255.0</v>
      </c>
      <c r="O1195" s="97">
        <v>54286.0</v>
      </c>
      <c r="P1195" s="6">
        <v>23.0</v>
      </c>
      <c r="Q1195" s="8">
        <f t="shared" si="37"/>
        <v>11098.65</v>
      </c>
    </row>
    <row r="1196">
      <c r="A1196" s="100" t="s">
        <v>10613</v>
      </c>
      <c r="B1196" s="8" t="s">
        <v>3617</v>
      </c>
      <c r="C1196" s="8" t="s">
        <v>21</v>
      </c>
      <c r="D1196" s="8" t="s">
        <v>10616</v>
      </c>
      <c r="E1196" s="8" t="s">
        <v>10617</v>
      </c>
      <c r="F1196" s="8"/>
      <c r="G1196" s="8"/>
      <c r="H1196" s="21">
        <v>35000.0</v>
      </c>
      <c r="I1196" s="21" t="s">
        <v>10598</v>
      </c>
      <c r="J1196" s="8" t="s">
        <v>9946</v>
      </c>
      <c r="K1196" s="8" t="s">
        <v>49</v>
      </c>
      <c r="L1196" s="8" t="s">
        <v>71</v>
      </c>
      <c r="M1196" s="8" t="s">
        <v>28</v>
      </c>
      <c r="N1196" s="97">
        <v>46391.0</v>
      </c>
      <c r="O1196" s="97">
        <v>52104.0</v>
      </c>
      <c r="P1196" s="6">
        <v>26.0</v>
      </c>
      <c r="Q1196" s="8">
        <f t="shared" si="37"/>
        <v>12061.66</v>
      </c>
    </row>
    <row r="1197">
      <c r="A1197" s="100" t="s">
        <v>10613</v>
      </c>
      <c r="B1197" s="8" t="s">
        <v>10618</v>
      </c>
      <c r="C1197" s="8" t="s">
        <v>1395</v>
      </c>
      <c r="D1197" s="8" t="s">
        <v>481</v>
      </c>
      <c r="E1197" s="8" t="s">
        <v>10619</v>
      </c>
      <c r="F1197" s="8"/>
      <c r="G1197" s="8"/>
      <c r="H1197" s="21">
        <v>3490.0</v>
      </c>
      <c r="I1197" s="21" t="s">
        <v>10598</v>
      </c>
      <c r="J1197" s="8" t="s">
        <v>1419</v>
      </c>
      <c r="K1197" s="8" t="s">
        <v>49</v>
      </c>
      <c r="L1197" s="8" t="s">
        <v>27</v>
      </c>
      <c r="M1197" s="8" t="s">
        <v>28</v>
      </c>
      <c r="N1197" s="21">
        <v>18568.0</v>
      </c>
      <c r="O1197" s="21">
        <v>20948.0</v>
      </c>
      <c r="P1197" s="6">
        <v>50.0</v>
      </c>
      <c r="Q1197" s="8">
        <f t="shared" si="37"/>
        <v>9284</v>
      </c>
    </row>
    <row r="1198">
      <c r="A1198" s="100" t="s">
        <v>10613</v>
      </c>
      <c r="B1198" s="8" t="s">
        <v>10620</v>
      </c>
      <c r="C1198" s="8" t="s">
        <v>1432</v>
      </c>
      <c r="D1198" s="8" t="s">
        <v>9598</v>
      </c>
      <c r="E1198" s="8" t="s">
        <v>10621</v>
      </c>
      <c r="F1198" s="8"/>
      <c r="G1198" s="8"/>
      <c r="H1198" s="21">
        <v>236.0</v>
      </c>
      <c r="I1198" s="21" t="s">
        <v>5315</v>
      </c>
      <c r="J1198" s="8" t="s">
        <v>1419</v>
      </c>
      <c r="K1198" s="8" t="s">
        <v>49</v>
      </c>
      <c r="L1198" s="8" t="s">
        <v>365</v>
      </c>
      <c r="M1198" s="8" t="s">
        <v>28</v>
      </c>
      <c r="N1198" s="21">
        <v>6370.0</v>
      </c>
      <c r="O1198" s="21">
        <v>7516.0</v>
      </c>
      <c r="P1198" s="6">
        <v>52.0</v>
      </c>
      <c r="Q1198" s="8">
        <f t="shared" si="37"/>
        <v>3312.4</v>
      </c>
    </row>
    <row r="1199">
      <c r="A1199" s="100" t="s">
        <v>10613</v>
      </c>
      <c r="B1199" s="8" t="s">
        <v>10622</v>
      </c>
      <c r="C1199" s="8" t="s">
        <v>1395</v>
      </c>
      <c r="D1199" s="8" t="s">
        <v>481</v>
      </c>
      <c r="E1199" s="8" t="s">
        <v>10623</v>
      </c>
      <c r="F1199" s="8"/>
      <c r="G1199" s="8"/>
      <c r="H1199" s="21">
        <v>3490.0</v>
      </c>
      <c r="I1199" s="22">
        <v>45668.0</v>
      </c>
      <c r="J1199" s="8" t="s">
        <v>1419</v>
      </c>
      <c r="K1199" s="8" t="s">
        <v>49</v>
      </c>
      <c r="L1199" s="8" t="s">
        <v>365</v>
      </c>
      <c r="M1199" s="8" t="s">
        <v>28</v>
      </c>
      <c r="N1199" s="21">
        <v>18459.0</v>
      </c>
      <c r="O1199" s="21">
        <v>20819.0</v>
      </c>
      <c r="P1199" s="6">
        <v>50.0</v>
      </c>
      <c r="Q1199" s="8">
        <f t="shared" si="37"/>
        <v>9229.5</v>
      </c>
    </row>
    <row r="1200">
      <c r="A1200" s="100" t="s">
        <v>10613</v>
      </c>
      <c r="B1200" s="8" t="s">
        <v>10624</v>
      </c>
      <c r="C1200" s="8" t="s">
        <v>1432</v>
      </c>
      <c r="D1200" s="8" t="s">
        <v>2125</v>
      </c>
      <c r="E1200" s="8" t="s">
        <v>10625</v>
      </c>
      <c r="F1200" s="8"/>
      <c r="G1200" s="8"/>
      <c r="H1200" s="21">
        <v>436.0</v>
      </c>
      <c r="I1200" s="21" t="s">
        <v>5311</v>
      </c>
      <c r="J1200" s="8" t="s">
        <v>1424</v>
      </c>
      <c r="K1200" s="8" t="s">
        <v>49</v>
      </c>
      <c r="L1200" s="8" t="s">
        <v>365</v>
      </c>
      <c r="M1200" s="8" t="s">
        <v>28</v>
      </c>
      <c r="N1200" s="21">
        <v>6497.0</v>
      </c>
      <c r="O1200" s="21">
        <v>7667.0</v>
      </c>
      <c r="P1200" s="6">
        <v>53.0</v>
      </c>
      <c r="Q1200" s="8">
        <f t="shared" si="37"/>
        <v>3443.41</v>
      </c>
    </row>
    <row r="1201">
      <c r="A1201" s="100" t="s">
        <v>10626</v>
      </c>
      <c r="B1201" s="8" t="s">
        <v>5369</v>
      </c>
      <c r="C1201" s="8" t="s">
        <v>1432</v>
      </c>
      <c r="D1201" s="8" t="s">
        <v>2125</v>
      </c>
      <c r="E1201" s="8" t="s">
        <v>10627</v>
      </c>
      <c r="F1201" s="8"/>
      <c r="G1201" s="8"/>
      <c r="H1201" s="21">
        <v>436.0</v>
      </c>
      <c r="I1201" s="21" t="s">
        <v>10598</v>
      </c>
      <c r="J1201" s="8" t="s">
        <v>1424</v>
      </c>
      <c r="K1201" s="8" t="s">
        <v>49</v>
      </c>
      <c r="L1201" s="8" t="s">
        <v>1616</v>
      </c>
      <c r="M1201" s="8" t="s">
        <v>28</v>
      </c>
      <c r="N1201" s="21">
        <v>6375.0</v>
      </c>
      <c r="O1201" s="21">
        <v>7523.0</v>
      </c>
      <c r="P1201" s="6">
        <v>53.0</v>
      </c>
      <c r="Q1201" s="8">
        <f t="shared" si="37"/>
        <v>3378.75</v>
      </c>
    </row>
    <row r="1202">
      <c r="A1202" s="100" t="s">
        <v>10626</v>
      </c>
      <c r="B1202" s="8" t="s">
        <v>7639</v>
      </c>
      <c r="C1202" s="8" t="s">
        <v>21</v>
      </c>
      <c r="D1202" s="8" t="s">
        <v>9003</v>
      </c>
      <c r="E1202" s="8" t="s">
        <v>10480</v>
      </c>
      <c r="F1202" s="8"/>
      <c r="G1202" s="8"/>
      <c r="H1202" s="21">
        <v>11990.0</v>
      </c>
      <c r="I1202" s="21" t="s">
        <v>5311</v>
      </c>
      <c r="J1202" s="8" t="s">
        <v>25</v>
      </c>
      <c r="K1202" s="8" t="s">
        <v>49</v>
      </c>
      <c r="L1202" s="8" t="s">
        <v>71</v>
      </c>
      <c r="M1202" s="86" t="s">
        <v>28</v>
      </c>
      <c r="N1202" s="97">
        <v>31662.0</v>
      </c>
      <c r="O1202" s="97">
        <v>35730.0</v>
      </c>
      <c r="P1202" s="6">
        <v>33.0</v>
      </c>
      <c r="Q1202" s="8">
        <f t="shared" si="37"/>
        <v>10448.46</v>
      </c>
    </row>
    <row r="1203">
      <c r="A1203" s="100" t="s">
        <v>10626</v>
      </c>
      <c r="B1203" s="8" t="s">
        <v>10628</v>
      </c>
      <c r="C1203" s="8" t="s">
        <v>1432</v>
      </c>
      <c r="D1203" s="8" t="s">
        <v>2125</v>
      </c>
      <c r="E1203" s="8" t="s">
        <v>10629</v>
      </c>
      <c r="F1203" s="8"/>
      <c r="G1203" s="8"/>
      <c r="H1203" s="21">
        <v>436.0</v>
      </c>
      <c r="I1203" s="21" t="s">
        <v>5311</v>
      </c>
      <c r="J1203" s="8" t="s">
        <v>1424</v>
      </c>
      <c r="K1203" s="8" t="s">
        <v>49</v>
      </c>
      <c r="L1203" s="8" t="s">
        <v>340</v>
      </c>
      <c r="M1203" s="8" t="s">
        <v>28</v>
      </c>
      <c r="N1203" s="21">
        <v>6375.0</v>
      </c>
      <c r="O1203" s="21">
        <v>7523.0</v>
      </c>
      <c r="P1203" s="6">
        <v>53.0</v>
      </c>
      <c r="Q1203" s="8">
        <f t="shared" si="37"/>
        <v>3378.75</v>
      </c>
    </row>
    <row r="1204">
      <c r="A1204" s="100" t="s">
        <v>10626</v>
      </c>
      <c r="B1204" s="8" t="s">
        <v>10630</v>
      </c>
      <c r="C1204" s="8" t="s">
        <v>1432</v>
      </c>
      <c r="D1204" s="8" t="s">
        <v>2125</v>
      </c>
      <c r="E1204" s="8" t="s">
        <v>10631</v>
      </c>
      <c r="F1204" s="8"/>
      <c r="G1204" s="8"/>
      <c r="H1204" s="21">
        <v>436.0</v>
      </c>
      <c r="I1204" s="21" t="s">
        <v>5315</v>
      </c>
      <c r="J1204" s="8" t="s">
        <v>1424</v>
      </c>
      <c r="K1204" s="8" t="s">
        <v>49</v>
      </c>
      <c r="L1204" s="8" t="s">
        <v>389</v>
      </c>
      <c r="M1204" s="8" t="s">
        <v>28</v>
      </c>
      <c r="N1204" s="21">
        <v>6375.0</v>
      </c>
      <c r="O1204" s="21">
        <v>7523.0</v>
      </c>
      <c r="P1204" s="6">
        <v>53.0</v>
      </c>
      <c r="Q1204" s="8">
        <f t="shared" si="37"/>
        <v>3378.75</v>
      </c>
    </row>
    <row r="1205">
      <c r="A1205" s="100" t="s">
        <v>10626</v>
      </c>
      <c r="B1205" s="8" t="s">
        <v>5345</v>
      </c>
      <c r="C1205" s="8" t="s">
        <v>1432</v>
      </c>
      <c r="D1205" s="8" t="s">
        <v>2125</v>
      </c>
      <c r="E1205" s="8" t="s">
        <v>10632</v>
      </c>
      <c r="F1205" s="8"/>
      <c r="G1205" s="8"/>
      <c r="H1205" s="21">
        <v>436.0</v>
      </c>
      <c r="I1205" s="21" t="s">
        <v>5311</v>
      </c>
      <c r="J1205" s="8" t="s">
        <v>1424</v>
      </c>
      <c r="K1205" s="8" t="s">
        <v>49</v>
      </c>
      <c r="L1205" s="8" t="s">
        <v>185</v>
      </c>
      <c r="M1205" s="8" t="s">
        <v>28</v>
      </c>
      <c r="N1205" s="21">
        <v>6375.0</v>
      </c>
      <c r="O1205" s="21">
        <v>7523.0</v>
      </c>
      <c r="P1205" s="6">
        <v>53.0</v>
      </c>
      <c r="Q1205" s="8">
        <f t="shared" si="37"/>
        <v>3378.75</v>
      </c>
    </row>
    <row r="1206">
      <c r="A1206" s="100" t="s">
        <v>10626</v>
      </c>
      <c r="B1206" s="8" t="s">
        <v>10633</v>
      </c>
      <c r="C1206" s="8" t="s">
        <v>1432</v>
      </c>
      <c r="D1206" s="8" t="s">
        <v>2125</v>
      </c>
      <c r="E1206" s="8" t="s">
        <v>10634</v>
      </c>
      <c r="F1206" s="8"/>
      <c r="G1206" s="8"/>
      <c r="H1206" s="21">
        <v>470.0</v>
      </c>
      <c r="I1206" s="21" t="s">
        <v>5383</v>
      </c>
      <c r="J1206" s="8" t="s">
        <v>1424</v>
      </c>
      <c r="K1206" s="8" t="s">
        <v>49</v>
      </c>
      <c r="L1206" s="8" t="s">
        <v>1451</v>
      </c>
      <c r="M1206" s="8" t="s">
        <v>28</v>
      </c>
      <c r="N1206" s="21">
        <v>6375.0</v>
      </c>
      <c r="O1206" s="21">
        <v>7523.0</v>
      </c>
      <c r="P1206" s="6">
        <v>53.0</v>
      </c>
      <c r="Q1206" s="8">
        <f t="shared" si="37"/>
        <v>3378.75</v>
      </c>
    </row>
    <row r="1207">
      <c r="A1207" s="100" t="s">
        <v>10626</v>
      </c>
      <c r="B1207" s="8" t="s">
        <v>10635</v>
      </c>
      <c r="C1207" s="8" t="s">
        <v>1395</v>
      </c>
      <c r="D1207" s="8" t="s">
        <v>2116</v>
      </c>
      <c r="E1207" s="8" t="s">
        <v>10636</v>
      </c>
      <c r="F1207" s="8"/>
      <c r="G1207" s="8"/>
      <c r="H1207" s="21">
        <v>1600.0</v>
      </c>
      <c r="I1207" s="21" t="s">
        <v>10598</v>
      </c>
      <c r="J1207" s="8" t="s">
        <v>1424</v>
      </c>
      <c r="K1207" s="8" t="s">
        <v>49</v>
      </c>
      <c r="L1207" s="8" t="s">
        <v>365</v>
      </c>
      <c r="M1207" s="8" t="s">
        <v>28</v>
      </c>
      <c r="N1207" s="21">
        <v>19568.0</v>
      </c>
      <c r="O1207" s="21">
        <v>22128.0</v>
      </c>
      <c r="P1207" s="6">
        <v>52.0</v>
      </c>
      <c r="Q1207" s="8">
        <f t="shared" si="37"/>
        <v>10175.36</v>
      </c>
    </row>
    <row r="1208">
      <c r="A1208" s="100" t="s">
        <v>10626</v>
      </c>
      <c r="B1208" s="8" t="s">
        <v>10637</v>
      </c>
      <c r="C1208" s="8" t="s">
        <v>1395</v>
      </c>
      <c r="D1208" s="8" t="s">
        <v>10638</v>
      </c>
      <c r="E1208" s="8" t="s">
        <v>10639</v>
      </c>
      <c r="F1208" s="8"/>
      <c r="G1208" s="8"/>
      <c r="H1208" s="21">
        <v>3480.0</v>
      </c>
      <c r="I1208" s="22">
        <v>45699.0</v>
      </c>
      <c r="J1208" s="8" t="s">
        <v>1419</v>
      </c>
      <c r="K1208" s="8" t="s">
        <v>49</v>
      </c>
      <c r="L1208" s="8" t="s">
        <v>1451</v>
      </c>
      <c r="M1208" s="8" t="s">
        <v>28</v>
      </c>
      <c r="N1208" s="21">
        <v>24047.0</v>
      </c>
      <c r="O1208" s="21">
        <v>27413.0</v>
      </c>
      <c r="P1208" s="6">
        <v>50.0</v>
      </c>
      <c r="Q1208" s="8">
        <f t="shared" si="37"/>
        <v>12023.5</v>
      </c>
    </row>
    <row r="1209">
      <c r="A1209" s="100" t="s">
        <v>10640</v>
      </c>
      <c r="B1209" s="8" t="s">
        <v>10641</v>
      </c>
      <c r="C1209" s="8" t="s">
        <v>1395</v>
      </c>
      <c r="D1209" s="8" t="s">
        <v>2116</v>
      </c>
      <c r="E1209" s="8" t="s">
        <v>10642</v>
      </c>
      <c r="F1209" s="8"/>
      <c r="G1209" s="8"/>
      <c r="H1209" s="21">
        <v>1600.0</v>
      </c>
      <c r="I1209" s="8" t="s">
        <v>10598</v>
      </c>
      <c r="J1209" s="8" t="s">
        <v>1424</v>
      </c>
      <c r="K1209" s="8" t="s">
        <v>49</v>
      </c>
      <c r="L1209" s="8" t="s">
        <v>27</v>
      </c>
      <c r="M1209" s="8" t="s">
        <v>28</v>
      </c>
      <c r="N1209" s="21">
        <v>18976.0</v>
      </c>
      <c r="O1209" s="21">
        <v>21428.0</v>
      </c>
      <c r="P1209" s="6">
        <v>52.0</v>
      </c>
      <c r="Q1209" s="8">
        <f t="shared" si="37"/>
        <v>9867.52</v>
      </c>
    </row>
    <row r="1210">
      <c r="A1210" s="100" t="s">
        <v>10640</v>
      </c>
      <c r="B1210" s="8" t="s">
        <v>10643</v>
      </c>
      <c r="C1210" s="8" t="s">
        <v>21</v>
      </c>
      <c r="D1210" s="8" t="s">
        <v>762</v>
      </c>
      <c r="E1210" s="8" t="s">
        <v>10644</v>
      </c>
      <c r="F1210" s="8"/>
      <c r="G1210" s="8"/>
      <c r="H1210" s="21">
        <v>42000.0</v>
      </c>
      <c r="I1210" s="8" t="s">
        <v>5315</v>
      </c>
      <c r="J1210" s="8" t="s">
        <v>9946</v>
      </c>
      <c r="K1210" s="8" t="s">
        <v>49</v>
      </c>
      <c r="L1210" s="8" t="s">
        <v>27</v>
      </c>
      <c r="M1210" s="8" t="s">
        <v>28</v>
      </c>
      <c r="N1210" s="97">
        <v>49962.0</v>
      </c>
      <c r="O1210" s="97">
        <v>56301.0</v>
      </c>
      <c r="P1210" s="6">
        <v>26.0</v>
      </c>
      <c r="Q1210" s="8">
        <f t="shared" si="37"/>
        <v>12990.12</v>
      </c>
    </row>
    <row r="1211">
      <c r="A1211" s="100" t="s">
        <v>10640</v>
      </c>
      <c r="B1211" s="8" t="s">
        <v>5419</v>
      </c>
      <c r="C1211" s="8" t="s">
        <v>21</v>
      </c>
      <c r="D1211" s="8" t="s">
        <v>10645</v>
      </c>
      <c r="E1211" s="8" t="s">
        <v>10646</v>
      </c>
      <c r="F1211" s="8"/>
      <c r="G1211" s="8"/>
      <c r="H1211" s="21">
        <v>11990.0</v>
      </c>
      <c r="I1211" s="8" t="s">
        <v>10565</v>
      </c>
      <c r="J1211" s="8" t="s">
        <v>1419</v>
      </c>
      <c r="K1211" s="8" t="s">
        <v>49</v>
      </c>
      <c r="L1211" s="8" t="s">
        <v>71</v>
      </c>
      <c r="M1211" s="8" t="s">
        <v>28</v>
      </c>
      <c r="N1211" s="21">
        <v>28693.0</v>
      </c>
      <c r="O1211" s="21">
        <v>32227.0</v>
      </c>
      <c r="P1211" s="6">
        <v>30.0</v>
      </c>
      <c r="Q1211" s="8">
        <f t="shared" si="37"/>
        <v>8607.9</v>
      </c>
    </row>
    <row r="1212">
      <c r="A1212" s="100" t="s">
        <v>10640</v>
      </c>
      <c r="B1212" s="8" t="s">
        <v>10647</v>
      </c>
      <c r="C1212" s="8" t="s">
        <v>21</v>
      </c>
      <c r="D1212" s="8" t="s">
        <v>10070</v>
      </c>
      <c r="E1212" s="8" t="s">
        <v>10648</v>
      </c>
      <c r="F1212" s="8"/>
      <c r="G1212" s="8"/>
      <c r="H1212" s="21">
        <v>16020.0</v>
      </c>
      <c r="I1212" s="8" t="s">
        <v>10598</v>
      </c>
      <c r="J1212" s="8" t="s">
        <v>78</v>
      </c>
      <c r="K1212" s="8" t="s">
        <v>49</v>
      </c>
      <c r="L1212" s="8" t="s">
        <v>71</v>
      </c>
      <c r="M1212" s="8" t="s">
        <v>28</v>
      </c>
      <c r="N1212" s="21">
        <v>56405.0</v>
      </c>
      <c r="O1212" s="21">
        <v>64440.0</v>
      </c>
      <c r="P1212" s="6">
        <v>25.0</v>
      </c>
      <c r="Q1212" s="8">
        <f t="shared" si="37"/>
        <v>14101.25</v>
      </c>
    </row>
    <row r="1213">
      <c r="A1213" s="100" t="s">
        <v>10649</v>
      </c>
      <c r="B1213" s="8" t="s">
        <v>5360</v>
      </c>
      <c r="C1213" s="8" t="s">
        <v>1432</v>
      </c>
      <c r="D1213" s="8" t="s">
        <v>9372</v>
      </c>
      <c r="E1213" s="8" t="s">
        <v>10650</v>
      </c>
      <c r="F1213" s="8"/>
      <c r="G1213" s="8"/>
      <c r="H1213" s="21">
        <v>236.0</v>
      </c>
      <c r="I1213" s="8" t="s">
        <v>10565</v>
      </c>
      <c r="J1213" s="8" t="s">
        <v>1419</v>
      </c>
      <c r="K1213" s="8" t="s">
        <v>49</v>
      </c>
      <c r="L1213" s="8" t="s">
        <v>185</v>
      </c>
      <c r="M1213" s="8" t="s">
        <v>28</v>
      </c>
      <c r="N1213" s="21">
        <v>6370.0</v>
      </c>
      <c r="O1213" s="21">
        <v>7516.0</v>
      </c>
      <c r="P1213" s="6">
        <v>52.0</v>
      </c>
      <c r="Q1213" s="8">
        <f t="shared" si="37"/>
        <v>3312.4</v>
      </c>
    </row>
    <row r="1214">
      <c r="A1214" s="100" t="s">
        <v>10649</v>
      </c>
      <c r="B1214" s="8" t="s">
        <v>10651</v>
      </c>
      <c r="C1214" s="8" t="s">
        <v>21</v>
      </c>
      <c r="D1214" s="8" t="s">
        <v>10652</v>
      </c>
      <c r="E1214" s="8" t="s">
        <v>10653</v>
      </c>
      <c r="F1214" s="8"/>
      <c r="G1214" s="8"/>
      <c r="H1214" s="21">
        <v>28000.0</v>
      </c>
      <c r="I1214" s="8" t="s">
        <v>10598</v>
      </c>
      <c r="J1214" s="8" t="s">
        <v>9946</v>
      </c>
      <c r="K1214" s="8" t="s">
        <v>49</v>
      </c>
      <c r="L1214" s="8" t="s">
        <v>27</v>
      </c>
      <c r="M1214" s="8" t="s">
        <v>28</v>
      </c>
      <c r="N1214" s="97">
        <v>48048.0</v>
      </c>
      <c r="O1214" s="97">
        <v>54060.0</v>
      </c>
      <c r="P1214" s="6">
        <v>26.0</v>
      </c>
      <c r="Q1214" s="8">
        <f t="shared" si="37"/>
        <v>12492.48</v>
      </c>
    </row>
    <row r="1215">
      <c r="A1215" s="100" t="s">
        <v>10649</v>
      </c>
      <c r="B1215" s="8" t="s">
        <v>10654</v>
      </c>
      <c r="C1215" s="8" t="s">
        <v>1432</v>
      </c>
      <c r="D1215" s="8" t="s">
        <v>10116</v>
      </c>
      <c r="E1215" s="8" t="s">
        <v>10655</v>
      </c>
      <c r="F1215" s="8"/>
      <c r="G1215" s="8"/>
      <c r="H1215" s="21">
        <v>198.0</v>
      </c>
      <c r="I1215" s="8" t="s">
        <v>10565</v>
      </c>
      <c r="J1215" s="8" t="s">
        <v>1419</v>
      </c>
      <c r="K1215" s="8" t="s">
        <v>49</v>
      </c>
      <c r="L1215" s="8" t="s">
        <v>1436</v>
      </c>
      <c r="M1215" s="8" t="s">
        <v>28</v>
      </c>
      <c r="N1215" s="21">
        <v>6133.0</v>
      </c>
      <c r="O1215" s="21">
        <v>7237.0</v>
      </c>
      <c r="P1215" s="6">
        <v>52.0</v>
      </c>
      <c r="Q1215" s="8">
        <f t="shared" si="37"/>
        <v>3189.16</v>
      </c>
    </row>
    <row r="1216">
      <c r="A1216" s="100" t="s">
        <v>10649</v>
      </c>
      <c r="B1216" s="8" t="s">
        <v>10656</v>
      </c>
      <c r="C1216" s="8" t="s">
        <v>1395</v>
      </c>
      <c r="D1216" s="8" t="s">
        <v>1091</v>
      </c>
      <c r="E1216" s="8" t="s">
        <v>10657</v>
      </c>
      <c r="F1216" s="8"/>
      <c r="G1216" s="8"/>
      <c r="H1216" s="21">
        <v>3480.0</v>
      </c>
      <c r="I1216" s="8" t="s">
        <v>10598</v>
      </c>
      <c r="J1216" s="8" t="s">
        <v>116</v>
      </c>
      <c r="K1216" s="8" t="s">
        <v>49</v>
      </c>
      <c r="L1216" s="8" t="s">
        <v>219</v>
      </c>
      <c r="M1216" s="8" t="s">
        <v>28</v>
      </c>
      <c r="N1216" s="97">
        <v>21858.0</v>
      </c>
      <c r="O1216" s="97">
        <v>24824.0</v>
      </c>
      <c r="P1216" s="6">
        <v>48.0</v>
      </c>
      <c r="Q1216" s="8">
        <f t="shared" si="37"/>
        <v>10491.84</v>
      </c>
    </row>
    <row r="1217">
      <c r="A1217" s="100" t="s">
        <v>10649</v>
      </c>
      <c r="B1217" s="8" t="s">
        <v>10658</v>
      </c>
      <c r="C1217" s="8" t="s">
        <v>1395</v>
      </c>
      <c r="D1217" s="8" t="s">
        <v>10659</v>
      </c>
      <c r="E1217" s="8" t="s">
        <v>10660</v>
      </c>
      <c r="F1217" s="8"/>
      <c r="G1217" s="8"/>
      <c r="H1217" s="21">
        <v>1540.0</v>
      </c>
      <c r="I1217" s="21" t="s">
        <v>5356</v>
      </c>
      <c r="J1217" s="8" t="s">
        <v>9946</v>
      </c>
      <c r="K1217" s="8" t="s">
        <v>49</v>
      </c>
      <c r="L1217" s="8" t="s">
        <v>27</v>
      </c>
      <c r="M1217" s="8" t="s">
        <v>28</v>
      </c>
      <c r="N1217" s="97">
        <v>19088.0</v>
      </c>
      <c r="O1217" s="97">
        <v>21561.0</v>
      </c>
      <c r="P1217" s="6">
        <v>58.0</v>
      </c>
      <c r="Q1217" s="8">
        <f t="shared" si="37"/>
        <v>11071.04</v>
      </c>
    </row>
    <row r="1218">
      <c r="A1218" s="107" t="s">
        <v>8014</v>
      </c>
      <c r="B1218" s="108" t="s">
        <v>10661</v>
      </c>
      <c r="C1218" s="108" t="s">
        <v>21</v>
      </c>
      <c r="D1218" s="108" t="s">
        <v>10662</v>
      </c>
      <c r="E1218" s="108" t="s">
        <v>10663</v>
      </c>
      <c r="F1218" s="108"/>
      <c r="G1218" s="108"/>
      <c r="H1218" s="114">
        <v>11250.0</v>
      </c>
      <c r="I1218" s="114" t="s">
        <v>5299</v>
      </c>
      <c r="J1218" s="108" t="s">
        <v>353</v>
      </c>
      <c r="K1218" s="108" t="s">
        <v>49</v>
      </c>
      <c r="L1218" s="108" t="s">
        <v>71</v>
      </c>
      <c r="M1218" s="108" t="s">
        <v>28</v>
      </c>
      <c r="N1218" s="116">
        <v>41982.0</v>
      </c>
      <c r="O1218" s="116">
        <v>47908.0</v>
      </c>
      <c r="P1218" s="6">
        <v>23.0</v>
      </c>
      <c r="Q1218" s="8">
        <f t="shared" si="37"/>
        <v>9655.86</v>
      </c>
    </row>
    <row r="1219">
      <c r="A1219" s="113">
        <v>45636.0</v>
      </c>
      <c r="B1219" s="108" t="s">
        <v>5237</v>
      </c>
      <c r="C1219" s="108" t="s">
        <v>21</v>
      </c>
      <c r="D1219" s="108" t="s">
        <v>10664</v>
      </c>
      <c r="E1219" s="108" t="s">
        <v>10665</v>
      </c>
      <c r="F1219" s="108">
        <v>9.979600037E9</v>
      </c>
      <c r="G1219" s="108"/>
      <c r="H1219" s="114">
        <v>25000.0</v>
      </c>
      <c r="I1219" s="620">
        <v>46001.0</v>
      </c>
      <c r="J1219" s="108" t="s">
        <v>9946</v>
      </c>
      <c r="K1219" s="108" t="s">
        <v>49</v>
      </c>
      <c r="L1219" s="108" t="s">
        <v>27</v>
      </c>
      <c r="M1219" s="108" t="s">
        <v>28</v>
      </c>
      <c r="N1219" s="116">
        <v>46225.0</v>
      </c>
      <c r="O1219" s="116">
        <v>51908.0</v>
      </c>
      <c r="P1219" s="125">
        <v>26.0</v>
      </c>
      <c r="Q1219" s="8">
        <f t="shared" si="37"/>
        <v>12018.5</v>
      </c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</row>
    <row r="1220">
      <c r="A1220" s="105">
        <v>45453.0</v>
      </c>
      <c r="B1220" s="108" t="s">
        <v>5132</v>
      </c>
      <c r="C1220" s="108" t="s">
        <v>21</v>
      </c>
      <c r="D1220" s="108" t="s">
        <v>133</v>
      </c>
      <c r="E1220" s="108" t="s">
        <v>1570</v>
      </c>
      <c r="F1220" s="108">
        <v>9.724860034E9</v>
      </c>
      <c r="G1220" s="108"/>
      <c r="H1220" s="114">
        <v>42000.0</v>
      </c>
      <c r="I1220" s="110">
        <v>45787.0</v>
      </c>
      <c r="J1220" s="108" t="s">
        <v>9946</v>
      </c>
      <c r="K1220" s="108" t="s">
        <v>49</v>
      </c>
      <c r="L1220" s="108" t="s">
        <v>185</v>
      </c>
      <c r="M1220" s="108" t="s">
        <v>28</v>
      </c>
      <c r="N1220" s="116">
        <v>49816.0</v>
      </c>
      <c r="O1220" s="116">
        <v>56128.0</v>
      </c>
      <c r="P1220" s="86">
        <v>26.0</v>
      </c>
      <c r="Q1220" s="8">
        <f t="shared" si="37"/>
        <v>12952.16</v>
      </c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</row>
    <row r="1221">
      <c r="A1221" s="107" t="s">
        <v>7767</v>
      </c>
      <c r="B1221" s="108" t="s">
        <v>7778</v>
      </c>
      <c r="C1221" s="108" t="s">
        <v>21</v>
      </c>
      <c r="D1221" s="108" t="s">
        <v>2356</v>
      </c>
      <c r="E1221" s="108" t="s">
        <v>7822</v>
      </c>
      <c r="F1221" s="108">
        <v>9.979078037E9</v>
      </c>
      <c r="G1221" s="108"/>
      <c r="H1221" s="114">
        <v>35000.0</v>
      </c>
      <c r="I1221" s="114" t="s">
        <v>5030</v>
      </c>
      <c r="J1221" s="108" t="s">
        <v>9946</v>
      </c>
      <c r="K1221" s="108" t="s">
        <v>49</v>
      </c>
      <c r="L1221" s="108" t="s">
        <v>71</v>
      </c>
      <c r="M1221" s="108" t="s">
        <v>28</v>
      </c>
      <c r="N1221" s="116">
        <v>48289.0</v>
      </c>
      <c r="O1221" s="116">
        <v>54344.0</v>
      </c>
      <c r="P1221" s="6">
        <v>26.0</v>
      </c>
      <c r="Q1221" s="8">
        <f t="shared" si="37"/>
        <v>12555.14</v>
      </c>
    </row>
    <row r="1222">
      <c r="A1222" s="93"/>
      <c r="B1222" s="58"/>
      <c r="C1222" s="58"/>
      <c r="D1222" s="58"/>
      <c r="E1222" s="58"/>
      <c r="F1222" s="58"/>
      <c r="G1222" s="58"/>
      <c r="H1222" s="88"/>
      <c r="I1222" s="88"/>
      <c r="J1222" s="58"/>
      <c r="K1222" s="58"/>
      <c r="L1222" s="58"/>
      <c r="M1222" s="58"/>
      <c r="N1222" s="88"/>
      <c r="O1222" s="88"/>
    </row>
    <row r="1223">
      <c r="A1223" s="93"/>
      <c r="B1223" s="58"/>
      <c r="C1223" s="58"/>
      <c r="D1223" s="58"/>
      <c r="E1223" s="58"/>
      <c r="F1223" s="58"/>
      <c r="G1223" s="58"/>
      <c r="H1223" s="88"/>
      <c r="I1223" s="88"/>
      <c r="J1223" s="58"/>
      <c r="K1223" s="58"/>
      <c r="L1223" s="58"/>
      <c r="M1223" s="58"/>
      <c r="N1223" s="88"/>
      <c r="O1223" s="88"/>
    </row>
    <row r="1224">
      <c r="A1224" s="100" t="s">
        <v>10649</v>
      </c>
      <c r="B1224" s="8" t="s">
        <v>10666</v>
      </c>
      <c r="C1224" s="131" t="s">
        <v>21</v>
      </c>
      <c r="D1224" s="8" t="s">
        <v>10667</v>
      </c>
      <c r="E1224" s="8" t="s">
        <v>5131</v>
      </c>
      <c r="F1224" s="8"/>
      <c r="G1224" s="8"/>
      <c r="H1224" s="21">
        <v>11990.0</v>
      </c>
      <c r="I1224" s="21" t="s">
        <v>10565</v>
      </c>
      <c r="J1224" s="131" t="s">
        <v>1419</v>
      </c>
      <c r="K1224" s="8" t="s">
        <v>49</v>
      </c>
      <c r="L1224" s="92" t="s">
        <v>27</v>
      </c>
      <c r="M1224" s="92" t="s">
        <v>28</v>
      </c>
      <c r="N1224" s="21">
        <v>30507.0</v>
      </c>
      <c r="O1224" s="21">
        <v>34367.0</v>
      </c>
      <c r="P1224" s="5">
        <v>30.0</v>
      </c>
      <c r="Q1224" s="8">
        <f t="shared" ref="Q1224:Q1314" si="38">N1224*P1224%</f>
        <v>9152.1</v>
      </c>
      <c r="R1224" s="31"/>
      <c r="S1224" s="31"/>
    </row>
    <row r="1225">
      <c r="A1225" s="100" t="s">
        <v>10649</v>
      </c>
      <c r="B1225" s="8" t="s">
        <v>5403</v>
      </c>
      <c r="C1225" s="131" t="s">
        <v>1432</v>
      </c>
      <c r="D1225" s="8" t="s">
        <v>2125</v>
      </c>
      <c r="E1225" s="8" t="s">
        <v>10668</v>
      </c>
      <c r="F1225" s="8">
        <v>9.327387753E9</v>
      </c>
      <c r="G1225" s="8"/>
      <c r="H1225" s="21">
        <v>436.0</v>
      </c>
      <c r="I1225" s="21" t="s">
        <v>5402</v>
      </c>
      <c r="J1225" s="131" t="s">
        <v>1424</v>
      </c>
      <c r="K1225" s="8" t="s">
        <v>49</v>
      </c>
      <c r="L1225" s="8" t="s">
        <v>389</v>
      </c>
      <c r="M1225" s="92" t="s">
        <v>28</v>
      </c>
      <c r="N1225" s="161">
        <v>6375.0</v>
      </c>
      <c r="O1225" s="21">
        <v>7523.0</v>
      </c>
      <c r="P1225" s="5">
        <v>53.0</v>
      </c>
      <c r="Q1225" s="8">
        <f t="shared" si="38"/>
        <v>3378.75</v>
      </c>
      <c r="R1225" s="31"/>
      <c r="S1225" s="31"/>
    </row>
    <row r="1226">
      <c r="A1226" s="100" t="s">
        <v>10649</v>
      </c>
      <c r="B1226" s="8" t="s">
        <v>10669</v>
      </c>
      <c r="C1226" s="131" t="s">
        <v>1432</v>
      </c>
      <c r="D1226" s="8" t="s">
        <v>2125</v>
      </c>
      <c r="E1226" s="8" t="s">
        <v>10670</v>
      </c>
      <c r="F1226" s="8">
        <v>7.201938223E9</v>
      </c>
      <c r="G1226" s="8"/>
      <c r="H1226" s="21">
        <v>436.0</v>
      </c>
      <c r="I1226" s="21" t="s">
        <v>10671</v>
      </c>
      <c r="J1226" s="131" t="s">
        <v>1424</v>
      </c>
      <c r="K1226" s="8" t="s">
        <v>49</v>
      </c>
      <c r="L1226" s="8" t="s">
        <v>219</v>
      </c>
      <c r="M1226" s="8" t="s">
        <v>28</v>
      </c>
      <c r="N1226" s="161">
        <v>6475.0</v>
      </c>
      <c r="O1226" s="21">
        <v>7641.0</v>
      </c>
      <c r="P1226" s="5">
        <v>53.0</v>
      </c>
      <c r="Q1226" s="8">
        <f t="shared" si="38"/>
        <v>3431.75</v>
      </c>
      <c r="R1226" s="31"/>
      <c r="S1226" s="31"/>
    </row>
    <row r="1227">
      <c r="A1227" s="100" t="s">
        <v>10649</v>
      </c>
      <c r="B1227" s="8" t="s">
        <v>10672</v>
      </c>
      <c r="C1227" s="131" t="s">
        <v>1432</v>
      </c>
      <c r="D1227" s="8" t="s">
        <v>10673</v>
      </c>
      <c r="E1227" s="8" t="s">
        <v>10674</v>
      </c>
      <c r="F1227" s="8"/>
      <c r="G1227" s="8"/>
      <c r="H1227" s="21">
        <v>754.0</v>
      </c>
      <c r="I1227" s="21" t="s">
        <v>5383</v>
      </c>
      <c r="J1227" s="131" t="s">
        <v>1424</v>
      </c>
      <c r="K1227" s="8" t="s">
        <v>49</v>
      </c>
      <c r="L1227" s="8" t="s">
        <v>340</v>
      </c>
      <c r="M1227" s="8" t="s">
        <v>28</v>
      </c>
      <c r="N1227" s="161">
        <v>5064.0</v>
      </c>
      <c r="O1227" s="21">
        <v>5976.0</v>
      </c>
      <c r="P1227" s="5">
        <v>53.0</v>
      </c>
      <c r="Q1227" s="8">
        <f t="shared" si="38"/>
        <v>2683.92</v>
      </c>
      <c r="R1227" s="31"/>
      <c r="S1227" s="31"/>
    </row>
    <row r="1228">
      <c r="A1228" s="100" t="s">
        <v>10675</v>
      </c>
      <c r="B1228" s="8" t="s">
        <v>10676</v>
      </c>
      <c r="C1228" s="131" t="s">
        <v>1432</v>
      </c>
      <c r="D1228" s="8" t="s">
        <v>9190</v>
      </c>
      <c r="E1228" s="8" t="s">
        <v>10677</v>
      </c>
      <c r="F1228" s="8"/>
      <c r="G1228" s="8"/>
      <c r="H1228" s="21">
        <v>236.0</v>
      </c>
      <c r="I1228" s="21" t="s">
        <v>10565</v>
      </c>
      <c r="J1228" s="131" t="s">
        <v>1424</v>
      </c>
      <c r="K1228" s="8" t="s">
        <v>49</v>
      </c>
      <c r="L1228" s="8" t="s">
        <v>365</v>
      </c>
      <c r="M1228" s="8" t="s">
        <v>28</v>
      </c>
      <c r="N1228" s="161">
        <v>6513.0</v>
      </c>
      <c r="O1228" s="21">
        <v>7685.0</v>
      </c>
      <c r="P1228" s="5">
        <v>53.0</v>
      </c>
      <c r="Q1228" s="8">
        <f t="shared" si="38"/>
        <v>3451.89</v>
      </c>
      <c r="R1228" s="31"/>
      <c r="S1228" s="31"/>
    </row>
    <row r="1229">
      <c r="A1229" s="100" t="s">
        <v>10675</v>
      </c>
      <c r="B1229" s="8" t="s">
        <v>5398</v>
      </c>
      <c r="C1229" s="131" t="s">
        <v>1432</v>
      </c>
      <c r="D1229" s="8" t="s">
        <v>2125</v>
      </c>
      <c r="E1229" s="8" t="s">
        <v>10678</v>
      </c>
      <c r="F1229" s="8"/>
      <c r="G1229" s="8"/>
      <c r="H1229" s="21">
        <v>436.0</v>
      </c>
      <c r="I1229" s="21" t="s">
        <v>5402</v>
      </c>
      <c r="J1229" s="131" t="s">
        <v>1424</v>
      </c>
      <c r="K1229" s="8" t="s">
        <v>49</v>
      </c>
      <c r="L1229" s="8" t="s">
        <v>1436</v>
      </c>
      <c r="M1229" s="8" t="s">
        <v>28</v>
      </c>
      <c r="N1229" s="273">
        <v>6344.0</v>
      </c>
      <c r="O1229" s="21">
        <v>7486.0</v>
      </c>
      <c r="P1229" s="5">
        <v>53.0</v>
      </c>
      <c r="Q1229" s="8">
        <f t="shared" si="38"/>
        <v>3362.32</v>
      </c>
      <c r="R1229" s="31"/>
      <c r="S1229" s="31"/>
    </row>
    <row r="1230">
      <c r="A1230" s="100" t="s">
        <v>10675</v>
      </c>
      <c r="B1230" s="8" t="s">
        <v>10679</v>
      </c>
      <c r="C1230" s="131" t="s">
        <v>1395</v>
      </c>
      <c r="D1230" s="8" t="s">
        <v>2087</v>
      </c>
      <c r="E1230" s="8" t="s">
        <v>10680</v>
      </c>
      <c r="F1230" s="8">
        <v>9.512515E9</v>
      </c>
      <c r="G1230" s="8"/>
      <c r="H1230" s="21">
        <v>2995.0</v>
      </c>
      <c r="I1230" s="22">
        <v>45668.0</v>
      </c>
      <c r="J1230" s="131" t="s">
        <v>116</v>
      </c>
      <c r="K1230" s="8" t="s">
        <v>49</v>
      </c>
      <c r="L1230" s="8" t="s">
        <v>144</v>
      </c>
      <c r="M1230" s="8" t="s">
        <v>28</v>
      </c>
      <c r="N1230" s="97">
        <v>20157.0</v>
      </c>
      <c r="O1230" s="97">
        <v>22817.0</v>
      </c>
      <c r="P1230" s="5">
        <v>48.0</v>
      </c>
      <c r="Q1230" s="8">
        <f t="shared" si="38"/>
        <v>9675.36</v>
      </c>
      <c r="R1230" s="31"/>
      <c r="S1230" s="31"/>
    </row>
    <row r="1231">
      <c r="A1231" s="100" t="s">
        <v>10675</v>
      </c>
      <c r="B1231" s="8" t="s">
        <v>10681</v>
      </c>
      <c r="C1231" s="131" t="s">
        <v>1395</v>
      </c>
      <c r="D1231" s="8" t="s">
        <v>524</v>
      </c>
      <c r="E1231" s="8" t="s">
        <v>1507</v>
      </c>
      <c r="F1231" s="8">
        <v>9.825699562E9</v>
      </c>
      <c r="G1231" s="8"/>
      <c r="H1231" s="21">
        <v>3490.0</v>
      </c>
      <c r="I1231" s="21" t="s">
        <v>5356</v>
      </c>
      <c r="J1231" s="131" t="s">
        <v>116</v>
      </c>
      <c r="K1231" s="8" t="s">
        <v>49</v>
      </c>
      <c r="L1231" s="8" t="s">
        <v>8968</v>
      </c>
      <c r="M1231" s="8" t="s">
        <v>28</v>
      </c>
      <c r="N1231" s="97">
        <v>21028.0</v>
      </c>
      <c r="O1231" s="97">
        <v>23842.0</v>
      </c>
      <c r="P1231" s="5">
        <v>48.0</v>
      </c>
      <c r="Q1231" s="8">
        <f t="shared" si="38"/>
        <v>10093.44</v>
      </c>
      <c r="R1231" s="31"/>
      <c r="S1231" s="31"/>
    </row>
    <row r="1232">
      <c r="A1232" s="233" t="s">
        <v>10675</v>
      </c>
      <c r="B1232" s="8" t="s">
        <v>10682</v>
      </c>
      <c r="C1232" s="131" t="s">
        <v>1395</v>
      </c>
      <c r="D1232" s="8" t="s">
        <v>2116</v>
      </c>
      <c r="E1232" s="8" t="s">
        <v>10683</v>
      </c>
      <c r="F1232" s="8"/>
      <c r="G1232" s="8"/>
      <c r="H1232" s="21">
        <v>1600.0</v>
      </c>
      <c r="I1232" s="21" t="s">
        <v>5356</v>
      </c>
      <c r="J1232" s="131" t="s">
        <v>1424</v>
      </c>
      <c r="K1232" s="8" t="s">
        <v>49</v>
      </c>
      <c r="L1232" s="8" t="s">
        <v>27</v>
      </c>
      <c r="M1232" s="8" t="s">
        <v>28</v>
      </c>
      <c r="N1232" s="161">
        <v>19088.0</v>
      </c>
      <c r="O1232" s="21">
        <v>21562.0</v>
      </c>
      <c r="P1232" s="5">
        <v>52.0</v>
      </c>
      <c r="Q1232" s="8">
        <f t="shared" si="38"/>
        <v>9925.76</v>
      </c>
      <c r="R1232" s="31"/>
      <c r="S1232" s="31"/>
    </row>
    <row r="1233">
      <c r="A1233" s="100" t="s">
        <v>10684</v>
      </c>
      <c r="B1233" s="8" t="s">
        <v>5380</v>
      </c>
      <c r="C1233" s="131" t="s">
        <v>21</v>
      </c>
      <c r="D1233" s="8" t="s">
        <v>10685</v>
      </c>
      <c r="E1233" s="8" t="s">
        <v>5382</v>
      </c>
      <c r="F1233" s="8"/>
      <c r="G1233" s="8"/>
      <c r="H1233" s="21">
        <v>28000.0</v>
      </c>
      <c r="I1233" s="21" t="s">
        <v>5356</v>
      </c>
      <c r="J1233" s="131" t="s">
        <v>9946</v>
      </c>
      <c r="K1233" s="8" t="s">
        <v>49</v>
      </c>
      <c r="L1233" s="8" t="s">
        <v>27</v>
      </c>
      <c r="M1233" s="8" t="s">
        <v>28</v>
      </c>
      <c r="N1233" s="97">
        <v>47047.0</v>
      </c>
      <c r="O1233" s="97">
        <v>52879.0</v>
      </c>
      <c r="P1233" s="5">
        <v>26.0</v>
      </c>
      <c r="Q1233" s="8">
        <f t="shared" si="38"/>
        <v>12232.22</v>
      </c>
      <c r="R1233" s="31"/>
      <c r="S1233" s="31"/>
    </row>
    <row r="1234">
      <c r="A1234" s="233" t="s">
        <v>10684</v>
      </c>
      <c r="B1234" s="8" t="s">
        <v>5440</v>
      </c>
      <c r="C1234" s="131" t="s">
        <v>1432</v>
      </c>
      <c r="D1234" s="8" t="s">
        <v>2125</v>
      </c>
      <c r="E1234" s="8" t="s">
        <v>10686</v>
      </c>
      <c r="F1234" s="8"/>
      <c r="G1234" s="8"/>
      <c r="H1234" s="21">
        <v>436.0</v>
      </c>
      <c r="I1234" s="21" t="s">
        <v>5356</v>
      </c>
      <c r="J1234" s="131" t="s">
        <v>1424</v>
      </c>
      <c r="K1234" s="8" t="s">
        <v>49</v>
      </c>
      <c r="L1234" s="8" t="s">
        <v>389</v>
      </c>
      <c r="M1234" s="8" t="s">
        <v>28</v>
      </c>
      <c r="N1234" s="161">
        <v>6375.0</v>
      </c>
      <c r="O1234" s="21">
        <v>7523.0</v>
      </c>
      <c r="P1234" s="5">
        <v>53.0</v>
      </c>
      <c r="Q1234" s="8">
        <f t="shared" si="38"/>
        <v>3378.75</v>
      </c>
      <c r="R1234" s="31"/>
      <c r="S1234" s="31"/>
    </row>
    <row r="1235">
      <c r="A1235" s="233" t="s">
        <v>10684</v>
      </c>
      <c r="B1235" s="8" t="s">
        <v>5413</v>
      </c>
      <c r="C1235" s="131" t="s">
        <v>1432</v>
      </c>
      <c r="D1235" s="8" t="s">
        <v>2125</v>
      </c>
      <c r="E1235" s="8" t="s">
        <v>10687</v>
      </c>
      <c r="F1235" s="8">
        <v>9.825186127E9</v>
      </c>
      <c r="G1235" s="8"/>
      <c r="H1235" s="21">
        <v>436.0</v>
      </c>
      <c r="I1235" s="21" t="s">
        <v>5356</v>
      </c>
      <c r="J1235" s="131" t="s">
        <v>1424</v>
      </c>
      <c r="K1235" s="8" t="s">
        <v>49</v>
      </c>
      <c r="L1235" s="8" t="s">
        <v>185</v>
      </c>
      <c r="M1235" s="8" t="s">
        <v>28</v>
      </c>
      <c r="N1235" s="161">
        <v>6375.0</v>
      </c>
      <c r="O1235" s="21">
        <v>7523.0</v>
      </c>
      <c r="P1235" s="5">
        <v>53.0</v>
      </c>
      <c r="Q1235" s="8">
        <f t="shared" si="38"/>
        <v>3378.75</v>
      </c>
      <c r="R1235" s="31"/>
      <c r="S1235" s="31"/>
    </row>
    <row r="1236">
      <c r="A1236" s="233" t="s">
        <v>10684</v>
      </c>
      <c r="B1236" s="8" t="s">
        <v>10688</v>
      </c>
      <c r="C1236" s="131" t="s">
        <v>1432</v>
      </c>
      <c r="D1236" s="8" t="s">
        <v>2125</v>
      </c>
      <c r="E1236" s="8" t="s">
        <v>10689</v>
      </c>
      <c r="F1236" s="8"/>
      <c r="G1236" s="8"/>
      <c r="H1236" s="21">
        <v>436.0</v>
      </c>
      <c r="I1236" s="21" t="s">
        <v>5383</v>
      </c>
      <c r="J1236" s="8" t="s">
        <v>1424</v>
      </c>
      <c r="K1236" s="8" t="s">
        <v>49</v>
      </c>
      <c r="L1236" s="8" t="s">
        <v>389</v>
      </c>
      <c r="M1236" s="8" t="s">
        <v>28</v>
      </c>
      <c r="N1236" s="161">
        <v>6375.0</v>
      </c>
      <c r="O1236" s="21">
        <v>7523.0</v>
      </c>
      <c r="P1236" s="5">
        <v>53.0</v>
      </c>
      <c r="Q1236" s="8">
        <f t="shared" si="38"/>
        <v>3378.75</v>
      </c>
      <c r="R1236" s="31"/>
      <c r="S1236" s="31"/>
    </row>
    <row r="1237">
      <c r="A1237" s="233" t="s">
        <v>10684</v>
      </c>
      <c r="B1237" s="8" t="s">
        <v>5365</v>
      </c>
      <c r="C1237" s="131" t="s">
        <v>1432</v>
      </c>
      <c r="D1237" s="8" t="s">
        <v>9151</v>
      </c>
      <c r="E1237" s="8" t="s">
        <v>10690</v>
      </c>
      <c r="F1237" s="8">
        <v>8.780619126E9</v>
      </c>
      <c r="G1237" s="8"/>
      <c r="H1237" s="21">
        <v>236.0</v>
      </c>
      <c r="I1237" s="21" t="s">
        <v>5356</v>
      </c>
      <c r="J1237" s="131" t="s">
        <v>1424</v>
      </c>
      <c r="K1237" s="8" t="s">
        <v>49</v>
      </c>
      <c r="L1237" s="8" t="s">
        <v>144</v>
      </c>
      <c r="M1237" s="8" t="s">
        <v>28</v>
      </c>
      <c r="N1237" s="273">
        <v>6349.0</v>
      </c>
      <c r="O1237" s="21">
        <v>7491.0</v>
      </c>
      <c r="P1237" s="5">
        <v>53.0</v>
      </c>
      <c r="Q1237" s="8">
        <f t="shared" si="38"/>
        <v>3364.97</v>
      </c>
      <c r="R1237" s="31"/>
      <c r="S1237" s="31"/>
    </row>
    <row r="1238">
      <c r="A1238" s="233" t="s">
        <v>10684</v>
      </c>
      <c r="B1238" s="8" t="s">
        <v>10691</v>
      </c>
      <c r="C1238" s="131" t="s">
        <v>1395</v>
      </c>
      <c r="D1238" s="8" t="s">
        <v>2116</v>
      </c>
      <c r="E1238" s="8" t="s">
        <v>10692</v>
      </c>
      <c r="F1238" s="8">
        <v>9.510346804E9</v>
      </c>
      <c r="G1238" s="8"/>
      <c r="H1238" s="21">
        <v>1600.0</v>
      </c>
      <c r="I1238" s="21" t="s">
        <v>5356</v>
      </c>
      <c r="J1238" s="131" t="s">
        <v>1424</v>
      </c>
      <c r="K1238" s="8" t="s">
        <v>49</v>
      </c>
      <c r="L1238" s="8" t="s">
        <v>1436</v>
      </c>
      <c r="M1238" s="8" t="s">
        <v>28</v>
      </c>
      <c r="N1238" s="161">
        <v>19393.0</v>
      </c>
      <c r="O1238" s="21">
        <v>21921.0</v>
      </c>
      <c r="P1238" s="5">
        <v>52.0</v>
      </c>
      <c r="Q1238" s="8">
        <f t="shared" si="38"/>
        <v>10084.36</v>
      </c>
      <c r="R1238" s="31"/>
      <c r="S1238" s="31"/>
    </row>
    <row r="1239">
      <c r="A1239" s="233" t="s">
        <v>10684</v>
      </c>
      <c r="B1239" s="8" t="s">
        <v>5388</v>
      </c>
      <c r="C1239" s="131" t="s">
        <v>1432</v>
      </c>
      <c r="D1239" s="8" t="s">
        <v>2125</v>
      </c>
      <c r="E1239" s="8" t="s">
        <v>10693</v>
      </c>
      <c r="F1239" s="8">
        <v>9.638635683E9</v>
      </c>
      <c r="G1239" s="8"/>
      <c r="H1239" s="21">
        <v>470.0</v>
      </c>
      <c r="I1239" s="21" t="s">
        <v>5383</v>
      </c>
      <c r="J1239" s="131" t="s">
        <v>1424</v>
      </c>
      <c r="K1239" s="8" t="s">
        <v>49</v>
      </c>
      <c r="L1239" s="8" t="s">
        <v>219</v>
      </c>
      <c r="M1239" s="8" t="s">
        <v>28</v>
      </c>
      <c r="N1239" s="273">
        <v>6375.0</v>
      </c>
      <c r="O1239" s="21">
        <v>7523.0</v>
      </c>
      <c r="P1239" s="5">
        <v>53.0</v>
      </c>
      <c r="Q1239" s="8">
        <f t="shared" si="38"/>
        <v>3378.75</v>
      </c>
      <c r="R1239" s="31"/>
      <c r="S1239" s="31"/>
    </row>
    <row r="1240">
      <c r="A1240" s="233" t="s">
        <v>10684</v>
      </c>
      <c r="B1240" s="8" t="s">
        <v>10694</v>
      </c>
      <c r="C1240" s="131" t="s">
        <v>1395</v>
      </c>
      <c r="D1240" s="8" t="s">
        <v>524</v>
      </c>
      <c r="E1240" s="8" t="s">
        <v>9584</v>
      </c>
      <c r="F1240" s="8"/>
      <c r="G1240" s="8"/>
      <c r="H1240" s="21">
        <v>3490.0</v>
      </c>
      <c r="I1240" s="21" t="s">
        <v>5402</v>
      </c>
      <c r="J1240" s="131" t="s">
        <v>116</v>
      </c>
      <c r="K1240" s="8" t="s">
        <v>49</v>
      </c>
      <c r="L1240" s="8" t="s">
        <v>71</v>
      </c>
      <c r="M1240" s="8" t="s">
        <v>28</v>
      </c>
      <c r="N1240" s="97">
        <v>18958.0</v>
      </c>
      <c r="O1240" s="97">
        <v>21402.0</v>
      </c>
      <c r="P1240" s="5">
        <v>48.0</v>
      </c>
      <c r="Q1240" s="8">
        <f t="shared" si="38"/>
        <v>9099.84</v>
      </c>
      <c r="R1240" s="31"/>
      <c r="S1240" s="31"/>
    </row>
    <row r="1241">
      <c r="A1241" s="233" t="s">
        <v>10684</v>
      </c>
      <c r="B1241" s="8" t="s">
        <v>10695</v>
      </c>
      <c r="C1241" s="131" t="s">
        <v>1395</v>
      </c>
      <c r="D1241" s="8" t="s">
        <v>524</v>
      </c>
      <c r="E1241" s="8" t="s">
        <v>10696</v>
      </c>
      <c r="F1241" s="8"/>
      <c r="G1241" s="8"/>
      <c r="H1241" s="21">
        <v>3490.0</v>
      </c>
      <c r="I1241" s="22">
        <v>45727.0</v>
      </c>
      <c r="J1241" s="131" t="s">
        <v>116</v>
      </c>
      <c r="K1241" s="8" t="s">
        <v>49</v>
      </c>
      <c r="L1241" s="8" t="s">
        <v>71</v>
      </c>
      <c r="M1241" s="8" t="s">
        <v>28</v>
      </c>
      <c r="N1241" s="97">
        <v>21502.0</v>
      </c>
      <c r="O1241" s="97">
        <v>24402.0</v>
      </c>
      <c r="P1241" s="5">
        <v>48.0</v>
      </c>
      <c r="Q1241" s="8">
        <f t="shared" si="38"/>
        <v>10320.96</v>
      </c>
      <c r="R1241" s="31"/>
      <c r="S1241" s="31"/>
    </row>
    <row r="1242">
      <c r="A1242" s="233" t="s">
        <v>8035</v>
      </c>
      <c r="B1242" s="8" t="s">
        <v>5447</v>
      </c>
      <c r="C1242" s="131" t="s">
        <v>21</v>
      </c>
      <c r="D1242" s="8" t="s">
        <v>10697</v>
      </c>
      <c r="E1242" s="8" t="s">
        <v>10698</v>
      </c>
      <c r="F1242" s="8">
        <v>9.978460453E9</v>
      </c>
      <c r="G1242" s="8"/>
      <c r="H1242" s="96">
        <v>14050.0</v>
      </c>
      <c r="I1242" s="21" t="s">
        <v>5402</v>
      </c>
      <c r="J1242" s="131" t="s">
        <v>2562</v>
      </c>
      <c r="K1242" s="8" t="s">
        <v>26</v>
      </c>
      <c r="L1242" s="8" t="s">
        <v>71</v>
      </c>
      <c r="M1242" s="8" t="s">
        <v>28</v>
      </c>
      <c r="N1242" s="97">
        <v>35513.0</v>
      </c>
      <c r="O1242" s="97">
        <v>39786.56</v>
      </c>
      <c r="P1242" s="5">
        <v>42.0</v>
      </c>
      <c r="Q1242" s="8">
        <f t="shared" si="38"/>
        <v>14915.46</v>
      </c>
      <c r="R1242" s="31"/>
      <c r="S1242" s="31"/>
    </row>
    <row r="1243">
      <c r="A1243" s="233" t="s">
        <v>8035</v>
      </c>
      <c r="B1243" s="8" t="s">
        <v>10699</v>
      </c>
      <c r="C1243" s="8" t="s">
        <v>21</v>
      </c>
      <c r="D1243" s="8" t="s">
        <v>2854</v>
      </c>
      <c r="E1243" s="8" t="s">
        <v>10700</v>
      </c>
      <c r="F1243" s="8">
        <v>9.727450222E9</v>
      </c>
      <c r="G1243" s="8"/>
      <c r="H1243" s="21">
        <v>11990.0</v>
      </c>
      <c r="I1243" s="21" t="s">
        <v>5402</v>
      </c>
      <c r="J1243" s="131" t="s">
        <v>25</v>
      </c>
      <c r="K1243" s="8" t="s">
        <v>49</v>
      </c>
      <c r="L1243" s="8" t="s">
        <v>71</v>
      </c>
      <c r="M1243" s="8" t="s">
        <v>28</v>
      </c>
      <c r="N1243" s="97">
        <v>28923.0</v>
      </c>
      <c r="O1243" s="96">
        <v>32498.0</v>
      </c>
      <c r="P1243" s="5">
        <v>33.0</v>
      </c>
      <c r="Q1243" s="8">
        <f t="shared" si="38"/>
        <v>9544.59</v>
      </c>
      <c r="R1243" s="31"/>
      <c r="S1243" s="31"/>
    </row>
    <row r="1244">
      <c r="A1244" s="233" t="s">
        <v>8035</v>
      </c>
      <c r="B1244" s="8" t="s">
        <v>5451</v>
      </c>
      <c r="C1244" s="131" t="s">
        <v>1432</v>
      </c>
      <c r="D1244" s="8" t="s">
        <v>2125</v>
      </c>
      <c r="E1244" s="8" t="s">
        <v>10701</v>
      </c>
      <c r="F1244" s="8">
        <v>9.727231209E9</v>
      </c>
      <c r="G1244" s="8"/>
      <c r="H1244" s="21">
        <v>436.0</v>
      </c>
      <c r="I1244" s="22">
        <v>45699.0</v>
      </c>
      <c r="J1244" s="131" t="s">
        <v>1424</v>
      </c>
      <c r="K1244" s="8" t="s">
        <v>49</v>
      </c>
      <c r="L1244" s="8" t="s">
        <v>144</v>
      </c>
      <c r="M1244" s="8" t="s">
        <v>28</v>
      </c>
      <c r="N1244" s="273">
        <v>6375.0</v>
      </c>
      <c r="O1244" s="21">
        <v>7523.0</v>
      </c>
      <c r="P1244" s="5">
        <v>53.0</v>
      </c>
      <c r="Q1244" s="8">
        <f t="shared" si="38"/>
        <v>3378.75</v>
      </c>
      <c r="R1244" s="31"/>
      <c r="S1244" s="31"/>
    </row>
    <row r="1245">
      <c r="A1245" s="233" t="s">
        <v>8035</v>
      </c>
      <c r="B1245" s="8" t="s">
        <v>10702</v>
      </c>
      <c r="C1245" s="131" t="s">
        <v>1395</v>
      </c>
      <c r="D1245" s="8" t="s">
        <v>10703</v>
      </c>
      <c r="E1245" s="8" t="s">
        <v>10704</v>
      </c>
      <c r="F1245" s="8">
        <v>9.601909236E9</v>
      </c>
      <c r="G1245" s="8"/>
      <c r="H1245" s="21">
        <v>2700.0</v>
      </c>
      <c r="I1245" s="21" t="s">
        <v>5402</v>
      </c>
      <c r="J1245" s="131" t="s">
        <v>1424</v>
      </c>
      <c r="K1245" s="8" t="s">
        <v>49</v>
      </c>
      <c r="L1245" s="8" t="s">
        <v>185</v>
      </c>
      <c r="M1245" s="8" t="s">
        <v>28</v>
      </c>
      <c r="N1245" s="161">
        <v>17964.0</v>
      </c>
      <c r="O1245" s="21">
        <v>20234.0</v>
      </c>
      <c r="P1245" s="5">
        <v>52.0</v>
      </c>
      <c r="Q1245" s="8">
        <f t="shared" si="38"/>
        <v>9341.28</v>
      </c>
      <c r="R1245" s="31"/>
      <c r="S1245" s="31"/>
    </row>
    <row r="1246">
      <c r="A1246" s="233" t="s">
        <v>8035</v>
      </c>
      <c r="B1246" s="8" t="s">
        <v>5428</v>
      </c>
      <c r="C1246" s="131" t="s">
        <v>1432</v>
      </c>
      <c r="D1246" s="8" t="s">
        <v>2125</v>
      </c>
      <c r="E1246" s="8" t="s">
        <v>10705</v>
      </c>
      <c r="F1246" s="8">
        <v>6.352850236E9</v>
      </c>
      <c r="G1246" s="8"/>
      <c r="H1246" s="21">
        <v>436.0</v>
      </c>
      <c r="I1246" s="21" t="s">
        <v>5402</v>
      </c>
      <c r="J1246" s="131" t="s">
        <v>1424</v>
      </c>
      <c r="K1246" s="8" t="s">
        <v>49</v>
      </c>
      <c r="L1246" s="8" t="s">
        <v>185</v>
      </c>
      <c r="M1246" s="8" t="s">
        <v>28</v>
      </c>
      <c r="N1246" s="161">
        <v>6375.0</v>
      </c>
      <c r="O1246" s="21">
        <v>7523.0</v>
      </c>
      <c r="P1246" s="5">
        <v>53.0</v>
      </c>
      <c r="Q1246" s="8">
        <f t="shared" si="38"/>
        <v>3378.75</v>
      </c>
      <c r="R1246" s="31"/>
      <c r="S1246" s="31"/>
    </row>
    <row r="1247">
      <c r="A1247" s="233" t="s">
        <v>8035</v>
      </c>
      <c r="B1247" s="8" t="s">
        <v>10706</v>
      </c>
      <c r="C1247" s="131" t="s">
        <v>21</v>
      </c>
      <c r="D1247" s="621" t="s">
        <v>10707</v>
      </c>
      <c r="E1247" s="58" t="s">
        <v>10708</v>
      </c>
      <c r="F1247" s="8">
        <v>8.849588546E9</v>
      </c>
      <c r="G1247" s="8"/>
      <c r="H1247" s="21">
        <v>18500.0</v>
      </c>
      <c r="I1247" s="21" t="s">
        <v>5402</v>
      </c>
      <c r="J1247" s="131" t="s">
        <v>1424</v>
      </c>
      <c r="K1247" s="8" t="s">
        <v>49</v>
      </c>
      <c r="L1247" s="8" t="s">
        <v>71</v>
      </c>
      <c r="M1247" s="8" t="s">
        <v>28</v>
      </c>
      <c r="N1247" s="273">
        <v>37672.0</v>
      </c>
      <c r="O1247" s="21">
        <v>42334.0</v>
      </c>
      <c r="P1247" s="5">
        <v>22.0</v>
      </c>
      <c r="Q1247" s="8">
        <f t="shared" si="38"/>
        <v>8287.84</v>
      </c>
      <c r="R1247" s="31"/>
      <c r="S1247" s="31"/>
    </row>
    <row r="1248">
      <c r="A1248" s="233" t="s">
        <v>8035</v>
      </c>
      <c r="B1248" s="8" t="s">
        <v>10709</v>
      </c>
      <c r="C1248" s="131" t="s">
        <v>21</v>
      </c>
      <c r="D1248" s="8" t="s">
        <v>10710</v>
      </c>
      <c r="E1248" s="8" t="s">
        <v>10711</v>
      </c>
      <c r="F1248" s="8">
        <v>9.913772807E9</v>
      </c>
      <c r="G1248" s="8"/>
      <c r="H1248" s="21">
        <v>16140.0</v>
      </c>
      <c r="I1248" s="21" t="s">
        <v>5383</v>
      </c>
      <c r="J1248" s="8" t="s">
        <v>78</v>
      </c>
      <c r="K1248" s="8" t="s">
        <v>49</v>
      </c>
      <c r="L1248" s="8" t="s">
        <v>27</v>
      </c>
      <c r="M1248" s="8" t="s">
        <v>28</v>
      </c>
      <c r="N1248" s="21">
        <v>58107.0</v>
      </c>
      <c r="O1248" s="21">
        <v>66448.0</v>
      </c>
      <c r="P1248" s="5">
        <v>25.0</v>
      </c>
      <c r="Q1248" s="8">
        <f t="shared" si="38"/>
        <v>14526.75</v>
      </c>
      <c r="R1248" s="31"/>
      <c r="S1248" s="31"/>
    </row>
    <row r="1249">
      <c r="A1249" s="233" t="s">
        <v>8035</v>
      </c>
      <c r="B1249" s="8" t="s">
        <v>5434</v>
      </c>
      <c r="C1249" s="131" t="s">
        <v>1405</v>
      </c>
      <c r="D1249" s="8" t="s">
        <v>9268</v>
      </c>
      <c r="E1249" s="8" t="s">
        <v>10712</v>
      </c>
      <c r="F1249" s="8">
        <v>9.978857955E9</v>
      </c>
      <c r="G1249" s="8"/>
      <c r="H1249" s="21">
        <v>990.0</v>
      </c>
      <c r="I1249" s="22">
        <v>45727.0</v>
      </c>
      <c r="J1249" s="8" t="s">
        <v>78</v>
      </c>
      <c r="K1249" s="8" t="s">
        <v>49</v>
      </c>
      <c r="L1249" s="8" t="s">
        <v>1436</v>
      </c>
      <c r="M1249" s="8" t="s">
        <v>28</v>
      </c>
      <c r="N1249" s="21">
        <v>5124.0</v>
      </c>
      <c r="O1249" s="21">
        <v>5777.0</v>
      </c>
      <c r="P1249" s="5">
        <v>55.0</v>
      </c>
      <c r="Q1249" s="8">
        <f t="shared" si="38"/>
        <v>2818.2</v>
      </c>
      <c r="R1249" s="31"/>
      <c r="S1249" s="31"/>
    </row>
    <row r="1250">
      <c r="A1250" s="233" t="s">
        <v>8035</v>
      </c>
      <c r="B1250" s="8" t="s">
        <v>5556</v>
      </c>
      <c r="C1250" s="131" t="s">
        <v>1432</v>
      </c>
      <c r="D1250" s="8" t="s">
        <v>2125</v>
      </c>
      <c r="E1250" s="8" t="s">
        <v>10713</v>
      </c>
      <c r="F1250" s="8">
        <v>9.879997473E9</v>
      </c>
      <c r="G1250" s="8"/>
      <c r="H1250" s="21">
        <v>436.0</v>
      </c>
      <c r="I1250" s="21" t="s">
        <v>5402</v>
      </c>
      <c r="J1250" s="131" t="s">
        <v>1424</v>
      </c>
      <c r="K1250" s="8" t="s">
        <v>49</v>
      </c>
      <c r="L1250" s="8" t="s">
        <v>340</v>
      </c>
      <c r="M1250" s="8" t="s">
        <v>28</v>
      </c>
      <c r="N1250" s="161">
        <v>6375.0</v>
      </c>
      <c r="O1250" s="21">
        <v>7523.0</v>
      </c>
      <c r="P1250" s="5">
        <v>53.0</v>
      </c>
      <c r="Q1250" s="8">
        <f t="shared" si="38"/>
        <v>3378.75</v>
      </c>
      <c r="R1250" s="31"/>
      <c r="S1250" s="31"/>
    </row>
    <row r="1251">
      <c r="A1251" s="233" t="s">
        <v>8035</v>
      </c>
      <c r="B1251" s="131" t="s">
        <v>10714</v>
      </c>
      <c r="C1251" s="131" t="s">
        <v>1395</v>
      </c>
      <c r="D1251" s="8" t="s">
        <v>2116</v>
      </c>
      <c r="E1251" s="8" t="s">
        <v>10715</v>
      </c>
      <c r="F1251" s="8">
        <v>9.97967427E9</v>
      </c>
      <c r="G1251" s="8"/>
      <c r="H1251" s="21">
        <v>1600.0</v>
      </c>
      <c r="I1251" s="22">
        <v>45727.0</v>
      </c>
      <c r="J1251" s="131" t="s">
        <v>1424</v>
      </c>
      <c r="K1251" s="8" t="s">
        <v>49</v>
      </c>
      <c r="L1251" s="8" t="s">
        <v>185</v>
      </c>
      <c r="M1251" s="8" t="s">
        <v>28</v>
      </c>
      <c r="N1251" s="273">
        <v>19241.0</v>
      </c>
      <c r="O1251" s="21">
        <v>21741.0</v>
      </c>
      <c r="P1251" s="5">
        <v>52.0</v>
      </c>
      <c r="Q1251" s="8">
        <f t="shared" si="38"/>
        <v>10005.32</v>
      </c>
      <c r="R1251" s="31"/>
      <c r="S1251" s="31"/>
    </row>
    <row r="1252">
      <c r="A1252" s="233" t="s">
        <v>8035</v>
      </c>
      <c r="B1252" s="8" t="s">
        <v>10716</v>
      </c>
      <c r="C1252" s="131" t="s">
        <v>1395</v>
      </c>
      <c r="D1252" s="8" t="s">
        <v>9925</v>
      </c>
      <c r="E1252" s="8" t="s">
        <v>10717</v>
      </c>
      <c r="F1252" s="8"/>
      <c r="G1252" s="8"/>
      <c r="H1252" s="21">
        <v>2750.0</v>
      </c>
      <c r="I1252" s="22">
        <v>45668.0</v>
      </c>
      <c r="J1252" s="131" t="s">
        <v>1424</v>
      </c>
      <c r="K1252" s="8" t="s">
        <v>49</v>
      </c>
      <c r="L1252" s="8" t="s">
        <v>365</v>
      </c>
      <c r="M1252" s="8" t="s">
        <v>28</v>
      </c>
      <c r="N1252" s="273">
        <v>19395.0</v>
      </c>
      <c r="O1252" s="21">
        <v>21923.0</v>
      </c>
      <c r="P1252" s="5">
        <v>52.0</v>
      </c>
      <c r="Q1252" s="8">
        <f t="shared" si="38"/>
        <v>10085.4</v>
      </c>
      <c r="R1252" s="31"/>
      <c r="S1252" s="31"/>
    </row>
    <row r="1253">
      <c r="A1253" s="233" t="s">
        <v>8035</v>
      </c>
      <c r="B1253" s="8" t="s">
        <v>10718</v>
      </c>
      <c r="C1253" s="131" t="s">
        <v>1395</v>
      </c>
      <c r="D1253" s="8" t="s">
        <v>10719</v>
      </c>
      <c r="E1253" s="8" t="s">
        <v>10720</v>
      </c>
      <c r="F1253" s="8">
        <v>9.106799499E9</v>
      </c>
      <c r="G1253" s="8"/>
      <c r="H1253" s="21">
        <v>2735.0</v>
      </c>
      <c r="I1253" s="22">
        <v>45668.0</v>
      </c>
      <c r="J1253" s="131" t="s">
        <v>1424</v>
      </c>
      <c r="K1253" s="8" t="s">
        <v>49</v>
      </c>
      <c r="L1253" s="8" t="s">
        <v>144</v>
      </c>
      <c r="M1253" s="8" t="s">
        <v>28</v>
      </c>
      <c r="N1253" s="273">
        <v>20410.0</v>
      </c>
      <c r="O1253" s="21">
        <v>23120.0</v>
      </c>
      <c r="P1253" s="5">
        <v>52.0</v>
      </c>
      <c r="Q1253" s="8">
        <f t="shared" si="38"/>
        <v>10613.2</v>
      </c>
      <c r="R1253" s="31"/>
      <c r="S1253" s="31"/>
    </row>
    <row r="1254">
      <c r="A1254" s="233" t="s">
        <v>8035</v>
      </c>
      <c r="B1254" s="8" t="s">
        <v>10721</v>
      </c>
      <c r="C1254" s="131" t="s">
        <v>1432</v>
      </c>
      <c r="D1254" s="8" t="s">
        <v>2125</v>
      </c>
      <c r="E1254" s="8" t="s">
        <v>10722</v>
      </c>
      <c r="F1254" s="8">
        <v>9.328529711E9</v>
      </c>
      <c r="G1254" s="8"/>
      <c r="H1254" s="21">
        <v>436.0</v>
      </c>
      <c r="I1254" s="21" t="s">
        <v>5402</v>
      </c>
      <c r="J1254" s="131" t="s">
        <v>1424</v>
      </c>
      <c r="K1254" s="8" t="s">
        <v>49</v>
      </c>
      <c r="L1254" s="8" t="s">
        <v>1616</v>
      </c>
      <c r="M1254" s="8" t="s">
        <v>28</v>
      </c>
      <c r="N1254" s="161">
        <v>6405.0</v>
      </c>
      <c r="O1254" s="21">
        <v>7557.0</v>
      </c>
      <c r="P1254" s="5">
        <v>53.0</v>
      </c>
      <c r="Q1254" s="8">
        <f t="shared" si="38"/>
        <v>3394.65</v>
      </c>
      <c r="R1254" s="31"/>
      <c r="S1254" s="31"/>
    </row>
    <row r="1255">
      <c r="A1255" s="622" t="s">
        <v>8035</v>
      </c>
      <c r="B1255" s="8" t="s">
        <v>10723</v>
      </c>
      <c r="C1255" s="131" t="s">
        <v>1395</v>
      </c>
      <c r="D1255" s="8" t="s">
        <v>1535</v>
      </c>
      <c r="E1255" s="8" t="s">
        <v>10724</v>
      </c>
      <c r="F1255" s="8">
        <v>9.664861257E9</v>
      </c>
      <c r="G1255" s="8"/>
      <c r="H1255" s="21">
        <v>2850.0</v>
      </c>
      <c r="I1255" s="22">
        <v>45699.0</v>
      </c>
      <c r="J1255" s="8" t="s">
        <v>116</v>
      </c>
      <c r="K1255" s="8" t="s">
        <v>49</v>
      </c>
      <c r="L1255" s="8" t="s">
        <v>1451</v>
      </c>
      <c r="M1255" s="8" t="s">
        <v>28</v>
      </c>
      <c r="N1255" s="97">
        <v>22448.0</v>
      </c>
      <c r="O1255" s="209">
        <v>25520.0</v>
      </c>
      <c r="P1255" s="5">
        <v>48.0</v>
      </c>
      <c r="Q1255" s="8">
        <f t="shared" si="38"/>
        <v>10775.04</v>
      </c>
      <c r="R1255" s="31"/>
      <c r="S1255" s="31"/>
    </row>
    <row r="1256">
      <c r="A1256" s="622" t="s">
        <v>8035</v>
      </c>
      <c r="B1256" s="8" t="s">
        <v>6537</v>
      </c>
      <c r="C1256" s="8" t="s">
        <v>1395</v>
      </c>
      <c r="D1256" s="8" t="s">
        <v>9873</v>
      </c>
      <c r="E1256" s="8" t="s">
        <v>6539</v>
      </c>
      <c r="F1256" s="8">
        <v>9.824146576E9</v>
      </c>
      <c r="G1256" s="8"/>
      <c r="H1256" s="21">
        <v>1600.0</v>
      </c>
      <c r="I1256" s="22" t="s">
        <v>5424</v>
      </c>
      <c r="J1256" s="131" t="s">
        <v>1424</v>
      </c>
      <c r="K1256" s="8" t="s">
        <v>49</v>
      </c>
      <c r="L1256" s="8" t="s">
        <v>185</v>
      </c>
      <c r="M1256" s="8" t="s">
        <v>28</v>
      </c>
      <c r="N1256" s="163">
        <v>19291.0</v>
      </c>
      <c r="O1256" s="97">
        <v>21801.0</v>
      </c>
      <c r="P1256" s="5">
        <v>52.0</v>
      </c>
      <c r="Q1256" s="8">
        <f t="shared" si="38"/>
        <v>10031.32</v>
      </c>
      <c r="R1256" s="31"/>
      <c r="S1256" s="31"/>
    </row>
    <row r="1257">
      <c r="A1257" s="87">
        <v>45333.0</v>
      </c>
      <c r="B1257" s="8" t="s">
        <v>10725</v>
      </c>
      <c r="C1257" s="131" t="s">
        <v>1395</v>
      </c>
      <c r="D1257" s="8" t="s">
        <v>741</v>
      </c>
      <c r="E1257" s="8" t="s">
        <v>10454</v>
      </c>
      <c r="F1257" s="8"/>
      <c r="G1257" s="8"/>
      <c r="H1257" s="21">
        <v>3490.0</v>
      </c>
      <c r="I1257" s="22">
        <v>45668.0</v>
      </c>
      <c r="J1257" s="8" t="s">
        <v>116</v>
      </c>
      <c r="K1257" s="8" t="s">
        <v>49</v>
      </c>
      <c r="L1257" s="8" t="s">
        <v>27</v>
      </c>
      <c r="M1257" s="8" t="s">
        <v>28</v>
      </c>
      <c r="N1257" s="97">
        <v>22052.0</v>
      </c>
      <c r="O1257" s="97">
        <v>25054.0</v>
      </c>
      <c r="P1257" s="5">
        <v>48.0</v>
      </c>
      <c r="Q1257" s="8">
        <f t="shared" si="38"/>
        <v>10584.96</v>
      </c>
      <c r="R1257" s="31"/>
      <c r="S1257" s="31"/>
    </row>
    <row r="1258">
      <c r="A1258" s="622">
        <v>45333.0</v>
      </c>
      <c r="B1258" s="8" t="s">
        <v>5454</v>
      </c>
      <c r="C1258" s="131" t="s">
        <v>1395</v>
      </c>
      <c r="D1258" s="8" t="s">
        <v>1303</v>
      </c>
      <c r="E1258" s="8" t="s">
        <v>10726</v>
      </c>
      <c r="F1258" s="8">
        <v>9.909638759E9</v>
      </c>
      <c r="G1258" s="8"/>
      <c r="H1258" s="21">
        <v>2825.0</v>
      </c>
      <c r="I1258" s="22">
        <v>45668.0</v>
      </c>
      <c r="J1258" s="8" t="s">
        <v>116</v>
      </c>
      <c r="K1258" s="8" t="s">
        <v>49</v>
      </c>
      <c r="L1258" s="8" t="s">
        <v>185</v>
      </c>
      <c r="M1258" s="8" t="s">
        <v>28</v>
      </c>
      <c r="N1258" s="97">
        <v>21022.0</v>
      </c>
      <c r="O1258" s="97">
        <v>23833.0</v>
      </c>
      <c r="P1258" s="5">
        <v>48.0</v>
      </c>
      <c r="Q1258" s="8">
        <f t="shared" si="38"/>
        <v>10090.56</v>
      </c>
      <c r="R1258" s="31"/>
      <c r="S1258" s="31"/>
    </row>
    <row r="1259">
      <c r="A1259" s="87">
        <v>45333.0</v>
      </c>
      <c r="B1259" s="8" t="s">
        <v>5457</v>
      </c>
      <c r="C1259" s="8" t="s">
        <v>533</v>
      </c>
      <c r="D1259" s="8" t="s">
        <v>8039</v>
      </c>
      <c r="E1259" s="8" t="s">
        <v>3755</v>
      </c>
      <c r="F1259" s="8"/>
      <c r="G1259" s="8"/>
      <c r="H1259" s="21">
        <v>3330.0</v>
      </c>
      <c r="I1259" s="22">
        <v>45668.0</v>
      </c>
      <c r="J1259" s="131" t="s">
        <v>116</v>
      </c>
      <c r="K1259" s="8" t="s">
        <v>26</v>
      </c>
      <c r="L1259" s="8" t="s">
        <v>71</v>
      </c>
      <c r="M1259" s="8" t="s">
        <v>28</v>
      </c>
      <c r="N1259" s="97">
        <v>7317.0</v>
      </c>
      <c r="O1259" s="97">
        <v>8634.0</v>
      </c>
      <c r="P1259" s="5">
        <v>27.0</v>
      </c>
      <c r="Q1259" s="8">
        <f t="shared" si="38"/>
        <v>1975.59</v>
      </c>
      <c r="R1259" s="31"/>
      <c r="S1259" s="31"/>
    </row>
    <row r="1260">
      <c r="A1260" s="87">
        <v>45333.0</v>
      </c>
      <c r="B1260" s="8" t="s">
        <v>10727</v>
      </c>
      <c r="C1260" s="131" t="s">
        <v>1432</v>
      </c>
      <c r="D1260" s="8" t="s">
        <v>9151</v>
      </c>
      <c r="E1260" s="8" t="s">
        <v>10728</v>
      </c>
      <c r="F1260" s="8"/>
      <c r="G1260" s="8"/>
      <c r="H1260" s="21">
        <v>236.0</v>
      </c>
      <c r="I1260" s="22">
        <v>45668.0</v>
      </c>
      <c r="J1260" s="131" t="s">
        <v>1424</v>
      </c>
      <c r="K1260" s="8" t="s">
        <v>49</v>
      </c>
      <c r="L1260" s="8" t="s">
        <v>71</v>
      </c>
      <c r="M1260" s="8" t="s">
        <v>28</v>
      </c>
      <c r="N1260" s="161">
        <v>6298.0</v>
      </c>
      <c r="O1260" s="21">
        <v>7432.0</v>
      </c>
      <c r="P1260" s="5">
        <v>53.0</v>
      </c>
      <c r="Q1260" s="8">
        <f t="shared" si="38"/>
        <v>3337.94</v>
      </c>
      <c r="R1260" s="31"/>
      <c r="S1260" s="31"/>
    </row>
    <row r="1261">
      <c r="A1261" s="87">
        <v>45362.0</v>
      </c>
      <c r="B1261" s="8" t="s">
        <v>10729</v>
      </c>
      <c r="C1261" s="8" t="s">
        <v>1395</v>
      </c>
      <c r="D1261" s="8" t="s">
        <v>6348</v>
      </c>
      <c r="E1261" s="8" t="s">
        <v>10730</v>
      </c>
      <c r="F1261" s="8">
        <v>9.537977101E9</v>
      </c>
      <c r="G1261" s="8"/>
      <c r="H1261" s="21">
        <v>3490.0</v>
      </c>
      <c r="I1261" s="22">
        <v>45758.0</v>
      </c>
      <c r="J1261" s="131" t="s">
        <v>116</v>
      </c>
      <c r="K1261" s="8" t="s">
        <v>49</v>
      </c>
      <c r="L1261" s="8" t="s">
        <v>71</v>
      </c>
      <c r="M1261" s="8" t="s">
        <v>28</v>
      </c>
      <c r="N1261" s="97">
        <v>20563.0</v>
      </c>
      <c r="O1261" s="97">
        <v>23297.0</v>
      </c>
      <c r="P1261" s="5">
        <v>48.0</v>
      </c>
      <c r="Q1261" s="8">
        <f t="shared" si="38"/>
        <v>9870.24</v>
      </c>
      <c r="R1261" s="31"/>
      <c r="S1261" s="31"/>
    </row>
    <row r="1262">
      <c r="A1262" s="622">
        <v>45393.0</v>
      </c>
      <c r="B1262" s="8" t="s">
        <v>10731</v>
      </c>
      <c r="C1262" s="131" t="s">
        <v>21</v>
      </c>
      <c r="D1262" s="8" t="s">
        <v>3253</v>
      </c>
      <c r="E1262" s="8" t="s">
        <v>10732</v>
      </c>
      <c r="F1262" s="8">
        <v>9.72659777E9</v>
      </c>
      <c r="G1262" s="8"/>
      <c r="H1262" s="21">
        <v>25000.0</v>
      </c>
      <c r="I1262" s="22">
        <v>45758.0</v>
      </c>
      <c r="J1262" s="131" t="s">
        <v>25</v>
      </c>
      <c r="K1262" s="8" t="s">
        <v>26</v>
      </c>
      <c r="L1262" s="8" t="s">
        <v>71</v>
      </c>
      <c r="M1262" s="8" t="s">
        <v>28</v>
      </c>
      <c r="N1262" s="97">
        <v>44100.0</v>
      </c>
      <c r="O1262" s="97">
        <v>49401.0</v>
      </c>
      <c r="P1262" s="5">
        <v>43.0</v>
      </c>
      <c r="Q1262" s="8">
        <f t="shared" si="38"/>
        <v>18963</v>
      </c>
      <c r="R1262" s="31"/>
      <c r="S1262" s="31"/>
    </row>
    <row r="1263">
      <c r="A1263" s="622">
        <v>45393.0</v>
      </c>
      <c r="B1263" s="8" t="s">
        <v>10733</v>
      </c>
      <c r="C1263" s="131" t="s">
        <v>1395</v>
      </c>
      <c r="D1263" s="8" t="s">
        <v>1247</v>
      </c>
      <c r="E1263" s="8" t="s">
        <v>10734</v>
      </c>
      <c r="F1263" s="8">
        <v>9.727046299E9</v>
      </c>
      <c r="G1263" s="8"/>
      <c r="H1263" s="21">
        <v>2825.0</v>
      </c>
      <c r="I1263" s="22">
        <v>45758.0</v>
      </c>
      <c r="J1263" s="131" t="s">
        <v>116</v>
      </c>
      <c r="K1263" s="8" t="s">
        <v>49</v>
      </c>
      <c r="L1263" s="8" t="s">
        <v>71</v>
      </c>
      <c r="M1263" s="8" t="s">
        <v>28</v>
      </c>
      <c r="N1263" s="97">
        <v>20978.0</v>
      </c>
      <c r="O1263" s="97">
        <v>23786.0</v>
      </c>
      <c r="P1263" s="5">
        <v>48.0</v>
      </c>
      <c r="Q1263" s="8">
        <f t="shared" si="38"/>
        <v>10069.44</v>
      </c>
      <c r="R1263" s="31"/>
      <c r="S1263" s="31"/>
    </row>
    <row r="1264">
      <c r="A1264" s="622">
        <v>45423.0</v>
      </c>
      <c r="B1264" s="8" t="s">
        <v>10735</v>
      </c>
      <c r="C1264" s="8" t="s">
        <v>1432</v>
      </c>
      <c r="D1264" s="8" t="s">
        <v>2125</v>
      </c>
      <c r="E1264" s="8" t="s">
        <v>10736</v>
      </c>
      <c r="F1264" s="8">
        <v>6.352180307E9</v>
      </c>
      <c r="G1264" s="8"/>
      <c r="H1264" s="21">
        <v>470.0</v>
      </c>
      <c r="I1264" s="22">
        <v>45788.0</v>
      </c>
      <c r="J1264" s="8" t="s">
        <v>1424</v>
      </c>
      <c r="K1264" s="8" t="s">
        <v>49</v>
      </c>
      <c r="L1264" s="8" t="s">
        <v>219</v>
      </c>
      <c r="M1264" s="8" t="s">
        <v>28</v>
      </c>
      <c r="N1264" s="161">
        <v>6375.0</v>
      </c>
      <c r="O1264" s="21">
        <v>7523.0</v>
      </c>
      <c r="P1264" s="5">
        <v>53.0</v>
      </c>
      <c r="Q1264" s="8">
        <f t="shared" si="38"/>
        <v>3378.75</v>
      </c>
      <c r="R1264" s="31"/>
      <c r="S1264" s="31"/>
    </row>
    <row r="1265">
      <c r="A1265" s="622">
        <v>45423.0</v>
      </c>
      <c r="B1265" s="8" t="s">
        <v>5487</v>
      </c>
      <c r="C1265" s="131" t="s">
        <v>1432</v>
      </c>
      <c r="D1265" s="8" t="s">
        <v>2125</v>
      </c>
      <c r="E1265" s="8" t="s">
        <v>10737</v>
      </c>
      <c r="F1265" s="8">
        <v>9.825317437E9</v>
      </c>
      <c r="G1265" s="8"/>
      <c r="H1265" s="21">
        <v>470.0</v>
      </c>
      <c r="I1265" s="22">
        <v>45819.0</v>
      </c>
      <c r="J1265" s="131" t="s">
        <v>1424</v>
      </c>
      <c r="K1265" s="8" t="s">
        <v>49</v>
      </c>
      <c r="L1265" s="8" t="s">
        <v>219</v>
      </c>
      <c r="M1265" s="8" t="s">
        <v>28</v>
      </c>
      <c r="N1265" s="161">
        <v>6375.0</v>
      </c>
      <c r="O1265" s="21">
        <v>7523.0</v>
      </c>
      <c r="P1265" s="5">
        <v>53.0</v>
      </c>
      <c r="Q1265" s="8">
        <f t="shared" si="38"/>
        <v>3378.75</v>
      </c>
      <c r="R1265" s="31"/>
      <c r="S1265" s="31"/>
    </row>
    <row r="1266">
      <c r="A1266" s="622">
        <v>45423.0</v>
      </c>
      <c r="B1266" s="8" t="s">
        <v>5538</v>
      </c>
      <c r="C1266" s="8" t="s">
        <v>1395</v>
      </c>
      <c r="D1266" s="8" t="s">
        <v>1131</v>
      </c>
      <c r="E1266" s="8" t="s">
        <v>5540</v>
      </c>
      <c r="F1266" s="8"/>
      <c r="G1266" s="8"/>
      <c r="H1266" s="21">
        <v>2735.0</v>
      </c>
      <c r="I1266" s="22">
        <v>45849.0</v>
      </c>
      <c r="J1266" s="8" t="s">
        <v>116</v>
      </c>
      <c r="K1266" s="8" t="s">
        <v>49</v>
      </c>
      <c r="L1266" s="8" t="s">
        <v>1451</v>
      </c>
      <c r="M1266" s="8" t="s">
        <v>28</v>
      </c>
      <c r="N1266" s="97">
        <v>21738.0</v>
      </c>
      <c r="O1266" s="97">
        <v>24682.0</v>
      </c>
      <c r="P1266" s="5">
        <v>48.0</v>
      </c>
      <c r="Q1266" s="8">
        <f t="shared" si="38"/>
        <v>10434.24</v>
      </c>
      <c r="R1266" s="31"/>
      <c r="S1266" s="31"/>
    </row>
    <row r="1267">
      <c r="A1267" s="622">
        <v>45454.0</v>
      </c>
      <c r="B1267" s="8" t="s">
        <v>10738</v>
      </c>
      <c r="C1267" s="131" t="s">
        <v>1432</v>
      </c>
      <c r="D1267" s="8" t="s">
        <v>2125</v>
      </c>
      <c r="E1267" s="8" t="s">
        <v>10739</v>
      </c>
      <c r="F1267" s="8">
        <v>9.82531201E9</v>
      </c>
      <c r="G1267" s="8"/>
      <c r="H1267" s="21">
        <v>470.0</v>
      </c>
      <c r="I1267" s="22">
        <v>45788.0</v>
      </c>
      <c r="J1267" s="131" t="s">
        <v>1424</v>
      </c>
      <c r="K1267" s="8" t="s">
        <v>49</v>
      </c>
      <c r="L1267" s="8" t="s">
        <v>27</v>
      </c>
      <c r="M1267" s="8" t="s">
        <v>28</v>
      </c>
      <c r="N1267" s="273">
        <v>6375.0</v>
      </c>
      <c r="O1267" s="21">
        <v>7523.0</v>
      </c>
      <c r="P1267" s="5">
        <v>53.0</v>
      </c>
      <c r="Q1267" s="8">
        <f t="shared" si="38"/>
        <v>3378.75</v>
      </c>
      <c r="R1267" s="31"/>
      <c r="S1267" s="31"/>
    </row>
    <row r="1268">
      <c r="A1268" s="622">
        <v>45454.0</v>
      </c>
      <c r="B1268" s="8" t="s">
        <v>10740</v>
      </c>
      <c r="C1268" s="131" t="s">
        <v>1395</v>
      </c>
      <c r="D1268" s="8" t="s">
        <v>2116</v>
      </c>
      <c r="E1268" s="8" t="s">
        <v>10741</v>
      </c>
      <c r="F1268" s="8">
        <v>9.664772544E9</v>
      </c>
      <c r="G1268" s="8"/>
      <c r="H1268" s="21">
        <v>1196.0</v>
      </c>
      <c r="I1268" s="22">
        <v>45788.0</v>
      </c>
      <c r="J1268" s="8" t="s">
        <v>1424</v>
      </c>
      <c r="K1268" s="8" t="s">
        <v>49</v>
      </c>
      <c r="L1268" s="8" t="s">
        <v>71</v>
      </c>
      <c r="M1268" s="8" t="s">
        <v>28</v>
      </c>
      <c r="N1268" s="163">
        <v>19610.0</v>
      </c>
      <c r="O1268" s="97">
        <v>22176.0</v>
      </c>
      <c r="P1268" s="5">
        <v>52.0</v>
      </c>
      <c r="Q1268" s="8">
        <f t="shared" si="38"/>
        <v>10197.2</v>
      </c>
      <c r="R1268" s="31"/>
      <c r="S1268" s="31"/>
    </row>
    <row r="1269">
      <c r="A1269" s="622">
        <v>45484.0</v>
      </c>
      <c r="B1269" s="8" t="s">
        <v>7998</v>
      </c>
      <c r="C1269" s="8" t="s">
        <v>1405</v>
      </c>
      <c r="D1269" s="8" t="s">
        <v>9039</v>
      </c>
      <c r="E1269" s="8" t="s">
        <v>10742</v>
      </c>
      <c r="F1269" s="8"/>
      <c r="G1269" s="8"/>
      <c r="H1269" s="21">
        <v>1150.0</v>
      </c>
      <c r="I1269" s="22">
        <v>45849.0</v>
      </c>
      <c r="J1269" s="8" t="s">
        <v>78</v>
      </c>
      <c r="K1269" s="8" t="s">
        <v>49</v>
      </c>
      <c r="L1269" s="8" t="s">
        <v>71</v>
      </c>
      <c r="M1269" s="8" t="s">
        <v>28</v>
      </c>
      <c r="N1269" s="21">
        <v>5047.0</v>
      </c>
      <c r="O1269" s="21">
        <v>5686.0</v>
      </c>
      <c r="P1269" s="5">
        <v>55.0</v>
      </c>
      <c r="Q1269" s="8">
        <f t="shared" si="38"/>
        <v>2775.85</v>
      </c>
      <c r="R1269" s="31"/>
      <c r="S1269" s="31"/>
    </row>
    <row r="1270">
      <c r="A1270" s="622">
        <v>45515.0</v>
      </c>
      <c r="B1270" s="8" t="s">
        <v>10743</v>
      </c>
      <c r="C1270" s="131" t="s">
        <v>1432</v>
      </c>
      <c r="D1270" s="8" t="s">
        <v>2125</v>
      </c>
      <c r="E1270" s="8" t="s">
        <v>10744</v>
      </c>
      <c r="F1270" s="8">
        <v>9.687894674E9</v>
      </c>
      <c r="G1270" s="8"/>
      <c r="H1270" s="21">
        <v>470.0</v>
      </c>
      <c r="I1270" s="22">
        <v>45849.0</v>
      </c>
      <c r="J1270" s="131" t="s">
        <v>1424</v>
      </c>
      <c r="K1270" s="8" t="s">
        <v>49</v>
      </c>
      <c r="L1270" s="8" t="s">
        <v>219</v>
      </c>
      <c r="M1270" s="8" t="s">
        <v>28</v>
      </c>
      <c r="N1270" s="623">
        <v>6375.0</v>
      </c>
      <c r="O1270" s="97">
        <v>7523.0</v>
      </c>
      <c r="P1270" s="5">
        <v>53.0</v>
      </c>
      <c r="Q1270" s="8">
        <f t="shared" si="38"/>
        <v>3378.75</v>
      </c>
      <c r="R1270" s="31"/>
      <c r="S1270" s="31"/>
    </row>
    <row r="1271">
      <c r="A1271" s="622">
        <v>45515.0</v>
      </c>
      <c r="B1271" s="8" t="s">
        <v>10745</v>
      </c>
      <c r="C1271" s="131" t="s">
        <v>1432</v>
      </c>
      <c r="D1271" s="8" t="s">
        <v>2125</v>
      </c>
      <c r="E1271" s="8" t="s">
        <v>10746</v>
      </c>
      <c r="F1271" s="8" t="s">
        <v>10747</v>
      </c>
      <c r="G1271" s="8"/>
      <c r="H1271" s="21">
        <v>470.0</v>
      </c>
      <c r="I1271" s="22">
        <v>45911.0</v>
      </c>
      <c r="J1271" s="131" t="s">
        <v>1424</v>
      </c>
      <c r="K1271" s="8" t="s">
        <v>49</v>
      </c>
      <c r="L1271" s="8" t="s">
        <v>365</v>
      </c>
      <c r="M1271" s="8" t="s">
        <v>28</v>
      </c>
      <c r="N1271" s="163">
        <v>6375.0</v>
      </c>
      <c r="O1271" s="97">
        <v>7523.0</v>
      </c>
      <c r="P1271" s="5">
        <v>53.0</v>
      </c>
      <c r="Q1271" s="8">
        <f t="shared" si="38"/>
        <v>3378.75</v>
      </c>
      <c r="R1271" s="31"/>
      <c r="S1271" s="31"/>
    </row>
    <row r="1272">
      <c r="A1272" s="622">
        <v>45515.0</v>
      </c>
      <c r="B1272" s="8" t="s">
        <v>10748</v>
      </c>
      <c r="C1272" s="131" t="s">
        <v>1432</v>
      </c>
      <c r="D1272" s="8" t="s">
        <v>2125</v>
      </c>
      <c r="E1272" s="8" t="s">
        <v>10749</v>
      </c>
      <c r="F1272" s="8">
        <v>6.355781656E9</v>
      </c>
      <c r="G1272" s="8"/>
      <c r="H1272" s="21">
        <v>436.0</v>
      </c>
      <c r="I1272" s="22">
        <v>45880.0</v>
      </c>
      <c r="J1272" s="131" t="s">
        <v>1424</v>
      </c>
      <c r="K1272" s="8" t="s">
        <v>49</v>
      </c>
      <c r="L1272" s="8" t="s">
        <v>144</v>
      </c>
      <c r="M1272" s="8" t="s">
        <v>28</v>
      </c>
      <c r="N1272" s="161">
        <v>6298.0</v>
      </c>
      <c r="O1272" s="21">
        <v>7432.0</v>
      </c>
      <c r="P1272" s="5">
        <v>53.0</v>
      </c>
      <c r="Q1272" s="8">
        <f t="shared" si="38"/>
        <v>3337.94</v>
      </c>
      <c r="R1272" s="31"/>
      <c r="S1272" s="31"/>
    </row>
    <row r="1273">
      <c r="A1273" s="622">
        <v>45515.0</v>
      </c>
      <c r="B1273" s="8" t="s">
        <v>6556</v>
      </c>
      <c r="C1273" s="131" t="s">
        <v>1395</v>
      </c>
      <c r="D1273" s="8" t="s">
        <v>4799</v>
      </c>
      <c r="E1273" s="8" t="s">
        <v>10750</v>
      </c>
      <c r="F1273" s="8"/>
      <c r="G1273" s="8"/>
      <c r="H1273" s="21">
        <v>1630.0</v>
      </c>
      <c r="I1273" s="22">
        <v>45849.0</v>
      </c>
      <c r="J1273" s="8" t="s">
        <v>9946</v>
      </c>
      <c r="K1273" s="8" t="s">
        <v>49</v>
      </c>
      <c r="L1273" s="8" t="s">
        <v>71</v>
      </c>
      <c r="M1273" s="8" t="s">
        <v>28</v>
      </c>
      <c r="N1273" s="97">
        <v>18074.0</v>
      </c>
      <c r="O1273" s="97">
        <v>20364.0</v>
      </c>
      <c r="P1273" s="5">
        <v>58.0</v>
      </c>
      <c r="Q1273" s="8">
        <f t="shared" si="38"/>
        <v>10482.92</v>
      </c>
      <c r="R1273" s="31"/>
      <c r="S1273" s="31"/>
    </row>
    <row r="1274">
      <c r="A1274" s="622">
        <v>45515.0</v>
      </c>
      <c r="B1274" s="8" t="s">
        <v>10751</v>
      </c>
      <c r="C1274" s="131" t="s">
        <v>1405</v>
      </c>
      <c r="D1274" s="8" t="s">
        <v>9268</v>
      </c>
      <c r="E1274" s="8" t="s">
        <v>10752</v>
      </c>
      <c r="F1274" s="8"/>
      <c r="G1274" s="8"/>
      <c r="H1274" s="21">
        <v>990.0</v>
      </c>
      <c r="I1274" s="249">
        <v>45941.0</v>
      </c>
      <c r="J1274" s="8" t="s">
        <v>78</v>
      </c>
      <c r="K1274" s="8" t="s">
        <v>49</v>
      </c>
      <c r="L1274" s="8" t="s">
        <v>1616</v>
      </c>
      <c r="M1274" s="8" t="s">
        <v>28</v>
      </c>
      <c r="N1274" s="21">
        <v>5078.0</v>
      </c>
      <c r="O1274" s="21">
        <v>5722.0</v>
      </c>
      <c r="P1274" s="5">
        <v>55.0</v>
      </c>
      <c r="Q1274" s="8">
        <f t="shared" si="38"/>
        <v>2792.9</v>
      </c>
      <c r="R1274" s="31"/>
      <c r="S1274" s="31"/>
    </row>
    <row r="1275">
      <c r="A1275" s="622">
        <v>45546.0</v>
      </c>
      <c r="B1275" s="8" t="s">
        <v>10753</v>
      </c>
      <c r="C1275" s="8" t="s">
        <v>1395</v>
      </c>
      <c r="D1275" s="8" t="s">
        <v>10754</v>
      </c>
      <c r="E1275" s="8" t="s">
        <v>10755</v>
      </c>
      <c r="F1275" s="8">
        <v>9.909750752E9</v>
      </c>
      <c r="G1275" s="8"/>
      <c r="H1275" s="21">
        <v>2750.0</v>
      </c>
      <c r="I1275" s="22">
        <v>45880.0</v>
      </c>
      <c r="J1275" s="8" t="s">
        <v>1424</v>
      </c>
      <c r="K1275" s="8" t="s">
        <v>49</v>
      </c>
      <c r="L1275" s="8" t="s">
        <v>219</v>
      </c>
      <c r="M1275" s="8" t="s">
        <v>28</v>
      </c>
      <c r="N1275" s="161">
        <v>17681.0</v>
      </c>
      <c r="O1275" s="21">
        <v>19901.0</v>
      </c>
      <c r="P1275" s="5">
        <v>52.0</v>
      </c>
      <c r="Q1275" s="8">
        <f t="shared" si="38"/>
        <v>9194.12</v>
      </c>
      <c r="R1275" s="31"/>
      <c r="S1275" s="31"/>
    </row>
    <row r="1276">
      <c r="A1276" s="622">
        <v>45546.0</v>
      </c>
      <c r="B1276" s="8" t="s">
        <v>5384</v>
      </c>
      <c r="C1276" s="8" t="s">
        <v>533</v>
      </c>
      <c r="D1276" s="8" t="s">
        <v>2701</v>
      </c>
      <c r="E1276" s="8" t="s">
        <v>5076</v>
      </c>
      <c r="F1276" s="8"/>
      <c r="G1276" s="8"/>
      <c r="H1276" s="21">
        <v>1350.0</v>
      </c>
      <c r="I1276" s="22" t="s">
        <v>5730</v>
      </c>
      <c r="J1276" s="131" t="s">
        <v>116</v>
      </c>
      <c r="K1276" s="8" t="s">
        <v>26</v>
      </c>
      <c r="L1276" s="8" t="s">
        <v>1451</v>
      </c>
      <c r="M1276" s="8" t="s">
        <v>28</v>
      </c>
      <c r="N1276" s="97">
        <v>7317.0</v>
      </c>
      <c r="O1276" s="97">
        <v>8634.0</v>
      </c>
      <c r="P1276" s="5">
        <v>27.0</v>
      </c>
      <c r="Q1276" s="8">
        <f t="shared" si="38"/>
        <v>1975.59</v>
      </c>
      <c r="R1276" s="31"/>
      <c r="S1276" s="31"/>
    </row>
    <row r="1277">
      <c r="A1277" s="622">
        <v>45546.0</v>
      </c>
      <c r="B1277" s="8" t="s">
        <v>10756</v>
      </c>
      <c r="C1277" s="8" t="s">
        <v>1395</v>
      </c>
      <c r="D1277" s="8" t="s">
        <v>5785</v>
      </c>
      <c r="E1277" s="8" t="s">
        <v>10757</v>
      </c>
      <c r="F1277" s="8"/>
      <c r="G1277" s="8"/>
      <c r="H1277" s="21">
        <v>2960.0</v>
      </c>
      <c r="I1277" s="22">
        <v>45880.0</v>
      </c>
      <c r="J1277" s="8" t="s">
        <v>116</v>
      </c>
      <c r="K1277" s="8" t="s">
        <v>49</v>
      </c>
      <c r="L1277" s="8" t="s">
        <v>365</v>
      </c>
      <c r="M1277" s="8" t="s">
        <v>28</v>
      </c>
      <c r="N1277" s="97">
        <v>17692.0</v>
      </c>
      <c r="O1277" s="97">
        <v>19908.0</v>
      </c>
      <c r="P1277" s="5">
        <v>48.0</v>
      </c>
      <c r="Q1277" s="8">
        <f t="shared" si="38"/>
        <v>8492.16</v>
      </c>
      <c r="R1277" s="31"/>
      <c r="S1277" s="31"/>
    </row>
    <row r="1278">
      <c r="A1278" s="622">
        <v>45546.0</v>
      </c>
      <c r="B1278" s="500" t="s">
        <v>10758</v>
      </c>
      <c r="C1278" s="624" t="s">
        <v>1432</v>
      </c>
      <c r="D1278" s="500" t="s">
        <v>9268</v>
      </c>
      <c r="E1278" s="8" t="s">
        <v>10759</v>
      </c>
      <c r="F1278" s="8">
        <v>9.97859746E9</v>
      </c>
      <c r="G1278" s="8"/>
      <c r="H1278" s="625">
        <v>447.0</v>
      </c>
      <c r="I1278" s="249">
        <v>45941.0</v>
      </c>
      <c r="J1278" s="500" t="s">
        <v>78</v>
      </c>
      <c r="K1278" s="500" t="s">
        <v>49</v>
      </c>
      <c r="L1278" s="500" t="s">
        <v>185</v>
      </c>
      <c r="M1278" s="500" t="s">
        <v>28</v>
      </c>
      <c r="N1278" s="625">
        <v>5078.0</v>
      </c>
      <c r="O1278" s="625">
        <v>5722.0</v>
      </c>
      <c r="P1278" s="5">
        <v>55.0</v>
      </c>
      <c r="Q1278" s="8">
        <f t="shared" si="38"/>
        <v>2792.9</v>
      </c>
      <c r="R1278" s="31"/>
      <c r="S1278" s="31"/>
    </row>
    <row r="1279">
      <c r="A1279" s="622">
        <v>45546.0</v>
      </c>
      <c r="B1279" s="500" t="s">
        <v>10760</v>
      </c>
      <c r="C1279" s="624" t="s">
        <v>1395</v>
      </c>
      <c r="D1279" s="500" t="s">
        <v>1303</v>
      </c>
      <c r="E1279" s="8" t="s">
        <v>10761</v>
      </c>
      <c r="F1279" s="8">
        <v>9.879549269E9</v>
      </c>
      <c r="G1279" s="8"/>
      <c r="H1279" s="21">
        <v>2825.0</v>
      </c>
      <c r="I1279" s="22">
        <v>45911.0</v>
      </c>
      <c r="J1279" s="500" t="s">
        <v>116</v>
      </c>
      <c r="K1279" s="500" t="s">
        <v>49</v>
      </c>
      <c r="L1279" s="500" t="s">
        <v>185</v>
      </c>
      <c r="M1279" s="500" t="s">
        <v>28</v>
      </c>
      <c r="N1279" s="97">
        <v>20819.0</v>
      </c>
      <c r="O1279" s="97">
        <v>23599.0</v>
      </c>
      <c r="P1279" s="5">
        <v>48.0</v>
      </c>
      <c r="Q1279" s="8">
        <f t="shared" si="38"/>
        <v>9993.12</v>
      </c>
      <c r="R1279" s="31"/>
      <c r="S1279" s="31"/>
    </row>
    <row r="1280">
      <c r="A1280" s="622">
        <v>45546.0</v>
      </c>
      <c r="B1280" s="500" t="s">
        <v>10762</v>
      </c>
      <c r="C1280" s="624" t="s">
        <v>1432</v>
      </c>
      <c r="D1280" s="500" t="s">
        <v>2125</v>
      </c>
      <c r="E1280" s="8" t="s">
        <v>10763</v>
      </c>
      <c r="F1280" s="8">
        <v>9.909874122E9</v>
      </c>
      <c r="G1280" s="8"/>
      <c r="H1280" s="21">
        <v>436.0</v>
      </c>
      <c r="I1280" s="22">
        <v>45911.0</v>
      </c>
      <c r="J1280" s="624" t="s">
        <v>1424</v>
      </c>
      <c r="K1280" s="500" t="s">
        <v>49</v>
      </c>
      <c r="L1280" s="500" t="s">
        <v>185</v>
      </c>
      <c r="M1280" s="500" t="s">
        <v>28</v>
      </c>
      <c r="N1280" s="626">
        <v>6298.0</v>
      </c>
      <c r="O1280" s="625">
        <v>7432.0</v>
      </c>
      <c r="P1280" s="5">
        <v>53.0</v>
      </c>
      <c r="Q1280" s="8">
        <f t="shared" si="38"/>
        <v>3337.94</v>
      </c>
      <c r="R1280" s="31"/>
      <c r="S1280" s="31"/>
    </row>
    <row r="1281">
      <c r="A1281" s="622">
        <v>45546.0</v>
      </c>
      <c r="B1281" s="500" t="s">
        <v>10764</v>
      </c>
      <c r="C1281" s="131" t="s">
        <v>1432</v>
      </c>
      <c r="D1281" s="500" t="s">
        <v>2125</v>
      </c>
      <c r="E1281" s="8" t="s">
        <v>10765</v>
      </c>
      <c r="F1281" s="8">
        <v>9.328097199E9</v>
      </c>
      <c r="G1281" s="8"/>
      <c r="H1281" s="21">
        <v>436.0</v>
      </c>
      <c r="I1281" s="22">
        <v>45880.0</v>
      </c>
      <c r="J1281" s="624" t="s">
        <v>1424</v>
      </c>
      <c r="K1281" s="500" t="s">
        <v>49</v>
      </c>
      <c r="L1281" s="500" t="s">
        <v>219</v>
      </c>
      <c r="M1281" s="500" t="s">
        <v>28</v>
      </c>
      <c r="N1281" s="627">
        <v>6375.0</v>
      </c>
      <c r="O1281" s="625">
        <v>7523.0</v>
      </c>
      <c r="P1281" s="5">
        <v>53.0</v>
      </c>
      <c r="Q1281" s="8">
        <f t="shared" si="38"/>
        <v>3378.75</v>
      </c>
      <c r="R1281" s="31"/>
      <c r="S1281" s="31"/>
    </row>
    <row r="1282">
      <c r="A1282" s="622">
        <v>45546.0</v>
      </c>
      <c r="B1282" s="8" t="s">
        <v>5509</v>
      </c>
      <c r="C1282" s="131" t="s">
        <v>1432</v>
      </c>
      <c r="D1282" s="8" t="s">
        <v>2125</v>
      </c>
      <c r="E1282" s="8" t="s">
        <v>10766</v>
      </c>
      <c r="F1282" s="8">
        <v>6.353574101E9</v>
      </c>
      <c r="G1282" s="8"/>
      <c r="H1282" s="21">
        <v>436.0</v>
      </c>
      <c r="I1282" s="22">
        <v>45880.0</v>
      </c>
      <c r="J1282" s="131" t="s">
        <v>1424</v>
      </c>
      <c r="K1282" s="8" t="s">
        <v>49</v>
      </c>
      <c r="L1282" s="8" t="s">
        <v>185</v>
      </c>
      <c r="M1282" s="8" t="s">
        <v>28</v>
      </c>
      <c r="N1282" s="163">
        <v>6375.0</v>
      </c>
      <c r="O1282" s="97">
        <v>7523.0</v>
      </c>
      <c r="P1282" s="5">
        <v>53.0</v>
      </c>
      <c r="Q1282" s="8">
        <f t="shared" si="38"/>
        <v>3378.75</v>
      </c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</row>
    <row r="1283">
      <c r="A1283" s="622">
        <v>45576.0</v>
      </c>
      <c r="B1283" s="8" t="s">
        <v>5502</v>
      </c>
      <c r="C1283" s="131" t="s">
        <v>1432</v>
      </c>
      <c r="D1283" s="8" t="s">
        <v>2125</v>
      </c>
      <c r="E1283" s="8" t="s">
        <v>10767</v>
      </c>
      <c r="F1283" s="8">
        <v>9.638417745E9</v>
      </c>
      <c r="G1283" s="8"/>
      <c r="H1283" s="21">
        <v>470.0</v>
      </c>
      <c r="I1283" s="22">
        <v>45911.0</v>
      </c>
      <c r="J1283" s="131" t="s">
        <v>1424</v>
      </c>
      <c r="K1283" s="8" t="s">
        <v>49</v>
      </c>
      <c r="L1283" s="8" t="s">
        <v>144</v>
      </c>
      <c r="M1283" s="8" t="s">
        <v>28</v>
      </c>
      <c r="N1283" s="163">
        <v>6375.0</v>
      </c>
      <c r="O1283" s="97">
        <v>7523.0</v>
      </c>
      <c r="P1283" s="5">
        <v>53.0</v>
      </c>
      <c r="Q1283" s="8">
        <f t="shared" si="38"/>
        <v>3378.75</v>
      </c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</row>
    <row r="1284">
      <c r="A1284" s="608">
        <v>45607.0</v>
      </c>
      <c r="B1284" s="8" t="s">
        <v>5541</v>
      </c>
      <c r="C1284" s="8" t="s">
        <v>21</v>
      </c>
      <c r="D1284" s="8" t="s">
        <v>10768</v>
      </c>
      <c r="E1284" s="8" t="s">
        <v>10769</v>
      </c>
      <c r="F1284" s="8">
        <v>8.758777865E9</v>
      </c>
      <c r="G1284" s="8"/>
      <c r="H1284" s="21">
        <v>11120.0</v>
      </c>
      <c r="I1284" s="249">
        <v>45941.0</v>
      </c>
      <c r="J1284" s="131" t="s">
        <v>1424</v>
      </c>
      <c r="K1284" s="8" t="s">
        <v>49</v>
      </c>
      <c r="L1284" s="8" t="s">
        <v>71</v>
      </c>
      <c r="M1284" s="8" t="s">
        <v>28</v>
      </c>
      <c r="N1284" s="163">
        <v>31839.0</v>
      </c>
      <c r="O1284" s="97">
        <v>35939.0</v>
      </c>
      <c r="P1284" s="5">
        <v>22.0</v>
      </c>
      <c r="Q1284" s="8">
        <f t="shared" si="38"/>
        <v>7004.58</v>
      </c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</row>
    <row r="1285">
      <c r="A1285" s="628">
        <v>45607.0</v>
      </c>
      <c r="B1285" s="8" t="s">
        <v>10770</v>
      </c>
      <c r="C1285" s="8" t="s">
        <v>21</v>
      </c>
      <c r="D1285" s="8" t="s">
        <v>10771</v>
      </c>
      <c r="E1285" s="8" t="s">
        <v>10772</v>
      </c>
      <c r="F1285" s="8"/>
      <c r="G1285" s="8"/>
      <c r="H1285" s="21">
        <v>18500.0</v>
      </c>
      <c r="I1285" s="249">
        <v>45972.0</v>
      </c>
      <c r="J1285" s="131" t="s">
        <v>1419</v>
      </c>
      <c r="K1285" s="8" t="s">
        <v>26</v>
      </c>
      <c r="L1285" s="8" t="s">
        <v>27</v>
      </c>
      <c r="M1285" s="8" t="s">
        <v>28</v>
      </c>
      <c r="N1285" s="97">
        <v>35463.0</v>
      </c>
      <c r="O1285" s="97">
        <v>39729.0</v>
      </c>
      <c r="P1285" s="86">
        <v>42.0</v>
      </c>
      <c r="Q1285" s="8">
        <f t="shared" si="38"/>
        <v>14894.46</v>
      </c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</row>
    <row r="1286">
      <c r="A1286" s="628">
        <v>45607.0</v>
      </c>
      <c r="B1286" s="8" t="s">
        <v>10773</v>
      </c>
      <c r="C1286" s="131" t="s">
        <v>1432</v>
      </c>
      <c r="D1286" s="8" t="s">
        <v>2125</v>
      </c>
      <c r="E1286" s="8" t="s">
        <v>10774</v>
      </c>
      <c r="F1286" s="8">
        <v>8.347262476E9</v>
      </c>
      <c r="G1286" s="8"/>
      <c r="H1286" s="21">
        <v>436.0</v>
      </c>
      <c r="I1286" s="249">
        <v>45941.0</v>
      </c>
      <c r="J1286" s="131" t="s">
        <v>1424</v>
      </c>
      <c r="K1286" s="8" t="s">
        <v>49</v>
      </c>
      <c r="L1286" s="8" t="s">
        <v>1436</v>
      </c>
      <c r="M1286" s="8" t="s">
        <v>28</v>
      </c>
      <c r="N1286" s="97">
        <v>6375.0</v>
      </c>
      <c r="O1286" s="97">
        <v>7523.0</v>
      </c>
      <c r="P1286" s="5">
        <v>53.0</v>
      </c>
      <c r="Q1286" s="8">
        <f t="shared" si="38"/>
        <v>3378.75</v>
      </c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</row>
    <row r="1287">
      <c r="A1287" s="628">
        <v>45607.0</v>
      </c>
      <c r="B1287" s="8" t="s">
        <v>10775</v>
      </c>
      <c r="C1287" s="131" t="s">
        <v>1432</v>
      </c>
      <c r="D1287" s="8" t="s">
        <v>2125</v>
      </c>
      <c r="E1287" s="8" t="s">
        <v>10776</v>
      </c>
      <c r="F1287" s="8">
        <v>9.712744583E9</v>
      </c>
      <c r="G1287" s="8"/>
      <c r="H1287" s="21">
        <v>436.0</v>
      </c>
      <c r="I1287" s="249">
        <v>45941.0</v>
      </c>
      <c r="J1287" s="131" t="s">
        <v>1424</v>
      </c>
      <c r="K1287" s="8" t="s">
        <v>49</v>
      </c>
      <c r="L1287" s="8" t="s">
        <v>1436</v>
      </c>
      <c r="M1287" s="8" t="s">
        <v>28</v>
      </c>
      <c r="N1287" s="97">
        <v>6344.0</v>
      </c>
      <c r="O1287" s="97">
        <v>7486.0</v>
      </c>
      <c r="P1287" s="5">
        <v>53.0</v>
      </c>
      <c r="Q1287" s="8">
        <f t="shared" si="38"/>
        <v>3362.32</v>
      </c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</row>
    <row r="1288">
      <c r="A1288" s="628">
        <v>45637.0</v>
      </c>
      <c r="B1288" s="8" t="s">
        <v>10777</v>
      </c>
      <c r="C1288" s="8" t="s">
        <v>1405</v>
      </c>
      <c r="D1288" s="8" t="s">
        <v>10778</v>
      </c>
      <c r="E1288" s="8" t="s">
        <v>10779</v>
      </c>
      <c r="F1288" s="8">
        <v>9.979755156E9</v>
      </c>
      <c r="G1288" s="8"/>
      <c r="H1288" s="21">
        <v>597.0</v>
      </c>
      <c r="I1288" s="249">
        <v>45972.0</v>
      </c>
      <c r="J1288" s="8" t="s">
        <v>78</v>
      </c>
      <c r="K1288" s="8" t="s">
        <v>49</v>
      </c>
      <c r="L1288" s="8" t="s">
        <v>144</v>
      </c>
      <c r="M1288" s="8" t="s">
        <v>28</v>
      </c>
      <c r="N1288" s="97">
        <v>5040.0</v>
      </c>
      <c r="O1288" s="97">
        <v>5678.0</v>
      </c>
      <c r="P1288" s="5">
        <v>55.0</v>
      </c>
      <c r="Q1288" s="8">
        <f t="shared" si="38"/>
        <v>2772</v>
      </c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</row>
    <row r="1289">
      <c r="A1289" s="628">
        <v>45637.0</v>
      </c>
      <c r="B1289" s="8" t="s">
        <v>10780</v>
      </c>
      <c r="C1289" s="8" t="s">
        <v>21</v>
      </c>
      <c r="D1289" s="8" t="s">
        <v>1549</v>
      </c>
      <c r="E1289" s="8" t="s">
        <v>10781</v>
      </c>
      <c r="F1289" s="8">
        <v>6.351000398E9</v>
      </c>
      <c r="G1289" s="8"/>
      <c r="H1289" s="21">
        <v>12990.0</v>
      </c>
      <c r="I1289" s="249">
        <v>45972.0</v>
      </c>
      <c r="J1289" s="8" t="s">
        <v>9946</v>
      </c>
      <c r="K1289" s="8" t="s">
        <v>49</v>
      </c>
      <c r="L1289" s="8" t="s">
        <v>27</v>
      </c>
      <c r="M1289" s="8" t="s">
        <v>28</v>
      </c>
      <c r="N1289" s="97">
        <v>37111.0</v>
      </c>
      <c r="O1289" s="97">
        <v>41672.0</v>
      </c>
      <c r="P1289" s="5">
        <v>26.0</v>
      </c>
      <c r="Q1289" s="8">
        <f t="shared" si="38"/>
        <v>9648.86</v>
      </c>
      <c r="R1289" s="31"/>
      <c r="S1289" s="31"/>
    </row>
    <row r="1290">
      <c r="A1290" s="628">
        <v>45637.0</v>
      </c>
      <c r="B1290" s="8" t="s">
        <v>10782</v>
      </c>
      <c r="C1290" s="131" t="s">
        <v>1405</v>
      </c>
      <c r="D1290" s="8" t="s">
        <v>9268</v>
      </c>
      <c r="E1290" s="8" t="s">
        <v>10783</v>
      </c>
      <c r="F1290" s="8">
        <v>9.979425972E9</v>
      </c>
      <c r="G1290" s="8"/>
      <c r="H1290" s="21">
        <v>990.0</v>
      </c>
      <c r="I1290" s="249">
        <v>46002.0</v>
      </c>
      <c r="J1290" s="131" t="s">
        <v>78</v>
      </c>
      <c r="K1290" s="8" t="s">
        <v>49</v>
      </c>
      <c r="L1290" s="8" t="s">
        <v>365</v>
      </c>
      <c r="M1290" s="8" t="s">
        <v>28</v>
      </c>
      <c r="N1290" s="21">
        <v>5197.0</v>
      </c>
      <c r="O1290" s="21">
        <v>5863.0</v>
      </c>
      <c r="P1290" s="5">
        <v>55.0</v>
      </c>
      <c r="Q1290" s="8">
        <f t="shared" si="38"/>
        <v>2858.35</v>
      </c>
      <c r="R1290" s="31"/>
      <c r="S1290" s="31"/>
    </row>
    <row r="1291">
      <c r="A1291" s="628">
        <v>45637.0</v>
      </c>
      <c r="B1291" s="8" t="s">
        <v>10784</v>
      </c>
      <c r="C1291" s="131" t="s">
        <v>21</v>
      </c>
      <c r="D1291" s="8" t="s">
        <v>10785</v>
      </c>
      <c r="E1291" s="8" t="s">
        <v>8019</v>
      </c>
      <c r="F1291" s="8">
        <v>8.758777865E9</v>
      </c>
      <c r="G1291" s="8"/>
      <c r="H1291" s="21">
        <v>28000.0</v>
      </c>
      <c r="I1291" s="249">
        <v>45972.0</v>
      </c>
      <c r="J1291" s="131" t="s">
        <v>1424</v>
      </c>
      <c r="K1291" s="8" t="s">
        <v>49</v>
      </c>
      <c r="L1291" s="8" t="s">
        <v>71</v>
      </c>
      <c r="M1291" s="8" t="s">
        <v>28</v>
      </c>
      <c r="N1291" s="21">
        <v>48943.0</v>
      </c>
      <c r="O1291" s="21">
        <v>55115.0</v>
      </c>
      <c r="P1291" s="5">
        <v>22.0</v>
      </c>
      <c r="Q1291" s="8">
        <f t="shared" si="38"/>
        <v>10767.46</v>
      </c>
      <c r="R1291" s="31"/>
      <c r="S1291" s="31"/>
    </row>
    <row r="1292">
      <c r="A1292" s="100" t="s">
        <v>10786</v>
      </c>
      <c r="B1292" s="8" t="s">
        <v>10787</v>
      </c>
      <c r="C1292" s="8" t="s">
        <v>21</v>
      </c>
      <c r="D1292" s="8" t="s">
        <v>10652</v>
      </c>
      <c r="E1292" s="8" t="s">
        <v>9038</v>
      </c>
      <c r="F1292" s="8"/>
      <c r="G1292" s="8"/>
      <c r="H1292" s="21">
        <v>28000.0</v>
      </c>
      <c r="I1292" s="249">
        <v>46002.0</v>
      </c>
      <c r="J1292" s="8" t="s">
        <v>9946</v>
      </c>
      <c r="K1292" s="8" t="s">
        <v>49</v>
      </c>
      <c r="L1292" s="8" t="s">
        <v>27</v>
      </c>
      <c r="M1292" s="8" t="s">
        <v>28</v>
      </c>
      <c r="N1292" s="97">
        <v>51712.0</v>
      </c>
      <c r="O1292" s="97">
        <v>58383.0</v>
      </c>
      <c r="P1292" s="5">
        <v>26.0</v>
      </c>
      <c r="Q1292" s="8">
        <f t="shared" si="38"/>
        <v>13445.12</v>
      </c>
      <c r="R1292" s="31"/>
      <c r="S1292" s="31"/>
    </row>
    <row r="1293">
      <c r="A1293" s="233" t="s">
        <v>10786</v>
      </c>
      <c r="B1293" s="8" t="s">
        <v>5564</v>
      </c>
      <c r="C1293" s="8" t="s">
        <v>1405</v>
      </c>
      <c r="D1293" s="8" t="s">
        <v>10788</v>
      </c>
      <c r="E1293" s="8" t="s">
        <v>10789</v>
      </c>
      <c r="F1293" s="8"/>
      <c r="G1293" s="8"/>
      <c r="H1293" s="21">
        <v>1066.0</v>
      </c>
      <c r="I1293" s="21" t="s">
        <v>5551</v>
      </c>
      <c r="J1293" s="8" t="s">
        <v>1419</v>
      </c>
      <c r="K1293" s="8" t="s">
        <v>49</v>
      </c>
      <c r="L1293" s="8" t="s">
        <v>389</v>
      </c>
      <c r="M1293" s="8" t="s">
        <v>28</v>
      </c>
      <c r="N1293" s="21">
        <v>5267.0</v>
      </c>
      <c r="O1293" s="21">
        <v>5947.0</v>
      </c>
      <c r="P1293" s="5">
        <v>52.0</v>
      </c>
      <c r="Q1293" s="8">
        <f t="shared" si="38"/>
        <v>2738.84</v>
      </c>
      <c r="R1293" s="31"/>
      <c r="S1293" s="31"/>
    </row>
    <row r="1294">
      <c r="A1294" s="233" t="s">
        <v>10786</v>
      </c>
      <c r="B1294" s="8" t="s">
        <v>10790</v>
      </c>
      <c r="C1294" s="131" t="s">
        <v>21</v>
      </c>
      <c r="D1294" s="8" t="s">
        <v>10791</v>
      </c>
      <c r="E1294" s="8" t="s">
        <v>10792</v>
      </c>
      <c r="F1294" s="8"/>
      <c r="G1294" s="8"/>
      <c r="H1294" s="21">
        <v>28000.0</v>
      </c>
      <c r="I1294" s="249">
        <v>46002.0</v>
      </c>
      <c r="J1294" s="131" t="s">
        <v>9946</v>
      </c>
      <c r="K1294" s="8" t="s">
        <v>49</v>
      </c>
      <c r="L1294" s="8" t="s">
        <v>27</v>
      </c>
      <c r="M1294" s="8" t="s">
        <v>28</v>
      </c>
      <c r="N1294" s="97">
        <v>48256.0</v>
      </c>
      <c r="O1294" s="97">
        <v>54305.0</v>
      </c>
      <c r="P1294" s="5">
        <v>26.0</v>
      </c>
      <c r="Q1294" s="8">
        <f t="shared" si="38"/>
        <v>12546.56</v>
      </c>
      <c r="R1294" s="31"/>
      <c r="S1294" s="31"/>
    </row>
    <row r="1295">
      <c r="A1295" s="233" t="s">
        <v>10786</v>
      </c>
      <c r="B1295" s="8" t="s">
        <v>10793</v>
      </c>
      <c r="C1295" s="131" t="s">
        <v>21</v>
      </c>
      <c r="D1295" s="8" t="s">
        <v>10794</v>
      </c>
      <c r="E1295" s="8" t="s">
        <v>10795</v>
      </c>
      <c r="F1295" s="8"/>
      <c r="G1295" s="8"/>
      <c r="H1295" s="21">
        <v>45500.0</v>
      </c>
      <c r="I1295" s="249">
        <v>46002.0</v>
      </c>
      <c r="J1295" s="131" t="s">
        <v>9946</v>
      </c>
      <c r="K1295" s="8" t="s">
        <v>49</v>
      </c>
      <c r="L1295" s="8" t="s">
        <v>27</v>
      </c>
      <c r="M1295" s="8" t="s">
        <v>28</v>
      </c>
      <c r="N1295" s="97">
        <v>48470.0</v>
      </c>
      <c r="O1295" s="97">
        <v>54540.0</v>
      </c>
      <c r="P1295" s="5">
        <v>26.0</v>
      </c>
      <c r="Q1295" s="8">
        <f t="shared" si="38"/>
        <v>12602.2</v>
      </c>
      <c r="R1295" s="31"/>
      <c r="S1295" s="31"/>
    </row>
    <row r="1296">
      <c r="A1296" s="233" t="s">
        <v>10786</v>
      </c>
      <c r="B1296" s="8" t="s">
        <v>10796</v>
      </c>
      <c r="C1296" s="160" t="s">
        <v>2749</v>
      </c>
      <c r="D1296" s="8" t="s">
        <v>10797</v>
      </c>
      <c r="E1296" s="8" t="s">
        <v>10798</v>
      </c>
      <c r="F1296" s="8"/>
      <c r="G1296" s="8"/>
      <c r="H1296" s="21">
        <v>1197.0</v>
      </c>
      <c r="I1296" s="249">
        <v>46002.0</v>
      </c>
      <c r="J1296" s="131" t="s">
        <v>1424</v>
      </c>
      <c r="K1296" s="8" t="s">
        <v>49</v>
      </c>
      <c r="L1296" s="8" t="s">
        <v>27</v>
      </c>
      <c r="M1296" s="8" t="s">
        <v>28</v>
      </c>
      <c r="N1296" s="21">
        <v>26697.0</v>
      </c>
      <c r="O1296" s="21">
        <v>31503.0</v>
      </c>
      <c r="P1296" s="5">
        <v>27.0</v>
      </c>
      <c r="Q1296" s="8">
        <f t="shared" si="38"/>
        <v>7208.19</v>
      </c>
      <c r="R1296" s="31"/>
      <c r="S1296" s="31"/>
    </row>
    <row r="1297">
      <c r="A1297" s="233" t="s">
        <v>10786</v>
      </c>
      <c r="B1297" s="8" t="s">
        <v>10799</v>
      </c>
      <c r="C1297" s="8" t="s">
        <v>21</v>
      </c>
      <c r="D1297" s="8" t="s">
        <v>10800</v>
      </c>
      <c r="E1297" s="8" t="s">
        <v>10801</v>
      </c>
      <c r="F1297" s="8"/>
      <c r="G1297" s="8"/>
      <c r="H1297" s="21">
        <v>35000.0</v>
      </c>
      <c r="I1297" s="21" t="s">
        <v>6565</v>
      </c>
      <c r="J1297" s="8" t="s">
        <v>353</v>
      </c>
      <c r="K1297" s="8" t="s">
        <v>49</v>
      </c>
      <c r="L1297" s="8" t="s">
        <v>219</v>
      </c>
      <c r="M1297" s="8" t="s">
        <v>28</v>
      </c>
      <c r="N1297" s="97">
        <v>75382.0</v>
      </c>
      <c r="O1297" s="97">
        <v>86314.0</v>
      </c>
      <c r="P1297" s="5">
        <v>22.0</v>
      </c>
      <c r="Q1297" s="8">
        <f t="shared" si="38"/>
        <v>16584.04</v>
      </c>
      <c r="R1297" s="31"/>
      <c r="S1297" s="31"/>
    </row>
    <row r="1298">
      <c r="A1298" s="233" t="s">
        <v>10786</v>
      </c>
      <c r="B1298" s="86" t="s">
        <v>8073</v>
      </c>
      <c r="C1298" s="86" t="s">
        <v>21</v>
      </c>
      <c r="D1298" s="86" t="s">
        <v>10802</v>
      </c>
      <c r="E1298" s="8"/>
      <c r="F1298" s="8"/>
      <c r="G1298" s="8"/>
      <c r="H1298" s="165">
        <v>35000.0</v>
      </c>
      <c r="I1298" s="165" t="s">
        <v>5559</v>
      </c>
      <c r="J1298" s="86" t="s">
        <v>70</v>
      </c>
      <c r="K1298" s="86" t="s">
        <v>49</v>
      </c>
      <c r="L1298" s="86" t="s">
        <v>27</v>
      </c>
      <c r="M1298" s="86" t="s">
        <v>28</v>
      </c>
      <c r="N1298" s="203">
        <v>48479.0</v>
      </c>
      <c r="O1298" s="203">
        <v>54568.0</v>
      </c>
      <c r="P1298" s="5">
        <v>26.0</v>
      </c>
      <c r="Q1298" s="8">
        <f t="shared" si="38"/>
        <v>12604.54</v>
      </c>
      <c r="R1298" s="31"/>
      <c r="S1298" s="31"/>
    </row>
    <row r="1299">
      <c r="A1299" s="233" t="s">
        <v>10786</v>
      </c>
      <c r="B1299" s="86" t="s">
        <v>10803</v>
      </c>
      <c r="C1299" s="86" t="s">
        <v>21</v>
      </c>
      <c r="D1299" s="86" t="s">
        <v>9377</v>
      </c>
      <c r="E1299" s="8"/>
      <c r="F1299" s="8"/>
      <c r="G1299" s="8"/>
      <c r="H1299" s="165">
        <v>35000.0</v>
      </c>
      <c r="I1299" s="165" t="s">
        <v>5559</v>
      </c>
      <c r="J1299" s="86" t="s">
        <v>353</v>
      </c>
      <c r="K1299" s="86" t="s">
        <v>49</v>
      </c>
      <c r="L1299" s="8"/>
      <c r="M1299" s="8"/>
      <c r="N1299" s="203">
        <v>77487.0</v>
      </c>
      <c r="O1299" s="203">
        <v>88798.0</v>
      </c>
      <c r="P1299" s="5">
        <v>22.0</v>
      </c>
      <c r="Q1299" s="8">
        <f t="shared" si="38"/>
        <v>17047.14</v>
      </c>
      <c r="R1299" s="31"/>
      <c r="S1299" s="31"/>
    </row>
    <row r="1300">
      <c r="A1300" s="233" t="s">
        <v>10786</v>
      </c>
      <c r="B1300" s="86" t="s">
        <v>10804</v>
      </c>
      <c r="C1300" s="86" t="s">
        <v>21</v>
      </c>
      <c r="D1300" s="86" t="s">
        <v>9377</v>
      </c>
      <c r="E1300" s="8"/>
      <c r="F1300" s="8"/>
      <c r="G1300" s="8"/>
      <c r="H1300" s="165">
        <v>35000.0</v>
      </c>
      <c r="I1300" s="165" t="s">
        <v>5559</v>
      </c>
      <c r="J1300" s="86" t="s">
        <v>353</v>
      </c>
      <c r="K1300" s="8"/>
      <c r="L1300" s="8"/>
      <c r="M1300" s="8"/>
      <c r="N1300" s="203">
        <v>77487.0</v>
      </c>
      <c r="O1300" s="203">
        <v>88798.0</v>
      </c>
      <c r="P1300" s="5">
        <v>22.0</v>
      </c>
      <c r="Q1300" s="8">
        <f t="shared" si="38"/>
        <v>17047.14</v>
      </c>
      <c r="R1300" s="31"/>
      <c r="S1300" s="31"/>
    </row>
    <row r="1301">
      <c r="A1301" s="233" t="s">
        <v>10786</v>
      </c>
      <c r="B1301" s="86" t="s">
        <v>10805</v>
      </c>
      <c r="C1301" s="86" t="s">
        <v>21</v>
      </c>
      <c r="D1301" s="86" t="s">
        <v>9377</v>
      </c>
      <c r="E1301" s="8"/>
      <c r="F1301" s="8"/>
      <c r="G1301" s="8"/>
      <c r="H1301" s="165">
        <v>35000.0</v>
      </c>
      <c r="I1301" s="165" t="s">
        <v>5559</v>
      </c>
      <c r="J1301" s="86" t="s">
        <v>353</v>
      </c>
      <c r="K1301" s="8"/>
      <c r="L1301" s="8"/>
      <c r="M1301" s="8"/>
      <c r="N1301" s="203">
        <v>77487.0</v>
      </c>
      <c r="O1301" s="203">
        <v>88798.0</v>
      </c>
      <c r="P1301" s="5">
        <v>22.0</v>
      </c>
      <c r="Q1301" s="8">
        <f t="shared" si="38"/>
        <v>17047.14</v>
      </c>
      <c r="R1301" s="31"/>
      <c r="S1301" s="31"/>
    </row>
    <row r="1302">
      <c r="A1302" s="233" t="s">
        <v>10786</v>
      </c>
      <c r="B1302" s="86" t="s">
        <v>10806</v>
      </c>
      <c r="C1302" s="86" t="s">
        <v>21</v>
      </c>
      <c r="D1302" s="86" t="s">
        <v>9377</v>
      </c>
      <c r="E1302" s="8"/>
      <c r="F1302" s="8"/>
      <c r="G1302" s="8"/>
      <c r="H1302" s="165">
        <v>35000.0</v>
      </c>
      <c r="I1302" s="165" t="s">
        <v>5559</v>
      </c>
      <c r="J1302" s="86" t="s">
        <v>353</v>
      </c>
      <c r="K1302" s="8"/>
      <c r="L1302" s="8"/>
      <c r="M1302" s="8"/>
      <c r="N1302" s="203">
        <v>77487.0</v>
      </c>
      <c r="O1302" s="203">
        <v>88798.0</v>
      </c>
      <c r="P1302" s="5">
        <v>22.0</v>
      </c>
      <c r="Q1302" s="8">
        <f t="shared" si="38"/>
        <v>17047.14</v>
      </c>
      <c r="R1302" s="31"/>
      <c r="S1302" s="31"/>
    </row>
    <row r="1303">
      <c r="A1303" s="233" t="s">
        <v>10786</v>
      </c>
      <c r="B1303" s="86" t="s">
        <v>10807</v>
      </c>
      <c r="C1303" s="86" t="s">
        <v>21</v>
      </c>
      <c r="D1303" s="86" t="s">
        <v>9377</v>
      </c>
      <c r="E1303" s="8"/>
      <c r="F1303" s="8"/>
      <c r="G1303" s="8"/>
      <c r="H1303" s="165">
        <v>35000.0</v>
      </c>
      <c r="I1303" s="165" t="s">
        <v>5559</v>
      </c>
      <c r="J1303" s="86" t="s">
        <v>353</v>
      </c>
      <c r="K1303" s="8"/>
      <c r="L1303" s="8"/>
      <c r="M1303" s="8"/>
      <c r="N1303" s="203">
        <v>80221.0</v>
      </c>
      <c r="O1303" s="203">
        <v>92094.0</v>
      </c>
      <c r="P1303" s="5">
        <v>22.0</v>
      </c>
      <c r="Q1303" s="8">
        <f t="shared" si="38"/>
        <v>17648.62</v>
      </c>
      <c r="R1303" s="31"/>
      <c r="S1303" s="31"/>
    </row>
    <row r="1304">
      <c r="A1304" s="233" t="s">
        <v>10786</v>
      </c>
      <c r="B1304" s="86" t="s">
        <v>10808</v>
      </c>
      <c r="C1304" s="86" t="s">
        <v>2749</v>
      </c>
      <c r="D1304" s="86" t="s">
        <v>10809</v>
      </c>
      <c r="E1304" s="8"/>
      <c r="F1304" s="8"/>
      <c r="G1304" s="8"/>
      <c r="H1304" s="21"/>
      <c r="I1304" s="165" t="s">
        <v>5551</v>
      </c>
      <c r="J1304" s="86" t="s">
        <v>1424</v>
      </c>
      <c r="K1304" s="8"/>
      <c r="L1304" s="8"/>
      <c r="M1304" s="8"/>
      <c r="N1304" s="203">
        <v>33239.0</v>
      </c>
      <c r="O1304" s="203">
        <v>39221.0</v>
      </c>
      <c r="P1304" s="5">
        <v>27.0</v>
      </c>
      <c r="Q1304" s="8">
        <f t="shared" si="38"/>
        <v>8974.53</v>
      </c>
      <c r="R1304" s="31"/>
      <c r="S1304" s="31"/>
    </row>
    <row r="1305">
      <c r="A1305" s="105">
        <v>45576.0</v>
      </c>
      <c r="B1305" s="108" t="s">
        <v>10810</v>
      </c>
      <c r="C1305" s="108" t="s">
        <v>21</v>
      </c>
      <c r="D1305" s="108" t="s">
        <v>10811</v>
      </c>
      <c r="E1305" s="108" t="s">
        <v>10663</v>
      </c>
      <c r="F1305" s="108"/>
      <c r="G1305" s="108"/>
      <c r="H1305" s="114">
        <v>11280.0</v>
      </c>
      <c r="I1305" s="110">
        <v>45911.0</v>
      </c>
      <c r="J1305" s="108" t="s">
        <v>353</v>
      </c>
      <c r="K1305" s="108" t="s">
        <v>49</v>
      </c>
      <c r="L1305" s="108" t="s">
        <v>27</v>
      </c>
      <c r="M1305" s="108" t="s">
        <v>28</v>
      </c>
      <c r="N1305" s="116">
        <v>43121.0</v>
      </c>
      <c r="O1305" s="116">
        <v>49252.0</v>
      </c>
      <c r="P1305" s="86">
        <v>23.0</v>
      </c>
      <c r="Q1305" s="8">
        <f t="shared" si="38"/>
        <v>9917.83</v>
      </c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</row>
    <row r="1306">
      <c r="A1306" s="107" t="s">
        <v>7767</v>
      </c>
      <c r="B1306" s="108" t="s">
        <v>7778</v>
      </c>
      <c r="C1306" s="108" t="s">
        <v>21</v>
      </c>
      <c r="D1306" s="108" t="s">
        <v>2356</v>
      </c>
      <c r="E1306" s="108" t="s">
        <v>7822</v>
      </c>
      <c r="F1306" s="108">
        <v>9.979078037E9</v>
      </c>
      <c r="G1306" s="108"/>
      <c r="H1306" s="114">
        <v>35000.0</v>
      </c>
      <c r="I1306" s="114" t="s">
        <v>5030</v>
      </c>
      <c r="J1306" s="108" t="s">
        <v>9946</v>
      </c>
      <c r="K1306" s="108" t="s">
        <v>49</v>
      </c>
      <c r="L1306" s="108" t="s">
        <v>71</v>
      </c>
      <c r="M1306" s="108" t="s">
        <v>28</v>
      </c>
      <c r="N1306" s="116">
        <v>48289.0</v>
      </c>
      <c r="O1306" s="116">
        <v>54344.0</v>
      </c>
      <c r="P1306" s="5">
        <v>26.0</v>
      </c>
      <c r="Q1306" s="8">
        <f t="shared" si="38"/>
        <v>12555.14</v>
      </c>
      <c r="R1306" s="108" t="s">
        <v>10812</v>
      </c>
      <c r="S1306" s="108"/>
      <c r="T1306" s="108"/>
      <c r="U1306" s="108"/>
      <c r="V1306" s="108"/>
      <c r="W1306" s="108"/>
      <c r="X1306" s="108"/>
      <c r="Y1306" s="108"/>
      <c r="Z1306" s="108"/>
      <c r="AA1306" s="108"/>
      <c r="AB1306" s="108"/>
      <c r="AC1306" s="108"/>
      <c r="AD1306" s="108"/>
      <c r="AE1306" s="108"/>
    </row>
    <row r="1307">
      <c r="A1307" s="107" t="s">
        <v>7836</v>
      </c>
      <c r="B1307" s="108" t="s">
        <v>10813</v>
      </c>
      <c r="C1307" s="108" t="s">
        <v>21</v>
      </c>
      <c r="D1307" s="108" t="s">
        <v>10814</v>
      </c>
      <c r="E1307" s="108" t="s">
        <v>10815</v>
      </c>
      <c r="F1307" s="108">
        <v>9.72704571E9</v>
      </c>
      <c r="G1307" s="108"/>
      <c r="H1307" s="114">
        <v>28000.0</v>
      </c>
      <c r="I1307" s="114" t="s">
        <v>5030</v>
      </c>
      <c r="J1307" s="108" t="s">
        <v>9946</v>
      </c>
      <c r="K1307" s="108" t="s">
        <v>49</v>
      </c>
      <c r="L1307" s="108" t="s">
        <v>1451</v>
      </c>
      <c r="M1307" s="108" t="s">
        <v>28</v>
      </c>
      <c r="N1307" s="116">
        <v>46943.0</v>
      </c>
      <c r="O1307" s="116">
        <v>52756.0</v>
      </c>
      <c r="P1307" s="5">
        <v>26.0</v>
      </c>
      <c r="Q1307" s="8">
        <f t="shared" si="38"/>
        <v>12205.18</v>
      </c>
      <c r="R1307" s="108" t="s">
        <v>10816</v>
      </c>
      <c r="S1307" s="108"/>
      <c r="T1307" s="108"/>
      <c r="U1307" s="108"/>
      <c r="V1307" s="108"/>
      <c r="W1307" s="108"/>
      <c r="X1307" s="108"/>
      <c r="Y1307" s="108"/>
      <c r="Z1307" s="108"/>
      <c r="AA1307" s="108"/>
      <c r="AB1307" s="108"/>
      <c r="AC1307" s="108"/>
      <c r="AD1307" s="108"/>
      <c r="AE1307" s="108"/>
    </row>
    <row r="1308">
      <c r="A1308" s="105">
        <v>45422.0</v>
      </c>
      <c r="B1308" s="108" t="s">
        <v>5123</v>
      </c>
      <c r="C1308" s="108" t="s">
        <v>21</v>
      </c>
      <c r="D1308" s="108" t="s">
        <v>133</v>
      </c>
      <c r="E1308" s="108" t="s">
        <v>10817</v>
      </c>
      <c r="F1308" s="108">
        <v>7.6218629E9</v>
      </c>
      <c r="G1308" s="108"/>
      <c r="H1308" s="114">
        <v>42000.0</v>
      </c>
      <c r="I1308" s="110">
        <v>45757.0</v>
      </c>
      <c r="J1308" s="108" t="s">
        <v>9946</v>
      </c>
      <c r="K1308" s="108" t="s">
        <v>49</v>
      </c>
      <c r="L1308" s="108" t="s">
        <v>219</v>
      </c>
      <c r="M1308" s="108" t="s">
        <v>28</v>
      </c>
      <c r="N1308" s="116">
        <v>50483.0</v>
      </c>
      <c r="O1308" s="116">
        <v>56915.0</v>
      </c>
      <c r="P1308" s="5">
        <v>26.0</v>
      </c>
      <c r="Q1308" s="8">
        <f t="shared" si="38"/>
        <v>13125.58</v>
      </c>
      <c r="R1308" s="108" t="s">
        <v>10818</v>
      </c>
      <c r="S1308" s="108"/>
      <c r="T1308" s="108"/>
      <c r="U1308" s="108"/>
      <c r="V1308" s="108"/>
      <c r="W1308" s="108"/>
      <c r="X1308" s="108"/>
      <c r="Y1308" s="108"/>
      <c r="Z1308" s="108"/>
      <c r="AA1308" s="108"/>
      <c r="AB1308" s="108"/>
      <c r="AC1308" s="108"/>
      <c r="AD1308" s="108"/>
      <c r="AE1308" s="108"/>
    </row>
    <row r="1309">
      <c r="A1309" s="105">
        <v>45483.0</v>
      </c>
      <c r="B1309" s="108" t="s">
        <v>10819</v>
      </c>
      <c r="C1309" s="108" t="s">
        <v>21</v>
      </c>
      <c r="D1309" s="108" t="s">
        <v>10820</v>
      </c>
      <c r="E1309" s="108" t="s">
        <v>10821</v>
      </c>
      <c r="F1309" s="108"/>
      <c r="G1309" s="108"/>
      <c r="H1309" s="114">
        <v>18500.0</v>
      </c>
      <c r="I1309" s="110">
        <v>45818.0</v>
      </c>
      <c r="J1309" s="108" t="s">
        <v>9946</v>
      </c>
      <c r="K1309" s="108" t="s">
        <v>49</v>
      </c>
      <c r="L1309" s="108" t="s">
        <v>27</v>
      </c>
      <c r="M1309" s="108" t="s">
        <v>28</v>
      </c>
      <c r="N1309" s="116">
        <v>38115.0</v>
      </c>
      <c r="O1309" s="116">
        <v>42857.0</v>
      </c>
      <c r="P1309" s="5">
        <v>26.0</v>
      </c>
      <c r="Q1309" s="8">
        <f t="shared" si="38"/>
        <v>9909.9</v>
      </c>
      <c r="R1309" s="108" t="s">
        <v>10822</v>
      </c>
      <c r="S1309" s="108"/>
      <c r="T1309" s="108"/>
      <c r="U1309" s="108"/>
      <c r="V1309" s="108"/>
      <c r="W1309" s="108"/>
      <c r="X1309" s="108"/>
      <c r="Y1309" s="108"/>
      <c r="Z1309" s="108"/>
      <c r="AA1309" s="108"/>
      <c r="AB1309" s="108"/>
      <c r="AC1309" s="108"/>
      <c r="AD1309" s="108"/>
      <c r="AE1309" s="108"/>
    </row>
    <row r="1310">
      <c r="A1310" s="105">
        <v>45514.0</v>
      </c>
      <c r="B1310" s="108" t="s">
        <v>5134</v>
      </c>
      <c r="C1310" s="108" t="s">
        <v>21</v>
      </c>
      <c r="D1310" s="108" t="s">
        <v>1549</v>
      </c>
      <c r="E1310" s="108" t="s">
        <v>10823</v>
      </c>
      <c r="F1310" s="108"/>
      <c r="G1310" s="108"/>
      <c r="H1310" s="114">
        <v>12990.0</v>
      </c>
      <c r="I1310" s="110">
        <v>45818.0</v>
      </c>
      <c r="J1310" s="108" t="s">
        <v>9946</v>
      </c>
      <c r="K1310" s="108" t="s">
        <v>49</v>
      </c>
      <c r="L1310" s="108" t="s">
        <v>27</v>
      </c>
      <c r="M1310" s="108" t="s">
        <v>28</v>
      </c>
      <c r="N1310" s="116">
        <v>36999.0</v>
      </c>
      <c r="O1310" s="116">
        <v>41540.0</v>
      </c>
      <c r="P1310" s="5">
        <v>26.0</v>
      </c>
      <c r="Q1310" s="8">
        <f t="shared" si="38"/>
        <v>9619.74</v>
      </c>
      <c r="R1310" s="108" t="s">
        <v>10824</v>
      </c>
      <c r="S1310" s="108"/>
      <c r="T1310" s="108"/>
      <c r="U1310" s="108"/>
      <c r="V1310" s="108"/>
      <c r="W1310" s="108"/>
      <c r="X1310" s="108"/>
      <c r="Y1310" s="108"/>
      <c r="Z1310" s="108"/>
      <c r="AA1310" s="108"/>
      <c r="AB1310" s="108"/>
      <c r="AC1310" s="108"/>
      <c r="AD1310" s="108"/>
      <c r="AE1310" s="108"/>
    </row>
    <row r="1311">
      <c r="A1311" s="105">
        <v>45514.0</v>
      </c>
      <c r="B1311" s="108" t="s">
        <v>5129</v>
      </c>
      <c r="C1311" s="108" t="s">
        <v>21</v>
      </c>
      <c r="D1311" s="108" t="s">
        <v>1549</v>
      </c>
      <c r="E1311" s="108" t="s">
        <v>5131</v>
      </c>
      <c r="F1311" s="108"/>
      <c r="G1311" s="108"/>
      <c r="H1311" s="114">
        <v>12990.0</v>
      </c>
      <c r="I1311" s="110">
        <v>45848.0</v>
      </c>
      <c r="J1311" s="108" t="s">
        <v>9946</v>
      </c>
      <c r="K1311" s="108" t="s">
        <v>49</v>
      </c>
      <c r="L1311" s="108" t="s">
        <v>27</v>
      </c>
      <c r="M1311" s="108" t="s">
        <v>28</v>
      </c>
      <c r="N1311" s="116">
        <v>37632.0</v>
      </c>
      <c r="O1311" s="116">
        <v>42287.0</v>
      </c>
      <c r="P1311" s="5">
        <v>26.0</v>
      </c>
      <c r="Q1311" s="8">
        <f t="shared" si="38"/>
        <v>9784.32</v>
      </c>
      <c r="R1311" s="108" t="s">
        <v>10825</v>
      </c>
      <c r="S1311" s="108"/>
      <c r="T1311" s="108"/>
      <c r="U1311" s="108"/>
      <c r="V1311" s="108"/>
      <c r="W1311" s="108"/>
      <c r="X1311" s="108"/>
      <c r="Y1311" s="108"/>
      <c r="Z1311" s="108"/>
      <c r="AA1311" s="108"/>
      <c r="AB1311" s="108"/>
      <c r="AC1311" s="108"/>
      <c r="AD1311" s="108"/>
      <c r="AE1311" s="108"/>
    </row>
    <row r="1312">
      <c r="A1312" s="113">
        <v>45575.0</v>
      </c>
      <c r="B1312" s="108" t="s">
        <v>7916</v>
      </c>
      <c r="C1312" s="108" t="s">
        <v>21</v>
      </c>
      <c r="D1312" s="108" t="s">
        <v>1883</v>
      </c>
      <c r="E1312" s="108" t="s">
        <v>7918</v>
      </c>
      <c r="F1312" s="108">
        <v>9.586947033E9</v>
      </c>
      <c r="G1312" s="108"/>
      <c r="H1312" s="114">
        <v>35000.0</v>
      </c>
      <c r="I1312" s="620">
        <v>45940.0</v>
      </c>
      <c r="J1312" s="108" t="s">
        <v>9946</v>
      </c>
      <c r="K1312" s="108" t="s">
        <v>49</v>
      </c>
      <c r="L1312" s="108" t="s">
        <v>71</v>
      </c>
      <c r="M1312" s="108" t="s">
        <v>28</v>
      </c>
      <c r="N1312" s="116">
        <v>47039.0</v>
      </c>
      <c r="O1312" s="116">
        <v>52869.0</v>
      </c>
      <c r="P1312" s="5">
        <v>26.0</v>
      </c>
      <c r="Q1312" s="8">
        <f t="shared" si="38"/>
        <v>12230.14</v>
      </c>
      <c r="R1312" s="108" t="s">
        <v>10826</v>
      </c>
      <c r="S1312" s="108"/>
      <c r="T1312" s="108"/>
      <c r="U1312" s="108"/>
      <c r="V1312" s="108"/>
      <c r="W1312" s="108"/>
      <c r="X1312" s="108"/>
      <c r="Y1312" s="108"/>
      <c r="Z1312" s="108"/>
      <c r="AA1312" s="108"/>
      <c r="AB1312" s="108"/>
      <c r="AC1312" s="108"/>
      <c r="AD1312" s="108"/>
      <c r="AE1312" s="108"/>
    </row>
    <row r="1313">
      <c r="A1313" s="243" t="s">
        <v>7900</v>
      </c>
      <c r="B1313" s="108" t="s">
        <v>6481</v>
      </c>
      <c r="C1313" s="108" t="s">
        <v>21</v>
      </c>
      <c r="D1313" s="108" t="s">
        <v>6483</v>
      </c>
      <c r="E1313" s="108" t="s">
        <v>10827</v>
      </c>
      <c r="F1313" s="108">
        <v>9.998252863E9</v>
      </c>
      <c r="G1313" s="108"/>
      <c r="H1313" s="114">
        <v>47500.0</v>
      </c>
      <c r="I1313" s="114" t="s">
        <v>6476</v>
      </c>
      <c r="J1313" s="108" t="s">
        <v>9946</v>
      </c>
      <c r="K1313" s="108" t="s">
        <v>49</v>
      </c>
      <c r="L1313" s="108" t="s">
        <v>185</v>
      </c>
      <c r="M1313" s="108" t="s">
        <v>28</v>
      </c>
      <c r="N1313" s="116">
        <v>56787.0</v>
      </c>
      <c r="O1313" s="116">
        <v>64354.0</v>
      </c>
      <c r="P1313" s="5">
        <v>26.0</v>
      </c>
      <c r="Q1313" s="8">
        <f t="shared" si="38"/>
        <v>14764.62</v>
      </c>
      <c r="R1313" s="108" t="s">
        <v>10828</v>
      </c>
      <c r="S1313" s="108"/>
      <c r="T1313" s="108"/>
      <c r="U1313" s="108"/>
      <c r="V1313" s="108"/>
      <c r="W1313" s="108"/>
      <c r="X1313" s="108"/>
      <c r="Y1313" s="108"/>
      <c r="Z1313" s="108"/>
      <c r="AA1313" s="108"/>
      <c r="AB1313" s="108"/>
      <c r="AC1313" s="108"/>
      <c r="AD1313" s="108"/>
      <c r="AE1313" s="108"/>
    </row>
    <row r="1314">
      <c r="A1314" s="243" t="s">
        <v>7900</v>
      </c>
      <c r="B1314" s="108" t="s">
        <v>5274</v>
      </c>
      <c r="C1314" s="108" t="s">
        <v>21</v>
      </c>
      <c r="D1314" s="108" t="s">
        <v>755</v>
      </c>
      <c r="E1314" s="108" t="s">
        <v>5276</v>
      </c>
      <c r="F1314" s="108">
        <v>9.590178692E9</v>
      </c>
      <c r="G1314" s="108"/>
      <c r="H1314" s="114">
        <v>47500.0</v>
      </c>
      <c r="I1314" s="114" t="s">
        <v>6476</v>
      </c>
      <c r="J1314" s="108" t="s">
        <v>9946</v>
      </c>
      <c r="K1314" s="108" t="s">
        <v>49</v>
      </c>
      <c r="L1314" s="108" t="s">
        <v>185</v>
      </c>
      <c r="M1314" s="108" t="s">
        <v>28</v>
      </c>
      <c r="N1314" s="116">
        <v>56787.0</v>
      </c>
      <c r="O1314" s="116">
        <v>64354.0</v>
      </c>
      <c r="P1314" s="5">
        <v>26.0</v>
      </c>
      <c r="Q1314" s="8">
        <f t="shared" si="38"/>
        <v>14764.62</v>
      </c>
      <c r="R1314" s="108" t="s">
        <v>10829</v>
      </c>
      <c r="S1314" s="108"/>
      <c r="T1314" s="108"/>
      <c r="U1314" s="108"/>
      <c r="V1314" s="108"/>
      <c r="W1314" s="108"/>
      <c r="X1314" s="108"/>
      <c r="Y1314" s="108"/>
      <c r="Z1314" s="108"/>
      <c r="AA1314" s="108"/>
      <c r="AB1314" s="108"/>
      <c r="AC1314" s="108"/>
      <c r="AD1314" s="108"/>
      <c r="AE1314" s="108"/>
    </row>
    <row r="1315">
      <c r="A1315" s="93"/>
      <c r="B1315" s="58"/>
      <c r="C1315" s="58"/>
      <c r="D1315" s="58"/>
      <c r="E1315" s="58"/>
      <c r="F1315" s="58"/>
      <c r="G1315" s="58"/>
      <c r="H1315" s="88"/>
      <c r="I1315" s="88"/>
      <c r="J1315" s="58"/>
      <c r="K1315" s="58"/>
      <c r="L1315" s="58"/>
      <c r="M1315" s="58"/>
      <c r="N1315" s="88"/>
      <c r="O1315" s="88"/>
      <c r="P1315" s="5"/>
    </row>
    <row r="1316">
      <c r="A1316" s="100" t="s">
        <v>8103</v>
      </c>
      <c r="B1316" s="8" t="s">
        <v>10830</v>
      </c>
      <c r="C1316" s="8" t="s">
        <v>21</v>
      </c>
      <c r="D1316" s="8" t="s">
        <v>2854</v>
      </c>
      <c r="E1316" s="8" t="s">
        <v>10831</v>
      </c>
      <c r="F1316" s="8">
        <v>8.140026698E9</v>
      </c>
      <c r="G1316" s="8"/>
      <c r="H1316" s="21">
        <v>11990.0</v>
      </c>
      <c r="I1316" s="21" t="s">
        <v>6565</v>
      </c>
      <c r="J1316" s="8" t="s">
        <v>25</v>
      </c>
      <c r="K1316" s="8" t="s">
        <v>49</v>
      </c>
      <c r="L1316" s="8" t="s">
        <v>27</v>
      </c>
      <c r="M1316" s="8" t="s">
        <v>28</v>
      </c>
      <c r="N1316" s="90">
        <v>31561.0</v>
      </c>
      <c r="O1316" s="90">
        <v>35611.0</v>
      </c>
      <c r="P1316" s="6">
        <v>33.0</v>
      </c>
      <c r="Q1316" s="8">
        <f t="shared" ref="Q1316:Q1353" si="39">N1316*P1316%</f>
        <v>10415.13</v>
      </c>
    </row>
    <row r="1317">
      <c r="A1317" s="100" t="s">
        <v>8103</v>
      </c>
      <c r="B1317" s="8" t="s">
        <v>10832</v>
      </c>
      <c r="C1317" s="8" t="s">
        <v>21</v>
      </c>
      <c r="D1317" s="8" t="s">
        <v>1789</v>
      </c>
      <c r="E1317" s="8" t="s">
        <v>10833</v>
      </c>
      <c r="F1317" s="8">
        <v>9.97997116E9</v>
      </c>
      <c r="G1317" s="8"/>
      <c r="H1317" s="21">
        <v>9600.0</v>
      </c>
      <c r="I1317" s="21" t="s">
        <v>10834</v>
      </c>
      <c r="J1317" s="8" t="s">
        <v>25</v>
      </c>
      <c r="K1317" s="8" t="s">
        <v>49</v>
      </c>
      <c r="L1317" s="8" t="s">
        <v>340</v>
      </c>
      <c r="M1317" s="8" t="s">
        <v>28</v>
      </c>
      <c r="N1317" s="97">
        <v>29135.0</v>
      </c>
      <c r="O1317" s="97">
        <v>32748.0</v>
      </c>
      <c r="P1317" s="6">
        <v>40.0</v>
      </c>
      <c r="Q1317" s="8">
        <f t="shared" si="39"/>
        <v>11654</v>
      </c>
    </row>
    <row r="1318">
      <c r="A1318" s="100" t="s">
        <v>8103</v>
      </c>
      <c r="B1318" s="8" t="s">
        <v>10835</v>
      </c>
      <c r="C1318" s="8" t="s">
        <v>21</v>
      </c>
      <c r="D1318" s="8" t="s">
        <v>9003</v>
      </c>
      <c r="E1318" s="8" t="s">
        <v>10836</v>
      </c>
      <c r="F1318" s="8">
        <v>9.726920399E9</v>
      </c>
      <c r="G1318" s="8"/>
      <c r="H1318" s="21">
        <v>11990.0</v>
      </c>
      <c r="I1318" s="21" t="s">
        <v>10834</v>
      </c>
      <c r="J1318" s="8" t="s">
        <v>25</v>
      </c>
      <c r="K1318" s="8" t="s">
        <v>49</v>
      </c>
      <c r="L1318" s="8" t="s">
        <v>71</v>
      </c>
      <c r="M1318" s="8" t="s">
        <v>28</v>
      </c>
      <c r="N1318" s="97">
        <v>29988.0</v>
      </c>
      <c r="O1318" s="97">
        <v>33755.0</v>
      </c>
      <c r="P1318" s="6">
        <v>33.0</v>
      </c>
      <c r="Q1318" s="8">
        <f t="shared" si="39"/>
        <v>9896.04</v>
      </c>
    </row>
    <row r="1319">
      <c r="A1319" s="100" t="s">
        <v>8111</v>
      </c>
      <c r="B1319" s="8" t="s">
        <v>10661</v>
      </c>
      <c r="C1319" s="8" t="s">
        <v>21</v>
      </c>
      <c r="D1319" s="8" t="s">
        <v>10837</v>
      </c>
      <c r="E1319" s="8" t="s">
        <v>10838</v>
      </c>
      <c r="F1319" s="8" t="s">
        <v>10839</v>
      </c>
      <c r="G1319" s="8"/>
      <c r="H1319" s="21">
        <v>11250.0</v>
      </c>
      <c r="I1319" s="21" t="s">
        <v>10834</v>
      </c>
      <c r="J1319" s="8" t="s">
        <v>353</v>
      </c>
      <c r="K1319" s="8" t="s">
        <v>49</v>
      </c>
      <c r="L1319" s="8" t="s">
        <v>71</v>
      </c>
      <c r="M1319" s="8" t="s">
        <v>28</v>
      </c>
      <c r="N1319" s="97">
        <v>41617.0</v>
      </c>
      <c r="O1319" s="97">
        <v>47477.0</v>
      </c>
      <c r="P1319" s="6">
        <v>23.0</v>
      </c>
      <c r="Q1319" s="8">
        <f t="shared" si="39"/>
        <v>9571.91</v>
      </c>
    </row>
    <row r="1320">
      <c r="A1320" s="100" t="s">
        <v>8116</v>
      </c>
      <c r="B1320" s="8" t="s">
        <v>8096</v>
      </c>
      <c r="C1320" s="8" t="s">
        <v>1395</v>
      </c>
      <c r="D1320" s="8" t="s">
        <v>9693</v>
      </c>
      <c r="E1320" s="8" t="s">
        <v>8097</v>
      </c>
      <c r="F1320" s="8" t="s">
        <v>8098</v>
      </c>
      <c r="G1320" s="8"/>
      <c r="H1320" s="21">
        <v>2880.0</v>
      </c>
      <c r="I1320" s="21" t="s">
        <v>10834</v>
      </c>
      <c r="J1320" s="8" t="s">
        <v>116</v>
      </c>
      <c r="K1320" s="8" t="s">
        <v>49</v>
      </c>
      <c r="L1320" s="8" t="s">
        <v>71</v>
      </c>
      <c r="M1320" s="8" t="s">
        <v>28</v>
      </c>
      <c r="N1320" s="97">
        <v>17311.0</v>
      </c>
      <c r="O1320" s="97">
        <v>19459.0</v>
      </c>
      <c r="P1320" s="6">
        <v>48.0</v>
      </c>
      <c r="Q1320" s="8">
        <f t="shared" si="39"/>
        <v>8309.28</v>
      </c>
    </row>
    <row r="1321">
      <c r="A1321" s="100" t="s">
        <v>8119</v>
      </c>
      <c r="B1321" s="8" t="s">
        <v>10840</v>
      </c>
      <c r="C1321" s="8" t="s">
        <v>21</v>
      </c>
      <c r="D1321" s="8" t="s">
        <v>9003</v>
      </c>
      <c r="E1321" s="8" t="s">
        <v>10841</v>
      </c>
      <c r="F1321" s="8">
        <v>9.925968917E9</v>
      </c>
      <c r="G1321" s="8"/>
      <c r="H1321" s="21">
        <v>11990.0</v>
      </c>
      <c r="I1321" s="21" t="s">
        <v>5582</v>
      </c>
      <c r="J1321" s="8" t="s">
        <v>25</v>
      </c>
      <c r="K1321" s="8" t="s">
        <v>49</v>
      </c>
      <c r="L1321" s="8" t="s">
        <v>27</v>
      </c>
      <c r="M1321" s="8" t="s">
        <v>28</v>
      </c>
      <c r="N1321" s="97">
        <v>31462.0</v>
      </c>
      <c r="O1321" s="97">
        <v>35494.0</v>
      </c>
      <c r="P1321" s="6">
        <v>33.0</v>
      </c>
      <c r="Q1321" s="8">
        <f t="shared" si="39"/>
        <v>10382.46</v>
      </c>
    </row>
    <row r="1322">
      <c r="A1322" s="100" t="s">
        <v>8119</v>
      </c>
      <c r="B1322" s="8" t="s">
        <v>8204</v>
      </c>
      <c r="C1322" s="8" t="s">
        <v>533</v>
      </c>
      <c r="D1322" s="8" t="s">
        <v>10842</v>
      </c>
      <c r="E1322" s="8" t="s">
        <v>10843</v>
      </c>
      <c r="F1322" s="8">
        <v>9.99807E8</v>
      </c>
      <c r="G1322" s="8"/>
      <c r="H1322" s="8"/>
      <c r="I1322" s="21" t="s">
        <v>5654</v>
      </c>
      <c r="J1322" s="8" t="s">
        <v>1424</v>
      </c>
      <c r="K1322" s="8" t="s">
        <v>49</v>
      </c>
      <c r="L1322" s="8" t="s">
        <v>71</v>
      </c>
      <c r="M1322" s="8" t="s">
        <v>28</v>
      </c>
      <c r="N1322" s="21">
        <v>9555.0</v>
      </c>
      <c r="O1322" s="21">
        <v>11275.0</v>
      </c>
      <c r="P1322" s="6">
        <v>30.0</v>
      </c>
      <c r="Q1322" s="8">
        <f t="shared" si="39"/>
        <v>2866.5</v>
      </c>
    </row>
    <row r="1323">
      <c r="A1323" s="100" t="s">
        <v>8119</v>
      </c>
      <c r="B1323" s="8" t="s">
        <v>7821</v>
      </c>
      <c r="C1323" s="8" t="s">
        <v>21</v>
      </c>
      <c r="D1323" s="8" t="s">
        <v>9844</v>
      </c>
      <c r="E1323" s="8" t="s">
        <v>10844</v>
      </c>
      <c r="F1323" s="8" t="s">
        <v>1933</v>
      </c>
      <c r="G1323" s="8"/>
      <c r="H1323" s="21">
        <v>28000.0</v>
      </c>
      <c r="I1323" s="21" t="s">
        <v>5573</v>
      </c>
      <c r="J1323" s="100" t="s">
        <v>9946</v>
      </c>
      <c r="K1323" s="8" t="s">
        <v>49</v>
      </c>
      <c r="L1323" s="8" t="s">
        <v>71</v>
      </c>
      <c r="M1323" s="8" t="s">
        <v>28</v>
      </c>
      <c r="N1323" s="97">
        <v>47115.0</v>
      </c>
      <c r="O1323" s="97">
        <v>52959.0</v>
      </c>
      <c r="P1323" s="6">
        <v>26.0</v>
      </c>
      <c r="Q1323" s="8">
        <f t="shared" si="39"/>
        <v>12249.9</v>
      </c>
    </row>
    <row r="1324">
      <c r="A1324" s="100" t="s">
        <v>8119</v>
      </c>
      <c r="B1324" s="8" t="s">
        <v>8131</v>
      </c>
      <c r="C1324" s="8" t="s">
        <v>1395</v>
      </c>
      <c r="D1324" s="8" t="s">
        <v>524</v>
      </c>
      <c r="E1324" s="8" t="s">
        <v>8132</v>
      </c>
      <c r="F1324" s="8">
        <v>7.043587583E9</v>
      </c>
      <c r="G1324" s="8"/>
      <c r="H1324" s="21">
        <v>3490.0</v>
      </c>
      <c r="I1324" s="21" t="s">
        <v>5582</v>
      </c>
      <c r="J1324" s="8" t="s">
        <v>116</v>
      </c>
      <c r="K1324" s="8" t="s">
        <v>49</v>
      </c>
      <c r="L1324" s="8" t="s">
        <v>71</v>
      </c>
      <c r="M1324" s="8" t="s">
        <v>28</v>
      </c>
      <c r="N1324" s="97">
        <v>21458.0</v>
      </c>
      <c r="O1324" s="97">
        <v>24352.0</v>
      </c>
      <c r="P1324" s="6">
        <v>48.0</v>
      </c>
      <c r="Q1324" s="8">
        <f t="shared" si="39"/>
        <v>10299.84</v>
      </c>
    </row>
    <row r="1325">
      <c r="A1325" s="100" t="s">
        <v>8123</v>
      </c>
      <c r="B1325" s="8" t="s">
        <v>10845</v>
      </c>
      <c r="C1325" s="8" t="s">
        <v>21</v>
      </c>
      <c r="D1325" s="8" t="s">
        <v>2854</v>
      </c>
      <c r="E1325" s="8" t="s">
        <v>10846</v>
      </c>
      <c r="F1325" s="8">
        <v>9.313440575E9</v>
      </c>
      <c r="G1325" s="8"/>
      <c r="H1325" s="21">
        <v>11900.0</v>
      </c>
      <c r="I1325" s="21" t="s">
        <v>5603</v>
      </c>
      <c r="J1325" s="8" t="s">
        <v>25</v>
      </c>
      <c r="K1325" s="8" t="s">
        <v>49</v>
      </c>
      <c r="L1325" s="8" t="s">
        <v>27</v>
      </c>
      <c r="M1325" s="8" t="s">
        <v>28</v>
      </c>
      <c r="N1325" s="97">
        <v>30149.0</v>
      </c>
      <c r="O1325" s="97">
        <v>33945.0</v>
      </c>
      <c r="P1325" s="6">
        <v>27.0</v>
      </c>
      <c r="Q1325" s="8">
        <f t="shared" si="39"/>
        <v>8140.23</v>
      </c>
    </row>
    <row r="1326">
      <c r="A1326" s="100" t="s">
        <v>8123</v>
      </c>
      <c r="B1326" s="8" t="s">
        <v>10847</v>
      </c>
      <c r="C1326" s="8" t="s">
        <v>21</v>
      </c>
      <c r="D1326" s="8" t="s">
        <v>1465</v>
      </c>
      <c r="E1326" s="8" t="s">
        <v>10848</v>
      </c>
      <c r="F1326" s="8">
        <v>9.726139261E9</v>
      </c>
      <c r="G1326" s="8"/>
      <c r="H1326" s="21">
        <v>16020.0</v>
      </c>
      <c r="I1326" s="21" t="s">
        <v>5582</v>
      </c>
      <c r="J1326" s="8" t="s">
        <v>78</v>
      </c>
      <c r="K1326" s="8" t="s">
        <v>49</v>
      </c>
      <c r="L1326" s="8" t="s">
        <v>27</v>
      </c>
      <c r="M1326" s="8" t="s">
        <v>28</v>
      </c>
      <c r="N1326" s="97">
        <v>56505.57</v>
      </c>
      <c r="O1326" s="97">
        <v>64558.0</v>
      </c>
      <c r="P1326" s="6">
        <v>25.0</v>
      </c>
      <c r="Q1326" s="8">
        <f t="shared" si="39"/>
        <v>14126.3925</v>
      </c>
    </row>
    <row r="1327">
      <c r="A1327" s="100" t="s">
        <v>8123</v>
      </c>
      <c r="B1327" s="8" t="s">
        <v>8162</v>
      </c>
      <c r="C1327" s="8" t="s">
        <v>21</v>
      </c>
      <c r="D1327" s="8" t="s">
        <v>10849</v>
      </c>
      <c r="E1327" s="8" t="s">
        <v>10850</v>
      </c>
      <c r="F1327" s="8">
        <v>9.925544273E9</v>
      </c>
      <c r="G1327" s="8"/>
      <c r="H1327" s="21">
        <v>8720.0</v>
      </c>
      <c r="I1327" s="21" t="s">
        <v>5622</v>
      </c>
      <c r="J1327" s="8" t="s">
        <v>25</v>
      </c>
      <c r="K1327" s="8" t="s">
        <v>49</v>
      </c>
      <c r="L1327" s="8" t="s">
        <v>71</v>
      </c>
      <c r="M1327" s="8" t="s">
        <v>28</v>
      </c>
      <c r="N1327" s="97">
        <v>27787.0</v>
      </c>
      <c r="O1327" s="97">
        <v>31158.0</v>
      </c>
      <c r="P1327" s="6">
        <v>33.0</v>
      </c>
      <c r="Q1327" s="8">
        <f t="shared" si="39"/>
        <v>9169.71</v>
      </c>
    </row>
    <row r="1328">
      <c r="A1328" s="100" t="s">
        <v>8123</v>
      </c>
      <c r="B1328" s="8" t="s">
        <v>8158</v>
      </c>
      <c r="C1328" s="8" t="s">
        <v>1395</v>
      </c>
      <c r="D1328" s="8" t="s">
        <v>2243</v>
      </c>
      <c r="E1328" s="8" t="s">
        <v>10851</v>
      </c>
      <c r="F1328" s="8">
        <v>6.351612375E9</v>
      </c>
      <c r="G1328" s="8"/>
      <c r="H1328" s="21">
        <v>2750.0</v>
      </c>
      <c r="I1328" s="21" t="s">
        <v>5603</v>
      </c>
      <c r="J1328" s="8" t="s">
        <v>1424</v>
      </c>
      <c r="K1328" s="8" t="s">
        <v>49</v>
      </c>
      <c r="L1328" s="8" t="s">
        <v>71</v>
      </c>
      <c r="M1328" s="8" t="s">
        <v>28</v>
      </c>
      <c r="N1328" s="21">
        <v>20276.0</v>
      </c>
      <c r="O1328" s="21">
        <v>22962.0</v>
      </c>
      <c r="P1328" s="6">
        <v>52.0</v>
      </c>
      <c r="Q1328" s="8">
        <f t="shared" si="39"/>
        <v>10543.52</v>
      </c>
    </row>
    <row r="1329">
      <c r="A1329" s="233" t="s">
        <v>8123</v>
      </c>
      <c r="B1329" s="8" t="s">
        <v>5635</v>
      </c>
      <c r="C1329" s="131" t="s">
        <v>21</v>
      </c>
      <c r="D1329" s="8" t="s">
        <v>9470</v>
      </c>
      <c r="E1329" s="8" t="s">
        <v>10852</v>
      </c>
      <c r="F1329" s="8">
        <v>9.998252863E9</v>
      </c>
      <c r="G1329" s="8"/>
      <c r="H1329" s="21">
        <v>28000.0</v>
      </c>
      <c r="I1329" s="208" t="s">
        <v>5603</v>
      </c>
      <c r="J1329" s="100" t="s">
        <v>9946</v>
      </c>
      <c r="K1329" s="8" t="s">
        <v>49</v>
      </c>
      <c r="L1329" s="8" t="s">
        <v>185</v>
      </c>
      <c r="M1329" s="8" t="s">
        <v>28</v>
      </c>
      <c r="N1329" s="97">
        <v>46609.0</v>
      </c>
      <c r="O1329" s="97">
        <v>52362.0</v>
      </c>
      <c r="P1329" s="6">
        <v>26.0</v>
      </c>
      <c r="Q1329" s="8">
        <f t="shared" si="39"/>
        <v>12118.34</v>
      </c>
    </row>
    <row r="1330">
      <c r="A1330" s="233" t="s">
        <v>8169</v>
      </c>
      <c r="B1330" s="8" t="s">
        <v>5650</v>
      </c>
      <c r="C1330" s="131" t="s">
        <v>21</v>
      </c>
      <c r="D1330" s="8" t="s">
        <v>10853</v>
      </c>
      <c r="E1330" s="8" t="s">
        <v>10854</v>
      </c>
      <c r="F1330" s="8">
        <v>9.87931764E9</v>
      </c>
      <c r="G1330" s="8"/>
      <c r="H1330" s="21">
        <v>18500.0</v>
      </c>
      <c r="I1330" s="21" t="s">
        <v>5622</v>
      </c>
      <c r="J1330" s="233" t="s">
        <v>9946</v>
      </c>
      <c r="K1330" s="8" t="s">
        <v>49</v>
      </c>
      <c r="L1330" s="8" t="s">
        <v>389</v>
      </c>
      <c r="M1330" s="8" t="s">
        <v>28</v>
      </c>
      <c r="N1330" s="97">
        <v>37450.0</v>
      </c>
      <c r="O1330" s="97">
        <v>42072.0</v>
      </c>
      <c r="P1330" s="6">
        <v>26.0</v>
      </c>
      <c r="Q1330" s="8">
        <f t="shared" si="39"/>
        <v>9737</v>
      </c>
    </row>
    <row r="1331">
      <c r="A1331" s="233" t="s">
        <v>8169</v>
      </c>
      <c r="B1331" s="8" t="s">
        <v>10855</v>
      </c>
      <c r="C1331" s="131" t="s">
        <v>1405</v>
      </c>
      <c r="D1331" s="8" t="s">
        <v>1479</v>
      </c>
      <c r="E1331" s="8" t="s">
        <v>10856</v>
      </c>
      <c r="F1331" s="8">
        <v>9.71223488E9</v>
      </c>
      <c r="G1331" s="8"/>
      <c r="H1331" s="21">
        <v>990.0</v>
      </c>
      <c r="I1331" s="21" t="s">
        <v>5638</v>
      </c>
      <c r="J1331" s="131" t="s">
        <v>1419</v>
      </c>
      <c r="K1331" s="8" t="s">
        <v>49</v>
      </c>
      <c r="L1331" s="8" t="s">
        <v>185</v>
      </c>
      <c r="M1331" s="8" t="s">
        <v>28</v>
      </c>
      <c r="N1331" s="21">
        <v>5236.0</v>
      </c>
      <c r="O1331" s="21">
        <v>5910.0</v>
      </c>
      <c r="P1331" s="6">
        <v>52.0</v>
      </c>
      <c r="Q1331" s="8">
        <f t="shared" si="39"/>
        <v>2722.72</v>
      </c>
    </row>
    <row r="1332">
      <c r="A1332" s="233" t="s">
        <v>8169</v>
      </c>
      <c r="B1332" s="8" t="s">
        <v>10857</v>
      </c>
      <c r="C1332" s="131" t="s">
        <v>21</v>
      </c>
      <c r="D1332" s="8" t="s">
        <v>10858</v>
      </c>
      <c r="E1332" s="8" t="s">
        <v>10859</v>
      </c>
      <c r="F1332" s="8" t="s">
        <v>10860</v>
      </c>
      <c r="G1332" s="8"/>
      <c r="H1332" s="21">
        <v>28000.0</v>
      </c>
      <c r="I1332" s="208" t="s">
        <v>5603</v>
      </c>
      <c r="J1332" s="233" t="s">
        <v>9946</v>
      </c>
      <c r="K1332" s="8" t="s">
        <v>49</v>
      </c>
      <c r="L1332" s="8" t="s">
        <v>27</v>
      </c>
      <c r="M1332" s="8" t="s">
        <v>28</v>
      </c>
      <c r="N1332" s="97">
        <v>46794.0</v>
      </c>
      <c r="O1332" s="97">
        <v>52580.0</v>
      </c>
      <c r="P1332" s="6">
        <v>26.0</v>
      </c>
      <c r="Q1332" s="8">
        <f t="shared" si="39"/>
        <v>12166.44</v>
      </c>
    </row>
    <row r="1333">
      <c r="A1333" s="233" t="s">
        <v>8169</v>
      </c>
      <c r="B1333" s="8" t="s">
        <v>8152</v>
      </c>
      <c r="C1333" s="131" t="s">
        <v>1395</v>
      </c>
      <c r="D1333" s="8" t="s">
        <v>9835</v>
      </c>
      <c r="E1333" s="8" t="s">
        <v>8153</v>
      </c>
      <c r="F1333" s="131" t="s">
        <v>8154</v>
      </c>
      <c r="G1333" s="8"/>
      <c r="H1333" s="21">
        <v>3490.0</v>
      </c>
      <c r="I1333" s="21" t="s">
        <v>5603</v>
      </c>
      <c r="J1333" s="8" t="s">
        <v>116</v>
      </c>
      <c r="K1333" s="8" t="s">
        <v>49</v>
      </c>
      <c r="L1333" s="8" t="s">
        <v>71</v>
      </c>
      <c r="M1333" s="8" t="s">
        <v>28</v>
      </c>
      <c r="N1333" s="97">
        <v>21393.0</v>
      </c>
      <c r="O1333" s="97">
        <v>24275.0</v>
      </c>
      <c r="P1333" s="6">
        <v>48.0</v>
      </c>
      <c r="Q1333" s="8">
        <f t="shared" si="39"/>
        <v>10268.64</v>
      </c>
    </row>
    <row r="1334">
      <c r="A1334" s="233" t="s">
        <v>8169</v>
      </c>
      <c r="B1334" s="8" t="s">
        <v>8175</v>
      </c>
      <c r="C1334" s="131" t="s">
        <v>1395</v>
      </c>
      <c r="D1334" s="8" t="s">
        <v>2186</v>
      </c>
      <c r="E1334" s="8" t="s">
        <v>8176</v>
      </c>
      <c r="F1334" s="131" t="s">
        <v>8177</v>
      </c>
      <c r="G1334" s="8"/>
      <c r="H1334" s="21">
        <v>2960.0</v>
      </c>
      <c r="I1334" s="21" t="s">
        <v>5638</v>
      </c>
      <c r="J1334" s="131" t="s">
        <v>116</v>
      </c>
      <c r="K1334" s="8" t="s">
        <v>49</v>
      </c>
      <c r="L1334" s="8" t="s">
        <v>71</v>
      </c>
      <c r="M1334" s="8" t="s">
        <v>28</v>
      </c>
      <c r="N1334" s="97">
        <v>17819.0</v>
      </c>
      <c r="O1334" s="97">
        <v>20059.0</v>
      </c>
      <c r="P1334" s="6">
        <v>48.0</v>
      </c>
      <c r="Q1334" s="8">
        <f t="shared" si="39"/>
        <v>8553.12</v>
      </c>
    </row>
    <row r="1335">
      <c r="A1335" s="233" t="s">
        <v>8169</v>
      </c>
      <c r="B1335" s="8" t="s">
        <v>5658</v>
      </c>
      <c r="C1335" s="131" t="s">
        <v>1395</v>
      </c>
      <c r="D1335" s="8" t="s">
        <v>1303</v>
      </c>
      <c r="E1335" s="8" t="s">
        <v>5660</v>
      </c>
      <c r="F1335" s="8">
        <v>7.984018698E9</v>
      </c>
      <c r="G1335" s="8"/>
      <c r="H1335" s="21">
        <v>2825.0</v>
      </c>
      <c r="I1335" s="21" t="s">
        <v>5638</v>
      </c>
      <c r="J1335" s="131" t="s">
        <v>116</v>
      </c>
      <c r="K1335" s="8" t="s">
        <v>49</v>
      </c>
      <c r="L1335" s="8" t="s">
        <v>27</v>
      </c>
      <c r="M1335" s="8" t="s">
        <v>28</v>
      </c>
      <c r="N1335" s="97">
        <v>21267.0</v>
      </c>
      <c r="O1335" s="97">
        <v>24127.0</v>
      </c>
      <c r="P1335" s="6">
        <v>48.0</v>
      </c>
      <c r="Q1335" s="8">
        <f t="shared" si="39"/>
        <v>10208.16</v>
      </c>
    </row>
    <row r="1336">
      <c r="A1336" s="233" t="s">
        <v>8169</v>
      </c>
      <c r="B1336" s="86" t="s">
        <v>10861</v>
      </c>
      <c r="C1336" s="593" t="s">
        <v>21</v>
      </c>
      <c r="D1336" s="86" t="s">
        <v>10862</v>
      </c>
      <c r="E1336" s="8"/>
      <c r="F1336" s="8"/>
      <c r="G1336" s="8"/>
      <c r="H1336" s="165">
        <v>11900.0</v>
      </c>
      <c r="I1336" s="21" t="s">
        <v>5622</v>
      </c>
      <c r="J1336" s="593" t="s">
        <v>1419</v>
      </c>
      <c r="K1336" s="86" t="s">
        <v>49</v>
      </c>
      <c r="L1336" s="86" t="s">
        <v>27</v>
      </c>
      <c r="M1336" s="86" t="s">
        <v>28</v>
      </c>
      <c r="N1336" s="203">
        <v>29506.0</v>
      </c>
      <c r="O1336" s="203">
        <v>33186.0</v>
      </c>
      <c r="P1336" s="6">
        <v>30.0</v>
      </c>
      <c r="Q1336" s="8">
        <f t="shared" si="39"/>
        <v>8851.8</v>
      </c>
    </row>
    <row r="1337">
      <c r="A1337" s="233" t="s">
        <v>8169</v>
      </c>
      <c r="B1337" s="86" t="s">
        <v>5611</v>
      </c>
      <c r="C1337" s="593" t="s">
        <v>75</v>
      </c>
      <c r="D1337" s="86" t="s">
        <v>1760</v>
      </c>
      <c r="E1337" s="8"/>
      <c r="F1337" s="8"/>
      <c r="G1337" s="8"/>
      <c r="H1337" s="165">
        <v>990.0</v>
      </c>
      <c r="I1337" s="21" t="s">
        <v>5638</v>
      </c>
      <c r="J1337" s="593" t="s">
        <v>1419</v>
      </c>
      <c r="K1337" s="86" t="s">
        <v>49</v>
      </c>
      <c r="L1337" s="86" t="s">
        <v>219</v>
      </c>
      <c r="M1337" s="86" t="s">
        <v>28</v>
      </c>
      <c r="N1337" s="203">
        <v>5236.0</v>
      </c>
      <c r="O1337" s="203">
        <v>5910.0</v>
      </c>
      <c r="P1337" s="6">
        <v>52.0</v>
      </c>
      <c r="Q1337" s="8">
        <f t="shared" si="39"/>
        <v>2722.72</v>
      </c>
    </row>
    <row r="1338">
      <c r="A1338" s="233" t="s">
        <v>8169</v>
      </c>
      <c r="B1338" s="86" t="s">
        <v>10863</v>
      </c>
      <c r="C1338" s="593" t="s">
        <v>21</v>
      </c>
      <c r="D1338" s="86" t="s">
        <v>8613</v>
      </c>
      <c r="E1338" s="8"/>
      <c r="F1338" s="8"/>
      <c r="G1338" s="8"/>
      <c r="H1338" s="165">
        <v>12990.0</v>
      </c>
      <c r="I1338" s="21" t="s">
        <v>5638</v>
      </c>
      <c r="J1338" s="629" t="s">
        <v>9946</v>
      </c>
      <c r="K1338" s="86" t="s">
        <v>49</v>
      </c>
      <c r="L1338" s="86" t="s">
        <v>27</v>
      </c>
      <c r="M1338" s="86" t="s">
        <v>28</v>
      </c>
      <c r="N1338" s="203">
        <v>37988.0</v>
      </c>
      <c r="O1338" s="203">
        <v>42707.0</v>
      </c>
      <c r="P1338" s="6">
        <v>26.0</v>
      </c>
      <c r="Q1338" s="8">
        <f t="shared" si="39"/>
        <v>9876.88</v>
      </c>
    </row>
    <row r="1339">
      <c r="A1339" s="233" t="s">
        <v>8169</v>
      </c>
      <c r="B1339" s="86" t="s">
        <v>8178</v>
      </c>
      <c r="C1339" s="593" t="s">
        <v>21</v>
      </c>
      <c r="D1339" s="86" t="s">
        <v>1773</v>
      </c>
      <c r="E1339" s="8"/>
      <c r="F1339" s="8"/>
      <c r="G1339" s="8"/>
      <c r="H1339" s="165">
        <v>42000.0</v>
      </c>
      <c r="I1339" s="21" t="s">
        <v>5638</v>
      </c>
      <c r="J1339" s="629" t="s">
        <v>9946</v>
      </c>
      <c r="K1339" s="86" t="s">
        <v>49</v>
      </c>
      <c r="L1339" s="86" t="s">
        <v>71</v>
      </c>
      <c r="M1339" s="86" t="s">
        <v>28</v>
      </c>
      <c r="N1339" s="203">
        <v>48588.0</v>
      </c>
      <c r="O1339" s="203">
        <v>54679.0</v>
      </c>
      <c r="P1339" s="6">
        <v>26.0</v>
      </c>
      <c r="Q1339" s="8">
        <f t="shared" si="39"/>
        <v>12632.88</v>
      </c>
    </row>
    <row r="1340">
      <c r="A1340" s="105">
        <v>45484.0</v>
      </c>
      <c r="B1340" s="108" t="s">
        <v>10864</v>
      </c>
      <c r="C1340" s="108" t="s">
        <v>21</v>
      </c>
      <c r="D1340" s="108" t="s">
        <v>10865</v>
      </c>
      <c r="E1340" s="108" t="s">
        <v>10866</v>
      </c>
      <c r="F1340" s="108">
        <v>9.979600037E9</v>
      </c>
      <c r="G1340" s="108"/>
      <c r="H1340" s="114">
        <v>16020.0</v>
      </c>
      <c r="I1340" s="110">
        <v>45788.0</v>
      </c>
      <c r="J1340" s="108" t="s">
        <v>78</v>
      </c>
      <c r="K1340" s="108" t="s">
        <v>49</v>
      </c>
      <c r="L1340" s="108" t="s">
        <v>71</v>
      </c>
      <c r="M1340" s="108" t="s">
        <v>28</v>
      </c>
      <c r="N1340" s="216">
        <v>37988.0</v>
      </c>
      <c r="O1340" s="216">
        <v>42708.0</v>
      </c>
      <c r="P1340" s="6">
        <v>25.0</v>
      </c>
      <c r="Q1340" s="8">
        <f t="shared" si="39"/>
        <v>9497</v>
      </c>
      <c r="R1340" s="108" t="s">
        <v>10867</v>
      </c>
      <c r="S1340" s="108"/>
      <c r="T1340" s="108"/>
      <c r="U1340" s="108"/>
      <c r="V1340" s="108"/>
      <c r="W1340" s="108"/>
      <c r="X1340" s="108"/>
      <c r="Y1340" s="108"/>
      <c r="Z1340" s="108"/>
      <c r="AA1340" s="108"/>
      <c r="AB1340" s="108"/>
      <c r="AC1340" s="108"/>
      <c r="AD1340" s="108"/>
      <c r="AE1340" s="108"/>
    </row>
    <row r="1341">
      <c r="A1341" s="105">
        <v>45333.0</v>
      </c>
      <c r="B1341" s="108" t="s">
        <v>10868</v>
      </c>
      <c r="C1341" s="108" t="s">
        <v>21</v>
      </c>
      <c r="D1341" s="108" t="s">
        <v>10549</v>
      </c>
      <c r="E1341" s="108" t="s">
        <v>10327</v>
      </c>
      <c r="F1341" s="108">
        <v>9.979642929E9</v>
      </c>
      <c r="G1341" s="108"/>
      <c r="H1341" s="114">
        <v>25000.0</v>
      </c>
      <c r="I1341" s="630">
        <v>45963.0</v>
      </c>
      <c r="J1341" s="107" t="s">
        <v>9946</v>
      </c>
      <c r="K1341" s="108" t="s">
        <v>49</v>
      </c>
      <c r="L1341" s="108" t="s">
        <v>71</v>
      </c>
      <c r="M1341" s="108" t="s">
        <v>28</v>
      </c>
      <c r="N1341" s="116">
        <v>46209.0</v>
      </c>
      <c r="O1341" s="116">
        <v>51890.0</v>
      </c>
      <c r="P1341" s="6">
        <v>26.0</v>
      </c>
      <c r="Q1341" s="8">
        <f t="shared" si="39"/>
        <v>12014.34</v>
      </c>
      <c r="R1341" s="108" t="s">
        <v>10869</v>
      </c>
      <c r="S1341" s="10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</row>
    <row r="1342">
      <c r="A1342" s="107" t="s">
        <v>8035</v>
      </c>
      <c r="B1342" s="108" t="s">
        <v>5472</v>
      </c>
      <c r="C1342" s="108" t="s">
        <v>21</v>
      </c>
      <c r="D1342" s="108" t="s">
        <v>5474</v>
      </c>
      <c r="E1342" s="108" t="s">
        <v>10870</v>
      </c>
      <c r="F1342" s="108"/>
      <c r="G1342" s="108"/>
      <c r="H1342" s="114">
        <v>28000.0</v>
      </c>
      <c r="I1342" s="114" t="s">
        <v>5424</v>
      </c>
      <c r="J1342" s="108" t="s">
        <v>677</v>
      </c>
      <c r="K1342" s="108" t="s">
        <v>49</v>
      </c>
      <c r="L1342" s="108" t="s">
        <v>27</v>
      </c>
      <c r="M1342" s="108" t="s">
        <v>28</v>
      </c>
      <c r="N1342" s="114">
        <v>47060.6</v>
      </c>
      <c r="O1342" s="114">
        <v>52894.0</v>
      </c>
      <c r="P1342" s="125">
        <v>21.0</v>
      </c>
      <c r="Q1342" s="8">
        <f t="shared" si="39"/>
        <v>9882.726</v>
      </c>
      <c r="R1342" s="108" t="s">
        <v>10871</v>
      </c>
      <c r="S1342" s="108"/>
      <c r="T1342" s="108"/>
      <c r="U1342" s="108"/>
      <c r="V1342" s="108"/>
      <c r="W1342" s="108"/>
      <c r="X1342" s="108"/>
      <c r="Y1342" s="108"/>
      <c r="Z1342" s="108"/>
      <c r="AA1342" s="108"/>
      <c r="AB1342" s="108"/>
      <c r="AC1342" s="108"/>
      <c r="AD1342" s="108"/>
      <c r="AE1342" s="108"/>
    </row>
    <row r="1343">
      <c r="A1343" s="107" t="s">
        <v>10613</v>
      </c>
      <c r="B1343" s="108" t="s">
        <v>10872</v>
      </c>
      <c r="C1343" s="108" t="s">
        <v>21</v>
      </c>
      <c r="D1343" s="108" t="s">
        <v>10873</v>
      </c>
      <c r="E1343" s="108" t="s">
        <v>10874</v>
      </c>
      <c r="F1343" s="108"/>
      <c r="G1343" s="108"/>
      <c r="H1343" s="114">
        <v>35000.0</v>
      </c>
      <c r="I1343" s="114" t="s">
        <v>5311</v>
      </c>
      <c r="J1343" s="107" t="s">
        <v>9946</v>
      </c>
      <c r="K1343" s="108" t="s">
        <v>49</v>
      </c>
      <c r="L1343" s="108" t="s">
        <v>27</v>
      </c>
      <c r="M1343" s="108" t="s">
        <v>28</v>
      </c>
      <c r="N1343" s="116">
        <v>48056.0</v>
      </c>
      <c r="O1343" s="116">
        <v>54069.0</v>
      </c>
      <c r="P1343" s="6">
        <v>26.0</v>
      </c>
      <c r="Q1343" s="8">
        <f t="shared" si="39"/>
        <v>12494.56</v>
      </c>
      <c r="R1343" s="108" t="s">
        <v>10875</v>
      </c>
      <c r="S1343" s="108"/>
      <c r="T1343" s="108"/>
      <c r="U1343" s="108"/>
      <c r="V1343" s="108"/>
      <c r="W1343" s="108"/>
      <c r="X1343" s="108"/>
      <c r="Y1343" s="108"/>
      <c r="Z1343" s="108"/>
      <c r="AA1343" s="108"/>
      <c r="AB1343" s="108"/>
      <c r="AC1343" s="108"/>
      <c r="AD1343" s="108"/>
      <c r="AE1343" s="108"/>
    </row>
    <row r="1344">
      <c r="A1344" s="107" t="s">
        <v>7949</v>
      </c>
      <c r="B1344" s="108" t="s">
        <v>5312</v>
      </c>
      <c r="C1344" s="108" t="s">
        <v>21</v>
      </c>
      <c r="D1344" s="108" t="s">
        <v>762</v>
      </c>
      <c r="E1344" s="108" t="s">
        <v>10876</v>
      </c>
      <c r="F1344" s="108"/>
      <c r="G1344" s="108"/>
      <c r="H1344" s="114">
        <v>42000.0</v>
      </c>
      <c r="I1344" s="114" t="s">
        <v>10536</v>
      </c>
      <c r="J1344" s="107" t="s">
        <v>9946</v>
      </c>
      <c r="K1344" s="108" t="s">
        <v>49</v>
      </c>
      <c r="L1344" s="108" t="s">
        <v>27</v>
      </c>
      <c r="M1344" s="108" t="s">
        <v>28</v>
      </c>
      <c r="N1344" s="116">
        <v>47921.0</v>
      </c>
      <c r="O1344" s="116">
        <v>53892.0</v>
      </c>
      <c r="P1344" s="6">
        <v>26.0</v>
      </c>
      <c r="Q1344" s="8">
        <f t="shared" si="39"/>
        <v>12459.46</v>
      </c>
      <c r="R1344" s="108" t="s">
        <v>10877</v>
      </c>
      <c r="S1344" s="108"/>
      <c r="T1344" s="108"/>
      <c r="U1344" s="108"/>
      <c r="V1344" s="108"/>
      <c r="W1344" s="108"/>
      <c r="X1344" s="108"/>
      <c r="Y1344" s="108"/>
      <c r="Z1344" s="108"/>
      <c r="AA1344" s="108"/>
      <c r="AB1344" s="108"/>
      <c r="AC1344" s="108"/>
      <c r="AD1344" s="108"/>
      <c r="AE1344" s="108"/>
    </row>
    <row r="1345">
      <c r="A1345" s="107" t="s">
        <v>7997</v>
      </c>
      <c r="B1345" s="108" t="s">
        <v>10878</v>
      </c>
      <c r="C1345" s="108" t="s">
        <v>21</v>
      </c>
      <c r="D1345" s="108" t="s">
        <v>10085</v>
      </c>
      <c r="E1345" s="108" t="s">
        <v>10879</v>
      </c>
      <c r="F1345" s="108" t="s">
        <v>10880</v>
      </c>
      <c r="G1345" s="108"/>
      <c r="H1345" s="114">
        <v>11950.0</v>
      </c>
      <c r="I1345" s="114" t="s">
        <v>6278</v>
      </c>
      <c r="J1345" s="108" t="s">
        <v>25</v>
      </c>
      <c r="K1345" s="108" t="s">
        <v>49</v>
      </c>
      <c r="L1345" s="108" t="s">
        <v>71</v>
      </c>
      <c r="M1345" s="108" t="s">
        <v>28</v>
      </c>
      <c r="N1345" s="116">
        <v>29817.0</v>
      </c>
      <c r="O1345" s="116">
        <v>33553.0</v>
      </c>
      <c r="P1345" s="6">
        <v>33.0</v>
      </c>
      <c r="Q1345" s="8">
        <f t="shared" si="39"/>
        <v>9839.61</v>
      </c>
      <c r="R1345" s="108" t="s">
        <v>10881</v>
      </c>
      <c r="S1345" s="108"/>
      <c r="T1345" s="108"/>
      <c r="U1345" s="108"/>
      <c r="V1345" s="108"/>
      <c r="W1345" s="108"/>
      <c r="X1345" s="108"/>
      <c r="Y1345" s="108"/>
      <c r="Z1345" s="108"/>
      <c r="AA1345" s="108"/>
      <c r="AB1345" s="108"/>
      <c r="AC1345" s="108"/>
      <c r="AD1345" s="108"/>
      <c r="AE1345" s="108"/>
    </row>
    <row r="1346">
      <c r="A1346" s="107" t="s">
        <v>7900</v>
      </c>
      <c r="B1346" s="108" t="s">
        <v>10882</v>
      </c>
      <c r="C1346" s="108" t="s">
        <v>21</v>
      </c>
      <c r="D1346" s="108" t="s">
        <v>1549</v>
      </c>
      <c r="E1346" s="108" t="s">
        <v>10883</v>
      </c>
      <c r="F1346" s="108"/>
      <c r="G1346" s="108"/>
      <c r="H1346" s="114">
        <v>12990.0</v>
      </c>
      <c r="I1346" s="114" t="s">
        <v>6278</v>
      </c>
      <c r="J1346" s="107" t="s">
        <v>9946</v>
      </c>
      <c r="K1346" s="108" t="s">
        <v>49</v>
      </c>
      <c r="L1346" s="108" t="s">
        <v>27</v>
      </c>
      <c r="M1346" s="108" t="s">
        <v>28</v>
      </c>
      <c r="N1346" s="116">
        <v>37903.0</v>
      </c>
      <c r="O1346" s="116">
        <v>42607.0</v>
      </c>
      <c r="P1346" s="6">
        <v>26.0</v>
      </c>
      <c r="Q1346" s="8">
        <f t="shared" si="39"/>
        <v>9854.78</v>
      </c>
      <c r="R1346" s="108" t="s">
        <v>10884</v>
      </c>
      <c r="S1346" s="108"/>
      <c r="T1346" s="108"/>
      <c r="U1346" s="108"/>
      <c r="V1346" s="108"/>
      <c r="W1346" s="108"/>
      <c r="X1346" s="108"/>
      <c r="Y1346" s="108"/>
      <c r="Z1346" s="108"/>
      <c r="AA1346" s="108"/>
      <c r="AB1346" s="108"/>
      <c r="AC1346" s="108"/>
      <c r="AD1346" s="108"/>
      <c r="AE1346" s="108"/>
    </row>
    <row r="1347">
      <c r="A1347" s="107" t="s">
        <v>7900</v>
      </c>
      <c r="B1347" s="108" t="s">
        <v>6485</v>
      </c>
      <c r="C1347" s="108" t="s">
        <v>21</v>
      </c>
      <c r="D1347" s="108" t="s">
        <v>2002</v>
      </c>
      <c r="E1347" s="108" t="s">
        <v>10885</v>
      </c>
      <c r="F1347" s="108"/>
      <c r="G1347" s="108"/>
      <c r="H1347" s="114">
        <v>42000.0</v>
      </c>
      <c r="I1347" s="114" t="s">
        <v>6278</v>
      </c>
      <c r="J1347" s="107" t="s">
        <v>9946</v>
      </c>
      <c r="K1347" s="108" t="s">
        <v>49</v>
      </c>
      <c r="L1347" s="108" t="s">
        <v>27</v>
      </c>
      <c r="M1347" s="108" t="s">
        <v>28</v>
      </c>
      <c r="N1347" s="116">
        <v>47218.0</v>
      </c>
      <c r="O1347" s="116">
        <v>53063.0</v>
      </c>
      <c r="P1347" s="6">
        <v>26.0</v>
      </c>
      <c r="Q1347" s="8">
        <f t="shared" si="39"/>
        <v>12276.68</v>
      </c>
      <c r="R1347" s="108" t="s">
        <v>10886</v>
      </c>
      <c r="S1347" s="108"/>
      <c r="T1347" s="108"/>
      <c r="U1347" s="108"/>
      <c r="V1347" s="108"/>
      <c r="W1347" s="108"/>
      <c r="X1347" s="108"/>
      <c r="Y1347" s="108"/>
      <c r="Z1347" s="108"/>
      <c r="AA1347" s="108"/>
      <c r="AB1347" s="108"/>
      <c r="AC1347" s="108"/>
      <c r="AD1347" s="108"/>
      <c r="AE1347" s="108"/>
    </row>
    <row r="1348">
      <c r="A1348" s="107" t="s">
        <v>7900</v>
      </c>
      <c r="B1348" s="108" t="s">
        <v>7211</v>
      </c>
      <c r="C1348" s="108" t="s">
        <v>21</v>
      </c>
      <c r="D1348" s="108" t="s">
        <v>10887</v>
      </c>
      <c r="E1348" s="108" t="s">
        <v>10888</v>
      </c>
      <c r="F1348" s="108"/>
      <c r="G1348" s="108"/>
      <c r="H1348" s="114">
        <v>31000.0</v>
      </c>
      <c r="I1348" s="114" t="s">
        <v>6278</v>
      </c>
      <c r="J1348" s="107" t="s">
        <v>9946</v>
      </c>
      <c r="K1348" s="108" t="s">
        <v>49</v>
      </c>
      <c r="L1348" s="108" t="s">
        <v>27</v>
      </c>
      <c r="M1348" s="108" t="s">
        <v>28</v>
      </c>
      <c r="N1348" s="116">
        <v>49525.0</v>
      </c>
      <c r="O1348" s="116">
        <v>55803.0</v>
      </c>
      <c r="P1348" s="6">
        <v>26.0</v>
      </c>
      <c r="Q1348" s="8">
        <f t="shared" si="39"/>
        <v>12876.5</v>
      </c>
      <c r="R1348" s="108" t="s">
        <v>10889</v>
      </c>
      <c r="S1348" s="108"/>
      <c r="T1348" s="108"/>
      <c r="U1348" s="108"/>
      <c r="V1348" s="108"/>
      <c r="W1348" s="108"/>
      <c r="X1348" s="108"/>
      <c r="Y1348" s="108"/>
      <c r="Z1348" s="108"/>
      <c r="AA1348" s="108"/>
      <c r="AB1348" s="108"/>
      <c r="AC1348" s="108"/>
      <c r="AD1348" s="108"/>
      <c r="AE1348" s="108"/>
    </row>
    <row r="1349">
      <c r="A1349" s="107" t="s">
        <v>7900</v>
      </c>
      <c r="B1349" s="108" t="s">
        <v>5267</v>
      </c>
      <c r="C1349" s="108" t="s">
        <v>21</v>
      </c>
      <c r="D1349" s="108" t="s">
        <v>5269</v>
      </c>
      <c r="E1349" s="108" t="s">
        <v>10890</v>
      </c>
      <c r="F1349" s="108"/>
      <c r="G1349" s="108"/>
      <c r="H1349" s="114">
        <v>12990.0</v>
      </c>
      <c r="I1349" s="114" t="s">
        <v>6278</v>
      </c>
      <c r="J1349" s="107" t="s">
        <v>9946</v>
      </c>
      <c r="K1349" s="108" t="s">
        <v>49</v>
      </c>
      <c r="L1349" s="108" t="s">
        <v>27</v>
      </c>
      <c r="M1349" s="108" t="s">
        <v>28</v>
      </c>
      <c r="N1349" s="116">
        <v>37903.0</v>
      </c>
      <c r="O1349" s="116">
        <v>42607.0</v>
      </c>
      <c r="P1349" s="6">
        <v>26.0</v>
      </c>
      <c r="Q1349" s="8">
        <f t="shared" si="39"/>
        <v>9854.78</v>
      </c>
      <c r="R1349" s="108" t="s">
        <v>10891</v>
      </c>
      <c r="S1349" s="108"/>
      <c r="T1349" s="108"/>
      <c r="U1349" s="108"/>
      <c r="V1349" s="108"/>
      <c r="W1349" s="108"/>
      <c r="X1349" s="108"/>
      <c r="Y1349" s="108"/>
      <c r="Z1349" s="108"/>
      <c r="AA1349" s="108"/>
      <c r="AB1349" s="108"/>
      <c r="AC1349" s="108"/>
      <c r="AD1349" s="108"/>
      <c r="AE1349" s="108"/>
    </row>
    <row r="1350">
      <c r="A1350" s="107" t="s">
        <v>7900</v>
      </c>
      <c r="B1350" s="108" t="s">
        <v>10892</v>
      </c>
      <c r="C1350" s="108" t="s">
        <v>21</v>
      </c>
      <c r="D1350" s="108" t="s">
        <v>6483</v>
      </c>
      <c r="E1350" s="108" t="s">
        <v>10893</v>
      </c>
      <c r="F1350" s="108">
        <v>9.825798167E9</v>
      </c>
      <c r="G1350" s="108"/>
      <c r="H1350" s="114">
        <v>47500.0</v>
      </c>
      <c r="I1350" s="114" t="s">
        <v>6476</v>
      </c>
      <c r="J1350" s="107" t="s">
        <v>9946</v>
      </c>
      <c r="K1350" s="108" t="s">
        <v>49</v>
      </c>
      <c r="L1350" s="108" t="s">
        <v>1616</v>
      </c>
      <c r="M1350" s="108" t="s">
        <v>28</v>
      </c>
      <c r="N1350" s="116">
        <v>59947.0</v>
      </c>
      <c r="O1350" s="116">
        <v>68083.0</v>
      </c>
      <c r="P1350" s="6">
        <v>26.0</v>
      </c>
      <c r="Q1350" s="8">
        <f t="shared" si="39"/>
        <v>15586.22</v>
      </c>
      <c r="R1350" s="108" t="s">
        <v>10894</v>
      </c>
      <c r="S1350" s="108"/>
      <c r="T1350" s="108"/>
      <c r="U1350" s="108"/>
      <c r="V1350" s="108"/>
      <c r="W1350" s="108"/>
      <c r="X1350" s="108"/>
      <c r="Y1350" s="108"/>
      <c r="Z1350" s="108"/>
      <c r="AA1350" s="108"/>
      <c r="AB1350" s="108"/>
      <c r="AC1350" s="108"/>
      <c r="AD1350" s="108"/>
      <c r="AE1350" s="108"/>
    </row>
    <row r="1351">
      <c r="A1351" s="107" t="s">
        <v>10512</v>
      </c>
      <c r="B1351" s="108" t="s">
        <v>10895</v>
      </c>
      <c r="C1351" s="108" t="s">
        <v>21</v>
      </c>
      <c r="D1351" s="108" t="s">
        <v>10896</v>
      </c>
      <c r="E1351" s="108" t="s">
        <v>10897</v>
      </c>
      <c r="F1351" s="108">
        <v>9.825734904E9</v>
      </c>
      <c r="G1351" s="108"/>
      <c r="H1351" s="114">
        <v>16020.0</v>
      </c>
      <c r="I1351" s="114" t="s">
        <v>5278</v>
      </c>
      <c r="J1351" s="107" t="s">
        <v>9946</v>
      </c>
      <c r="K1351" s="108" t="s">
        <v>49</v>
      </c>
      <c r="L1351" s="108" t="s">
        <v>71</v>
      </c>
      <c r="M1351" s="108" t="s">
        <v>28</v>
      </c>
      <c r="N1351" s="116">
        <v>39792.0</v>
      </c>
      <c r="O1351" s="116">
        <v>44836.0</v>
      </c>
      <c r="P1351" s="6">
        <v>26.0</v>
      </c>
      <c r="Q1351" s="8">
        <f t="shared" si="39"/>
        <v>10345.92</v>
      </c>
      <c r="R1351" s="108" t="s">
        <v>10898</v>
      </c>
      <c r="S1351" s="108"/>
      <c r="T1351" s="108"/>
      <c r="U1351" s="108"/>
      <c r="V1351" s="108"/>
      <c r="W1351" s="108"/>
      <c r="X1351" s="108"/>
      <c r="Y1351" s="108"/>
      <c r="Z1351" s="108"/>
      <c r="AA1351" s="108"/>
      <c r="AB1351" s="108"/>
      <c r="AC1351" s="108"/>
      <c r="AD1351" s="108"/>
      <c r="AE1351" s="108"/>
    </row>
    <row r="1352">
      <c r="A1352" s="107" t="s">
        <v>10524</v>
      </c>
      <c r="B1352" s="108" t="s">
        <v>10899</v>
      </c>
      <c r="C1352" s="108" t="s">
        <v>21</v>
      </c>
      <c r="D1352" s="108" t="s">
        <v>9958</v>
      </c>
      <c r="E1352" s="108" t="s">
        <v>10609</v>
      </c>
      <c r="F1352" s="108"/>
      <c r="G1352" s="108"/>
      <c r="H1352" s="114">
        <v>35000.0</v>
      </c>
      <c r="I1352" s="114" t="s">
        <v>10515</v>
      </c>
      <c r="J1352" s="107" t="s">
        <v>9946</v>
      </c>
      <c r="K1352" s="108" t="s">
        <v>49</v>
      </c>
      <c r="L1352" s="108" t="s">
        <v>71</v>
      </c>
      <c r="M1352" s="108" t="s">
        <v>28</v>
      </c>
      <c r="N1352" s="116">
        <v>47369.0</v>
      </c>
      <c r="O1352" s="116">
        <v>53258.0</v>
      </c>
      <c r="P1352" s="6">
        <v>26.0</v>
      </c>
      <c r="Q1352" s="8">
        <f t="shared" si="39"/>
        <v>12315.94</v>
      </c>
      <c r="R1352" s="108" t="s">
        <v>10900</v>
      </c>
      <c r="S1352" s="108"/>
      <c r="T1352" s="108"/>
      <c r="U1352" s="108"/>
      <c r="V1352" s="108"/>
      <c r="W1352" s="108"/>
      <c r="X1352" s="108"/>
      <c r="Y1352" s="108"/>
      <c r="Z1352" s="108"/>
      <c r="AA1352" s="108"/>
      <c r="AB1352" s="108"/>
      <c r="AC1352" s="108"/>
      <c r="AD1352" s="108"/>
      <c r="AE1352" s="108"/>
    </row>
    <row r="1353">
      <c r="A1353" s="105">
        <v>45423.0</v>
      </c>
      <c r="B1353" s="108" t="s">
        <v>10901</v>
      </c>
      <c r="C1353" s="108" t="s">
        <v>21</v>
      </c>
      <c r="D1353" s="108" t="s">
        <v>10865</v>
      </c>
      <c r="E1353" s="108" t="s">
        <v>10902</v>
      </c>
      <c r="F1353" s="108">
        <v>9.265178277E9</v>
      </c>
      <c r="G1353" s="108"/>
      <c r="H1353" s="114">
        <v>16020.0</v>
      </c>
      <c r="I1353" s="110">
        <v>45758.0</v>
      </c>
      <c r="J1353" s="108" t="s">
        <v>78</v>
      </c>
      <c r="K1353" s="108" t="s">
        <v>49</v>
      </c>
      <c r="L1353" s="108" t="s">
        <v>71</v>
      </c>
      <c r="M1353" s="108" t="s">
        <v>28</v>
      </c>
      <c r="N1353" s="114">
        <v>56405.0</v>
      </c>
      <c r="O1353" s="114">
        <v>64440.0</v>
      </c>
      <c r="P1353" s="6">
        <v>25.0</v>
      </c>
      <c r="Q1353" s="8">
        <f t="shared" si="39"/>
        <v>14101.25</v>
      </c>
      <c r="R1353" s="108" t="s">
        <v>10903</v>
      </c>
      <c r="S1353" s="108"/>
      <c r="T1353" s="108"/>
      <c r="U1353" s="108"/>
      <c r="V1353" s="108"/>
      <c r="W1353" s="108"/>
      <c r="X1353" s="108"/>
      <c r="Y1353" s="108"/>
      <c r="Z1353" s="108"/>
      <c r="AA1353" s="108"/>
      <c r="AB1353" s="108"/>
      <c r="AC1353" s="108"/>
      <c r="AD1353" s="108"/>
      <c r="AE1353" s="108"/>
    </row>
    <row r="1354">
      <c r="A1354" s="93"/>
      <c r="B1354" s="58"/>
      <c r="C1354" s="58"/>
      <c r="D1354" s="58"/>
      <c r="E1354" s="58"/>
      <c r="F1354" s="58"/>
      <c r="G1354" s="58"/>
      <c r="H1354" s="88"/>
      <c r="I1354" s="88"/>
      <c r="J1354" s="58"/>
      <c r="K1354" s="58"/>
      <c r="L1354" s="58"/>
      <c r="M1354" s="58"/>
      <c r="N1354" s="88"/>
      <c r="O1354" s="88"/>
    </row>
    <row r="1355">
      <c r="A1355" s="93"/>
      <c r="B1355" s="58"/>
      <c r="C1355" s="58"/>
      <c r="D1355" s="58"/>
      <c r="E1355" s="58"/>
      <c r="F1355" s="58"/>
      <c r="G1355" s="58"/>
      <c r="H1355" s="88"/>
      <c r="I1355" s="88"/>
      <c r="J1355" s="58"/>
      <c r="K1355" s="58"/>
      <c r="L1355" s="58"/>
      <c r="M1355" s="58"/>
      <c r="N1355" s="88"/>
      <c r="O1355" s="88"/>
    </row>
    <row r="1356">
      <c r="A1356" s="233" t="s">
        <v>8212</v>
      </c>
      <c r="B1356" s="8" t="s">
        <v>5692</v>
      </c>
      <c r="C1356" s="593" t="s">
        <v>1405</v>
      </c>
      <c r="D1356" s="8" t="s">
        <v>1479</v>
      </c>
      <c r="E1356" s="8" t="s">
        <v>10904</v>
      </c>
      <c r="F1356" s="8" t="s">
        <v>10905</v>
      </c>
      <c r="G1356" s="8"/>
      <c r="H1356" s="21">
        <v>990.0</v>
      </c>
      <c r="I1356" s="8" t="s">
        <v>5661</v>
      </c>
      <c r="J1356" s="131" t="s">
        <v>1419</v>
      </c>
      <c r="K1356" s="8" t="s">
        <v>49</v>
      </c>
      <c r="L1356" s="8" t="s">
        <v>1616</v>
      </c>
      <c r="M1356" s="8" t="s">
        <v>28</v>
      </c>
      <c r="N1356" s="21">
        <v>5236.0</v>
      </c>
      <c r="O1356" s="21">
        <v>5910.0</v>
      </c>
      <c r="P1356" s="6">
        <v>52.0</v>
      </c>
      <c r="Q1356" s="8">
        <f t="shared" ref="Q1356:Q1387" si="40">N1356*P1356%</f>
        <v>2722.72</v>
      </c>
    </row>
    <row r="1357">
      <c r="A1357" s="233" t="s">
        <v>8212</v>
      </c>
      <c r="B1357" s="8" t="s">
        <v>10906</v>
      </c>
      <c r="C1357" s="131" t="s">
        <v>1432</v>
      </c>
      <c r="D1357" s="8" t="s">
        <v>1439</v>
      </c>
      <c r="E1357" s="8" t="s">
        <v>10907</v>
      </c>
      <c r="F1357" s="8" t="s">
        <v>10908</v>
      </c>
      <c r="G1357" s="8"/>
      <c r="H1357" s="21">
        <v>236.0</v>
      </c>
      <c r="I1357" s="8" t="s">
        <v>5673</v>
      </c>
      <c r="J1357" s="131" t="s">
        <v>1419</v>
      </c>
      <c r="K1357" s="8" t="s">
        <v>49</v>
      </c>
      <c r="L1357" s="8" t="s">
        <v>185</v>
      </c>
      <c r="M1357" s="8" t="s">
        <v>28</v>
      </c>
      <c r="N1357" s="21">
        <v>6370.0</v>
      </c>
      <c r="O1357" s="21">
        <v>7516.0</v>
      </c>
      <c r="P1357" s="6">
        <v>52.0</v>
      </c>
      <c r="Q1357" s="8">
        <f t="shared" si="40"/>
        <v>3312.4</v>
      </c>
    </row>
    <row r="1358">
      <c r="A1358" s="233" t="s">
        <v>8212</v>
      </c>
      <c r="B1358" s="8" t="s">
        <v>10909</v>
      </c>
      <c r="C1358" s="131" t="s">
        <v>1432</v>
      </c>
      <c r="D1358" s="8" t="s">
        <v>1439</v>
      </c>
      <c r="E1358" s="8" t="s">
        <v>10910</v>
      </c>
      <c r="F1358" s="8">
        <v>7.990608626E9</v>
      </c>
      <c r="G1358" s="8"/>
      <c r="H1358" s="21">
        <v>236.0</v>
      </c>
      <c r="I1358" s="8" t="s">
        <v>5661</v>
      </c>
      <c r="J1358" s="131" t="s">
        <v>1419</v>
      </c>
      <c r="K1358" s="8" t="s">
        <v>49</v>
      </c>
      <c r="L1358" s="8" t="s">
        <v>340</v>
      </c>
      <c r="M1358" s="8" t="s">
        <v>28</v>
      </c>
      <c r="N1358" s="21">
        <v>6370.0</v>
      </c>
      <c r="O1358" s="21">
        <v>7516.0</v>
      </c>
      <c r="P1358" s="6">
        <v>52.0</v>
      </c>
      <c r="Q1358" s="8">
        <f t="shared" si="40"/>
        <v>3312.4</v>
      </c>
    </row>
    <row r="1359">
      <c r="A1359" s="233" t="s">
        <v>8212</v>
      </c>
      <c r="B1359" s="131" t="s">
        <v>10911</v>
      </c>
      <c r="C1359" s="131" t="s">
        <v>21</v>
      </c>
      <c r="D1359" s="8" t="s">
        <v>10912</v>
      </c>
      <c r="E1359" s="8" t="s">
        <v>1042</v>
      </c>
      <c r="F1359" s="8" t="s">
        <v>4596</v>
      </c>
      <c r="G1359" s="8"/>
      <c r="H1359" s="21">
        <v>35000.0</v>
      </c>
      <c r="I1359" s="8" t="s">
        <v>10913</v>
      </c>
      <c r="J1359" s="8" t="s">
        <v>353</v>
      </c>
      <c r="K1359" s="8" t="s">
        <v>49</v>
      </c>
      <c r="L1359" s="8" t="s">
        <v>365</v>
      </c>
      <c r="M1359" s="8" t="s">
        <v>28</v>
      </c>
      <c r="N1359" s="97">
        <v>53722.0</v>
      </c>
      <c r="O1359" s="97">
        <v>60755.0</v>
      </c>
      <c r="P1359" s="6">
        <v>22.0</v>
      </c>
      <c r="Q1359" s="8">
        <f t="shared" si="40"/>
        <v>11818.84</v>
      </c>
    </row>
    <row r="1360">
      <c r="A1360" s="233" t="s">
        <v>8222</v>
      </c>
      <c r="B1360" s="8" t="s">
        <v>10914</v>
      </c>
      <c r="C1360" s="131" t="s">
        <v>1405</v>
      </c>
      <c r="D1360" s="8" t="s">
        <v>1479</v>
      </c>
      <c r="E1360" s="8" t="s">
        <v>10915</v>
      </c>
      <c r="F1360" s="8">
        <v>9.033950632E9</v>
      </c>
      <c r="G1360" s="8"/>
      <c r="H1360" s="21">
        <v>990.0</v>
      </c>
      <c r="I1360" s="22">
        <v>45881.0</v>
      </c>
      <c r="J1360" s="131" t="s">
        <v>1419</v>
      </c>
      <c r="K1360" s="8" t="s">
        <v>49</v>
      </c>
      <c r="L1360" s="8" t="s">
        <v>27</v>
      </c>
      <c r="M1360" s="8" t="s">
        <v>28</v>
      </c>
      <c r="N1360" s="21">
        <v>5236.0</v>
      </c>
      <c r="O1360" s="21">
        <v>5910.0</v>
      </c>
      <c r="P1360" s="6">
        <v>52.0</v>
      </c>
      <c r="Q1360" s="8">
        <f t="shared" si="40"/>
        <v>2722.72</v>
      </c>
    </row>
    <row r="1361">
      <c r="A1361" s="233" t="s">
        <v>8222</v>
      </c>
      <c r="B1361" s="8" t="s">
        <v>10916</v>
      </c>
      <c r="C1361" s="131" t="s">
        <v>1395</v>
      </c>
      <c r="D1361" s="8" t="s">
        <v>10917</v>
      </c>
      <c r="E1361" s="8" t="s">
        <v>10918</v>
      </c>
      <c r="F1361" s="8" t="s">
        <v>10919</v>
      </c>
      <c r="G1361" s="8"/>
      <c r="H1361" s="21">
        <v>2700.0</v>
      </c>
      <c r="I1361" s="8" t="s">
        <v>5705</v>
      </c>
      <c r="J1361" s="131" t="s">
        <v>1419</v>
      </c>
      <c r="K1361" s="8" t="s">
        <v>49</v>
      </c>
      <c r="L1361" s="8" t="s">
        <v>27</v>
      </c>
      <c r="M1361" s="8" t="s">
        <v>28</v>
      </c>
      <c r="N1361" s="21">
        <v>18630.0</v>
      </c>
      <c r="O1361" s="21">
        <v>21020.0</v>
      </c>
      <c r="P1361" s="6">
        <v>50.0</v>
      </c>
      <c r="Q1361" s="8">
        <f t="shared" si="40"/>
        <v>9315</v>
      </c>
    </row>
    <row r="1362">
      <c r="A1362" s="233" t="s">
        <v>8222</v>
      </c>
      <c r="B1362" s="8" t="s">
        <v>8218</v>
      </c>
      <c r="C1362" s="131" t="s">
        <v>21</v>
      </c>
      <c r="D1362" s="8" t="s">
        <v>10616</v>
      </c>
      <c r="E1362" s="8" t="s">
        <v>10920</v>
      </c>
      <c r="F1362" s="8" t="s">
        <v>8221</v>
      </c>
      <c r="G1362" s="8"/>
      <c r="H1362" s="21">
        <v>35000.0</v>
      </c>
      <c r="I1362" s="131" t="s">
        <v>5705</v>
      </c>
      <c r="J1362" s="131" t="s">
        <v>9946</v>
      </c>
      <c r="K1362" s="8" t="s">
        <v>49</v>
      </c>
      <c r="L1362" s="8" t="s">
        <v>71</v>
      </c>
      <c r="M1362" s="8" t="s">
        <v>28</v>
      </c>
      <c r="N1362" s="97">
        <v>47705.0</v>
      </c>
      <c r="O1362" s="97">
        <v>53655.0</v>
      </c>
      <c r="P1362" s="6">
        <v>26.0</v>
      </c>
      <c r="Q1362" s="8">
        <f t="shared" si="40"/>
        <v>12403.3</v>
      </c>
    </row>
    <row r="1363">
      <c r="A1363" s="233" t="s">
        <v>8199</v>
      </c>
      <c r="B1363" s="131" t="s">
        <v>5743</v>
      </c>
      <c r="C1363" s="131" t="s">
        <v>1395</v>
      </c>
      <c r="D1363" s="8" t="s">
        <v>1303</v>
      </c>
      <c r="E1363" s="8" t="s">
        <v>5745</v>
      </c>
      <c r="F1363" s="8">
        <v>9.0994348E9</v>
      </c>
      <c r="G1363" s="8"/>
      <c r="H1363" s="21">
        <v>2825.0</v>
      </c>
      <c r="I1363" s="8" t="s">
        <v>5730</v>
      </c>
      <c r="J1363" s="8" t="s">
        <v>116</v>
      </c>
      <c r="K1363" s="8" t="s">
        <v>49</v>
      </c>
      <c r="L1363" s="8" t="s">
        <v>340</v>
      </c>
      <c r="M1363" s="8" t="s">
        <v>28</v>
      </c>
      <c r="N1363" s="97">
        <v>20972.0</v>
      </c>
      <c r="O1363" s="97">
        <v>23777.0</v>
      </c>
      <c r="P1363" s="6">
        <v>48.0</v>
      </c>
      <c r="Q1363" s="8">
        <f t="shared" si="40"/>
        <v>10066.56</v>
      </c>
    </row>
    <row r="1364">
      <c r="A1364" s="631" t="s">
        <v>8252</v>
      </c>
      <c r="B1364" s="58" t="s">
        <v>5706</v>
      </c>
      <c r="C1364" s="92" t="s">
        <v>1405</v>
      </c>
      <c r="D1364" s="58" t="s">
        <v>1479</v>
      </c>
      <c r="E1364" s="58" t="s">
        <v>10921</v>
      </c>
      <c r="F1364" s="8" t="s">
        <v>10922</v>
      </c>
      <c r="G1364" s="8"/>
      <c r="H1364" s="88">
        <v>990.0</v>
      </c>
      <c r="I1364" s="58" t="s">
        <v>5730</v>
      </c>
      <c r="J1364" s="92" t="s">
        <v>1419</v>
      </c>
      <c r="K1364" s="8" t="s">
        <v>49</v>
      </c>
      <c r="L1364" s="8" t="s">
        <v>365</v>
      </c>
      <c r="M1364" s="8" t="s">
        <v>28</v>
      </c>
      <c r="N1364" s="88">
        <v>5236.0</v>
      </c>
      <c r="O1364" s="88">
        <v>5910.0</v>
      </c>
      <c r="P1364" s="6">
        <v>52.0</v>
      </c>
      <c r="Q1364" s="8">
        <f t="shared" si="40"/>
        <v>2722.72</v>
      </c>
    </row>
    <row r="1365">
      <c r="A1365" s="631" t="s">
        <v>8252</v>
      </c>
      <c r="B1365" s="58" t="s">
        <v>8237</v>
      </c>
      <c r="C1365" s="92" t="s">
        <v>21</v>
      </c>
      <c r="D1365" s="58" t="s">
        <v>1936</v>
      </c>
      <c r="E1365" s="58" t="s">
        <v>10923</v>
      </c>
      <c r="F1365" s="8" t="s">
        <v>10924</v>
      </c>
      <c r="G1365" s="8"/>
      <c r="H1365" s="88">
        <v>35000.0</v>
      </c>
      <c r="I1365" s="92" t="s">
        <v>5730</v>
      </c>
      <c r="J1365" s="92" t="s">
        <v>9946</v>
      </c>
      <c r="K1365" s="8" t="s">
        <v>49</v>
      </c>
      <c r="L1365" s="8" t="s">
        <v>71</v>
      </c>
      <c r="M1365" s="8" t="s">
        <v>28</v>
      </c>
      <c r="N1365" s="90">
        <v>46747.0</v>
      </c>
      <c r="O1365" s="90">
        <v>52524.0</v>
      </c>
      <c r="P1365" s="6">
        <v>26.0</v>
      </c>
      <c r="Q1365" s="8">
        <f t="shared" si="40"/>
        <v>12154.22</v>
      </c>
    </row>
    <row r="1366">
      <c r="A1366" s="631" t="s">
        <v>8252</v>
      </c>
      <c r="B1366" s="58" t="s">
        <v>8241</v>
      </c>
      <c r="C1366" s="92" t="s">
        <v>1405</v>
      </c>
      <c r="D1366" s="58" t="s">
        <v>1506</v>
      </c>
      <c r="E1366" s="58" t="s">
        <v>10925</v>
      </c>
      <c r="F1366" s="8" t="s">
        <v>8243</v>
      </c>
      <c r="G1366" s="8"/>
      <c r="H1366" s="88">
        <v>990.0</v>
      </c>
      <c r="I1366" s="58" t="s">
        <v>5730</v>
      </c>
      <c r="J1366" s="92" t="s">
        <v>1419</v>
      </c>
      <c r="K1366" s="8" t="s">
        <v>49</v>
      </c>
      <c r="L1366" s="8" t="s">
        <v>71</v>
      </c>
      <c r="M1366" s="8" t="s">
        <v>28</v>
      </c>
      <c r="N1366" s="88">
        <v>4988.0</v>
      </c>
      <c r="O1366" s="88">
        <v>5618.0</v>
      </c>
      <c r="P1366" s="6">
        <v>52.0</v>
      </c>
      <c r="Q1366" s="8">
        <f t="shared" si="40"/>
        <v>2593.76</v>
      </c>
    </row>
    <row r="1367">
      <c r="A1367" s="631" t="s">
        <v>8252</v>
      </c>
      <c r="B1367" s="58" t="s">
        <v>5752</v>
      </c>
      <c r="C1367" s="92" t="s">
        <v>1395</v>
      </c>
      <c r="D1367" s="58" t="s">
        <v>2091</v>
      </c>
      <c r="E1367" s="58" t="s">
        <v>5754</v>
      </c>
      <c r="F1367" s="8" t="s">
        <v>10926</v>
      </c>
      <c r="G1367" s="8"/>
      <c r="H1367" s="88">
        <v>2825.0</v>
      </c>
      <c r="I1367" s="58" t="s">
        <v>5742</v>
      </c>
      <c r="J1367" s="8" t="s">
        <v>116</v>
      </c>
      <c r="K1367" s="8" t="s">
        <v>49</v>
      </c>
      <c r="L1367" s="8" t="s">
        <v>389</v>
      </c>
      <c r="M1367" s="8" t="s">
        <v>28</v>
      </c>
      <c r="N1367" s="90">
        <v>20972.0</v>
      </c>
      <c r="O1367" s="90">
        <v>23777.0</v>
      </c>
      <c r="P1367" s="6">
        <v>48.0</v>
      </c>
      <c r="Q1367" s="8">
        <f t="shared" si="40"/>
        <v>10066.56</v>
      </c>
    </row>
    <row r="1368">
      <c r="A1368" s="631" t="s">
        <v>8252</v>
      </c>
      <c r="B1368" s="58" t="s">
        <v>5698</v>
      </c>
      <c r="C1368" s="92" t="s">
        <v>1395</v>
      </c>
      <c r="D1368" s="58" t="s">
        <v>961</v>
      </c>
      <c r="E1368" s="58" t="s">
        <v>5700</v>
      </c>
      <c r="F1368" s="8" t="s">
        <v>10927</v>
      </c>
      <c r="G1368" s="8"/>
      <c r="H1368" s="88">
        <v>2880.0</v>
      </c>
      <c r="I1368" s="58" t="s">
        <v>5742</v>
      </c>
      <c r="J1368" s="8" t="s">
        <v>116</v>
      </c>
      <c r="K1368" s="8" t="s">
        <v>49</v>
      </c>
      <c r="L1368" s="8" t="s">
        <v>340</v>
      </c>
      <c r="M1368" s="8" t="s">
        <v>28</v>
      </c>
      <c r="N1368" s="90">
        <v>21267.0</v>
      </c>
      <c r="O1368" s="90">
        <v>24127.0</v>
      </c>
      <c r="P1368" s="6">
        <v>48.0</v>
      </c>
      <c r="Q1368" s="8">
        <f t="shared" si="40"/>
        <v>10208.16</v>
      </c>
    </row>
    <row r="1369">
      <c r="A1369" s="631" t="s">
        <v>8252</v>
      </c>
      <c r="B1369" s="58" t="s">
        <v>10928</v>
      </c>
      <c r="C1369" s="92" t="s">
        <v>21</v>
      </c>
      <c r="D1369" s="58" t="s">
        <v>1907</v>
      </c>
      <c r="E1369" s="58" t="s">
        <v>10929</v>
      </c>
      <c r="F1369" s="8" t="s">
        <v>10930</v>
      </c>
      <c r="G1369" s="8"/>
      <c r="H1369" s="88">
        <v>12990.0</v>
      </c>
      <c r="I1369" s="21" t="s">
        <v>5730</v>
      </c>
      <c r="J1369" s="92" t="s">
        <v>9946</v>
      </c>
      <c r="K1369" s="8" t="s">
        <v>49</v>
      </c>
      <c r="L1369" s="8" t="s">
        <v>27</v>
      </c>
      <c r="M1369" s="8" t="s">
        <v>28</v>
      </c>
      <c r="N1369" s="90">
        <v>38872.0</v>
      </c>
      <c r="O1369" s="90">
        <v>43750.0</v>
      </c>
      <c r="P1369" s="6">
        <v>26.0</v>
      </c>
      <c r="Q1369" s="8">
        <f t="shared" si="40"/>
        <v>10106.72</v>
      </c>
    </row>
    <row r="1370">
      <c r="A1370" s="631" t="s">
        <v>8231</v>
      </c>
      <c r="B1370" s="58" t="s">
        <v>10931</v>
      </c>
      <c r="C1370" s="92" t="s">
        <v>1405</v>
      </c>
      <c r="D1370" s="58" t="s">
        <v>10932</v>
      </c>
      <c r="E1370" s="58" t="s">
        <v>10933</v>
      </c>
      <c r="F1370" s="8" t="s">
        <v>10934</v>
      </c>
      <c r="G1370" s="8"/>
      <c r="H1370" s="88">
        <v>990.0</v>
      </c>
      <c r="I1370" s="58" t="s">
        <v>5742</v>
      </c>
      <c r="J1370" s="8" t="s">
        <v>1419</v>
      </c>
      <c r="K1370" s="8" t="s">
        <v>49</v>
      </c>
      <c r="L1370" s="8" t="s">
        <v>1436</v>
      </c>
      <c r="M1370" s="8" t="s">
        <v>28</v>
      </c>
      <c r="N1370" s="88">
        <v>5017.0</v>
      </c>
      <c r="O1370" s="88">
        <v>5653.0</v>
      </c>
      <c r="P1370" s="6">
        <v>52.0</v>
      </c>
      <c r="Q1370" s="8">
        <f t="shared" si="40"/>
        <v>2608.84</v>
      </c>
    </row>
    <row r="1371">
      <c r="A1371" s="631" t="s">
        <v>8231</v>
      </c>
      <c r="B1371" s="58" t="s">
        <v>10935</v>
      </c>
      <c r="C1371" s="92" t="s">
        <v>1395</v>
      </c>
      <c r="D1371" s="58" t="s">
        <v>1747</v>
      </c>
      <c r="E1371" s="58" t="s">
        <v>10936</v>
      </c>
      <c r="F1371" s="8" t="s">
        <v>10937</v>
      </c>
      <c r="G1371" s="8"/>
      <c r="H1371" s="88">
        <v>3490.0</v>
      </c>
      <c r="I1371" s="58" t="s">
        <v>5742</v>
      </c>
      <c r="J1371" s="92" t="s">
        <v>1419</v>
      </c>
      <c r="K1371" s="8" t="s">
        <v>49</v>
      </c>
      <c r="L1371" s="8" t="s">
        <v>365</v>
      </c>
      <c r="M1371" s="8" t="s">
        <v>28</v>
      </c>
      <c r="N1371" s="88">
        <v>19085.0</v>
      </c>
      <c r="O1371" s="88">
        <v>21557.0</v>
      </c>
      <c r="P1371" s="6">
        <v>50.0</v>
      </c>
      <c r="Q1371" s="8">
        <f t="shared" si="40"/>
        <v>9542.5</v>
      </c>
    </row>
    <row r="1372">
      <c r="A1372" s="631" t="s">
        <v>8231</v>
      </c>
      <c r="B1372" s="58" t="s">
        <v>10938</v>
      </c>
      <c r="C1372" s="92" t="s">
        <v>1395</v>
      </c>
      <c r="D1372" s="58" t="s">
        <v>10939</v>
      </c>
      <c r="E1372" s="58" t="s">
        <v>10940</v>
      </c>
      <c r="F1372" s="8" t="s">
        <v>10941</v>
      </c>
      <c r="G1372" s="8"/>
      <c r="H1372" s="88">
        <v>1600.0</v>
      </c>
      <c r="I1372" s="91">
        <v>45759.0</v>
      </c>
      <c r="J1372" s="92" t="s">
        <v>1419</v>
      </c>
      <c r="K1372" s="8" t="s">
        <v>49</v>
      </c>
      <c r="L1372" s="8" t="s">
        <v>365</v>
      </c>
      <c r="M1372" s="8" t="s">
        <v>28</v>
      </c>
      <c r="N1372" s="88">
        <v>21497.0</v>
      </c>
      <c r="O1372" s="88">
        <v>24403.0</v>
      </c>
      <c r="P1372" s="6">
        <v>52.0</v>
      </c>
      <c r="Q1372" s="8">
        <f t="shared" si="40"/>
        <v>11178.44</v>
      </c>
    </row>
    <row r="1373">
      <c r="A1373" s="631" t="s">
        <v>8231</v>
      </c>
      <c r="B1373" s="58" t="s">
        <v>5777</v>
      </c>
      <c r="C1373" s="92" t="s">
        <v>1395</v>
      </c>
      <c r="D1373" s="58" t="s">
        <v>9972</v>
      </c>
      <c r="E1373" s="58" t="s">
        <v>5779</v>
      </c>
      <c r="F1373" s="8" t="s">
        <v>10942</v>
      </c>
      <c r="G1373" s="8"/>
      <c r="H1373" s="88">
        <v>3895.0</v>
      </c>
      <c r="I1373" s="22">
        <v>45669.0</v>
      </c>
      <c r="J1373" s="8" t="s">
        <v>116</v>
      </c>
      <c r="K1373" s="8" t="s">
        <v>49</v>
      </c>
      <c r="L1373" s="8" t="s">
        <v>365</v>
      </c>
      <c r="M1373" s="8" t="s">
        <v>28</v>
      </c>
      <c r="N1373" s="90">
        <v>19696.0</v>
      </c>
      <c r="O1373" s="90">
        <v>22272.0</v>
      </c>
      <c r="P1373" s="6">
        <v>30.0</v>
      </c>
      <c r="Q1373" s="8">
        <f t="shared" si="40"/>
        <v>5908.8</v>
      </c>
    </row>
    <row r="1374">
      <c r="A1374" s="631" t="s">
        <v>8231</v>
      </c>
      <c r="B1374" s="58" t="s">
        <v>5749</v>
      </c>
      <c r="C1374" s="92" t="s">
        <v>1395</v>
      </c>
      <c r="D1374" s="58" t="s">
        <v>741</v>
      </c>
      <c r="E1374" s="58" t="s">
        <v>5751</v>
      </c>
      <c r="F1374" s="8">
        <v>9.825510002E9</v>
      </c>
      <c r="G1374" s="8"/>
      <c r="H1374" s="88">
        <v>3490.0</v>
      </c>
      <c r="I1374" s="58" t="s">
        <v>5742</v>
      </c>
      <c r="J1374" s="8" t="s">
        <v>116</v>
      </c>
      <c r="K1374" s="8" t="s">
        <v>49</v>
      </c>
      <c r="L1374" s="8" t="s">
        <v>1436</v>
      </c>
      <c r="M1374" s="8" t="s">
        <v>28</v>
      </c>
      <c r="N1374" s="90">
        <v>21858.0</v>
      </c>
      <c r="O1374" s="90">
        <v>24824.0</v>
      </c>
      <c r="P1374" s="6">
        <v>48.0</v>
      </c>
      <c r="Q1374" s="8">
        <f t="shared" si="40"/>
        <v>10491.84</v>
      </c>
    </row>
    <row r="1375">
      <c r="A1375" s="631" t="s">
        <v>8231</v>
      </c>
      <c r="B1375" s="58" t="s">
        <v>10943</v>
      </c>
      <c r="C1375" s="92" t="s">
        <v>21</v>
      </c>
      <c r="D1375" s="58" t="s">
        <v>5690</v>
      </c>
      <c r="E1375" s="58" t="s">
        <v>10944</v>
      </c>
      <c r="F1375" s="8"/>
      <c r="G1375" s="8"/>
      <c r="H1375" s="88">
        <v>11990.0</v>
      </c>
      <c r="I1375" s="21" t="s">
        <v>5742</v>
      </c>
      <c r="J1375" s="8" t="s">
        <v>25</v>
      </c>
      <c r="K1375" s="8" t="s">
        <v>49</v>
      </c>
      <c r="L1375" s="8" t="s">
        <v>27</v>
      </c>
      <c r="M1375" s="8" t="s">
        <v>28</v>
      </c>
      <c r="N1375" s="90">
        <v>51271.0</v>
      </c>
      <c r="O1375" s="90">
        <v>58869.0</v>
      </c>
      <c r="P1375" s="6">
        <v>27.0</v>
      </c>
      <c r="Q1375" s="8">
        <f t="shared" si="40"/>
        <v>13843.17</v>
      </c>
    </row>
    <row r="1376">
      <c r="A1376" s="631" t="s">
        <v>8231</v>
      </c>
      <c r="B1376" s="58" t="s">
        <v>10945</v>
      </c>
      <c r="C1376" s="92" t="s">
        <v>1395</v>
      </c>
      <c r="D1376" s="58" t="s">
        <v>10946</v>
      </c>
      <c r="E1376" s="58" t="s">
        <v>10947</v>
      </c>
      <c r="F1376" s="8">
        <v>9.106471921E9</v>
      </c>
      <c r="G1376" s="8"/>
      <c r="H1376" s="88">
        <v>2475.0</v>
      </c>
      <c r="I1376" s="21" t="s">
        <v>5748</v>
      </c>
      <c r="J1376" s="92" t="s">
        <v>9946</v>
      </c>
      <c r="K1376" s="8" t="s">
        <v>26</v>
      </c>
      <c r="L1376" s="8" t="s">
        <v>144</v>
      </c>
      <c r="M1376" s="8" t="s">
        <v>28</v>
      </c>
      <c r="N1376" s="90">
        <v>18608.0</v>
      </c>
      <c r="O1376" s="90">
        <v>20994.0</v>
      </c>
      <c r="P1376" s="6">
        <v>58.0</v>
      </c>
      <c r="Q1376" s="8">
        <f t="shared" si="40"/>
        <v>10792.64</v>
      </c>
    </row>
    <row r="1377">
      <c r="A1377" s="631" t="s">
        <v>8231</v>
      </c>
      <c r="B1377" s="58" t="s">
        <v>10948</v>
      </c>
      <c r="C1377" s="92" t="s">
        <v>21</v>
      </c>
      <c r="D1377" s="58" t="s">
        <v>2347</v>
      </c>
      <c r="E1377" s="58" t="s">
        <v>10949</v>
      </c>
      <c r="F1377" s="8"/>
      <c r="G1377" s="8"/>
      <c r="H1377" s="88">
        <v>35000.0</v>
      </c>
      <c r="I1377" s="21" t="s">
        <v>5748</v>
      </c>
      <c r="J1377" s="92" t="s">
        <v>9946</v>
      </c>
      <c r="K1377" s="8" t="s">
        <v>49</v>
      </c>
      <c r="L1377" s="8" t="s">
        <v>71</v>
      </c>
      <c r="M1377" s="8" t="s">
        <v>28</v>
      </c>
      <c r="N1377" s="90">
        <v>47497.0</v>
      </c>
      <c r="O1377" s="90">
        <v>53409.0</v>
      </c>
      <c r="P1377" s="6">
        <v>26.0</v>
      </c>
      <c r="Q1377" s="8">
        <f t="shared" si="40"/>
        <v>12349.22</v>
      </c>
    </row>
    <row r="1378">
      <c r="A1378" s="631" t="s">
        <v>8231</v>
      </c>
      <c r="B1378" s="58" t="s">
        <v>10950</v>
      </c>
      <c r="C1378" s="92" t="s">
        <v>1395</v>
      </c>
      <c r="D1378" s="58" t="s">
        <v>1303</v>
      </c>
      <c r="E1378" s="58" t="s">
        <v>10951</v>
      </c>
      <c r="F1378" s="8"/>
      <c r="G1378" s="8"/>
      <c r="H1378" s="88">
        <v>2825.0</v>
      </c>
      <c r="I1378" s="58" t="s">
        <v>5748</v>
      </c>
      <c r="J1378" s="92" t="s">
        <v>116</v>
      </c>
      <c r="K1378" s="8" t="s">
        <v>49</v>
      </c>
      <c r="L1378" s="8" t="s">
        <v>1616</v>
      </c>
      <c r="M1378" s="8" t="s">
        <v>28</v>
      </c>
      <c r="N1378" s="90">
        <v>21337.0</v>
      </c>
      <c r="O1378" s="90">
        <v>24208.0</v>
      </c>
      <c r="P1378" s="6">
        <v>48.0</v>
      </c>
      <c r="Q1378" s="8">
        <f t="shared" si="40"/>
        <v>10241.76</v>
      </c>
    </row>
    <row r="1379">
      <c r="A1379" s="107" t="s">
        <v>7755</v>
      </c>
      <c r="B1379" s="108" t="s">
        <v>10952</v>
      </c>
      <c r="C1379" s="108" t="s">
        <v>21</v>
      </c>
      <c r="D1379" s="108" t="s">
        <v>1949</v>
      </c>
      <c r="E1379" s="108" t="s">
        <v>10953</v>
      </c>
      <c r="F1379" s="108"/>
      <c r="G1379" s="108"/>
      <c r="H1379" s="114">
        <v>28000.0</v>
      </c>
      <c r="I1379" s="114" t="s">
        <v>5012</v>
      </c>
      <c r="J1379" s="108" t="s">
        <v>9946</v>
      </c>
      <c r="K1379" s="108" t="s">
        <v>49</v>
      </c>
      <c r="L1379" s="108" t="s">
        <v>27</v>
      </c>
      <c r="M1379" s="108" t="s">
        <v>28</v>
      </c>
      <c r="N1379" s="116">
        <v>47047.0</v>
      </c>
      <c r="O1379" s="116">
        <v>52879.0</v>
      </c>
      <c r="P1379" s="6">
        <v>26.0</v>
      </c>
      <c r="Q1379" s="8">
        <f t="shared" si="40"/>
        <v>12232.22</v>
      </c>
      <c r="R1379" s="108" t="s">
        <v>10954</v>
      </c>
      <c r="S1379" s="108"/>
      <c r="T1379" s="108"/>
      <c r="U1379" s="108"/>
      <c r="V1379" s="108"/>
      <c r="W1379" s="108"/>
      <c r="X1379" s="108"/>
      <c r="Y1379" s="108"/>
      <c r="Z1379" s="108"/>
      <c r="AA1379" s="108"/>
      <c r="AB1379" s="108"/>
      <c r="AC1379" s="108"/>
      <c r="AD1379" s="108"/>
      <c r="AE1379" s="108"/>
      <c r="AF1379" s="64"/>
      <c r="AG1379" s="149"/>
    </row>
    <row r="1380">
      <c r="A1380" s="113">
        <v>45636.0</v>
      </c>
      <c r="B1380" s="108" t="s">
        <v>10955</v>
      </c>
      <c r="C1380" s="108" t="s">
        <v>21</v>
      </c>
      <c r="D1380" s="108" t="s">
        <v>10956</v>
      </c>
      <c r="E1380" s="108" t="s">
        <v>10957</v>
      </c>
      <c r="F1380" s="108">
        <v>9.998865464E9</v>
      </c>
      <c r="G1380" s="108"/>
      <c r="H1380" s="114">
        <v>18500.0</v>
      </c>
      <c r="I1380" s="620">
        <v>46001.0</v>
      </c>
      <c r="J1380" s="108" t="s">
        <v>9946</v>
      </c>
      <c r="K1380" s="108" t="s">
        <v>49</v>
      </c>
      <c r="L1380" s="108" t="s">
        <v>27</v>
      </c>
      <c r="M1380" s="108" t="s">
        <v>28</v>
      </c>
      <c r="N1380" s="116">
        <v>38515.0</v>
      </c>
      <c r="O1380" s="116">
        <v>43329.0</v>
      </c>
      <c r="P1380" s="6">
        <v>26.0</v>
      </c>
      <c r="Q1380" s="8">
        <f t="shared" si="40"/>
        <v>10013.9</v>
      </c>
      <c r="R1380" s="108" t="s">
        <v>10958</v>
      </c>
      <c r="S1380" s="108"/>
      <c r="T1380" s="108"/>
      <c r="U1380" s="108"/>
      <c r="V1380" s="108"/>
      <c r="W1380" s="108"/>
      <c r="X1380" s="108"/>
      <c r="Y1380" s="108"/>
      <c r="Z1380" s="108"/>
      <c r="AA1380" s="108"/>
      <c r="AB1380" s="108"/>
      <c r="AC1380" s="108"/>
      <c r="AD1380" s="108"/>
      <c r="AE1380" s="108"/>
      <c r="AF1380" s="64"/>
      <c r="AG1380" s="149"/>
    </row>
    <row r="1381">
      <c r="A1381" s="107" t="s">
        <v>7805</v>
      </c>
      <c r="B1381" s="108" t="s">
        <v>5250</v>
      </c>
      <c r="C1381" s="108" t="s">
        <v>21</v>
      </c>
      <c r="D1381" s="108" t="s">
        <v>1936</v>
      </c>
      <c r="E1381" s="108" t="s">
        <v>5253</v>
      </c>
      <c r="F1381" s="108"/>
      <c r="G1381" s="108"/>
      <c r="H1381" s="114">
        <v>35000.0</v>
      </c>
      <c r="I1381" s="114" t="s">
        <v>6488</v>
      </c>
      <c r="J1381" s="108" t="s">
        <v>9946</v>
      </c>
      <c r="K1381" s="108" t="s">
        <v>49</v>
      </c>
      <c r="L1381" s="108" t="s">
        <v>27</v>
      </c>
      <c r="M1381" s="108" t="s">
        <v>28</v>
      </c>
      <c r="N1381" s="116">
        <v>46913.0</v>
      </c>
      <c r="O1381" s="116">
        <v>52720.0</v>
      </c>
      <c r="P1381" s="6">
        <v>26.0</v>
      </c>
      <c r="Q1381" s="8">
        <f t="shared" si="40"/>
        <v>12197.38</v>
      </c>
      <c r="R1381" s="108" t="s">
        <v>10959</v>
      </c>
      <c r="S1381" s="108"/>
      <c r="T1381" s="108"/>
      <c r="U1381" s="108"/>
      <c r="V1381" s="108"/>
      <c r="W1381" s="108"/>
      <c r="X1381" s="108"/>
      <c r="Y1381" s="108"/>
      <c r="Z1381" s="108"/>
      <c r="AA1381" s="108"/>
      <c r="AB1381" s="108"/>
      <c r="AC1381" s="108"/>
      <c r="AD1381" s="108"/>
      <c r="AE1381" s="108"/>
      <c r="AF1381" s="64"/>
    </row>
    <row r="1382">
      <c r="A1382" s="113">
        <v>45636.0</v>
      </c>
      <c r="B1382" s="108" t="s">
        <v>10960</v>
      </c>
      <c r="C1382" s="108" t="s">
        <v>21</v>
      </c>
      <c r="D1382" s="108" t="s">
        <v>762</v>
      </c>
      <c r="E1382" s="108" t="s">
        <v>10961</v>
      </c>
      <c r="F1382" s="108">
        <v>9.054586868E9</v>
      </c>
      <c r="G1382" s="108"/>
      <c r="H1382" s="114">
        <v>42000.0</v>
      </c>
      <c r="I1382" s="620">
        <v>45971.0</v>
      </c>
      <c r="J1382" s="108" t="s">
        <v>9946</v>
      </c>
      <c r="K1382" s="108" t="s">
        <v>49</v>
      </c>
      <c r="L1382" s="108" t="s">
        <v>389</v>
      </c>
      <c r="M1382" s="108" t="s">
        <v>28</v>
      </c>
      <c r="N1382" s="116">
        <v>48963.0</v>
      </c>
      <c r="O1382" s="116">
        <v>55122.0</v>
      </c>
      <c r="P1382" s="6">
        <v>26.0</v>
      </c>
      <c r="Q1382" s="8">
        <f t="shared" si="40"/>
        <v>12730.38</v>
      </c>
      <c r="R1382" s="108" t="s">
        <v>10962</v>
      </c>
      <c r="S1382" s="108"/>
      <c r="T1382" s="108"/>
      <c r="U1382" s="108"/>
      <c r="V1382" s="108"/>
      <c r="W1382" s="108"/>
      <c r="X1382" s="108"/>
      <c r="Y1382" s="108"/>
      <c r="Z1382" s="108"/>
      <c r="AA1382" s="108"/>
      <c r="AB1382" s="108"/>
      <c r="AC1382" s="108"/>
      <c r="AD1382" s="108"/>
      <c r="AE1382" s="108"/>
      <c r="AF1382" s="64"/>
    </row>
    <row r="1383">
      <c r="A1383" s="107" t="s">
        <v>8030</v>
      </c>
      <c r="B1383" s="108" t="s">
        <v>5348</v>
      </c>
      <c r="C1383" s="108" t="s">
        <v>21</v>
      </c>
      <c r="D1383" s="108" t="s">
        <v>9736</v>
      </c>
      <c r="E1383" s="108" t="s">
        <v>5351</v>
      </c>
      <c r="F1383" s="108"/>
      <c r="G1383" s="108"/>
      <c r="H1383" s="114">
        <v>11950.0</v>
      </c>
      <c r="I1383" s="114" t="s">
        <v>5307</v>
      </c>
      <c r="J1383" s="108" t="s">
        <v>25</v>
      </c>
      <c r="K1383" s="108" t="s">
        <v>49</v>
      </c>
      <c r="L1383" s="108" t="s">
        <v>27</v>
      </c>
      <c r="M1383" s="108" t="s">
        <v>28</v>
      </c>
      <c r="N1383" s="116">
        <v>30274.0</v>
      </c>
      <c r="O1383" s="116">
        <v>34092.0</v>
      </c>
      <c r="P1383" s="125">
        <v>33.0</v>
      </c>
      <c r="Q1383" s="8">
        <f t="shared" si="40"/>
        <v>9990.42</v>
      </c>
      <c r="R1383" s="108" t="s">
        <v>10963</v>
      </c>
      <c r="S1383" s="108"/>
      <c r="T1383" s="108"/>
      <c r="U1383" s="108"/>
      <c r="V1383" s="108"/>
      <c r="W1383" s="108"/>
      <c r="X1383" s="108"/>
      <c r="Y1383" s="108"/>
      <c r="Z1383" s="108"/>
      <c r="AA1383" s="108"/>
      <c r="AB1383" s="108"/>
      <c r="AC1383" s="108"/>
      <c r="AD1383" s="108"/>
      <c r="AE1383" s="108"/>
      <c r="AF1383" s="64"/>
    </row>
    <row r="1384">
      <c r="A1384" s="107" t="s">
        <v>8103</v>
      </c>
      <c r="B1384" s="64" t="s">
        <v>8091</v>
      </c>
      <c r="C1384" s="108" t="s">
        <v>21</v>
      </c>
      <c r="D1384" s="64" t="s">
        <v>10964</v>
      </c>
      <c r="E1384" s="64" t="s">
        <v>8093</v>
      </c>
      <c r="F1384" s="108">
        <v>9.825652991E9</v>
      </c>
      <c r="G1384" s="108"/>
      <c r="H1384" s="109">
        <v>11900.0</v>
      </c>
      <c r="I1384" s="109" t="s">
        <v>10834</v>
      </c>
      <c r="J1384" s="108" t="s">
        <v>1419</v>
      </c>
      <c r="K1384" s="108" t="s">
        <v>49</v>
      </c>
      <c r="L1384" s="108" t="s">
        <v>71</v>
      </c>
      <c r="M1384" s="108" t="s">
        <v>28</v>
      </c>
      <c r="N1384" s="109">
        <v>28786.0</v>
      </c>
      <c r="O1384" s="109">
        <v>32336.0</v>
      </c>
      <c r="P1384" s="125">
        <v>30.0</v>
      </c>
      <c r="Q1384" s="8">
        <f t="shared" si="40"/>
        <v>8635.8</v>
      </c>
      <c r="R1384" s="64" t="s">
        <v>10965</v>
      </c>
      <c r="S1384" s="108"/>
      <c r="T1384" s="108"/>
      <c r="U1384" s="108"/>
      <c r="V1384" s="108"/>
      <c r="W1384" s="108"/>
      <c r="X1384" s="108"/>
      <c r="Y1384" s="108"/>
      <c r="Z1384" s="108"/>
      <c r="AA1384" s="108"/>
      <c r="AB1384" s="108"/>
      <c r="AC1384" s="108"/>
      <c r="AD1384" s="108"/>
      <c r="AE1384" s="108"/>
      <c r="AF1384" s="64"/>
    </row>
    <row r="1385">
      <c r="A1385" s="107" t="s">
        <v>10524</v>
      </c>
      <c r="B1385" s="108" t="s">
        <v>10966</v>
      </c>
      <c r="C1385" s="108" t="s">
        <v>21</v>
      </c>
      <c r="D1385" s="108" t="s">
        <v>10967</v>
      </c>
      <c r="E1385" s="108" t="s">
        <v>10968</v>
      </c>
      <c r="F1385" s="108"/>
      <c r="G1385" s="108"/>
      <c r="H1385" s="114">
        <v>12990.0</v>
      </c>
      <c r="I1385" s="114" t="s">
        <v>5278</v>
      </c>
      <c r="J1385" s="108" t="s">
        <v>9946</v>
      </c>
      <c r="K1385" s="108" t="s">
        <v>49</v>
      </c>
      <c r="L1385" s="108" t="s">
        <v>27</v>
      </c>
      <c r="M1385" s="108" t="s">
        <v>28</v>
      </c>
      <c r="N1385" s="116">
        <v>37069.0</v>
      </c>
      <c r="O1385" s="116">
        <v>41623.0</v>
      </c>
      <c r="P1385" s="6">
        <v>26.0</v>
      </c>
      <c r="Q1385" s="8">
        <f t="shared" si="40"/>
        <v>9637.94</v>
      </c>
      <c r="R1385" s="108" t="s">
        <v>10969</v>
      </c>
      <c r="S1385" s="108"/>
      <c r="T1385" s="108"/>
      <c r="U1385" s="108"/>
      <c r="V1385" s="108"/>
      <c r="W1385" s="108"/>
      <c r="X1385" s="108"/>
      <c r="Y1385" s="108"/>
      <c r="Z1385" s="108"/>
      <c r="AA1385" s="108"/>
      <c r="AB1385" s="108"/>
      <c r="AC1385" s="108"/>
      <c r="AD1385" s="108"/>
      <c r="AE1385" s="108"/>
      <c r="AF1385" s="64"/>
    </row>
    <row r="1386">
      <c r="A1386" s="107" t="s">
        <v>7755</v>
      </c>
      <c r="B1386" s="108" t="s">
        <v>7821</v>
      </c>
      <c r="C1386" s="108" t="s">
        <v>21</v>
      </c>
      <c r="D1386" s="108" t="s">
        <v>9844</v>
      </c>
      <c r="E1386" s="108" t="s">
        <v>7822</v>
      </c>
      <c r="F1386" s="108"/>
      <c r="G1386" s="108"/>
      <c r="H1386" s="114">
        <v>28000.0</v>
      </c>
      <c r="I1386" s="114" t="s">
        <v>5020</v>
      </c>
      <c r="J1386" s="108" t="s">
        <v>9946</v>
      </c>
      <c r="K1386" s="108" t="s">
        <v>49</v>
      </c>
      <c r="L1386" s="108" t="s">
        <v>71</v>
      </c>
      <c r="M1386" s="108" t="s">
        <v>28</v>
      </c>
      <c r="N1386" s="116">
        <v>47490.0</v>
      </c>
      <c r="O1386" s="116">
        <v>53401.0</v>
      </c>
      <c r="P1386" s="6">
        <v>26.0</v>
      </c>
      <c r="Q1386" s="8">
        <f t="shared" si="40"/>
        <v>12347.4</v>
      </c>
      <c r="R1386" s="108" t="s">
        <v>10970</v>
      </c>
      <c r="S1386" s="108"/>
      <c r="T1386" s="108"/>
      <c r="U1386" s="108"/>
      <c r="V1386" s="108"/>
      <c r="W1386" s="108"/>
      <c r="X1386" s="108"/>
      <c r="Y1386" s="108"/>
      <c r="Z1386" s="108"/>
      <c r="AA1386" s="108"/>
      <c r="AB1386" s="108"/>
      <c r="AC1386" s="108"/>
      <c r="AD1386" s="108"/>
      <c r="AE1386" s="108"/>
      <c r="AF1386" s="64"/>
    </row>
    <row r="1387">
      <c r="A1387" s="105">
        <v>45515.0</v>
      </c>
      <c r="B1387" s="108" t="s">
        <v>7756</v>
      </c>
      <c r="C1387" s="108" t="s">
        <v>21</v>
      </c>
      <c r="D1387" s="108" t="s">
        <v>10971</v>
      </c>
      <c r="E1387" s="108" t="s">
        <v>7757</v>
      </c>
      <c r="F1387" s="108">
        <v>9.979861378E9</v>
      </c>
      <c r="G1387" s="108"/>
      <c r="H1387" s="114">
        <v>47500.0</v>
      </c>
      <c r="I1387" s="114" t="s">
        <v>5001</v>
      </c>
      <c r="J1387" s="108" t="s">
        <v>9946</v>
      </c>
      <c r="K1387" s="108" t="s">
        <v>49</v>
      </c>
      <c r="L1387" s="108" t="s">
        <v>71</v>
      </c>
      <c r="M1387" s="108" t="s">
        <v>28</v>
      </c>
      <c r="N1387" s="116">
        <v>57473.0</v>
      </c>
      <c r="O1387" s="116">
        <v>65164.0</v>
      </c>
      <c r="P1387" s="6">
        <v>26.0</v>
      </c>
      <c r="Q1387" s="8">
        <f t="shared" si="40"/>
        <v>14942.98</v>
      </c>
      <c r="R1387" s="108" t="s">
        <v>10972</v>
      </c>
      <c r="S1387" s="108"/>
      <c r="T1387" s="108"/>
      <c r="U1387" s="108"/>
      <c r="V1387" s="108"/>
      <c r="W1387" s="108"/>
      <c r="X1387" s="108"/>
      <c r="Y1387" s="108"/>
      <c r="Z1387" s="108"/>
      <c r="AA1387" s="108"/>
      <c r="AB1387" s="108"/>
      <c r="AC1387" s="108"/>
      <c r="AD1387" s="108"/>
      <c r="AE1387" s="108"/>
      <c r="AF1387" s="64"/>
    </row>
    <row r="1388">
      <c r="A1388" s="93"/>
      <c r="B1388" s="58"/>
      <c r="C1388" s="58"/>
      <c r="D1388" s="58"/>
      <c r="E1388" s="58"/>
      <c r="F1388" s="58"/>
      <c r="G1388" s="58"/>
      <c r="H1388" s="88"/>
      <c r="I1388" s="88"/>
      <c r="J1388" s="58"/>
      <c r="K1388" s="58"/>
      <c r="L1388" s="58"/>
      <c r="M1388" s="58"/>
      <c r="N1388" s="88"/>
      <c r="O1388" s="88"/>
    </row>
    <row r="1389">
      <c r="A1389" s="93"/>
      <c r="B1389" s="58"/>
      <c r="C1389" s="58"/>
      <c r="D1389" s="58"/>
      <c r="E1389" s="58"/>
      <c r="F1389" s="58"/>
      <c r="G1389" s="58"/>
      <c r="H1389" s="88"/>
      <c r="I1389" s="88"/>
      <c r="J1389" s="58"/>
      <c r="K1389" s="58"/>
      <c r="L1389" s="58"/>
      <c r="M1389" s="58"/>
      <c r="N1389" s="88"/>
      <c r="O1389" s="88"/>
    </row>
    <row r="1390">
      <c r="A1390" s="93"/>
      <c r="B1390" s="58"/>
      <c r="C1390" s="58"/>
      <c r="D1390" s="58"/>
      <c r="E1390" s="58"/>
      <c r="F1390" s="58"/>
      <c r="G1390" s="58"/>
      <c r="H1390" s="88"/>
      <c r="I1390" s="88"/>
      <c r="J1390" s="58"/>
      <c r="K1390" s="58"/>
      <c r="L1390" s="58"/>
      <c r="M1390" s="58"/>
      <c r="N1390" s="88"/>
      <c r="O1390" s="88"/>
    </row>
    <row r="1391">
      <c r="A1391" s="93"/>
      <c r="B1391" s="58"/>
      <c r="C1391" s="58"/>
      <c r="D1391" s="58"/>
      <c r="E1391" s="58"/>
      <c r="F1391" s="58"/>
      <c r="G1391" s="58"/>
      <c r="H1391" s="88"/>
      <c r="I1391" s="88"/>
      <c r="J1391" s="58"/>
      <c r="K1391" s="58"/>
      <c r="L1391" s="58"/>
      <c r="M1391" s="58"/>
      <c r="N1391" s="88"/>
      <c r="O1391" s="88"/>
    </row>
    <row r="1392">
      <c r="A1392" s="232">
        <v>45363.0</v>
      </c>
      <c r="B1392" s="8" t="s">
        <v>5937</v>
      </c>
      <c r="C1392" s="131" t="s">
        <v>1395</v>
      </c>
      <c r="D1392" s="8" t="s">
        <v>9251</v>
      </c>
      <c r="E1392" s="8" t="s">
        <v>10973</v>
      </c>
      <c r="F1392" s="8">
        <v>9.979498427E9</v>
      </c>
      <c r="G1392" s="8"/>
      <c r="H1392" s="21">
        <v>1850.0</v>
      </c>
      <c r="I1392" s="8" t="s">
        <v>1921</v>
      </c>
      <c r="J1392" s="131" t="s">
        <v>1424</v>
      </c>
      <c r="K1392" s="8" t="s">
        <v>49</v>
      </c>
      <c r="L1392" s="8" t="s">
        <v>71</v>
      </c>
      <c r="M1392" s="8" t="s">
        <v>28</v>
      </c>
      <c r="N1392" s="21">
        <v>20477.0</v>
      </c>
      <c r="O1392" s="21">
        <v>23201.0</v>
      </c>
      <c r="P1392" s="6">
        <v>52.0</v>
      </c>
      <c r="Q1392" s="8">
        <f t="shared" ref="Q1392:Q1417" si="41">N1392*P1392%</f>
        <v>10648.04</v>
      </c>
    </row>
    <row r="1393">
      <c r="A1393" s="232">
        <v>45363.0</v>
      </c>
      <c r="B1393" s="8" t="s">
        <v>5783</v>
      </c>
      <c r="C1393" s="131" t="s">
        <v>1395</v>
      </c>
      <c r="D1393" s="8" t="s">
        <v>5785</v>
      </c>
      <c r="E1393" s="8" t="s">
        <v>5786</v>
      </c>
      <c r="F1393" s="131" t="s">
        <v>7801</v>
      </c>
      <c r="G1393" s="8"/>
      <c r="H1393" s="21">
        <v>2960.0</v>
      </c>
      <c r="I1393" s="22">
        <v>45700.0</v>
      </c>
      <c r="J1393" s="8" t="s">
        <v>116</v>
      </c>
      <c r="K1393" s="8" t="s">
        <v>49</v>
      </c>
      <c r="L1393" s="8" t="s">
        <v>71</v>
      </c>
      <c r="M1393" s="8" t="s">
        <v>28</v>
      </c>
      <c r="N1393" s="97">
        <v>18111.0</v>
      </c>
      <c r="O1393" s="97">
        <v>20403.0</v>
      </c>
      <c r="P1393" s="6">
        <v>48.0</v>
      </c>
      <c r="Q1393" s="8">
        <f t="shared" si="41"/>
        <v>8693.28</v>
      </c>
    </row>
    <row r="1394">
      <c r="A1394" s="232">
        <v>45394.0</v>
      </c>
      <c r="B1394" s="8" t="s">
        <v>5797</v>
      </c>
      <c r="C1394" s="131" t="s">
        <v>1395</v>
      </c>
      <c r="D1394" s="8" t="s">
        <v>9127</v>
      </c>
      <c r="E1394" s="8" t="s">
        <v>5800</v>
      </c>
      <c r="F1394" s="131" t="s">
        <v>10974</v>
      </c>
      <c r="G1394" s="8"/>
      <c r="H1394" s="21">
        <v>1630.0</v>
      </c>
      <c r="I1394" s="22">
        <v>45759.0</v>
      </c>
      <c r="J1394" s="131" t="s">
        <v>1424</v>
      </c>
      <c r="K1394" s="8" t="s">
        <v>49</v>
      </c>
      <c r="L1394" s="8" t="s">
        <v>71</v>
      </c>
      <c r="M1394" s="8" t="s">
        <v>28</v>
      </c>
      <c r="N1394" s="21">
        <v>20013.0</v>
      </c>
      <c r="O1394" s="21">
        <v>22653.0</v>
      </c>
      <c r="P1394" s="6">
        <v>52.0</v>
      </c>
      <c r="Q1394" s="8">
        <f t="shared" si="41"/>
        <v>10406.76</v>
      </c>
    </row>
    <row r="1395">
      <c r="A1395" s="232">
        <v>45394.0</v>
      </c>
      <c r="B1395" s="8" t="s">
        <v>8298</v>
      </c>
      <c r="C1395" s="131" t="s">
        <v>21</v>
      </c>
      <c r="D1395" s="8" t="s">
        <v>1465</v>
      </c>
      <c r="E1395" s="8" t="s">
        <v>8851</v>
      </c>
      <c r="F1395" s="131" t="s">
        <v>2308</v>
      </c>
      <c r="G1395" s="8"/>
      <c r="H1395" s="21">
        <v>16020.0</v>
      </c>
      <c r="I1395" s="22">
        <v>45728.0</v>
      </c>
      <c r="J1395" s="8" t="s">
        <v>78</v>
      </c>
      <c r="K1395" s="8" t="s">
        <v>49</v>
      </c>
      <c r="L1395" s="8" t="s">
        <v>71</v>
      </c>
      <c r="M1395" s="8" t="s">
        <v>28</v>
      </c>
      <c r="N1395" s="97">
        <v>55831.28</v>
      </c>
      <c r="O1395" s="97">
        <v>63762.0</v>
      </c>
      <c r="P1395" s="6">
        <v>25.0</v>
      </c>
      <c r="Q1395" s="8">
        <f t="shared" si="41"/>
        <v>13957.82</v>
      </c>
    </row>
    <row r="1396">
      <c r="A1396" s="232">
        <v>45424.0</v>
      </c>
      <c r="B1396" s="8" t="s">
        <v>5709</v>
      </c>
      <c r="C1396" s="131" t="s">
        <v>1405</v>
      </c>
      <c r="D1396" s="8" t="s">
        <v>1506</v>
      </c>
      <c r="E1396" s="8" t="s">
        <v>10975</v>
      </c>
      <c r="F1396" s="8">
        <v>9.687171944E9</v>
      </c>
      <c r="G1396" s="8"/>
      <c r="H1396" s="21">
        <v>990.0</v>
      </c>
      <c r="I1396" s="22">
        <v>45912.0</v>
      </c>
      <c r="J1396" s="131" t="s">
        <v>1419</v>
      </c>
      <c r="K1396" s="8" t="s">
        <v>49</v>
      </c>
      <c r="L1396" s="8" t="s">
        <v>185</v>
      </c>
      <c r="M1396" s="8" t="s">
        <v>28</v>
      </c>
      <c r="N1396" s="21">
        <v>5196.0</v>
      </c>
      <c r="O1396" s="21">
        <v>5862.0</v>
      </c>
      <c r="P1396" s="6">
        <v>52.0</v>
      </c>
      <c r="Q1396" s="8">
        <f t="shared" si="41"/>
        <v>2701.92</v>
      </c>
    </row>
    <row r="1397">
      <c r="A1397" s="232">
        <v>45424.0</v>
      </c>
      <c r="B1397" s="8" t="s">
        <v>8257</v>
      </c>
      <c r="C1397" s="131" t="s">
        <v>1395</v>
      </c>
      <c r="D1397" s="8" t="s">
        <v>10976</v>
      </c>
      <c r="E1397" s="8" t="s">
        <v>8258</v>
      </c>
      <c r="F1397" s="92" t="s">
        <v>10977</v>
      </c>
      <c r="G1397" s="8"/>
      <c r="H1397" s="21">
        <v>2990.0</v>
      </c>
      <c r="I1397" s="22">
        <v>45728.0</v>
      </c>
      <c r="J1397" s="8" t="s">
        <v>116</v>
      </c>
      <c r="K1397" s="8" t="s">
        <v>49</v>
      </c>
      <c r="L1397" s="8" t="s">
        <v>71</v>
      </c>
      <c r="M1397" s="8" t="s">
        <v>28</v>
      </c>
      <c r="N1397" s="97">
        <v>17639.0</v>
      </c>
      <c r="O1397" s="97">
        <v>19847.0</v>
      </c>
      <c r="P1397" s="6">
        <v>48.0</v>
      </c>
      <c r="Q1397" s="8">
        <f t="shared" si="41"/>
        <v>8466.72</v>
      </c>
    </row>
    <row r="1398">
      <c r="A1398" s="232">
        <v>45424.0</v>
      </c>
      <c r="B1398" s="8" t="s">
        <v>6682</v>
      </c>
      <c r="C1398" s="131" t="s">
        <v>1395</v>
      </c>
      <c r="D1398" s="8" t="s">
        <v>10978</v>
      </c>
      <c r="E1398" s="8" t="s">
        <v>8287</v>
      </c>
      <c r="F1398" s="92" t="s">
        <v>10979</v>
      </c>
      <c r="G1398" s="8"/>
      <c r="H1398" s="21">
        <v>2850.0</v>
      </c>
      <c r="I1398" s="22">
        <v>45728.0</v>
      </c>
      <c r="J1398" s="8" t="s">
        <v>116</v>
      </c>
      <c r="K1398" s="8" t="s">
        <v>49</v>
      </c>
      <c r="L1398" s="8" t="s">
        <v>71</v>
      </c>
      <c r="M1398" s="8" t="s">
        <v>28</v>
      </c>
      <c r="N1398" s="97">
        <v>17625.0</v>
      </c>
      <c r="O1398" s="97">
        <v>19829.0</v>
      </c>
      <c r="P1398" s="6">
        <v>48.0</v>
      </c>
      <c r="Q1398" s="8">
        <f t="shared" si="41"/>
        <v>8460</v>
      </c>
    </row>
    <row r="1399">
      <c r="A1399" s="232">
        <v>45424.0</v>
      </c>
      <c r="B1399" s="58" t="s">
        <v>8284</v>
      </c>
      <c r="C1399" s="92" t="s">
        <v>21</v>
      </c>
      <c r="D1399" s="58" t="s">
        <v>1465</v>
      </c>
      <c r="E1399" s="58" t="s">
        <v>10980</v>
      </c>
      <c r="F1399" s="8">
        <v>9.979600037E9</v>
      </c>
      <c r="G1399" s="8"/>
      <c r="H1399" s="88">
        <v>16020.0</v>
      </c>
      <c r="I1399" s="91">
        <v>45728.0</v>
      </c>
      <c r="J1399" s="92" t="s">
        <v>78</v>
      </c>
      <c r="K1399" s="8" t="s">
        <v>49</v>
      </c>
      <c r="L1399" s="8" t="s">
        <v>71</v>
      </c>
      <c r="M1399" s="8" t="s">
        <v>28</v>
      </c>
      <c r="N1399" s="104">
        <v>38268.0</v>
      </c>
      <c r="O1399" s="104">
        <v>43037.0</v>
      </c>
      <c r="P1399" s="6">
        <v>25.0</v>
      </c>
      <c r="Q1399" s="8">
        <f t="shared" si="41"/>
        <v>9567</v>
      </c>
    </row>
    <row r="1400">
      <c r="A1400" s="632">
        <v>45455.0</v>
      </c>
      <c r="B1400" s="58" t="s">
        <v>10981</v>
      </c>
      <c r="C1400" s="92" t="s">
        <v>21</v>
      </c>
      <c r="D1400" s="58" t="s">
        <v>10982</v>
      </c>
      <c r="E1400" s="58" t="s">
        <v>2664</v>
      </c>
      <c r="F1400" s="8">
        <v>7.041966999E9</v>
      </c>
      <c r="G1400" s="8"/>
      <c r="H1400" s="88">
        <v>35000.0</v>
      </c>
      <c r="I1400" s="91">
        <v>45759.0</v>
      </c>
      <c r="J1400" s="8" t="s">
        <v>353</v>
      </c>
      <c r="K1400" s="8" t="s">
        <v>49</v>
      </c>
      <c r="L1400" s="8" t="s">
        <v>1436</v>
      </c>
      <c r="M1400" s="8" t="s">
        <v>28</v>
      </c>
      <c r="N1400" s="90">
        <v>70573.0</v>
      </c>
      <c r="O1400" s="90">
        <v>80639.0</v>
      </c>
      <c r="P1400" s="6">
        <v>22.0</v>
      </c>
      <c r="Q1400" s="8">
        <f t="shared" si="41"/>
        <v>15526.06</v>
      </c>
    </row>
    <row r="1401">
      <c r="A1401" s="632">
        <v>45455.0</v>
      </c>
      <c r="B1401" s="58" t="s">
        <v>10983</v>
      </c>
      <c r="C1401" s="92" t="s">
        <v>1395</v>
      </c>
      <c r="D1401" s="58" t="s">
        <v>10984</v>
      </c>
      <c r="E1401" s="58" t="s">
        <v>10985</v>
      </c>
      <c r="F1401" s="8"/>
      <c r="G1401" s="8"/>
      <c r="H1401" s="88">
        <v>2995.0</v>
      </c>
      <c r="I1401" s="91">
        <v>45700.0</v>
      </c>
      <c r="J1401" s="58" t="s">
        <v>4110</v>
      </c>
      <c r="K1401" s="8" t="s">
        <v>49</v>
      </c>
      <c r="L1401" s="8" t="s">
        <v>27</v>
      </c>
      <c r="M1401" s="8" t="s">
        <v>28</v>
      </c>
      <c r="N1401" s="104">
        <v>17484.0</v>
      </c>
      <c r="O1401" s="104">
        <v>19668.0</v>
      </c>
      <c r="P1401" s="6">
        <v>20.0</v>
      </c>
      <c r="Q1401" s="8">
        <f t="shared" si="41"/>
        <v>3496.8</v>
      </c>
    </row>
    <row r="1402">
      <c r="A1402" s="632">
        <v>45455.0</v>
      </c>
      <c r="B1402" s="58" t="s">
        <v>10986</v>
      </c>
      <c r="C1402" s="8" t="s">
        <v>533</v>
      </c>
      <c r="D1402" s="58" t="s">
        <v>10987</v>
      </c>
      <c r="E1402" s="58" t="s">
        <v>10988</v>
      </c>
      <c r="F1402" s="8">
        <v>9.825241788E9</v>
      </c>
      <c r="G1402" s="8"/>
      <c r="H1402" s="88">
        <v>3300.0</v>
      </c>
      <c r="I1402" s="91">
        <v>45789.0</v>
      </c>
      <c r="J1402" s="8" t="s">
        <v>1419</v>
      </c>
      <c r="K1402" s="8" t="s">
        <v>49</v>
      </c>
      <c r="L1402" s="8" t="s">
        <v>27</v>
      </c>
      <c r="M1402" s="8" t="s">
        <v>28</v>
      </c>
      <c r="N1402" s="88">
        <v>13055.0</v>
      </c>
      <c r="O1402" s="88">
        <v>15405.0</v>
      </c>
      <c r="P1402" s="6">
        <v>27.0</v>
      </c>
      <c r="Q1402" s="8">
        <f t="shared" si="41"/>
        <v>3524.85</v>
      </c>
    </row>
    <row r="1403">
      <c r="A1403" s="632">
        <v>45455.0</v>
      </c>
      <c r="B1403" s="58" t="s">
        <v>6702</v>
      </c>
      <c r="C1403" s="92" t="s">
        <v>1395</v>
      </c>
      <c r="D1403" s="58" t="s">
        <v>10989</v>
      </c>
      <c r="E1403" s="58" t="s">
        <v>8296</v>
      </c>
      <c r="F1403" s="8">
        <v>9.157579623E9</v>
      </c>
      <c r="G1403" s="8"/>
      <c r="H1403" s="88">
        <v>1495.0</v>
      </c>
      <c r="I1403" s="91">
        <v>45881.0</v>
      </c>
      <c r="J1403" s="92" t="s">
        <v>1424</v>
      </c>
      <c r="K1403" s="8" t="s">
        <v>49</v>
      </c>
      <c r="L1403" s="8" t="s">
        <v>71</v>
      </c>
      <c r="M1403" s="8" t="s">
        <v>28</v>
      </c>
      <c r="N1403" s="88">
        <v>19011.0</v>
      </c>
      <c r="O1403" s="88">
        <v>21471.0</v>
      </c>
      <c r="P1403" s="6">
        <v>52.0</v>
      </c>
      <c r="Q1403" s="8">
        <f t="shared" si="41"/>
        <v>9885.72</v>
      </c>
    </row>
    <row r="1404">
      <c r="A1404" s="632">
        <v>45455.0</v>
      </c>
      <c r="B1404" s="58" t="s">
        <v>10990</v>
      </c>
      <c r="C1404" s="92" t="s">
        <v>1395</v>
      </c>
      <c r="D1404" s="58" t="s">
        <v>10991</v>
      </c>
      <c r="E1404" s="58" t="s">
        <v>10992</v>
      </c>
      <c r="F1404" s="8" t="s">
        <v>10993</v>
      </c>
      <c r="G1404" s="8"/>
      <c r="H1404" s="88">
        <v>1493.0</v>
      </c>
      <c r="I1404" s="91">
        <v>45820.0</v>
      </c>
      <c r="J1404" s="92" t="s">
        <v>1424</v>
      </c>
      <c r="K1404" s="8" t="s">
        <v>49</v>
      </c>
      <c r="L1404" s="8" t="s">
        <v>1616</v>
      </c>
      <c r="M1404" s="8" t="s">
        <v>28</v>
      </c>
      <c r="N1404" s="88">
        <v>17045.0</v>
      </c>
      <c r="O1404" s="88">
        <v>20113.0</v>
      </c>
      <c r="P1404" s="6">
        <v>52.0</v>
      </c>
      <c r="Q1404" s="8">
        <f t="shared" si="41"/>
        <v>8863.4</v>
      </c>
    </row>
    <row r="1405">
      <c r="A1405" s="632">
        <v>45485.0</v>
      </c>
      <c r="B1405" s="58" t="s">
        <v>10994</v>
      </c>
      <c r="C1405" s="92" t="s">
        <v>1432</v>
      </c>
      <c r="D1405" s="58" t="s">
        <v>10995</v>
      </c>
      <c r="E1405" s="58" t="s">
        <v>10996</v>
      </c>
      <c r="F1405" s="8" t="s">
        <v>10997</v>
      </c>
      <c r="G1405" s="8"/>
      <c r="H1405" s="88">
        <v>470.0</v>
      </c>
      <c r="I1405" s="633">
        <v>45789.0</v>
      </c>
      <c r="J1405" s="92" t="s">
        <v>9946</v>
      </c>
      <c r="K1405" s="8" t="s">
        <v>49</v>
      </c>
      <c r="L1405" s="8" t="s">
        <v>219</v>
      </c>
      <c r="M1405" s="8" t="s">
        <v>28</v>
      </c>
      <c r="N1405" s="90">
        <v>6199.0</v>
      </c>
      <c r="O1405" s="90">
        <v>7315.0</v>
      </c>
      <c r="P1405" s="6">
        <v>56.0</v>
      </c>
      <c r="Q1405" s="8">
        <f t="shared" si="41"/>
        <v>3471.44</v>
      </c>
    </row>
    <row r="1406">
      <c r="A1406" s="632">
        <v>45485.0</v>
      </c>
      <c r="B1406" s="140" t="s">
        <v>10998</v>
      </c>
      <c r="C1406" s="140" t="s">
        <v>533</v>
      </c>
      <c r="D1406" s="140" t="s">
        <v>10999</v>
      </c>
      <c r="E1406" s="58"/>
      <c r="F1406" s="58"/>
      <c r="G1406" s="58"/>
      <c r="H1406" s="88"/>
      <c r="I1406" s="91">
        <v>45820.0</v>
      </c>
      <c r="J1406" s="140" t="s">
        <v>1424</v>
      </c>
      <c r="K1406" s="140" t="s">
        <v>49</v>
      </c>
      <c r="L1406" s="140" t="s">
        <v>1451</v>
      </c>
      <c r="M1406" s="140" t="s">
        <v>28</v>
      </c>
      <c r="N1406" s="101">
        <v>17011.0</v>
      </c>
      <c r="O1406" s="101">
        <v>20073.0</v>
      </c>
      <c r="P1406" s="6">
        <v>30.0</v>
      </c>
      <c r="Q1406" s="8">
        <f t="shared" si="41"/>
        <v>5103.3</v>
      </c>
    </row>
    <row r="1407">
      <c r="A1407" s="632">
        <v>45485.0</v>
      </c>
      <c r="B1407" s="140" t="s">
        <v>11000</v>
      </c>
      <c r="C1407" s="140" t="s">
        <v>1759</v>
      </c>
      <c r="D1407" s="140" t="s">
        <v>1760</v>
      </c>
      <c r="E1407" s="58"/>
      <c r="F1407" s="58"/>
      <c r="G1407" s="58"/>
      <c r="H1407" s="88"/>
      <c r="I1407" s="199">
        <v>45850.0</v>
      </c>
      <c r="J1407" s="140" t="s">
        <v>1419</v>
      </c>
      <c r="K1407" s="140" t="s">
        <v>49</v>
      </c>
      <c r="L1407" s="140" t="s">
        <v>1451</v>
      </c>
      <c r="M1407" s="140" t="s">
        <v>28</v>
      </c>
      <c r="N1407" s="101">
        <v>6396.0</v>
      </c>
      <c r="O1407" s="101">
        <v>7548.0</v>
      </c>
      <c r="P1407" s="6">
        <v>52.0</v>
      </c>
      <c r="Q1407" s="8">
        <f t="shared" si="41"/>
        <v>3325.92</v>
      </c>
    </row>
    <row r="1408">
      <c r="A1408" s="632">
        <v>45547.0</v>
      </c>
      <c r="B1408" s="634" t="s">
        <v>6047</v>
      </c>
      <c r="C1408" s="634" t="s">
        <v>21</v>
      </c>
      <c r="D1408" s="635" t="s">
        <v>11001</v>
      </c>
      <c r="E1408" s="58" t="s">
        <v>11002</v>
      </c>
      <c r="F1408" s="8">
        <v>9.712654111E9</v>
      </c>
      <c r="G1408" s="8"/>
      <c r="H1408" s="88">
        <v>16140.0</v>
      </c>
      <c r="I1408" s="91">
        <v>45881.0</v>
      </c>
      <c r="J1408" s="634" t="s">
        <v>78</v>
      </c>
      <c r="K1408" s="500" t="s">
        <v>49</v>
      </c>
      <c r="L1408" s="500" t="s">
        <v>27</v>
      </c>
      <c r="M1408" s="500" t="s">
        <v>28</v>
      </c>
      <c r="N1408" s="90">
        <v>57781.24</v>
      </c>
      <c r="O1408" s="134">
        <v>66063.0</v>
      </c>
      <c r="P1408" s="6">
        <v>25.0</v>
      </c>
      <c r="Q1408" s="8">
        <f t="shared" si="41"/>
        <v>14445.31</v>
      </c>
    </row>
    <row r="1409">
      <c r="A1409" s="636">
        <v>45577.0</v>
      </c>
      <c r="B1409" s="635" t="s">
        <v>11003</v>
      </c>
      <c r="C1409" s="634" t="s">
        <v>1432</v>
      </c>
      <c r="D1409" s="634" t="s">
        <v>1439</v>
      </c>
      <c r="E1409" s="92" t="s">
        <v>11004</v>
      </c>
      <c r="F1409" s="8">
        <v>9.979312272E9</v>
      </c>
      <c r="G1409" s="8"/>
      <c r="H1409" s="88">
        <v>236.0</v>
      </c>
      <c r="I1409" s="91">
        <v>45912.0</v>
      </c>
      <c r="J1409" s="500" t="s">
        <v>1419</v>
      </c>
      <c r="K1409" s="500" t="s">
        <v>49</v>
      </c>
      <c r="L1409" s="500" t="s">
        <v>1451</v>
      </c>
      <c r="M1409" s="500" t="s">
        <v>28</v>
      </c>
      <c r="N1409" s="637">
        <v>6431.0</v>
      </c>
      <c r="O1409" s="637">
        <v>7589.0</v>
      </c>
      <c r="P1409" s="6">
        <v>52.0</v>
      </c>
      <c r="Q1409" s="8">
        <f t="shared" si="41"/>
        <v>3344.12</v>
      </c>
    </row>
    <row r="1410">
      <c r="A1410" s="636">
        <v>45577.0</v>
      </c>
      <c r="B1410" s="635" t="s">
        <v>8328</v>
      </c>
      <c r="C1410" s="634" t="s">
        <v>1395</v>
      </c>
      <c r="D1410" s="635" t="s">
        <v>11005</v>
      </c>
      <c r="E1410" s="58" t="s">
        <v>11006</v>
      </c>
      <c r="F1410" s="92" t="s">
        <v>11007</v>
      </c>
      <c r="G1410" s="8"/>
      <c r="H1410" s="88">
        <v>2825.0</v>
      </c>
      <c r="I1410" s="638">
        <v>45973.0</v>
      </c>
      <c r="J1410" s="500" t="s">
        <v>9300</v>
      </c>
      <c r="K1410" s="500" t="s">
        <v>49</v>
      </c>
      <c r="L1410" s="500" t="s">
        <v>71</v>
      </c>
      <c r="M1410" s="500" t="s">
        <v>28</v>
      </c>
      <c r="N1410" s="637">
        <v>18608.0</v>
      </c>
      <c r="O1410" s="637">
        <v>20996.0</v>
      </c>
      <c r="P1410" s="6">
        <v>52.0</v>
      </c>
      <c r="Q1410" s="8">
        <f t="shared" si="41"/>
        <v>9676.16</v>
      </c>
    </row>
    <row r="1411">
      <c r="A1411" s="636">
        <v>45577.0</v>
      </c>
      <c r="B1411" s="635" t="s">
        <v>11008</v>
      </c>
      <c r="C1411" s="634" t="s">
        <v>1395</v>
      </c>
      <c r="D1411" s="635" t="s">
        <v>3781</v>
      </c>
      <c r="E1411" s="58" t="s">
        <v>11009</v>
      </c>
      <c r="F1411" s="8" t="s">
        <v>11010</v>
      </c>
      <c r="G1411" s="8"/>
      <c r="H1411" s="88">
        <v>2735.0</v>
      </c>
      <c r="I1411" s="91">
        <v>45912.0</v>
      </c>
      <c r="J1411" s="634" t="s">
        <v>1424</v>
      </c>
      <c r="K1411" s="500" t="s">
        <v>49</v>
      </c>
      <c r="L1411" s="500" t="s">
        <v>27</v>
      </c>
      <c r="M1411" s="500" t="s">
        <v>28</v>
      </c>
      <c r="N1411" s="637">
        <v>18531.0</v>
      </c>
      <c r="O1411" s="637">
        <v>20903.0</v>
      </c>
      <c r="P1411" s="6">
        <v>52.0</v>
      </c>
      <c r="Q1411" s="8">
        <f t="shared" si="41"/>
        <v>9636.12</v>
      </c>
    </row>
    <row r="1412">
      <c r="A1412" s="639">
        <v>45608.0</v>
      </c>
      <c r="B1412" s="635" t="s">
        <v>11011</v>
      </c>
      <c r="C1412" s="500" t="s">
        <v>1395</v>
      </c>
      <c r="D1412" s="635" t="s">
        <v>1091</v>
      </c>
      <c r="E1412" s="58" t="s">
        <v>11012</v>
      </c>
      <c r="F1412" s="8">
        <v>7.87445941E9</v>
      </c>
      <c r="G1412" s="8"/>
      <c r="H1412" s="88">
        <v>3480.0</v>
      </c>
      <c r="I1412" s="638">
        <v>46003.0</v>
      </c>
      <c r="J1412" s="500" t="s">
        <v>116</v>
      </c>
      <c r="K1412" s="500" t="s">
        <v>49</v>
      </c>
      <c r="L1412" s="500" t="s">
        <v>185</v>
      </c>
      <c r="M1412" s="500" t="s">
        <v>28</v>
      </c>
      <c r="N1412" s="90">
        <v>22351.0</v>
      </c>
      <c r="O1412" s="90">
        <v>25406.0</v>
      </c>
      <c r="P1412" s="6">
        <v>48.0</v>
      </c>
      <c r="Q1412" s="8">
        <f t="shared" si="41"/>
        <v>10728.48</v>
      </c>
    </row>
    <row r="1413">
      <c r="A1413" s="640">
        <v>45608.0</v>
      </c>
      <c r="B1413" s="635" t="s">
        <v>11013</v>
      </c>
      <c r="C1413" s="500" t="s">
        <v>1395</v>
      </c>
      <c r="D1413" s="635" t="s">
        <v>524</v>
      </c>
      <c r="E1413" s="58" t="s">
        <v>11014</v>
      </c>
      <c r="F1413" s="8"/>
      <c r="G1413" s="8"/>
      <c r="H1413" s="88">
        <v>3490.0</v>
      </c>
      <c r="I1413" s="82" t="s">
        <v>5860</v>
      </c>
      <c r="J1413" s="500" t="s">
        <v>116</v>
      </c>
      <c r="K1413" s="500" t="s">
        <v>49</v>
      </c>
      <c r="L1413" s="500" t="s">
        <v>1451</v>
      </c>
      <c r="M1413" s="500" t="s">
        <v>28</v>
      </c>
      <c r="N1413" s="90">
        <v>19055.0</v>
      </c>
      <c r="O1413" s="90">
        <v>21517.0</v>
      </c>
      <c r="P1413" s="6">
        <v>48.0</v>
      </c>
      <c r="Q1413" s="8">
        <f t="shared" si="41"/>
        <v>9146.4</v>
      </c>
    </row>
    <row r="1414">
      <c r="A1414" s="640">
        <v>45638.0</v>
      </c>
      <c r="B1414" s="140" t="s">
        <v>11015</v>
      </c>
      <c r="C1414" s="140" t="s">
        <v>1395</v>
      </c>
      <c r="D1414" s="140" t="s">
        <v>528</v>
      </c>
      <c r="E1414" s="58"/>
      <c r="F1414" s="58"/>
      <c r="G1414" s="58"/>
      <c r="H1414" s="101">
        <v>3490.0</v>
      </c>
      <c r="I1414" s="82" t="s">
        <v>5860</v>
      </c>
      <c r="J1414" s="140" t="s">
        <v>668</v>
      </c>
      <c r="K1414" s="140" t="s">
        <v>49</v>
      </c>
      <c r="L1414" s="140" t="s">
        <v>33</v>
      </c>
      <c r="M1414" s="140" t="s">
        <v>28</v>
      </c>
      <c r="N1414" s="104">
        <v>23168.0</v>
      </c>
      <c r="O1414" s="104">
        <v>26376.0</v>
      </c>
      <c r="P1414" s="6">
        <v>52.0</v>
      </c>
      <c r="Q1414" s="8">
        <f t="shared" si="41"/>
        <v>12047.36</v>
      </c>
    </row>
    <row r="1415">
      <c r="A1415" s="640">
        <v>45638.0</v>
      </c>
      <c r="B1415" s="140" t="s">
        <v>11016</v>
      </c>
      <c r="C1415" s="140" t="s">
        <v>1395</v>
      </c>
      <c r="D1415" s="140" t="s">
        <v>528</v>
      </c>
      <c r="E1415" s="58"/>
      <c r="F1415" s="58"/>
      <c r="G1415" s="58"/>
      <c r="H1415" s="101">
        <v>3490.0</v>
      </c>
      <c r="I1415" s="82" t="s">
        <v>5860</v>
      </c>
      <c r="J1415" s="140" t="s">
        <v>668</v>
      </c>
      <c r="K1415" s="140" t="s">
        <v>49</v>
      </c>
      <c r="L1415" s="140" t="s">
        <v>185</v>
      </c>
      <c r="M1415" s="140" t="s">
        <v>28</v>
      </c>
      <c r="N1415" s="104">
        <v>22950.0</v>
      </c>
      <c r="O1415" s="104">
        <v>26118.0</v>
      </c>
      <c r="P1415" s="6">
        <v>52.0</v>
      </c>
      <c r="Q1415" s="8">
        <f t="shared" si="41"/>
        <v>11934</v>
      </c>
    </row>
    <row r="1416">
      <c r="A1416" s="107" t="s">
        <v>8111</v>
      </c>
      <c r="B1416" s="108" t="s">
        <v>5662</v>
      </c>
      <c r="C1416" s="108" t="s">
        <v>21</v>
      </c>
      <c r="D1416" s="108" t="s">
        <v>762</v>
      </c>
      <c r="E1416" s="108" t="s">
        <v>5664</v>
      </c>
      <c r="F1416" s="108">
        <v>9.724860034E9</v>
      </c>
      <c r="G1416" s="108"/>
      <c r="H1416" s="114">
        <v>42000.0</v>
      </c>
      <c r="I1416" s="114" t="s">
        <v>5638</v>
      </c>
      <c r="J1416" s="108" t="s">
        <v>9946</v>
      </c>
      <c r="K1416" s="108" t="s">
        <v>49</v>
      </c>
      <c r="L1416" s="108" t="s">
        <v>71</v>
      </c>
      <c r="M1416" s="108" t="s">
        <v>28</v>
      </c>
      <c r="N1416" s="116">
        <v>48463.0</v>
      </c>
      <c r="O1416" s="116">
        <v>54532.0</v>
      </c>
      <c r="P1416" s="125">
        <v>26.0</v>
      </c>
      <c r="Q1416" s="8">
        <f t="shared" si="41"/>
        <v>12600.38</v>
      </c>
      <c r="R1416" s="64" t="s">
        <v>11017</v>
      </c>
      <c r="S1416" s="108"/>
      <c r="T1416" s="108"/>
      <c r="U1416" s="108"/>
      <c r="V1416" s="108"/>
      <c r="W1416" s="108"/>
      <c r="X1416" s="108"/>
      <c r="Y1416" s="108"/>
      <c r="Z1416" s="108"/>
      <c r="AA1416" s="108"/>
      <c r="AB1416" s="108"/>
      <c r="AC1416" s="108"/>
      <c r="AD1416" s="108"/>
      <c r="AE1416" s="108"/>
      <c r="AF1416" s="64"/>
    </row>
    <row r="1417">
      <c r="A1417" s="105">
        <v>45362.0</v>
      </c>
      <c r="B1417" s="108" t="s">
        <v>11018</v>
      </c>
      <c r="C1417" s="108" t="s">
        <v>21</v>
      </c>
      <c r="D1417" s="108" t="s">
        <v>2854</v>
      </c>
      <c r="E1417" s="108" t="s">
        <v>11019</v>
      </c>
      <c r="F1417" s="108">
        <v>9.773132711E9</v>
      </c>
      <c r="G1417" s="108"/>
      <c r="H1417" s="114">
        <v>11990.0</v>
      </c>
      <c r="I1417" s="110">
        <v>45699.0</v>
      </c>
      <c r="J1417" s="108" t="s">
        <v>25</v>
      </c>
      <c r="K1417" s="108" t="s">
        <v>49</v>
      </c>
      <c r="L1417" s="108" t="s">
        <v>71</v>
      </c>
      <c r="M1417" s="108" t="s">
        <v>28</v>
      </c>
      <c r="N1417" s="116">
        <v>28849.0</v>
      </c>
      <c r="O1417" s="116">
        <v>32411.0</v>
      </c>
      <c r="P1417" s="125">
        <v>33.0</v>
      </c>
      <c r="Q1417" s="8">
        <f t="shared" si="41"/>
        <v>9520.17</v>
      </c>
      <c r="R1417" s="108" t="s">
        <v>11020</v>
      </c>
      <c r="S1417" s="10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58"/>
    </row>
    <row r="1418">
      <c r="A1418" s="93"/>
      <c r="B1418" s="58"/>
      <c r="C1418" s="58"/>
      <c r="D1418" s="58"/>
      <c r="E1418" s="58"/>
      <c r="F1418" s="58"/>
      <c r="G1418" s="58"/>
      <c r="H1418" s="88"/>
      <c r="I1418" s="88"/>
      <c r="J1418" s="58"/>
      <c r="K1418" s="58"/>
      <c r="L1418" s="58"/>
      <c r="M1418" s="58"/>
      <c r="N1418" s="88"/>
      <c r="O1418" s="88"/>
    </row>
    <row r="1419">
      <c r="A1419" s="93"/>
      <c r="B1419" s="58"/>
      <c r="C1419" s="58"/>
      <c r="D1419" s="58"/>
      <c r="E1419" s="58"/>
      <c r="F1419" s="58"/>
      <c r="G1419" s="58"/>
      <c r="H1419" s="88"/>
      <c r="I1419" s="88"/>
      <c r="J1419" s="58"/>
      <c r="K1419" s="58"/>
      <c r="L1419" s="58"/>
      <c r="M1419" s="58"/>
      <c r="N1419" s="88"/>
      <c r="O1419" s="88"/>
    </row>
    <row r="1420">
      <c r="A1420" s="93"/>
      <c r="B1420" s="58"/>
      <c r="C1420" s="58"/>
      <c r="D1420" s="58"/>
      <c r="E1420" s="58"/>
      <c r="F1420" s="58"/>
      <c r="G1420" s="58"/>
      <c r="H1420" s="88"/>
      <c r="I1420" s="88"/>
      <c r="J1420" s="58"/>
      <c r="K1420" s="58"/>
      <c r="L1420" s="58"/>
      <c r="M1420" s="58"/>
      <c r="N1420" s="88"/>
      <c r="O1420" s="88"/>
    </row>
    <row r="1421">
      <c r="A1421" s="8" t="s">
        <v>1930</v>
      </c>
      <c r="B1421" s="83" t="s">
        <v>11021</v>
      </c>
      <c r="C1421" s="8" t="s">
        <v>21</v>
      </c>
      <c r="D1421" s="58" t="s">
        <v>10596</v>
      </c>
      <c r="E1421" s="58" t="s">
        <v>11022</v>
      </c>
      <c r="F1421" s="8"/>
      <c r="G1421" s="8"/>
      <c r="H1421" s="88">
        <v>35000.0</v>
      </c>
      <c r="I1421" s="641">
        <v>45789.0</v>
      </c>
      <c r="J1421" s="8" t="s">
        <v>353</v>
      </c>
      <c r="K1421" s="8" t="s">
        <v>49</v>
      </c>
      <c r="L1421" s="8" t="s">
        <v>71</v>
      </c>
      <c r="M1421" s="8" t="s">
        <v>28</v>
      </c>
      <c r="N1421" s="90">
        <v>53805.0</v>
      </c>
      <c r="O1421" s="90">
        <v>60853.0</v>
      </c>
      <c r="P1421" s="6">
        <v>26.0</v>
      </c>
      <c r="Q1421" s="8">
        <f t="shared" ref="Q1421:Q1437" si="42">N1421*P1421%</f>
        <v>13989.3</v>
      </c>
    </row>
    <row r="1422">
      <c r="A1422" s="8" t="s">
        <v>1930</v>
      </c>
      <c r="B1422" s="58" t="s">
        <v>8338</v>
      </c>
      <c r="C1422" s="8" t="s">
        <v>1395</v>
      </c>
      <c r="D1422" s="58" t="s">
        <v>11023</v>
      </c>
      <c r="E1422" s="58" t="s">
        <v>7951</v>
      </c>
      <c r="F1422" s="8" t="s">
        <v>7952</v>
      </c>
      <c r="G1422" s="8"/>
      <c r="H1422" s="88">
        <v>2750.0</v>
      </c>
      <c r="I1422" s="58" t="s">
        <v>1934</v>
      </c>
      <c r="J1422" s="8" t="s">
        <v>1424</v>
      </c>
      <c r="K1422" s="8" t="s">
        <v>49</v>
      </c>
      <c r="L1422" s="8" t="s">
        <v>71</v>
      </c>
      <c r="M1422" s="8" t="s">
        <v>28</v>
      </c>
      <c r="N1422" s="88">
        <v>20239.0</v>
      </c>
      <c r="O1422" s="88">
        <v>22919.0</v>
      </c>
      <c r="P1422" s="6">
        <v>52.0</v>
      </c>
      <c r="Q1422" s="8">
        <f t="shared" si="42"/>
        <v>10524.28</v>
      </c>
    </row>
    <row r="1423">
      <c r="A1423" s="8" t="s">
        <v>8381</v>
      </c>
      <c r="B1423" s="58" t="s">
        <v>8365</v>
      </c>
      <c r="C1423" s="8" t="s">
        <v>1395</v>
      </c>
      <c r="D1423" s="58" t="s">
        <v>2912</v>
      </c>
      <c r="E1423" s="58" t="s">
        <v>8366</v>
      </c>
      <c r="F1423" s="8" t="s">
        <v>11024</v>
      </c>
      <c r="G1423" s="8"/>
      <c r="H1423" s="88">
        <v>1600.0</v>
      </c>
      <c r="I1423" s="58" t="s">
        <v>6378</v>
      </c>
      <c r="J1423" s="8" t="s">
        <v>1424</v>
      </c>
      <c r="K1423" s="8" t="s">
        <v>49</v>
      </c>
      <c r="L1423" s="8" t="s">
        <v>71</v>
      </c>
      <c r="M1423" s="8" t="s">
        <v>28</v>
      </c>
      <c r="N1423" s="88">
        <v>19203.0</v>
      </c>
      <c r="O1423" s="88">
        <v>21697.0</v>
      </c>
      <c r="P1423" s="6">
        <v>52.0</v>
      </c>
      <c r="Q1423" s="8">
        <f t="shared" si="42"/>
        <v>9985.56</v>
      </c>
    </row>
    <row r="1424">
      <c r="A1424" s="8" t="s">
        <v>8381</v>
      </c>
      <c r="B1424" s="133" t="s">
        <v>3488</v>
      </c>
      <c r="C1424" s="8" t="s">
        <v>533</v>
      </c>
      <c r="D1424" s="58" t="s">
        <v>11025</v>
      </c>
      <c r="E1424" s="58" t="s">
        <v>10545</v>
      </c>
      <c r="F1424" s="8"/>
      <c r="G1424" s="8"/>
      <c r="H1424" s="88">
        <v>2500.0</v>
      </c>
      <c r="I1424" s="58" t="s">
        <v>6378</v>
      </c>
      <c r="J1424" s="8" t="s">
        <v>9300</v>
      </c>
      <c r="K1424" s="8" t="s">
        <v>49</v>
      </c>
      <c r="L1424" s="8" t="s">
        <v>27</v>
      </c>
      <c r="M1424" s="8" t="s">
        <v>28</v>
      </c>
      <c r="N1424" s="88">
        <v>13474.0</v>
      </c>
      <c r="O1424" s="88">
        <v>15900.0</v>
      </c>
      <c r="P1424" s="6">
        <v>27.0</v>
      </c>
      <c r="Q1424" s="8">
        <f t="shared" si="42"/>
        <v>3637.98</v>
      </c>
    </row>
    <row r="1425">
      <c r="A1425" s="8" t="s">
        <v>8381</v>
      </c>
      <c r="B1425" s="92" t="s">
        <v>11026</v>
      </c>
      <c r="C1425" s="8" t="s">
        <v>21</v>
      </c>
      <c r="D1425" s="58" t="s">
        <v>11027</v>
      </c>
      <c r="E1425" s="58" t="s">
        <v>11028</v>
      </c>
      <c r="F1425" s="8" t="s">
        <v>11029</v>
      </c>
      <c r="G1425" s="8"/>
      <c r="H1425" s="88">
        <v>13850.0</v>
      </c>
      <c r="I1425" s="58" t="s">
        <v>18</v>
      </c>
      <c r="J1425" s="8" t="s">
        <v>116</v>
      </c>
      <c r="K1425" s="8" t="s">
        <v>49</v>
      </c>
      <c r="L1425" s="8" t="s">
        <v>365</v>
      </c>
      <c r="M1425" s="8" t="s">
        <v>28</v>
      </c>
      <c r="N1425" s="90">
        <v>51105.0</v>
      </c>
      <c r="O1425" s="90">
        <v>58181.0</v>
      </c>
      <c r="P1425" s="6">
        <v>17.0</v>
      </c>
      <c r="Q1425" s="8">
        <f t="shared" si="42"/>
        <v>8687.85</v>
      </c>
    </row>
    <row r="1426">
      <c r="A1426" s="8" t="s">
        <v>1938</v>
      </c>
      <c r="B1426" s="92" t="s">
        <v>11030</v>
      </c>
      <c r="C1426" s="8" t="s">
        <v>1395</v>
      </c>
      <c r="D1426" s="58" t="s">
        <v>741</v>
      </c>
      <c r="E1426" s="58" t="s">
        <v>11031</v>
      </c>
      <c r="F1426" s="8" t="s">
        <v>11032</v>
      </c>
      <c r="G1426" s="8"/>
      <c r="H1426" s="88">
        <v>3490.0</v>
      </c>
      <c r="I1426" s="58" t="s">
        <v>1567</v>
      </c>
      <c r="J1426" s="8" t="s">
        <v>116</v>
      </c>
      <c r="K1426" s="8" t="s">
        <v>49</v>
      </c>
      <c r="L1426" s="8" t="s">
        <v>365</v>
      </c>
      <c r="M1426" s="8" t="s">
        <v>28</v>
      </c>
      <c r="N1426" s="90">
        <v>22307.0</v>
      </c>
      <c r="O1426" s="90">
        <v>25355.0</v>
      </c>
      <c r="P1426" s="6">
        <v>48.0</v>
      </c>
      <c r="Q1426" s="8">
        <f t="shared" si="42"/>
        <v>10707.36</v>
      </c>
    </row>
    <row r="1427">
      <c r="A1427" s="8" t="s">
        <v>1938</v>
      </c>
      <c r="B1427" s="58" t="s">
        <v>8393</v>
      </c>
      <c r="C1427" s="8" t="s">
        <v>21</v>
      </c>
      <c r="D1427" s="58" t="s">
        <v>11033</v>
      </c>
      <c r="E1427" s="58" t="s">
        <v>8394</v>
      </c>
      <c r="F1427" s="8">
        <v>9.825764903E9</v>
      </c>
      <c r="G1427" s="8"/>
      <c r="H1427" s="88">
        <v>11250.0</v>
      </c>
      <c r="I1427" s="58" t="s">
        <v>1947</v>
      </c>
      <c r="J1427" s="8" t="s">
        <v>353</v>
      </c>
      <c r="K1427" s="8" t="s">
        <v>49</v>
      </c>
      <c r="L1427" s="8" t="s">
        <v>71</v>
      </c>
      <c r="M1427" s="8" t="s">
        <v>28</v>
      </c>
      <c r="N1427" s="90">
        <v>32199.0</v>
      </c>
      <c r="O1427" s="90">
        <v>36364.0</v>
      </c>
      <c r="P1427" s="6">
        <v>25.0</v>
      </c>
      <c r="Q1427" s="8">
        <f t="shared" si="42"/>
        <v>8049.75</v>
      </c>
    </row>
    <row r="1428">
      <c r="A1428" s="8" t="s">
        <v>1938</v>
      </c>
      <c r="B1428" s="83" t="s">
        <v>5902</v>
      </c>
      <c r="C1428" s="8" t="s">
        <v>1395</v>
      </c>
      <c r="D1428" s="58" t="s">
        <v>741</v>
      </c>
      <c r="E1428" s="58" t="s">
        <v>5904</v>
      </c>
      <c r="F1428" s="8"/>
      <c r="G1428" s="8"/>
      <c r="H1428" s="88">
        <v>3490.0</v>
      </c>
      <c r="I1428" s="58" t="s">
        <v>1943</v>
      </c>
      <c r="J1428" s="8" t="s">
        <v>116</v>
      </c>
      <c r="K1428" s="8" t="s">
        <v>49</v>
      </c>
      <c r="L1428" s="8" t="s">
        <v>389</v>
      </c>
      <c r="M1428" s="8" t="s">
        <v>28</v>
      </c>
      <c r="N1428" s="90">
        <v>20981.0</v>
      </c>
      <c r="O1428" s="90">
        <v>23789.0</v>
      </c>
      <c r="P1428" s="6">
        <v>48.0</v>
      </c>
      <c r="Q1428" s="8">
        <f t="shared" si="42"/>
        <v>10070.88</v>
      </c>
    </row>
    <row r="1429">
      <c r="A1429" s="8" t="s">
        <v>1938</v>
      </c>
      <c r="B1429" s="83" t="s">
        <v>11034</v>
      </c>
      <c r="C1429" s="8" t="s">
        <v>1395</v>
      </c>
      <c r="D1429" s="58" t="s">
        <v>9479</v>
      </c>
      <c r="E1429" s="58" t="s">
        <v>11035</v>
      </c>
      <c r="F1429" s="8" t="s">
        <v>1551</v>
      </c>
      <c r="G1429" s="8"/>
      <c r="H1429" s="88">
        <v>3490.0</v>
      </c>
      <c r="I1429" s="58" t="s">
        <v>6378</v>
      </c>
      <c r="J1429" s="8" t="s">
        <v>1419</v>
      </c>
      <c r="K1429" s="8" t="s">
        <v>49</v>
      </c>
      <c r="L1429" s="8" t="s">
        <v>27</v>
      </c>
      <c r="M1429" s="8" t="s">
        <v>28</v>
      </c>
      <c r="N1429" s="88">
        <v>21899.0</v>
      </c>
      <c r="O1429" s="88">
        <v>24877.0</v>
      </c>
      <c r="P1429" s="6">
        <v>51.0</v>
      </c>
      <c r="Q1429" s="8">
        <f t="shared" si="42"/>
        <v>11168.49</v>
      </c>
    </row>
    <row r="1430">
      <c r="A1430" s="8" t="s">
        <v>1938</v>
      </c>
      <c r="B1430" s="58" t="s">
        <v>11036</v>
      </c>
      <c r="C1430" s="8" t="s">
        <v>21</v>
      </c>
      <c r="D1430" s="58" t="s">
        <v>11037</v>
      </c>
      <c r="E1430" s="58" t="s">
        <v>11038</v>
      </c>
      <c r="F1430" s="8" t="s">
        <v>11039</v>
      </c>
      <c r="G1430" s="8"/>
      <c r="H1430" s="88">
        <v>11990.0</v>
      </c>
      <c r="I1430" s="58" t="s">
        <v>1567</v>
      </c>
      <c r="J1430" s="8" t="s">
        <v>353</v>
      </c>
      <c r="K1430" s="8" t="s">
        <v>49</v>
      </c>
      <c r="L1430" s="8" t="s">
        <v>219</v>
      </c>
      <c r="M1430" s="8" t="s">
        <v>28</v>
      </c>
      <c r="N1430" s="90">
        <v>43828.0</v>
      </c>
      <c r="O1430" s="90">
        <v>50086.0</v>
      </c>
      <c r="P1430" s="6">
        <v>25.0</v>
      </c>
      <c r="Q1430" s="8">
        <f t="shared" si="42"/>
        <v>10957</v>
      </c>
    </row>
    <row r="1431">
      <c r="A1431" s="8" t="s">
        <v>1944</v>
      </c>
      <c r="B1431" s="58" t="s">
        <v>11040</v>
      </c>
      <c r="C1431" s="8" t="s">
        <v>1405</v>
      </c>
      <c r="D1431" s="58" t="s">
        <v>1479</v>
      </c>
      <c r="E1431" s="58" t="s">
        <v>11041</v>
      </c>
      <c r="F1431" s="8">
        <v>9.727557685E9</v>
      </c>
      <c r="G1431" s="8"/>
      <c r="H1431" s="88">
        <v>990.0</v>
      </c>
      <c r="I1431" s="58" t="s">
        <v>1567</v>
      </c>
      <c r="J1431" s="8" t="s">
        <v>1419</v>
      </c>
      <c r="K1431" s="8" t="s">
        <v>49</v>
      </c>
      <c r="L1431" s="8" t="s">
        <v>185</v>
      </c>
      <c r="M1431" s="8" t="s">
        <v>28</v>
      </c>
      <c r="N1431" s="88">
        <v>5331.0</v>
      </c>
      <c r="O1431" s="88">
        <v>6023.0</v>
      </c>
      <c r="P1431" s="6">
        <v>52.0</v>
      </c>
      <c r="Q1431" s="8">
        <f t="shared" si="42"/>
        <v>2772.12</v>
      </c>
    </row>
    <row r="1432">
      <c r="A1432" s="8" t="s">
        <v>1563</v>
      </c>
      <c r="B1432" s="58" t="s">
        <v>8389</v>
      </c>
      <c r="C1432" s="8" t="s">
        <v>21</v>
      </c>
      <c r="D1432" s="58" t="s">
        <v>11042</v>
      </c>
      <c r="E1432" s="58" t="s">
        <v>11043</v>
      </c>
      <c r="F1432" s="8">
        <v>9.97938312E9</v>
      </c>
      <c r="G1432" s="8"/>
      <c r="H1432" s="88">
        <v>35000.0</v>
      </c>
      <c r="I1432" s="58" t="s">
        <v>1952</v>
      </c>
      <c r="J1432" s="8" t="s">
        <v>353</v>
      </c>
      <c r="K1432" s="8" t="s">
        <v>49</v>
      </c>
      <c r="L1432" s="8" t="s">
        <v>71</v>
      </c>
      <c r="M1432" s="8" t="s">
        <v>28</v>
      </c>
      <c r="N1432" s="90">
        <v>71402.0</v>
      </c>
      <c r="O1432" s="90">
        <v>81617.0</v>
      </c>
      <c r="P1432" s="6">
        <v>26.0</v>
      </c>
      <c r="Q1432" s="8">
        <f t="shared" si="42"/>
        <v>18564.52</v>
      </c>
    </row>
    <row r="1433">
      <c r="A1433" s="8" t="s">
        <v>1563</v>
      </c>
      <c r="B1433" s="83" t="s">
        <v>11044</v>
      </c>
      <c r="C1433" s="8" t="s">
        <v>21</v>
      </c>
      <c r="D1433" s="58" t="s">
        <v>11045</v>
      </c>
      <c r="E1433" s="58" t="s">
        <v>11046</v>
      </c>
      <c r="F1433" s="8">
        <v>9.925968917E9</v>
      </c>
      <c r="G1433" s="8"/>
      <c r="H1433" s="88">
        <v>11990.0</v>
      </c>
      <c r="I1433" s="58" t="s">
        <v>1567</v>
      </c>
      <c r="J1433" s="8" t="s">
        <v>1424</v>
      </c>
      <c r="K1433" s="8" t="s">
        <v>49</v>
      </c>
      <c r="L1433" s="8" t="s">
        <v>27</v>
      </c>
      <c r="M1433" s="8" t="s">
        <v>28</v>
      </c>
      <c r="N1433" s="88">
        <v>30349.0</v>
      </c>
      <c r="O1433" s="88">
        <v>34181.0</v>
      </c>
      <c r="P1433" s="6">
        <v>23.0</v>
      </c>
      <c r="Q1433" s="8">
        <f t="shared" si="42"/>
        <v>6980.27</v>
      </c>
    </row>
    <row r="1434">
      <c r="A1434" s="8" t="s">
        <v>1563</v>
      </c>
      <c r="B1434" s="58" t="s">
        <v>11047</v>
      </c>
      <c r="C1434" s="8" t="s">
        <v>1395</v>
      </c>
      <c r="D1434" s="58" t="s">
        <v>2186</v>
      </c>
      <c r="E1434" s="58" t="s">
        <v>11048</v>
      </c>
      <c r="F1434" s="8" t="s">
        <v>11049</v>
      </c>
      <c r="G1434" s="8"/>
      <c r="H1434" s="88">
        <v>2960.0</v>
      </c>
      <c r="I1434" s="58" t="s">
        <v>1567</v>
      </c>
      <c r="J1434" s="8" t="s">
        <v>116</v>
      </c>
      <c r="K1434" s="8" t="s">
        <v>49</v>
      </c>
      <c r="L1434" s="8" t="s">
        <v>219</v>
      </c>
      <c r="M1434" s="8" t="s">
        <v>28</v>
      </c>
      <c r="N1434" s="134">
        <v>18511.0</v>
      </c>
      <c r="O1434" s="134">
        <v>20875.0</v>
      </c>
      <c r="P1434" s="6">
        <v>48.0</v>
      </c>
      <c r="Q1434" s="8">
        <f t="shared" si="42"/>
        <v>8885.28</v>
      </c>
    </row>
    <row r="1435">
      <c r="A1435" s="8" t="s">
        <v>1916</v>
      </c>
      <c r="B1435" s="58" t="s">
        <v>11050</v>
      </c>
      <c r="C1435" s="8" t="s">
        <v>533</v>
      </c>
      <c r="D1435" s="58" t="s">
        <v>11051</v>
      </c>
      <c r="E1435" s="58" t="s">
        <v>11052</v>
      </c>
      <c r="F1435" s="8" t="s">
        <v>11053</v>
      </c>
      <c r="G1435" s="8" t="s">
        <v>11054</v>
      </c>
      <c r="H1435" s="8"/>
      <c r="I1435" s="58" t="s">
        <v>1952</v>
      </c>
      <c r="J1435" s="8" t="s">
        <v>1424</v>
      </c>
      <c r="K1435" s="8" t="s">
        <v>49</v>
      </c>
      <c r="L1435" s="8" t="s">
        <v>219</v>
      </c>
      <c r="M1435" s="8" t="s">
        <v>28</v>
      </c>
      <c r="N1435" s="88">
        <v>7317.0</v>
      </c>
      <c r="O1435" s="88">
        <v>8635.0</v>
      </c>
      <c r="P1435" s="6">
        <v>30.0</v>
      </c>
      <c r="Q1435" s="8">
        <f t="shared" si="42"/>
        <v>2195.1</v>
      </c>
    </row>
    <row r="1436">
      <c r="A1436" s="8" t="s">
        <v>1916</v>
      </c>
      <c r="B1436" s="58" t="s">
        <v>11055</v>
      </c>
      <c r="C1436" s="8" t="s">
        <v>21</v>
      </c>
      <c r="D1436" s="58" t="s">
        <v>11056</v>
      </c>
      <c r="E1436" s="58" t="s">
        <v>2595</v>
      </c>
      <c r="F1436" s="8" t="s">
        <v>2308</v>
      </c>
      <c r="G1436" s="8"/>
      <c r="H1436" s="88">
        <v>17750.0</v>
      </c>
      <c r="I1436" s="58" t="s">
        <v>1952</v>
      </c>
      <c r="J1436" s="8" t="s">
        <v>78</v>
      </c>
      <c r="K1436" s="8" t="s">
        <v>49</v>
      </c>
      <c r="L1436" s="8" t="s">
        <v>27</v>
      </c>
      <c r="M1436" s="8" t="s">
        <v>28</v>
      </c>
      <c r="N1436" s="90">
        <v>58275.63</v>
      </c>
      <c r="O1436" s="97">
        <v>66646.0</v>
      </c>
      <c r="P1436" s="6">
        <v>24.0</v>
      </c>
      <c r="Q1436" s="8">
        <f t="shared" si="42"/>
        <v>13986.1512</v>
      </c>
    </row>
    <row r="1437">
      <c r="A1437" s="8" t="s">
        <v>1916</v>
      </c>
      <c r="B1437" s="58" t="s">
        <v>11057</v>
      </c>
      <c r="C1437" s="8" t="s">
        <v>1395</v>
      </c>
      <c r="D1437" s="58" t="s">
        <v>11058</v>
      </c>
      <c r="E1437" s="58" t="s">
        <v>11059</v>
      </c>
      <c r="F1437" s="8" t="s">
        <v>11060</v>
      </c>
      <c r="G1437" s="8"/>
      <c r="H1437" s="88">
        <v>3425.0</v>
      </c>
      <c r="I1437" s="58" t="s">
        <v>2319</v>
      </c>
      <c r="J1437" s="8" t="s">
        <v>116</v>
      </c>
      <c r="K1437" s="8" t="s">
        <v>49</v>
      </c>
      <c r="L1437" s="8" t="s">
        <v>1616</v>
      </c>
      <c r="M1437" s="8" t="s">
        <v>28</v>
      </c>
      <c r="N1437" s="90">
        <v>18241.0</v>
      </c>
      <c r="O1437" s="90">
        <v>20557.0</v>
      </c>
      <c r="P1437" s="6">
        <v>48.0</v>
      </c>
      <c r="Q1437" s="8">
        <f t="shared" si="42"/>
        <v>8755.68</v>
      </c>
    </row>
    <row r="1438">
      <c r="A1438" s="93"/>
      <c r="B1438" s="58"/>
      <c r="C1438" s="58"/>
      <c r="D1438" s="58"/>
      <c r="E1438" s="58"/>
      <c r="F1438" s="58"/>
      <c r="G1438" s="58"/>
      <c r="H1438" s="88"/>
      <c r="I1438" s="88"/>
      <c r="J1438" s="58"/>
      <c r="K1438" s="58"/>
      <c r="L1438" s="58"/>
      <c r="M1438" s="58"/>
      <c r="N1438" s="88"/>
      <c r="O1438" s="88"/>
    </row>
    <row r="1439">
      <c r="A1439" s="93"/>
      <c r="B1439" s="58"/>
      <c r="C1439" s="58"/>
      <c r="D1439" s="58"/>
      <c r="E1439" s="58"/>
      <c r="F1439" s="58"/>
      <c r="G1439" s="58"/>
      <c r="H1439" s="88"/>
      <c r="I1439" s="88"/>
      <c r="J1439" s="58"/>
      <c r="K1439" s="58"/>
      <c r="L1439" s="58"/>
      <c r="M1439" s="58"/>
      <c r="N1439" s="88"/>
      <c r="O1439" s="88"/>
    </row>
    <row r="1440">
      <c r="A1440" s="8" t="s">
        <v>1563</v>
      </c>
      <c r="B1440" s="131" t="s">
        <v>5928</v>
      </c>
      <c r="C1440" s="8" t="s">
        <v>1395</v>
      </c>
      <c r="D1440" s="8" t="s">
        <v>2116</v>
      </c>
      <c r="E1440" s="8" t="s">
        <v>11061</v>
      </c>
      <c r="F1440" s="8" t="s">
        <v>8420</v>
      </c>
      <c r="G1440" s="8"/>
      <c r="H1440" s="21">
        <v>1600.0</v>
      </c>
      <c r="I1440" s="8" t="s">
        <v>1921</v>
      </c>
      <c r="J1440" s="8" t="s">
        <v>1424</v>
      </c>
      <c r="K1440" s="8" t="s">
        <v>49</v>
      </c>
      <c r="L1440" s="8" t="s">
        <v>71</v>
      </c>
      <c r="M1440" s="8" t="s">
        <v>28</v>
      </c>
      <c r="N1440" s="21">
        <v>19031.0</v>
      </c>
      <c r="O1440" s="21">
        <v>21493.0</v>
      </c>
      <c r="P1440" s="6">
        <v>52.0</v>
      </c>
      <c r="Q1440" s="8">
        <f t="shared" ref="Q1440:Q1489" si="43">N1440*P1440%</f>
        <v>9896.12</v>
      </c>
    </row>
    <row r="1441">
      <c r="A1441" s="8" t="s">
        <v>1590</v>
      </c>
      <c r="B1441" s="8" t="s">
        <v>11062</v>
      </c>
      <c r="C1441" s="8" t="s">
        <v>533</v>
      </c>
      <c r="D1441" s="8" t="s">
        <v>10842</v>
      </c>
      <c r="E1441" s="8" t="s">
        <v>11063</v>
      </c>
      <c r="F1441" s="8" t="s">
        <v>11064</v>
      </c>
      <c r="G1441" s="8"/>
      <c r="H1441" s="21">
        <v>0.0</v>
      </c>
      <c r="I1441" s="8" t="s">
        <v>2317</v>
      </c>
      <c r="J1441" s="8" t="s">
        <v>1424</v>
      </c>
      <c r="K1441" s="8" t="s">
        <v>49</v>
      </c>
      <c r="L1441" s="8" t="s">
        <v>144</v>
      </c>
      <c r="M1441" s="8" t="s">
        <v>28</v>
      </c>
      <c r="N1441" s="21">
        <v>7317.0</v>
      </c>
      <c r="O1441" s="21">
        <v>8635.0</v>
      </c>
      <c r="P1441" s="6">
        <v>30.0</v>
      </c>
      <c r="Q1441" s="8">
        <f t="shared" si="43"/>
        <v>2195.1</v>
      </c>
    </row>
    <row r="1442">
      <c r="A1442" s="8" t="s">
        <v>1590</v>
      </c>
      <c r="B1442" s="8" t="s">
        <v>11065</v>
      </c>
      <c r="C1442" s="8" t="s">
        <v>21</v>
      </c>
      <c r="D1442" s="8" t="s">
        <v>11066</v>
      </c>
      <c r="E1442" s="8" t="s">
        <v>11067</v>
      </c>
      <c r="F1442" s="8" t="s">
        <v>11068</v>
      </c>
      <c r="G1442" s="8"/>
      <c r="H1442" s="21">
        <v>35000.0</v>
      </c>
      <c r="I1442" s="8" t="s">
        <v>2319</v>
      </c>
      <c r="J1442" s="8" t="s">
        <v>353</v>
      </c>
      <c r="K1442" s="8" t="s">
        <v>49</v>
      </c>
      <c r="L1442" s="8" t="s">
        <v>219</v>
      </c>
      <c r="M1442" s="8" t="s">
        <v>28</v>
      </c>
      <c r="N1442" s="97">
        <v>78979.0</v>
      </c>
      <c r="O1442" s="97">
        <v>90558.0</v>
      </c>
      <c r="P1442" s="5">
        <v>26.0</v>
      </c>
      <c r="Q1442" s="8">
        <f t="shared" si="43"/>
        <v>20534.54</v>
      </c>
    </row>
    <row r="1443">
      <c r="A1443" s="8" t="s">
        <v>1590</v>
      </c>
      <c r="B1443" s="8" t="s">
        <v>11069</v>
      </c>
      <c r="C1443" s="8" t="s">
        <v>533</v>
      </c>
      <c r="D1443" s="8" t="s">
        <v>11070</v>
      </c>
      <c r="E1443" s="8" t="s">
        <v>11063</v>
      </c>
      <c r="F1443" s="8" t="s">
        <v>11064</v>
      </c>
      <c r="G1443" s="8"/>
      <c r="H1443" s="21">
        <v>0.0</v>
      </c>
      <c r="I1443" s="8" t="s">
        <v>2317</v>
      </c>
      <c r="J1443" s="8" t="s">
        <v>1424</v>
      </c>
      <c r="K1443" s="8" t="s">
        <v>26</v>
      </c>
      <c r="L1443" s="8" t="s">
        <v>185</v>
      </c>
      <c r="M1443" s="8" t="s">
        <v>28</v>
      </c>
      <c r="N1443" s="21">
        <v>7317.0</v>
      </c>
      <c r="O1443" s="21">
        <v>8635.0</v>
      </c>
      <c r="P1443" s="6">
        <v>30.0</v>
      </c>
      <c r="Q1443" s="8">
        <f t="shared" si="43"/>
        <v>2195.1</v>
      </c>
    </row>
    <row r="1444">
      <c r="A1444" s="8" t="s">
        <v>1590</v>
      </c>
      <c r="B1444" s="8" t="s">
        <v>6651</v>
      </c>
      <c r="C1444" s="8" t="s">
        <v>1395</v>
      </c>
      <c r="D1444" s="8" t="s">
        <v>2186</v>
      </c>
      <c r="E1444" s="8" t="s">
        <v>8306</v>
      </c>
      <c r="F1444" s="8" t="s">
        <v>11071</v>
      </c>
      <c r="G1444" s="8"/>
      <c r="H1444" s="21">
        <v>2960.0</v>
      </c>
      <c r="I1444" s="8" t="s">
        <v>34</v>
      </c>
      <c r="J1444" s="8" t="s">
        <v>116</v>
      </c>
      <c r="K1444" s="8" t="s">
        <v>49</v>
      </c>
      <c r="L1444" s="8" t="s">
        <v>71</v>
      </c>
      <c r="M1444" s="8" t="s">
        <v>28</v>
      </c>
      <c r="N1444" s="97">
        <v>17935.0</v>
      </c>
      <c r="O1444" s="97">
        <v>20196.0</v>
      </c>
      <c r="P1444" s="5">
        <v>48.0</v>
      </c>
      <c r="Q1444" s="8">
        <f t="shared" si="43"/>
        <v>8608.8</v>
      </c>
    </row>
    <row r="1445">
      <c r="A1445" s="8" t="s">
        <v>51</v>
      </c>
      <c r="B1445" s="8" t="s">
        <v>598</v>
      </c>
      <c r="C1445" s="8" t="s">
        <v>21</v>
      </c>
      <c r="D1445" s="8" t="s">
        <v>11072</v>
      </c>
      <c r="E1445" s="8" t="s">
        <v>6487</v>
      </c>
      <c r="F1445" s="8" t="s">
        <v>11073</v>
      </c>
      <c r="G1445" s="8"/>
      <c r="H1445" s="21">
        <v>42000.0</v>
      </c>
      <c r="I1445" s="8" t="s">
        <v>57</v>
      </c>
      <c r="J1445" s="8" t="s">
        <v>353</v>
      </c>
      <c r="K1445" s="8" t="s">
        <v>49</v>
      </c>
      <c r="L1445" s="8" t="s">
        <v>1616</v>
      </c>
      <c r="M1445" s="8" t="s">
        <v>28</v>
      </c>
      <c r="N1445" s="97">
        <v>49489.0</v>
      </c>
      <c r="O1445" s="97">
        <v>55743.0</v>
      </c>
      <c r="P1445" s="5">
        <v>26.0</v>
      </c>
      <c r="Q1445" s="8">
        <f t="shared" si="43"/>
        <v>12867.14</v>
      </c>
    </row>
    <row r="1446">
      <c r="A1446" s="8" t="s">
        <v>57</v>
      </c>
      <c r="B1446" s="8" t="s">
        <v>8492</v>
      </c>
      <c r="C1446" s="8" t="s">
        <v>1395</v>
      </c>
      <c r="D1446" s="8" t="s">
        <v>11074</v>
      </c>
      <c r="E1446" s="8" t="s">
        <v>11075</v>
      </c>
      <c r="F1446" s="8">
        <v>9.879793917E9</v>
      </c>
      <c r="G1446" s="8"/>
      <c r="H1446" s="21">
        <v>2565.0</v>
      </c>
      <c r="I1446" s="8" t="s">
        <v>90</v>
      </c>
      <c r="J1446" s="8" t="s">
        <v>1424</v>
      </c>
      <c r="K1446" s="8" t="s">
        <v>49</v>
      </c>
      <c r="L1446" s="8" t="s">
        <v>71</v>
      </c>
      <c r="M1446" s="8" t="s">
        <v>28</v>
      </c>
      <c r="N1446" s="21">
        <v>20359.0</v>
      </c>
      <c r="O1446" s="21">
        <v>23061.0</v>
      </c>
      <c r="P1446" s="6">
        <v>52.0</v>
      </c>
      <c r="Q1446" s="8">
        <f t="shared" si="43"/>
        <v>10586.68</v>
      </c>
    </row>
    <row r="1447">
      <c r="A1447" s="8" t="s">
        <v>57</v>
      </c>
      <c r="B1447" s="8" t="s">
        <v>8264</v>
      </c>
      <c r="C1447" s="8" t="s">
        <v>1395</v>
      </c>
      <c r="D1447" s="8" t="s">
        <v>11076</v>
      </c>
      <c r="E1447" s="8" t="s">
        <v>9921</v>
      </c>
      <c r="F1447" s="8">
        <v>9.636001977E9</v>
      </c>
      <c r="G1447" s="8"/>
      <c r="H1447" s="21">
        <v>3490.0</v>
      </c>
      <c r="I1447" s="8" t="s">
        <v>90</v>
      </c>
      <c r="J1447" s="8" t="s">
        <v>116</v>
      </c>
      <c r="K1447" s="8" t="s">
        <v>49</v>
      </c>
      <c r="L1447" s="8" t="s">
        <v>71</v>
      </c>
      <c r="M1447" s="8" t="s">
        <v>28</v>
      </c>
      <c r="N1447" s="96">
        <v>21156.0</v>
      </c>
      <c r="O1447" s="96">
        <v>23995.0</v>
      </c>
      <c r="P1447" s="5">
        <v>48.0</v>
      </c>
      <c r="Q1447" s="8">
        <f t="shared" si="43"/>
        <v>10154.88</v>
      </c>
    </row>
    <row r="1448">
      <c r="A1448" s="8" t="s">
        <v>1912</v>
      </c>
      <c r="B1448" s="8" t="s">
        <v>8495</v>
      </c>
      <c r="C1448" s="8" t="s">
        <v>1395</v>
      </c>
      <c r="D1448" s="8" t="s">
        <v>1422</v>
      </c>
      <c r="E1448" s="8" t="s">
        <v>8496</v>
      </c>
      <c r="F1448" s="8">
        <v>9.998941544E9</v>
      </c>
      <c r="G1448" s="8"/>
      <c r="H1448" s="21">
        <v>2735.0</v>
      </c>
      <c r="I1448" s="8" t="s">
        <v>72</v>
      </c>
      <c r="J1448" s="8" t="s">
        <v>1424</v>
      </c>
      <c r="K1448" s="8" t="s">
        <v>49</v>
      </c>
      <c r="L1448" s="8" t="s">
        <v>71</v>
      </c>
      <c r="M1448" s="8" t="s">
        <v>28</v>
      </c>
      <c r="N1448" s="21">
        <v>21168.0</v>
      </c>
      <c r="O1448" s="21">
        <v>24016.0</v>
      </c>
      <c r="P1448" s="6">
        <v>52.0</v>
      </c>
      <c r="Q1448" s="8">
        <f t="shared" si="43"/>
        <v>11007.36</v>
      </c>
    </row>
    <row r="1449">
      <c r="A1449" s="8" t="s">
        <v>1912</v>
      </c>
      <c r="B1449" s="133" t="s">
        <v>11077</v>
      </c>
      <c r="C1449" s="8" t="s">
        <v>533</v>
      </c>
      <c r="D1449" s="8" t="s">
        <v>11078</v>
      </c>
      <c r="E1449" s="8" t="s">
        <v>11079</v>
      </c>
      <c r="F1449" s="8"/>
      <c r="G1449" s="8"/>
      <c r="H1449" s="21">
        <v>2250.0</v>
      </c>
      <c r="I1449" s="8" t="s">
        <v>57</v>
      </c>
      <c r="J1449" s="8" t="s">
        <v>70</v>
      </c>
      <c r="K1449" s="8" t="s">
        <v>49</v>
      </c>
      <c r="L1449" s="8" t="s">
        <v>27</v>
      </c>
      <c r="M1449" s="8" t="s">
        <v>28</v>
      </c>
      <c r="N1449" s="96">
        <v>7719.0</v>
      </c>
      <c r="O1449" s="96">
        <v>9108.0</v>
      </c>
      <c r="P1449" s="5">
        <v>50.0</v>
      </c>
      <c r="Q1449" s="8">
        <f t="shared" si="43"/>
        <v>3859.5</v>
      </c>
    </row>
    <row r="1450">
      <c r="A1450" s="8" t="s">
        <v>72</v>
      </c>
      <c r="B1450" s="8" t="s">
        <v>11080</v>
      </c>
      <c r="C1450" s="8" t="s">
        <v>1395</v>
      </c>
      <c r="D1450" s="8" t="s">
        <v>11005</v>
      </c>
      <c r="E1450" s="8" t="s">
        <v>11081</v>
      </c>
      <c r="F1450" s="8" t="s">
        <v>11082</v>
      </c>
      <c r="G1450" s="8"/>
      <c r="H1450" s="21">
        <v>2825.0</v>
      </c>
      <c r="I1450" s="8" t="s">
        <v>72</v>
      </c>
      <c r="J1450" s="8" t="s">
        <v>1419</v>
      </c>
      <c r="K1450" s="8" t="s">
        <v>49</v>
      </c>
      <c r="L1450" s="8" t="s">
        <v>144</v>
      </c>
      <c r="M1450" s="8" t="s">
        <v>28</v>
      </c>
      <c r="N1450" s="21">
        <v>23106.0</v>
      </c>
      <c r="O1450" s="21">
        <v>26302.0</v>
      </c>
      <c r="P1450" s="5">
        <v>51.0</v>
      </c>
      <c r="Q1450" s="8">
        <f t="shared" si="43"/>
        <v>11784.06</v>
      </c>
    </row>
    <row r="1451">
      <c r="A1451" s="8" t="s">
        <v>90</v>
      </c>
      <c r="B1451" s="58" t="s">
        <v>11083</v>
      </c>
      <c r="C1451" s="8" t="s">
        <v>21</v>
      </c>
      <c r="D1451" s="58" t="s">
        <v>11084</v>
      </c>
      <c r="E1451" s="58" t="s">
        <v>11085</v>
      </c>
      <c r="F1451" s="8">
        <v>9.727433133E9</v>
      </c>
      <c r="G1451" s="8"/>
      <c r="H1451" s="88">
        <v>10700.0</v>
      </c>
      <c r="I1451" s="58" t="s">
        <v>72</v>
      </c>
      <c r="J1451" s="8" t="s">
        <v>353</v>
      </c>
      <c r="K1451" s="8" t="s">
        <v>49</v>
      </c>
      <c r="L1451" s="8" t="s">
        <v>27</v>
      </c>
      <c r="M1451" s="8" t="s">
        <v>28</v>
      </c>
      <c r="N1451" s="90">
        <v>41071.0</v>
      </c>
      <c r="O1451" s="90">
        <v>46833.0</v>
      </c>
      <c r="P1451" s="5">
        <v>25.0</v>
      </c>
      <c r="Q1451" s="8">
        <f t="shared" si="43"/>
        <v>10267.75</v>
      </c>
    </row>
    <row r="1452">
      <c r="A1452" s="8" t="s">
        <v>90</v>
      </c>
      <c r="B1452" s="8" t="s">
        <v>211</v>
      </c>
      <c r="C1452" s="8" t="s">
        <v>1405</v>
      </c>
      <c r="D1452" s="8" t="s">
        <v>11086</v>
      </c>
      <c r="E1452" s="8" t="s">
        <v>11087</v>
      </c>
      <c r="F1452" s="8">
        <v>9.726929433E9</v>
      </c>
      <c r="G1452" s="8"/>
      <c r="H1452" s="21">
        <v>1250.0</v>
      </c>
      <c r="I1452" s="8" t="s">
        <v>121</v>
      </c>
      <c r="J1452" s="8" t="s">
        <v>1419</v>
      </c>
      <c r="K1452" s="8" t="s">
        <v>49</v>
      </c>
      <c r="L1452" s="8" t="s">
        <v>1436</v>
      </c>
      <c r="M1452" s="8" t="s">
        <v>28</v>
      </c>
      <c r="N1452" s="21">
        <v>5236.0</v>
      </c>
      <c r="O1452" s="21">
        <v>5910.0</v>
      </c>
      <c r="P1452" s="5">
        <v>52.0</v>
      </c>
      <c r="Q1452" s="8">
        <f t="shared" si="43"/>
        <v>2722.72</v>
      </c>
    </row>
    <row r="1453">
      <c r="A1453" s="8" t="s">
        <v>90</v>
      </c>
      <c r="B1453" s="8" t="s">
        <v>264</v>
      </c>
      <c r="C1453" s="8" t="s">
        <v>1395</v>
      </c>
      <c r="D1453" s="8" t="s">
        <v>2182</v>
      </c>
      <c r="E1453" s="8" t="s">
        <v>11088</v>
      </c>
      <c r="F1453" s="8" t="s">
        <v>11089</v>
      </c>
      <c r="G1453" s="8"/>
      <c r="H1453" s="21">
        <v>1600.0</v>
      </c>
      <c r="I1453" s="8" t="s">
        <v>90</v>
      </c>
      <c r="J1453" s="8" t="s">
        <v>70</v>
      </c>
      <c r="K1453" s="8" t="s">
        <v>49</v>
      </c>
      <c r="L1453" s="8" t="s">
        <v>27</v>
      </c>
      <c r="M1453" s="8" t="s">
        <v>28</v>
      </c>
      <c r="N1453" s="97">
        <v>18293.0</v>
      </c>
      <c r="O1453" s="97">
        <v>20623.0</v>
      </c>
      <c r="P1453" s="5">
        <v>60.0</v>
      </c>
      <c r="Q1453" s="8">
        <f t="shared" si="43"/>
        <v>10975.8</v>
      </c>
    </row>
    <row r="1454">
      <c r="A1454" s="8" t="s">
        <v>121</v>
      </c>
      <c r="B1454" s="86" t="s">
        <v>11090</v>
      </c>
      <c r="C1454" s="8" t="s">
        <v>533</v>
      </c>
      <c r="D1454" s="8" t="s">
        <v>11091</v>
      </c>
      <c r="E1454" s="8" t="s">
        <v>11092</v>
      </c>
      <c r="F1454" s="8">
        <v>9.825492649E9</v>
      </c>
      <c r="G1454" s="8"/>
      <c r="H1454" s="21">
        <v>0.0</v>
      </c>
      <c r="I1454" s="8" t="s">
        <v>72</v>
      </c>
      <c r="J1454" s="8" t="s">
        <v>116</v>
      </c>
      <c r="K1454" s="8" t="s">
        <v>26</v>
      </c>
      <c r="L1454" s="8" t="s">
        <v>33</v>
      </c>
      <c r="M1454" s="8" t="s">
        <v>28</v>
      </c>
      <c r="N1454" s="96">
        <v>7317.0</v>
      </c>
      <c r="O1454" s="96">
        <v>8634.0</v>
      </c>
      <c r="P1454" s="5">
        <v>27.0</v>
      </c>
      <c r="Q1454" s="8">
        <f t="shared" si="43"/>
        <v>1975.59</v>
      </c>
    </row>
    <row r="1455">
      <c r="A1455" s="8" t="s">
        <v>121</v>
      </c>
      <c r="B1455" s="8" t="s">
        <v>8470</v>
      </c>
      <c r="C1455" s="8" t="s">
        <v>1395</v>
      </c>
      <c r="D1455" s="8" t="s">
        <v>1247</v>
      </c>
      <c r="E1455" s="8" t="s">
        <v>8472</v>
      </c>
      <c r="F1455" s="8" t="s">
        <v>8473</v>
      </c>
      <c r="G1455" s="8"/>
      <c r="H1455" s="21">
        <v>2825.0</v>
      </c>
      <c r="I1455" s="8" t="s">
        <v>72</v>
      </c>
      <c r="J1455" s="8" t="s">
        <v>116</v>
      </c>
      <c r="K1455" s="8" t="s">
        <v>49</v>
      </c>
      <c r="L1455" s="8" t="s">
        <v>71</v>
      </c>
      <c r="M1455" s="8" t="s">
        <v>28</v>
      </c>
      <c r="N1455" s="96">
        <v>20444.0</v>
      </c>
      <c r="O1455" s="96">
        <v>23157.0</v>
      </c>
      <c r="P1455" s="5">
        <v>48.0</v>
      </c>
      <c r="Q1455" s="8">
        <f t="shared" si="43"/>
        <v>9813.12</v>
      </c>
    </row>
    <row r="1456">
      <c r="A1456" s="8" t="s">
        <v>121</v>
      </c>
      <c r="B1456" s="8" t="s">
        <v>160</v>
      </c>
      <c r="C1456" s="8" t="s">
        <v>1395</v>
      </c>
      <c r="D1456" s="8" t="s">
        <v>11093</v>
      </c>
      <c r="E1456" s="8" t="s">
        <v>11094</v>
      </c>
      <c r="F1456" s="8" t="s">
        <v>11095</v>
      </c>
      <c r="G1456" s="8"/>
      <c r="H1456" s="21">
        <v>1600.0</v>
      </c>
      <c r="I1456" s="22">
        <v>46082.0</v>
      </c>
      <c r="J1456" s="8" t="s">
        <v>116</v>
      </c>
      <c r="K1456" s="8" t="s">
        <v>49</v>
      </c>
      <c r="L1456" s="8" t="s">
        <v>27</v>
      </c>
      <c r="M1456" s="8" t="s">
        <v>28</v>
      </c>
      <c r="N1456" s="97">
        <v>19311.0</v>
      </c>
      <c r="O1456" s="97">
        <v>21817.0</v>
      </c>
      <c r="P1456" s="5">
        <v>48.0</v>
      </c>
      <c r="Q1456" s="8">
        <f t="shared" si="43"/>
        <v>9269.28</v>
      </c>
    </row>
    <row r="1457">
      <c r="A1457" s="8" t="s">
        <v>121</v>
      </c>
      <c r="B1457" s="133" t="s">
        <v>11096</v>
      </c>
      <c r="C1457" s="8" t="s">
        <v>533</v>
      </c>
      <c r="D1457" s="8" t="s">
        <v>11097</v>
      </c>
      <c r="E1457" s="8" t="s">
        <v>11098</v>
      </c>
      <c r="F1457" s="8">
        <v>9.913051534E9</v>
      </c>
      <c r="G1457" s="8"/>
      <c r="H1457" s="21">
        <v>2500.0</v>
      </c>
      <c r="I1457" s="8" t="s">
        <v>90</v>
      </c>
      <c r="J1457" s="8" t="s">
        <v>70</v>
      </c>
      <c r="K1457" s="8" t="s">
        <v>49</v>
      </c>
      <c r="L1457" s="8" t="s">
        <v>27</v>
      </c>
      <c r="M1457" s="8" t="s">
        <v>28</v>
      </c>
      <c r="N1457" s="97">
        <v>7562.0</v>
      </c>
      <c r="O1457" s="96">
        <v>8923.0</v>
      </c>
      <c r="P1457" s="5">
        <v>50.0</v>
      </c>
      <c r="Q1457" s="8">
        <f t="shared" si="43"/>
        <v>3781</v>
      </c>
    </row>
    <row r="1458">
      <c r="A1458" s="8" t="s">
        <v>121</v>
      </c>
      <c r="B1458" s="8" t="s">
        <v>11099</v>
      </c>
      <c r="C1458" s="8" t="s">
        <v>1395</v>
      </c>
      <c r="D1458" s="8" t="s">
        <v>1747</v>
      </c>
      <c r="E1458" s="8" t="s">
        <v>11100</v>
      </c>
      <c r="F1458" s="8">
        <v>9.825715323E9</v>
      </c>
      <c r="G1458" s="8"/>
      <c r="H1458" s="21">
        <v>3490.0</v>
      </c>
      <c r="I1458" s="8" t="s">
        <v>90</v>
      </c>
      <c r="J1458" s="8" t="s">
        <v>1419</v>
      </c>
      <c r="K1458" s="8" t="s">
        <v>49</v>
      </c>
      <c r="L1458" s="8" t="s">
        <v>27</v>
      </c>
      <c r="M1458" s="8" t="s">
        <v>28</v>
      </c>
      <c r="N1458" s="21">
        <v>19371.0</v>
      </c>
      <c r="O1458" s="21">
        <v>21895.0</v>
      </c>
      <c r="P1458" s="5">
        <v>51.0</v>
      </c>
      <c r="Q1458" s="8">
        <f t="shared" si="43"/>
        <v>9879.21</v>
      </c>
    </row>
    <row r="1459">
      <c r="A1459" s="8" t="s">
        <v>121</v>
      </c>
      <c r="B1459" s="8" t="s">
        <v>152</v>
      </c>
      <c r="C1459" s="8" t="s">
        <v>1395</v>
      </c>
      <c r="D1459" s="8" t="s">
        <v>2182</v>
      </c>
      <c r="E1459" s="8" t="s">
        <v>11101</v>
      </c>
      <c r="F1459" s="8">
        <v>9.328608173E9</v>
      </c>
      <c r="G1459" s="8"/>
      <c r="H1459" s="21">
        <v>1600.0</v>
      </c>
      <c r="I1459" s="8" t="s">
        <v>90</v>
      </c>
      <c r="J1459" s="8" t="s">
        <v>70</v>
      </c>
      <c r="K1459" s="8" t="s">
        <v>49</v>
      </c>
      <c r="L1459" s="8" t="s">
        <v>27</v>
      </c>
      <c r="M1459" s="8" t="s">
        <v>28</v>
      </c>
      <c r="N1459" s="97">
        <v>18293.0</v>
      </c>
      <c r="O1459" s="97">
        <v>20623.0</v>
      </c>
      <c r="P1459" s="5">
        <v>60.0</v>
      </c>
      <c r="Q1459" s="8">
        <f t="shared" si="43"/>
        <v>10975.8</v>
      </c>
    </row>
    <row r="1460">
      <c r="A1460" s="8" t="s">
        <v>121</v>
      </c>
      <c r="B1460" s="8" t="s">
        <v>11102</v>
      </c>
      <c r="C1460" s="8" t="s">
        <v>1395</v>
      </c>
      <c r="D1460" s="8" t="s">
        <v>11103</v>
      </c>
      <c r="E1460" s="8" t="s">
        <v>11104</v>
      </c>
      <c r="F1460" s="8" t="s">
        <v>11105</v>
      </c>
      <c r="G1460" s="8" t="s">
        <v>11106</v>
      </c>
      <c r="H1460" s="21">
        <v>2820.0</v>
      </c>
      <c r="I1460" s="8" t="s">
        <v>90</v>
      </c>
      <c r="J1460" s="8" t="s">
        <v>1419</v>
      </c>
      <c r="K1460" s="8" t="s">
        <v>26</v>
      </c>
      <c r="L1460" s="8" t="s">
        <v>27</v>
      </c>
      <c r="M1460" s="8" t="s">
        <v>28</v>
      </c>
      <c r="N1460" s="21">
        <v>16149.0</v>
      </c>
      <c r="O1460" s="21">
        <v>18093.0</v>
      </c>
      <c r="P1460" s="5">
        <v>51.0</v>
      </c>
      <c r="Q1460" s="8">
        <f t="shared" si="43"/>
        <v>8235.99</v>
      </c>
    </row>
    <row r="1461">
      <c r="A1461" s="8" t="s">
        <v>121</v>
      </c>
      <c r="B1461" s="8" t="s">
        <v>11107</v>
      </c>
      <c r="C1461" s="8" t="s">
        <v>1395</v>
      </c>
      <c r="D1461" s="8" t="s">
        <v>9933</v>
      </c>
      <c r="E1461" s="8" t="s">
        <v>11108</v>
      </c>
      <c r="F1461" s="8" t="s">
        <v>11109</v>
      </c>
      <c r="G1461" s="8"/>
      <c r="H1461" s="21">
        <v>2700.0</v>
      </c>
      <c r="I1461" s="22">
        <v>46054.0</v>
      </c>
      <c r="J1461" s="8" t="s">
        <v>116</v>
      </c>
      <c r="K1461" s="8" t="s">
        <v>49</v>
      </c>
      <c r="L1461" s="8" t="s">
        <v>27</v>
      </c>
      <c r="M1461" s="8" t="s">
        <v>28</v>
      </c>
      <c r="N1461" s="97">
        <v>19253.0</v>
      </c>
      <c r="O1461" s="96">
        <v>21751.0</v>
      </c>
      <c r="P1461" s="5">
        <v>48.0</v>
      </c>
      <c r="Q1461" s="8">
        <f t="shared" si="43"/>
        <v>9241.44</v>
      </c>
    </row>
    <row r="1462">
      <c r="A1462" s="8" t="s">
        <v>121</v>
      </c>
      <c r="B1462" s="8" t="s">
        <v>11110</v>
      </c>
      <c r="C1462" s="8" t="s">
        <v>21</v>
      </c>
      <c r="D1462" s="8" t="s">
        <v>10596</v>
      </c>
      <c r="E1462" s="8" t="s">
        <v>11111</v>
      </c>
      <c r="F1462" s="8" t="s">
        <v>11112</v>
      </c>
      <c r="G1462" s="8"/>
      <c r="H1462" s="21">
        <v>35000.0</v>
      </c>
      <c r="I1462" s="8" t="s">
        <v>121</v>
      </c>
      <c r="J1462" s="8" t="s">
        <v>353</v>
      </c>
      <c r="K1462" s="8" t="s">
        <v>49</v>
      </c>
      <c r="L1462" s="8" t="s">
        <v>27</v>
      </c>
      <c r="M1462" s="8" t="s">
        <v>28</v>
      </c>
      <c r="N1462" s="97">
        <v>53487.0</v>
      </c>
      <c r="O1462" s="97">
        <v>60478.0</v>
      </c>
      <c r="P1462" s="5">
        <v>26.0</v>
      </c>
      <c r="Q1462" s="8">
        <f t="shared" si="43"/>
        <v>13906.62</v>
      </c>
    </row>
    <row r="1463">
      <c r="A1463" s="8" t="s">
        <v>121</v>
      </c>
      <c r="B1463" s="8" t="s">
        <v>11113</v>
      </c>
      <c r="C1463" s="8" t="s">
        <v>21</v>
      </c>
      <c r="D1463" s="8" t="s">
        <v>10645</v>
      </c>
      <c r="E1463" s="8" t="s">
        <v>11114</v>
      </c>
      <c r="F1463" s="8" t="s">
        <v>2224</v>
      </c>
      <c r="G1463" s="8"/>
      <c r="H1463" s="21">
        <v>11990.0</v>
      </c>
      <c r="I1463" s="8" t="s">
        <v>121</v>
      </c>
      <c r="J1463" s="8" t="s">
        <v>1419</v>
      </c>
      <c r="K1463" s="8" t="s">
        <v>49</v>
      </c>
      <c r="L1463" s="8" t="s">
        <v>1456</v>
      </c>
      <c r="M1463" s="8" t="s">
        <v>28</v>
      </c>
      <c r="N1463" s="21">
        <v>27286.0</v>
      </c>
      <c r="O1463" s="21">
        <v>30566.0</v>
      </c>
      <c r="P1463" s="5">
        <v>46.0</v>
      </c>
      <c r="Q1463" s="8">
        <f t="shared" si="43"/>
        <v>12551.56</v>
      </c>
    </row>
    <row r="1464">
      <c r="A1464" s="22">
        <v>45658.0</v>
      </c>
      <c r="B1464" s="58" t="s">
        <v>241</v>
      </c>
      <c r="C1464" s="8" t="s">
        <v>21</v>
      </c>
      <c r="D1464" s="58" t="s">
        <v>11115</v>
      </c>
      <c r="E1464" s="58" t="s">
        <v>244</v>
      </c>
      <c r="F1464" s="8"/>
      <c r="G1464" s="8"/>
      <c r="H1464" s="88">
        <v>9600.0</v>
      </c>
      <c r="I1464" s="22">
        <v>46023.0</v>
      </c>
      <c r="J1464" s="8" t="s">
        <v>1419</v>
      </c>
      <c r="K1464" s="86" t="s">
        <v>26</v>
      </c>
      <c r="L1464" s="8"/>
      <c r="M1464" s="8" t="s">
        <v>28</v>
      </c>
      <c r="N1464" s="88">
        <v>27286.0</v>
      </c>
      <c r="O1464" s="88">
        <v>30566.0</v>
      </c>
      <c r="P1464" s="5">
        <v>46.0</v>
      </c>
      <c r="Q1464" s="8">
        <f t="shared" si="43"/>
        <v>12551.56</v>
      </c>
    </row>
    <row r="1465">
      <c r="A1465" s="22">
        <v>45658.0</v>
      </c>
      <c r="B1465" s="58" t="s">
        <v>320</v>
      </c>
      <c r="C1465" s="8" t="s">
        <v>21</v>
      </c>
      <c r="D1465" s="58" t="s">
        <v>11116</v>
      </c>
      <c r="E1465" s="58" t="s">
        <v>11117</v>
      </c>
      <c r="F1465" s="8"/>
      <c r="G1465" s="8"/>
      <c r="H1465" s="88">
        <v>28000.0</v>
      </c>
      <c r="I1465" s="22">
        <v>46266.0</v>
      </c>
      <c r="J1465" s="8" t="s">
        <v>677</v>
      </c>
      <c r="K1465" s="86" t="s">
        <v>49</v>
      </c>
      <c r="L1465" s="8"/>
      <c r="M1465" s="8" t="s">
        <v>28</v>
      </c>
      <c r="N1465" s="88">
        <v>46226.0</v>
      </c>
      <c r="O1465" s="88">
        <v>51910.0</v>
      </c>
      <c r="P1465" s="5">
        <v>22.0</v>
      </c>
      <c r="Q1465" s="8">
        <f t="shared" si="43"/>
        <v>10169.72</v>
      </c>
    </row>
    <row r="1466">
      <c r="A1466" s="22">
        <v>45658.0</v>
      </c>
      <c r="B1466" s="58" t="s">
        <v>252</v>
      </c>
      <c r="C1466" s="8" t="s">
        <v>1405</v>
      </c>
      <c r="D1466" s="58" t="s">
        <v>1506</v>
      </c>
      <c r="E1466" s="58" t="s">
        <v>11118</v>
      </c>
      <c r="F1466" s="8"/>
      <c r="G1466" s="8"/>
      <c r="H1466" s="88">
        <v>990.0</v>
      </c>
      <c r="I1466" s="91">
        <v>45748.0</v>
      </c>
      <c r="J1466" s="8" t="s">
        <v>1419</v>
      </c>
      <c r="K1466" s="86" t="s">
        <v>49</v>
      </c>
      <c r="L1466" s="8"/>
      <c r="M1466" s="8" t="s">
        <v>28</v>
      </c>
      <c r="N1466" s="88">
        <v>4885.0</v>
      </c>
      <c r="O1466" s="88">
        <v>5495.0</v>
      </c>
      <c r="P1466" s="5">
        <v>52.0</v>
      </c>
      <c r="Q1466" s="8">
        <f t="shared" si="43"/>
        <v>2540.2</v>
      </c>
    </row>
    <row r="1467">
      <c r="A1467" s="22">
        <v>45658.0</v>
      </c>
      <c r="B1467" s="58" t="s">
        <v>231</v>
      </c>
      <c r="C1467" s="8" t="s">
        <v>1395</v>
      </c>
      <c r="D1467" s="58" t="s">
        <v>1690</v>
      </c>
      <c r="E1467" s="58" t="s">
        <v>8524</v>
      </c>
      <c r="F1467" s="8"/>
      <c r="G1467" s="8"/>
      <c r="H1467" s="88">
        <v>1600.0</v>
      </c>
      <c r="I1467" s="22">
        <v>45901.0</v>
      </c>
      <c r="J1467" s="8" t="s">
        <v>70</v>
      </c>
      <c r="K1467" s="86" t="s">
        <v>49</v>
      </c>
      <c r="L1467" s="8"/>
      <c r="M1467" s="8" t="s">
        <v>28</v>
      </c>
      <c r="N1467" s="90">
        <v>17094.0</v>
      </c>
      <c r="O1467" s="90">
        <v>19208.0</v>
      </c>
      <c r="P1467" s="5">
        <v>60.0</v>
      </c>
      <c r="Q1467" s="8">
        <f t="shared" si="43"/>
        <v>10256.4</v>
      </c>
    </row>
    <row r="1468">
      <c r="A1468" s="22">
        <v>45658.0</v>
      </c>
      <c r="B1468" s="58" t="s">
        <v>11119</v>
      </c>
      <c r="C1468" s="8" t="s">
        <v>21</v>
      </c>
      <c r="D1468" s="58" t="s">
        <v>11120</v>
      </c>
      <c r="E1468" s="58" t="s">
        <v>11121</v>
      </c>
      <c r="F1468" s="8" t="s">
        <v>11122</v>
      </c>
      <c r="G1468" s="8"/>
      <c r="H1468" s="88">
        <v>4995.0</v>
      </c>
      <c r="I1468" s="91">
        <v>46023.0</v>
      </c>
      <c r="J1468" s="8" t="s">
        <v>116</v>
      </c>
      <c r="K1468" s="86" t="s">
        <v>49</v>
      </c>
      <c r="L1468" s="8"/>
      <c r="M1468" s="8" t="s">
        <v>28</v>
      </c>
      <c r="N1468" s="90">
        <v>27313.0</v>
      </c>
      <c r="O1468" s="90">
        <v>31261.0</v>
      </c>
      <c r="P1468" s="5">
        <v>30.0</v>
      </c>
      <c r="Q1468" s="8">
        <f t="shared" si="43"/>
        <v>8193.9</v>
      </c>
    </row>
    <row r="1469">
      <c r="A1469" s="102">
        <v>45689.0</v>
      </c>
      <c r="B1469" s="140" t="s">
        <v>11123</v>
      </c>
      <c r="C1469" s="140" t="s">
        <v>1759</v>
      </c>
      <c r="D1469" s="140" t="s">
        <v>11124</v>
      </c>
      <c r="E1469" s="58"/>
      <c r="F1469" s="58"/>
      <c r="G1469" s="58"/>
      <c r="H1469" s="88"/>
      <c r="I1469" s="199">
        <v>46113.0</v>
      </c>
      <c r="J1469" s="140" t="s">
        <v>668</v>
      </c>
      <c r="K1469" s="140" t="s">
        <v>49</v>
      </c>
      <c r="L1469" s="140" t="s">
        <v>1456</v>
      </c>
      <c r="M1469" s="140" t="s">
        <v>28</v>
      </c>
      <c r="N1469" s="101">
        <v>6235.0</v>
      </c>
      <c r="O1469" s="101">
        <v>7357.0</v>
      </c>
      <c r="P1469" s="5">
        <v>52.0</v>
      </c>
      <c r="Q1469" s="8">
        <f t="shared" si="43"/>
        <v>3242.2</v>
      </c>
    </row>
    <row r="1470">
      <c r="A1470" s="235">
        <v>45363.0</v>
      </c>
      <c r="B1470" s="108" t="s">
        <v>11125</v>
      </c>
      <c r="C1470" s="108" t="s">
        <v>21</v>
      </c>
      <c r="D1470" s="108" t="s">
        <v>9844</v>
      </c>
      <c r="E1470" s="108" t="s">
        <v>11126</v>
      </c>
      <c r="F1470" s="108"/>
      <c r="G1470" s="108"/>
      <c r="H1470" s="114">
        <v>28000.0</v>
      </c>
      <c r="I1470" s="235">
        <v>45700.0</v>
      </c>
      <c r="J1470" s="108" t="s">
        <v>70</v>
      </c>
      <c r="K1470" s="108" t="s">
        <v>49</v>
      </c>
      <c r="L1470" s="108" t="s">
        <v>365</v>
      </c>
      <c r="M1470" s="108" t="s">
        <v>28</v>
      </c>
      <c r="N1470" s="116">
        <v>47527.0</v>
      </c>
      <c r="O1470" s="116">
        <v>53445.0</v>
      </c>
      <c r="P1470" s="6">
        <v>24.0</v>
      </c>
      <c r="Q1470" s="8">
        <f t="shared" si="43"/>
        <v>11406.48</v>
      </c>
    </row>
    <row r="1471">
      <c r="A1471" s="235">
        <v>45363.0</v>
      </c>
      <c r="B1471" s="108" t="s">
        <v>11127</v>
      </c>
      <c r="C1471" s="108" t="s">
        <v>21</v>
      </c>
      <c r="D1471" s="108" t="s">
        <v>11128</v>
      </c>
      <c r="E1471" s="108" t="s">
        <v>1581</v>
      </c>
      <c r="F1471" s="108">
        <v>8.485993847E9</v>
      </c>
      <c r="G1471" s="108"/>
      <c r="H1471" s="114">
        <v>28000.0</v>
      </c>
      <c r="I1471" s="235">
        <v>45700.0</v>
      </c>
      <c r="J1471" s="108" t="s">
        <v>70</v>
      </c>
      <c r="K1471" s="108" t="s">
        <v>49</v>
      </c>
      <c r="L1471" s="108" t="s">
        <v>27</v>
      </c>
      <c r="M1471" s="108" t="s">
        <v>28</v>
      </c>
      <c r="N1471" s="116">
        <v>46130.0</v>
      </c>
      <c r="O1471" s="116">
        <v>51796.0</v>
      </c>
      <c r="P1471" s="6">
        <v>24.0</v>
      </c>
      <c r="Q1471" s="8">
        <f t="shared" si="43"/>
        <v>11071.2</v>
      </c>
    </row>
    <row r="1472">
      <c r="A1472" s="235">
        <v>45363.0</v>
      </c>
      <c r="B1472" s="108" t="s">
        <v>11129</v>
      </c>
      <c r="C1472" s="108" t="s">
        <v>21</v>
      </c>
      <c r="D1472" s="108" t="s">
        <v>1949</v>
      </c>
      <c r="E1472" s="108" t="s">
        <v>11130</v>
      </c>
      <c r="F1472" s="108">
        <v>9.427222549E9</v>
      </c>
      <c r="G1472" s="108"/>
      <c r="H1472" s="114">
        <v>28000.0</v>
      </c>
      <c r="I1472" s="235">
        <v>45700.0</v>
      </c>
      <c r="J1472" s="108" t="s">
        <v>70</v>
      </c>
      <c r="K1472" s="108" t="s">
        <v>49</v>
      </c>
      <c r="L1472" s="108" t="s">
        <v>27</v>
      </c>
      <c r="M1472" s="108" t="s">
        <v>28</v>
      </c>
      <c r="N1472" s="116">
        <v>48608.0</v>
      </c>
      <c r="O1472" s="116">
        <v>54721.0</v>
      </c>
      <c r="P1472" s="6">
        <v>24.0</v>
      </c>
      <c r="Q1472" s="8">
        <f t="shared" si="43"/>
        <v>11665.92</v>
      </c>
    </row>
    <row r="1473">
      <c r="A1473" s="235">
        <v>45363.0</v>
      </c>
      <c r="B1473" s="108" t="s">
        <v>11131</v>
      </c>
      <c r="C1473" s="108" t="s">
        <v>21</v>
      </c>
      <c r="D1473" s="108" t="s">
        <v>11132</v>
      </c>
      <c r="E1473" s="108" t="s">
        <v>11133</v>
      </c>
      <c r="F1473" s="108">
        <v>9.537755912E9</v>
      </c>
      <c r="G1473" s="108"/>
      <c r="H1473" s="114">
        <v>12990.0</v>
      </c>
      <c r="I1473" s="235">
        <v>45669.0</v>
      </c>
      <c r="J1473" s="108" t="s">
        <v>70</v>
      </c>
      <c r="K1473" s="108" t="s">
        <v>49</v>
      </c>
      <c r="L1473" s="108" t="s">
        <v>27</v>
      </c>
      <c r="M1473" s="108" t="s">
        <v>28</v>
      </c>
      <c r="N1473" s="116">
        <v>37956.0</v>
      </c>
      <c r="O1473" s="116">
        <v>42669.0</v>
      </c>
      <c r="P1473" s="6">
        <v>26.0</v>
      </c>
      <c r="Q1473" s="8">
        <f t="shared" si="43"/>
        <v>9868.56</v>
      </c>
    </row>
    <row r="1474">
      <c r="A1474" s="235">
        <v>45363.0</v>
      </c>
      <c r="B1474" s="108" t="s">
        <v>5755</v>
      </c>
      <c r="C1474" s="108" t="s">
        <v>21</v>
      </c>
      <c r="D1474" s="108" t="s">
        <v>5757</v>
      </c>
      <c r="E1474" s="108" t="s">
        <v>11134</v>
      </c>
      <c r="F1474" s="108">
        <v>9.879783545E9</v>
      </c>
      <c r="G1474" s="108"/>
      <c r="H1474" s="114">
        <v>18500.0</v>
      </c>
      <c r="I1474" s="235">
        <v>45700.0</v>
      </c>
      <c r="J1474" s="108" t="s">
        <v>70</v>
      </c>
      <c r="K1474" s="108" t="s">
        <v>49</v>
      </c>
      <c r="L1474" s="108" t="s">
        <v>71</v>
      </c>
      <c r="M1474" s="108" t="s">
        <v>28</v>
      </c>
      <c r="N1474" s="116">
        <v>37240.0</v>
      </c>
      <c r="O1474" s="116">
        <v>41824.0</v>
      </c>
      <c r="P1474" s="6">
        <v>26.0</v>
      </c>
      <c r="Q1474" s="8">
        <f t="shared" si="43"/>
        <v>9682.4</v>
      </c>
    </row>
    <row r="1475">
      <c r="A1475" s="235">
        <v>45394.0</v>
      </c>
      <c r="B1475" s="108" t="s">
        <v>11135</v>
      </c>
      <c r="C1475" s="108" t="s">
        <v>21</v>
      </c>
      <c r="D1475" s="108" t="s">
        <v>1503</v>
      </c>
      <c r="E1475" s="108" t="s">
        <v>2656</v>
      </c>
      <c r="F1475" s="108">
        <v>9.727450222E9</v>
      </c>
      <c r="G1475" s="108"/>
      <c r="H1475" s="114">
        <v>12990.0</v>
      </c>
      <c r="I1475" s="235">
        <v>45789.0</v>
      </c>
      <c r="J1475" s="108" t="s">
        <v>70</v>
      </c>
      <c r="K1475" s="108" t="s">
        <v>49</v>
      </c>
      <c r="L1475" s="108" t="s">
        <v>27</v>
      </c>
      <c r="M1475" s="108" t="s">
        <v>28</v>
      </c>
      <c r="N1475" s="116">
        <v>36650.0</v>
      </c>
      <c r="O1475" s="116">
        <v>41128.0</v>
      </c>
      <c r="P1475" s="6">
        <v>26.0</v>
      </c>
      <c r="Q1475" s="8">
        <f t="shared" si="43"/>
        <v>9529</v>
      </c>
    </row>
    <row r="1476">
      <c r="A1476" s="235">
        <v>45394.0</v>
      </c>
      <c r="B1476" s="108" t="s">
        <v>6054</v>
      </c>
      <c r="C1476" s="108" t="s">
        <v>21</v>
      </c>
      <c r="D1476" s="108" t="s">
        <v>1883</v>
      </c>
      <c r="E1476" s="108" t="s">
        <v>1932</v>
      </c>
      <c r="F1476" s="108">
        <v>9.979078037E9</v>
      </c>
      <c r="G1476" s="108"/>
      <c r="H1476" s="114">
        <v>35000.0</v>
      </c>
      <c r="I1476" s="235">
        <v>45728.0</v>
      </c>
      <c r="J1476" s="108" t="s">
        <v>70</v>
      </c>
      <c r="K1476" s="108" t="s">
        <v>49</v>
      </c>
      <c r="L1476" s="108" t="s">
        <v>71</v>
      </c>
      <c r="M1476" s="108" t="s">
        <v>28</v>
      </c>
      <c r="N1476" s="116">
        <v>49349.0</v>
      </c>
      <c r="O1476" s="116">
        <v>55595.0</v>
      </c>
      <c r="P1476" s="6">
        <v>24.0</v>
      </c>
      <c r="Q1476" s="8">
        <f t="shared" si="43"/>
        <v>11843.76</v>
      </c>
    </row>
    <row r="1477">
      <c r="A1477" s="235">
        <v>45455.0</v>
      </c>
      <c r="B1477" s="108" t="s">
        <v>5811</v>
      </c>
      <c r="C1477" s="108" t="s">
        <v>21</v>
      </c>
      <c r="D1477" s="108" t="s">
        <v>5813</v>
      </c>
      <c r="E1477" s="108" t="s">
        <v>5814</v>
      </c>
      <c r="F1477" s="108" t="s">
        <v>11136</v>
      </c>
      <c r="G1477" s="108"/>
      <c r="H1477" s="114">
        <v>42000.0</v>
      </c>
      <c r="I1477" s="235">
        <v>45820.0</v>
      </c>
      <c r="J1477" s="108" t="s">
        <v>70</v>
      </c>
      <c r="K1477" s="108" t="s">
        <v>49</v>
      </c>
      <c r="L1477" s="108" t="s">
        <v>185</v>
      </c>
      <c r="M1477" s="108" t="s">
        <v>28</v>
      </c>
      <c r="N1477" s="116">
        <v>50678.0</v>
      </c>
      <c r="O1477" s="116">
        <v>57146.0</v>
      </c>
      <c r="P1477" s="6">
        <v>26.0</v>
      </c>
      <c r="Q1477" s="8">
        <f t="shared" si="43"/>
        <v>13176.28</v>
      </c>
    </row>
    <row r="1478">
      <c r="A1478" s="235">
        <v>45485.0</v>
      </c>
      <c r="B1478" s="108" t="s">
        <v>11137</v>
      </c>
      <c r="C1478" s="108" t="s">
        <v>21</v>
      </c>
      <c r="D1478" s="108" t="s">
        <v>11138</v>
      </c>
      <c r="E1478" s="108" t="s">
        <v>11139</v>
      </c>
      <c r="F1478" s="108" t="s">
        <v>11140</v>
      </c>
      <c r="G1478" s="108"/>
      <c r="H1478" s="114">
        <v>25000.0</v>
      </c>
      <c r="I1478" s="235">
        <v>45789.0</v>
      </c>
      <c r="J1478" s="108" t="s">
        <v>70</v>
      </c>
      <c r="K1478" s="108" t="s">
        <v>49</v>
      </c>
      <c r="L1478" s="108" t="s">
        <v>27</v>
      </c>
      <c r="M1478" s="108" t="s">
        <v>28</v>
      </c>
      <c r="N1478" s="116">
        <v>48309.0</v>
      </c>
      <c r="O1478" s="116">
        <v>54368.0</v>
      </c>
      <c r="P1478" s="6">
        <v>24.0</v>
      </c>
      <c r="Q1478" s="8">
        <f t="shared" si="43"/>
        <v>11594.16</v>
      </c>
    </row>
    <row r="1479">
      <c r="A1479" s="235">
        <v>45485.0</v>
      </c>
      <c r="B1479" s="108" t="s">
        <v>11141</v>
      </c>
      <c r="C1479" s="108" t="s">
        <v>21</v>
      </c>
      <c r="D1479" s="108" t="s">
        <v>1957</v>
      </c>
      <c r="E1479" s="108" t="s">
        <v>11142</v>
      </c>
      <c r="F1479" s="108"/>
      <c r="G1479" s="108"/>
      <c r="H1479" s="114">
        <v>35000.0</v>
      </c>
      <c r="I1479" s="235">
        <v>45850.0</v>
      </c>
      <c r="J1479" s="108" t="s">
        <v>70</v>
      </c>
      <c r="K1479" s="108" t="s">
        <v>49</v>
      </c>
      <c r="L1479" s="108" t="s">
        <v>27</v>
      </c>
      <c r="M1479" s="108" t="s">
        <v>28</v>
      </c>
      <c r="N1479" s="116">
        <v>48326.0</v>
      </c>
      <c r="O1479" s="116">
        <v>54388.0</v>
      </c>
      <c r="P1479" s="6">
        <v>24.0</v>
      </c>
      <c r="Q1479" s="8">
        <f t="shared" si="43"/>
        <v>11598.24</v>
      </c>
    </row>
    <row r="1480">
      <c r="A1480" s="235">
        <v>45485.0</v>
      </c>
      <c r="B1480" s="108" t="s">
        <v>6024</v>
      </c>
      <c r="C1480" s="108" t="s">
        <v>21</v>
      </c>
      <c r="D1480" s="108" t="s">
        <v>1883</v>
      </c>
      <c r="E1480" s="108" t="s">
        <v>9258</v>
      </c>
      <c r="F1480" s="108"/>
      <c r="G1480" s="108"/>
      <c r="H1480" s="114">
        <v>35000.0</v>
      </c>
      <c r="I1480" s="235">
        <v>45912.0</v>
      </c>
      <c r="J1480" s="108" t="s">
        <v>70</v>
      </c>
      <c r="K1480" s="108" t="s">
        <v>49</v>
      </c>
      <c r="L1480" s="108" t="s">
        <v>27</v>
      </c>
      <c r="M1480" s="108" t="s">
        <v>28</v>
      </c>
      <c r="N1480" s="116">
        <v>48285.0</v>
      </c>
      <c r="O1480" s="116">
        <v>54339.0</v>
      </c>
      <c r="P1480" s="6">
        <v>24.0</v>
      </c>
      <c r="Q1480" s="8">
        <f t="shared" si="43"/>
        <v>11588.4</v>
      </c>
    </row>
    <row r="1481">
      <c r="A1481" s="235">
        <v>45547.0</v>
      </c>
      <c r="B1481" s="108" t="s">
        <v>8326</v>
      </c>
      <c r="C1481" s="108" t="s">
        <v>21</v>
      </c>
      <c r="D1481" s="108" t="s">
        <v>1883</v>
      </c>
      <c r="E1481" s="108" t="s">
        <v>8327</v>
      </c>
      <c r="F1481" s="108" t="s">
        <v>1915</v>
      </c>
      <c r="G1481" s="108"/>
      <c r="H1481" s="114">
        <v>35000.0</v>
      </c>
      <c r="I1481" s="115">
        <v>45942.0</v>
      </c>
      <c r="J1481" s="108" t="s">
        <v>70</v>
      </c>
      <c r="K1481" s="108" t="s">
        <v>49</v>
      </c>
      <c r="L1481" s="108" t="s">
        <v>71</v>
      </c>
      <c r="M1481" s="108" t="s">
        <v>28</v>
      </c>
      <c r="N1481" s="116">
        <v>47155.0</v>
      </c>
      <c r="O1481" s="116">
        <v>53006.0</v>
      </c>
      <c r="P1481" s="6">
        <v>24.0</v>
      </c>
      <c r="Q1481" s="8">
        <f t="shared" si="43"/>
        <v>11317.2</v>
      </c>
    </row>
    <row r="1482">
      <c r="A1482" s="235">
        <v>45547.0</v>
      </c>
      <c r="B1482" s="108" t="s">
        <v>11143</v>
      </c>
      <c r="C1482" s="108" t="s">
        <v>21</v>
      </c>
      <c r="D1482" s="108" t="s">
        <v>11144</v>
      </c>
      <c r="E1482" s="108" t="s">
        <v>11145</v>
      </c>
      <c r="F1482" s="108"/>
      <c r="G1482" s="108"/>
      <c r="H1482" s="114">
        <v>12990.0</v>
      </c>
      <c r="I1482" s="235">
        <v>45912.0</v>
      </c>
      <c r="J1482" s="108" t="s">
        <v>70</v>
      </c>
      <c r="K1482" s="108" t="s">
        <v>49</v>
      </c>
      <c r="L1482" s="108" t="s">
        <v>27</v>
      </c>
      <c r="M1482" s="108" t="s">
        <v>28</v>
      </c>
      <c r="N1482" s="116">
        <v>36521.0</v>
      </c>
      <c r="O1482" s="116">
        <v>40976.0</v>
      </c>
      <c r="P1482" s="6">
        <v>26.0</v>
      </c>
      <c r="Q1482" s="8">
        <f t="shared" si="43"/>
        <v>9495.46</v>
      </c>
    </row>
    <row r="1483">
      <c r="A1483" s="108" t="s">
        <v>34</v>
      </c>
      <c r="B1483" s="108" t="s">
        <v>11146</v>
      </c>
      <c r="C1483" s="108" t="s">
        <v>21</v>
      </c>
      <c r="D1483" s="108" t="s">
        <v>10544</v>
      </c>
      <c r="E1483" s="108" t="s">
        <v>1042</v>
      </c>
      <c r="F1483" s="108" t="s">
        <v>4596</v>
      </c>
      <c r="G1483" s="108" t="s">
        <v>2316</v>
      </c>
      <c r="H1483" s="114">
        <v>35000.0</v>
      </c>
      <c r="I1483" s="110">
        <v>46054.0</v>
      </c>
      <c r="J1483" s="108" t="s">
        <v>353</v>
      </c>
      <c r="K1483" s="108" t="s">
        <v>49</v>
      </c>
      <c r="L1483" s="108" t="s">
        <v>27</v>
      </c>
      <c r="M1483" s="108" t="s">
        <v>28</v>
      </c>
      <c r="N1483" s="116">
        <v>56078.0</v>
      </c>
      <c r="O1483" s="116">
        <v>63535.0</v>
      </c>
      <c r="P1483" s="6">
        <v>26.0</v>
      </c>
      <c r="Q1483" s="8">
        <f t="shared" si="43"/>
        <v>14580.28</v>
      </c>
    </row>
    <row r="1484">
      <c r="A1484" s="108" t="s">
        <v>34</v>
      </c>
      <c r="B1484" s="108" t="s">
        <v>11147</v>
      </c>
      <c r="C1484" s="108" t="s">
        <v>21</v>
      </c>
      <c r="D1484" s="108" t="s">
        <v>10544</v>
      </c>
      <c r="E1484" s="108" t="s">
        <v>1042</v>
      </c>
      <c r="F1484" s="108" t="s">
        <v>4596</v>
      </c>
      <c r="G1484" s="108" t="s">
        <v>2316</v>
      </c>
      <c r="H1484" s="114">
        <v>35000.0</v>
      </c>
      <c r="I1484" s="110">
        <v>46054.0</v>
      </c>
      <c r="J1484" s="108" t="s">
        <v>353</v>
      </c>
      <c r="K1484" s="108" t="s">
        <v>49</v>
      </c>
      <c r="L1484" s="108" t="s">
        <v>27</v>
      </c>
      <c r="M1484" s="108" t="s">
        <v>28</v>
      </c>
      <c r="N1484" s="116">
        <v>53672.0</v>
      </c>
      <c r="O1484" s="116">
        <v>60696.0</v>
      </c>
      <c r="P1484" s="6">
        <v>26.0</v>
      </c>
      <c r="Q1484" s="8">
        <f t="shared" si="43"/>
        <v>13954.72</v>
      </c>
    </row>
    <row r="1485">
      <c r="A1485" s="108" t="s">
        <v>51</v>
      </c>
      <c r="B1485" s="108" t="s">
        <v>11148</v>
      </c>
      <c r="C1485" s="108" t="s">
        <v>21</v>
      </c>
      <c r="D1485" s="108" t="s">
        <v>11149</v>
      </c>
      <c r="E1485" s="108" t="s">
        <v>3440</v>
      </c>
      <c r="F1485" s="108" t="s">
        <v>4596</v>
      </c>
      <c r="G1485" s="108" t="s">
        <v>2316</v>
      </c>
      <c r="H1485" s="114">
        <v>28000.0</v>
      </c>
      <c r="I1485" s="108" t="s">
        <v>90</v>
      </c>
      <c r="J1485" s="108" t="s">
        <v>70</v>
      </c>
      <c r="K1485" s="108" t="s">
        <v>49</v>
      </c>
      <c r="L1485" s="108" t="s">
        <v>27</v>
      </c>
      <c r="M1485" s="108" t="s">
        <v>28</v>
      </c>
      <c r="N1485" s="116">
        <v>46792.0</v>
      </c>
      <c r="O1485" s="116">
        <v>52578.0</v>
      </c>
      <c r="P1485" s="6">
        <v>24.0</v>
      </c>
      <c r="Q1485" s="8">
        <f t="shared" si="43"/>
        <v>11230.08</v>
      </c>
    </row>
    <row r="1486">
      <c r="A1486" s="108" t="s">
        <v>51</v>
      </c>
      <c r="B1486" s="108" t="s">
        <v>11150</v>
      </c>
      <c r="C1486" s="108" t="s">
        <v>21</v>
      </c>
      <c r="D1486" s="108" t="s">
        <v>11149</v>
      </c>
      <c r="E1486" s="108" t="s">
        <v>3440</v>
      </c>
      <c r="F1486" s="108" t="s">
        <v>4596</v>
      </c>
      <c r="G1486" s="108" t="s">
        <v>2316</v>
      </c>
      <c r="H1486" s="114">
        <v>28000.0</v>
      </c>
      <c r="I1486" s="108" t="s">
        <v>90</v>
      </c>
      <c r="J1486" s="108" t="s">
        <v>70</v>
      </c>
      <c r="K1486" s="108" t="s">
        <v>49</v>
      </c>
      <c r="L1486" s="108" t="s">
        <v>27</v>
      </c>
      <c r="M1486" s="108" t="s">
        <v>28</v>
      </c>
      <c r="N1486" s="116">
        <v>46792.0</v>
      </c>
      <c r="O1486" s="116">
        <v>52578.0</v>
      </c>
      <c r="P1486" s="6">
        <v>24.0</v>
      </c>
      <c r="Q1486" s="8">
        <f t="shared" si="43"/>
        <v>11230.08</v>
      </c>
    </row>
    <row r="1487">
      <c r="A1487" s="108" t="s">
        <v>90</v>
      </c>
      <c r="B1487" s="108" t="s">
        <v>601</v>
      </c>
      <c r="C1487" s="108" t="s">
        <v>21</v>
      </c>
      <c r="D1487" s="108" t="s">
        <v>11151</v>
      </c>
      <c r="E1487" s="108" t="s">
        <v>604</v>
      </c>
      <c r="F1487" s="108" t="s">
        <v>1574</v>
      </c>
      <c r="G1487" s="108"/>
      <c r="H1487" s="114">
        <v>5300.0</v>
      </c>
      <c r="I1487" s="108" t="s">
        <v>90</v>
      </c>
      <c r="J1487" s="108" t="s">
        <v>25</v>
      </c>
      <c r="K1487" s="108" t="s">
        <v>49</v>
      </c>
      <c r="L1487" s="642" t="s">
        <v>27</v>
      </c>
      <c r="M1487" s="108" t="s">
        <v>28</v>
      </c>
      <c r="N1487" s="156">
        <v>17399.0</v>
      </c>
      <c r="O1487" s="156">
        <v>19568.0</v>
      </c>
      <c r="P1487" s="6">
        <v>45.0</v>
      </c>
      <c r="Q1487" s="8">
        <f t="shared" si="43"/>
        <v>7829.55</v>
      </c>
    </row>
    <row r="1488">
      <c r="A1488" s="235">
        <v>45363.0</v>
      </c>
      <c r="B1488" s="108" t="s">
        <v>8260</v>
      </c>
      <c r="C1488" s="108" t="s">
        <v>21</v>
      </c>
      <c r="D1488" s="108" t="s">
        <v>11152</v>
      </c>
      <c r="E1488" s="108" t="s">
        <v>11153</v>
      </c>
      <c r="F1488" s="108" t="s">
        <v>11154</v>
      </c>
      <c r="G1488" s="108"/>
      <c r="H1488" s="114">
        <v>35000.0</v>
      </c>
      <c r="I1488" s="235">
        <v>45669.0</v>
      </c>
      <c r="J1488" s="108" t="s">
        <v>70</v>
      </c>
      <c r="K1488" s="108" t="s">
        <v>49</v>
      </c>
      <c r="L1488" s="108" t="s">
        <v>71</v>
      </c>
      <c r="M1488" s="108" t="s">
        <v>28</v>
      </c>
      <c r="N1488" s="116">
        <v>46397.0</v>
      </c>
      <c r="O1488" s="116">
        <v>52111.0</v>
      </c>
      <c r="P1488" s="6">
        <v>24.0</v>
      </c>
      <c r="Q1488" s="8">
        <f t="shared" si="43"/>
        <v>11135.28</v>
      </c>
    </row>
    <row r="1489">
      <c r="A1489" s="235">
        <v>45424.0</v>
      </c>
      <c r="B1489" s="108" t="s">
        <v>7863</v>
      </c>
      <c r="C1489" s="108" t="s">
        <v>21</v>
      </c>
      <c r="D1489" s="108" t="s">
        <v>11155</v>
      </c>
      <c r="E1489" s="108" t="s">
        <v>11156</v>
      </c>
      <c r="F1489" s="108">
        <v>7.567163875E9</v>
      </c>
      <c r="G1489" s="108"/>
      <c r="H1489" s="114">
        <v>42000.0</v>
      </c>
      <c r="I1489" s="235">
        <v>45700.0</v>
      </c>
      <c r="J1489" s="108" t="s">
        <v>70</v>
      </c>
      <c r="K1489" s="108" t="s">
        <v>49</v>
      </c>
      <c r="L1489" s="108" t="s">
        <v>71</v>
      </c>
      <c r="M1489" s="108" t="s">
        <v>28</v>
      </c>
      <c r="N1489" s="116">
        <v>48649.0</v>
      </c>
      <c r="O1489" s="116">
        <v>54751.0</v>
      </c>
      <c r="P1489" s="6">
        <v>26.0</v>
      </c>
      <c r="Q1489" s="8">
        <f t="shared" si="43"/>
        <v>12648.74</v>
      </c>
    </row>
    <row r="1490">
      <c r="A1490" s="93"/>
      <c r="B1490" s="58"/>
      <c r="C1490" s="58"/>
      <c r="D1490" s="58"/>
      <c r="E1490" s="58"/>
      <c r="F1490" s="58"/>
      <c r="G1490" s="58"/>
      <c r="H1490" s="88"/>
      <c r="I1490" s="88"/>
      <c r="J1490" s="58"/>
      <c r="K1490" s="58"/>
      <c r="L1490" s="58"/>
      <c r="M1490" s="58"/>
      <c r="N1490" s="88"/>
      <c r="O1490" s="88"/>
    </row>
    <row r="1491">
      <c r="A1491" s="93"/>
      <c r="B1491" s="58"/>
      <c r="C1491" s="58"/>
      <c r="D1491" s="58"/>
      <c r="E1491" s="58"/>
      <c r="F1491" s="58"/>
      <c r="G1491" s="58"/>
      <c r="H1491" s="88"/>
      <c r="I1491" s="88"/>
      <c r="J1491" s="58"/>
      <c r="K1491" s="58"/>
      <c r="L1491" s="58"/>
      <c r="M1491" s="58"/>
      <c r="N1491" s="88"/>
      <c r="O1491" s="88"/>
    </row>
    <row r="1492">
      <c r="A1492" s="93"/>
      <c r="B1492" s="58"/>
      <c r="C1492" s="58"/>
      <c r="D1492" s="58"/>
      <c r="E1492" s="58"/>
      <c r="F1492" s="58"/>
      <c r="G1492" s="58"/>
      <c r="H1492" s="88"/>
      <c r="I1492" s="88"/>
      <c r="J1492" s="58"/>
      <c r="K1492" s="58"/>
      <c r="L1492" s="58"/>
      <c r="M1492" s="58"/>
      <c r="N1492" s="88"/>
      <c r="O1492" s="88"/>
    </row>
    <row r="1493">
      <c r="A1493" s="93"/>
      <c r="B1493" s="58"/>
      <c r="C1493" s="58"/>
      <c r="D1493" s="58"/>
      <c r="E1493" s="58"/>
      <c r="F1493" s="58"/>
      <c r="G1493" s="58"/>
      <c r="H1493" s="88"/>
      <c r="I1493" s="88"/>
      <c r="J1493" s="58"/>
      <c r="K1493" s="58"/>
      <c r="L1493" s="58"/>
      <c r="M1493" s="58"/>
      <c r="N1493" s="88"/>
      <c r="O1493" s="88"/>
    </row>
    <row r="1494">
      <c r="A1494" s="93"/>
      <c r="B1494" s="58"/>
      <c r="C1494" s="58"/>
      <c r="D1494" s="58"/>
      <c r="E1494" s="58"/>
      <c r="F1494" s="58"/>
      <c r="G1494" s="58"/>
      <c r="H1494" s="88"/>
      <c r="I1494" s="88"/>
      <c r="J1494" s="58"/>
      <c r="K1494" s="58"/>
      <c r="L1494" s="58"/>
      <c r="M1494" s="58"/>
      <c r="N1494" s="88"/>
      <c r="O1494" s="88"/>
    </row>
    <row r="1495">
      <c r="A1495" s="93"/>
      <c r="B1495" s="58"/>
      <c r="C1495" s="58"/>
      <c r="D1495" s="58"/>
      <c r="E1495" s="58"/>
      <c r="F1495" s="58"/>
      <c r="G1495" s="58"/>
      <c r="H1495" s="88"/>
      <c r="I1495" s="88"/>
      <c r="J1495" s="58"/>
      <c r="K1495" s="58"/>
      <c r="L1495" s="58"/>
      <c r="M1495" s="58"/>
      <c r="N1495" s="88"/>
      <c r="O1495" s="88"/>
    </row>
    <row r="1496">
      <c r="A1496" s="93"/>
      <c r="B1496" s="58"/>
      <c r="C1496" s="58"/>
      <c r="D1496" s="58"/>
      <c r="E1496" s="58"/>
      <c r="F1496" s="58"/>
      <c r="G1496" s="58"/>
      <c r="H1496" s="88"/>
      <c r="I1496" s="88"/>
      <c r="J1496" s="58"/>
      <c r="K1496" s="58"/>
      <c r="L1496" s="58"/>
      <c r="M1496" s="58"/>
      <c r="N1496" s="88"/>
      <c r="O1496" s="88"/>
    </row>
    <row r="1497">
      <c r="A1497" s="93"/>
      <c r="B1497" s="58"/>
      <c r="C1497" s="58"/>
      <c r="D1497" s="58"/>
      <c r="E1497" s="58"/>
      <c r="F1497" s="58"/>
      <c r="G1497" s="58"/>
      <c r="H1497" s="88"/>
      <c r="I1497" s="88"/>
      <c r="J1497" s="58"/>
      <c r="K1497" s="58"/>
      <c r="L1497" s="58"/>
      <c r="M1497" s="58"/>
      <c r="N1497" s="88"/>
      <c r="O1497" s="88"/>
    </row>
    <row r="1498">
      <c r="A1498" s="93"/>
      <c r="B1498" s="58"/>
      <c r="C1498" s="58"/>
      <c r="D1498" s="58"/>
      <c r="E1498" s="58"/>
      <c r="F1498" s="58"/>
      <c r="G1498" s="58"/>
      <c r="H1498" s="88"/>
      <c r="I1498" s="88"/>
      <c r="J1498" s="58"/>
      <c r="K1498" s="58"/>
      <c r="L1498" s="58"/>
      <c r="M1498" s="58"/>
      <c r="N1498" s="88"/>
      <c r="O1498" s="88"/>
    </row>
    <row r="1499">
      <c r="A1499" s="93"/>
      <c r="B1499" s="58"/>
      <c r="C1499" s="58"/>
      <c r="D1499" s="58"/>
      <c r="E1499" s="58"/>
      <c r="F1499" s="58"/>
      <c r="G1499" s="58"/>
      <c r="H1499" s="88"/>
      <c r="I1499" s="88"/>
      <c r="J1499" s="58"/>
      <c r="K1499" s="58"/>
      <c r="L1499" s="58"/>
      <c r="M1499" s="58"/>
      <c r="N1499" s="88"/>
      <c r="O1499" s="88"/>
    </row>
    <row r="1500">
      <c r="A1500" s="93"/>
      <c r="B1500" s="58"/>
      <c r="C1500" s="58"/>
      <c r="D1500" s="58"/>
      <c r="E1500" s="58"/>
      <c r="F1500" s="58"/>
      <c r="G1500" s="58"/>
      <c r="H1500" s="88"/>
      <c r="I1500" s="88"/>
      <c r="J1500" s="58"/>
      <c r="K1500" s="58"/>
      <c r="L1500" s="58"/>
      <c r="M1500" s="58"/>
      <c r="N1500" s="88"/>
      <c r="O1500" s="88"/>
    </row>
    <row r="1501">
      <c r="A1501" s="93"/>
      <c r="B1501" s="58"/>
      <c r="C1501" s="58"/>
      <c r="D1501" s="58"/>
      <c r="E1501" s="58"/>
      <c r="F1501" s="58"/>
      <c r="G1501" s="58"/>
      <c r="H1501" s="88"/>
      <c r="I1501" s="88"/>
      <c r="J1501" s="58"/>
      <c r="K1501" s="58"/>
      <c r="L1501" s="58"/>
      <c r="M1501" s="58"/>
      <c r="N1501" s="88"/>
      <c r="O1501" s="88"/>
    </row>
    <row r="1502">
      <c r="A1502" s="93"/>
      <c r="B1502" s="58"/>
      <c r="C1502" s="58"/>
      <c r="D1502" s="58"/>
      <c r="E1502" s="58"/>
      <c r="F1502" s="58"/>
      <c r="G1502" s="58"/>
      <c r="H1502" s="88"/>
      <c r="I1502" s="88"/>
      <c r="J1502" s="58"/>
      <c r="K1502" s="58"/>
      <c r="L1502" s="58"/>
      <c r="M1502" s="58"/>
      <c r="N1502" s="88"/>
      <c r="O1502" s="88"/>
    </row>
    <row r="1503">
      <c r="A1503" s="93"/>
      <c r="B1503" s="58"/>
      <c r="C1503" s="58"/>
      <c r="D1503" s="58"/>
      <c r="E1503" s="58"/>
      <c r="F1503" s="58"/>
      <c r="G1503" s="58"/>
      <c r="H1503" s="88"/>
      <c r="I1503" s="88"/>
      <c r="J1503" s="58"/>
      <c r="K1503" s="58"/>
      <c r="L1503" s="58"/>
      <c r="M1503" s="58"/>
      <c r="N1503" s="88"/>
      <c r="O1503" s="88"/>
    </row>
    <row r="1504">
      <c r="A1504" s="93"/>
      <c r="B1504" s="58"/>
      <c r="C1504" s="58"/>
      <c r="D1504" s="58"/>
      <c r="E1504" s="58"/>
      <c r="F1504" s="58"/>
      <c r="G1504" s="58"/>
      <c r="H1504" s="88"/>
      <c r="I1504" s="88"/>
      <c r="J1504" s="58"/>
      <c r="K1504" s="58"/>
      <c r="L1504" s="58"/>
      <c r="M1504" s="58"/>
      <c r="N1504" s="88"/>
      <c r="O1504" s="88"/>
    </row>
    <row r="1505">
      <c r="A1505" s="93"/>
      <c r="B1505" s="58"/>
      <c r="C1505" s="58"/>
      <c r="D1505" s="58"/>
      <c r="E1505" s="58"/>
      <c r="F1505" s="58"/>
      <c r="G1505" s="58"/>
      <c r="H1505" s="88"/>
      <c r="I1505" s="88"/>
      <c r="J1505" s="58"/>
      <c r="K1505" s="58"/>
      <c r="L1505" s="58"/>
      <c r="M1505" s="58"/>
      <c r="N1505" s="88"/>
      <c r="O1505" s="88"/>
    </row>
    <row r="1506">
      <c r="A1506" s="93"/>
      <c r="B1506" s="58"/>
      <c r="C1506" s="58"/>
      <c r="D1506" s="58"/>
      <c r="E1506" s="58"/>
      <c r="F1506" s="58"/>
      <c r="G1506" s="58"/>
      <c r="H1506" s="88"/>
      <c r="I1506" s="88"/>
      <c r="J1506" s="58"/>
      <c r="K1506" s="58"/>
      <c r="L1506" s="58"/>
      <c r="M1506" s="58"/>
      <c r="N1506" s="88"/>
      <c r="O1506" s="88"/>
    </row>
    <row r="1507">
      <c r="A1507" s="93"/>
      <c r="B1507" s="58"/>
      <c r="C1507" s="58"/>
      <c r="D1507" s="58"/>
      <c r="E1507" s="58"/>
      <c r="F1507" s="58"/>
      <c r="G1507" s="58"/>
      <c r="H1507" s="88"/>
      <c r="I1507" s="88"/>
      <c r="J1507" s="58"/>
      <c r="K1507" s="58"/>
      <c r="L1507" s="58"/>
      <c r="M1507" s="58"/>
      <c r="N1507" s="88"/>
      <c r="O1507" s="88"/>
    </row>
    <row r="1508">
      <c r="A1508" s="93"/>
      <c r="B1508" s="58"/>
      <c r="C1508" s="58"/>
      <c r="D1508" s="58"/>
      <c r="E1508" s="58"/>
      <c r="F1508" s="58"/>
      <c r="G1508" s="58"/>
      <c r="H1508" s="88"/>
      <c r="I1508" s="88"/>
      <c r="J1508" s="58"/>
      <c r="K1508" s="58"/>
      <c r="L1508" s="58"/>
      <c r="M1508" s="58"/>
      <c r="N1508" s="88"/>
      <c r="O1508" s="88"/>
    </row>
    <row r="1509">
      <c r="A1509" s="93"/>
      <c r="B1509" s="58"/>
      <c r="C1509" s="58"/>
      <c r="D1509" s="58"/>
      <c r="E1509" s="58"/>
      <c r="F1509" s="58"/>
      <c r="G1509" s="58"/>
      <c r="H1509" s="88"/>
      <c r="I1509" s="88"/>
      <c r="J1509" s="58"/>
      <c r="K1509" s="58"/>
      <c r="L1509" s="58"/>
      <c r="M1509" s="58"/>
      <c r="N1509" s="88"/>
      <c r="O1509" s="88"/>
    </row>
    <row r="1510">
      <c r="A1510" s="93"/>
      <c r="B1510" s="58"/>
      <c r="C1510" s="58"/>
      <c r="D1510" s="58"/>
      <c r="E1510" s="58"/>
      <c r="F1510" s="58"/>
      <c r="G1510" s="58"/>
      <c r="H1510" s="88"/>
      <c r="I1510" s="88"/>
      <c r="J1510" s="58"/>
      <c r="K1510" s="58"/>
      <c r="L1510" s="58"/>
      <c r="M1510" s="58"/>
      <c r="N1510" s="88"/>
      <c r="O1510" s="88"/>
    </row>
    <row r="1511">
      <c r="A1511" s="93"/>
      <c r="B1511" s="58"/>
      <c r="C1511" s="58"/>
      <c r="D1511" s="58"/>
      <c r="E1511" s="58"/>
      <c r="F1511" s="58"/>
      <c r="G1511" s="58"/>
      <c r="H1511" s="88"/>
      <c r="I1511" s="88"/>
      <c r="J1511" s="58"/>
      <c r="K1511" s="58"/>
      <c r="L1511" s="58"/>
      <c r="M1511" s="58"/>
      <c r="N1511" s="88"/>
      <c r="O1511" s="88"/>
    </row>
    <row r="1512">
      <c r="A1512" s="93"/>
      <c r="B1512" s="58"/>
      <c r="C1512" s="58"/>
      <c r="D1512" s="58"/>
      <c r="E1512" s="58"/>
      <c r="F1512" s="58"/>
      <c r="G1512" s="58"/>
      <c r="H1512" s="88"/>
      <c r="I1512" s="88"/>
      <c r="J1512" s="58"/>
      <c r="K1512" s="58"/>
      <c r="L1512" s="58"/>
      <c r="M1512" s="58"/>
      <c r="N1512" s="88"/>
      <c r="O1512" s="88"/>
    </row>
    <row r="1513">
      <c r="A1513" s="93"/>
      <c r="B1513" s="58"/>
      <c r="C1513" s="58"/>
      <c r="D1513" s="58"/>
      <c r="E1513" s="58"/>
      <c r="F1513" s="58"/>
      <c r="G1513" s="58"/>
      <c r="H1513" s="88"/>
      <c r="I1513" s="88"/>
      <c r="J1513" s="58"/>
      <c r="K1513" s="58"/>
      <c r="L1513" s="58"/>
      <c r="M1513" s="58"/>
      <c r="N1513" s="88"/>
      <c r="O1513" s="88"/>
    </row>
    <row r="1514">
      <c r="A1514" s="93"/>
      <c r="B1514" s="58"/>
      <c r="C1514" s="58"/>
      <c r="D1514" s="58"/>
      <c r="E1514" s="58"/>
      <c r="F1514" s="58"/>
      <c r="G1514" s="58"/>
      <c r="H1514" s="88"/>
      <c r="I1514" s="88"/>
      <c r="J1514" s="58"/>
      <c r="K1514" s="58"/>
      <c r="L1514" s="58"/>
      <c r="M1514" s="58"/>
      <c r="N1514" s="88"/>
      <c r="O1514" s="88"/>
    </row>
    <row r="1515">
      <c r="A1515" s="93"/>
      <c r="B1515" s="58"/>
      <c r="C1515" s="58"/>
      <c r="D1515" s="58"/>
      <c r="E1515" s="58"/>
      <c r="F1515" s="58"/>
      <c r="G1515" s="58"/>
      <c r="H1515" s="88"/>
      <c r="I1515" s="88"/>
      <c r="J1515" s="58"/>
      <c r="K1515" s="58"/>
      <c r="L1515" s="58"/>
      <c r="M1515" s="58"/>
      <c r="N1515" s="88"/>
      <c r="O1515" s="88"/>
    </row>
    <row r="1516">
      <c r="A1516" s="93"/>
      <c r="B1516" s="58"/>
      <c r="C1516" s="58"/>
      <c r="D1516" s="58"/>
      <c r="E1516" s="58"/>
      <c r="F1516" s="58"/>
      <c r="G1516" s="58"/>
      <c r="H1516" s="88"/>
      <c r="I1516" s="88"/>
      <c r="J1516" s="58"/>
      <c r="K1516" s="58"/>
      <c r="L1516" s="58"/>
      <c r="M1516" s="58"/>
      <c r="N1516" s="88"/>
      <c r="O1516" s="88"/>
    </row>
    <row r="1517">
      <c r="A1517" s="93"/>
      <c r="B1517" s="58"/>
      <c r="C1517" s="58"/>
      <c r="D1517" s="58"/>
      <c r="E1517" s="58"/>
      <c r="F1517" s="58"/>
      <c r="G1517" s="58"/>
      <c r="H1517" s="88"/>
      <c r="I1517" s="88"/>
      <c r="J1517" s="58"/>
      <c r="K1517" s="58"/>
      <c r="L1517" s="58"/>
      <c r="M1517" s="58"/>
      <c r="N1517" s="88"/>
      <c r="O1517" s="88"/>
    </row>
    <row r="1518">
      <c r="A1518" s="93"/>
      <c r="B1518" s="58"/>
      <c r="C1518" s="58"/>
      <c r="D1518" s="58"/>
      <c r="E1518" s="58"/>
      <c r="F1518" s="58"/>
      <c r="G1518" s="58"/>
      <c r="H1518" s="88"/>
      <c r="I1518" s="88"/>
      <c r="J1518" s="58"/>
      <c r="K1518" s="58"/>
      <c r="L1518" s="58"/>
      <c r="M1518" s="58"/>
      <c r="N1518" s="88"/>
      <c r="O1518" s="88"/>
    </row>
    <row r="1519">
      <c r="A1519" s="93"/>
      <c r="B1519" s="58"/>
      <c r="C1519" s="58"/>
      <c r="D1519" s="58"/>
      <c r="E1519" s="58"/>
      <c r="F1519" s="58"/>
      <c r="G1519" s="58"/>
      <c r="H1519" s="88"/>
      <c r="I1519" s="88"/>
      <c r="J1519" s="58"/>
      <c r="K1519" s="58"/>
      <c r="L1519" s="58"/>
      <c r="M1519" s="58"/>
      <c r="N1519" s="88"/>
      <c r="O1519" s="88"/>
    </row>
    <row r="1520">
      <c r="A1520" s="93"/>
      <c r="B1520" s="58"/>
      <c r="C1520" s="58"/>
      <c r="D1520" s="58"/>
      <c r="E1520" s="58"/>
      <c r="F1520" s="58"/>
      <c r="G1520" s="58"/>
      <c r="H1520" s="88"/>
      <c r="I1520" s="88"/>
      <c r="J1520" s="58"/>
      <c r="K1520" s="58"/>
      <c r="L1520" s="58"/>
      <c r="M1520" s="58"/>
      <c r="N1520" s="88"/>
      <c r="O1520" s="88"/>
    </row>
    <row r="1521">
      <c r="A1521" s="93"/>
      <c r="B1521" s="58"/>
      <c r="C1521" s="58"/>
      <c r="D1521" s="58"/>
      <c r="E1521" s="58"/>
      <c r="F1521" s="58"/>
      <c r="G1521" s="58"/>
      <c r="H1521" s="88"/>
      <c r="I1521" s="88"/>
      <c r="J1521" s="58"/>
      <c r="K1521" s="58"/>
      <c r="L1521" s="58"/>
      <c r="M1521" s="58"/>
      <c r="N1521" s="88"/>
      <c r="O1521" s="88"/>
    </row>
    <row r="1522">
      <c r="A1522" s="93"/>
      <c r="B1522" s="58"/>
      <c r="C1522" s="58"/>
      <c r="D1522" s="58"/>
      <c r="E1522" s="58"/>
      <c r="F1522" s="58"/>
      <c r="G1522" s="58"/>
      <c r="H1522" s="88"/>
      <c r="I1522" s="88"/>
      <c r="J1522" s="58"/>
      <c r="K1522" s="58"/>
      <c r="L1522" s="58"/>
      <c r="M1522" s="58"/>
      <c r="N1522" s="88"/>
      <c r="O1522" s="88"/>
    </row>
    <row r="1523">
      <c r="A1523" s="93"/>
      <c r="B1523" s="58"/>
      <c r="C1523" s="58"/>
      <c r="D1523" s="58"/>
      <c r="E1523" s="58"/>
      <c r="F1523" s="58"/>
      <c r="G1523" s="58"/>
      <c r="H1523" s="88"/>
      <c r="I1523" s="88"/>
      <c r="J1523" s="58"/>
      <c r="K1523" s="58"/>
      <c r="L1523" s="58"/>
      <c r="M1523" s="58"/>
      <c r="N1523" s="88"/>
      <c r="O1523" s="88"/>
    </row>
    <row r="1524">
      <c r="A1524" s="93"/>
      <c r="B1524" s="58"/>
      <c r="C1524" s="58"/>
      <c r="D1524" s="58"/>
      <c r="E1524" s="58"/>
      <c r="F1524" s="58"/>
      <c r="G1524" s="58"/>
      <c r="H1524" s="88"/>
      <c r="I1524" s="88"/>
      <c r="J1524" s="58"/>
      <c r="K1524" s="58"/>
      <c r="L1524" s="58"/>
      <c r="M1524" s="58"/>
      <c r="N1524" s="88"/>
      <c r="O1524" s="88"/>
    </row>
    <row r="1525">
      <c r="A1525" s="93"/>
      <c r="B1525" s="58"/>
      <c r="C1525" s="58"/>
      <c r="D1525" s="58"/>
      <c r="E1525" s="58"/>
      <c r="F1525" s="58"/>
      <c r="G1525" s="58"/>
      <c r="H1525" s="88"/>
      <c r="I1525" s="88"/>
      <c r="J1525" s="58"/>
      <c r="K1525" s="58"/>
      <c r="L1525" s="58"/>
      <c r="M1525" s="58"/>
      <c r="N1525" s="88"/>
      <c r="O1525" s="88"/>
    </row>
    <row r="1526">
      <c r="A1526" s="93"/>
      <c r="B1526" s="58"/>
      <c r="C1526" s="58"/>
      <c r="D1526" s="58"/>
      <c r="E1526" s="58"/>
      <c r="F1526" s="58"/>
      <c r="G1526" s="58"/>
      <c r="H1526" s="88"/>
      <c r="I1526" s="88"/>
      <c r="J1526" s="58"/>
      <c r="K1526" s="58"/>
      <c r="L1526" s="58"/>
      <c r="M1526" s="58"/>
      <c r="N1526" s="88"/>
      <c r="O1526" s="88"/>
    </row>
    <row r="1527">
      <c r="A1527" s="93"/>
      <c r="B1527" s="58"/>
      <c r="C1527" s="58"/>
      <c r="D1527" s="58"/>
      <c r="E1527" s="58"/>
      <c r="F1527" s="58"/>
      <c r="G1527" s="58"/>
      <c r="H1527" s="88"/>
      <c r="I1527" s="88"/>
      <c r="J1527" s="58"/>
      <c r="K1527" s="58"/>
      <c r="L1527" s="58"/>
      <c r="M1527" s="58"/>
      <c r="N1527" s="88"/>
      <c r="O1527" s="88"/>
    </row>
    <row r="1528">
      <c r="A1528" s="93"/>
      <c r="B1528" s="58"/>
      <c r="C1528" s="58"/>
      <c r="D1528" s="58"/>
      <c r="E1528" s="58"/>
      <c r="F1528" s="58"/>
      <c r="G1528" s="58"/>
      <c r="H1528" s="88"/>
      <c r="I1528" s="88"/>
      <c r="J1528" s="58"/>
      <c r="K1528" s="58"/>
      <c r="L1528" s="58"/>
      <c r="M1528" s="58"/>
      <c r="N1528" s="88"/>
      <c r="O1528" s="88"/>
    </row>
    <row r="1529">
      <c r="A1529" s="93"/>
      <c r="B1529" s="58"/>
      <c r="C1529" s="58"/>
      <c r="D1529" s="58"/>
      <c r="E1529" s="58"/>
      <c r="F1529" s="58"/>
      <c r="G1529" s="58"/>
      <c r="H1529" s="88"/>
      <c r="I1529" s="88"/>
      <c r="J1529" s="58"/>
      <c r="K1529" s="58"/>
      <c r="L1529" s="58"/>
      <c r="M1529" s="58"/>
      <c r="N1529" s="88"/>
      <c r="O1529" s="88"/>
    </row>
    <row r="1530">
      <c r="A1530" s="93"/>
      <c r="B1530" s="58"/>
      <c r="C1530" s="58"/>
      <c r="D1530" s="58"/>
      <c r="E1530" s="58"/>
      <c r="F1530" s="58"/>
      <c r="G1530" s="58"/>
      <c r="H1530" s="88"/>
      <c r="I1530" s="88"/>
      <c r="J1530" s="58"/>
      <c r="K1530" s="58"/>
      <c r="L1530" s="58"/>
      <c r="M1530" s="58"/>
      <c r="N1530" s="88"/>
      <c r="O1530" s="88"/>
    </row>
    <row r="1531">
      <c r="A1531" s="93"/>
      <c r="B1531" s="58"/>
      <c r="C1531" s="58"/>
      <c r="D1531" s="58"/>
      <c r="E1531" s="58"/>
      <c r="F1531" s="58"/>
      <c r="G1531" s="58"/>
      <c r="H1531" s="88"/>
      <c r="I1531" s="88"/>
      <c r="J1531" s="58"/>
      <c r="K1531" s="58"/>
      <c r="L1531" s="58"/>
      <c r="M1531" s="58"/>
      <c r="N1531" s="88"/>
      <c r="O1531" s="88"/>
    </row>
    <row r="1532">
      <c r="A1532" s="93"/>
      <c r="B1532" s="58"/>
      <c r="C1532" s="58"/>
      <c r="D1532" s="58"/>
      <c r="E1532" s="58"/>
      <c r="F1532" s="58"/>
      <c r="G1532" s="58"/>
      <c r="H1532" s="88"/>
      <c r="I1532" s="88"/>
      <c r="J1532" s="58"/>
      <c r="K1532" s="58"/>
      <c r="L1532" s="58"/>
      <c r="M1532" s="58"/>
      <c r="N1532" s="88"/>
      <c r="O1532" s="88"/>
    </row>
    <row r="1533">
      <c r="A1533" s="93"/>
      <c r="B1533" s="58"/>
      <c r="C1533" s="58"/>
      <c r="D1533" s="58"/>
      <c r="E1533" s="58"/>
      <c r="F1533" s="58"/>
      <c r="G1533" s="58"/>
      <c r="H1533" s="88"/>
      <c r="I1533" s="88"/>
      <c r="J1533" s="58"/>
      <c r="K1533" s="58"/>
      <c r="L1533" s="58"/>
      <c r="M1533" s="58"/>
      <c r="N1533" s="88"/>
      <c r="O1533" s="88"/>
    </row>
    <row r="1534">
      <c r="A1534" s="93"/>
      <c r="B1534" s="58"/>
      <c r="C1534" s="58"/>
      <c r="D1534" s="58"/>
      <c r="E1534" s="58"/>
      <c r="F1534" s="58"/>
      <c r="G1534" s="58"/>
      <c r="H1534" s="88"/>
      <c r="I1534" s="88"/>
      <c r="J1534" s="58"/>
      <c r="K1534" s="58"/>
      <c r="L1534" s="58"/>
      <c r="M1534" s="58"/>
      <c r="N1534" s="88"/>
      <c r="O1534" s="88"/>
    </row>
    <row r="1535">
      <c r="A1535" s="93"/>
      <c r="B1535" s="58"/>
      <c r="C1535" s="58"/>
      <c r="D1535" s="58"/>
      <c r="E1535" s="58"/>
      <c r="F1535" s="58"/>
      <c r="G1535" s="58"/>
      <c r="H1535" s="88"/>
      <c r="I1535" s="88"/>
      <c r="J1535" s="58"/>
      <c r="K1535" s="58"/>
      <c r="L1535" s="58"/>
      <c r="M1535" s="58"/>
      <c r="N1535" s="88"/>
      <c r="O1535" s="88"/>
    </row>
    <row r="1536">
      <c r="A1536" s="93"/>
      <c r="B1536" s="58"/>
      <c r="C1536" s="58"/>
      <c r="D1536" s="58"/>
      <c r="E1536" s="58"/>
      <c r="F1536" s="58"/>
      <c r="G1536" s="58"/>
      <c r="H1536" s="88"/>
      <c r="I1536" s="88"/>
      <c r="J1536" s="58"/>
      <c r="K1536" s="58"/>
      <c r="L1536" s="58"/>
      <c r="M1536" s="58"/>
      <c r="N1536" s="88"/>
      <c r="O1536" s="88"/>
    </row>
    <row r="1537">
      <c r="A1537" s="93"/>
      <c r="B1537" s="58"/>
      <c r="C1537" s="58"/>
      <c r="D1537" s="58"/>
      <c r="E1537" s="58"/>
      <c r="F1537" s="58"/>
      <c r="G1537" s="58"/>
      <c r="H1537" s="88"/>
      <c r="I1537" s="88"/>
      <c r="J1537" s="58"/>
      <c r="K1537" s="58"/>
      <c r="L1537" s="58"/>
      <c r="M1537" s="58"/>
      <c r="N1537" s="88"/>
      <c r="O1537" s="88"/>
    </row>
    <row r="1538">
      <c r="A1538" s="93"/>
      <c r="B1538" s="58"/>
      <c r="C1538" s="58"/>
      <c r="D1538" s="58"/>
      <c r="E1538" s="58"/>
      <c r="F1538" s="58"/>
      <c r="G1538" s="58"/>
      <c r="H1538" s="88"/>
      <c r="I1538" s="88"/>
      <c r="J1538" s="58"/>
      <c r="K1538" s="58"/>
      <c r="L1538" s="58"/>
      <c r="M1538" s="58"/>
      <c r="N1538" s="88"/>
      <c r="O1538" s="88"/>
    </row>
    <row r="1539">
      <c r="A1539" s="93"/>
      <c r="B1539" s="58"/>
      <c r="C1539" s="58"/>
      <c r="D1539" s="58"/>
      <c r="E1539" s="58"/>
      <c r="F1539" s="58"/>
      <c r="G1539" s="58"/>
      <c r="H1539" s="88"/>
      <c r="I1539" s="88"/>
      <c r="J1539" s="58"/>
      <c r="K1539" s="58"/>
      <c r="L1539" s="58"/>
      <c r="M1539" s="58"/>
      <c r="N1539" s="88"/>
      <c r="O1539" s="88"/>
    </row>
    <row r="1540">
      <c r="A1540" s="93"/>
      <c r="B1540" s="58"/>
      <c r="C1540" s="58"/>
      <c r="D1540" s="58"/>
      <c r="E1540" s="58"/>
      <c r="F1540" s="58"/>
      <c r="G1540" s="58"/>
      <c r="H1540" s="88"/>
      <c r="I1540" s="88"/>
      <c r="J1540" s="58"/>
      <c r="K1540" s="58"/>
      <c r="L1540" s="58"/>
      <c r="M1540" s="58"/>
      <c r="N1540" s="88"/>
      <c r="O1540" s="88"/>
    </row>
    <row r="1541">
      <c r="A1541" s="93"/>
      <c r="B1541" s="58"/>
      <c r="C1541" s="58"/>
      <c r="D1541" s="58"/>
      <c r="E1541" s="58"/>
      <c r="F1541" s="58"/>
      <c r="G1541" s="58"/>
      <c r="H1541" s="88"/>
      <c r="I1541" s="88"/>
      <c r="J1541" s="58"/>
      <c r="K1541" s="58"/>
      <c r="L1541" s="58"/>
      <c r="M1541" s="58"/>
      <c r="N1541" s="88"/>
      <c r="O1541" s="88"/>
    </row>
    <row r="1542">
      <c r="A1542" s="93"/>
      <c r="B1542" s="58"/>
      <c r="C1542" s="58"/>
      <c r="D1542" s="58"/>
      <c r="E1542" s="58"/>
      <c r="F1542" s="58"/>
      <c r="G1542" s="58"/>
      <c r="H1542" s="88"/>
      <c r="I1542" s="88"/>
      <c r="J1542" s="58"/>
      <c r="K1542" s="58"/>
      <c r="L1542" s="58"/>
      <c r="M1542" s="58"/>
      <c r="N1542" s="88"/>
      <c r="O1542" s="88"/>
    </row>
    <row r="1543">
      <c r="A1543" s="93"/>
      <c r="B1543" s="58"/>
      <c r="C1543" s="58"/>
      <c r="D1543" s="58"/>
      <c r="E1543" s="58"/>
      <c r="F1543" s="58"/>
      <c r="G1543" s="58"/>
      <c r="H1543" s="88"/>
      <c r="I1543" s="88"/>
      <c r="J1543" s="58"/>
      <c r="K1543" s="58"/>
      <c r="L1543" s="58"/>
      <c r="M1543" s="58"/>
      <c r="N1543" s="88"/>
      <c r="O1543" s="88"/>
    </row>
    <row r="1544">
      <c r="A1544" s="93"/>
      <c r="B1544" s="58"/>
      <c r="C1544" s="58"/>
      <c r="D1544" s="58"/>
      <c r="E1544" s="58"/>
      <c r="F1544" s="58"/>
      <c r="G1544" s="58"/>
      <c r="H1544" s="88"/>
      <c r="I1544" s="88"/>
      <c r="J1544" s="58"/>
      <c r="K1544" s="58"/>
      <c r="L1544" s="58"/>
      <c r="M1544" s="58"/>
      <c r="N1544" s="88"/>
      <c r="O1544" s="88"/>
    </row>
    <row r="1545">
      <c r="A1545" s="93"/>
      <c r="B1545" s="58"/>
      <c r="C1545" s="58"/>
      <c r="D1545" s="58"/>
      <c r="E1545" s="58"/>
      <c r="F1545" s="58"/>
      <c r="G1545" s="58"/>
      <c r="H1545" s="88"/>
      <c r="I1545" s="88"/>
      <c r="J1545" s="58"/>
      <c r="K1545" s="58"/>
      <c r="L1545" s="58"/>
      <c r="M1545" s="58"/>
      <c r="N1545" s="88"/>
      <c r="O1545" s="88"/>
    </row>
    <row r="1546">
      <c r="A1546" s="93"/>
      <c r="B1546" s="58"/>
      <c r="C1546" s="58"/>
      <c r="D1546" s="58"/>
      <c r="E1546" s="58"/>
      <c r="F1546" s="58"/>
      <c r="G1546" s="58"/>
      <c r="H1546" s="88"/>
      <c r="I1546" s="88"/>
      <c r="J1546" s="58"/>
      <c r="K1546" s="58"/>
      <c r="L1546" s="58"/>
      <c r="M1546" s="58"/>
      <c r="N1546" s="88"/>
      <c r="O1546" s="88"/>
    </row>
    <row r="1547">
      <c r="A1547" s="93"/>
      <c r="B1547" s="58"/>
      <c r="C1547" s="58"/>
      <c r="D1547" s="58"/>
      <c r="E1547" s="58"/>
      <c r="F1547" s="58"/>
      <c r="G1547" s="58"/>
      <c r="H1547" s="88"/>
      <c r="I1547" s="88"/>
      <c r="J1547" s="58"/>
      <c r="K1547" s="58"/>
      <c r="L1547" s="58"/>
      <c r="M1547" s="58"/>
      <c r="N1547" s="88"/>
      <c r="O1547" s="88"/>
    </row>
    <row r="1548">
      <c r="A1548" s="93"/>
      <c r="B1548" s="58"/>
      <c r="C1548" s="58"/>
      <c r="D1548" s="58"/>
      <c r="E1548" s="58"/>
      <c r="F1548" s="58"/>
      <c r="G1548" s="58"/>
      <c r="H1548" s="88"/>
      <c r="I1548" s="88"/>
      <c r="J1548" s="58"/>
      <c r="K1548" s="58"/>
      <c r="L1548" s="58"/>
      <c r="M1548" s="58"/>
      <c r="N1548" s="88"/>
      <c r="O1548" s="88"/>
    </row>
    <row r="1549">
      <c r="A1549" s="93"/>
      <c r="B1549" s="58"/>
      <c r="C1549" s="58"/>
      <c r="D1549" s="58"/>
      <c r="E1549" s="58"/>
      <c r="F1549" s="58"/>
      <c r="G1549" s="58"/>
      <c r="H1549" s="88"/>
      <c r="I1549" s="88"/>
      <c r="J1549" s="58"/>
      <c r="K1549" s="58"/>
      <c r="L1549" s="58"/>
      <c r="M1549" s="58"/>
      <c r="N1549" s="88"/>
      <c r="O1549" s="88"/>
    </row>
    <row r="1550">
      <c r="A1550" s="93"/>
      <c r="B1550" s="58"/>
      <c r="C1550" s="58"/>
      <c r="D1550" s="58"/>
      <c r="E1550" s="58"/>
      <c r="F1550" s="58"/>
      <c r="G1550" s="58"/>
      <c r="H1550" s="88"/>
      <c r="I1550" s="88"/>
      <c r="J1550" s="58"/>
      <c r="K1550" s="58"/>
      <c r="L1550" s="58"/>
      <c r="M1550" s="58"/>
      <c r="N1550" s="88"/>
      <c r="O1550" s="88"/>
    </row>
    <row r="1551">
      <c r="A1551" s="93"/>
      <c r="B1551" s="58"/>
      <c r="C1551" s="58"/>
      <c r="D1551" s="58"/>
      <c r="E1551" s="58"/>
      <c r="F1551" s="58"/>
      <c r="G1551" s="58"/>
      <c r="H1551" s="88"/>
      <c r="I1551" s="88"/>
      <c r="J1551" s="58"/>
      <c r="K1551" s="58"/>
      <c r="L1551" s="58"/>
      <c r="M1551" s="58"/>
      <c r="N1551" s="88"/>
      <c r="O1551" s="88"/>
    </row>
    <row r="1552">
      <c r="A1552" s="93"/>
      <c r="B1552" s="58"/>
      <c r="C1552" s="58"/>
      <c r="D1552" s="58"/>
      <c r="E1552" s="58"/>
      <c r="F1552" s="58"/>
      <c r="G1552" s="58"/>
      <c r="H1552" s="88"/>
      <c r="I1552" s="88"/>
      <c r="J1552" s="58"/>
      <c r="K1552" s="58"/>
      <c r="L1552" s="58"/>
      <c r="M1552" s="58"/>
      <c r="N1552" s="88"/>
      <c r="O1552" s="88"/>
    </row>
    <row r="1553">
      <c r="A1553" s="93"/>
      <c r="B1553" s="58"/>
      <c r="C1553" s="58"/>
      <c r="D1553" s="58"/>
      <c r="E1553" s="58"/>
      <c r="F1553" s="58"/>
      <c r="G1553" s="58"/>
      <c r="H1553" s="88"/>
      <c r="I1553" s="88"/>
      <c r="J1553" s="58"/>
      <c r="K1553" s="58"/>
      <c r="L1553" s="58"/>
      <c r="M1553" s="58"/>
      <c r="N1553" s="88"/>
      <c r="O1553" s="88"/>
    </row>
    <row r="1554">
      <c r="A1554" s="93"/>
      <c r="B1554" s="58"/>
      <c r="C1554" s="58"/>
      <c r="D1554" s="58"/>
      <c r="E1554" s="58"/>
      <c r="F1554" s="58"/>
      <c r="G1554" s="58"/>
      <c r="H1554" s="88"/>
      <c r="I1554" s="88"/>
      <c r="J1554" s="58"/>
      <c r="K1554" s="58"/>
      <c r="L1554" s="58"/>
      <c r="M1554" s="58"/>
      <c r="N1554" s="88"/>
      <c r="O1554" s="88"/>
    </row>
    <row r="1555">
      <c r="A1555" s="93"/>
      <c r="B1555" s="58"/>
      <c r="C1555" s="58"/>
      <c r="D1555" s="58"/>
      <c r="E1555" s="58"/>
      <c r="F1555" s="58"/>
      <c r="G1555" s="58"/>
      <c r="H1555" s="88"/>
      <c r="I1555" s="88"/>
      <c r="J1555" s="58"/>
      <c r="K1555" s="58"/>
      <c r="L1555" s="58"/>
      <c r="M1555" s="58"/>
      <c r="N1555" s="88"/>
      <c r="O1555" s="88"/>
    </row>
    <row r="1556">
      <c r="A1556" s="93"/>
      <c r="B1556" s="58"/>
      <c r="C1556" s="58"/>
      <c r="D1556" s="58"/>
      <c r="E1556" s="58"/>
      <c r="F1556" s="58"/>
      <c r="G1556" s="58"/>
      <c r="H1556" s="88"/>
      <c r="I1556" s="88"/>
      <c r="J1556" s="58"/>
      <c r="K1556" s="58"/>
      <c r="L1556" s="58"/>
      <c r="M1556" s="58"/>
      <c r="N1556" s="88"/>
      <c r="O1556" s="88"/>
    </row>
    <row r="1557">
      <c r="A1557" s="93"/>
      <c r="B1557" s="58"/>
      <c r="C1557" s="58"/>
      <c r="D1557" s="58"/>
      <c r="E1557" s="58"/>
      <c r="F1557" s="58"/>
      <c r="G1557" s="58"/>
      <c r="H1557" s="88"/>
      <c r="I1557" s="88"/>
      <c r="J1557" s="58"/>
      <c r="K1557" s="58"/>
      <c r="L1557" s="58"/>
      <c r="M1557" s="58"/>
      <c r="N1557" s="88"/>
      <c r="O1557" s="88"/>
    </row>
    <row r="1558">
      <c r="A1558" s="93"/>
      <c r="B1558" s="58"/>
      <c r="C1558" s="58"/>
      <c r="D1558" s="58"/>
      <c r="E1558" s="58"/>
      <c r="F1558" s="58"/>
      <c r="G1558" s="58"/>
      <c r="H1558" s="88"/>
      <c r="I1558" s="88"/>
      <c r="J1558" s="58"/>
      <c r="K1558" s="58"/>
      <c r="L1558" s="58"/>
      <c r="M1558" s="58"/>
      <c r="N1558" s="88"/>
      <c r="O1558" s="88"/>
    </row>
    <row r="1559">
      <c r="A1559" s="93"/>
      <c r="B1559" s="58"/>
      <c r="C1559" s="58"/>
      <c r="D1559" s="58"/>
      <c r="E1559" s="58"/>
      <c r="F1559" s="58"/>
      <c r="G1559" s="58"/>
      <c r="H1559" s="88"/>
      <c r="I1559" s="88"/>
      <c r="J1559" s="58"/>
      <c r="K1559" s="58"/>
      <c r="L1559" s="58"/>
      <c r="M1559" s="58"/>
      <c r="N1559" s="88"/>
      <c r="O1559" s="88"/>
    </row>
    <row r="1560">
      <c r="A1560" s="93"/>
      <c r="B1560" s="58"/>
      <c r="C1560" s="58"/>
      <c r="D1560" s="58"/>
      <c r="E1560" s="58"/>
      <c r="F1560" s="58"/>
      <c r="G1560" s="58"/>
      <c r="H1560" s="88"/>
      <c r="I1560" s="88"/>
      <c r="J1560" s="58"/>
      <c r="K1560" s="58"/>
      <c r="L1560" s="58"/>
      <c r="M1560" s="58"/>
      <c r="N1560" s="88"/>
      <c r="O1560" s="88"/>
    </row>
    <row r="1561">
      <c r="A1561" s="93"/>
      <c r="B1561" s="58"/>
      <c r="C1561" s="58"/>
      <c r="D1561" s="58"/>
      <c r="E1561" s="58"/>
      <c r="F1561" s="58"/>
      <c r="G1561" s="58"/>
      <c r="H1561" s="88"/>
      <c r="I1561" s="88"/>
      <c r="J1561" s="58"/>
      <c r="K1561" s="58"/>
      <c r="L1561" s="58"/>
      <c r="M1561" s="58"/>
      <c r="N1561" s="88"/>
      <c r="O1561" s="88"/>
    </row>
    <row r="1562">
      <c r="A1562" s="93"/>
      <c r="B1562" s="58"/>
      <c r="C1562" s="58"/>
      <c r="D1562" s="58"/>
      <c r="E1562" s="58"/>
      <c r="F1562" s="58"/>
      <c r="G1562" s="58"/>
      <c r="H1562" s="88"/>
      <c r="I1562" s="88"/>
      <c r="J1562" s="58"/>
      <c r="K1562" s="58"/>
      <c r="L1562" s="58"/>
      <c r="M1562" s="58"/>
      <c r="N1562" s="88"/>
      <c r="O1562" s="88"/>
    </row>
    <row r="1563">
      <c r="A1563" s="93"/>
      <c r="B1563" s="58"/>
      <c r="C1563" s="58"/>
      <c r="D1563" s="58"/>
      <c r="E1563" s="58"/>
      <c r="F1563" s="58"/>
      <c r="G1563" s="58"/>
      <c r="H1563" s="88"/>
      <c r="I1563" s="88"/>
      <c r="J1563" s="58"/>
      <c r="K1563" s="58"/>
      <c r="L1563" s="58"/>
      <c r="M1563" s="58"/>
      <c r="N1563" s="88"/>
      <c r="O1563" s="88"/>
    </row>
    <row r="1564">
      <c r="A1564" s="93"/>
      <c r="B1564" s="58"/>
      <c r="C1564" s="58"/>
      <c r="D1564" s="58"/>
      <c r="E1564" s="58"/>
      <c r="F1564" s="58"/>
      <c r="G1564" s="58"/>
      <c r="H1564" s="88"/>
      <c r="I1564" s="88"/>
      <c r="J1564" s="58"/>
      <c r="K1564" s="58"/>
      <c r="L1564" s="58"/>
      <c r="M1564" s="58"/>
      <c r="N1564" s="88"/>
      <c r="O1564" s="88"/>
    </row>
    <row r="1565">
      <c r="A1565" s="93"/>
      <c r="B1565" s="58"/>
      <c r="C1565" s="58"/>
      <c r="D1565" s="58"/>
      <c r="E1565" s="58"/>
      <c r="F1565" s="58"/>
      <c r="G1565" s="58"/>
      <c r="H1565" s="88"/>
      <c r="I1565" s="88"/>
      <c r="J1565" s="58"/>
      <c r="K1565" s="58"/>
      <c r="L1565" s="58"/>
      <c r="M1565" s="58"/>
      <c r="N1565" s="88"/>
      <c r="O1565" s="88"/>
    </row>
    <row r="1566">
      <c r="A1566" s="93"/>
      <c r="B1566" s="58"/>
      <c r="C1566" s="58"/>
      <c r="D1566" s="58"/>
      <c r="E1566" s="58"/>
      <c r="F1566" s="58"/>
      <c r="G1566" s="58"/>
      <c r="H1566" s="88"/>
      <c r="I1566" s="88"/>
      <c r="J1566" s="58"/>
      <c r="K1566" s="58"/>
      <c r="L1566" s="58"/>
      <c r="M1566" s="58"/>
      <c r="N1566" s="88"/>
      <c r="O1566" s="88"/>
    </row>
    <row r="1567">
      <c r="A1567" s="93"/>
      <c r="B1567" s="58"/>
      <c r="C1567" s="58"/>
      <c r="D1567" s="58"/>
      <c r="E1567" s="58"/>
      <c r="F1567" s="58"/>
      <c r="G1567" s="58"/>
      <c r="H1567" s="88"/>
      <c r="I1567" s="88"/>
      <c r="J1567" s="58"/>
      <c r="K1567" s="58"/>
      <c r="L1567" s="58"/>
      <c r="M1567" s="58"/>
      <c r="N1567" s="88"/>
      <c r="O1567" s="88"/>
    </row>
    <row r="1568">
      <c r="A1568" s="93"/>
      <c r="B1568" s="58"/>
      <c r="C1568" s="58"/>
      <c r="D1568" s="58"/>
      <c r="E1568" s="58"/>
      <c r="F1568" s="58"/>
      <c r="G1568" s="58"/>
      <c r="H1568" s="88"/>
      <c r="I1568" s="88"/>
      <c r="J1568" s="58"/>
      <c r="K1568" s="58"/>
      <c r="L1568" s="58"/>
      <c r="M1568" s="58"/>
      <c r="N1568" s="88"/>
      <c r="O1568" s="88"/>
    </row>
    <row r="1569">
      <c r="A1569" s="93"/>
      <c r="B1569" s="58"/>
      <c r="C1569" s="58"/>
      <c r="D1569" s="58"/>
      <c r="E1569" s="58"/>
      <c r="F1569" s="58"/>
      <c r="G1569" s="58"/>
      <c r="H1569" s="88"/>
      <c r="I1569" s="88"/>
      <c r="J1569" s="58"/>
      <c r="K1569" s="58"/>
      <c r="L1569" s="58"/>
      <c r="M1569" s="58"/>
      <c r="N1569" s="88"/>
      <c r="O1569" s="88"/>
    </row>
    <row r="1570">
      <c r="A1570" s="93"/>
      <c r="B1570" s="58"/>
      <c r="C1570" s="58"/>
      <c r="D1570" s="58"/>
      <c r="E1570" s="58"/>
      <c r="F1570" s="58"/>
      <c r="G1570" s="58"/>
      <c r="H1570" s="88"/>
      <c r="I1570" s="88"/>
      <c r="J1570" s="58"/>
      <c r="K1570" s="58"/>
      <c r="L1570" s="58"/>
      <c r="M1570" s="58"/>
      <c r="N1570" s="88"/>
      <c r="O1570" s="88"/>
    </row>
    <row r="1571">
      <c r="A1571" s="93"/>
      <c r="B1571" s="58"/>
      <c r="C1571" s="58"/>
      <c r="D1571" s="58"/>
      <c r="E1571" s="58"/>
      <c r="F1571" s="58"/>
      <c r="G1571" s="58"/>
      <c r="H1571" s="88"/>
      <c r="I1571" s="88"/>
      <c r="J1571" s="58"/>
      <c r="K1571" s="58"/>
      <c r="L1571" s="58"/>
      <c r="M1571" s="58"/>
      <c r="N1571" s="88"/>
      <c r="O1571" s="88"/>
    </row>
    <row r="1572">
      <c r="A1572" s="93"/>
      <c r="B1572" s="58"/>
      <c r="C1572" s="58"/>
      <c r="D1572" s="58"/>
      <c r="E1572" s="58"/>
      <c r="F1572" s="58"/>
      <c r="G1572" s="58"/>
      <c r="H1572" s="88"/>
      <c r="I1572" s="88"/>
      <c r="J1572" s="58"/>
      <c r="K1572" s="58"/>
      <c r="L1572" s="58"/>
      <c r="M1572" s="58"/>
      <c r="N1572" s="88"/>
      <c r="O1572" s="88"/>
    </row>
    <row r="1573">
      <c r="A1573" s="93"/>
      <c r="B1573" s="58"/>
      <c r="C1573" s="58"/>
      <c r="D1573" s="58"/>
      <c r="E1573" s="58"/>
      <c r="F1573" s="58"/>
      <c r="G1573" s="58"/>
      <c r="H1573" s="88"/>
      <c r="I1573" s="88"/>
      <c r="J1573" s="58"/>
      <c r="K1573" s="58"/>
      <c r="L1573" s="58"/>
      <c r="M1573" s="58"/>
      <c r="N1573" s="88"/>
      <c r="O1573" s="88"/>
    </row>
    <row r="1574">
      <c r="A1574" s="93"/>
      <c r="B1574" s="58"/>
      <c r="C1574" s="58"/>
      <c r="D1574" s="58"/>
      <c r="E1574" s="58"/>
      <c r="F1574" s="58"/>
      <c r="G1574" s="58"/>
      <c r="H1574" s="88"/>
      <c r="I1574" s="88"/>
      <c r="J1574" s="58"/>
      <c r="K1574" s="58"/>
      <c r="L1574" s="58"/>
      <c r="M1574" s="58"/>
      <c r="N1574" s="88"/>
      <c r="O1574" s="88"/>
    </row>
    <row r="1575">
      <c r="A1575" s="93"/>
      <c r="B1575" s="58"/>
      <c r="C1575" s="58"/>
      <c r="D1575" s="58"/>
      <c r="E1575" s="58"/>
      <c r="F1575" s="58"/>
      <c r="G1575" s="58"/>
      <c r="H1575" s="88"/>
      <c r="I1575" s="88"/>
      <c r="J1575" s="58"/>
      <c r="K1575" s="58"/>
      <c r="L1575" s="58"/>
      <c r="M1575" s="58"/>
      <c r="N1575" s="88"/>
      <c r="O1575" s="88"/>
    </row>
    <row r="1576">
      <c r="A1576" s="93"/>
      <c r="B1576" s="58"/>
      <c r="C1576" s="58"/>
      <c r="D1576" s="58"/>
      <c r="E1576" s="58"/>
      <c r="F1576" s="58"/>
      <c r="G1576" s="58"/>
      <c r="H1576" s="88"/>
      <c r="I1576" s="88"/>
      <c r="J1576" s="58"/>
      <c r="K1576" s="58"/>
      <c r="L1576" s="58"/>
      <c r="M1576" s="58"/>
      <c r="N1576" s="88"/>
      <c r="O1576" s="88"/>
    </row>
    <row r="1577">
      <c r="A1577" s="93"/>
      <c r="B1577" s="58"/>
      <c r="C1577" s="58"/>
      <c r="D1577" s="58"/>
      <c r="E1577" s="58"/>
      <c r="F1577" s="58"/>
      <c r="G1577" s="58"/>
      <c r="H1577" s="88"/>
      <c r="I1577" s="88"/>
      <c r="J1577" s="58"/>
      <c r="K1577" s="58"/>
      <c r="L1577" s="58"/>
      <c r="M1577" s="58"/>
      <c r="N1577" s="88"/>
      <c r="O1577" s="88"/>
    </row>
    <row r="1578">
      <c r="A1578" s="93"/>
      <c r="B1578" s="58"/>
      <c r="C1578" s="58"/>
      <c r="D1578" s="58"/>
      <c r="E1578" s="58"/>
      <c r="F1578" s="58"/>
      <c r="G1578" s="58"/>
      <c r="H1578" s="88"/>
      <c r="I1578" s="88"/>
      <c r="J1578" s="58"/>
      <c r="K1578" s="58"/>
      <c r="L1578" s="58"/>
      <c r="M1578" s="58"/>
      <c r="N1578" s="88"/>
      <c r="O1578" s="88"/>
    </row>
    <row r="1579">
      <c r="A1579" s="93"/>
      <c r="B1579" s="58"/>
      <c r="C1579" s="58"/>
      <c r="D1579" s="58"/>
      <c r="E1579" s="58"/>
      <c r="F1579" s="58"/>
      <c r="G1579" s="58"/>
      <c r="H1579" s="88"/>
      <c r="I1579" s="88"/>
      <c r="J1579" s="58"/>
      <c r="K1579" s="58"/>
      <c r="L1579" s="58"/>
      <c r="M1579" s="58"/>
      <c r="N1579" s="88"/>
      <c r="O1579" s="88"/>
    </row>
    <row r="1580">
      <c r="A1580" s="93"/>
      <c r="B1580" s="58"/>
      <c r="C1580" s="58"/>
      <c r="D1580" s="58"/>
      <c r="E1580" s="58"/>
      <c r="F1580" s="58"/>
      <c r="G1580" s="58"/>
      <c r="H1580" s="88"/>
      <c r="I1580" s="88"/>
      <c r="J1580" s="58"/>
      <c r="K1580" s="58"/>
      <c r="L1580" s="58"/>
      <c r="M1580" s="58"/>
      <c r="N1580" s="88"/>
      <c r="O1580" s="88"/>
    </row>
    <row r="1581">
      <c r="A1581" s="93"/>
      <c r="B1581" s="58"/>
      <c r="C1581" s="58"/>
      <c r="D1581" s="58"/>
      <c r="E1581" s="58"/>
      <c r="F1581" s="58"/>
      <c r="G1581" s="58"/>
      <c r="H1581" s="88"/>
      <c r="I1581" s="88"/>
      <c r="J1581" s="58"/>
      <c r="K1581" s="58"/>
      <c r="L1581" s="58"/>
      <c r="M1581" s="58"/>
      <c r="N1581" s="88"/>
      <c r="O1581" s="88"/>
    </row>
    <row r="1582">
      <c r="A1582" s="93"/>
      <c r="B1582" s="58"/>
      <c r="C1582" s="58"/>
      <c r="D1582" s="58"/>
      <c r="E1582" s="58"/>
      <c r="F1582" s="58"/>
      <c r="G1582" s="58"/>
      <c r="H1582" s="88"/>
      <c r="I1582" s="88"/>
      <c r="J1582" s="58"/>
      <c r="K1582" s="58"/>
      <c r="L1582" s="58"/>
      <c r="M1582" s="58"/>
      <c r="N1582" s="88"/>
      <c r="O1582" s="88"/>
    </row>
    <row r="1583">
      <c r="A1583" s="93"/>
      <c r="B1583" s="58"/>
      <c r="C1583" s="58"/>
      <c r="D1583" s="58"/>
      <c r="E1583" s="58"/>
      <c r="F1583" s="58"/>
      <c r="G1583" s="58"/>
      <c r="H1583" s="88"/>
      <c r="I1583" s="88"/>
      <c r="J1583" s="58"/>
      <c r="K1583" s="58"/>
      <c r="L1583" s="58"/>
      <c r="M1583" s="58"/>
      <c r="N1583" s="88"/>
      <c r="O1583" s="88"/>
    </row>
    <row r="1584">
      <c r="A1584" s="93"/>
      <c r="B1584" s="58"/>
      <c r="C1584" s="58"/>
      <c r="D1584" s="58"/>
      <c r="E1584" s="58"/>
      <c r="F1584" s="58"/>
      <c r="G1584" s="58"/>
      <c r="H1584" s="88"/>
      <c r="I1584" s="88"/>
      <c r="J1584" s="58"/>
      <c r="K1584" s="58"/>
      <c r="L1584" s="58"/>
      <c r="M1584" s="58"/>
      <c r="N1584" s="88"/>
      <c r="O1584" s="88"/>
    </row>
    <row r="1585">
      <c r="A1585" s="93"/>
      <c r="B1585" s="58"/>
      <c r="C1585" s="58"/>
      <c r="D1585" s="58"/>
      <c r="E1585" s="58"/>
      <c r="F1585" s="58"/>
      <c r="G1585" s="58"/>
      <c r="H1585" s="88"/>
      <c r="I1585" s="88"/>
      <c r="J1585" s="58"/>
      <c r="K1585" s="58"/>
      <c r="L1585" s="58"/>
      <c r="M1585" s="58"/>
      <c r="N1585" s="88"/>
      <c r="O1585" s="88"/>
    </row>
    <row r="1586">
      <c r="A1586" s="93"/>
      <c r="B1586" s="58"/>
      <c r="C1586" s="58"/>
      <c r="D1586" s="58"/>
      <c r="E1586" s="58"/>
      <c r="F1586" s="58"/>
      <c r="G1586" s="58"/>
      <c r="H1586" s="88"/>
      <c r="I1586" s="88"/>
      <c r="J1586" s="58"/>
      <c r="K1586" s="58"/>
      <c r="L1586" s="58"/>
      <c r="M1586" s="58"/>
      <c r="N1586" s="88"/>
      <c r="O1586" s="88"/>
    </row>
    <row r="1587">
      <c r="A1587" s="93"/>
      <c r="B1587" s="58"/>
      <c r="C1587" s="58"/>
      <c r="D1587" s="58"/>
      <c r="E1587" s="58"/>
      <c r="F1587" s="58"/>
      <c r="G1587" s="58"/>
      <c r="H1587" s="88"/>
      <c r="I1587" s="88"/>
      <c r="J1587" s="58"/>
      <c r="K1587" s="58"/>
      <c r="L1587" s="58"/>
      <c r="M1587" s="58"/>
      <c r="N1587" s="88"/>
      <c r="O1587" s="88"/>
    </row>
    <row r="1588">
      <c r="A1588" s="93"/>
      <c r="B1588" s="58"/>
      <c r="C1588" s="58"/>
      <c r="D1588" s="58"/>
      <c r="E1588" s="58"/>
      <c r="F1588" s="58"/>
      <c r="G1588" s="58"/>
      <c r="H1588" s="88"/>
      <c r="I1588" s="88"/>
      <c r="J1588" s="58"/>
      <c r="K1588" s="58"/>
      <c r="L1588" s="58"/>
      <c r="M1588" s="58"/>
      <c r="N1588" s="88"/>
      <c r="O1588" s="88"/>
    </row>
    <row r="1589">
      <c r="A1589" s="93"/>
      <c r="B1589" s="58"/>
      <c r="C1589" s="58"/>
      <c r="D1589" s="58"/>
      <c r="E1589" s="58"/>
      <c r="F1589" s="58"/>
      <c r="G1589" s="58"/>
      <c r="H1589" s="88"/>
      <c r="I1589" s="88"/>
      <c r="J1589" s="58"/>
      <c r="K1589" s="58"/>
      <c r="L1589" s="58"/>
      <c r="M1589" s="58"/>
      <c r="N1589" s="88"/>
      <c r="O1589" s="88"/>
    </row>
    <row r="1590">
      <c r="A1590" s="93"/>
      <c r="B1590" s="58"/>
      <c r="C1590" s="58"/>
      <c r="D1590" s="58"/>
      <c r="E1590" s="58"/>
      <c r="F1590" s="58"/>
      <c r="G1590" s="58"/>
      <c r="H1590" s="88"/>
      <c r="I1590" s="88"/>
      <c r="J1590" s="58"/>
      <c r="K1590" s="58"/>
      <c r="L1590" s="58"/>
      <c r="M1590" s="58"/>
      <c r="N1590" s="88"/>
      <c r="O1590" s="88"/>
    </row>
    <row r="1591">
      <c r="A1591" s="93"/>
      <c r="B1591" s="58"/>
      <c r="C1591" s="58"/>
      <c r="D1591" s="58"/>
      <c r="E1591" s="58"/>
      <c r="F1591" s="58"/>
      <c r="G1591" s="58"/>
      <c r="H1591" s="88"/>
      <c r="I1591" s="88"/>
      <c r="J1591" s="58"/>
      <c r="K1591" s="58"/>
      <c r="L1591" s="58"/>
      <c r="M1591" s="58"/>
      <c r="N1591" s="88"/>
      <c r="O1591" s="88"/>
    </row>
    <row r="1592">
      <c r="A1592" s="93"/>
      <c r="B1592" s="58"/>
      <c r="C1592" s="58"/>
      <c r="D1592" s="58"/>
      <c r="E1592" s="58"/>
      <c r="F1592" s="58"/>
      <c r="G1592" s="58"/>
      <c r="H1592" s="88"/>
      <c r="I1592" s="88"/>
      <c r="J1592" s="58"/>
      <c r="K1592" s="58"/>
      <c r="L1592" s="58"/>
      <c r="M1592" s="58"/>
      <c r="N1592" s="88"/>
      <c r="O1592" s="88"/>
    </row>
    <row r="1593">
      <c r="A1593" s="93"/>
      <c r="B1593" s="58"/>
      <c r="C1593" s="58"/>
      <c r="D1593" s="58"/>
      <c r="E1593" s="58"/>
      <c r="F1593" s="58"/>
      <c r="G1593" s="58"/>
      <c r="H1593" s="88"/>
      <c r="I1593" s="88"/>
      <c r="J1593" s="58"/>
      <c r="K1593" s="58"/>
      <c r="L1593" s="58"/>
      <c r="M1593" s="58"/>
      <c r="N1593" s="88"/>
      <c r="O1593" s="88"/>
    </row>
    <row r="1594">
      <c r="A1594" s="93"/>
      <c r="B1594" s="58"/>
      <c r="C1594" s="58"/>
      <c r="D1594" s="58"/>
      <c r="E1594" s="58"/>
      <c r="F1594" s="58"/>
      <c r="G1594" s="58"/>
      <c r="H1594" s="88"/>
      <c r="I1594" s="88"/>
      <c r="J1594" s="58"/>
      <c r="K1594" s="58"/>
      <c r="L1594" s="58"/>
      <c r="M1594" s="58"/>
      <c r="N1594" s="88"/>
      <c r="O1594" s="88"/>
    </row>
    <row r="1595">
      <c r="A1595" s="93"/>
      <c r="B1595" s="58"/>
      <c r="C1595" s="58"/>
      <c r="D1595" s="58"/>
      <c r="E1595" s="58"/>
      <c r="F1595" s="58"/>
      <c r="G1595" s="58"/>
      <c r="H1595" s="88"/>
      <c r="I1595" s="88"/>
      <c r="J1595" s="58"/>
      <c r="K1595" s="58"/>
      <c r="L1595" s="58"/>
      <c r="M1595" s="58"/>
      <c r="N1595" s="88"/>
      <c r="O1595" s="88"/>
    </row>
    <row r="1596">
      <c r="A1596" s="93"/>
      <c r="B1596" s="58"/>
      <c r="C1596" s="58"/>
      <c r="D1596" s="58"/>
      <c r="E1596" s="58"/>
      <c r="F1596" s="58"/>
      <c r="G1596" s="58"/>
      <c r="H1596" s="88"/>
      <c r="I1596" s="88"/>
      <c r="J1596" s="58"/>
      <c r="K1596" s="58"/>
      <c r="L1596" s="58"/>
      <c r="M1596" s="58"/>
      <c r="N1596" s="88"/>
      <c r="O1596" s="88"/>
    </row>
    <row r="1597">
      <c r="A1597" s="93"/>
      <c r="B1597" s="58"/>
      <c r="C1597" s="58"/>
      <c r="D1597" s="58"/>
      <c r="E1597" s="58"/>
      <c r="F1597" s="58"/>
      <c r="G1597" s="58"/>
      <c r="H1597" s="88"/>
      <c r="I1597" s="88"/>
      <c r="J1597" s="58"/>
      <c r="K1597" s="58"/>
      <c r="L1597" s="58"/>
      <c r="M1597" s="58"/>
      <c r="N1597" s="88"/>
      <c r="O1597" s="88"/>
    </row>
    <row r="1598">
      <c r="A1598" s="93"/>
      <c r="B1598" s="58"/>
      <c r="C1598" s="58"/>
      <c r="D1598" s="58"/>
      <c r="E1598" s="58"/>
      <c r="F1598" s="58"/>
      <c r="G1598" s="58"/>
      <c r="H1598" s="88"/>
      <c r="I1598" s="88"/>
      <c r="J1598" s="58"/>
      <c r="K1598" s="58"/>
      <c r="L1598" s="58"/>
      <c r="M1598" s="58"/>
      <c r="N1598" s="88"/>
      <c r="O1598" s="88"/>
    </row>
    <row r="1599">
      <c r="A1599" s="93"/>
      <c r="B1599" s="58"/>
      <c r="C1599" s="58"/>
      <c r="D1599" s="58"/>
      <c r="E1599" s="58"/>
      <c r="F1599" s="58"/>
      <c r="G1599" s="58"/>
      <c r="H1599" s="88"/>
      <c r="I1599" s="88"/>
      <c r="J1599" s="58"/>
      <c r="K1599" s="58"/>
      <c r="L1599" s="58"/>
      <c r="M1599" s="58"/>
      <c r="N1599" s="88"/>
      <c r="O1599" s="88"/>
    </row>
    <row r="1600">
      <c r="A1600" s="93"/>
      <c r="B1600" s="58"/>
      <c r="C1600" s="58"/>
      <c r="D1600" s="58"/>
      <c r="E1600" s="58"/>
      <c r="F1600" s="58"/>
      <c r="G1600" s="58"/>
      <c r="H1600" s="88"/>
      <c r="I1600" s="88"/>
      <c r="J1600" s="58"/>
      <c r="K1600" s="58"/>
      <c r="L1600" s="58"/>
      <c r="M1600" s="58"/>
      <c r="N1600" s="88"/>
      <c r="O1600" s="88"/>
    </row>
    <row r="1601">
      <c r="A1601" s="93"/>
      <c r="B1601" s="58"/>
      <c r="C1601" s="58"/>
      <c r="D1601" s="58"/>
      <c r="E1601" s="58"/>
      <c r="F1601" s="58"/>
      <c r="G1601" s="58"/>
      <c r="H1601" s="88"/>
      <c r="I1601" s="88"/>
      <c r="J1601" s="58"/>
      <c r="K1601" s="58"/>
      <c r="L1601" s="58"/>
      <c r="M1601" s="58"/>
      <c r="N1601" s="88"/>
      <c r="O1601" s="88"/>
    </row>
    <row r="1602">
      <c r="A1602" s="93"/>
      <c r="B1602" s="58"/>
      <c r="C1602" s="58"/>
      <c r="D1602" s="58"/>
      <c r="E1602" s="58"/>
      <c r="F1602" s="58"/>
      <c r="G1602" s="58"/>
      <c r="H1602" s="88"/>
      <c r="I1602" s="88"/>
      <c r="J1602" s="58"/>
      <c r="K1602" s="58"/>
      <c r="L1602" s="58"/>
      <c r="M1602" s="58"/>
      <c r="N1602" s="88"/>
      <c r="O1602" s="88"/>
    </row>
    <row r="1603">
      <c r="A1603" s="93"/>
      <c r="B1603" s="58"/>
      <c r="C1603" s="58"/>
      <c r="D1603" s="58"/>
      <c r="E1603" s="58"/>
      <c r="F1603" s="58"/>
      <c r="G1603" s="58"/>
      <c r="H1603" s="88"/>
      <c r="I1603" s="88"/>
      <c r="J1603" s="58"/>
      <c r="K1603" s="58"/>
      <c r="L1603" s="58"/>
      <c r="M1603" s="58"/>
      <c r="N1603" s="88"/>
      <c r="O1603" s="88"/>
    </row>
    <row r="1604">
      <c r="A1604" s="93"/>
      <c r="B1604" s="58"/>
      <c r="C1604" s="58"/>
      <c r="D1604" s="58"/>
      <c r="E1604" s="58"/>
      <c r="F1604" s="58"/>
      <c r="G1604" s="58"/>
      <c r="H1604" s="88"/>
      <c r="I1604" s="88"/>
      <c r="J1604" s="58"/>
      <c r="K1604" s="58"/>
      <c r="L1604" s="58"/>
      <c r="M1604" s="58"/>
      <c r="N1604" s="88"/>
      <c r="O1604" s="88"/>
    </row>
    <row r="1605">
      <c r="A1605" s="93"/>
      <c r="B1605" s="58"/>
      <c r="C1605" s="58"/>
      <c r="D1605" s="58"/>
      <c r="E1605" s="58"/>
      <c r="F1605" s="58"/>
      <c r="G1605" s="58"/>
      <c r="H1605" s="88"/>
      <c r="I1605" s="88"/>
      <c r="J1605" s="58"/>
      <c r="K1605" s="58"/>
      <c r="L1605" s="58"/>
      <c r="M1605" s="58"/>
      <c r="N1605" s="88"/>
      <c r="O1605" s="88"/>
    </row>
    <row r="1606">
      <c r="A1606" s="93"/>
      <c r="B1606" s="58"/>
      <c r="C1606" s="58"/>
      <c r="D1606" s="58"/>
      <c r="E1606" s="58"/>
      <c r="F1606" s="58"/>
      <c r="G1606" s="58"/>
      <c r="H1606" s="88"/>
      <c r="I1606" s="88"/>
      <c r="J1606" s="58"/>
      <c r="K1606" s="58"/>
      <c r="L1606" s="58"/>
      <c r="M1606" s="58"/>
      <c r="N1606" s="88"/>
      <c r="O1606" s="88"/>
    </row>
    <row r="1607">
      <c r="A1607" s="93"/>
      <c r="B1607" s="58"/>
      <c r="C1607" s="58"/>
      <c r="D1607" s="58"/>
      <c r="E1607" s="58"/>
      <c r="F1607" s="58"/>
      <c r="G1607" s="58"/>
      <c r="H1607" s="88"/>
      <c r="I1607" s="88"/>
      <c r="J1607" s="58"/>
      <c r="K1607" s="58"/>
      <c r="L1607" s="58"/>
      <c r="M1607" s="58"/>
      <c r="N1607" s="88"/>
      <c r="O1607" s="88"/>
    </row>
    <row r="1608">
      <c r="A1608" s="93"/>
      <c r="B1608" s="58"/>
      <c r="C1608" s="58"/>
      <c r="D1608" s="58"/>
      <c r="E1608" s="58"/>
      <c r="F1608" s="58"/>
      <c r="G1608" s="58"/>
      <c r="H1608" s="88"/>
      <c r="I1608" s="88"/>
      <c r="J1608" s="58"/>
      <c r="K1608" s="58"/>
      <c r="L1608" s="58"/>
      <c r="M1608" s="58"/>
      <c r="N1608" s="88"/>
      <c r="O1608" s="88"/>
    </row>
    <row r="1609">
      <c r="A1609" s="93"/>
      <c r="B1609" s="58"/>
      <c r="C1609" s="58"/>
      <c r="D1609" s="58"/>
      <c r="E1609" s="58"/>
      <c r="F1609" s="58"/>
      <c r="G1609" s="58"/>
      <c r="H1609" s="88"/>
      <c r="I1609" s="88"/>
      <c r="J1609" s="58"/>
      <c r="K1609" s="58"/>
      <c r="L1609" s="58"/>
      <c r="M1609" s="58"/>
      <c r="N1609" s="88"/>
      <c r="O1609" s="88"/>
    </row>
    <row r="1610">
      <c r="A1610" s="93"/>
      <c r="B1610" s="58"/>
      <c r="C1610" s="58"/>
      <c r="D1610" s="58"/>
      <c r="E1610" s="58"/>
      <c r="F1610" s="58"/>
      <c r="G1610" s="58"/>
      <c r="H1610" s="88"/>
      <c r="I1610" s="88"/>
      <c r="J1610" s="58"/>
      <c r="K1610" s="58"/>
      <c r="L1610" s="58"/>
      <c r="M1610" s="58"/>
      <c r="N1610" s="88"/>
      <c r="O1610" s="88"/>
    </row>
    <row r="1611">
      <c r="A1611" s="93"/>
      <c r="B1611" s="58"/>
      <c r="C1611" s="58"/>
      <c r="D1611" s="58"/>
      <c r="E1611" s="58"/>
      <c r="F1611" s="58"/>
      <c r="G1611" s="58"/>
      <c r="H1611" s="88"/>
      <c r="I1611" s="88"/>
      <c r="J1611" s="58"/>
      <c r="K1611" s="58"/>
      <c r="L1611" s="58"/>
      <c r="M1611" s="58"/>
      <c r="N1611" s="88"/>
      <c r="O1611" s="88"/>
    </row>
    <row r="1612">
      <c r="A1612" s="93"/>
      <c r="B1612" s="58"/>
      <c r="C1612" s="58"/>
      <c r="D1612" s="58"/>
      <c r="E1612" s="58"/>
      <c r="F1612" s="58"/>
      <c r="G1612" s="58"/>
      <c r="H1612" s="88"/>
      <c r="I1612" s="88"/>
      <c r="J1612" s="58"/>
      <c r="K1612" s="58"/>
      <c r="L1612" s="58"/>
      <c r="M1612" s="58"/>
      <c r="N1612" s="88"/>
      <c r="O1612" s="88"/>
    </row>
    <row r="1613">
      <c r="A1613" s="93"/>
      <c r="B1613" s="58"/>
      <c r="C1613" s="58"/>
      <c r="D1613" s="58"/>
      <c r="E1613" s="58"/>
      <c r="F1613" s="58"/>
      <c r="G1613" s="58"/>
      <c r="H1613" s="88"/>
      <c r="I1613" s="88"/>
      <c r="J1613" s="58"/>
      <c r="K1613" s="58"/>
      <c r="L1613" s="58"/>
      <c r="M1613" s="58"/>
      <c r="N1613" s="88"/>
      <c r="O1613" s="88"/>
    </row>
    <row r="1614">
      <c r="A1614" s="93"/>
      <c r="B1614" s="58"/>
      <c r="C1614" s="58"/>
      <c r="D1614" s="58"/>
      <c r="E1614" s="58"/>
      <c r="F1614" s="58"/>
      <c r="G1614" s="58"/>
      <c r="H1614" s="88"/>
      <c r="I1614" s="88"/>
      <c r="J1614" s="58"/>
      <c r="K1614" s="58"/>
      <c r="L1614" s="58"/>
      <c r="M1614" s="58"/>
      <c r="N1614" s="88"/>
      <c r="O1614" s="88"/>
    </row>
    <row r="1615">
      <c r="A1615" s="93"/>
      <c r="B1615" s="58"/>
      <c r="C1615" s="58"/>
      <c r="D1615" s="58"/>
      <c r="E1615" s="58"/>
      <c r="F1615" s="58"/>
      <c r="G1615" s="58"/>
      <c r="H1615" s="88"/>
      <c r="I1615" s="88"/>
      <c r="J1615" s="58"/>
      <c r="K1615" s="58"/>
      <c r="L1615" s="58"/>
      <c r="M1615" s="58"/>
      <c r="N1615" s="88"/>
      <c r="O1615" s="88"/>
    </row>
    <row r="1616">
      <c r="A1616" s="93"/>
      <c r="B1616" s="58"/>
      <c r="C1616" s="58"/>
      <c r="D1616" s="58"/>
      <c r="E1616" s="58"/>
      <c r="F1616" s="58"/>
      <c r="G1616" s="58"/>
      <c r="H1616" s="88"/>
      <c r="I1616" s="88"/>
      <c r="J1616" s="58"/>
      <c r="K1616" s="58"/>
      <c r="L1616" s="58"/>
      <c r="M1616" s="58"/>
      <c r="N1616" s="88"/>
      <c r="O1616" s="88"/>
    </row>
    <row r="1617">
      <c r="A1617" s="93"/>
      <c r="B1617" s="58"/>
      <c r="C1617" s="58"/>
      <c r="D1617" s="58"/>
      <c r="E1617" s="58"/>
      <c r="F1617" s="58"/>
      <c r="G1617" s="58"/>
      <c r="H1617" s="88"/>
      <c r="I1617" s="88"/>
      <c r="J1617" s="58"/>
      <c r="K1617" s="58"/>
      <c r="L1617" s="58"/>
      <c r="M1617" s="58"/>
      <c r="N1617" s="88"/>
      <c r="O1617" s="88"/>
    </row>
    <row r="1618">
      <c r="A1618" s="93"/>
      <c r="B1618" s="58"/>
      <c r="C1618" s="58"/>
      <c r="D1618" s="58"/>
      <c r="E1618" s="58"/>
      <c r="F1618" s="58"/>
      <c r="G1618" s="58"/>
      <c r="H1618" s="88"/>
      <c r="I1618" s="88"/>
      <c r="J1618" s="58"/>
      <c r="K1618" s="58"/>
      <c r="L1618" s="58"/>
      <c r="M1618" s="58"/>
      <c r="N1618" s="88"/>
      <c r="O1618" s="88"/>
    </row>
    <row r="1619">
      <c r="A1619" s="93"/>
      <c r="B1619" s="58"/>
      <c r="C1619" s="58"/>
      <c r="D1619" s="58"/>
      <c r="E1619" s="58"/>
      <c r="F1619" s="58"/>
      <c r="G1619" s="58"/>
      <c r="H1619" s="88"/>
      <c r="I1619" s="88"/>
      <c r="J1619" s="58"/>
      <c r="K1619" s="58"/>
      <c r="L1619" s="58"/>
      <c r="M1619" s="58"/>
      <c r="N1619" s="88"/>
      <c r="O1619" s="88"/>
    </row>
    <row r="1620">
      <c r="A1620" s="93"/>
      <c r="B1620" s="58"/>
      <c r="C1620" s="58"/>
      <c r="D1620" s="58"/>
      <c r="E1620" s="58"/>
      <c r="F1620" s="58"/>
      <c r="G1620" s="58"/>
      <c r="H1620" s="88"/>
      <c r="I1620" s="88"/>
      <c r="J1620" s="58"/>
      <c r="K1620" s="58"/>
      <c r="L1620" s="58"/>
      <c r="M1620" s="58"/>
      <c r="N1620" s="88"/>
      <c r="O1620" s="88"/>
    </row>
    <row r="1621">
      <c r="A1621" s="93"/>
      <c r="B1621" s="58"/>
      <c r="C1621" s="58"/>
      <c r="D1621" s="58"/>
      <c r="E1621" s="58"/>
      <c r="F1621" s="58"/>
      <c r="G1621" s="58"/>
      <c r="H1621" s="88"/>
      <c r="I1621" s="88"/>
      <c r="J1621" s="58"/>
      <c r="K1621" s="58"/>
      <c r="L1621" s="58"/>
      <c r="M1621" s="58"/>
      <c r="N1621" s="88"/>
      <c r="O1621" s="88"/>
    </row>
    <row r="1622">
      <c r="A1622" s="93"/>
      <c r="B1622" s="58"/>
      <c r="C1622" s="58"/>
      <c r="D1622" s="58"/>
      <c r="E1622" s="58"/>
      <c r="F1622" s="58"/>
      <c r="G1622" s="58"/>
      <c r="H1622" s="88"/>
      <c r="I1622" s="88"/>
      <c r="J1622" s="58"/>
      <c r="K1622" s="58"/>
      <c r="L1622" s="58"/>
      <c r="M1622" s="58"/>
      <c r="N1622" s="88"/>
      <c r="O1622" s="88"/>
    </row>
    <row r="1623">
      <c r="A1623" s="93"/>
      <c r="B1623" s="58"/>
      <c r="C1623" s="58"/>
      <c r="D1623" s="58"/>
      <c r="E1623" s="58"/>
      <c r="F1623" s="58"/>
      <c r="G1623" s="58"/>
      <c r="H1623" s="88"/>
      <c r="I1623" s="88"/>
      <c r="J1623" s="58"/>
      <c r="K1623" s="58"/>
      <c r="L1623" s="58"/>
      <c r="M1623" s="58"/>
      <c r="N1623" s="88"/>
      <c r="O1623" s="88"/>
    </row>
    <row r="1624">
      <c r="A1624" s="93"/>
      <c r="B1624" s="58"/>
      <c r="C1624" s="58"/>
      <c r="D1624" s="58"/>
      <c r="E1624" s="58"/>
      <c r="F1624" s="58"/>
      <c r="G1624" s="58"/>
      <c r="H1624" s="88"/>
      <c r="I1624" s="88"/>
      <c r="J1624" s="58"/>
      <c r="K1624" s="58"/>
      <c r="L1624" s="58"/>
      <c r="M1624" s="58"/>
      <c r="N1624" s="88"/>
      <c r="O1624" s="88"/>
    </row>
    <row r="1625">
      <c r="A1625" s="93"/>
      <c r="B1625" s="58"/>
      <c r="C1625" s="58"/>
      <c r="D1625" s="58"/>
      <c r="E1625" s="58"/>
      <c r="F1625" s="58"/>
      <c r="G1625" s="58"/>
      <c r="H1625" s="88"/>
      <c r="I1625" s="88"/>
      <c r="J1625" s="58"/>
      <c r="K1625" s="58"/>
      <c r="L1625" s="58"/>
      <c r="M1625" s="58"/>
      <c r="N1625" s="88"/>
      <c r="O1625" s="88"/>
    </row>
    <row r="1626">
      <c r="A1626" s="93"/>
      <c r="B1626" s="58"/>
      <c r="C1626" s="58"/>
      <c r="D1626" s="58"/>
      <c r="E1626" s="58"/>
      <c r="F1626" s="58"/>
      <c r="G1626" s="58"/>
      <c r="H1626" s="88"/>
      <c r="I1626" s="88"/>
      <c r="J1626" s="58"/>
      <c r="K1626" s="58"/>
      <c r="L1626" s="58"/>
      <c r="M1626" s="58"/>
      <c r="N1626" s="88"/>
      <c r="O1626" s="88"/>
    </row>
    <row r="1627">
      <c r="A1627" s="93"/>
      <c r="B1627" s="58"/>
      <c r="C1627" s="58"/>
      <c r="D1627" s="58"/>
      <c r="E1627" s="58"/>
      <c r="F1627" s="58"/>
      <c r="G1627" s="58"/>
      <c r="H1627" s="88"/>
      <c r="I1627" s="88"/>
      <c r="J1627" s="58"/>
      <c r="K1627" s="58"/>
      <c r="L1627" s="58"/>
      <c r="M1627" s="58"/>
      <c r="N1627" s="88"/>
      <c r="O1627" s="88"/>
    </row>
    <row r="1628">
      <c r="A1628" s="93"/>
      <c r="B1628" s="58"/>
      <c r="C1628" s="58"/>
      <c r="D1628" s="58"/>
      <c r="E1628" s="58"/>
      <c r="F1628" s="58"/>
      <c r="G1628" s="58"/>
      <c r="H1628" s="88"/>
      <c r="I1628" s="88"/>
      <c r="J1628" s="58"/>
      <c r="K1628" s="58"/>
      <c r="L1628" s="58"/>
      <c r="M1628" s="58"/>
      <c r="N1628" s="88"/>
      <c r="O1628" s="88"/>
    </row>
    <row r="1629">
      <c r="A1629" s="93"/>
      <c r="B1629" s="58"/>
      <c r="C1629" s="58"/>
      <c r="D1629" s="58"/>
      <c r="E1629" s="58"/>
      <c r="F1629" s="58"/>
      <c r="G1629" s="58"/>
      <c r="H1629" s="88"/>
      <c r="I1629" s="88"/>
      <c r="J1629" s="58"/>
      <c r="K1629" s="58"/>
      <c r="L1629" s="58"/>
      <c r="M1629" s="58"/>
      <c r="N1629" s="88"/>
      <c r="O1629" s="88"/>
    </row>
    <row r="1630">
      <c r="A1630" s="93"/>
      <c r="B1630" s="58"/>
      <c r="C1630" s="58"/>
      <c r="D1630" s="58"/>
      <c r="E1630" s="58"/>
      <c r="F1630" s="58"/>
      <c r="G1630" s="58"/>
      <c r="H1630" s="88"/>
      <c r="I1630" s="88"/>
      <c r="J1630" s="58"/>
      <c r="K1630" s="58"/>
      <c r="L1630" s="58"/>
      <c r="M1630" s="58"/>
      <c r="N1630" s="88"/>
      <c r="O1630" s="88"/>
    </row>
    <row r="1631">
      <c r="A1631" s="93"/>
      <c r="B1631" s="58"/>
      <c r="C1631" s="58"/>
      <c r="D1631" s="58"/>
      <c r="E1631" s="58"/>
      <c r="F1631" s="58"/>
      <c r="G1631" s="58"/>
      <c r="H1631" s="88"/>
      <c r="I1631" s="88"/>
      <c r="J1631" s="58"/>
      <c r="K1631" s="58"/>
      <c r="L1631" s="58"/>
      <c r="M1631" s="58"/>
      <c r="N1631" s="88"/>
      <c r="O1631" s="88"/>
    </row>
    <row r="1632">
      <c r="A1632" s="93"/>
      <c r="B1632" s="58"/>
      <c r="C1632" s="58"/>
      <c r="D1632" s="58"/>
      <c r="E1632" s="58"/>
      <c r="F1632" s="58"/>
      <c r="G1632" s="58"/>
      <c r="H1632" s="88"/>
      <c r="I1632" s="88"/>
      <c r="J1632" s="58"/>
      <c r="K1632" s="58"/>
      <c r="L1632" s="58"/>
      <c r="M1632" s="58"/>
      <c r="N1632" s="88"/>
      <c r="O1632" s="88"/>
    </row>
    <row r="1633">
      <c r="A1633" s="93"/>
      <c r="B1633" s="58"/>
      <c r="C1633" s="58"/>
      <c r="D1633" s="58"/>
      <c r="E1633" s="58"/>
      <c r="F1633" s="58"/>
      <c r="G1633" s="58"/>
      <c r="H1633" s="88"/>
      <c r="I1633" s="88"/>
      <c r="J1633" s="58"/>
      <c r="K1633" s="58"/>
      <c r="L1633" s="58"/>
      <c r="M1633" s="58"/>
      <c r="N1633" s="88"/>
      <c r="O1633" s="88"/>
    </row>
    <row r="1634">
      <c r="A1634" s="93"/>
      <c r="B1634" s="58"/>
      <c r="C1634" s="58"/>
      <c r="D1634" s="58"/>
      <c r="E1634" s="58"/>
      <c r="F1634" s="58"/>
      <c r="G1634" s="58"/>
      <c r="H1634" s="88"/>
      <c r="I1634" s="88"/>
      <c r="J1634" s="58"/>
      <c r="K1634" s="58"/>
      <c r="L1634" s="58"/>
      <c r="M1634" s="58"/>
      <c r="N1634" s="88"/>
      <c r="O1634" s="88"/>
    </row>
    <row r="1635">
      <c r="A1635" s="93"/>
      <c r="B1635" s="58"/>
      <c r="C1635" s="58"/>
      <c r="D1635" s="58"/>
      <c r="E1635" s="58"/>
      <c r="F1635" s="58"/>
      <c r="G1635" s="58"/>
      <c r="H1635" s="88"/>
      <c r="I1635" s="88"/>
      <c r="J1635" s="58"/>
      <c r="K1635" s="58"/>
      <c r="L1635" s="58"/>
      <c r="M1635" s="58"/>
      <c r="N1635" s="88"/>
      <c r="O1635" s="88"/>
    </row>
    <row r="1636">
      <c r="A1636" s="93"/>
      <c r="B1636" s="58"/>
      <c r="C1636" s="58"/>
      <c r="D1636" s="58"/>
      <c r="E1636" s="58"/>
      <c r="F1636" s="58"/>
      <c r="G1636" s="58"/>
      <c r="H1636" s="88"/>
      <c r="I1636" s="88"/>
      <c r="J1636" s="58"/>
      <c r="K1636" s="58"/>
      <c r="L1636" s="58"/>
      <c r="M1636" s="58"/>
      <c r="N1636" s="88"/>
      <c r="O1636" s="88"/>
    </row>
    <row r="1637">
      <c r="A1637" s="93"/>
      <c r="B1637" s="58"/>
      <c r="C1637" s="58"/>
      <c r="D1637" s="58"/>
      <c r="E1637" s="58"/>
      <c r="F1637" s="58"/>
      <c r="G1637" s="58"/>
      <c r="H1637" s="88"/>
      <c r="I1637" s="88"/>
      <c r="J1637" s="58"/>
      <c r="K1637" s="58"/>
      <c r="L1637" s="58"/>
      <c r="M1637" s="58"/>
      <c r="N1637" s="88"/>
      <c r="O1637" s="88"/>
    </row>
    <row r="1638">
      <c r="A1638" s="93"/>
      <c r="B1638" s="58"/>
      <c r="C1638" s="58"/>
      <c r="D1638" s="58"/>
      <c r="E1638" s="58"/>
      <c r="F1638" s="58"/>
      <c r="G1638" s="58"/>
      <c r="H1638" s="88"/>
      <c r="I1638" s="88"/>
      <c r="J1638" s="58"/>
      <c r="K1638" s="58"/>
      <c r="L1638" s="58"/>
      <c r="M1638" s="58"/>
      <c r="N1638" s="88"/>
      <c r="O1638" s="88"/>
    </row>
    <row r="1639">
      <c r="A1639" s="93"/>
      <c r="B1639" s="58"/>
      <c r="C1639" s="58"/>
      <c r="D1639" s="58"/>
      <c r="E1639" s="58"/>
      <c r="F1639" s="58"/>
      <c r="G1639" s="58"/>
      <c r="H1639" s="88"/>
      <c r="I1639" s="88"/>
      <c r="J1639" s="58"/>
      <c r="K1639" s="58"/>
      <c r="L1639" s="58"/>
      <c r="M1639" s="58"/>
      <c r="N1639" s="88"/>
      <c r="O1639" s="88"/>
    </row>
    <row r="1640">
      <c r="A1640" s="93"/>
      <c r="B1640" s="58"/>
      <c r="C1640" s="58"/>
      <c r="D1640" s="58"/>
      <c r="E1640" s="58"/>
      <c r="F1640" s="58"/>
      <c r="G1640" s="58"/>
      <c r="H1640" s="88"/>
      <c r="I1640" s="88"/>
      <c r="J1640" s="58"/>
      <c r="K1640" s="58"/>
      <c r="L1640" s="58"/>
      <c r="M1640" s="58"/>
      <c r="N1640" s="88"/>
      <c r="O1640" s="88"/>
    </row>
    <row r="1641">
      <c r="A1641" s="93"/>
      <c r="B1641" s="58"/>
      <c r="C1641" s="58"/>
      <c r="D1641" s="58"/>
      <c r="E1641" s="58"/>
      <c r="F1641" s="58"/>
      <c r="G1641" s="58"/>
      <c r="H1641" s="88"/>
      <c r="I1641" s="88"/>
      <c r="J1641" s="58"/>
      <c r="K1641" s="58"/>
      <c r="L1641" s="58"/>
      <c r="M1641" s="58"/>
      <c r="N1641" s="88"/>
      <c r="O1641" s="88"/>
    </row>
    <row r="1642">
      <c r="A1642" s="93"/>
      <c r="B1642" s="58"/>
      <c r="C1642" s="58"/>
      <c r="D1642" s="58"/>
      <c r="E1642" s="58"/>
      <c r="F1642" s="58"/>
      <c r="G1642" s="58"/>
      <c r="H1642" s="88"/>
      <c r="I1642" s="88"/>
      <c r="J1642" s="58"/>
      <c r="K1642" s="58"/>
      <c r="L1642" s="58"/>
      <c r="M1642" s="58"/>
      <c r="N1642" s="88"/>
      <c r="O1642" s="88"/>
    </row>
    <row r="1643">
      <c r="A1643" s="93"/>
      <c r="B1643" s="58"/>
      <c r="C1643" s="58"/>
      <c r="D1643" s="58"/>
      <c r="E1643" s="58"/>
      <c r="F1643" s="58"/>
      <c r="G1643" s="58"/>
      <c r="H1643" s="88"/>
      <c r="I1643" s="88"/>
      <c r="J1643" s="58"/>
      <c r="K1643" s="58"/>
      <c r="L1643" s="58"/>
      <c r="M1643" s="58"/>
      <c r="N1643" s="88"/>
      <c r="O1643" s="88"/>
    </row>
    <row r="1644">
      <c r="A1644" s="93"/>
      <c r="B1644" s="58"/>
      <c r="C1644" s="58"/>
      <c r="D1644" s="58"/>
      <c r="E1644" s="58"/>
      <c r="F1644" s="58"/>
      <c r="G1644" s="58"/>
      <c r="H1644" s="88"/>
      <c r="I1644" s="88"/>
      <c r="J1644" s="58"/>
      <c r="K1644" s="58"/>
      <c r="L1644" s="58"/>
      <c r="M1644" s="58"/>
      <c r="N1644" s="88"/>
      <c r="O1644" s="88"/>
    </row>
    <row r="1645">
      <c r="A1645" s="93"/>
      <c r="B1645" s="58"/>
      <c r="C1645" s="58"/>
      <c r="D1645" s="58"/>
      <c r="E1645" s="58"/>
      <c r="F1645" s="58"/>
      <c r="G1645" s="58"/>
      <c r="H1645" s="88"/>
      <c r="I1645" s="88"/>
      <c r="J1645" s="58"/>
      <c r="K1645" s="58"/>
      <c r="L1645" s="58"/>
      <c r="M1645" s="58"/>
      <c r="N1645" s="88"/>
      <c r="O1645" s="88"/>
    </row>
    <row r="1646">
      <c r="A1646" s="93"/>
      <c r="B1646" s="58"/>
      <c r="C1646" s="58"/>
      <c r="D1646" s="58"/>
      <c r="E1646" s="58"/>
      <c r="F1646" s="58"/>
      <c r="G1646" s="58"/>
      <c r="H1646" s="88"/>
      <c r="I1646" s="88"/>
      <c r="J1646" s="58"/>
      <c r="K1646" s="58"/>
      <c r="L1646" s="58"/>
      <c r="M1646" s="58"/>
      <c r="N1646" s="88"/>
      <c r="O1646" s="88"/>
    </row>
    <row r="1647">
      <c r="A1647" s="93"/>
      <c r="B1647" s="58"/>
      <c r="C1647" s="58"/>
      <c r="D1647" s="58"/>
      <c r="E1647" s="58"/>
      <c r="F1647" s="58"/>
      <c r="G1647" s="58"/>
      <c r="H1647" s="88"/>
      <c r="I1647" s="88"/>
      <c r="J1647" s="58"/>
      <c r="K1647" s="58"/>
      <c r="L1647" s="58"/>
      <c r="M1647" s="58"/>
      <c r="N1647" s="88"/>
      <c r="O1647" s="88"/>
    </row>
    <row r="1648">
      <c r="A1648" s="93"/>
      <c r="B1648" s="58"/>
      <c r="C1648" s="58"/>
      <c r="D1648" s="58"/>
      <c r="E1648" s="58"/>
      <c r="F1648" s="58"/>
      <c r="G1648" s="58"/>
      <c r="H1648" s="88"/>
      <c r="I1648" s="88"/>
      <c r="J1648" s="58"/>
      <c r="K1648" s="58"/>
      <c r="L1648" s="58"/>
      <c r="M1648" s="58"/>
      <c r="N1648" s="88"/>
      <c r="O1648" s="88"/>
    </row>
    <row r="1649">
      <c r="A1649" s="93"/>
      <c r="B1649" s="58"/>
      <c r="C1649" s="58"/>
      <c r="D1649" s="58"/>
      <c r="E1649" s="58"/>
      <c r="F1649" s="58"/>
      <c r="G1649" s="58"/>
      <c r="H1649" s="88"/>
      <c r="I1649" s="88"/>
      <c r="J1649" s="58"/>
      <c r="K1649" s="58"/>
      <c r="L1649" s="58"/>
      <c r="M1649" s="58"/>
      <c r="N1649" s="88"/>
      <c r="O1649" s="88"/>
    </row>
    <row r="1650">
      <c r="A1650" s="93"/>
      <c r="B1650" s="58"/>
      <c r="C1650" s="58"/>
      <c r="D1650" s="58"/>
      <c r="E1650" s="58"/>
      <c r="F1650" s="58"/>
      <c r="G1650" s="58"/>
      <c r="H1650" s="88"/>
      <c r="I1650" s="88"/>
      <c r="J1650" s="58"/>
      <c r="K1650" s="58"/>
      <c r="L1650" s="58"/>
      <c r="M1650" s="58"/>
      <c r="N1650" s="88"/>
      <c r="O1650" s="88"/>
    </row>
    <row r="1651">
      <c r="A1651" s="93"/>
      <c r="B1651" s="58"/>
      <c r="C1651" s="58"/>
      <c r="D1651" s="58"/>
      <c r="E1651" s="58"/>
      <c r="F1651" s="58"/>
      <c r="G1651" s="58"/>
      <c r="H1651" s="88"/>
      <c r="I1651" s="88"/>
      <c r="J1651" s="58"/>
      <c r="K1651" s="58"/>
      <c r="L1651" s="58"/>
      <c r="M1651" s="58"/>
      <c r="N1651" s="88"/>
      <c r="O1651" s="88"/>
    </row>
    <row r="1652">
      <c r="A1652" s="93"/>
      <c r="B1652" s="58"/>
      <c r="C1652" s="58"/>
      <c r="D1652" s="58"/>
      <c r="E1652" s="58"/>
      <c r="F1652" s="58"/>
      <c r="G1652" s="58"/>
      <c r="H1652" s="88"/>
      <c r="I1652" s="88"/>
      <c r="J1652" s="58"/>
      <c r="K1652" s="58"/>
      <c r="L1652" s="58"/>
      <c r="M1652" s="58"/>
      <c r="N1652" s="88"/>
      <c r="O1652" s="88"/>
    </row>
    <row r="1653">
      <c r="A1653" s="93"/>
      <c r="B1653" s="58"/>
      <c r="C1653" s="58"/>
      <c r="D1653" s="58"/>
      <c r="E1653" s="58"/>
      <c r="F1653" s="58"/>
      <c r="G1653" s="58"/>
      <c r="H1653" s="88"/>
      <c r="I1653" s="88"/>
      <c r="J1653" s="58"/>
      <c r="K1653" s="58"/>
      <c r="L1653" s="58"/>
      <c r="M1653" s="58"/>
      <c r="N1653" s="88"/>
      <c r="O1653" s="88"/>
    </row>
    <row r="1654">
      <c r="A1654" s="93"/>
      <c r="B1654" s="58"/>
      <c r="C1654" s="58"/>
      <c r="D1654" s="58"/>
      <c r="E1654" s="58"/>
      <c r="F1654" s="58"/>
      <c r="G1654" s="58"/>
      <c r="H1654" s="88"/>
      <c r="I1654" s="88"/>
      <c r="J1654" s="58"/>
      <c r="K1654" s="58"/>
      <c r="L1654" s="58"/>
      <c r="M1654" s="58"/>
      <c r="N1654" s="88"/>
      <c r="O1654" s="88"/>
    </row>
    <row r="1655">
      <c r="A1655" s="93"/>
      <c r="B1655" s="58"/>
      <c r="C1655" s="58"/>
      <c r="D1655" s="58"/>
      <c r="E1655" s="58"/>
      <c r="F1655" s="58"/>
      <c r="G1655" s="58"/>
      <c r="H1655" s="88"/>
      <c r="I1655" s="88"/>
      <c r="J1655" s="58"/>
      <c r="K1655" s="58"/>
      <c r="L1655" s="58"/>
      <c r="M1655" s="58"/>
      <c r="N1655" s="88"/>
      <c r="O1655" s="88"/>
    </row>
    <row r="1656">
      <c r="A1656" s="93"/>
      <c r="B1656" s="58"/>
      <c r="C1656" s="58"/>
      <c r="D1656" s="58"/>
      <c r="E1656" s="58"/>
      <c r="F1656" s="58"/>
      <c r="G1656" s="58"/>
      <c r="H1656" s="88"/>
      <c r="I1656" s="88"/>
      <c r="J1656" s="58"/>
      <c r="K1656" s="58"/>
      <c r="L1656" s="58"/>
      <c r="M1656" s="58"/>
      <c r="N1656" s="88"/>
      <c r="O1656" s="88"/>
    </row>
    <row r="1657">
      <c r="A1657" s="93"/>
      <c r="B1657" s="58"/>
      <c r="C1657" s="58"/>
      <c r="D1657" s="58"/>
      <c r="E1657" s="58"/>
      <c r="F1657" s="58"/>
      <c r="G1657" s="58"/>
      <c r="H1657" s="88"/>
      <c r="I1657" s="88"/>
      <c r="J1657" s="58"/>
      <c r="K1657" s="58"/>
      <c r="L1657" s="58"/>
      <c r="M1657" s="58"/>
      <c r="N1657" s="88"/>
      <c r="O1657" s="88"/>
    </row>
    <row r="1658">
      <c r="A1658" s="93"/>
      <c r="B1658" s="58"/>
      <c r="C1658" s="58"/>
      <c r="D1658" s="58"/>
      <c r="E1658" s="58"/>
      <c r="F1658" s="58"/>
      <c r="G1658" s="58"/>
      <c r="H1658" s="88"/>
      <c r="I1658" s="88"/>
      <c r="J1658" s="58"/>
      <c r="K1658" s="58"/>
      <c r="L1658" s="58"/>
      <c r="M1658" s="58"/>
      <c r="N1658" s="88"/>
      <c r="O1658" s="88"/>
    </row>
    <row r="1659">
      <c r="A1659" s="93"/>
      <c r="B1659" s="58"/>
      <c r="C1659" s="58"/>
      <c r="D1659" s="58"/>
      <c r="E1659" s="58"/>
      <c r="F1659" s="58"/>
      <c r="G1659" s="58"/>
      <c r="H1659" s="88"/>
      <c r="I1659" s="88"/>
      <c r="J1659" s="58"/>
      <c r="K1659" s="58"/>
      <c r="L1659" s="58"/>
      <c r="M1659" s="58"/>
      <c r="N1659" s="88"/>
      <c r="O1659" s="88"/>
    </row>
    <row r="1660">
      <c r="A1660" s="93"/>
      <c r="B1660" s="58"/>
      <c r="C1660" s="58"/>
      <c r="D1660" s="58"/>
      <c r="E1660" s="58"/>
      <c r="F1660" s="58"/>
      <c r="G1660" s="58"/>
      <c r="H1660" s="88"/>
      <c r="I1660" s="88"/>
      <c r="J1660" s="58"/>
      <c r="K1660" s="58"/>
      <c r="L1660" s="58"/>
      <c r="M1660" s="58"/>
      <c r="N1660" s="88"/>
      <c r="O1660" s="88"/>
    </row>
    <row r="1661">
      <c r="A1661" s="93"/>
      <c r="B1661" s="58"/>
      <c r="C1661" s="58"/>
      <c r="D1661" s="58"/>
      <c r="E1661" s="58"/>
      <c r="F1661" s="58"/>
      <c r="G1661" s="58"/>
      <c r="H1661" s="88"/>
      <c r="I1661" s="88"/>
      <c r="J1661" s="58"/>
      <c r="K1661" s="58"/>
      <c r="L1661" s="58"/>
      <c r="M1661" s="58"/>
      <c r="N1661" s="88"/>
      <c r="O1661" s="88"/>
    </row>
    <row r="1662">
      <c r="A1662" s="93"/>
      <c r="B1662" s="58"/>
      <c r="C1662" s="58"/>
      <c r="D1662" s="58"/>
      <c r="E1662" s="58"/>
      <c r="F1662" s="58"/>
      <c r="G1662" s="58"/>
      <c r="H1662" s="88"/>
      <c r="I1662" s="88"/>
      <c r="J1662" s="58"/>
      <c r="K1662" s="58"/>
      <c r="L1662" s="58"/>
      <c r="M1662" s="58"/>
      <c r="N1662" s="88"/>
      <c r="O1662" s="88"/>
    </row>
    <row r="1663">
      <c r="A1663" s="93"/>
      <c r="B1663" s="58"/>
      <c r="C1663" s="58"/>
      <c r="D1663" s="58"/>
      <c r="E1663" s="58"/>
      <c r="F1663" s="58"/>
      <c r="G1663" s="58"/>
      <c r="H1663" s="88"/>
      <c r="I1663" s="88"/>
      <c r="J1663" s="58"/>
      <c r="K1663" s="58"/>
      <c r="L1663" s="58"/>
      <c r="M1663" s="58"/>
      <c r="N1663" s="88"/>
      <c r="O1663" s="88"/>
    </row>
    <row r="1664">
      <c r="A1664" s="93"/>
      <c r="B1664" s="58"/>
      <c r="C1664" s="58"/>
      <c r="D1664" s="58"/>
      <c r="E1664" s="58"/>
      <c r="F1664" s="58"/>
      <c r="G1664" s="58"/>
      <c r="H1664" s="88"/>
      <c r="I1664" s="88"/>
      <c r="J1664" s="58"/>
      <c r="K1664" s="58"/>
      <c r="L1664" s="58"/>
      <c r="M1664" s="58"/>
      <c r="N1664" s="88"/>
      <c r="O1664" s="88"/>
    </row>
    <row r="1665">
      <c r="A1665" s="93"/>
      <c r="B1665" s="58"/>
      <c r="C1665" s="58"/>
      <c r="D1665" s="58"/>
      <c r="E1665" s="58"/>
      <c r="F1665" s="58"/>
      <c r="G1665" s="58"/>
      <c r="H1665" s="88"/>
      <c r="I1665" s="88"/>
      <c r="J1665" s="58"/>
      <c r="K1665" s="58"/>
      <c r="L1665" s="58"/>
      <c r="M1665" s="58"/>
      <c r="N1665" s="88"/>
      <c r="O1665" s="88"/>
    </row>
    <row r="1666">
      <c r="A1666" s="93"/>
      <c r="B1666" s="58"/>
      <c r="C1666" s="58"/>
      <c r="D1666" s="58"/>
      <c r="E1666" s="58"/>
      <c r="F1666" s="58"/>
      <c r="G1666" s="58"/>
      <c r="H1666" s="88"/>
      <c r="I1666" s="88"/>
      <c r="J1666" s="58"/>
      <c r="K1666" s="58"/>
      <c r="L1666" s="58"/>
      <c r="M1666" s="58"/>
      <c r="N1666" s="88"/>
      <c r="O1666" s="88"/>
    </row>
    <row r="1667">
      <c r="A1667" s="93"/>
      <c r="B1667" s="58"/>
      <c r="C1667" s="58"/>
      <c r="D1667" s="58"/>
      <c r="E1667" s="58"/>
      <c r="F1667" s="58"/>
      <c r="G1667" s="58"/>
      <c r="H1667" s="88"/>
      <c r="I1667" s="88"/>
      <c r="J1667" s="58"/>
      <c r="K1667" s="58"/>
      <c r="L1667" s="58"/>
      <c r="M1667" s="58"/>
      <c r="N1667" s="88"/>
      <c r="O1667" s="88"/>
    </row>
    <row r="1668">
      <c r="A1668" s="93"/>
      <c r="B1668" s="58"/>
      <c r="C1668" s="58"/>
      <c r="D1668" s="58"/>
      <c r="E1668" s="58"/>
      <c r="F1668" s="58"/>
      <c r="G1668" s="58"/>
      <c r="H1668" s="88"/>
      <c r="I1668" s="88"/>
      <c r="J1668" s="58"/>
      <c r="K1668" s="58"/>
      <c r="L1668" s="58"/>
      <c r="M1668" s="58"/>
      <c r="N1668" s="88"/>
      <c r="O1668" s="88"/>
    </row>
    <row r="1669">
      <c r="A1669" s="93"/>
      <c r="B1669" s="58"/>
      <c r="C1669" s="58"/>
      <c r="D1669" s="58"/>
      <c r="E1669" s="58"/>
      <c r="F1669" s="58"/>
      <c r="G1669" s="58"/>
      <c r="H1669" s="88"/>
      <c r="I1669" s="88"/>
      <c r="J1669" s="58"/>
      <c r="K1669" s="58"/>
      <c r="L1669" s="58"/>
      <c r="M1669" s="58"/>
      <c r="N1669" s="88"/>
      <c r="O1669" s="88"/>
    </row>
    <row r="1670">
      <c r="A1670" s="93"/>
      <c r="B1670" s="58"/>
      <c r="C1670" s="58"/>
      <c r="D1670" s="58"/>
      <c r="E1670" s="58"/>
      <c r="F1670" s="58"/>
      <c r="G1670" s="58"/>
      <c r="H1670" s="88"/>
      <c r="I1670" s="88"/>
      <c r="J1670" s="58"/>
      <c r="K1670" s="58"/>
      <c r="L1670" s="58"/>
      <c r="M1670" s="58"/>
      <c r="N1670" s="88"/>
      <c r="O1670" s="88"/>
    </row>
    <row r="1671">
      <c r="A1671" s="93"/>
      <c r="B1671" s="58"/>
      <c r="C1671" s="58"/>
      <c r="D1671" s="58"/>
      <c r="E1671" s="58"/>
      <c r="F1671" s="58"/>
      <c r="G1671" s="58"/>
      <c r="H1671" s="88"/>
      <c r="I1671" s="88"/>
      <c r="J1671" s="58"/>
      <c r="K1671" s="58"/>
      <c r="L1671" s="58"/>
      <c r="M1671" s="58"/>
      <c r="N1671" s="88"/>
      <c r="O1671" s="88"/>
    </row>
    <row r="1672">
      <c r="A1672" s="93"/>
      <c r="B1672" s="58"/>
      <c r="C1672" s="58"/>
      <c r="D1672" s="58"/>
      <c r="E1672" s="58"/>
      <c r="F1672" s="58"/>
      <c r="G1672" s="58"/>
      <c r="H1672" s="88"/>
      <c r="I1672" s="88"/>
      <c r="J1672" s="58"/>
      <c r="K1672" s="58"/>
      <c r="L1672" s="58"/>
      <c r="M1672" s="58"/>
      <c r="N1672" s="88"/>
      <c r="O1672" s="88"/>
    </row>
    <row r="1673">
      <c r="A1673" s="93"/>
      <c r="B1673" s="58"/>
      <c r="C1673" s="58"/>
      <c r="D1673" s="58"/>
      <c r="E1673" s="58"/>
      <c r="F1673" s="58"/>
      <c r="G1673" s="58"/>
      <c r="H1673" s="88"/>
      <c r="I1673" s="88"/>
      <c r="J1673" s="58"/>
      <c r="K1673" s="58"/>
      <c r="L1673" s="58"/>
      <c r="M1673" s="58"/>
      <c r="N1673" s="88"/>
      <c r="O1673" s="88"/>
    </row>
    <row r="1674">
      <c r="A1674" s="93"/>
      <c r="B1674" s="58"/>
      <c r="C1674" s="58"/>
      <c r="D1674" s="58"/>
      <c r="E1674" s="58"/>
      <c r="F1674" s="58"/>
      <c r="G1674" s="58"/>
      <c r="H1674" s="88"/>
      <c r="I1674" s="88"/>
      <c r="J1674" s="58"/>
      <c r="K1674" s="58"/>
      <c r="L1674" s="58"/>
      <c r="M1674" s="58"/>
      <c r="N1674" s="88"/>
      <c r="O1674" s="88"/>
    </row>
    <row r="1675">
      <c r="A1675" s="93"/>
      <c r="B1675" s="58"/>
      <c r="C1675" s="58"/>
      <c r="D1675" s="58"/>
      <c r="E1675" s="58"/>
      <c r="F1675" s="58"/>
      <c r="G1675" s="58"/>
      <c r="H1675" s="88"/>
      <c r="I1675" s="88"/>
      <c r="J1675" s="58"/>
      <c r="K1675" s="58"/>
      <c r="L1675" s="58"/>
      <c r="M1675" s="58"/>
      <c r="N1675" s="88"/>
      <c r="O1675" s="88"/>
    </row>
    <row r="1676">
      <c r="A1676" s="93"/>
      <c r="B1676" s="58"/>
      <c r="C1676" s="58"/>
      <c r="D1676" s="58"/>
      <c r="E1676" s="58"/>
      <c r="F1676" s="58"/>
      <c r="G1676" s="58"/>
      <c r="H1676" s="88"/>
      <c r="I1676" s="88"/>
      <c r="J1676" s="58"/>
      <c r="K1676" s="58"/>
      <c r="L1676" s="58"/>
      <c r="M1676" s="58"/>
      <c r="N1676" s="88"/>
      <c r="O1676" s="88"/>
    </row>
    <row r="1677">
      <c r="A1677" s="93"/>
      <c r="B1677" s="58"/>
      <c r="C1677" s="58"/>
      <c r="D1677" s="58"/>
      <c r="E1677" s="58"/>
      <c r="F1677" s="58"/>
      <c r="G1677" s="58"/>
      <c r="H1677" s="88"/>
      <c r="I1677" s="88"/>
      <c r="J1677" s="58"/>
      <c r="K1677" s="58"/>
      <c r="L1677" s="58"/>
      <c r="M1677" s="58"/>
      <c r="N1677" s="88"/>
      <c r="O1677" s="88"/>
    </row>
    <row r="1678">
      <c r="A1678" s="93"/>
      <c r="B1678" s="58"/>
      <c r="C1678" s="58"/>
      <c r="D1678" s="58"/>
      <c r="E1678" s="58"/>
      <c r="F1678" s="58"/>
      <c r="G1678" s="58"/>
      <c r="H1678" s="88"/>
      <c r="I1678" s="88"/>
      <c r="J1678" s="58"/>
      <c r="K1678" s="58"/>
      <c r="L1678" s="58"/>
      <c r="M1678" s="58"/>
      <c r="N1678" s="88"/>
      <c r="O1678" s="88"/>
    </row>
    <row r="1679">
      <c r="A1679" s="93"/>
      <c r="B1679" s="58"/>
      <c r="C1679" s="58"/>
      <c r="D1679" s="58"/>
      <c r="E1679" s="58"/>
      <c r="F1679" s="58"/>
      <c r="G1679" s="58"/>
      <c r="H1679" s="88"/>
      <c r="I1679" s="88"/>
      <c r="J1679" s="58"/>
      <c r="K1679" s="58"/>
      <c r="L1679" s="58"/>
      <c r="M1679" s="58"/>
      <c r="N1679" s="88"/>
      <c r="O1679" s="88"/>
    </row>
    <row r="1680">
      <c r="A1680" s="93"/>
      <c r="B1680" s="58"/>
      <c r="C1680" s="58"/>
      <c r="D1680" s="58"/>
      <c r="E1680" s="58"/>
      <c r="F1680" s="58"/>
      <c r="G1680" s="58"/>
      <c r="H1680" s="88"/>
      <c r="I1680" s="88"/>
      <c r="J1680" s="58"/>
      <c r="K1680" s="58"/>
      <c r="L1680" s="58"/>
      <c r="M1680" s="58"/>
      <c r="N1680" s="88"/>
      <c r="O1680" s="88"/>
    </row>
    <row r="1681">
      <c r="A1681" s="93"/>
      <c r="B1681" s="58"/>
      <c r="C1681" s="58"/>
      <c r="D1681" s="58"/>
      <c r="E1681" s="58"/>
      <c r="F1681" s="58"/>
      <c r="G1681" s="58"/>
      <c r="H1681" s="88"/>
      <c r="I1681" s="88"/>
      <c r="J1681" s="58"/>
      <c r="K1681" s="58"/>
      <c r="L1681" s="58"/>
      <c r="M1681" s="58"/>
      <c r="N1681" s="88"/>
      <c r="O1681" s="88"/>
    </row>
    <row r="1682">
      <c r="A1682" s="93"/>
      <c r="B1682" s="58"/>
      <c r="C1682" s="58"/>
      <c r="D1682" s="58"/>
      <c r="E1682" s="58"/>
      <c r="F1682" s="58"/>
      <c r="G1682" s="58"/>
      <c r="H1682" s="88"/>
      <c r="I1682" s="88"/>
      <c r="J1682" s="58"/>
      <c r="K1682" s="58"/>
      <c r="L1682" s="58"/>
      <c r="M1682" s="58"/>
      <c r="N1682" s="88"/>
      <c r="O1682" s="88"/>
    </row>
    <row r="1683">
      <c r="A1683" s="93"/>
      <c r="B1683" s="58"/>
      <c r="C1683" s="58"/>
      <c r="D1683" s="58"/>
      <c r="E1683" s="58"/>
      <c r="F1683" s="58"/>
      <c r="G1683" s="58"/>
      <c r="H1683" s="88"/>
      <c r="I1683" s="88"/>
      <c r="J1683" s="58"/>
      <c r="K1683" s="58"/>
      <c r="L1683" s="58"/>
      <c r="M1683" s="58"/>
      <c r="N1683" s="88"/>
      <c r="O1683" s="88"/>
    </row>
    <row r="1684">
      <c r="A1684" s="93"/>
      <c r="B1684" s="58"/>
      <c r="C1684" s="58"/>
      <c r="D1684" s="58"/>
      <c r="E1684" s="58"/>
      <c r="F1684" s="58"/>
      <c r="G1684" s="58"/>
      <c r="H1684" s="88"/>
      <c r="I1684" s="88"/>
      <c r="J1684" s="58"/>
      <c r="K1684" s="58"/>
      <c r="L1684" s="58"/>
      <c r="M1684" s="58"/>
      <c r="N1684" s="88"/>
      <c r="O1684" s="88"/>
    </row>
    <row r="1685">
      <c r="A1685" s="93"/>
      <c r="B1685" s="58"/>
      <c r="C1685" s="58"/>
      <c r="D1685" s="58"/>
      <c r="E1685" s="58"/>
      <c r="F1685" s="58"/>
      <c r="G1685" s="58"/>
      <c r="H1685" s="88"/>
      <c r="I1685" s="88"/>
      <c r="J1685" s="58"/>
      <c r="K1685" s="58"/>
      <c r="L1685" s="58"/>
      <c r="M1685" s="58"/>
      <c r="N1685" s="88"/>
      <c r="O1685" s="88"/>
    </row>
    <row r="1686">
      <c r="A1686" s="93"/>
      <c r="B1686" s="58"/>
      <c r="C1686" s="58"/>
      <c r="D1686" s="58"/>
      <c r="E1686" s="58"/>
      <c r="F1686" s="58"/>
      <c r="G1686" s="58"/>
      <c r="H1686" s="88"/>
      <c r="I1686" s="88"/>
      <c r="J1686" s="58"/>
      <c r="K1686" s="58"/>
      <c r="L1686" s="58"/>
      <c r="M1686" s="58"/>
      <c r="N1686" s="88"/>
      <c r="O1686" s="88"/>
    </row>
    <row r="1687">
      <c r="A1687" s="93"/>
      <c r="B1687" s="58"/>
      <c r="C1687" s="58"/>
      <c r="D1687" s="58"/>
      <c r="E1687" s="58"/>
      <c r="F1687" s="58"/>
      <c r="G1687" s="58"/>
      <c r="H1687" s="88"/>
      <c r="I1687" s="88"/>
      <c r="J1687" s="58"/>
      <c r="K1687" s="58"/>
      <c r="L1687" s="58"/>
      <c r="M1687" s="58"/>
      <c r="N1687" s="88"/>
      <c r="O1687" s="88"/>
    </row>
    <row r="1688">
      <c r="A1688" s="93"/>
      <c r="B1688" s="58"/>
      <c r="C1688" s="58"/>
      <c r="D1688" s="58"/>
      <c r="E1688" s="58"/>
      <c r="F1688" s="58"/>
      <c r="G1688" s="58"/>
      <c r="H1688" s="88"/>
      <c r="I1688" s="88"/>
      <c r="J1688" s="58"/>
      <c r="K1688" s="58"/>
      <c r="L1688" s="58"/>
      <c r="M1688" s="58"/>
      <c r="N1688" s="88"/>
      <c r="O1688" s="88"/>
    </row>
    <row r="1689">
      <c r="A1689" s="93"/>
      <c r="B1689" s="58"/>
      <c r="C1689" s="58"/>
      <c r="D1689" s="58"/>
      <c r="E1689" s="58"/>
      <c r="F1689" s="58"/>
      <c r="G1689" s="58"/>
      <c r="H1689" s="88"/>
      <c r="I1689" s="88"/>
      <c r="J1689" s="58"/>
      <c r="K1689" s="58"/>
      <c r="L1689" s="58"/>
      <c r="M1689" s="58"/>
      <c r="N1689" s="88"/>
      <c r="O1689" s="88"/>
    </row>
    <row r="1690">
      <c r="A1690" s="93"/>
      <c r="B1690" s="58"/>
      <c r="C1690" s="58"/>
      <c r="D1690" s="58"/>
      <c r="E1690" s="58"/>
      <c r="F1690" s="58"/>
      <c r="G1690" s="58"/>
      <c r="H1690" s="88"/>
      <c r="I1690" s="88"/>
      <c r="J1690" s="58"/>
      <c r="K1690" s="58"/>
      <c r="L1690" s="58"/>
      <c r="M1690" s="58"/>
      <c r="N1690" s="88"/>
      <c r="O1690" s="88"/>
    </row>
    <row r="1691">
      <c r="A1691" s="93"/>
      <c r="B1691" s="58"/>
      <c r="C1691" s="58"/>
      <c r="D1691" s="58"/>
      <c r="E1691" s="58"/>
      <c r="F1691" s="58"/>
      <c r="G1691" s="58"/>
      <c r="H1691" s="88"/>
      <c r="I1691" s="88"/>
      <c r="J1691" s="58"/>
      <c r="K1691" s="58"/>
      <c r="L1691" s="58"/>
      <c r="M1691" s="58"/>
      <c r="N1691" s="88"/>
      <c r="O1691" s="88"/>
    </row>
    <row r="1692">
      <c r="A1692" s="93"/>
      <c r="B1692" s="58"/>
      <c r="C1692" s="58"/>
      <c r="D1692" s="58"/>
      <c r="E1692" s="58"/>
      <c r="F1692" s="58"/>
      <c r="G1692" s="58"/>
      <c r="H1692" s="88"/>
      <c r="I1692" s="88"/>
      <c r="J1692" s="58"/>
      <c r="K1692" s="58"/>
      <c r="L1692" s="58"/>
      <c r="M1692" s="58"/>
      <c r="N1692" s="88"/>
      <c r="O1692" s="88"/>
    </row>
    <row r="1693">
      <c r="A1693" s="93"/>
      <c r="B1693" s="58"/>
      <c r="C1693" s="58"/>
      <c r="D1693" s="58"/>
      <c r="E1693" s="58"/>
      <c r="F1693" s="58"/>
      <c r="G1693" s="58"/>
      <c r="H1693" s="88"/>
      <c r="I1693" s="88"/>
      <c r="J1693" s="58"/>
      <c r="K1693" s="58"/>
      <c r="L1693" s="58"/>
      <c r="M1693" s="58"/>
      <c r="N1693" s="88"/>
      <c r="O1693" s="88"/>
    </row>
    <row r="1694">
      <c r="A1694" s="93"/>
      <c r="B1694" s="58"/>
      <c r="C1694" s="58"/>
      <c r="D1694" s="58"/>
      <c r="E1694" s="58"/>
      <c r="F1694" s="58"/>
      <c r="G1694" s="58"/>
      <c r="H1694" s="88"/>
      <c r="I1694" s="88"/>
      <c r="J1694" s="58"/>
      <c r="K1694" s="58"/>
      <c r="L1694" s="58"/>
      <c r="M1694" s="58"/>
      <c r="N1694" s="88"/>
      <c r="O1694" s="88"/>
    </row>
    <row r="1695">
      <c r="A1695" s="93"/>
      <c r="B1695" s="58"/>
      <c r="C1695" s="58"/>
      <c r="D1695" s="58"/>
      <c r="E1695" s="58"/>
      <c r="F1695" s="58"/>
      <c r="G1695" s="58"/>
      <c r="H1695" s="88"/>
      <c r="I1695" s="88"/>
      <c r="J1695" s="58"/>
      <c r="K1695" s="58"/>
      <c r="L1695" s="58"/>
      <c r="M1695" s="58"/>
      <c r="N1695" s="88"/>
      <c r="O1695" s="88"/>
    </row>
    <row r="1696">
      <c r="A1696" s="93"/>
      <c r="B1696" s="58"/>
      <c r="C1696" s="58"/>
      <c r="D1696" s="58"/>
      <c r="E1696" s="58"/>
      <c r="F1696" s="58"/>
      <c r="G1696" s="58"/>
      <c r="H1696" s="88"/>
      <c r="I1696" s="88"/>
      <c r="J1696" s="58"/>
      <c r="K1696" s="58"/>
      <c r="L1696" s="58"/>
      <c r="M1696" s="58"/>
      <c r="N1696" s="88"/>
      <c r="O1696" s="88"/>
    </row>
    <row r="1697">
      <c r="A1697" s="93"/>
      <c r="B1697" s="58"/>
      <c r="C1697" s="58"/>
      <c r="D1697" s="58"/>
      <c r="E1697" s="58"/>
      <c r="F1697" s="58"/>
      <c r="G1697" s="58"/>
      <c r="H1697" s="88"/>
      <c r="I1697" s="88"/>
      <c r="J1697" s="58"/>
      <c r="K1697" s="58"/>
      <c r="L1697" s="58"/>
      <c r="M1697" s="58"/>
      <c r="N1697" s="88"/>
      <c r="O1697" s="88"/>
    </row>
    <row r="1698">
      <c r="A1698" s="93"/>
      <c r="B1698" s="58"/>
      <c r="C1698" s="58"/>
      <c r="D1698" s="58"/>
      <c r="E1698" s="58"/>
      <c r="F1698" s="58"/>
      <c r="G1698" s="58"/>
      <c r="H1698" s="88"/>
      <c r="I1698" s="88"/>
      <c r="J1698" s="58"/>
      <c r="K1698" s="58"/>
      <c r="L1698" s="58"/>
      <c r="M1698" s="58"/>
      <c r="N1698" s="88"/>
      <c r="O1698" s="88"/>
    </row>
    <row r="1699">
      <c r="A1699" s="93"/>
      <c r="B1699" s="58"/>
      <c r="C1699" s="58"/>
      <c r="D1699" s="58"/>
      <c r="E1699" s="58"/>
      <c r="F1699" s="58"/>
      <c r="G1699" s="58"/>
      <c r="H1699" s="88"/>
      <c r="I1699" s="88"/>
      <c r="J1699" s="58"/>
      <c r="K1699" s="58"/>
      <c r="L1699" s="58"/>
      <c r="M1699" s="58"/>
      <c r="N1699" s="88"/>
      <c r="O1699" s="88"/>
    </row>
    <row r="1700">
      <c r="A1700" s="93"/>
      <c r="B1700" s="58"/>
      <c r="C1700" s="58"/>
      <c r="D1700" s="58"/>
      <c r="E1700" s="58"/>
      <c r="F1700" s="58"/>
      <c r="G1700" s="58"/>
      <c r="H1700" s="88"/>
      <c r="I1700" s="88"/>
      <c r="J1700" s="58"/>
      <c r="K1700" s="58"/>
      <c r="L1700" s="58"/>
      <c r="M1700" s="58"/>
      <c r="N1700" s="88"/>
      <c r="O1700" s="88"/>
    </row>
    <row r="1701">
      <c r="A1701" s="93"/>
      <c r="B1701" s="58"/>
      <c r="C1701" s="58"/>
      <c r="D1701" s="58"/>
      <c r="E1701" s="58"/>
      <c r="F1701" s="58"/>
      <c r="G1701" s="58"/>
      <c r="H1701" s="88"/>
      <c r="I1701" s="88"/>
      <c r="J1701" s="58"/>
      <c r="K1701" s="58"/>
      <c r="L1701" s="58"/>
      <c r="M1701" s="58"/>
      <c r="N1701" s="88"/>
      <c r="O1701" s="88"/>
    </row>
    <row r="1702">
      <c r="A1702" s="93"/>
      <c r="B1702" s="58"/>
      <c r="C1702" s="58"/>
      <c r="D1702" s="58"/>
      <c r="E1702" s="58"/>
      <c r="F1702" s="58"/>
      <c r="G1702" s="58"/>
      <c r="H1702" s="88"/>
      <c r="I1702" s="88"/>
      <c r="J1702" s="58"/>
      <c r="K1702" s="58"/>
      <c r="L1702" s="58"/>
      <c r="M1702" s="58"/>
      <c r="N1702" s="88"/>
      <c r="O1702" s="88"/>
    </row>
    <row r="1703">
      <c r="A1703" s="93"/>
      <c r="B1703" s="58"/>
      <c r="C1703" s="58"/>
      <c r="D1703" s="58"/>
      <c r="E1703" s="58"/>
      <c r="F1703" s="58"/>
      <c r="G1703" s="58"/>
      <c r="H1703" s="88"/>
      <c r="I1703" s="88"/>
      <c r="J1703" s="58"/>
      <c r="K1703" s="58"/>
      <c r="L1703" s="58"/>
      <c r="M1703" s="58"/>
      <c r="N1703" s="88"/>
      <c r="O1703" s="88"/>
    </row>
    <row r="1704">
      <c r="A1704" s="93"/>
      <c r="B1704" s="58"/>
      <c r="C1704" s="58"/>
      <c r="D1704" s="58"/>
      <c r="E1704" s="58"/>
      <c r="F1704" s="58"/>
      <c r="G1704" s="58"/>
      <c r="H1704" s="88"/>
      <c r="I1704" s="88"/>
      <c r="J1704" s="58"/>
      <c r="K1704" s="58"/>
      <c r="L1704" s="58"/>
      <c r="M1704" s="58"/>
      <c r="N1704" s="88"/>
      <c r="O1704" s="88"/>
    </row>
    <row r="1705">
      <c r="A1705" s="93"/>
      <c r="B1705" s="58"/>
      <c r="C1705" s="58"/>
      <c r="D1705" s="58"/>
      <c r="E1705" s="58"/>
      <c r="F1705" s="58"/>
      <c r="G1705" s="58"/>
      <c r="H1705" s="88"/>
      <c r="I1705" s="88"/>
      <c r="J1705" s="58"/>
      <c r="K1705" s="58"/>
      <c r="L1705" s="58"/>
      <c r="M1705" s="58"/>
      <c r="N1705" s="88"/>
      <c r="O1705" s="88"/>
    </row>
    <row r="1706">
      <c r="A1706" s="93"/>
      <c r="B1706" s="58"/>
      <c r="C1706" s="58"/>
      <c r="D1706" s="58"/>
      <c r="E1706" s="58"/>
      <c r="F1706" s="58"/>
      <c r="G1706" s="58"/>
      <c r="H1706" s="88"/>
      <c r="I1706" s="88"/>
      <c r="J1706" s="58"/>
      <c r="K1706" s="58"/>
      <c r="L1706" s="58"/>
      <c r="M1706" s="58"/>
      <c r="N1706" s="88"/>
      <c r="O1706" s="88"/>
    </row>
    <row r="1707">
      <c r="A1707" s="93"/>
      <c r="B1707" s="58"/>
      <c r="C1707" s="58"/>
      <c r="D1707" s="58"/>
      <c r="E1707" s="58"/>
      <c r="F1707" s="58"/>
      <c r="G1707" s="58"/>
      <c r="H1707" s="88"/>
      <c r="I1707" s="88"/>
      <c r="J1707" s="58"/>
      <c r="K1707" s="58"/>
      <c r="L1707" s="58"/>
      <c r="M1707" s="58"/>
      <c r="N1707" s="88"/>
      <c r="O1707" s="88"/>
    </row>
    <row r="1708">
      <c r="A1708" s="93"/>
      <c r="B1708" s="58"/>
      <c r="C1708" s="58"/>
      <c r="D1708" s="58"/>
      <c r="E1708" s="58"/>
      <c r="F1708" s="58"/>
      <c r="G1708" s="58"/>
      <c r="H1708" s="88"/>
      <c r="I1708" s="88"/>
      <c r="J1708" s="58"/>
      <c r="K1708" s="58"/>
      <c r="L1708" s="58"/>
      <c r="M1708" s="58"/>
      <c r="N1708" s="88"/>
      <c r="O1708" s="88"/>
    </row>
    <row r="1709">
      <c r="A1709" s="93"/>
      <c r="B1709" s="58"/>
      <c r="C1709" s="58"/>
      <c r="D1709" s="58"/>
      <c r="E1709" s="58"/>
      <c r="F1709" s="58"/>
      <c r="G1709" s="58"/>
      <c r="H1709" s="88"/>
      <c r="I1709" s="88"/>
      <c r="J1709" s="58"/>
      <c r="K1709" s="58"/>
      <c r="L1709" s="58"/>
      <c r="M1709" s="58"/>
      <c r="N1709" s="88"/>
      <c r="O1709" s="88"/>
    </row>
    <row r="1710">
      <c r="A1710" s="93"/>
      <c r="B1710" s="58"/>
      <c r="C1710" s="58"/>
      <c r="D1710" s="58"/>
      <c r="E1710" s="58"/>
      <c r="F1710" s="58"/>
      <c r="G1710" s="58"/>
      <c r="H1710" s="88"/>
      <c r="I1710" s="88"/>
      <c r="J1710" s="58"/>
      <c r="K1710" s="58"/>
      <c r="L1710" s="58"/>
      <c r="M1710" s="58"/>
      <c r="N1710" s="88"/>
      <c r="O1710" s="88"/>
    </row>
    <row r="1711">
      <c r="A1711" s="93"/>
      <c r="B1711" s="58"/>
      <c r="C1711" s="58"/>
      <c r="D1711" s="58"/>
      <c r="E1711" s="58"/>
      <c r="F1711" s="58"/>
      <c r="G1711" s="58"/>
      <c r="H1711" s="88"/>
      <c r="I1711" s="88"/>
      <c r="J1711" s="58"/>
      <c r="K1711" s="58"/>
      <c r="L1711" s="58"/>
      <c r="M1711" s="58"/>
      <c r="N1711" s="88"/>
      <c r="O1711" s="88"/>
    </row>
    <row r="1712">
      <c r="A1712" s="93"/>
      <c r="B1712" s="58"/>
      <c r="C1712" s="58"/>
      <c r="D1712" s="58"/>
      <c r="E1712" s="58"/>
      <c r="F1712" s="58"/>
      <c r="G1712" s="58"/>
      <c r="H1712" s="88"/>
      <c r="I1712" s="88"/>
      <c r="J1712" s="58"/>
      <c r="K1712" s="58"/>
      <c r="L1712" s="58"/>
      <c r="M1712" s="58"/>
      <c r="N1712" s="88"/>
      <c r="O1712" s="88"/>
    </row>
    <row r="1713">
      <c r="A1713" s="93"/>
      <c r="B1713" s="58"/>
      <c r="C1713" s="58"/>
      <c r="D1713" s="58"/>
      <c r="E1713" s="58"/>
      <c r="F1713" s="58"/>
      <c r="G1713" s="58"/>
      <c r="H1713" s="88"/>
      <c r="I1713" s="88"/>
      <c r="J1713" s="58"/>
      <c r="K1713" s="58"/>
      <c r="L1713" s="58"/>
      <c r="M1713" s="58"/>
      <c r="N1713" s="88"/>
      <c r="O1713" s="88"/>
    </row>
    <row r="1714">
      <c r="A1714" s="93"/>
      <c r="B1714" s="58"/>
      <c r="C1714" s="58"/>
      <c r="D1714" s="58"/>
      <c r="E1714" s="58"/>
      <c r="F1714" s="58"/>
      <c r="G1714" s="58"/>
      <c r="H1714" s="88"/>
      <c r="I1714" s="88"/>
      <c r="J1714" s="58"/>
      <c r="K1714" s="58"/>
      <c r="L1714" s="58"/>
      <c r="M1714" s="58"/>
      <c r="N1714" s="88"/>
      <c r="O1714" s="88"/>
    </row>
    <row r="1715">
      <c r="A1715" s="93"/>
      <c r="B1715" s="58"/>
      <c r="C1715" s="58"/>
      <c r="D1715" s="58"/>
      <c r="E1715" s="58"/>
      <c r="F1715" s="58"/>
      <c r="G1715" s="58"/>
      <c r="H1715" s="88"/>
      <c r="I1715" s="88"/>
      <c r="J1715" s="58"/>
      <c r="K1715" s="58"/>
      <c r="L1715" s="58"/>
      <c r="M1715" s="58"/>
      <c r="N1715" s="88"/>
      <c r="O1715" s="88"/>
    </row>
    <row r="1716">
      <c r="A1716" s="93"/>
      <c r="B1716" s="58"/>
      <c r="C1716" s="58"/>
      <c r="D1716" s="58"/>
      <c r="E1716" s="58"/>
      <c r="F1716" s="58"/>
      <c r="G1716" s="58"/>
      <c r="H1716" s="88"/>
      <c r="I1716" s="88"/>
      <c r="J1716" s="58"/>
      <c r="K1716" s="58"/>
      <c r="L1716" s="58"/>
      <c r="M1716" s="58"/>
      <c r="N1716" s="88"/>
      <c r="O1716" s="88"/>
    </row>
    <row r="1717">
      <c r="A1717" s="93"/>
      <c r="B1717" s="58"/>
      <c r="C1717" s="58"/>
      <c r="D1717" s="58"/>
      <c r="E1717" s="58"/>
      <c r="F1717" s="58"/>
      <c r="G1717" s="58"/>
      <c r="H1717" s="88"/>
      <c r="I1717" s="88"/>
      <c r="J1717" s="58"/>
      <c r="K1717" s="58"/>
      <c r="L1717" s="58"/>
      <c r="M1717" s="58"/>
      <c r="N1717" s="88"/>
      <c r="O1717" s="88"/>
    </row>
    <row r="1718">
      <c r="A1718" s="93"/>
      <c r="B1718" s="58"/>
      <c r="C1718" s="58"/>
      <c r="D1718" s="58"/>
      <c r="E1718" s="58"/>
      <c r="F1718" s="58"/>
      <c r="G1718" s="58"/>
      <c r="H1718" s="88"/>
      <c r="I1718" s="88"/>
      <c r="J1718" s="58"/>
      <c r="K1718" s="58"/>
      <c r="L1718" s="58"/>
      <c r="M1718" s="58"/>
      <c r="N1718" s="88"/>
      <c r="O1718" s="88"/>
    </row>
    <row r="1719">
      <c r="A1719" s="93"/>
      <c r="B1719" s="58"/>
      <c r="C1719" s="58"/>
      <c r="D1719" s="58"/>
      <c r="E1719" s="58"/>
      <c r="F1719" s="58"/>
      <c r="G1719" s="58"/>
      <c r="H1719" s="88"/>
      <c r="I1719" s="88"/>
      <c r="J1719" s="58"/>
      <c r="K1719" s="58"/>
      <c r="L1719" s="58"/>
      <c r="M1719" s="58"/>
      <c r="N1719" s="88"/>
      <c r="O1719" s="88"/>
    </row>
    <row r="1720">
      <c r="A1720" s="93"/>
      <c r="B1720" s="58"/>
      <c r="C1720" s="58"/>
      <c r="D1720" s="58"/>
      <c r="E1720" s="58"/>
      <c r="F1720" s="58"/>
      <c r="G1720" s="58"/>
      <c r="H1720" s="88"/>
      <c r="I1720" s="88"/>
      <c r="J1720" s="58"/>
      <c r="K1720" s="58"/>
      <c r="L1720" s="58"/>
      <c r="M1720" s="58"/>
      <c r="N1720" s="88"/>
      <c r="O1720" s="88"/>
    </row>
    <row r="1721">
      <c r="A1721" s="93"/>
      <c r="B1721" s="58"/>
      <c r="C1721" s="58"/>
      <c r="D1721" s="58"/>
      <c r="E1721" s="58"/>
      <c r="F1721" s="58"/>
      <c r="G1721" s="58"/>
      <c r="H1721" s="88"/>
      <c r="I1721" s="88"/>
      <c r="J1721" s="58"/>
      <c r="K1721" s="58"/>
      <c r="L1721" s="58"/>
      <c r="M1721" s="58"/>
      <c r="N1721" s="88"/>
      <c r="O1721" s="88"/>
    </row>
    <row r="1722">
      <c r="A1722" s="93"/>
      <c r="B1722" s="58"/>
      <c r="C1722" s="58"/>
      <c r="D1722" s="58"/>
      <c r="E1722" s="58"/>
      <c r="F1722" s="58"/>
      <c r="G1722" s="58"/>
      <c r="H1722" s="88"/>
      <c r="I1722" s="88"/>
      <c r="J1722" s="58"/>
      <c r="K1722" s="58"/>
      <c r="L1722" s="58"/>
      <c r="M1722" s="58"/>
      <c r="N1722" s="88"/>
      <c r="O1722" s="88"/>
    </row>
    <row r="1723">
      <c r="A1723" s="93"/>
      <c r="B1723" s="58"/>
      <c r="C1723" s="58"/>
      <c r="D1723" s="58"/>
      <c r="E1723" s="58"/>
      <c r="F1723" s="58"/>
      <c r="G1723" s="58"/>
      <c r="H1723" s="88"/>
      <c r="I1723" s="88"/>
      <c r="J1723" s="58"/>
      <c r="K1723" s="58"/>
      <c r="L1723" s="58"/>
      <c r="M1723" s="58"/>
      <c r="N1723" s="88"/>
      <c r="O1723" s="88"/>
    </row>
    <row r="1724">
      <c r="A1724" s="93"/>
      <c r="B1724" s="58"/>
      <c r="C1724" s="58"/>
      <c r="D1724" s="58"/>
      <c r="E1724" s="58"/>
      <c r="F1724" s="58"/>
      <c r="G1724" s="58"/>
      <c r="H1724" s="88"/>
      <c r="I1724" s="88"/>
      <c r="J1724" s="58"/>
      <c r="K1724" s="58"/>
      <c r="L1724" s="58"/>
      <c r="M1724" s="58"/>
      <c r="N1724" s="88"/>
      <c r="O1724" s="88"/>
    </row>
    <row r="1725">
      <c r="A1725" s="93"/>
      <c r="B1725" s="58"/>
      <c r="C1725" s="58"/>
      <c r="D1725" s="58"/>
      <c r="E1725" s="58"/>
      <c r="F1725" s="58"/>
      <c r="G1725" s="58"/>
      <c r="H1725" s="88"/>
      <c r="I1725" s="88"/>
      <c r="J1725" s="58"/>
      <c r="K1725" s="58"/>
      <c r="L1725" s="58"/>
      <c r="M1725" s="58"/>
      <c r="N1725" s="88"/>
      <c r="O1725" s="88"/>
    </row>
    <row r="1726">
      <c r="A1726" s="93"/>
      <c r="B1726" s="58"/>
      <c r="C1726" s="58"/>
      <c r="D1726" s="58"/>
      <c r="E1726" s="58"/>
      <c r="F1726" s="58"/>
      <c r="G1726" s="58"/>
      <c r="H1726" s="88"/>
      <c r="I1726" s="88"/>
      <c r="J1726" s="58"/>
      <c r="K1726" s="58"/>
      <c r="L1726" s="58"/>
      <c r="M1726" s="58"/>
      <c r="N1726" s="88"/>
      <c r="O1726" s="88"/>
    </row>
    <row r="1727">
      <c r="A1727" s="93"/>
      <c r="B1727" s="58"/>
      <c r="C1727" s="58"/>
      <c r="D1727" s="58"/>
      <c r="E1727" s="58"/>
      <c r="F1727" s="58"/>
      <c r="G1727" s="58"/>
      <c r="H1727" s="88"/>
      <c r="I1727" s="88"/>
      <c r="J1727" s="58"/>
      <c r="K1727" s="58"/>
      <c r="L1727" s="58"/>
      <c r="M1727" s="58"/>
      <c r="N1727" s="88"/>
      <c r="O1727" s="88"/>
    </row>
    <row r="1728">
      <c r="A1728" s="93"/>
      <c r="B1728" s="58"/>
      <c r="C1728" s="58"/>
      <c r="D1728" s="58"/>
      <c r="E1728" s="58"/>
      <c r="F1728" s="58"/>
      <c r="G1728" s="58"/>
      <c r="H1728" s="88"/>
      <c r="I1728" s="88"/>
      <c r="J1728" s="58"/>
      <c r="K1728" s="58"/>
      <c r="L1728" s="58"/>
      <c r="M1728" s="58"/>
      <c r="N1728" s="88"/>
      <c r="O1728" s="88"/>
    </row>
    <row r="1729">
      <c r="A1729" s="93"/>
      <c r="B1729" s="58"/>
      <c r="C1729" s="58"/>
      <c r="D1729" s="58"/>
      <c r="E1729" s="58"/>
      <c r="F1729" s="58"/>
      <c r="G1729" s="58"/>
      <c r="H1729" s="88"/>
      <c r="I1729" s="88"/>
      <c r="J1729" s="58"/>
      <c r="K1729" s="58"/>
      <c r="L1729" s="58"/>
      <c r="M1729" s="58"/>
      <c r="N1729" s="88"/>
      <c r="O1729" s="88"/>
    </row>
    <row r="1730">
      <c r="A1730" s="93"/>
      <c r="B1730" s="58"/>
      <c r="C1730" s="58"/>
      <c r="D1730" s="58"/>
      <c r="E1730" s="58"/>
      <c r="F1730" s="58"/>
      <c r="G1730" s="58"/>
      <c r="H1730" s="88"/>
      <c r="I1730" s="88"/>
      <c r="J1730" s="58"/>
      <c r="K1730" s="58"/>
      <c r="L1730" s="58"/>
      <c r="M1730" s="58"/>
      <c r="N1730" s="88"/>
      <c r="O1730" s="88"/>
    </row>
    <row r="1731">
      <c r="A1731" s="93"/>
      <c r="B1731" s="58"/>
      <c r="C1731" s="58"/>
      <c r="D1731" s="58"/>
      <c r="E1731" s="58"/>
      <c r="F1731" s="58"/>
      <c r="G1731" s="58"/>
      <c r="H1731" s="88"/>
      <c r="I1731" s="88"/>
      <c r="J1731" s="58"/>
      <c r="K1731" s="58"/>
      <c r="L1731" s="58"/>
      <c r="M1731" s="58"/>
      <c r="N1731" s="88"/>
      <c r="O1731" s="88"/>
    </row>
    <row r="1732">
      <c r="A1732" s="93"/>
      <c r="B1732" s="58"/>
      <c r="C1732" s="58"/>
      <c r="D1732" s="58"/>
      <c r="E1732" s="58"/>
      <c r="F1732" s="58"/>
      <c r="G1732" s="58"/>
      <c r="H1732" s="88"/>
      <c r="I1732" s="88"/>
      <c r="J1732" s="58"/>
      <c r="K1732" s="58"/>
      <c r="L1732" s="58"/>
      <c r="M1732" s="58"/>
      <c r="N1732" s="88"/>
      <c r="O1732" s="88"/>
    </row>
    <row r="1733">
      <c r="A1733" s="93"/>
      <c r="B1733" s="58"/>
      <c r="C1733" s="58"/>
      <c r="D1733" s="58"/>
      <c r="E1733" s="58"/>
      <c r="F1733" s="58"/>
      <c r="G1733" s="58"/>
      <c r="H1733" s="88"/>
      <c r="I1733" s="88"/>
      <c r="J1733" s="58"/>
      <c r="K1733" s="58"/>
      <c r="L1733" s="58"/>
      <c r="M1733" s="58"/>
      <c r="N1733" s="88"/>
      <c r="O1733" s="88"/>
    </row>
    <row r="1734">
      <c r="A1734" s="93"/>
      <c r="B1734" s="58"/>
      <c r="C1734" s="58"/>
      <c r="D1734" s="58"/>
      <c r="E1734" s="58"/>
      <c r="F1734" s="58"/>
      <c r="G1734" s="58"/>
      <c r="H1734" s="88"/>
      <c r="I1734" s="88"/>
      <c r="J1734" s="58"/>
      <c r="K1734" s="58"/>
      <c r="L1734" s="58"/>
      <c r="M1734" s="58"/>
      <c r="N1734" s="88"/>
      <c r="O1734" s="88"/>
    </row>
    <row r="1735">
      <c r="A1735" s="93"/>
      <c r="B1735" s="58"/>
      <c r="C1735" s="58"/>
      <c r="D1735" s="58"/>
      <c r="E1735" s="58"/>
      <c r="F1735" s="58"/>
      <c r="G1735" s="58"/>
      <c r="H1735" s="88"/>
      <c r="I1735" s="88"/>
      <c r="J1735" s="58"/>
      <c r="K1735" s="58"/>
      <c r="L1735" s="58"/>
      <c r="M1735" s="58"/>
      <c r="N1735" s="88"/>
      <c r="O1735" s="88"/>
    </row>
    <row r="1736">
      <c r="A1736" s="93"/>
      <c r="B1736" s="58"/>
      <c r="C1736" s="58"/>
      <c r="D1736" s="58"/>
      <c r="E1736" s="58"/>
      <c r="F1736" s="58"/>
      <c r="G1736" s="58"/>
      <c r="H1736" s="88"/>
      <c r="I1736" s="88"/>
      <c r="J1736" s="58"/>
      <c r="K1736" s="58"/>
      <c r="L1736" s="58"/>
      <c r="M1736" s="58"/>
      <c r="N1736" s="88"/>
      <c r="O1736" s="88"/>
    </row>
    <row r="1737">
      <c r="A1737" s="93"/>
      <c r="B1737" s="58"/>
      <c r="C1737" s="58"/>
      <c r="D1737" s="58"/>
      <c r="E1737" s="58"/>
      <c r="F1737" s="58"/>
      <c r="G1737" s="58"/>
      <c r="H1737" s="88"/>
      <c r="I1737" s="88"/>
      <c r="J1737" s="58"/>
      <c r="K1737" s="58"/>
      <c r="L1737" s="58"/>
      <c r="M1737" s="58"/>
      <c r="N1737" s="88"/>
      <c r="O1737" s="88"/>
    </row>
    <row r="1738">
      <c r="A1738" s="93"/>
      <c r="B1738" s="58"/>
      <c r="C1738" s="58"/>
      <c r="D1738" s="58"/>
      <c r="E1738" s="58"/>
      <c r="F1738" s="58"/>
      <c r="G1738" s="58"/>
      <c r="H1738" s="88"/>
      <c r="I1738" s="88"/>
      <c r="J1738" s="58"/>
      <c r="K1738" s="58"/>
      <c r="L1738" s="58"/>
      <c r="M1738" s="58"/>
      <c r="N1738" s="88"/>
      <c r="O1738" s="88"/>
    </row>
    <row r="1739">
      <c r="A1739" s="93"/>
      <c r="B1739" s="58"/>
      <c r="C1739" s="58"/>
      <c r="D1739" s="58"/>
      <c r="E1739" s="58"/>
      <c r="F1739" s="58"/>
      <c r="G1739" s="58"/>
      <c r="H1739" s="88"/>
      <c r="I1739" s="88"/>
      <c r="J1739" s="58"/>
      <c r="K1739" s="58"/>
      <c r="L1739" s="58"/>
      <c r="M1739" s="58"/>
      <c r="N1739" s="88"/>
      <c r="O1739" s="88"/>
    </row>
    <row r="1740">
      <c r="A1740" s="93"/>
      <c r="B1740" s="58"/>
      <c r="C1740" s="58"/>
      <c r="D1740" s="58"/>
      <c r="E1740" s="58"/>
      <c r="F1740" s="58"/>
      <c r="G1740" s="58"/>
      <c r="H1740" s="88"/>
      <c r="I1740" s="88"/>
      <c r="J1740" s="58"/>
      <c r="K1740" s="58"/>
      <c r="L1740" s="58"/>
      <c r="M1740" s="58"/>
      <c r="N1740" s="88"/>
      <c r="O1740" s="88"/>
    </row>
    <row r="1741">
      <c r="A1741" s="93"/>
      <c r="B1741" s="58"/>
      <c r="C1741" s="58"/>
      <c r="D1741" s="58"/>
      <c r="E1741" s="58"/>
      <c r="F1741" s="58"/>
      <c r="G1741" s="58"/>
      <c r="H1741" s="88"/>
      <c r="I1741" s="88"/>
      <c r="J1741" s="58"/>
      <c r="K1741" s="58"/>
      <c r="L1741" s="58"/>
      <c r="M1741" s="58"/>
      <c r="N1741" s="88"/>
      <c r="O1741" s="88"/>
    </row>
    <row r="1742">
      <c r="A1742" s="93"/>
      <c r="B1742" s="58"/>
      <c r="C1742" s="58"/>
      <c r="D1742" s="58"/>
      <c r="E1742" s="58"/>
      <c r="F1742" s="58"/>
      <c r="G1742" s="58"/>
      <c r="H1742" s="88"/>
      <c r="I1742" s="88"/>
      <c r="J1742" s="58"/>
      <c r="K1742" s="58"/>
      <c r="L1742" s="58"/>
      <c r="M1742" s="58"/>
      <c r="N1742" s="88"/>
      <c r="O1742" s="88"/>
    </row>
    <row r="1743">
      <c r="A1743" s="93"/>
      <c r="B1743" s="58"/>
      <c r="C1743" s="58"/>
      <c r="D1743" s="58"/>
      <c r="E1743" s="58"/>
      <c r="F1743" s="58"/>
      <c r="G1743" s="58"/>
      <c r="H1743" s="88"/>
      <c r="I1743" s="88"/>
      <c r="J1743" s="58"/>
      <c r="K1743" s="58"/>
      <c r="L1743" s="58"/>
      <c r="M1743" s="58"/>
      <c r="N1743" s="88"/>
      <c r="O1743" s="88"/>
    </row>
    <row r="1744">
      <c r="A1744" s="93"/>
      <c r="B1744" s="58"/>
      <c r="C1744" s="58"/>
      <c r="D1744" s="58"/>
      <c r="E1744" s="58"/>
      <c r="F1744" s="58"/>
      <c r="G1744" s="58"/>
      <c r="H1744" s="88"/>
      <c r="I1744" s="88"/>
      <c r="J1744" s="58"/>
      <c r="K1744" s="58"/>
      <c r="L1744" s="58"/>
      <c r="M1744" s="58"/>
      <c r="N1744" s="88"/>
      <c r="O1744" s="88"/>
    </row>
    <row r="1745">
      <c r="A1745" s="93"/>
      <c r="B1745" s="58"/>
      <c r="C1745" s="58"/>
      <c r="D1745" s="58"/>
      <c r="E1745" s="58"/>
      <c r="F1745" s="58"/>
      <c r="G1745" s="58"/>
      <c r="H1745" s="88"/>
      <c r="I1745" s="88"/>
      <c r="J1745" s="58"/>
      <c r="K1745" s="58"/>
      <c r="L1745" s="58"/>
      <c r="M1745" s="58"/>
      <c r="N1745" s="88"/>
      <c r="O1745" s="88"/>
    </row>
    <row r="1746">
      <c r="A1746" s="93"/>
      <c r="B1746" s="58"/>
      <c r="C1746" s="58"/>
      <c r="D1746" s="58"/>
      <c r="E1746" s="58"/>
      <c r="F1746" s="58"/>
      <c r="G1746" s="58"/>
      <c r="H1746" s="88"/>
      <c r="I1746" s="88"/>
      <c r="J1746" s="58"/>
      <c r="K1746" s="58"/>
      <c r="L1746" s="58"/>
      <c r="M1746" s="58"/>
      <c r="N1746" s="88"/>
      <c r="O1746" s="88"/>
    </row>
    <row r="1747">
      <c r="A1747" s="93"/>
      <c r="B1747" s="58"/>
      <c r="C1747" s="58"/>
      <c r="D1747" s="58"/>
      <c r="E1747" s="58"/>
      <c r="F1747" s="58"/>
      <c r="G1747" s="58"/>
      <c r="H1747" s="88"/>
      <c r="I1747" s="88"/>
      <c r="J1747" s="58"/>
      <c r="K1747" s="58"/>
      <c r="L1747" s="58"/>
      <c r="M1747" s="58"/>
      <c r="N1747" s="88"/>
      <c r="O1747" s="88"/>
    </row>
    <row r="1748">
      <c r="A1748" s="93"/>
      <c r="B1748" s="58"/>
      <c r="C1748" s="58"/>
      <c r="D1748" s="58"/>
      <c r="E1748" s="58"/>
      <c r="F1748" s="58"/>
      <c r="G1748" s="58"/>
      <c r="H1748" s="88"/>
      <c r="I1748" s="88"/>
      <c r="J1748" s="58"/>
      <c r="K1748" s="58"/>
      <c r="L1748" s="58"/>
      <c r="M1748" s="58"/>
      <c r="N1748" s="88"/>
      <c r="O1748" s="88"/>
    </row>
    <row r="1749">
      <c r="A1749" s="93"/>
      <c r="B1749" s="58"/>
      <c r="C1749" s="58"/>
      <c r="D1749" s="58"/>
      <c r="E1749" s="58"/>
      <c r="F1749" s="58"/>
      <c r="G1749" s="58"/>
      <c r="H1749" s="88"/>
      <c r="I1749" s="88"/>
      <c r="J1749" s="58"/>
      <c r="K1749" s="58"/>
      <c r="L1749" s="58"/>
      <c r="M1749" s="58"/>
      <c r="N1749" s="88"/>
      <c r="O1749" s="88"/>
    </row>
    <row r="1750">
      <c r="A1750" s="93"/>
      <c r="B1750" s="58"/>
      <c r="C1750" s="58"/>
      <c r="D1750" s="58"/>
      <c r="E1750" s="58"/>
      <c r="F1750" s="58"/>
      <c r="G1750" s="58"/>
      <c r="H1750" s="88"/>
      <c r="I1750" s="88"/>
      <c r="J1750" s="58"/>
      <c r="K1750" s="58"/>
      <c r="L1750" s="58"/>
      <c r="M1750" s="58"/>
      <c r="N1750" s="88"/>
      <c r="O1750" s="88"/>
    </row>
    <row r="1751">
      <c r="A1751" s="93"/>
      <c r="B1751" s="58"/>
      <c r="C1751" s="58"/>
      <c r="D1751" s="58"/>
      <c r="E1751" s="58"/>
      <c r="F1751" s="58"/>
      <c r="G1751" s="58"/>
      <c r="H1751" s="88"/>
      <c r="I1751" s="88"/>
      <c r="J1751" s="58"/>
      <c r="K1751" s="58"/>
      <c r="L1751" s="58"/>
      <c r="M1751" s="58"/>
      <c r="N1751" s="88"/>
      <c r="O1751" s="88"/>
    </row>
    <row r="1752">
      <c r="A1752" s="93"/>
      <c r="B1752" s="58"/>
      <c r="C1752" s="58"/>
      <c r="D1752" s="58"/>
      <c r="E1752" s="58"/>
      <c r="F1752" s="58"/>
      <c r="G1752" s="58"/>
      <c r="H1752" s="88"/>
      <c r="I1752" s="88"/>
      <c r="J1752" s="58"/>
      <c r="K1752" s="58"/>
      <c r="L1752" s="58"/>
      <c r="M1752" s="58"/>
      <c r="N1752" s="88"/>
      <c r="O1752" s="88"/>
    </row>
    <row r="1753">
      <c r="A1753" s="93"/>
      <c r="B1753" s="58"/>
      <c r="C1753" s="58"/>
      <c r="D1753" s="58"/>
      <c r="E1753" s="58"/>
      <c r="F1753" s="58"/>
      <c r="G1753" s="58"/>
      <c r="H1753" s="88"/>
      <c r="I1753" s="88"/>
      <c r="J1753" s="58"/>
      <c r="K1753" s="58"/>
      <c r="L1753" s="58"/>
      <c r="M1753" s="58"/>
      <c r="N1753" s="88"/>
      <c r="O1753" s="88"/>
    </row>
    <row r="1754">
      <c r="A1754" s="93"/>
      <c r="B1754" s="58"/>
      <c r="C1754" s="58"/>
      <c r="D1754" s="58"/>
      <c r="E1754" s="58"/>
      <c r="F1754" s="58"/>
      <c r="G1754" s="58"/>
      <c r="H1754" s="88"/>
      <c r="I1754" s="88"/>
      <c r="J1754" s="58"/>
      <c r="K1754" s="58"/>
      <c r="L1754" s="58"/>
      <c r="M1754" s="58"/>
      <c r="N1754" s="88"/>
      <c r="O1754" s="88"/>
    </row>
    <row r="1755">
      <c r="A1755" s="93"/>
      <c r="B1755" s="58"/>
      <c r="C1755" s="58"/>
      <c r="D1755" s="58"/>
      <c r="E1755" s="58"/>
      <c r="F1755" s="58"/>
      <c r="G1755" s="58"/>
      <c r="H1755" s="88"/>
      <c r="I1755" s="88"/>
      <c r="J1755" s="58"/>
      <c r="K1755" s="58"/>
      <c r="L1755" s="58"/>
      <c r="M1755" s="58"/>
      <c r="N1755" s="88"/>
      <c r="O1755" s="88"/>
    </row>
    <row r="1756">
      <c r="A1756" s="93"/>
      <c r="B1756" s="58"/>
      <c r="C1756" s="58"/>
      <c r="D1756" s="58"/>
      <c r="E1756" s="58"/>
      <c r="F1756" s="58"/>
      <c r="G1756" s="58"/>
      <c r="H1756" s="88"/>
      <c r="I1756" s="88"/>
      <c r="J1756" s="58"/>
      <c r="K1756" s="58"/>
      <c r="L1756" s="58"/>
      <c r="M1756" s="58"/>
      <c r="N1756" s="88"/>
      <c r="O1756" s="88"/>
    </row>
    <row r="1757">
      <c r="A1757" s="93"/>
      <c r="B1757" s="58"/>
      <c r="C1757" s="58"/>
      <c r="D1757" s="58"/>
      <c r="E1757" s="58"/>
      <c r="F1757" s="58"/>
      <c r="G1757" s="58"/>
      <c r="H1757" s="88"/>
      <c r="I1757" s="88"/>
      <c r="J1757" s="58"/>
      <c r="K1757" s="58"/>
      <c r="L1757" s="58"/>
      <c r="M1757" s="58"/>
      <c r="N1757" s="88"/>
      <c r="O1757" s="88"/>
    </row>
    <row r="1758">
      <c r="A1758" s="93"/>
      <c r="B1758" s="58"/>
      <c r="C1758" s="58"/>
      <c r="D1758" s="58"/>
      <c r="E1758" s="58"/>
      <c r="F1758" s="58"/>
      <c r="G1758" s="58"/>
      <c r="H1758" s="88"/>
      <c r="I1758" s="88"/>
      <c r="J1758" s="58"/>
      <c r="K1758" s="58"/>
      <c r="L1758" s="58"/>
      <c r="M1758" s="58"/>
      <c r="N1758" s="88"/>
      <c r="O1758" s="88"/>
    </row>
    <row r="1759">
      <c r="A1759" s="93"/>
      <c r="B1759" s="58"/>
      <c r="C1759" s="58"/>
      <c r="D1759" s="58"/>
      <c r="E1759" s="58"/>
      <c r="F1759" s="58"/>
      <c r="G1759" s="58"/>
      <c r="H1759" s="88"/>
      <c r="I1759" s="88"/>
      <c r="J1759" s="58"/>
      <c r="K1759" s="58"/>
      <c r="L1759" s="58"/>
      <c r="M1759" s="58"/>
      <c r="N1759" s="88"/>
      <c r="O1759" s="88"/>
    </row>
    <row r="1760">
      <c r="A1760" s="93"/>
      <c r="B1760" s="58"/>
      <c r="C1760" s="58"/>
      <c r="D1760" s="58"/>
      <c r="E1760" s="58"/>
      <c r="F1760" s="58"/>
      <c r="G1760" s="58"/>
      <c r="H1760" s="88"/>
      <c r="I1760" s="88"/>
      <c r="J1760" s="58"/>
      <c r="K1760" s="58"/>
      <c r="L1760" s="58"/>
      <c r="M1760" s="58"/>
      <c r="N1760" s="88"/>
      <c r="O1760" s="88"/>
    </row>
    <row r="1761">
      <c r="A1761" s="93"/>
      <c r="B1761" s="58"/>
      <c r="C1761" s="58"/>
      <c r="D1761" s="58"/>
      <c r="E1761" s="58"/>
      <c r="F1761" s="58"/>
      <c r="G1761" s="58"/>
      <c r="H1761" s="88"/>
      <c r="I1761" s="88"/>
      <c r="J1761" s="58"/>
      <c r="K1761" s="58"/>
      <c r="L1761" s="58"/>
      <c r="M1761" s="58"/>
      <c r="N1761" s="88"/>
      <c r="O1761" s="88"/>
    </row>
    <row r="1762">
      <c r="A1762" s="93"/>
      <c r="B1762" s="58"/>
      <c r="C1762" s="58"/>
      <c r="D1762" s="58"/>
      <c r="E1762" s="58"/>
      <c r="F1762" s="58"/>
      <c r="G1762" s="58"/>
      <c r="H1762" s="88"/>
      <c r="I1762" s="88"/>
      <c r="J1762" s="58"/>
      <c r="K1762" s="58"/>
      <c r="L1762" s="58"/>
      <c r="M1762" s="58"/>
      <c r="N1762" s="88"/>
      <c r="O1762" s="88"/>
    </row>
    <row r="1763">
      <c r="A1763" s="93"/>
      <c r="B1763" s="58"/>
      <c r="C1763" s="58"/>
      <c r="D1763" s="58"/>
      <c r="E1763" s="58"/>
      <c r="F1763" s="58"/>
      <c r="G1763" s="58"/>
      <c r="H1763" s="88"/>
      <c r="I1763" s="88"/>
      <c r="J1763" s="58"/>
      <c r="K1763" s="58"/>
      <c r="L1763" s="58"/>
      <c r="M1763" s="58"/>
      <c r="N1763" s="88"/>
      <c r="O1763" s="88"/>
    </row>
    <row r="1764">
      <c r="A1764" s="93"/>
      <c r="B1764" s="58"/>
      <c r="C1764" s="58"/>
      <c r="D1764" s="58"/>
      <c r="E1764" s="58"/>
      <c r="F1764" s="58"/>
      <c r="G1764" s="58"/>
      <c r="H1764" s="88"/>
      <c r="I1764" s="88"/>
      <c r="J1764" s="58"/>
      <c r="K1764" s="58"/>
      <c r="L1764" s="58"/>
      <c r="M1764" s="58"/>
      <c r="N1764" s="88"/>
      <c r="O1764" s="88"/>
    </row>
    <row r="1765">
      <c r="A1765" s="93"/>
      <c r="B1765" s="58"/>
      <c r="C1765" s="58"/>
      <c r="D1765" s="58"/>
      <c r="E1765" s="58"/>
      <c r="F1765" s="58"/>
      <c r="G1765" s="58"/>
      <c r="H1765" s="88"/>
      <c r="I1765" s="88"/>
      <c r="J1765" s="58"/>
      <c r="K1765" s="58"/>
      <c r="L1765" s="58"/>
      <c r="M1765" s="58"/>
      <c r="N1765" s="88"/>
      <c r="O1765" s="88"/>
    </row>
    <row r="1766">
      <c r="A1766" s="93"/>
      <c r="B1766" s="58"/>
      <c r="C1766" s="58"/>
      <c r="D1766" s="58"/>
      <c r="E1766" s="58"/>
      <c r="F1766" s="58"/>
      <c r="G1766" s="58"/>
      <c r="H1766" s="88"/>
      <c r="I1766" s="88"/>
      <c r="J1766" s="58"/>
      <c r="K1766" s="58"/>
      <c r="L1766" s="58"/>
      <c r="M1766" s="58"/>
      <c r="N1766" s="88"/>
      <c r="O1766" s="88"/>
    </row>
    <row r="1767">
      <c r="A1767" s="93"/>
      <c r="B1767" s="58"/>
      <c r="C1767" s="58"/>
      <c r="D1767" s="58"/>
      <c r="E1767" s="58"/>
      <c r="F1767" s="58"/>
      <c r="G1767" s="58"/>
      <c r="H1767" s="88"/>
      <c r="I1767" s="88"/>
      <c r="J1767" s="58"/>
      <c r="K1767" s="58"/>
      <c r="L1767" s="58"/>
      <c r="M1767" s="58"/>
      <c r="N1767" s="88"/>
      <c r="O1767" s="88"/>
    </row>
    <row r="1768">
      <c r="A1768" s="93"/>
      <c r="B1768" s="58"/>
      <c r="C1768" s="58"/>
      <c r="D1768" s="58"/>
      <c r="E1768" s="58"/>
      <c r="F1768" s="58"/>
      <c r="G1768" s="58"/>
      <c r="H1768" s="88"/>
      <c r="I1768" s="88"/>
      <c r="J1768" s="58"/>
      <c r="K1768" s="58"/>
      <c r="L1768" s="58"/>
      <c r="M1768" s="58"/>
      <c r="N1768" s="88"/>
      <c r="O1768" s="88"/>
    </row>
    <row r="1769">
      <c r="A1769" s="93"/>
      <c r="B1769" s="58"/>
      <c r="C1769" s="58"/>
      <c r="D1769" s="58"/>
      <c r="E1769" s="58"/>
      <c r="F1769" s="58"/>
      <c r="G1769" s="58"/>
      <c r="H1769" s="88"/>
      <c r="I1769" s="88"/>
      <c r="J1769" s="58"/>
      <c r="K1769" s="58"/>
      <c r="L1769" s="58"/>
      <c r="M1769" s="58"/>
      <c r="N1769" s="88"/>
      <c r="O1769" s="88"/>
    </row>
    <row r="1770">
      <c r="A1770" s="93"/>
      <c r="B1770" s="58"/>
      <c r="C1770" s="58"/>
      <c r="D1770" s="58"/>
      <c r="E1770" s="58"/>
      <c r="F1770" s="58"/>
      <c r="G1770" s="58"/>
      <c r="H1770" s="88"/>
      <c r="I1770" s="88"/>
      <c r="J1770" s="58"/>
      <c r="K1770" s="58"/>
      <c r="L1770" s="58"/>
      <c r="M1770" s="58"/>
      <c r="N1770" s="88"/>
      <c r="O1770" s="88"/>
    </row>
    <row r="1771">
      <c r="A1771" s="93"/>
      <c r="B1771" s="58"/>
      <c r="C1771" s="58"/>
      <c r="D1771" s="58"/>
      <c r="E1771" s="58"/>
      <c r="F1771" s="58"/>
      <c r="G1771" s="58"/>
      <c r="H1771" s="88"/>
      <c r="I1771" s="88"/>
      <c r="J1771" s="58"/>
      <c r="K1771" s="58"/>
      <c r="L1771" s="58"/>
      <c r="M1771" s="58"/>
      <c r="N1771" s="88"/>
      <c r="O1771" s="88"/>
    </row>
    <row r="1772">
      <c r="A1772" s="93"/>
      <c r="B1772" s="58"/>
      <c r="C1772" s="58"/>
      <c r="D1772" s="58"/>
      <c r="E1772" s="58"/>
      <c r="F1772" s="58"/>
      <c r="G1772" s="58"/>
      <c r="H1772" s="88"/>
      <c r="I1772" s="88"/>
      <c r="J1772" s="58"/>
      <c r="K1772" s="58"/>
      <c r="L1772" s="58"/>
      <c r="M1772" s="58"/>
      <c r="N1772" s="88"/>
      <c r="O1772" s="88"/>
    </row>
    <row r="1773">
      <c r="A1773" s="93"/>
      <c r="B1773" s="58"/>
      <c r="C1773" s="58"/>
      <c r="D1773" s="58"/>
      <c r="E1773" s="58"/>
      <c r="F1773" s="58"/>
      <c r="G1773" s="58"/>
      <c r="H1773" s="88"/>
      <c r="I1773" s="88"/>
      <c r="J1773" s="58"/>
      <c r="K1773" s="58"/>
      <c r="L1773" s="58"/>
      <c r="M1773" s="58"/>
      <c r="N1773" s="88"/>
      <c r="O1773" s="88"/>
    </row>
    <row r="1774">
      <c r="A1774" s="93"/>
      <c r="B1774" s="58"/>
      <c r="C1774" s="58"/>
      <c r="D1774" s="58"/>
      <c r="E1774" s="58"/>
      <c r="F1774" s="58"/>
      <c r="G1774" s="58"/>
      <c r="H1774" s="88"/>
      <c r="I1774" s="88"/>
      <c r="J1774" s="58"/>
      <c r="K1774" s="58"/>
      <c r="L1774" s="58"/>
      <c r="M1774" s="58"/>
      <c r="N1774" s="88"/>
      <c r="O1774" s="88"/>
    </row>
    <row r="1775">
      <c r="A1775" s="93"/>
      <c r="B1775" s="58"/>
      <c r="C1775" s="58"/>
      <c r="D1775" s="58"/>
      <c r="E1775" s="58"/>
      <c r="F1775" s="58"/>
      <c r="G1775" s="58"/>
      <c r="H1775" s="88"/>
      <c r="I1775" s="88"/>
      <c r="J1775" s="58"/>
      <c r="K1775" s="58"/>
      <c r="L1775" s="58"/>
      <c r="M1775" s="58"/>
      <c r="N1775" s="88"/>
      <c r="O1775" s="88"/>
    </row>
    <row r="1776">
      <c r="A1776" s="93"/>
      <c r="B1776" s="58"/>
      <c r="C1776" s="58"/>
      <c r="D1776" s="58"/>
      <c r="E1776" s="58"/>
      <c r="F1776" s="58"/>
      <c r="G1776" s="58"/>
      <c r="H1776" s="88"/>
      <c r="I1776" s="88"/>
      <c r="J1776" s="58"/>
      <c r="K1776" s="58"/>
      <c r="L1776" s="58"/>
      <c r="M1776" s="58"/>
      <c r="N1776" s="88"/>
      <c r="O1776" s="88"/>
    </row>
    <row r="1777">
      <c r="A1777" s="93"/>
      <c r="B1777" s="58"/>
      <c r="C1777" s="58"/>
      <c r="D1777" s="58"/>
      <c r="E1777" s="58"/>
      <c r="F1777" s="58"/>
      <c r="G1777" s="58"/>
      <c r="H1777" s="88"/>
      <c r="I1777" s="88"/>
      <c r="J1777" s="58"/>
      <c r="K1777" s="58"/>
      <c r="L1777" s="58"/>
      <c r="M1777" s="58"/>
      <c r="N1777" s="88"/>
      <c r="O1777" s="88"/>
    </row>
    <row r="1778">
      <c r="A1778" s="93"/>
      <c r="B1778" s="58"/>
      <c r="C1778" s="58"/>
      <c r="D1778" s="58"/>
      <c r="E1778" s="58"/>
      <c r="F1778" s="58"/>
      <c r="G1778" s="58"/>
      <c r="H1778" s="88"/>
      <c r="I1778" s="88"/>
      <c r="J1778" s="58"/>
      <c r="K1778" s="58"/>
      <c r="L1778" s="58"/>
      <c r="M1778" s="58"/>
      <c r="N1778" s="88"/>
      <c r="O1778" s="88"/>
    </row>
    <row r="1779">
      <c r="A1779" s="93"/>
      <c r="B1779" s="58"/>
      <c r="C1779" s="58"/>
      <c r="D1779" s="58"/>
      <c r="E1779" s="58"/>
      <c r="F1779" s="58"/>
      <c r="G1779" s="58"/>
      <c r="H1779" s="88"/>
      <c r="I1779" s="88"/>
      <c r="J1779" s="58"/>
      <c r="K1779" s="58"/>
      <c r="L1779" s="58"/>
      <c r="M1779" s="58"/>
      <c r="N1779" s="88"/>
      <c r="O1779" s="88"/>
    </row>
    <row r="1780">
      <c r="A1780" s="93"/>
      <c r="B1780" s="58"/>
      <c r="C1780" s="58"/>
      <c r="D1780" s="58"/>
      <c r="E1780" s="58"/>
      <c r="F1780" s="58"/>
      <c r="G1780" s="58"/>
      <c r="H1780" s="88"/>
      <c r="I1780" s="88"/>
      <c r="J1780" s="58"/>
      <c r="K1780" s="58"/>
      <c r="L1780" s="58"/>
      <c r="M1780" s="58"/>
      <c r="N1780" s="88"/>
      <c r="O1780" s="88"/>
    </row>
    <row r="1781">
      <c r="A1781" s="93"/>
      <c r="B1781" s="58"/>
      <c r="C1781" s="58"/>
      <c r="D1781" s="58"/>
      <c r="E1781" s="58"/>
      <c r="F1781" s="58"/>
      <c r="G1781" s="58"/>
      <c r="H1781" s="88"/>
      <c r="I1781" s="88"/>
      <c r="J1781" s="58"/>
      <c r="K1781" s="58"/>
      <c r="L1781" s="58"/>
      <c r="M1781" s="58"/>
      <c r="N1781" s="88"/>
      <c r="O1781" s="88"/>
    </row>
    <row r="1782">
      <c r="A1782" s="93"/>
      <c r="B1782" s="58"/>
      <c r="C1782" s="58"/>
      <c r="D1782" s="58"/>
      <c r="E1782" s="58"/>
      <c r="F1782" s="58"/>
      <c r="G1782" s="58"/>
      <c r="H1782" s="88"/>
      <c r="I1782" s="88"/>
      <c r="J1782" s="58"/>
      <c r="K1782" s="58"/>
      <c r="L1782" s="58"/>
      <c r="M1782" s="58"/>
      <c r="N1782" s="88"/>
      <c r="O1782" s="88"/>
    </row>
    <row r="1783">
      <c r="A1783" s="93"/>
      <c r="B1783" s="58"/>
      <c r="C1783" s="58"/>
      <c r="D1783" s="58"/>
      <c r="E1783" s="58"/>
      <c r="F1783" s="58"/>
      <c r="G1783" s="58"/>
      <c r="H1783" s="88"/>
      <c r="I1783" s="88"/>
      <c r="J1783" s="58"/>
      <c r="K1783" s="58"/>
      <c r="L1783" s="58"/>
      <c r="M1783" s="58"/>
      <c r="N1783" s="88"/>
      <c r="O1783" s="88"/>
    </row>
    <row r="1784">
      <c r="A1784" s="93"/>
      <c r="B1784" s="58"/>
      <c r="C1784" s="58"/>
      <c r="D1784" s="58"/>
      <c r="E1784" s="58"/>
      <c r="F1784" s="58"/>
      <c r="G1784" s="58"/>
      <c r="H1784" s="88"/>
      <c r="I1784" s="88"/>
      <c r="J1784" s="58"/>
      <c r="K1784" s="58"/>
      <c r="L1784" s="58"/>
      <c r="M1784" s="58"/>
      <c r="N1784" s="88"/>
      <c r="O1784" s="88"/>
    </row>
    <row r="1785">
      <c r="A1785" s="93"/>
      <c r="B1785" s="58"/>
      <c r="C1785" s="58"/>
      <c r="D1785" s="58"/>
      <c r="E1785" s="58"/>
      <c r="F1785" s="58"/>
      <c r="G1785" s="58"/>
      <c r="H1785" s="88"/>
      <c r="I1785" s="88"/>
      <c r="J1785" s="58"/>
      <c r="K1785" s="58"/>
      <c r="L1785" s="58"/>
      <c r="M1785" s="58"/>
      <c r="N1785" s="88"/>
      <c r="O1785" s="88"/>
    </row>
    <row r="1786">
      <c r="A1786" s="93"/>
      <c r="B1786" s="58"/>
      <c r="C1786" s="58"/>
      <c r="D1786" s="58"/>
      <c r="E1786" s="58"/>
      <c r="F1786" s="58"/>
      <c r="G1786" s="58"/>
      <c r="H1786" s="88"/>
      <c r="I1786" s="88"/>
      <c r="J1786" s="58"/>
      <c r="K1786" s="58"/>
      <c r="L1786" s="58"/>
      <c r="M1786" s="58"/>
      <c r="N1786" s="88"/>
      <c r="O1786" s="88"/>
    </row>
    <row r="1787">
      <c r="A1787" s="93"/>
      <c r="B1787" s="58"/>
      <c r="C1787" s="58"/>
      <c r="D1787" s="58"/>
      <c r="E1787" s="58"/>
      <c r="F1787" s="58"/>
      <c r="G1787" s="58"/>
      <c r="H1787" s="88"/>
      <c r="I1787" s="88"/>
      <c r="J1787" s="58"/>
      <c r="K1787" s="58"/>
      <c r="L1787" s="58"/>
      <c r="M1787" s="58"/>
      <c r="N1787" s="88"/>
      <c r="O1787" s="88"/>
    </row>
    <row r="1788">
      <c r="A1788" s="93"/>
      <c r="B1788" s="58"/>
      <c r="C1788" s="58"/>
      <c r="D1788" s="58"/>
      <c r="E1788" s="58"/>
      <c r="F1788" s="58"/>
      <c r="G1788" s="58"/>
      <c r="H1788" s="88"/>
      <c r="I1788" s="88"/>
      <c r="J1788" s="58"/>
      <c r="K1788" s="58"/>
      <c r="L1788" s="58"/>
      <c r="M1788" s="58"/>
      <c r="N1788" s="88"/>
      <c r="O1788" s="88"/>
    </row>
    <row r="1789">
      <c r="A1789" s="93"/>
      <c r="B1789" s="58"/>
      <c r="C1789" s="58"/>
      <c r="D1789" s="58"/>
      <c r="E1789" s="58"/>
      <c r="F1789" s="58"/>
      <c r="G1789" s="58"/>
      <c r="H1789" s="88"/>
      <c r="I1789" s="88"/>
      <c r="J1789" s="58"/>
      <c r="K1789" s="58"/>
      <c r="L1789" s="58"/>
      <c r="M1789" s="58"/>
      <c r="N1789" s="88"/>
      <c r="O1789" s="88"/>
    </row>
    <row r="1790">
      <c r="A1790" s="93"/>
      <c r="B1790" s="58"/>
      <c r="C1790" s="58"/>
      <c r="D1790" s="58"/>
      <c r="E1790" s="58"/>
      <c r="F1790" s="58"/>
      <c r="G1790" s="58"/>
      <c r="H1790" s="88"/>
      <c r="I1790" s="88"/>
      <c r="J1790" s="58"/>
      <c r="K1790" s="58"/>
      <c r="L1790" s="58"/>
      <c r="M1790" s="58"/>
      <c r="N1790" s="88"/>
      <c r="O1790" s="88"/>
    </row>
    <row r="1791">
      <c r="A1791" s="93"/>
      <c r="B1791" s="58"/>
      <c r="C1791" s="58"/>
      <c r="D1791" s="58"/>
      <c r="E1791" s="58"/>
      <c r="F1791" s="58"/>
      <c r="G1791" s="58"/>
      <c r="H1791" s="88"/>
      <c r="I1791" s="88"/>
      <c r="J1791" s="58"/>
      <c r="K1791" s="58"/>
      <c r="L1791" s="58"/>
      <c r="M1791" s="58"/>
      <c r="N1791" s="88"/>
      <c r="O1791" s="88"/>
    </row>
    <row r="1792">
      <c r="A1792" s="93"/>
      <c r="B1792" s="58"/>
      <c r="C1792" s="58"/>
      <c r="D1792" s="58"/>
      <c r="E1792" s="58"/>
      <c r="F1792" s="58"/>
      <c r="G1792" s="58"/>
      <c r="H1792" s="88"/>
      <c r="I1792" s="88"/>
      <c r="J1792" s="58"/>
      <c r="K1792" s="58"/>
      <c r="L1792" s="58"/>
      <c r="M1792" s="58"/>
      <c r="N1792" s="88"/>
      <c r="O1792" s="88"/>
    </row>
    <row r="1793">
      <c r="A1793" s="93"/>
      <c r="B1793" s="58"/>
      <c r="C1793" s="58"/>
      <c r="D1793" s="58"/>
      <c r="E1793" s="58"/>
      <c r="F1793" s="58"/>
      <c r="G1793" s="58"/>
      <c r="H1793" s="88"/>
      <c r="I1793" s="88"/>
      <c r="J1793" s="58"/>
      <c r="K1793" s="58"/>
      <c r="L1793" s="58"/>
      <c r="M1793" s="58"/>
      <c r="N1793" s="88"/>
      <c r="O1793" s="88"/>
    </row>
    <row r="1794">
      <c r="A1794" s="93"/>
      <c r="B1794" s="58"/>
      <c r="C1794" s="58"/>
      <c r="D1794" s="58"/>
      <c r="E1794" s="58"/>
      <c r="F1794" s="58"/>
      <c r="G1794" s="58"/>
      <c r="H1794" s="88"/>
      <c r="I1794" s="88"/>
      <c r="J1794" s="58"/>
      <c r="K1794" s="58"/>
      <c r="L1794" s="58"/>
      <c r="M1794" s="58"/>
      <c r="N1794" s="88"/>
      <c r="O1794" s="88"/>
    </row>
    <row r="1795">
      <c r="A1795" s="93"/>
      <c r="B1795" s="58"/>
      <c r="C1795" s="58"/>
      <c r="D1795" s="58"/>
      <c r="E1795" s="58"/>
      <c r="F1795" s="58"/>
      <c r="G1795" s="58"/>
      <c r="H1795" s="88"/>
      <c r="I1795" s="88"/>
      <c r="J1795" s="58"/>
      <c r="K1795" s="58"/>
      <c r="L1795" s="58"/>
      <c r="M1795" s="58"/>
      <c r="N1795" s="88"/>
      <c r="O1795" s="88"/>
    </row>
    <row r="1796">
      <c r="A1796" s="93"/>
      <c r="B1796" s="58"/>
      <c r="C1796" s="58"/>
      <c r="D1796" s="58"/>
      <c r="E1796" s="58"/>
      <c r="F1796" s="58"/>
      <c r="G1796" s="58"/>
      <c r="H1796" s="88"/>
      <c r="I1796" s="88"/>
      <c r="J1796" s="58"/>
      <c r="K1796" s="58"/>
      <c r="L1796" s="58"/>
      <c r="M1796" s="58"/>
      <c r="N1796" s="88"/>
      <c r="O1796" s="88"/>
    </row>
    <row r="1797">
      <c r="A1797" s="93"/>
      <c r="B1797" s="58"/>
      <c r="C1797" s="58"/>
      <c r="D1797" s="58"/>
      <c r="E1797" s="58"/>
      <c r="F1797" s="58"/>
      <c r="G1797" s="58"/>
      <c r="H1797" s="88"/>
      <c r="I1797" s="88"/>
      <c r="J1797" s="58"/>
      <c r="K1797" s="58"/>
      <c r="L1797" s="58"/>
      <c r="M1797" s="58"/>
      <c r="N1797" s="88"/>
      <c r="O1797" s="88"/>
    </row>
    <row r="1798">
      <c r="A1798" s="93"/>
      <c r="B1798" s="58"/>
      <c r="C1798" s="58"/>
      <c r="D1798" s="58"/>
      <c r="E1798" s="58"/>
      <c r="F1798" s="58"/>
      <c r="G1798" s="58"/>
      <c r="H1798" s="88"/>
      <c r="I1798" s="88"/>
      <c r="J1798" s="58"/>
      <c r="K1798" s="58"/>
      <c r="L1798" s="58"/>
      <c r="M1798" s="58"/>
      <c r="N1798" s="88"/>
      <c r="O1798" s="88"/>
    </row>
    <row r="1799">
      <c r="A1799" s="93"/>
      <c r="B1799" s="58"/>
      <c r="C1799" s="58"/>
      <c r="D1799" s="58"/>
      <c r="E1799" s="58"/>
      <c r="F1799" s="58"/>
      <c r="G1799" s="58"/>
      <c r="H1799" s="88"/>
      <c r="I1799" s="88"/>
      <c r="J1799" s="58"/>
      <c r="K1799" s="58"/>
      <c r="L1799" s="58"/>
      <c r="M1799" s="58"/>
      <c r="N1799" s="88"/>
      <c r="O1799" s="88"/>
    </row>
    <row r="1800">
      <c r="A1800" s="93"/>
      <c r="B1800" s="58"/>
      <c r="C1800" s="58"/>
      <c r="D1800" s="58"/>
      <c r="E1800" s="58"/>
      <c r="F1800" s="58"/>
      <c r="G1800" s="58"/>
      <c r="H1800" s="88"/>
      <c r="I1800" s="88"/>
      <c r="J1800" s="58"/>
      <c r="K1800" s="58"/>
      <c r="L1800" s="58"/>
      <c r="M1800" s="58"/>
      <c r="N1800" s="88"/>
      <c r="O1800" s="88"/>
    </row>
    <row r="1801">
      <c r="A1801" s="93"/>
      <c r="B1801" s="58"/>
      <c r="C1801" s="58"/>
      <c r="D1801" s="58"/>
      <c r="E1801" s="58"/>
      <c r="F1801" s="58"/>
      <c r="G1801" s="58"/>
      <c r="H1801" s="88"/>
      <c r="I1801" s="88"/>
      <c r="J1801" s="58"/>
      <c r="K1801" s="58"/>
      <c r="L1801" s="58"/>
      <c r="M1801" s="58"/>
      <c r="N1801" s="88"/>
      <c r="O1801" s="88"/>
    </row>
    <row r="1802">
      <c r="A1802" s="93"/>
      <c r="B1802" s="58"/>
      <c r="C1802" s="58"/>
      <c r="D1802" s="58"/>
      <c r="E1802" s="58"/>
      <c r="F1802" s="58"/>
      <c r="G1802" s="58"/>
      <c r="H1802" s="88"/>
      <c r="I1802" s="88"/>
      <c r="J1802" s="58"/>
      <c r="K1802" s="58"/>
      <c r="L1802" s="58"/>
      <c r="M1802" s="58"/>
      <c r="N1802" s="88"/>
      <c r="O1802" s="88"/>
    </row>
    <row r="1803">
      <c r="A1803" s="93"/>
      <c r="B1803" s="58"/>
      <c r="C1803" s="58"/>
      <c r="D1803" s="58"/>
      <c r="E1803" s="58"/>
      <c r="F1803" s="58"/>
      <c r="G1803" s="58"/>
      <c r="H1803" s="88"/>
      <c r="I1803" s="88"/>
      <c r="J1803" s="58"/>
      <c r="K1803" s="58"/>
      <c r="L1803" s="58"/>
      <c r="M1803" s="58"/>
      <c r="N1803" s="88"/>
      <c r="O1803" s="88"/>
    </row>
    <row r="1804">
      <c r="A1804" s="93"/>
      <c r="B1804" s="58"/>
      <c r="C1804" s="58"/>
      <c r="D1804" s="58"/>
      <c r="E1804" s="58"/>
      <c r="F1804" s="58"/>
      <c r="G1804" s="58"/>
      <c r="H1804" s="88"/>
      <c r="I1804" s="88"/>
      <c r="J1804" s="58"/>
      <c r="K1804" s="58"/>
      <c r="L1804" s="58"/>
      <c r="M1804" s="58"/>
      <c r="N1804" s="88"/>
      <c r="O1804" s="88"/>
    </row>
    <row r="1805">
      <c r="A1805" s="93"/>
      <c r="B1805" s="58"/>
      <c r="C1805" s="58"/>
      <c r="D1805" s="58"/>
      <c r="E1805" s="58"/>
      <c r="F1805" s="58"/>
      <c r="G1805" s="58"/>
      <c r="H1805" s="88"/>
      <c r="I1805" s="88"/>
      <c r="J1805" s="58"/>
      <c r="K1805" s="58"/>
      <c r="L1805" s="58"/>
      <c r="M1805" s="58"/>
      <c r="N1805" s="88"/>
      <c r="O1805" s="88"/>
    </row>
    <row r="1806">
      <c r="A1806" s="93"/>
      <c r="B1806" s="58"/>
      <c r="C1806" s="58"/>
      <c r="D1806" s="58"/>
      <c r="E1806" s="58"/>
      <c r="F1806" s="58"/>
      <c r="G1806" s="58"/>
      <c r="H1806" s="88"/>
      <c r="I1806" s="88"/>
      <c r="J1806" s="58"/>
      <c r="K1806" s="58"/>
      <c r="L1806" s="58"/>
      <c r="M1806" s="58"/>
      <c r="N1806" s="88"/>
      <c r="O1806" s="88"/>
    </row>
    <row r="1807">
      <c r="A1807" s="93"/>
      <c r="B1807" s="58"/>
      <c r="C1807" s="58"/>
      <c r="D1807" s="58"/>
      <c r="E1807" s="58"/>
      <c r="F1807" s="58"/>
      <c r="G1807" s="58"/>
      <c r="H1807" s="88"/>
      <c r="I1807" s="88"/>
      <c r="J1807" s="58"/>
      <c r="K1807" s="58"/>
      <c r="L1807" s="58"/>
      <c r="M1807" s="58"/>
      <c r="N1807" s="88"/>
      <c r="O1807" s="88"/>
    </row>
    <row r="1808">
      <c r="A1808" s="93"/>
      <c r="B1808" s="58"/>
      <c r="C1808" s="58"/>
      <c r="D1808" s="58"/>
      <c r="E1808" s="58"/>
      <c r="F1808" s="58"/>
      <c r="G1808" s="58"/>
      <c r="H1808" s="88"/>
      <c r="I1808" s="88"/>
      <c r="J1808" s="58"/>
      <c r="K1808" s="58"/>
      <c r="L1808" s="58"/>
      <c r="M1808" s="58"/>
      <c r="N1808" s="88"/>
      <c r="O1808" s="88"/>
    </row>
    <row r="1809">
      <c r="A1809" s="93"/>
      <c r="B1809" s="58"/>
      <c r="C1809" s="58"/>
      <c r="D1809" s="58"/>
      <c r="E1809" s="58"/>
      <c r="F1809" s="58"/>
      <c r="G1809" s="58"/>
      <c r="H1809" s="88"/>
      <c r="I1809" s="88"/>
      <c r="J1809" s="58"/>
      <c r="K1809" s="58"/>
      <c r="L1809" s="58"/>
      <c r="M1809" s="58"/>
      <c r="N1809" s="88"/>
      <c r="O1809" s="88"/>
    </row>
    <row r="1810">
      <c r="A1810" s="93"/>
      <c r="B1810" s="58"/>
      <c r="C1810" s="58"/>
      <c r="D1810" s="58"/>
      <c r="E1810" s="58"/>
      <c r="F1810" s="58"/>
      <c r="G1810" s="58"/>
      <c r="H1810" s="88"/>
      <c r="I1810" s="88"/>
      <c r="J1810" s="58"/>
      <c r="K1810" s="58"/>
      <c r="L1810" s="58"/>
      <c r="M1810" s="58"/>
      <c r="N1810" s="88"/>
      <c r="O1810" s="88"/>
    </row>
    <row r="1811">
      <c r="A1811" s="93"/>
      <c r="B1811" s="58"/>
      <c r="C1811" s="58"/>
      <c r="D1811" s="58"/>
      <c r="E1811" s="58"/>
      <c r="F1811" s="58"/>
      <c r="G1811" s="58"/>
      <c r="H1811" s="88"/>
      <c r="I1811" s="88"/>
      <c r="J1811" s="58"/>
      <c r="K1811" s="58"/>
      <c r="L1811" s="58"/>
      <c r="M1811" s="58"/>
      <c r="N1811" s="88"/>
      <c r="O1811" s="88"/>
    </row>
    <row r="1812">
      <c r="A1812" s="93"/>
      <c r="B1812" s="58"/>
      <c r="C1812" s="58"/>
      <c r="D1812" s="58"/>
      <c r="E1812" s="58"/>
      <c r="F1812" s="58"/>
      <c r="G1812" s="58"/>
      <c r="H1812" s="88"/>
      <c r="I1812" s="88"/>
      <c r="J1812" s="58"/>
      <c r="K1812" s="58"/>
      <c r="L1812" s="58"/>
      <c r="M1812" s="58"/>
      <c r="N1812" s="88"/>
      <c r="O1812" s="88"/>
    </row>
    <row r="1813">
      <c r="A1813" s="93"/>
      <c r="B1813" s="58"/>
      <c r="C1813" s="58"/>
      <c r="D1813" s="58"/>
      <c r="E1813" s="58"/>
      <c r="F1813" s="58"/>
      <c r="G1813" s="58"/>
      <c r="H1813" s="88"/>
      <c r="I1813" s="88"/>
      <c r="J1813" s="58"/>
      <c r="K1813" s="58"/>
      <c r="L1813" s="58"/>
      <c r="M1813" s="58"/>
      <c r="N1813" s="88"/>
      <c r="O1813" s="88"/>
    </row>
    <row r="1814">
      <c r="A1814" s="93"/>
      <c r="B1814" s="58"/>
      <c r="C1814" s="58"/>
      <c r="D1814" s="58"/>
      <c r="E1814" s="58"/>
      <c r="F1814" s="58"/>
      <c r="G1814" s="58"/>
      <c r="H1814" s="88"/>
      <c r="I1814" s="88"/>
      <c r="J1814" s="58"/>
      <c r="K1814" s="58"/>
      <c r="L1814" s="58"/>
      <c r="M1814" s="58"/>
      <c r="N1814" s="88"/>
      <c r="O1814" s="88"/>
    </row>
    <row r="1815">
      <c r="A1815" s="93"/>
      <c r="B1815" s="58"/>
      <c r="C1815" s="58"/>
      <c r="D1815" s="58"/>
      <c r="E1815" s="58"/>
      <c r="F1815" s="58"/>
      <c r="G1815" s="58"/>
      <c r="H1815" s="88"/>
      <c r="I1815" s="88"/>
      <c r="J1815" s="58"/>
      <c r="K1815" s="58"/>
      <c r="L1815" s="58"/>
      <c r="M1815" s="58"/>
      <c r="N1815" s="88"/>
      <c r="O1815" s="88"/>
    </row>
    <row r="1816">
      <c r="A1816" s="93"/>
      <c r="B1816" s="58"/>
      <c r="C1816" s="58"/>
      <c r="D1816" s="58"/>
      <c r="E1816" s="58"/>
      <c r="F1816" s="58"/>
      <c r="G1816" s="58"/>
      <c r="H1816" s="88"/>
      <c r="I1816" s="88"/>
      <c r="J1816" s="58"/>
      <c r="K1816" s="58"/>
      <c r="L1816" s="58"/>
      <c r="M1816" s="58"/>
      <c r="N1816" s="88"/>
      <c r="O1816" s="88"/>
    </row>
    <row r="1817">
      <c r="A1817" s="93"/>
      <c r="B1817" s="58"/>
      <c r="C1817" s="58"/>
      <c r="D1817" s="58"/>
      <c r="E1817" s="58"/>
      <c r="F1817" s="58"/>
      <c r="G1817" s="58"/>
      <c r="H1817" s="88"/>
      <c r="I1817" s="88"/>
      <c r="J1817" s="58"/>
      <c r="K1817" s="58"/>
      <c r="L1817" s="58"/>
      <c r="M1817" s="58"/>
      <c r="N1817" s="88"/>
      <c r="O1817" s="88"/>
    </row>
    <row r="1818">
      <c r="A1818" s="93"/>
      <c r="B1818" s="58"/>
      <c r="C1818" s="58"/>
      <c r="D1818" s="58"/>
      <c r="E1818" s="58"/>
      <c r="F1818" s="58"/>
      <c r="G1818" s="58"/>
      <c r="H1818" s="88"/>
      <c r="I1818" s="88"/>
      <c r="J1818" s="58"/>
      <c r="K1818" s="58"/>
      <c r="L1818" s="58"/>
      <c r="M1818" s="58"/>
      <c r="N1818" s="88"/>
      <c r="O1818" s="88"/>
    </row>
    <row r="1819">
      <c r="A1819" s="93"/>
      <c r="B1819" s="58"/>
      <c r="C1819" s="58"/>
      <c r="D1819" s="58"/>
      <c r="E1819" s="58"/>
      <c r="F1819" s="58"/>
      <c r="G1819" s="58"/>
      <c r="H1819" s="88"/>
      <c r="I1819" s="88"/>
      <c r="J1819" s="58"/>
      <c r="K1819" s="58"/>
      <c r="L1819" s="58"/>
      <c r="M1819" s="58"/>
      <c r="N1819" s="88"/>
      <c r="O1819" s="88"/>
    </row>
    <row r="1820">
      <c r="A1820" s="93"/>
      <c r="B1820" s="58"/>
      <c r="C1820" s="58"/>
      <c r="D1820" s="58"/>
      <c r="E1820" s="58"/>
      <c r="F1820" s="58"/>
      <c r="G1820" s="58"/>
      <c r="H1820" s="88"/>
      <c r="I1820" s="88"/>
      <c r="J1820" s="58"/>
      <c r="K1820" s="58"/>
      <c r="L1820" s="58"/>
      <c r="M1820" s="58"/>
      <c r="N1820" s="88"/>
      <c r="O1820" s="88"/>
    </row>
    <row r="1821">
      <c r="A1821" s="93"/>
      <c r="B1821" s="58"/>
      <c r="C1821" s="58"/>
      <c r="D1821" s="58"/>
      <c r="E1821" s="58"/>
      <c r="F1821" s="58"/>
      <c r="G1821" s="58"/>
      <c r="H1821" s="88"/>
      <c r="I1821" s="88"/>
      <c r="J1821" s="58"/>
      <c r="K1821" s="58"/>
      <c r="L1821" s="58"/>
      <c r="M1821" s="58"/>
      <c r="N1821" s="88"/>
      <c r="O1821" s="88"/>
    </row>
    <row r="1822">
      <c r="A1822" s="93"/>
      <c r="B1822" s="58"/>
      <c r="C1822" s="58"/>
      <c r="D1822" s="58"/>
      <c r="E1822" s="58"/>
      <c r="F1822" s="58"/>
      <c r="G1822" s="58"/>
      <c r="H1822" s="88"/>
      <c r="I1822" s="88"/>
      <c r="J1822" s="58"/>
      <c r="K1822" s="58"/>
      <c r="L1822" s="58"/>
      <c r="M1822" s="58"/>
      <c r="N1822" s="88"/>
      <c r="O1822" s="88"/>
    </row>
    <row r="1823">
      <c r="A1823" s="93"/>
      <c r="B1823" s="58"/>
      <c r="C1823" s="58"/>
      <c r="D1823" s="58"/>
      <c r="E1823" s="58"/>
      <c r="F1823" s="58"/>
      <c r="G1823" s="58"/>
      <c r="H1823" s="88"/>
      <c r="I1823" s="88"/>
      <c r="J1823" s="58"/>
      <c r="K1823" s="58"/>
      <c r="L1823" s="58"/>
      <c r="M1823" s="58"/>
      <c r="N1823" s="88"/>
      <c r="O1823" s="88"/>
    </row>
    <row r="1824">
      <c r="A1824" s="93"/>
      <c r="B1824" s="58"/>
      <c r="C1824" s="58"/>
      <c r="D1824" s="58"/>
      <c r="E1824" s="58"/>
      <c r="F1824" s="58"/>
      <c r="G1824" s="58"/>
      <c r="H1824" s="88"/>
      <c r="I1824" s="88"/>
      <c r="J1824" s="58"/>
      <c r="K1824" s="58"/>
      <c r="L1824" s="58"/>
      <c r="M1824" s="58"/>
      <c r="N1824" s="88"/>
      <c r="O1824" s="88"/>
    </row>
    <row r="1825">
      <c r="A1825" s="93"/>
      <c r="B1825" s="58"/>
      <c r="C1825" s="58"/>
      <c r="D1825" s="58"/>
      <c r="E1825" s="58"/>
      <c r="F1825" s="58"/>
      <c r="G1825" s="58"/>
      <c r="H1825" s="88"/>
      <c r="I1825" s="88"/>
      <c r="J1825" s="58"/>
      <c r="K1825" s="58"/>
      <c r="L1825" s="58"/>
      <c r="M1825" s="58"/>
      <c r="N1825" s="88"/>
      <c r="O1825" s="88"/>
    </row>
    <row r="1826">
      <c r="A1826" s="93"/>
      <c r="B1826" s="58"/>
      <c r="C1826" s="58"/>
      <c r="D1826" s="58"/>
      <c r="E1826" s="58"/>
      <c r="F1826" s="58"/>
      <c r="G1826" s="58"/>
      <c r="H1826" s="88"/>
      <c r="I1826" s="88"/>
      <c r="J1826" s="58"/>
      <c r="K1826" s="58"/>
      <c r="L1826" s="58"/>
      <c r="M1826" s="58"/>
      <c r="N1826" s="88"/>
      <c r="O1826" s="88"/>
    </row>
    <row r="1827">
      <c r="A1827" s="93"/>
      <c r="B1827" s="58"/>
      <c r="C1827" s="58"/>
      <c r="D1827" s="58"/>
      <c r="E1827" s="58"/>
      <c r="F1827" s="58"/>
      <c r="G1827" s="58"/>
      <c r="H1827" s="88"/>
      <c r="I1827" s="88"/>
      <c r="J1827" s="58"/>
      <c r="K1827" s="58"/>
      <c r="L1827" s="58"/>
      <c r="M1827" s="58"/>
      <c r="N1827" s="88"/>
      <c r="O1827" s="88"/>
    </row>
    <row r="1828">
      <c r="A1828" s="93"/>
      <c r="B1828" s="58"/>
      <c r="C1828" s="58"/>
      <c r="D1828" s="58"/>
      <c r="E1828" s="58"/>
      <c r="F1828" s="58"/>
      <c r="G1828" s="58"/>
      <c r="H1828" s="88"/>
      <c r="I1828" s="88"/>
      <c r="J1828" s="58"/>
      <c r="K1828" s="58"/>
      <c r="L1828" s="58"/>
      <c r="M1828" s="58"/>
      <c r="N1828" s="88"/>
      <c r="O1828" s="88"/>
    </row>
    <row r="1829">
      <c r="A1829" s="93"/>
      <c r="B1829" s="58"/>
      <c r="C1829" s="58"/>
      <c r="D1829" s="58"/>
      <c r="E1829" s="58"/>
      <c r="F1829" s="58"/>
      <c r="G1829" s="58"/>
      <c r="H1829" s="88"/>
      <c r="I1829" s="88"/>
      <c r="J1829" s="58"/>
      <c r="K1829" s="58"/>
      <c r="L1829" s="58"/>
      <c r="M1829" s="58"/>
      <c r="N1829" s="88"/>
      <c r="O1829" s="88"/>
    </row>
    <row r="1830">
      <c r="A1830" s="93"/>
      <c r="B1830" s="58"/>
      <c r="C1830" s="58"/>
      <c r="D1830" s="58"/>
      <c r="E1830" s="58"/>
      <c r="F1830" s="58"/>
      <c r="G1830" s="58"/>
      <c r="H1830" s="88"/>
      <c r="I1830" s="88"/>
      <c r="J1830" s="58"/>
      <c r="K1830" s="58"/>
      <c r="L1830" s="58"/>
      <c r="M1830" s="58"/>
      <c r="N1830" s="88"/>
      <c r="O1830" s="88"/>
    </row>
    <row r="1831">
      <c r="A1831" s="93"/>
      <c r="B1831" s="58"/>
      <c r="C1831" s="58"/>
      <c r="D1831" s="58"/>
      <c r="E1831" s="58"/>
      <c r="F1831" s="58"/>
      <c r="G1831" s="58"/>
      <c r="H1831" s="88"/>
      <c r="I1831" s="88"/>
      <c r="J1831" s="58"/>
      <c r="K1831" s="58"/>
      <c r="L1831" s="58"/>
      <c r="M1831" s="58"/>
      <c r="N1831" s="88"/>
      <c r="O1831" s="88"/>
    </row>
    <row r="1832">
      <c r="A1832" s="93"/>
      <c r="B1832" s="58"/>
      <c r="C1832" s="58"/>
      <c r="D1832" s="58"/>
      <c r="E1832" s="58"/>
      <c r="F1832" s="58"/>
      <c r="G1832" s="58"/>
      <c r="H1832" s="88"/>
      <c r="I1832" s="88"/>
      <c r="J1832" s="58"/>
      <c r="K1832" s="58"/>
      <c r="L1832" s="58"/>
      <c r="M1832" s="58"/>
      <c r="N1832" s="88"/>
      <c r="O1832" s="88"/>
    </row>
    <row r="1833">
      <c r="A1833" s="93"/>
      <c r="B1833" s="58"/>
      <c r="C1833" s="58"/>
      <c r="D1833" s="58"/>
      <c r="E1833" s="58"/>
      <c r="F1833" s="58"/>
      <c r="G1833" s="58"/>
      <c r="H1833" s="88"/>
      <c r="I1833" s="88"/>
      <c r="J1833" s="58"/>
      <c r="K1833" s="58"/>
      <c r="L1833" s="58"/>
      <c r="M1833" s="58"/>
      <c r="N1833" s="88"/>
      <c r="O1833" s="88"/>
    </row>
    <row r="1834">
      <c r="A1834" s="93"/>
      <c r="B1834" s="58"/>
      <c r="C1834" s="58"/>
      <c r="D1834" s="58"/>
      <c r="E1834" s="58"/>
      <c r="F1834" s="58"/>
      <c r="G1834" s="58"/>
      <c r="H1834" s="88"/>
      <c r="I1834" s="88"/>
      <c r="J1834" s="58"/>
      <c r="K1834" s="58"/>
      <c r="L1834" s="58"/>
      <c r="M1834" s="58"/>
      <c r="N1834" s="88"/>
      <c r="O1834" s="88"/>
    </row>
    <row r="1835">
      <c r="A1835" s="93"/>
      <c r="B1835" s="58"/>
      <c r="C1835" s="58"/>
      <c r="D1835" s="58"/>
      <c r="E1835" s="58"/>
      <c r="F1835" s="58"/>
      <c r="G1835" s="58"/>
      <c r="H1835" s="88"/>
      <c r="I1835" s="88"/>
      <c r="J1835" s="58"/>
      <c r="K1835" s="58"/>
      <c r="L1835" s="58"/>
      <c r="M1835" s="58"/>
      <c r="N1835" s="88"/>
      <c r="O1835" s="88"/>
    </row>
    <row r="1836">
      <c r="A1836" s="93"/>
      <c r="B1836" s="58"/>
      <c r="C1836" s="58"/>
      <c r="D1836" s="58"/>
      <c r="E1836" s="58"/>
      <c r="F1836" s="58"/>
      <c r="G1836" s="58"/>
      <c r="H1836" s="88"/>
      <c r="I1836" s="88"/>
      <c r="J1836" s="58"/>
      <c r="K1836" s="58"/>
      <c r="L1836" s="58"/>
      <c r="M1836" s="58"/>
      <c r="N1836" s="88"/>
      <c r="O1836" s="88"/>
    </row>
    <row r="1837">
      <c r="A1837" s="93"/>
      <c r="B1837" s="58"/>
      <c r="C1837" s="58"/>
      <c r="D1837" s="58"/>
      <c r="E1837" s="58"/>
      <c r="F1837" s="58"/>
      <c r="G1837" s="58"/>
      <c r="H1837" s="88"/>
      <c r="I1837" s="88"/>
      <c r="J1837" s="58"/>
      <c r="K1837" s="58"/>
      <c r="L1837" s="58"/>
      <c r="M1837" s="58"/>
      <c r="N1837" s="88"/>
      <c r="O1837" s="88"/>
    </row>
    <row r="1838">
      <c r="A1838" s="93"/>
      <c r="B1838" s="58"/>
      <c r="C1838" s="58"/>
      <c r="D1838" s="58"/>
      <c r="E1838" s="58"/>
      <c r="F1838" s="58"/>
      <c r="G1838" s="58"/>
      <c r="H1838" s="88"/>
      <c r="I1838" s="88"/>
      <c r="J1838" s="58"/>
      <c r="K1838" s="58"/>
      <c r="L1838" s="58"/>
      <c r="M1838" s="58"/>
      <c r="N1838" s="88"/>
      <c r="O1838" s="88"/>
    </row>
    <row r="1839">
      <c r="A1839" s="93"/>
      <c r="B1839" s="58"/>
      <c r="C1839" s="58"/>
      <c r="D1839" s="58"/>
      <c r="E1839" s="58"/>
      <c r="F1839" s="58"/>
      <c r="G1839" s="58"/>
      <c r="H1839" s="88"/>
      <c r="I1839" s="88"/>
      <c r="J1839" s="58"/>
      <c r="K1839" s="58"/>
      <c r="L1839" s="58"/>
      <c r="M1839" s="58"/>
      <c r="N1839" s="88"/>
      <c r="O1839" s="88"/>
    </row>
    <row r="1840">
      <c r="A1840" s="93"/>
      <c r="B1840" s="58"/>
      <c r="C1840" s="58"/>
      <c r="D1840" s="58"/>
      <c r="E1840" s="58"/>
      <c r="F1840" s="58"/>
      <c r="G1840" s="58"/>
      <c r="H1840" s="88"/>
      <c r="I1840" s="88"/>
      <c r="J1840" s="58"/>
      <c r="K1840" s="58"/>
      <c r="L1840" s="58"/>
      <c r="M1840" s="58"/>
      <c r="N1840" s="88"/>
      <c r="O1840" s="88"/>
    </row>
    <row r="1841">
      <c r="A1841" s="93"/>
      <c r="B1841" s="58"/>
      <c r="C1841" s="58"/>
      <c r="D1841" s="58"/>
      <c r="E1841" s="58"/>
      <c r="F1841" s="58"/>
      <c r="G1841" s="58"/>
      <c r="H1841" s="88"/>
      <c r="I1841" s="88"/>
      <c r="J1841" s="58"/>
      <c r="K1841" s="58"/>
      <c r="L1841" s="58"/>
      <c r="M1841" s="58"/>
      <c r="N1841" s="88"/>
      <c r="O1841" s="88"/>
    </row>
    <row r="1842">
      <c r="A1842" s="93"/>
      <c r="B1842" s="58"/>
      <c r="C1842" s="58"/>
      <c r="D1842" s="58"/>
      <c r="E1842" s="58"/>
      <c r="F1842" s="58"/>
      <c r="G1842" s="58"/>
      <c r="H1842" s="88"/>
      <c r="I1842" s="88"/>
      <c r="J1842" s="58"/>
      <c r="K1842" s="58"/>
      <c r="L1842" s="58"/>
      <c r="M1842" s="58"/>
      <c r="N1842" s="88"/>
      <c r="O1842" s="88"/>
    </row>
    <row r="1843">
      <c r="A1843" s="93"/>
      <c r="B1843" s="58"/>
      <c r="C1843" s="58"/>
      <c r="D1843" s="58"/>
      <c r="E1843" s="58"/>
      <c r="F1843" s="58"/>
      <c r="G1843" s="58"/>
      <c r="H1843" s="88"/>
      <c r="I1843" s="88"/>
      <c r="J1843" s="58"/>
      <c r="K1843" s="58"/>
      <c r="L1843" s="58"/>
      <c r="M1843" s="58"/>
      <c r="N1843" s="88"/>
      <c r="O1843" s="88"/>
    </row>
    <row r="1844">
      <c r="A1844" s="93"/>
      <c r="B1844" s="58"/>
      <c r="C1844" s="58"/>
      <c r="D1844" s="58"/>
      <c r="E1844" s="58"/>
      <c r="F1844" s="58"/>
      <c r="G1844" s="58"/>
      <c r="H1844" s="88"/>
      <c r="I1844" s="88"/>
      <c r="J1844" s="58"/>
      <c r="K1844" s="58"/>
      <c r="L1844" s="58"/>
      <c r="M1844" s="58"/>
      <c r="N1844" s="88"/>
      <c r="O1844" s="88"/>
    </row>
    <row r="1845">
      <c r="A1845" s="93"/>
      <c r="B1845" s="58"/>
      <c r="C1845" s="58"/>
      <c r="D1845" s="58"/>
      <c r="E1845" s="58"/>
      <c r="F1845" s="58"/>
      <c r="G1845" s="58"/>
      <c r="H1845" s="88"/>
      <c r="I1845" s="88"/>
      <c r="J1845" s="58"/>
      <c r="K1845" s="58"/>
      <c r="L1845" s="58"/>
      <c r="M1845" s="58"/>
      <c r="N1845" s="88"/>
      <c r="O1845" s="88"/>
    </row>
    <row r="1846">
      <c r="A1846" s="93"/>
      <c r="B1846" s="58"/>
      <c r="C1846" s="58"/>
      <c r="D1846" s="58"/>
      <c r="E1846" s="58"/>
      <c r="F1846" s="58"/>
      <c r="G1846" s="58"/>
      <c r="H1846" s="88"/>
      <c r="I1846" s="88"/>
      <c r="J1846" s="58"/>
      <c r="K1846" s="58"/>
      <c r="L1846" s="58"/>
      <c r="M1846" s="58"/>
      <c r="N1846" s="88"/>
      <c r="O1846" s="88"/>
    </row>
    <row r="1847">
      <c r="A1847" s="93"/>
      <c r="B1847" s="58"/>
      <c r="C1847" s="58"/>
      <c r="D1847" s="58"/>
      <c r="E1847" s="58"/>
      <c r="F1847" s="58"/>
      <c r="G1847" s="58"/>
      <c r="H1847" s="88"/>
      <c r="I1847" s="88"/>
      <c r="J1847" s="58"/>
      <c r="K1847" s="58"/>
      <c r="L1847" s="58"/>
      <c r="M1847" s="58"/>
      <c r="N1847" s="88"/>
      <c r="O1847" s="88"/>
    </row>
    <row r="1848">
      <c r="A1848" s="93"/>
      <c r="B1848" s="58"/>
      <c r="C1848" s="58"/>
      <c r="D1848" s="58"/>
      <c r="E1848" s="58"/>
      <c r="F1848" s="58"/>
      <c r="G1848" s="58"/>
      <c r="H1848" s="88"/>
      <c r="I1848" s="88"/>
      <c r="J1848" s="58"/>
      <c r="K1848" s="58"/>
      <c r="L1848" s="58"/>
      <c r="M1848" s="58"/>
      <c r="N1848" s="88"/>
      <c r="O1848" s="88"/>
    </row>
    <row r="1849">
      <c r="A1849" s="93"/>
      <c r="B1849" s="58"/>
      <c r="C1849" s="58"/>
      <c r="D1849" s="58"/>
      <c r="E1849" s="58"/>
      <c r="F1849" s="58"/>
      <c r="G1849" s="58"/>
      <c r="H1849" s="88"/>
      <c r="I1849" s="88"/>
      <c r="J1849" s="58"/>
      <c r="K1849" s="58"/>
      <c r="L1849" s="58"/>
      <c r="M1849" s="58"/>
      <c r="N1849" s="88"/>
      <c r="O1849" s="88"/>
    </row>
    <row r="1850">
      <c r="A1850" s="93"/>
      <c r="B1850" s="58"/>
      <c r="C1850" s="58"/>
      <c r="D1850" s="58"/>
      <c r="E1850" s="58"/>
      <c r="F1850" s="58"/>
      <c r="G1850" s="58"/>
      <c r="H1850" s="88"/>
      <c r="I1850" s="88"/>
      <c r="J1850" s="58"/>
      <c r="K1850" s="58"/>
      <c r="L1850" s="58"/>
      <c r="M1850" s="58"/>
      <c r="N1850" s="88"/>
      <c r="O1850" s="88"/>
    </row>
    <row r="1851">
      <c r="A1851" s="93"/>
      <c r="B1851" s="58"/>
      <c r="C1851" s="58"/>
      <c r="D1851" s="58"/>
      <c r="E1851" s="58"/>
      <c r="F1851" s="58"/>
      <c r="G1851" s="58"/>
      <c r="H1851" s="88"/>
      <c r="I1851" s="88"/>
      <c r="J1851" s="58"/>
      <c r="K1851" s="58"/>
      <c r="L1851" s="58"/>
      <c r="M1851" s="58"/>
      <c r="N1851" s="88"/>
      <c r="O1851" s="88"/>
    </row>
    <row r="1852">
      <c r="A1852" s="93"/>
      <c r="B1852" s="58"/>
      <c r="C1852" s="58"/>
      <c r="D1852" s="58"/>
      <c r="E1852" s="58"/>
      <c r="F1852" s="58"/>
      <c r="G1852" s="58"/>
      <c r="H1852" s="88"/>
      <c r="I1852" s="88"/>
      <c r="J1852" s="58"/>
      <c r="K1852" s="58"/>
      <c r="L1852" s="58"/>
      <c r="M1852" s="58"/>
      <c r="N1852" s="88"/>
      <c r="O1852" s="88"/>
    </row>
    <row r="1853">
      <c r="A1853" s="93"/>
      <c r="B1853" s="58"/>
      <c r="C1853" s="58"/>
      <c r="D1853" s="58"/>
      <c r="E1853" s="58"/>
      <c r="F1853" s="58"/>
      <c r="G1853" s="58"/>
      <c r="H1853" s="88"/>
      <c r="I1853" s="88"/>
      <c r="J1853" s="58"/>
      <c r="K1853" s="58"/>
      <c r="L1853" s="58"/>
      <c r="M1853" s="58"/>
      <c r="N1853" s="88"/>
      <c r="O1853" s="88"/>
    </row>
    <row r="1854">
      <c r="A1854" s="93"/>
      <c r="B1854" s="58"/>
      <c r="C1854" s="58"/>
      <c r="D1854" s="58"/>
      <c r="E1854" s="58"/>
      <c r="F1854" s="58"/>
      <c r="G1854" s="58"/>
      <c r="H1854" s="88"/>
      <c r="I1854" s="88"/>
      <c r="J1854" s="58"/>
      <c r="K1854" s="58"/>
      <c r="L1854" s="58"/>
      <c r="M1854" s="58"/>
      <c r="N1854" s="88"/>
      <c r="O1854" s="88"/>
    </row>
    <row r="1855">
      <c r="A1855" s="93"/>
      <c r="B1855" s="58"/>
      <c r="C1855" s="58"/>
      <c r="D1855" s="58"/>
      <c r="E1855" s="58"/>
      <c r="F1855" s="58"/>
      <c r="G1855" s="58"/>
      <c r="H1855" s="88"/>
      <c r="I1855" s="88"/>
      <c r="J1855" s="58"/>
      <c r="K1855" s="58"/>
      <c r="L1855" s="58"/>
      <c r="M1855" s="58"/>
      <c r="N1855" s="88"/>
      <c r="O1855" s="88"/>
    </row>
    <row r="1856">
      <c r="A1856" s="93"/>
      <c r="B1856" s="58"/>
      <c r="C1856" s="58"/>
      <c r="D1856" s="58"/>
      <c r="E1856" s="58"/>
      <c r="F1856" s="58"/>
      <c r="G1856" s="58"/>
      <c r="H1856" s="88"/>
      <c r="I1856" s="88"/>
      <c r="J1856" s="58"/>
      <c r="K1856" s="58"/>
      <c r="L1856" s="58"/>
      <c r="M1856" s="58"/>
      <c r="N1856" s="88"/>
      <c r="O1856" s="88"/>
    </row>
    <row r="1857">
      <c r="A1857" s="93"/>
      <c r="B1857" s="58"/>
      <c r="C1857" s="58"/>
      <c r="D1857" s="58"/>
      <c r="E1857" s="58"/>
      <c r="F1857" s="58"/>
      <c r="G1857" s="58"/>
      <c r="H1857" s="88"/>
      <c r="I1857" s="88"/>
      <c r="J1857" s="58"/>
      <c r="K1857" s="58"/>
      <c r="L1857" s="58"/>
      <c r="M1857" s="58"/>
      <c r="N1857" s="88"/>
      <c r="O1857" s="88"/>
    </row>
    <row r="1858">
      <c r="A1858" s="93"/>
      <c r="B1858" s="58"/>
      <c r="C1858" s="58"/>
      <c r="D1858" s="58"/>
      <c r="E1858" s="58"/>
      <c r="F1858" s="58"/>
      <c r="G1858" s="58"/>
      <c r="H1858" s="88"/>
      <c r="I1858" s="88"/>
      <c r="J1858" s="58"/>
      <c r="K1858" s="58"/>
      <c r="L1858" s="58"/>
      <c r="M1858" s="58"/>
      <c r="N1858" s="88"/>
      <c r="O1858" s="88"/>
    </row>
    <row r="1859">
      <c r="A1859" s="93"/>
      <c r="B1859" s="58"/>
      <c r="C1859" s="58"/>
      <c r="D1859" s="58"/>
      <c r="E1859" s="58"/>
      <c r="F1859" s="58"/>
      <c r="G1859" s="58"/>
      <c r="H1859" s="88"/>
      <c r="I1859" s="88"/>
      <c r="J1859" s="58"/>
      <c r="K1859" s="58"/>
      <c r="L1859" s="58"/>
      <c r="M1859" s="58"/>
      <c r="N1859" s="88"/>
      <c r="O1859" s="88"/>
    </row>
    <row r="1860">
      <c r="A1860" s="93"/>
      <c r="B1860" s="58"/>
      <c r="C1860" s="58"/>
      <c r="D1860" s="58"/>
      <c r="E1860" s="58"/>
      <c r="F1860" s="58"/>
      <c r="G1860" s="58"/>
      <c r="H1860" s="88"/>
      <c r="I1860" s="88"/>
      <c r="J1860" s="58"/>
      <c r="K1860" s="58"/>
      <c r="L1860" s="58"/>
      <c r="M1860" s="58"/>
      <c r="N1860" s="88"/>
      <c r="O1860" s="88"/>
    </row>
    <row r="1861">
      <c r="A1861" s="93"/>
      <c r="B1861" s="58"/>
      <c r="C1861" s="58"/>
      <c r="D1861" s="58"/>
      <c r="E1861" s="58"/>
      <c r="F1861" s="58"/>
      <c r="G1861" s="58"/>
      <c r="H1861" s="88"/>
      <c r="I1861" s="88"/>
      <c r="J1861" s="58"/>
      <c r="K1861" s="58"/>
      <c r="L1861" s="58"/>
      <c r="M1861" s="58"/>
      <c r="N1861" s="88"/>
      <c r="O1861" s="88"/>
    </row>
    <row r="1862">
      <c r="A1862" s="93"/>
      <c r="B1862" s="58"/>
      <c r="C1862" s="58"/>
      <c r="D1862" s="58"/>
      <c r="E1862" s="58"/>
      <c r="F1862" s="58"/>
      <c r="G1862" s="58"/>
      <c r="H1862" s="88"/>
      <c r="I1862" s="88"/>
      <c r="J1862" s="58"/>
      <c r="K1862" s="58"/>
      <c r="L1862" s="58"/>
      <c r="M1862" s="58"/>
      <c r="N1862" s="88"/>
      <c r="O1862" s="88"/>
    </row>
    <row r="1863">
      <c r="A1863" s="93"/>
      <c r="B1863" s="58"/>
      <c r="C1863" s="58"/>
      <c r="D1863" s="58"/>
      <c r="E1863" s="58"/>
      <c r="F1863" s="58"/>
      <c r="G1863" s="58"/>
      <c r="H1863" s="88"/>
      <c r="I1863" s="88"/>
      <c r="J1863" s="58"/>
      <c r="K1863" s="58"/>
      <c r="L1863" s="58"/>
      <c r="M1863" s="58"/>
      <c r="N1863" s="88"/>
      <c r="O1863" s="88"/>
    </row>
    <row r="1864">
      <c r="A1864" s="93"/>
      <c r="B1864" s="58"/>
      <c r="C1864" s="58"/>
      <c r="D1864" s="58"/>
      <c r="E1864" s="58"/>
      <c r="F1864" s="58"/>
      <c r="G1864" s="58"/>
      <c r="H1864" s="88"/>
      <c r="I1864" s="88"/>
      <c r="J1864" s="58"/>
      <c r="K1864" s="58"/>
      <c r="L1864" s="58"/>
      <c r="M1864" s="58"/>
      <c r="N1864" s="88"/>
      <c r="O1864" s="88"/>
    </row>
    <row r="1865">
      <c r="A1865" s="93"/>
      <c r="B1865" s="58"/>
      <c r="C1865" s="58"/>
      <c r="D1865" s="58"/>
      <c r="E1865" s="58"/>
      <c r="F1865" s="58"/>
      <c r="G1865" s="58"/>
      <c r="H1865" s="88"/>
      <c r="I1865" s="88"/>
      <c r="J1865" s="58"/>
      <c r="K1865" s="58"/>
      <c r="L1865" s="58"/>
      <c r="M1865" s="58"/>
      <c r="N1865" s="88"/>
      <c r="O1865" s="88"/>
    </row>
    <row r="1866">
      <c r="A1866" s="93"/>
      <c r="B1866" s="58"/>
      <c r="C1866" s="58"/>
      <c r="D1866" s="58"/>
      <c r="E1866" s="58"/>
      <c r="F1866" s="58"/>
      <c r="G1866" s="58"/>
      <c r="H1866" s="88"/>
      <c r="I1866" s="88"/>
      <c r="J1866" s="58"/>
      <c r="K1866" s="58"/>
      <c r="L1866" s="58"/>
      <c r="M1866" s="58"/>
      <c r="N1866" s="88"/>
      <c r="O1866" s="88"/>
    </row>
    <row r="1867">
      <c r="A1867" s="93"/>
      <c r="B1867" s="58"/>
      <c r="C1867" s="58"/>
      <c r="D1867" s="58"/>
      <c r="E1867" s="58"/>
      <c r="F1867" s="58"/>
      <c r="G1867" s="58"/>
      <c r="H1867" s="88"/>
      <c r="I1867" s="88"/>
      <c r="J1867" s="58"/>
      <c r="K1867" s="58"/>
      <c r="L1867" s="58"/>
      <c r="M1867" s="58"/>
      <c r="N1867" s="88"/>
      <c r="O1867" s="88"/>
    </row>
    <row r="1868">
      <c r="A1868" s="93"/>
      <c r="B1868" s="58"/>
      <c r="C1868" s="58"/>
      <c r="D1868" s="58"/>
      <c r="E1868" s="58"/>
      <c r="F1868" s="58"/>
      <c r="G1868" s="58"/>
      <c r="H1868" s="88"/>
      <c r="I1868" s="88"/>
      <c r="J1868" s="58"/>
      <c r="K1868" s="58"/>
      <c r="L1868" s="58"/>
      <c r="M1868" s="58"/>
      <c r="N1868" s="88"/>
      <c r="O1868" s="88"/>
    </row>
    <row r="1869">
      <c r="A1869" s="93"/>
      <c r="B1869" s="58"/>
      <c r="C1869" s="58"/>
      <c r="D1869" s="58"/>
      <c r="E1869" s="58"/>
      <c r="F1869" s="58"/>
      <c r="G1869" s="58"/>
      <c r="H1869" s="88"/>
      <c r="I1869" s="88"/>
      <c r="J1869" s="58"/>
      <c r="K1869" s="58"/>
      <c r="L1869" s="58"/>
      <c r="M1869" s="58"/>
      <c r="N1869" s="88"/>
      <c r="O1869" s="88"/>
    </row>
    <row r="1870">
      <c r="A1870" s="93"/>
      <c r="B1870" s="58"/>
      <c r="C1870" s="58"/>
      <c r="D1870" s="58"/>
      <c r="E1870" s="58"/>
      <c r="F1870" s="58"/>
      <c r="G1870" s="58"/>
      <c r="H1870" s="88"/>
      <c r="I1870" s="88"/>
      <c r="J1870" s="58"/>
      <c r="K1870" s="58"/>
      <c r="L1870" s="58"/>
      <c r="M1870" s="58"/>
      <c r="N1870" s="88"/>
      <c r="O1870" s="88"/>
    </row>
    <row r="1871">
      <c r="A1871" s="93"/>
      <c r="B1871" s="58"/>
      <c r="C1871" s="58"/>
      <c r="D1871" s="58"/>
      <c r="E1871" s="58"/>
      <c r="F1871" s="58"/>
      <c r="G1871" s="58"/>
      <c r="H1871" s="88"/>
      <c r="I1871" s="88"/>
      <c r="J1871" s="58"/>
      <c r="K1871" s="58"/>
      <c r="L1871" s="58"/>
      <c r="M1871" s="58"/>
      <c r="N1871" s="88"/>
      <c r="O1871" s="88"/>
    </row>
    <row r="1872">
      <c r="A1872" s="93"/>
      <c r="B1872" s="58"/>
      <c r="C1872" s="58"/>
      <c r="D1872" s="58"/>
      <c r="E1872" s="58"/>
      <c r="F1872" s="58"/>
      <c r="G1872" s="58"/>
      <c r="H1872" s="88"/>
      <c r="I1872" s="88"/>
      <c r="J1872" s="58"/>
      <c r="K1872" s="58"/>
      <c r="L1872" s="58"/>
      <c r="M1872" s="58"/>
      <c r="N1872" s="88"/>
      <c r="O1872" s="88"/>
    </row>
    <row r="1873">
      <c r="A1873" s="93"/>
      <c r="B1873" s="58"/>
      <c r="C1873" s="58"/>
      <c r="D1873" s="58"/>
      <c r="E1873" s="58"/>
      <c r="F1873" s="58"/>
      <c r="G1873" s="58"/>
      <c r="H1873" s="88"/>
      <c r="I1873" s="88"/>
      <c r="J1873" s="58"/>
      <c r="K1873" s="58"/>
      <c r="L1873" s="58"/>
      <c r="M1873" s="58"/>
      <c r="N1873" s="88"/>
      <c r="O1873" s="88"/>
    </row>
    <row r="1874">
      <c r="A1874" s="93"/>
      <c r="B1874" s="58"/>
      <c r="C1874" s="58"/>
      <c r="D1874" s="58"/>
      <c r="E1874" s="58"/>
      <c r="F1874" s="58"/>
      <c r="G1874" s="58"/>
      <c r="H1874" s="88"/>
      <c r="I1874" s="88"/>
      <c r="J1874" s="58"/>
      <c r="K1874" s="58"/>
      <c r="L1874" s="58"/>
      <c r="M1874" s="58"/>
      <c r="N1874" s="88"/>
      <c r="O1874" s="88"/>
    </row>
    <row r="1875">
      <c r="A1875" s="93"/>
      <c r="B1875" s="58"/>
      <c r="C1875" s="58"/>
      <c r="D1875" s="58"/>
      <c r="E1875" s="58"/>
      <c r="F1875" s="58"/>
      <c r="G1875" s="58"/>
      <c r="H1875" s="88"/>
      <c r="I1875" s="88"/>
      <c r="J1875" s="58"/>
      <c r="K1875" s="58"/>
      <c r="L1875" s="58"/>
      <c r="M1875" s="58"/>
      <c r="N1875" s="88"/>
      <c r="O1875" s="88"/>
    </row>
    <row r="1876">
      <c r="A1876" s="93"/>
      <c r="B1876" s="58"/>
      <c r="C1876" s="58"/>
      <c r="D1876" s="58"/>
      <c r="E1876" s="58"/>
      <c r="F1876" s="58"/>
      <c r="G1876" s="58"/>
      <c r="H1876" s="88"/>
      <c r="I1876" s="88"/>
      <c r="J1876" s="58"/>
      <c r="K1876" s="58"/>
      <c r="L1876" s="58"/>
      <c r="M1876" s="58"/>
      <c r="N1876" s="88"/>
      <c r="O1876" s="88"/>
    </row>
    <row r="1877">
      <c r="A1877" s="93"/>
      <c r="B1877" s="58"/>
      <c r="C1877" s="58"/>
      <c r="D1877" s="58"/>
      <c r="E1877" s="58"/>
      <c r="F1877" s="58"/>
      <c r="G1877" s="58"/>
      <c r="H1877" s="88"/>
      <c r="I1877" s="88"/>
      <c r="J1877" s="58"/>
      <c r="K1877" s="58"/>
      <c r="L1877" s="58"/>
      <c r="M1877" s="58"/>
      <c r="N1877" s="88"/>
      <c r="O1877" s="88"/>
    </row>
    <row r="1878">
      <c r="A1878" s="93"/>
      <c r="B1878" s="58"/>
      <c r="C1878" s="58"/>
      <c r="D1878" s="58"/>
      <c r="E1878" s="58"/>
      <c r="F1878" s="58"/>
      <c r="G1878" s="58"/>
      <c r="H1878" s="88"/>
      <c r="I1878" s="88"/>
      <c r="J1878" s="58"/>
      <c r="K1878" s="58"/>
      <c r="L1878" s="58"/>
      <c r="M1878" s="58"/>
      <c r="N1878" s="88"/>
      <c r="O1878" s="88"/>
    </row>
    <row r="1879">
      <c r="A1879" s="93"/>
      <c r="B1879" s="58"/>
      <c r="C1879" s="58"/>
      <c r="D1879" s="58"/>
      <c r="E1879" s="58"/>
      <c r="F1879" s="58"/>
      <c r="G1879" s="58"/>
      <c r="H1879" s="88"/>
      <c r="I1879" s="88"/>
      <c r="J1879" s="58"/>
      <c r="K1879" s="58"/>
      <c r="L1879" s="58"/>
      <c r="M1879" s="58"/>
      <c r="N1879" s="88"/>
      <c r="O1879" s="88"/>
    </row>
    <row r="1880">
      <c r="A1880" s="93"/>
      <c r="B1880" s="58"/>
      <c r="C1880" s="58"/>
      <c r="D1880" s="58"/>
      <c r="E1880" s="58"/>
      <c r="F1880" s="58"/>
      <c r="G1880" s="58"/>
      <c r="H1880" s="88"/>
      <c r="I1880" s="88"/>
      <c r="J1880" s="58"/>
      <c r="K1880" s="58"/>
      <c r="L1880" s="58"/>
      <c r="M1880" s="58"/>
      <c r="N1880" s="88"/>
      <c r="O1880" s="88"/>
    </row>
    <row r="1881">
      <c r="A1881" s="93"/>
      <c r="B1881" s="58"/>
      <c r="C1881" s="58"/>
      <c r="D1881" s="58"/>
      <c r="E1881" s="58"/>
      <c r="F1881" s="58"/>
      <c r="G1881" s="58"/>
      <c r="H1881" s="88"/>
      <c r="I1881" s="88"/>
      <c r="J1881" s="58"/>
      <c r="K1881" s="58"/>
      <c r="L1881" s="58"/>
      <c r="M1881" s="58"/>
      <c r="N1881" s="88"/>
      <c r="O1881" s="88"/>
    </row>
    <row r="1882">
      <c r="A1882" s="93"/>
      <c r="B1882" s="58"/>
      <c r="C1882" s="58"/>
      <c r="D1882" s="58"/>
      <c r="E1882" s="58"/>
      <c r="F1882" s="58"/>
      <c r="G1882" s="58"/>
      <c r="H1882" s="88"/>
      <c r="I1882" s="88"/>
      <c r="J1882" s="58"/>
      <c r="K1882" s="58"/>
      <c r="L1882" s="58"/>
      <c r="M1882" s="58"/>
      <c r="N1882" s="88"/>
      <c r="O1882" s="88"/>
    </row>
    <row r="1883">
      <c r="A1883" s="93"/>
      <c r="B1883" s="58"/>
      <c r="C1883" s="58"/>
      <c r="D1883" s="58"/>
      <c r="E1883" s="58"/>
      <c r="F1883" s="58"/>
      <c r="G1883" s="58"/>
      <c r="H1883" s="88"/>
      <c r="I1883" s="88"/>
      <c r="J1883" s="58"/>
      <c r="K1883" s="58"/>
      <c r="L1883" s="58"/>
      <c r="M1883" s="58"/>
      <c r="N1883" s="88"/>
      <c r="O1883" s="88"/>
    </row>
    <row r="1884">
      <c r="A1884" s="93"/>
      <c r="B1884" s="58"/>
      <c r="C1884" s="58"/>
      <c r="D1884" s="58"/>
      <c r="E1884" s="58"/>
      <c r="F1884" s="58"/>
      <c r="G1884" s="58"/>
      <c r="H1884" s="88"/>
      <c r="I1884" s="88"/>
      <c r="J1884" s="58"/>
      <c r="K1884" s="58"/>
      <c r="L1884" s="58"/>
      <c r="M1884" s="58"/>
      <c r="N1884" s="88"/>
      <c r="O1884" s="88"/>
    </row>
    <row r="1885">
      <c r="A1885" s="93"/>
      <c r="B1885" s="58"/>
      <c r="C1885" s="58"/>
      <c r="D1885" s="58"/>
      <c r="E1885" s="58"/>
      <c r="F1885" s="58"/>
      <c r="G1885" s="58"/>
      <c r="H1885" s="88"/>
      <c r="I1885" s="88"/>
      <c r="J1885" s="58"/>
      <c r="K1885" s="58"/>
      <c r="L1885" s="58"/>
      <c r="M1885" s="58"/>
      <c r="N1885" s="88"/>
      <c r="O1885" s="88"/>
    </row>
    <row r="1886">
      <c r="A1886" s="93"/>
      <c r="B1886" s="58"/>
      <c r="C1886" s="58"/>
      <c r="D1886" s="58"/>
      <c r="E1886" s="58"/>
      <c r="F1886" s="58"/>
      <c r="G1886" s="58"/>
      <c r="H1886" s="88"/>
      <c r="I1886" s="88"/>
      <c r="J1886" s="58"/>
      <c r="K1886" s="58"/>
      <c r="L1886" s="58"/>
      <c r="M1886" s="58"/>
      <c r="N1886" s="88"/>
      <c r="O1886" s="88"/>
    </row>
    <row r="1887">
      <c r="A1887" s="93"/>
      <c r="B1887" s="58"/>
      <c r="C1887" s="58"/>
      <c r="D1887" s="58"/>
      <c r="E1887" s="58"/>
      <c r="F1887" s="58"/>
      <c r="G1887" s="58"/>
      <c r="H1887" s="88"/>
      <c r="I1887" s="88"/>
      <c r="J1887" s="58"/>
      <c r="K1887" s="58"/>
      <c r="L1887" s="58"/>
      <c r="M1887" s="58"/>
      <c r="N1887" s="88"/>
      <c r="O1887" s="88"/>
    </row>
    <row r="1888">
      <c r="A1888" s="93"/>
      <c r="B1888" s="58"/>
      <c r="C1888" s="58"/>
      <c r="D1888" s="58"/>
      <c r="E1888" s="58"/>
      <c r="F1888" s="58"/>
      <c r="G1888" s="58"/>
      <c r="H1888" s="88"/>
      <c r="I1888" s="88"/>
      <c r="J1888" s="58"/>
      <c r="K1888" s="58"/>
      <c r="L1888" s="58"/>
      <c r="M1888" s="58"/>
      <c r="N1888" s="88"/>
      <c r="O1888" s="88"/>
    </row>
    <row r="1889">
      <c r="A1889" s="93"/>
      <c r="B1889" s="58"/>
      <c r="C1889" s="58"/>
      <c r="D1889" s="58"/>
      <c r="E1889" s="58"/>
      <c r="F1889" s="58"/>
      <c r="G1889" s="58"/>
      <c r="H1889" s="88"/>
      <c r="I1889" s="88"/>
      <c r="J1889" s="58"/>
      <c r="K1889" s="58"/>
      <c r="L1889" s="58"/>
      <c r="M1889" s="58"/>
      <c r="N1889" s="88"/>
      <c r="O1889" s="88"/>
    </row>
    <row r="1890">
      <c r="A1890" s="93"/>
      <c r="B1890" s="58"/>
      <c r="C1890" s="58"/>
      <c r="D1890" s="58"/>
      <c r="E1890" s="58"/>
      <c r="F1890" s="58"/>
      <c r="G1890" s="58"/>
      <c r="H1890" s="88"/>
      <c r="I1890" s="88"/>
      <c r="J1890" s="58"/>
      <c r="K1890" s="58"/>
      <c r="L1890" s="58"/>
      <c r="M1890" s="58"/>
      <c r="N1890" s="88"/>
      <c r="O1890" s="88"/>
    </row>
    <row r="1891">
      <c r="A1891" s="93"/>
      <c r="B1891" s="58"/>
      <c r="C1891" s="58"/>
      <c r="D1891" s="58"/>
      <c r="E1891" s="58"/>
      <c r="F1891" s="58"/>
      <c r="G1891" s="58"/>
      <c r="H1891" s="88"/>
      <c r="I1891" s="88"/>
      <c r="J1891" s="58"/>
      <c r="K1891" s="58"/>
      <c r="L1891" s="58"/>
      <c r="M1891" s="58"/>
      <c r="N1891" s="88"/>
      <c r="O1891" s="88"/>
    </row>
    <row r="1892">
      <c r="A1892" s="93"/>
      <c r="B1892" s="58"/>
      <c r="C1892" s="58"/>
      <c r="D1892" s="58"/>
      <c r="E1892" s="58"/>
      <c r="F1892" s="58"/>
      <c r="G1892" s="58"/>
      <c r="H1892" s="88"/>
      <c r="I1892" s="88"/>
      <c r="J1892" s="58"/>
      <c r="K1892" s="58"/>
      <c r="L1892" s="58"/>
      <c r="M1892" s="58"/>
      <c r="N1892" s="88"/>
      <c r="O1892" s="88"/>
    </row>
    <row r="1893">
      <c r="A1893" s="93"/>
      <c r="B1893" s="58"/>
      <c r="C1893" s="58"/>
      <c r="D1893" s="58"/>
      <c r="E1893" s="58"/>
      <c r="F1893" s="58"/>
      <c r="G1893" s="58"/>
      <c r="H1893" s="88"/>
      <c r="I1893" s="88"/>
      <c r="J1893" s="58"/>
      <c r="K1893" s="58"/>
      <c r="L1893" s="58"/>
      <c r="M1893" s="58"/>
      <c r="N1893" s="88"/>
      <c r="O1893" s="88"/>
    </row>
    <row r="1894">
      <c r="A1894" s="93"/>
      <c r="B1894" s="58"/>
      <c r="C1894" s="58"/>
      <c r="D1894" s="58"/>
      <c r="E1894" s="58"/>
      <c r="F1894" s="58"/>
      <c r="G1894" s="58"/>
      <c r="H1894" s="88"/>
      <c r="I1894" s="88"/>
      <c r="J1894" s="58"/>
      <c r="K1894" s="58"/>
      <c r="L1894" s="58"/>
      <c r="M1894" s="58"/>
      <c r="N1894" s="88"/>
      <c r="O1894" s="88"/>
    </row>
    <row r="1895">
      <c r="A1895" s="93"/>
      <c r="B1895" s="58"/>
      <c r="C1895" s="58"/>
      <c r="D1895" s="58"/>
      <c r="E1895" s="58"/>
      <c r="F1895" s="58"/>
      <c r="G1895" s="58"/>
      <c r="H1895" s="88"/>
      <c r="I1895" s="88"/>
      <c r="J1895" s="58"/>
      <c r="K1895" s="58"/>
      <c r="L1895" s="58"/>
      <c r="M1895" s="58"/>
      <c r="N1895" s="88"/>
      <c r="O1895" s="88"/>
    </row>
    <row r="1896">
      <c r="A1896" s="93"/>
      <c r="B1896" s="58"/>
      <c r="C1896" s="58"/>
      <c r="D1896" s="58"/>
      <c r="E1896" s="58"/>
      <c r="F1896" s="58"/>
      <c r="G1896" s="58"/>
      <c r="H1896" s="88"/>
      <c r="I1896" s="88"/>
      <c r="J1896" s="58"/>
      <c r="K1896" s="58"/>
      <c r="L1896" s="58"/>
      <c r="M1896" s="58"/>
      <c r="N1896" s="88"/>
      <c r="O1896" s="88"/>
    </row>
    <row r="1897">
      <c r="A1897" s="93"/>
      <c r="B1897" s="58"/>
      <c r="C1897" s="58"/>
      <c r="D1897" s="58"/>
      <c r="E1897" s="58"/>
      <c r="F1897" s="58"/>
      <c r="G1897" s="58"/>
      <c r="H1897" s="88"/>
      <c r="I1897" s="88"/>
      <c r="J1897" s="58"/>
      <c r="K1897" s="58"/>
      <c r="L1897" s="58"/>
      <c r="M1897" s="58"/>
      <c r="N1897" s="88"/>
      <c r="O1897" s="88"/>
    </row>
    <row r="1898">
      <c r="A1898" s="93"/>
      <c r="B1898" s="58"/>
      <c r="C1898" s="58"/>
      <c r="D1898" s="58"/>
      <c r="E1898" s="58"/>
      <c r="F1898" s="58"/>
      <c r="G1898" s="58"/>
      <c r="H1898" s="88"/>
      <c r="I1898" s="88"/>
      <c r="J1898" s="58"/>
      <c r="K1898" s="58"/>
      <c r="L1898" s="58"/>
      <c r="M1898" s="58"/>
      <c r="N1898" s="88"/>
      <c r="O1898" s="88"/>
    </row>
    <row r="1899">
      <c r="A1899" s="93"/>
      <c r="B1899" s="58"/>
      <c r="C1899" s="58"/>
      <c r="D1899" s="58"/>
      <c r="E1899" s="58"/>
      <c r="F1899" s="58"/>
      <c r="G1899" s="58"/>
      <c r="H1899" s="88"/>
      <c r="I1899" s="88"/>
      <c r="J1899" s="58"/>
      <c r="K1899" s="58"/>
      <c r="L1899" s="58"/>
      <c r="M1899" s="58"/>
      <c r="N1899" s="88"/>
      <c r="O1899" s="88"/>
    </row>
    <row r="1900">
      <c r="A1900" s="93"/>
      <c r="B1900" s="58"/>
      <c r="C1900" s="58"/>
      <c r="D1900" s="58"/>
      <c r="E1900" s="58"/>
      <c r="F1900" s="58"/>
      <c r="G1900" s="58"/>
      <c r="H1900" s="88"/>
      <c r="I1900" s="88"/>
      <c r="J1900" s="58"/>
      <c r="K1900" s="58"/>
      <c r="L1900" s="58"/>
      <c r="M1900" s="58"/>
      <c r="N1900" s="88"/>
      <c r="O1900" s="88"/>
    </row>
    <row r="1901">
      <c r="A1901" s="93"/>
      <c r="B1901" s="58"/>
      <c r="C1901" s="58"/>
      <c r="D1901" s="58"/>
      <c r="E1901" s="58"/>
      <c r="F1901" s="58"/>
      <c r="G1901" s="58"/>
      <c r="H1901" s="88"/>
      <c r="I1901" s="88"/>
      <c r="J1901" s="58"/>
      <c r="K1901" s="58"/>
      <c r="L1901" s="58"/>
      <c r="M1901" s="58"/>
      <c r="N1901" s="88"/>
      <c r="O1901" s="88"/>
    </row>
    <row r="1902">
      <c r="A1902" s="93"/>
      <c r="B1902" s="58"/>
      <c r="C1902" s="58"/>
      <c r="D1902" s="58"/>
      <c r="E1902" s="58"/>
      <c r="F1902" s="58"/>
      <c r="G1902" s="58"/>
      <c r="H1902" s="88"/>
      <c r="I1902" s="88"/>
      <c r="J1902" s="58"/>
      <c r="K1902" s="58"/>
      <c r="L1902" s="58"/>
      <c r="M1902" s="58"/>
      <c r="N1902" s="88"/>
      <c r="O1902" s="88"/>
    </row>
    <row r="1903">
      <c r="A1903" s="93"/>
      <c r="B1903" s="58"/>
      <c r="C1903" s="58"/>
      <c r="D1903" s="58"/>
      <c r="E1903" s="58"/>
      <c r="F1903" s="58"/>
      <c r="G1903" s="58"/>
      <c r="H1903" s="88"/>
      <c r="I1903" s="88"/>
      <c r="J1903" s="58"/>
      <c r="K1903" s="58"/>
      <c r="L1903" s="58"/>
      <c r="M1903" s="58"/>
      <c r="N1903" s="88"/>
      <c r="O1903" s="88"/>
    </row>
    <row r="1904">
      <c r="A1904" s="93"/>
      <c r="B1904" s="58"/>
      <c r="C1904" s="58"/>
      <c r="D1904" s="58"/>
      <c r="E1904" s="58"/>
      <c r="F1904" s="58"/>
      <c r="G1904" s="58"/>
      <c r="H1904" s="88"/>
      <c r="I1904" s="88"/>
      <c r="J1904" s="58"/>
      <c r="K1904" s="58"/>
      <c r="L1904" s="58"/>
      <c r="M1904" s="58"/>
      <c r="N1904" s="88"/>
      <c r="O1904" s="88"/>
    </row>
    <row r="1905">
      <c r="A1905" s="93"/>
      <c r="B1905" s="58"/>
      <c r="C1905" s="58"/>
      <c r="D1905" s="58"/>
      <c r="E1905" s="58"/>
      <c r="F1905" s="58"/>
      <c r="G1905" s="58"/>
      <c r="H1905" s="88"/>
      <c r="I1905" s="88"/>
      <c r="J1905" s="58"/>
      <c r="K1905" s="58"/>
      <c r="L1905" s="58"/>
      <c r="M1905" s="58"/>
      <c r="N1905" s="88"/>
      <c r="O1905" s="88"/>
    </row>
    <row r="1906">
      <c r="A1906" s="93"/>
      <c r="B1906" s="58"/>
      <c r="C1906" s="58"/>
      <c r="D1906" s="58"/>
      <c r="E1906" s="58"/>
      <c r="F1906" s="58"/>
      <c r="G1906" s="58"/>
      <c r="H1906" s="88"/>
      <c r="I1906" s="88"/>
      <c r="J1906" s="58"/>
      <c r="K1906" s="58"/>
      <c r="L1906" s="58"/>
      <c r="M1906" s="58"/>
      <c r="N1906" s="88"/>
      <c r="O1906" s="88"/>
    </row>
    <row r="1907">
      <c r="A1907" s="93"/>
      <c r="B1907" s="58"/>
      <c r="C1907" s="58"/>
      <c r="D1907" s="58"/>
      <c r="E1907" s="58"/>
      <c r="F1907" s="58"/>
      <c r="G1907" s="58"/>
      <c r="H1907" s="88"/>
      <c r="I1907" s="88"/>
      <c r="J1907" s="58"/>
      <c r="K1907" s="58"/>
      <c r="L1907" s="58"/>
      <c r="M1907" s="58"/>
      <c r="N1907" s="88"/>
      <c r="O1907" s="88"/>
    </row>
    <row r="1908">
      <c r="A1908" s="93"/>
      <c r="B1908" s="58"/>
      <c r="C1908" s="58"/>
      <c r="D1908" s="58"/>
      <c r="E1908" s="58"/>
      <c r="F1908" s="58"/>
      <c r="G1908" s="58"/>
      <c r="H1908" s="88"/>
      <c r="I1908" s="88"/>
      <c r="J1908" s="58"/>
      <c r="K1908" s="58"/>
      <c r="L1908" s="58"/>
      <c r="M1908" s="58"/>
      <c r="N1908" s="88"/>
      <c r="O1908" s="88"/>
    </row>
    <row r="1909">
      <c r="A1909" s="93"/>
      <c r="B1909" s="58"/>
      <c r="C1909" s="58"/>
      <c r="D1909" s="58"/>
      <c r="E1909" s="58"/>
      <c r="F1909" s="58"/>
      <c r="G1909" s="58"/>
      <c r="H1909" s="88"/>
      <c r="I1909" s="88"/>
      <c r="J1909" s="58"/>
      <c r="K1909" s="58"/>
      <c r="L1909" s="58"/>
      <c r="M1909" s="58"/>
      <c r="N1909" s="88"/>
      <c r="O1909" s="88"/>
    </row>
    <row r="1910">
      <c r="A1910" s="93"/>
      <c r="B1910" s="58"/>
      <c r="C1910" s="58"/>
      <c r="D1910" s="58"/>
      <c r="E1910" s="58"/>
      <c r="F1910" s="58"/>
      <c r="G1910" s="58"/>
      <c r="H1910" s="88"/>
      <c r="I1910" s="88"/>
      <c r="J1910" s="58"/>
      <c r="K1910" s="58"/>
      <c r="L1910" s="58"/>
      <c r="M1910" s="58"/>
      <c r="N1910" s="88"/>
      <c r="O1910" s="88"/>
    </row>
    <row r="1911">
      <c r="A1911" s="93"/>
      <c r="B1911" s="58"/>
      <c r="C1911" s="58"/>
      <c r="D1911" s="58"/>
      <c r="E1911" s="58"/>
      <c r="F1911" s="58"/>
      <c r="G1911" s="58"/>
      <c r="H1911" s="88"/>
      <c r="I1911" s="88"/>
      <c r="J1911" s="58"/>
      <c r="K1911" s="58"/>
      <c r="L1911" s="58"/>
      <c r="M1911" s="58"/>
      <c r="N1911" s="88"/>
      <c r="O1911" s="88"/>
    </row>
    <row r="1912">
      <c r="A1912" s="93"/>
      <c r="B1912" s="58"/>
      <c r="C1912" s="58"/>
      <c r="D1912" s="58"/>
      <c r="E1912" s="58"/>
      <c r="F1912" s="58"/>
      <c r="G1912" s="58"/>
      <c r="H1912" s="88"/>
      <c r="I1912" s="88"/>
      <c r="J1912" s="58"/>
      <c r="K1912" s="58"/>
      <c r="L1912" s="58"/>
      <c r="M1912" s="58"/>
      <c r="N1912" s="88"/>
      <c r="O1912" s="88"/>
    </row>
    <row r="1913">
      <c r="A1913" s="93"/>
      <c r="B1913" s="58"/>
      <c r="C1913" s="58"/>
      <c r="D1913" s="58"/>
      <c r="E1913" s="58"/>
      <c r="F1913" s="58"/>
      <c r="G1913" s="58"/>
      <c r="H1913" s="88"/>
      <c r="I1913" s="88"/>
      <c r="J1913" s="58"/>
      <c r="K1913" s="58"/>
      <c r="L1913" s="58"/>
      <c r="M1913" s="58"/>
      <c r="N1913" s="88"/>
      <c r="O1913" s="88"/>
    </row>
    <row r="1914">
      <c r="A1914" s="93"/>
      <c r="B1914" s="58"/>
      <c r="C1914" s="58"/>
      <c r="D1914" s="58"/>
      <c r="E1914" s="58"/>
      <c r="F1914" s="58"/>
      <c r="G1914" s="58"/>
      <c r="H1914" s="88"/>
      <c r="I1914" s="88"/>
      <c r="J1914" s="58"/>
      <c r="K1914" s="58"/>
      <c r="L1914" s="58"/>
      <c r="M1914" s="58"/>
      <c r="N1914" s="88"/>
      <c r="O1914" s="88"/>
    </row>
    <row r="1915">
      <c r="A1915" s="93"/>
      <c r="B1915" s="58"/>
      <c r="C1915" s="58"/>
      <c r="D1915" s="58"/>
      <c r="E1915" s="58"/>
      <c r="F1915" s="58"/>
      <c r="G1915" s="58"/>
      <c r="H1915" s="88"/>
      <c r="I1915" s="88"/>
      <c r="J1915" s="58"/>
      <c r="K1915" s="58"/>
      <c r="L1915" s="58"/>
      <c r="M1915" s="58"/>
      <c r="N1915" s="88"/>
      <c r="O1915" s="88"/>
    </row>
    <row r="1916">
      <c r="A1916" s="93"/>
      <c r="B1916" s="58"/>
      <c r="C1916" s="58"/>
      <c r="D1916" s="58"/>
      <c r="E1916" s="58"/>
      <c r="F1916" s="58"/>
      <c r="G1916" s="58"/>
      <c r="H1916" s="88"/>
      <c r="I1916" s="88"/>
      <c r="J1916" s="58"/>
      <c r="K1916" s="58"/>
      <c r="L1916" s="58"/>
      <c r="M1916" s="58"/>
      <c r="N1916" s="88"/>
      <c r="O1916" s="88"/>
    </row>
    <row r="1917">
      <c r="A1917" s="93"/>
      <c r="B1917" s="58"/>
      <c r="C1917" s="58"/>
      <c r="D1917" s="58"/>
      <c r="E1917" s="58"/>
      <c r="F1917" s="58"/>
      <c r="G1917" s="58"/>
      <c r="H1917" s="88"/>
      <c r="I1917" s="88"/>
      <c r="J1917" s="58"/>
      <c r="K1917" s="58"/>
      <c r="L1917" s="58"/>
      <c r="M1917" s="58"/>
      <c r="N1917" s="88"/>
      <c r="O1917" s="88"/>
    </row>
    <row r="1918">
      <c r="A1918" s="93"/>
      <c r="B1918" s="58"/>
      <c r="C1918" s="58"/>
      <c r="D1918" s="58"/>
      <c r="E1918" s="58"/>
      <c r="F1918" s="58"/>
      <c r="G1918" s="58"/>
      <c r="H1918" s="88"/>
      <c r="I1918" s="88"/>
      <c r="J1918" s="58"/>
      <c r="K1918" s="58"/>
      <c r="L1918" s="58"/>
      <c r="M1918" s="58"/>
      <c r="N1918" s="88"/>
      <c r="O1918" s="88"/>
    </row>
    <row r="1919">
      <c r="A1919" s="93"/>
      <c r="B1919" s="58"/>
      <c r="C1919" s="58"/>
      <c r="D1919" s="58"/>
      <c r="E1919" s="58"/>
      <c r="F1919" s="58"/>
      <c r="G1919" s="58"/>
      <c r="H1919" s="88"/>
      <c r="I1919" s="88"/>
      <c r="J1919" s="58"/>
      <c r="K1919" s="58"/>
      <c r="L1919" s="58"/>
      <c r="M1919" s="58"/>
      <c r="N1919" s="88"/>
      <c r="O1919" s="88"/>
    </row>
    <row r="1920">
      <c r="A1920" s="93"/>
      <c r="B1920" s="58"/>
      <c r="C1920" s="58"/>
      <c r="D1920" s="58"/>
      <c r="E1920" s="58"/>
      <c r="F1920" s="58"/>
      <c r="G1920" s="58"/>
      <c r="H1920" s="88"/>
      <c r="I1920" s="88"/>
      <c r="J1920" s="58"/>
      <c r="K1920" s="58"/>
      <c r="L1920" s="58"/>
      <c r="M1920" s="58"/>
      <c r="N1920" s="88"/>
      <c r="O1920" s="88"/>
    </row>
    <row r="1921">
      <c r="A1921" s="93"/>
      <c r="B1921" s="58"/>
      <c r="C1921" s="58"/>
      <c r="D1921" s="58"/>
      <c r="E1921" s="58"/>
      <c r="F1921" s="58"/>
      <c r="G1921" s="58"/>
      <c r="H1921" s="88"/>
      <c r="I1921" s="88"/>
      <c r="J1921" s="58"/>
      <c r="K1921" s="58"/>
      <c r="L1921" s="58"/>
      <c r="M1921" s="58"/>
      <c r="N1921" s="88"/>
      <c r="O1921" s="88"/>
    </row>
    <row r="1922">
      <c r="A1922" s="93"/>
      <c r="B1922" s="58"/>
      <c r="C1922" s="58"/>
      <c r="D1922" s="58"/>
      <c r="E1922" s="58"/>
      <c r="F1922" s="58"/>
      <c r="G1922" s="58"/>
      <c r="H1922" s="88"/>
      <c r="I1922" s="88"/>
      <c r="J1922" s="58"/>
      <c r="K1922" s="58"/>
      <c r="L1922" s="58"/>
      <c r="M1922" s="58"/>
      <c r="N1922" s="88"/>
      <c r="O1922" s="88"/>
    </row>
    <row r="1923">
      <c r="A1923" s="93"/>
      <c r="B1923" s="58"/>
      <c r="C1923" s="58"/>
      <c r="D1923" s="58"/>
      <c r="E1923" s="58"/>
      <c r="F1923" s="58"/>
      <c r="G1923" s="58"/>
      <c r="H1923" s="88"/>
      <c r="I1923" s="88"/>
      <c r="J1923" s="58"/>
      <c r="K1923" s="58"/>
      <c r="L1923" s="58"/>
      <c r="M1923" s="58"/>
      <c r="N1923" s="88"/>
      <c r="O1923" s="88"/>
    </row>
    <row r="1924">
      <c r="A1924" s="93"/>
      <c r="B1924" s="58"/>
      <c r="C1924" s="58"/>
      <c r="D1924" s="58"/>
      <c r="E1924" s="58"/>
      <c r="F1924" s="58"/>
      <c r="G1924" s="58"/>
      <c r="H1924" s="88"/>
      <c r="I1924" s="88"/>
      <c r="J1924" s="58"/>
      <c r="K1924" s="58"/>
      <c r="L1924" s="58"/>
      <c r="M1924" s="58"/>
      <c r="N1924" s="88"/>
      <c r="O1924" s="88"/>
    </row>
    <row r="1925">
      <c r="A1925" s="93"/>
      <c r="B1925" s="58"/>
      <c r="C1925" s="58"/>
      <c r="D1925" s="58"/>
      <c r="E1925" s="58"/>
      <c r="F1925" s="58"/>
      <c r="G1925" s="58"/>
      <c r="H1925" s="88"/>
      <c r="I1925" s="88"/>
      <c r="J1925" s="58"/>
      <c r="K1925" s="58"/>
      <c r="L1925" s="58"/>
      <c r="M1925" s="58"/>
      <c r="N1925" s="88"/>
      <c r="O1925" s="88"/>
    </row>
    <row r="1926">
      <c r="A1926" s="93"/>
      <c r="B1926" s="58"/>
      <c r="C1926" s="58"/>
      <c r="D1926" s="58"/>
      <c r="E1926" s="58"/>
      <c r="F1926" s="58"/>
      <c r="G1926" s="58"/>
      <c r="H1926" s="88"/>
      <c r="I1926" s="88"/>
      <c r="J1926" s="58"/>
      <c r="K1926" s="58"/>
      <c r="L1926" s="58"/>
      <c r="M1926" s="58"/>
      <c r="N1926" s="88"/>
      <c r="O1926" s="88"/>
    </row>
    <row r="1927">
      <c r="A1927" s="93"/>
      <c r="B1927" s="58"/>
      <c r="C1927" s="58"/>
      <c r="D1927" s="58"/>
      <c r="E1927" s="58"/>
      <c r="F1927" s="58"/>
      <c r="G1927" s="58"/>
      <c r="H1927" s="88"/>
      <c r="I1927" s="88"/>
      <c r="J1927" s="58"/>
      <c r="K1927" s="58"/>
      <c r="L1927" s="58"/>
      <c r="M1927" s="58"/>
      <c r="N1927" s="88"/>
      <c r="O1927" s="88"/>
    </row>
  </sheetData>
  <mergeCells count="10">
    <mergeCell ref="A910:AF911"/>
    <mergeCell ref="A994:AF995"/>
    <mergeCell ref="R1158:S1166"/>
    <mergeCell ref="A1:R1"/>
    <mergeCell ref="A3:R3"/>
    <mergeCell ref="D90:O90"/>
    <mergeCell ref="A254:Q254"/>
    <mergeCell ref="D382:L382"/>
    <mergeCell ref="D569:L569"/>
    <mergeCell ref="A745:P745"/>
  </mergeCells>
  <dataValidations>
    <dataValidation type="list" allowBlank="1" showErrorMessage="1" sqref="K2 K4:K22 K27:K43 K54:K79 K91:K142 K149:K176 K184:K221 K231:K247 K257:K339 K342:K352 K355:K373 K386:K415 K421:K444 K448:K473 K481:K484 K487:K509 K513:K528 K533:K542 K545:K565 K570:K585 K591:K609 K614:K623 J624:K624 K625:K644 K654:K677 K682:K705 K711:K742 K744 K748:K786 K789:K840 K851:K870 K872:K892 K898:K907 K914:K942 K944:K984 J985:K991 K992:K993 K996:K1108 J1109:K1113 K1114:K1147 K1149:K1150 K1158:K1160 J1161:K1166 K1167:K1218 J1219:K1220 K1221:K1305 J1306:K1314 K1315:K1339 J1340:K1353 K1354:K1378 J1379:K1387 K1388:K1415 J1416:K1417 K1418:K1439 J1440:K1440 K1441:K1463 J1464:J1468 K1469:K1927">
      <formula1>"TP,FULL,SAOD"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9.78"/>
    <col customWidth="1" min="3" max="3" width="11.89"/>
    <col customWidth="1" min="4" max="4" width="4.56"/>
    <col customWidth="1" min="5" max="5" width="38.33"/>
    <col customWidth="1" min="6" max="6" width="39.22"/>
    <col customWidth="1" min="7" max="7" width="11.22"/>
    <col customWidth="1" min="8" max="8" width="10.0"/>
    <col customWidth="1" min="9" max="9" width="4.89"/>
    <col customWidth="1" min="10" max="10" width="10.0"/>
    <col customWidth="1" min="11" max="11" width="14.0"/>
    <col customWidth="1" min="12" max="12" width="9.78"/>
    <col customWidth="1" min="13" max="13" width="3.44"/>
    <col customWidth="1" min="14" max="14" width="2.89"/>
    <col customWidth="1" min="15" max="16" width="8.78"/>
    <col customWidth="1" min="17" max="17" width="8.44"/>
    <col customWidth="1" min="18" max="18" width="10.0"/>
  </cols>
  <sheetData>
    <row r="1">
      <c r="A1" s="3" t="s">
        <v>6629</v>
      </c>
      <c r="B1" s="4" t="s">
        <v>0</v>
      </c>
      <c r="C1" s="1" t="s">
        <v>1</v>
      </c>
      <c r="D1" s="3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643" t="s">
        <v>11157</v>
      </c>
      <c r="J1" s="4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</row>
    <row r="2">
      <c r="A2" s="644">
        <v>1.0</v>
      </c>
      <c r="B2" s="645">
        <v>45602.0</v>
      </c>
      <c r="C2" s="646" t="s">
        <v>7238</v>
      </c>
      <c r="D2" s="646" t="s">
        <v>966</v>
      </c>
      <c r="E2" s="646" t="s">
        <v>11158</v>
      </c>
      <c r="F2" s="646" t="s">
        <v>11159</v>
      </c>
      <c r="G2" s="646">
        <v>9.979866229E9</v>
      </c>
      <c r="H2" s="646"/>
      <c r="I2" s="647">
        <v>1196.0</v>
      </c>
      <c r="J2" s="648">
        <v>45967.0</v>
      </c>
      <c r="K2" s="646" t="s">
        <v>78</v>
      </c>
      <c r="L2" s="646" t="s">
        <v>26</v>
      </c>
      <c r="M2" s="646" t="s">
        <v>71</v>
      </c>
      <c r="N2" s="646" t="s">
        <v>8262</v>
      </c>
      <c r="O2" s="647">
        <v>3851.0</v>
      </c>
      <c r="P2" s="647">
        <v>4544.0</v>
      </c>
      <c r="Q2" s="6">
        <v>37.0</v>
      </c>
      <c r="R2" s="31">
        <f t="shared" ref="R2:R34" si="1">O2*Q2%</f>
        <v>1424.87</v>
      </c>
    </row>
    <row r="3">
      <c r="A3" s="644">
        <v>2.0</v>
      </c>
      <c r="B3" s="649">
        <v>45602.0</v>
      </c>
      <c r="C3" s="650" t="s">
        <v>11160</v>
      </c>
      <c r="D3" s="650" t="s">
        <v>60</v>
      </c>
      <c r="E3" s="650" t="s">
        <v>11161</v>
      </c>
      <c r="F3" s="650" t="s">
        <v>11162</v>
      </c>
      <c r="G3" s="650">
        <v>9.87941223E9</v>
      </c>
      <c r="H3" s="650"/>
      <c r="I3" s="651">
        <v>150.0</v>
      </c>
      <c r="J3" s="651" t="s">
        <v>4188</v>
      </c>
      <c r="K3" s="650" t="s">
        <v>1419</v>
      </c>
      <c r="L3" s="650" t="s">
        <v>26</v>
      </c>
      <c r="M3" s="650" t="s">
        <v>71</v>
      </c>
      <c r="N3" s="650" t="s">
        <v>8262</v>
      </c>
      <c r="O3" s="651">
        <v>714.0</v>
      </c>
      <c r="P3" s="651">
        <v>842.0</v>
      </c>
      <c r="Q3" s="6">
        <v>40.0</v>
      </c>
      <c r="R3" s="31">
        <f t="shared" si="1"/>
        <v>285.6</v>
      </c>
    </row>
    <row r="4">
      <c r="A4" s="644">
        <v>3.0</v>
      </c>
      <c r="B4" s="649">
        <v>45602.0</v>
      </c>
      <c r="C4" s="650" t="s">
        <v>11163</v>
      </c>
      <c r="D4" s="650" t="s">
        <v>60</v>
      </c>
      <c r="E4" s="650" t="s">
        <v>11164</v>
      </c>
      <c r="F4" s="650" t="s">
        <v>11165</v>
      </c>
      <c r="G4" s="650">
        <v>9.067324747E9</v>
      </c>
      <c r="H4" s="650"/>
      <c r="I4" s="651">
        <v>109.0</v>
      </c>
      <c r="J4" s="652">
        <v>45967.0</v>
      </c>
      <c r="K4" s="650" t="s">
        <v>1419</v>
      </c>
      <c r="L4" s="650" t="s">
        <v>26</v>
      </c>
      <c r="M4" s="650" t="s">
        <v>27</v>
      </c>
      <c r="N4" s="650" t="s">
        <v>8262</v>
      </c>
      <c r="O4" s="651">
        <v>714.0</v>
      </c>
      <c r="P4" s="651">
        <v>842.0</v>
      </c>
      <c r="Q4" s="6">
        <v>50.0</v>
      </c>
      <c r="R4" s="31">
        <f t="shared" si="1"/>
        <v>357</v>
      </c>
    </row>
    <row r="5">
      <c r="A5" s="644">
        <v>4.0</v>
      </c>
      <c r="B5" s="649">
        <v>45632.0</v>
      </c>
      <c r="C5" s="650" t="s">
        <v>11166</v>
      </c>
      <c r="D5" s="650" t="s">
        <v>60</v>
      </c>
      <c r="E5" s="650" t="s">
        <v>11167</v>
      </c>
      <c r="F5" s="650" t="s">
        <v>11168</v>
      </c>
      <c r="G5" s="650">
        <v>9.825094942E9</v>
      </c>
      <c r="H5" s="650"/>
      <c r="I5" s="651">
        <v>149.0</v>
      </c>
      <c r="J5" s="653">
        <v>45877.0</v>
      </c>
      <c r="K5" s="650" t="s">
        <v>11169</v>
      </c>
      <c r="L5" s="650" t="s">
        <v>26</v>
      </c>
      <c r="M5" s="650" t="s">
        <v>71</v>
      </c>
      <c r="N5" s="650" t="s">
        <v>8262</v>
      </c>
      <c r="O5" s="651">
        <v>714.0</v>
      </c>
      <c r="P5" s="651">
        <v>843.0</v>
      </c>
      <c r="Q5" s="6">
        <v>35.0</v>
      </c>
      <c r="R5" s="31">
        <f t="shared" si="1"/>
        <v>249.9</v>
      </c>
    </row>
    <row r="6">
      <c r="A6" s="644">
        <v>5.0</v>
      </c>
      <c r="B6" s="654" t="s">
        <v>9553</v>
      </c>
      <c r="C6" s="650" t="s">
        <v>7269</v>
      </c>
      <c r="D6" s="650" t="s">
        <v>966</v>
      </c>
      <c r="E6" s="650" t="s">
        <v>11170</v>
      </c>
      <c r="F6" s="650" t="s">
        <v>11171</v>
      </c>
      <c r="G6" s="650">
        <v>9.978003048E9</v>
      </c>
      <c r="H6" s="650"/>
      <c r="I6" s="651">
        <v>1061.0</v>
      </c>
      <c r="J6" s="651" t="s">
        <v>9577</v>
      </c>
      <c r="K6" s="650" t="s">
        <v>78</v>
      </c>
      <c r="L6" s="650" t="s">
        <v>26</v>
      </c>
      <c r="M6" s="650" t="s">
        <v>71</v>
      </c>
      <c r="N6" s="650" t="s">
        <v>8262</v>
      </c>
      <c r="O6" s="651">
        <v>3851.0</v>
      </c>
      <c r="P6" s="651">
        <v>4544.0</v>
      </c>
      <c r="Q6" s="6">
        <v>37.0</v>
      </c>
      <c r="R6" s="31">
        <f t="shared" si="1"/>
        <v>1424.87</v>
      </c>
    </row>
    <row r="7">
      <c r="A7" s="644">
        <v>6.0</v>
      </c>
      <c r="B7" s="654" t="s">
        <v>9553</v>
      </c>
      <c r="C7" s="650" t="s">
        <v>11172</v>
      </c>
      <c r="D7" s="650" t="s">
        <v>966</v>
      </c>
      <c r="E7" s="650" t="s">
        <v>11173</v>
      </c>
      <c r="F7" s="650" t="s">
        <v>11174</v>
      </c>
      <c r="G7" s="650">
        <v>9.664884525E9</v>
      </c>
      <c r="H7" s="650"/>
      <c r="I7" s="651">
        <v>796.0</v>
      </c>
      <c r="J7" s="651" t="s">
        <v>9538</v>
      </c>
      <c r="K7" s="650" t="s">
        <v>78</v>
      </c>
      <c r="L7" s="650" t="s">
        <v>26</v>
      </c>
      <c r="M7" s="650" t="s">
        <v>71</v>
      </c>
      <c r="N7" s="650" t="s">
        <v>8262</v>
      </c>
      <c r="O7" s="651">
        <v>2154.0</v>
      </c>
      <c r="P7" s="651">
        <v>2542.0</v>
      </c>
      <c r="Q7" s="6">
        <v>37.0</v>
      </c>
      <c r="R7" s="31">
        <f t="shared" si="1"/>
        <v>796.98</v>
      </c>
    </row>
    <row r="8">
      <c r="A8" s="644">
        <v>7.0</v>
      </c>
      <c r="B8" s="654" t="s">
        <v>9563</v>
      </c>
      <c r="C8" s="650" t="s">
        <v>11175</v>
      </c>
      <c r="D8" s="650" t="s">
        <v>966</v>
      </c>
      <c r="E8" s="650" t="s">
        <v>11176</v>
      </c>
      <c r="F8" s="650" t="s">
        <v>9169</v>
      </c>
      <c r="G8" s="650">
        <v>9.033341673E9</v>
      </c>
      <c r="H8" s="650"/>
      <c r="I8" s="651">
        <v>1498.0</v>
      </c>
      <c r="J8" s="651" t="s">
        <v>4188</v>
      </c>
      <c r="K8" s="650" t="s">
        <v>1419</v>
      </c>
      <c r="L8" s="650" t="s">
        <v>26</v>
      </c>
      <c r="M8" s="650" t="s">
        <v>27</v>
      </c>
      <c r="N8" s="650" t="s">
        <v>8262</v>
      </c>
      <c r="O8" s="655">
        <v>3416.0</v>
      </c>
      <c r="P8" s="655">
        <v>4031.0</v>
      </c>
      <c r="Q8" s="6">
        <v>32.0</v>
      </c>
      <c r="R8" s="31">
        <f t="shared" si="1"/>
        <v>1093.12</v>
      </c>
    </row>
    <row r="9">
      <c r="A9" s="644">
        <v>8.0</v>
      </c>
      <c r="B9" s="654" t="s">
        <v>9563</v>
      </c>
      <c r="C9" s="650" t="s">
        <v>11177</v>
      </c>
      <c r="D9" s="650" t="s">
        <v>966</v>
      </c>
      <c r="E9" s="650" t="s">
        <v>11178</v>
      </c>
      <c r="F9" s="650" t="s">
        <v>11179</v>
      </c>
      <c r="G9" s="650">
        <v>9.909340415E9</v>
      </c>
      <c r="H9" s="650"/>
      <c r="I9" s="651">
        <v>1298.0</v>
      </c>
      <c r="J9" s="651" t="s">
        <v>4188</v>
      </c>
      <c r="K9" s="650" t="s">
        <v>78</v>
      </c>
      <c r="L9" s="650" t="s">
        <v>26</v>
      </c>
      <c r="M9" s="650" t="s">
        <v>27</v>
      </c>
      <c r="N9" s="650" t="s">
        <v>8262</v>
      </c>
      <c r="O9" s="651">
        <v>3476.0</v>
      </c>
      <c r="P9" s="651">
        <v>4102.0</v>
      </c>
      <c r="Q9" s="6">
        <v>37.0</v>
      </c>
      <c r="R9" s="31">
        <f t="shared" si="1"/>
        <v>1286.12</v>
      </c>
    </row>
    <row r="10">
      <c r="A10" s="644">
        <v>9.0</v>
      </c>
      <c r="B10" s="654" t="s">
        <v>9563</v>
      </c>
      <c r="C10" s="650" t="s">
        <v>11180</v>
      </c>
      <c r="D10" s="650" t="s">
        <v>966</v>
      </c>
      <c r="E10" s="650" t="s">
        <v>11181</v>
      </c>
      <c r="F10" s="650" t="s">
        <v>11182</v>
      </c>
      <c r="G10" s="650">
        <v>7.778978939E9</v>
      </c>
      <c r="H10" s="650"/>
      <c r="I10" s="651">
        <v>1396.0</v>
      </c>
      <c r="J10" s="651" t="s">
        <v>4085</v>
      </c>
      <c r="K10" s="650" t="s">
        <v>7642</v>
      </c>
      <c r="L10" s="650" t="s">
        <v>26</v>
      </c>
      <c r="M10" s="650" t="s">
        <v>3977</v>
      </c>
      <c r="N10" s="650" t="s">
        <v>8262</v>
      </c>
      <c r="O10" s="655">
        <v>3416.0</v>
      </c>
      <c r="P10" s="655">
        <v>4031.0</v>
      </c>
      <c r="Q10" s="6">
        <v>36.0</v>
      </c>
      <c r="R10" s="31">
        <f t="shared" si="1"/>
        <v>1229.76</v>
      </c>
    </row>
    <row r="11">
      <c r="A11" s="644">
        <v>10.0</v>
      </c>
      <c r="B11" s="654" t="s">
        <v>9570</v>
      </c>
      <c r="C11" s="650" t="s">
        <v>11183</v>
      </c>
      <c r="D11" s="650" t="s">
        <v>966</v>
      </c>
      <c r="E11" s="650" t="s">
        <v>11184</v>
      </c>
      <c r="F11" s="650" t="s">
        <v>11185</v>
      </c>
      <c r="G11" s="650">
        <v>7.383866231E9</v>
      </c>
      <c r="H11" s="650"/>
      <c r="I11" s="651">
        <v>1196.0</v>
      </c>
      <c r="J11" s="651" t="s">
        <v>4208</v>
      </c>
      <c r="K11" s="650" t="s">
        <v>78</v>
      </c>
      <c r="L11" s="650" t="s">
        <v>26</v>
      </c>
      <c r="M11" s="650" t="s">
        <v>27</v>
      </c>
      <c r="N11" s="650" t="s">
        <v>8262</v>
      </c>
      <c r="O11" s="651">
        <v>3476.0</v>
      </c>
      <c r="P11" s="651">
        <v>4102.0</v>
      </c>
      <c r="Q11" s="6">
        <v>37.0</v>
      </c>
      <c r="R11" s="31">
        <f t="shared" si="1"/>
        <v>1286.12</v>
      </c>
    </row>
    <row r="12">
      <c r="A12" s="644">
        <v>11.0</v>
      </c>
      <c r="B12" s="654" t="s">
        <v>9570</v>
      </c>
      <c r="C12" s="650" t="s">
        <v>11186</v>
      </c>
      <c r="D12" s="650" t="s">
        <v>966</v>
      </c>
      <c r="E12" s="650" t="s">
        <v>11187</v>
      </c>
      <c r="F12" s="650" t="s">
        <v>11188</v>
      </c>
      <c r="G12" s="650">
        <v>7.383866231E9</v>
      </c>
      <c r="H12" s="650"/>
      <c r="I12" s="651">
        <v>1196.0</v>
      </c>
      <c r="J12" s="651" t="s">
        <v>4208</v>
      </c>
      <c r="K12" s="650" t="s">
        <v>78</v>
      </c>
      <c r="L12" s="650" t="s">
        <v>26</v>
      </c>
      <c r="M12" s="650" t="s">
        <v>27</v>
      </c>
      <c r="N12" s="650" t="s">
        <v>8262</v>
      </c>
      <c r="O12" s="651">
        <v>3476.0</v>
      </c>
      <c r="P12" s="651">
        <v>4102.0</v>
      </c>
      <c r="Q12" s="6">
        <v>37.0</v>
      </c>
      <c r="R12" s="31">
        <f t="shared" si="1"/>
        <v>1286.12</v>
      </c>
    </row>
    <row r="13">
      <c r="A13" s="644">
        <v>12.0</v>
      </c>
      <c r="B13" s="654" t="s">
        <v>9574</v>
      </c>
      <c r="C13" s="650" t="s">
        <v>11189</v>
      </c>
      <c r="D13" s="650" t="s">
        <v>966</v>
      </c>
      <c r="E13" s="650" t="s">
        <v>11190</v>
      </c>
      <c r="F13" s="650" t="s">
        <v>11191</v>
      </c>
      <c r="G13" s="650">
        <v>9.722682133E9</v>
      </c>
      <c r="H13" s="650"/>
      <c r="I13" s="651">
        <v>796.0</v>
      </c>
      <c r="J13" s="651" t="s">
        <v>4099</v>
      </c>
      <c r="K13" s="650" t="s">
        <v>78</v>
      </c>
      <c r="L13" s="650" t="s">
        <v>26</v>
      </c>
      <c r="M13" s="650" t="s">
        <v>27</v>
      </c>
      <c r="N13" s="650" t="s">
        <v>8262</v>
      </c>
      <c r="O13" s="651">
        <v>2529.0</v>
      </c>
      <c r="P13" s="651">
        <v>2984.0</v>
      </c>
      <c r="Q13" s="6">
        <v>37.0</v>
      </c>
      <c r="R13" s="31">
        <f t="shared" si="1"/>
        <v>935.73</v>
      </c>
    </row>
    <row r="14">
      <c r="A14" s="644">
        <v>13.0</v>
      </c>
      <c r="B14" s="654" t="s">
        <v>9574</v>
      </c>
      <c r="C14" s="650" t="s">
        <v>11192</v>
      </c>
      <c r="D14" s="650" t="s">
        <v>966</v>
      </c>
      <c r="E14" s="650" t="s">
        <v>11193</v>
      </c>
      <c r="F14" s="650" t="s">
        <v>11194</v>
      </c>
      <c r="G14" s="650">
        <v>9.714521271E9</v>
      </c>
      <c r="H14" s="650"/>
      <c r="I14" s="651">
        <v>796.0</v>
      </c>
      <c r="J14" s="651" t="s">
        <v>4099</v>
      </c>
      <c r="K14" s="650" t="s">
        <v>78</v>
      </c>
      <c r="L14" s="650" t="s">
        <v>26</v>
      </c>
      <c r="M14" s="650" t="s">
        <v>27</v>
      </c>
      <c r="N14" s="650" t="s">
        <v>8262</v>
      </c>
      <c r="O14" s="651">
        <v>2529.0</v>
      </c>
      <c r="P14" s="651">
        <v>2984.0</v>
      </c>
      <c r="Q14" s="6">
        <v>37.0</v>
      </c>
      <c r="R14" s="31">
        <f t="shared" si="1"/>
        <v>935.73</v>
      </c>
    </row>
    <row r="15">
      <c r="A15" s="644">
        <v>14.0</v>
      </c>
      <c r="B15" s="654" t="s">
        <v>9585</v>
      </c>
      <c r="C15" s="650" t="s">
        <v>11195</v>
      </c>
      <c r="D15" s="650" t="s">
        <v>60</v>
      </c>
      <c r="E15" s="650" t="s">
        <v>11164</v>
      </c>
      <c r="F15" s="650" t="s">
        <v>11196</v>
      </c>
      <c r="G15" s="650">
        <v>9.067324747E9</v>
      </c>
      <c r="H15" s="650"/>
      <c r="I15" s="651">
        <v>109.0</v>
      </c>
      <c r="J15" s="651" t="s">
        <v>4099</v>
      </c>
      <c r="K15" s="650" t="s">
        <v>1419</v>
      </c>
      <c r="L15" s="650" t="s">
        <v>26</v>
      </c>
      <c r="M15" s="650" t="s">
        <v>27</v>
      </c>
      <c r="N15" s="650" t="s">
        <v>8262</v>
      </c>
      <c r="O15" s="651">
        <v>714.0</v>
      </c>
      <c r="P15" s="651">
        <v>842.0</v>
      </c>
      <c r="Q15" s="6">
        <v>50.0</v>
      </c>
      <c r="R15" s="31">
        <f t="shared" si="1"/>
        <v>357</v>
      </c>
    </row>
    <row r="16">
      <c r="A16" s="644">
        <v>15.0</v>
      </c>
      <c r="B16" s="654" t="s">
        <v>9585</v>
      </c>
      <c r="C16" s="650" t="s">
        <v>11197</v>
      </c>
      <c r="D16" s="650" t="s">
        <v>60</v>
      </c>
      <c r="E16" s="650" t="s">
        <v>11198</v>
      </c>
      <c r="F16" s="650" t="s">
        <v>11199</v>
      </c>
      <c r="G16" s="650">
        <v>9.825822929E9</v>
      </c>
      <c r="H16" s="650"/>
      <c r="I16" s="651">
        <v>350.0</v>
      </c>
      <c r="J16" s="651" t="s">
        <v>6172</v>
      </c>
      <c r="K16" s="650" t="s">
        <v>11169</v>
      </c>
      <c r="L16" s="650" t="s">
        <v>26</v>
      </c>
      <c r="M16" s="650" t="s">
        <v>27</v>
      </c>
      <c r="N16" s="650" t="s">
        <v>8262</v>
      </c>
      <c r="O16" s="651">
        <v>1366.0</v>
      </c>
      <c r="P16" s="651">
        <v>1612.0</v>
      </c>
      <c r="Q16" s="6">
        <v>40.0</v>
      </c>
      <c r="R16" s="31">
        <f t="shared" si="1"/>
        <v>546.4</v>
      </c>
    </row>
    <row r="17">
      <c r="A17" s="644">
        <v>16.0</v>
      </c>
      <c r="B17" s="654" t="s">
        <v>9585</v>
      </c>
      <c r="C17" s="650" t="s">
        <v>11200</v>
      </c>
      <c r="D17" s="650" t="s">
        <v>966</v>
      </c>
      <c r="E17" s="650" t="s">
        <v>11201</v>
      </c>
      <c r="F17" s="650" t="s">
        <v>11202</v>
      </c>
      <c r="G17" s="650">
        <v>6.356110902E9</v>
      </c>
      <c r="H17" s="650"/>
      <c r="I17" s="651">
        <v>1196.0</v>
      </c>
      <c r="J17" s="651" t="s">
        <v>4115</v>
      </c>
      <c r="K17" s="650" t="s">
        <v>78</v>
      </c>
      <c r="L17" s="650" t="s">
        <v>26</v>
      </c>
      <c r="M17" s="650" t="s">
        <v>27</v>
      </c>
      <c r="N17" s="650" t="s">
        <v>8262</v>
      </c>
      <c r="O17" s="651">
        <v>4101.0</v>
      </c>
      <c r="P17" s="651">
        <v>4839.0</v>
      </c>
      <c r="Q17" s="6">
        <v>37.0</v>
      </c>
      <c r="R17" s="31">
        <f t="shared" si="1"/>
        <v>1517.37</v>
      </c>
    </row>
    <row r="18">
      <c r="A18" s="644">
        <v>17.0</v>
      </c>
      <c r="B18" s="654" t="s">
        <v>11203</v>
      </c>
      <c r="C18" s="650" t="s">
        <v>11204</v>
      </c>
      <c r="D18" s="650" t="s">
        <v>966</v>
      </c>
      <c r="E18" s="650" t="s">
        <v>11205</v>
      </c>
      <c r="F18" s="650" t="s">
        <v>11206</v>
      </c>
      <c r="G18" s="650">
        <v>6.353141831E9</v>
      </c>
      <c r="H18" s="650"/>
      <c r="I18" s="651">
        <v>1947.0</v>
      </c>
      <c r="J18" s="651" t="s">
        <v>4115</v>
      </c>
      <c r="K18" s="650" t="s">
        <v>78</v>
      </c>
      <c r="L18" s="650" t="s">
        <v>26</v>
      </c>
      <c r="M18" s="650" t="s">
        <v>27</v>
      </c>
      <c r="N18" s="650" t="s">
        <v>8262</v>
      </c>
      <c r="O18" s="651">
        <v>7947.0</v>
      </c>
      <c r="P18" s="651">
        <v>9377.0</v>
      </c>
      <c r="Q18" s="6">
        <v>37.0</v>
      </c>
      <c r="R18" s="31">
        <f t="shared" si="1"/>
        <v>2940.39</v>
      </c>
    </row>
    <row r="19">
      <c r="A19" s="644">
        <v>18.0</v>
      </c>
      <c r="B19" s="654" t="s">
        <v>11203</v>
      </c>
      <c r="C19" s="650" t="s">
        <v>11207</v>
      </c>
      <c r="D19" s="650" t="s">
        <v>966</v>
      </c>
      <c r="E19" s="650" t="s">
        <v>11208</v>
      </c>
      <c r="F19" s="650" t="s">
        <v>11209</v>
      </c>
      <c r="G19" s="650">
        <v>9.327501279E9</v>
      </c>
      <c r="H19" s="650"/>
      <c r="I19" s="651">
        <v>1196.0</v>
      </c>
      <c r="J19" s="651" t="s">
        <v>4125</v>
      </c>
      <c r="K19" s="650" t="s">
        <v>78</v>
      </c>
      <c r="L19" s="650" t="s">
        <v>26</v>
      </c>
      <c r="M19" s="650" t="s">
        <v>27</v>
      </c>
      <c r="N19" s="650" t="s">
        <v>8262</v>
      </c>
      <c r="O19" s="651">
        <v>3476.0</v>
      </c>
      <c r="P19" s="651">
        <v>4102.0</v>
      </c>
      <c r="Q19" s="6">
        <v>37.0</v>
      </c>
      <c r="R19" s="31">
        <f t="shared" si="1"/>
        <v>1286.12</v>
      </c>
    </row>
    <row r="20">
      <c r="A20" s="644">
        <v>19.0</v>
      </c>
      <c r="B20" s="654" t="s">
        <v>9597</v>
      </c>
      <c r="C20" s="650" t="s">
        <v>11210</v>
      </c>
      <c r="D20" s="650" t="s">
        <v>966</v>
      </c>
      <c r="E20" s="650" t="s">
        <v>11211</v>
      </c>
      <c r="F20" s="650" t="s">
        <v>11212</v>
      </c>
      <c r="G20" s="650">
        <v>9.825278653E9</v>
      </c>
      <c r="H20" s="650"/>
      <c r="I20" s="651">
        <v>1061.0</v>
      </c>
      <c r="J20" s="651" t="s">
        <v>4216</v>
      </c>
      <c r="K20" s="650" t="s">
        <v>78</v>
      </c>
      <c r="L20" s="650" t="s">
        <v>26</v>
      </c>
      <c r="M20" s="650" t="s">
        <v>27</v>
      </c>
      <c r="N20" s="650" t="s">
        <v>8262</v>
      </c>
      <c r="O20" s="651">
        <v>3416.0</v>
      </c>
      <c r="P20" s="651">
        <v>4031.0</v>
      </c>
      <c r="Q20" s="6">
        <v>37.0</v>
      </c>
      <c r="R20" s="31">
        <f t="shared" si="1"/>
        <v>1263.92</v>
      </c>
    </row>
    <row r="21">
      <c r="A21" s="644">
        <v>20.0</v>
      </c>
      <c r="B21" s="654" t="s">
        <v>9597</v>
      </c>
      <c r="C21" s="650" t="s">
        <v>11213</v>
      </c>
      <c r="D21" s="650" t="s">
        <v>60</v>
      </c>
      <c r="E21" s="650" t="s">
        <v>11214</v>
      </c>
      <c r="F21" s="650" t="s">
        <v>11215</v>
      </c>
      <c r="G21" s="650">
        <v>9.624610809E9</v>
      </c>
      <c r="H21" s="650"/>
      <c r="I21" s="651">
        <v>97.0</v>
      </c>
      <c r="J21" s="651" t="s">
        <v>4216</v>
      </c>
      <c r="K21" s="650" t="s">
        <v>1419</v>
      </c>
      <c r="L21" s="650" t="s">
        <v>26</v>
      </c>
      <c r="M21" s="650" t="s">
        <v>27</v>
      </c>
      <c r="N21" s="650" t="s">
        <v>8262</v>
      </c>
      <c r="O21" s="651">
        <v>714.0</v>
      </c>
      <c r="P21" s="651">
        <v>842.0</v>
      </c>
      <c r="Q21" s="6">
        <v>40.0</v>
      </c>
      <c r="R21" s="31">
        <f t="shared" si="1"/>
        <v>285.6</v>
      </c>
    </row>
    <row r="22">
      <c r="A22" s="644">
        <v>21.0</v>
      </c>
      <c r="B22" s="654" t="s">
        <v>9614</v>
      </c>
      <c r="C22" s="650" t="s">
        <v>11216</v>
      </c>
      <c r="D22" s="650" t="s">
        <v>60</v>
      </c>
      <c r="E22" s="650" t="s">
        <v>11217</v>
      </c>
      <c r="F22" s="650" t="s">
        <v>11218</v>
      </c>
      <c r="G22" s="650">
        <v>9.879793117E9</v>
      </c>
      <c r="H22" s="650"/>
      <c r="I22" s="651">
        <v>100.0</v>
      </c>
      <c r="J22" s="651" t="s">
        <v>4167</v>
      </c>
      <c r="K22" s="650" t="s">
        <v>1419</v>
      </c>
      <c r="L22" s="650" t="s">
        <v>26</v>
      </c>
      <c r="M22" s="650" t="s">
        <v>27</v>
      </c>
      <c r="N22" s="650" t="s">
        <v>8262</v>
      </c>
      <c r="O22" s="651">
        <v>714.0</v>
      </c>
      <c r="P22" s="651">
        <v>842.0</v>
      </c>
      <c r="Q22" s="6">
        <v>35.0</v>
      </c>
      <c r="R22" s="31">
        <f t="shared" si="1"/>
        <v>249.9</v>
      </c>
    </row>
    <row r="23">
      <c r="A23" s="644">
        <v>22.0</v>
      </c>
      <c r="B23" s="654" t="s">
        <v>9614</v>
      </c>
      <c r="C23" s="656" t="s">
        <v>11219</v>
      </c>
      <c r="D23" s="650" t="s">
        <v>60</v>
      </c>
      <c r="E23" s="650" t="s">
        <v>11220</v>
      </c>
      <c r="F23" s="650" t="s">
        <v>11221</v>
      </c>
      <c r="G23" s="650">
        <v>9.586947033E9</v>
      </c>
      <c r="H23" s="650"/>
      <c r="I23" s="651">
        <v>125.0</v>
      </c>
      <c r="J23" s="651" t="s">
        <v>11222</v>
      </c>
      <c r="K23" s="650" t="s">
        <v>11169</v>
      </c>
      <c r="L23" s="650" t="s">
        <v>26</v>
      </c>
      <c r="M23" s="650" t="s">
        <v>71</v>
      </c>
      <c r="N23" s="650" t="s">
        <v>8262</v>
      </c>
      <c r="O23" s="651">
        <v>714.0</v>
      </c>
      <c r="P23" s="651">
        <v>842.0</v>
      </c>
      <c r="Q23" s="6">
        <v>35.0</v>
      </c>
      <c r="R23" s="31">
        <f t="shared" si="1"/>
        <v>249.9</v>
      </c>
    </row>
    <row r="24">
      <c r="A24" s="644">
        <v>23.0</v>
      </c>
      <c r="B24" s="654" t="s">
        <v>9614</v>
      </c>
      <c r="C24" s="656" t="s">
        <v>7305</v>
      </c>
      <c r="D24" s="650" t="s">
        <v>966</v>
      </c>
      <c r="E24" s="650" t="s">
        <v>11223</v>
      </c>
      <c r="F24" s="650" t="s">
        <v>11224</v>
      </c>
      <c r="G24" s="650">
        <v>9.972333468E9</v>
      </c>
      <c r="H24" s="650"/>
      <c r="I24" s="651">
        <v>624.0</v>
      </c>
      <c r="J24" s="651" t="s">
        <v>4167</v>
      </c>
      <c r="K24" s="650" t="s">
        <v>78</v>
      </c>
      <c r="L24" s="650" t="s">
        <v>26</v>
      </c>
      <c r="M24" s="650" t="s">
        <v>71</v>
      </c>
      <c r="N24" s="650" t="s">
        <v>8262</v>
      </c>
      <c r="O24" s="651">
        <v>2419.0</v>
      </c>
      <c r="P24" s="651">
        <v>2854.0</v>
      </c>
      <c r="Q24" s="6">
        <v>37.0</v>
      </c>
      <c r="R24" s="31">
        <f t="shared" si="1"/>
        <v>895.03</v>
      </c>
    </row>
    <row r="25">
      <c r="A25" s="644">
        <v>24.0</v>
      </c>
      <c r="B25" s="654" t="s">
        <v>9614</v>
      </c>
      <c r="C25" s="656" t="s">
        <v>11225</v>
      </c>
      <c r="D25" s="650" t="s">
        <v>60</v>
      </c>
      <c r="E25" s="650" t="s">
        <v>11226</v>
      </c>
      <c r="F25" s="650" t="s">
        <v>11227</v>
      </c>
      <c r="G25" s="650">
        <v>9.825873649E9</v>
      </c>
      <c r="H25" s="650"/>
      <c r="I25" s="651">
        <v>100.0</v>
      </c>
      <c r="J25" s="651" t="s">
        <v>11222</v>
      </c>
      <c r="K25" s="650" t="s">
        <v>11169</v>
      </c>
      <c r="L25" s="650" t="s">
        <v>26</v>
      </c>
      <c r="M25" s="650" t="s">
        <v>71</v>
      </c>
      <c r="N25" s="650" t="s">
        <v>8262</v>
      </c>
      <c r="O25" s="651">
        <v>714.0</v>
      </c>
      <c r="P25" s="651">
        <v>842.0</v>
      </c>
      <c r="Q25" s="6">
        <v>35.0</v>
      </c>
      <c r="R25" s="31">
        <f t="shared" si="1"/>
        <v>249.9</v>
      </c>
    </row>
    <row r="26">
      <c r="A26" s="644">
        <v>25.0</v>
      </c>
      <c r="B26" s="654" t="s">
        <v>9614</v>
      </c>
      <c r="C26" s="656" t="s">
        <v>11228</v>
      </c>
      <c r="D26" s="650" t="s">
        <v>60</v>
      </c>
      <c r="E26" s="650" t="s">
        <v>719</v>
      </c>
      <c r="F26" s="650" t="s">
        <v>11229</v>
      </c>
      <c r="G26" s="650">
        <v>9.586947033E9</v>
      </c>
      <c r="H26" s="650"/>
      <c r="I26" s="651">
        <v>100.0</v>
      </c>
      <c r="J26" s="651" t="s">
        <v>11222</v>
      </c>
      <c r="K26" s="650" t="s">
        <v>11169</v>
      </c>
      <c r="L26" s="650" t="s">
        <v>26</v>
      </c>
      <c r="M26" s="650" t="s">
        <v>71</v>
      </c>
      <c r="N26" s="650" t="s">
        <v>8262</v>
      </c>
      <c r="O26" s="651">
        <v>714.0</v>
      </c>
      <c r="P26" s="651">
        <v>842.0</v>
      </c>
      <c r="Q26" s="6">
        <v>35.0</v>
      </c>
      <c r="R26" s="31">
        <f t="shared" si="1"/>
        <v>249.9</v>
      </c>
    </row>
    <row r="27">
      <c r="A27" s="644">
        <v>26.0</v>
      </c>
      <c r="B27" s="654" t="s">
        <v>9621</v>
      </c>
      <c r="C27" s="650" t="s">
        <v>11230</v>
      </c>
      <c r="D27" s="650" t="s">
        <v>60</v>
      </c>
      <c r="E27" s="650" t="s">
        <v>11231</v>
      </c>
      <c r="F27" s="650" t="s">
        <v>11232</v>
      </c>
      <c r="G27" s="650">
        <v>8.320043792E9</v>
      </c>
      <c r="H27" s="650"/>
      <c r="I27" s="651">
        <v>110.0</v>
      </c>
      <c r="J27" s="651" t="s">
        <v>9616</v>
      </c>
      <c r="K27" s="650" t="s">
        <v>4916</v>
      </c>
      <c r="L27" s="650" t="s">
        <v>26</v>
      </c>
      <c r="M27" s="650" t="s">
        <v>27</v>
      </c>
      <c r="N27" s="650" t="s">
        <v>8259</v>
      </c>
      <c r="O27" s="651">
        <v>714.0</v>
      </c>
      <c r="P27" s="651">
        <v>842.0</v>
      </c>
      <c r="Q27" s="6">
        <v>52.0</v>
      </c>
      <c r="R27" s="31">
        <f t="shared" si="1"/>
        <v>371.28</v>
      </c>
    </row>
    <row r="28">
      <c r="A28" s="644">
        <v>27.0</v>
      </c>
      <c r="B28" s="654" t="s">
        <v>9621</v>
      </c>
      <c r="C28" s="656" t="s">
        <v>7309</v>
      </c>
      <c r="D28" s="650" t="s">
        <v>966</v>
      </c>
      <c r="E28" s="650" t="s">
        <v>11233</v>
      </c>
      <c r="F28" s="650" t="s">
        <v>11234</v>
      </c>
      <c r="G28" s="650">
        <v>9.2284053E9</v>
      </c>
      <c r="H28" s="650"/>
      <c r="I28" s="651">
        <v>1248.0</v>
      </c>
      <c r="J28" s="651" t="s">
        <v>4173</v>
      </c>
      <c r="K28" s="650" t="s">
        <v>1419</v>
      </c>
      <c r="L28" s="650" t="s">
        <v>26</v>
      </c>
      <c r="M28" s="650" t="s">
        <v>71</v>
      </c>
      <c r="N28" s="650" t="s">
        <v>8262</v>
      </c>
      <c r="O28" s="655">
        <v>3841.0</v>
      </c>
      <c r="P28" s="655">
        <v>4532.0</v>
      </c>
      <c r="Q28" s="6">
        <v>32.0</v>
      </c>
      <c r="R28" s="31">
        <f t="shared" si="1"/>
        <v>1229.12</v>
      </c>
    </row>
    <row r="29">
      <c r="A29" s="644">
        <v>28.0</v>
      </c>
      <c r="B29" s="654" t="s">
        <v>9628</v>
      </c>
      <c r="C29" s="650" t="s">
        <v>11235</v>
      </c>
      <c r="D29" s="650" t="s">
        <v>60</v>
      </c>
      <c r="E29" s="650" t="s">
        <v>723</v>
      </c>
      <c r="F29" s="650" t="s">
        <v>11236</v>
      </c>
      <c r="G29" s="650">
        <v>9.824045196E9</v>
      </c>
      <c r="H29" s="650"/>
      <c r="I29" s="651">
        <v>125.0</v>
      </c>
      <c r="J29" s="651" t="s">
        <v>4173</v>
      </c>
      <c r="K29" s="650" t="s">
        <v>1419</v>
      </c>
      <c r="L29" s="650" t="s">
        <v>26</v>
      </c>
      <c r="M29" s="650" t="s">
        <v>27</v>
      </c>
      <c r="N29" s="650" t="s">
        <v>8262</v>
      </c>
      <c r="O29" s="651">
        <v>714.0</v>
      </c>
      <c r="P29" s="651">
        <v>842.0</v>
      </c>
      <c r="Q29" s="6">
        <v>40.0</v>
      </c>
      <c r="R29" s="31">
        <f t="shared" si="1"/>
        <v>285.6</v>
      </c>
    </row>
    <row r="30">
      <c r="A30" s="644">
        <v>29.0</v>
      </c>
      <c r="B30" s="654" t="s">
        <v>9628</v>
      </c>
      <c r="C30" s="656" t="s">
        <v>7307</v>
      </c>
      <c r="D30" s="650" t="s">
        <v>966</v>
      </c>
      <c r="E30" s="650" t="s">
        <v>11237</v>
      </c>
      <c r="F30" s="650" t="s">
        <v>11238</v>
      </c>
      <c r="G30" s="650">
        <v>9.925360446E9</v>
      </c>
      <c r="H30" s="650"/>
      <c r="I30" s="651">
        <v>1196.0</v>
      </c>
      <c r="J30" s="651" t="s">
        <v>4173</v>
      </c>
      <c r="K30" s="650" t="s">
        <v>78</v>
      </c>
      <c r="L30" s="650" t="s">
        <v>26</v>
      </c>
      <c r="M30" s="650" t="s">
        <v>71</v>
      </c>
      <c r="N30" s="650" t="s">
        <v>8262</v>
      </c>
      <c r="O30" s="651">
        <v>3791.0</v>
      </c>
      <c r="P30" s="651">
        <v>4473.0</v>
      </c>
      <c r="Q30" s="6">
        <v>37.0</v>
      </c>
      <c r="R30" s="31">
        <f t="shared" si="1"/>
        <v>1402.67</v>
      </c>
    </row>
    <row r="31">
      <c r="A31" s="644">
        <v>30.0</v>
      </c>
      <c r="B31" s="654" t="s">
        <v>9635</v>
      </c>
      <c r="C31" s="650" t="s">
        <v>11239</v>
      </c>
      <c r="D31" s="650" t="s">
        <v>60</v>
      </c>
      <c r="E31" s="650" t="s">
        <v>11240</v>
      </c>
      <c r="F31" s="650" t="s">
        <v>11241</v>
      </c>
      <c r="G31" s="650">
        <v>9.925643861E9</v>
      </c>
      <c r="H31" s="650"/>
      <c r="I31" s="651">
        <v>97.0</v>
      </c>
      <c r="J31" s="651" t="s">
        <v>9638</v>
      </c>
      <c r="K31" s="650" t="s">
        <v>1419</v>
      </c>
      <c r="L31" s="650" t="s">
        <v>26</v>
      </c>
      <c r="M31" s="650" t="s">
        <v>27</v>
      </c>
      <c r="N31" s="650" t="s">
        <v>8262</v>
      </c>
      <c r="O31" s="651">
        <v>714.0</v>
      </c>
      <c r="P31" s="651">
        <v>842.0</v>
      </c>
      <c r="Q31" s="6">
        <v>40.0</v>
      </c>
      <c r="R31" s="31">
        <f t="shared" si="1"/>
        <v>285.6</v>
      </c>
    </row>
    <row r="32">
      <c r="A32" s="644">
        <v>31.0</v>
      </c>
      <c r="B32" s="654" t="s">
        <v>9635</v>
      </c>
      <c r="C32" s="650" t="s">
        <v>11242</v>
      </c>
      <c r="D32" s="650" t="s">
        <v>60</v>
      </c>
      <c r="E32" s="650" t="s">
        <v>11217</v>
      </c>
      <c r="F32" s="650" t="s">
        <v>11243</v>
      </c>
      <c r="G32" s="650">
        <v>9.825984887E9</v>
      </c>
      <c r="H32" s="650"/>
      <c r="I32" s="651">
        <v>100.0</v>
      </c>
      <c r="J32" s="651" t="s">
        <v>9638</v>
      </c>
      <c r="K32" s="650" t="s">
        <v>1419</v>
      </c>
      <c r="L32" s="650" t="s">
        <v>26</v>
      </c>
      <c r="M32" s="650" t="s">
        <v>27</v>
      </c>
      <c r="N32" s="650" t="s">
        <v>8262</v>
      </c>
      <c r="O32" s="651">
        <v>714.0</v>
      </c>
      <c r="P32" s="651">
        <v>842.0</v>
      </c>
      <c r="Q32" s="6">
        <v>40.0</v>
      </c>
      <c r="R32" s="31">
        <f t="shared" si="1"/>
        <v>285.6</v>
      </c>
    </row>
    <row r="33">
      <c r="A33" s="644">
        <v>32.0</v>
      </c>
      <c r="B33" s="654" t="s">
        <v>9635</v>
      </c>
      <c r="C33" s="650" t="s">
        <v>11244</v>
      </c>
      <c r="D33" s="650" t="s">
        <v>966</v>
      </c>
      <c r="E33" s="650" t="s">
        <v>8417</v>
      </c>
      <c r="F33" s="650" t="s">
        <v>1965</v>
      </c>
      <c r="G33" s="650">
        <v>8.238569372E9</v>
      </c>
      <c r="H33" s="650"/>
      <c r="I33" s="651">
        <v>1248.0</v>
      </c>
      <c r="J33" s="651" t="s">
        <v>4278</v>
      </c>
      <c r="K33" s="650" t="s">
        <v>7642</v>
      </c>
      <c r="L33" s="650" t="s">
        <v>26</v>
      </c>
      <c r="M33" s="650" t="s">
        <v>27</v>
      </c>
      <c r="N33" s="650" t="s">
        <v>8262</v>
      </c>
      <c r="O33" s="655">
        <v>3466.0</v>
      </c>
      <c r="P33" s="655">
        <v>4090.0</v>
      </c>
      <c r="Q33" s="6">
        <v>36.0</v>
      </c>
      <c r="R33" s="31">
        <f t="shared" si="1"/>
        <v>1247.76</v>
      </c>
    </row>
    <row r="34">
      <c r="A34" s="644">
        <v>33.0</v>
      </c>
      <c r="B34" s="654" t="s">
        <v>9635</v>
      </c>
      <c r="C34" s="656" t="s">
        <v>11245</v>
      </c>
      <c r="D34" s="650" t="s">
        <v>966</v>
      </c>
      <c r="E34" s="650" t="s">
        <v>11246</v>
      </c>
      <c r="F34" s="650" t="s">
        <v>11247</v>
      </c>
      <c r="G34" s="650">
        <v>9.228713665E9</v>
      </c>
      <c r="H34" s="650"/>
      <c r="I34" s="651">
        <v>1086.0</v>
      </c>
      <c r="J34" s="651" t="s">
        <v>9638</v>
      </c>
      <c r="K34" s="650" t="s">
        <v>78</v>
      </c>
      <c r="L34" s="650" t="s">
        <v>26</v>
      </c>
      <c r="M34" s="650" t="s">
        <v>71</v>
      </c>
      <c r="N34" s="650" t="s">
        <v>8262</v>
      </c>
      <c r="O34" s="651">
        <v>3476.0</v>
      </c>
      <c r="P34" s="651">
        <v>4102.0</v>
      </c>
      <c r="Q34" s="6">
        <v>37.0</v>
      </c>
      <c r="R34" s="31">
        <f t="shared" si="1"/>
        <v>1286.12</v>
      </c>
    </row>
    <row r="38">
      <c r="B38" s="8" t="s">
        <v>9718</v>
      </c>
      <c r="C38" s="131" t="s">
        <v>7346</v>
      </c>
      <c r="D38" s="8" t="s">
        <v>966</v>
      </c>
      <c r="E38" s="8" t="s">
        <v>11248</v>
      </c>
      <c r="F38" s="8" t="s">
        <v>10550</v>
      </c>
      <c r="G38" s="8">
        <v>9.97892069E9</v>
      </c>
      <c r="H38" s="8"/>
      <c r="I38" s="21">
        <v>1495.0</v>
      </c>
      <c r="J38" s="21" t="s">
        <v>9697</v>
      </c>
      <c r="K38" s="8" t="s">
        <v>78</v>
      </c>
      <c r="L38" s="8" t="s">
        <v>26</v>
      </c>
      <c r="M38" s="8" t="s">
        <v>71</v>
      </c>
      <c r="N38" s="8" t="s">
        <v>28</v>
      </c>
      <c r="O38" s="21">
        <v>3851.0</v>
      </c>
      <c r="P38" s="21">
        <v>4544.0</v>
      </c>
      <c r="Q38" s="5">
        <v>37.0</v>
      </c>
      <c r="R38" s="31">
        <f t="shared" ref="R38:R67" si="2">O38*Q38%</f>
        <v>1424.87</v>
      </c>
    </row>
    <row r="39">
      <c r="B39" s="8" t="s">
        <v>9718</v>
      </c>
      <c r="C39" s="8" t="s">
        <v>11249</v>
      </c>
      <c r="D39" s="8" t="s">
        <v>60</v>
      </c>
      <c r="E39" s="8" t="s">
        <v>11250</v>
      </c>
      <c r="F39" s="8" t="s">
        <v>11251</v>
      </c>
      <c r="G39" s="8">
        <v>9.726656163E9</v>
      </c>
      <c r="H39" s="8"/>
      <c r="I39" s="21">
        <v>97.0</v>
      </c>
      <c r="J39" s="21" t="s">
        <v>9697</v>
      </c>
      <c r="K39" s="8" t="s">
        <v>1419</v>
      </c>
      <c r="L39" s="8" t="s">
        <v>26</v>
      </c>
      <c r="M39" s="8" t="s">
        <v>27</v>
      </c>
      <c r="N39" s="8" t="s">
        <v>28</v>
      </c>
      <c r="O39" s="21">
        <v>714.0</v>
      </c>
      <c r="P39" s="21">
        <v>842.0</v>
      </c>
      <c r="Q39" s="5">
        <v>40.0</v>
      </c>
      <c r="R39" s="31">
        <f t="shared" si="2"/>
        <v>285.6</v>
      </c>
    </row>
    <row r="40">
      <c r="B40" s="8" t="s">
        <v>9718</v>
      </c>
      <c r="C40" s="8" t="s">
        <v>11252</v>
      </c>
      <c r="D40" s="8" t="s">
        <v>60</v>
      </c>
      <c r="E40" s="8" t="s">
        <v>11253</v>
      </c>
      <c r="F40" s="8" t="s">
        <v>11254</v>
      </c>
      <c r="G40" s="8">
        <v>9.825344466E9</v>
      </c>
      <c r="H40" s="8"/>
      <c r="I40" s="21">
        <v>100.0</v>
      </c>
      <c r="J40" s="21" t="s">
        <v>9697</v>
      </c>
      <c r="K40" s="8" t="s">
        <v>1419</v>
      </c>
      <c r="L40" s="8" t="s">
        <v>26</v>
      </c>
      <c r="M40" s="8" t="s">
        <v>27</v>
      </c>
      <c r="N40" s="8" t="s">
        <v>28</v>
      </c>
      <c r="O40" s="21">
        <v>714.0</v>
      </c>
      <c r="P40" s="21">
        <v>842.0</v>
      </c>
      <c r="Q40" s="5">
        <v>40.0</v>
      </c>
      <c r="R40" s="31">
        <f t="shared" si="2"/>
        <v>285.6</v>
      </c>
    </row>
    <row r="41">
      <c r="B41" s="8" t="s">
        <v>9729</v>
      </c>
      <c r="C41" s="131" t="s">
        <v>11255</v>
      </c>
      <c r="D41" s="8" t="s">
        <v>60</v>
      </c>
      <c r="E41" s="8" t="s">
        <v>11256</v>
      </c>
      <c r="F41" s="8" t="s">
        <v>11257</v>
      </c>
      <c r="G41" s="8">
        <v>7.359925515E9</v>
      </c>
      <c r="H41" s="8"/>
      <c r="I41" s="21">
        <v>109.0</v>
      </c>
      <c r="J41" s="21" t="s">
        <v>4438</v>
      </c>
      <c r="K41" s="8" t="s">
        <v>4916</v>
      </c>
      <c r="L41" s="8" t="s">
        <v>26</v>
      </c>
      <c r="M41" s="8" t="s">
        <v>27</v>
      </c>
      <c r="N41" s="8" t="s">
        <v>28</v>
      </c>
      <c r="O41" s="21">
        <v>714.0</v>
      </c>
      <c r="P41" s="21">
        <v>842.52</v>
      </c>
      <c r="Q41" s="5">
        <v>52.0</v>
      </c>
      <c r="R41" s="31">
        <f t="shared" si="2"/>
        <v>371.28</v>
      </c>
    </row>
    <row r="42">
      <c r="B42" s="8" t="s">
        <v>9729</v>
      </c>
      <c r="C42" s="8" t="s">
        <v>11258</v>
      </c>
      <c r="D42" s="8" t="s">
        <v>966</v>
      </c>
      <c r="E42" s="8" t="s">
        <v>11259</v>
      </c>
      <c r="F42" s="8" t="s">
        <v>11260</v>
      </c>
      <c r="G42" s="58">
        <v>9.879870981E9</v>
      </c>
      <c r="H42" s="8"/>
      <c r="I42" s="21">
        <v>1396.0</v>
      </c>
      <c r="J42" s="21" t="s">
        <v>4438</v>
      </c>
      <c r="K42" s="8" t="s">
        <v>78</v>
      </c>
      <c r="L42" s="8" t="s">
        <v>26</v>
      </c>
      <c r="M42" s="8" t="s">
        <v>27</v>
      </c>
      <c r="N42" s="8" t="s">
        <v>28</v>
      </c>
      <c r="O42" s="21">
        <v>3416.0</v>
      </c>
      <c r="P42" s="21">
        <v>4031.0</v>
      </c>
      <c r="Q42" s="5">
        <v>37.0</v>
      </c>
      <c r="R42" s="31">
        <f t="shared" si="2"/>
        <v>1263.92</v>
      </c>
    </row>
    <row r="43">
      <c r="B43" s="8" t="s">
        <v>9731</v>
      </c>
      <c r="C43" s="131" t="s">
        <v>11261</v>
      </c>
      <c r="D43" s="8" t="s">
        <v>60</v>
      </c>
      <c r="E43" s="8" t="s">
        <v>11262</v>
      </c>
      <c r="F43" s="8" t="s">
        <v>11263</v>
      </c>
      <c r="G43" s="8">
        <v>7.817862611E9</v>
      </c>
      <c r="H43" s="8"/>
      <c r="I43" s="21">
        <v>220.0</v>
      </c>
      <c r="J43" s="21" t="s">
        <v>9740</v>
      </c>
      <c r="K43" s="8" t="s">
        <v>11169</v>
      </c>
      <c r="L43" s="8" t="s">
        <v>26</v>
      </c>
      <c r="M43" s="8" t="s">
        <v>27</v>
      </c>
      <c r="N43" s="8" t="s">
        <v>28</v>
      </c>
      <c r="O43" s="21">
        <v>1366.0</v>
      </c>
      <c r="P43" s="21">
        <v>1612.0</v>
      </c>
      <c r="Q43" s="5">
        <v>35.0</v>
      </c>
      <c r="R43" s="31">
        <f t="shared" si="2"/>
        <v>478.1</v>
      </c>
    </row>
    <row r="44">
      <c r="B44" s="8" t="s">
        <v>9731</v>
      </c>
      <c r="C44" s="131" t="s">
        <v>11264</v>
      </c>
      <c r="D44" s="8" t="s">
        <v>966</v>
      </c>
      <c r="E44" s="8" t="s">
        <v>11265</v>
      </c>
      <c r="F44" s="8" t="s">
        <v>11266</v>
      </c>
      <c r="G44" s="8">
        <v>9.726929964E9</v>
      </c>
      <c r="H44" s="8"/>
      <c r="I44" s="21">
        <v>796.0</v>
      </c>
      <c r="J44" s="21" t="s">
        <v>4449</v>
      </c>
      <c r="K44" s="8" t="s">
        <v>78</v>
      </c>
      <c r="L44" s="8" t="s">
        <v>26</v>
      </c>
      <c r="M44" s="8" t="s">
        <v>27</v>
      </c>
      <c r="N44" s="8" t="s">
        <v>28</v>
      </c>
      <c r="O44" s="21">
        <v>2154.0</v>
      </c>
      <c r="P44" s="21">
        <v>2542.0</v>
      </c>
      <c r="Q44" s="5">
        <v>37.0</v>
      </c>
      <c r="R44" s="31">
        <f t="shared" si="2"/>
        <v>796.98</v>
      </c>
    </row>
    <row r="45">
      <c r="B45" s="8" t="s">
        <v>9731</v>
      </c>
      <c r="C45" s="131" t="s">
        <v>11267</v>
      </c>
      <c r="D45" s="8" t="s">
        <v>60</v>
      </c>
      <c r="E45" s="8" t="s">
        <v>723</v>
      </c>
      <c r="F45" s="8" t="s">
        <v>11268</v>
      </c>
      <c r="G45" s="8">
        <v>9.925137161E9</v>
      </c>
      <c r="H45" s="8"/>
      <c r="I45" s="21">
        <v>125.0</v>
      </c>
      <c r="J45" s="21" t="s">
        <v>4449</v>
      </c>
      <c r="K45" s="8" t="s">
        <v>1419</v>
      </c>
      <c r="L45" s="8" t="s">
        <v>26</v>
      </c>
      <c r="M45" s="8" t="s">
        <v>27</v>
      </c>
      <c r="N45" s="8" t="s">
        <v>28</v>
      </c>
      <c r="O45" s="21">
        <v>764.0</v>
      </c>
      <c r="P45" s="21">
        <v>902.0</v>
      </c>
      <c r="Q45" s="5">
        <v>40.0</v>
      </c>
      <c r="R45" s="31">
        <f t="shared" si="2"/>
        <v>305.6</v>
      </c>
    </row>
    <row r="46">
      <c r="B46" s="8" t="s">
        <v>9731</v>
      </c>
      <c r="C46" s="131" t="s">
        <v>7360</v>
      </c>
      <c r="D46" s="8" t="s">
        <v>966</v>
      </c>
      <c r="E46" s="8" t="s">
        <v>11269</v>
      </c>
      <c r="F46" s="8" t="s">
        <v>11270</v>
      </c>
      <c r="G46" s="8">
        <v>9.016933496E9</v>
      </c>
      <c r="H46" s="8"/>
      <c r="I46" s="21">
        <v>2523.0</v>
      </c>
      <c r="J46" s="21" t="s">
        <v>4449</v>
      </c>
      <c r="K46" s="8" t="s">
        <v>78</v>
      </c>
      <c r="L46" s="8" t="s">
        <v>26</v>
      </c>
      <c r="M46" s="8" t="s">
        <v>71</v>
      </c>
      <c r="N46" s="8" t="s">
        <v>28</v>
      </c>
      <c r="O46" s="21">
        <v>7947.0</v>
      </c>
      <c r="P46" s="21">
        <v>9377.0</v>
      </c>
      <c r="Q46" s="5">
        <v>37.0</v>
      </c>
      <c r="R46" s="31">
        <f t="shared" si="2"/>
        <v>2940.39</v>
      </c>
    </row>
    <row r="47">
      <c r="B47" s="8" t="s">
        <v>9731</v>
      </c>
      <c r="C47" s="131" t="s">
        <v>11271</v>
      </c>
      <c r="D47" s="8" t="s">
        <v>60</v>
      </c>
      <c r="E47" s="8" t="s">
        <v>11272</v>
      </c>
      <c r="F47" s="8" t="s">
        <v>11273</v>
      </c>
      <c r="G47" s="8">
        <v>9.714611111E9</v>
      </c>
      <c r="H47" s="8"/>
      <c r="I47" s="21">
        <v>346.0</v>
      </c>
      <c r="J47" s="21" t="s">
        <v>4449</v>
      </c>
      <c r="K47" s="8" t="s">
        <v>1419</v>
      </c>
      <c r="L47" s="8" t="s">
        <v>26</v>
      </c>
      <c r="M47" s="8" t="s">
        <v>27</v>
      </c>
      <c r="N47" s="8" t="s">
        <v>28</v>
      </c>
      <c r="O47" s="97">
        <v>1366.0</v>
      </c>
      <c r="P47" s="97">
        <v>1612.0</v>
      </c>
      <c r="Q47" s="5">
        <v>40.0</v>
      </c>
      <c r="R47" s="31">
        <f t="shared" si="2"/>
        <v>546.4</v>
      </c>
    </row>
    <row r="48">
      <c r="B48" s="8" t="s">
        <v>9731</v>
      </c>
      <c r="C48" s="131" t="s">
        <v>11274</v>
      </c>
      <c r="D48" s="8" t="s">
        <v>966</v>
      </c>
      <c r="E48" s="8" t="s">
        <v>11275</v>
      </c>
      <c r="F48" s="8" t="s">
        <v>11276</v>
      </c>
      <c r="G48" s="8">
        <v>9.89899104E9</v>
      </c>
      <c r="H48" s="8"/>
      <c r="I48" s="21">
        <v>1086.0</v>
      </c>
      <c r="J48" s="21" t="s">
        <v>4469</v>
      </c>
      <c r="K48" s="8" t="s">
        <v>78</v>
      </c>
      <c r="L48" s="8" t="s">
        <v>26</v>
      </c>
      <c r="M48" s="8" t="s">
        <v>27</v>
      </c>
      <c r="N48" s="8" t="s">
        <v>28</v>
      </c>
      <c r="O48" s="21">
        <v>3476.0</v>
      </c>
      <c r="P48" s="21">
        <v>4102.0</v>
      </c>
      <c r="Q48" s="5">
        <v>37.0</v>
      </c>
      <c r="R48" s="31">
        <f t="shared" si="2"/>
        <v>1286.12</v>
      </c>
    </row>
    <row r="49">
      <c r="B49" s="8" t="s">
        <v>9751</v>
      </c>
      <c r="C49" s="8" t="s">
        <v>11277</v>
      </c>
      <c r="D49" s="8" t="s">
        <v>966</v>
      </c>
      <c r="E49" s="8" t="s">
        <v>11278</v>
      </c>
      <c r="F49" s="8" t="s">
        <v>11279</v>
      </c>
      <c r="G49" s="8">
        <v>7.043696132E9</v>
      </c>
      <c r="H49" s="8"/>
      <c r="I49" s="21">
        <v>1495.0</v>
      </c>
      <c r="J49" s="21" t="s">
        <v>4473</v>
      </c>
      <c r="K49" s="8" t="s">
        <v>78</v>
      </c>
      <c r="L49" s="8" t="s">
        <v>26</v>
      </c>
      <c r="M49" s="8" t="s">
        <v>27</v>
      </c>
      <c r="N49" s="8" t="s">
        <v>28</v>
      </c>
      <c r="O49" s="21">
        <v>4041.0</v>
      </c>
      <c r="P49" s="21">
        <v>4768.0</v>
      </c>
      <c r="Q49" s="5">
        <v>37.0</v>
      </c>
      <c r="R49" s="31">
        <f t="shared" si="2"/>
        <v>1495.17</v>
      </c>
    </row>
    <row r="50">
      <c r="B50" s="8" t="s">
        <v>9760</v>
      </c>
      <c r="C50" s="8" t="s">
        <v>11280</v>
      </c>
      <c r="D50" s="8" t="s">
        <v>60</v>
      </c>
      <c r="E50" s="8" t="s">
        <v>11256</v>
      </c>
      <c r="F50" s="8" t="s">
        <v>11281</v>
      </c>
      <c r="G50" s="8">
        <v>7.069348777E9</v>
      </c>
      <c r="H50" s="8"/>
      <c r="I50" s="21">
        <v>109.0</v>
      </c>
      <c r="J50" s="21" t="s">
        <v>11282</v>
      </c>
      <c r="K50" s="8" t="s">
        <v>4916</v>
      </c>
      <c r="L50" s="8" t="s">
        <v>26</v>
      </c>
      <c r="M50" s="8" t="s">
        <v>27</v>
      </c>
      <c r="N50" s="8" t="s">
        <v>28</v>
      </c>
      <c r="O50" s="21">
        <v>714.0</v>
      </c>
      <c r="P50" s="21">
        <v>842.52</v>
      </c>
      <c r="Q50" s="5">
        <v>52.0</v>
      </c>
      <c r="R50" s="31">
        <f t="shared" si="2"/>
        <v>371.28</v>
      </c>
    </row>
    <row r="51">
      <c r="B51" s="8" t="s">
        <v>9760</v>
      </c>
      <c r="C51" s="8" t="s">
        <v>11283</v>
      </c>
      <c r="D51" s="8" t="s">
        <v>60</v>
      </c>
      <c r="E51" s="8" t="s">
        <v>11284</v>
      </c>
      <c r="F51" s="8" t="s">
        <v>11285</v>
      </c>
      <c r="G51" s="8">
        <v>9.408040085E9</v>
      </c>
      <c r="H51" s="8"/>
      <c r="I51" s="21">
        <v>110.0</v>
      </c>
      <c r="J51" s="21" t="s">
        <v>11282</v>
      </c>
      <c r="K51" s="8" t="s">
        <v>4916</v>
      </c>
      <c r="L51" s="8" t="s">
        <v>26</v>
      </c>
      <c r="M51" s="8" t="s">
        <v>27</v>
      </c>
      <c r="N51" s="8" t="s">
        <v>28</v>
      </c>
      <c r="O51" s="21">
        <v>714.0</v>
      </c>
      <c r="P51" s="21">
        <v>842.0</v>
      </c>
      <c r="Q51" s="5">
        <v>52.0</v>
      </c>
      <c r="R51" s="31">
        <f t="shared" si="2"/>
        <v>371.28</v>
      </c>
    </row>
    <row r="52">
      <c r="B52" s="8" t="s">
        <v>9760</v>
      </c>
      <c r="C52" s="131" t="s">
        <v>11286</v>
      </c>
      <c r="D52" s="8" t="s">
        <v>60</v>
      </c>
      <c r="E52" s="8" t="s">
        <v>719</v>
      </c>
      <c r="F52" s="8" t="s">
        <v>11287</v>
      </c>
      <c r="G52" s="8">
        <v>7.016762088E9</v>
      </c>
      <c r="H52" s="8"/>
      <c r="I52" s="21">
        <v>97.0</v>
      </c>
      <c r="J52" s="21" t="s">
        <v>11288</v>
      </c>
      <c r="K52" s="8" t="s">
        <v>11169</v>
      </c>
      <c r="L52" s="8" t="s">
        <v>26</v>
      </c>
      <c r="M52" s="8" t="s">
        <v>71</v>
      </c>
      <c r="N52" s="8" t="s">
        <v>28</v>
      </c>
      <c r="O52" s="21">
        <v>714.0</v>
      </c>
      <c r="P52" s="21">
        <v>842.0</v>
      </c>
      <c r="Q52" s="5">
        <v>27.0</v>
      </c>
      <c r="R52" s="31">
        <f t="shared" si="2"/>
        <v>192.78</v>
      </c>
    </row>
    <row r="53">
      <c r="B53" s="8" t="s">
        <v>11289</v>
      </c>
      <c r="C53" s="8" t="s">
        <v>7403</v>
      </c>
      <c r="D53" s="8" t="s">
        <v>966</v>
      </c>
      <c r="E53" s="8" t="s">
        <v>11290</v>
      </c>
      <c r="F53" s="8" t="s">
        <v>11291</v>
      </c>
      <c r="G53" s="8">
        <v>7.016383758E9</v>
      </c>
      <c r="H53" s="8"/>
      <c r="I53" s="21">
        <v>1396.0</v>
      </c>
      <c r="J53" s="21" t="s">
        <v>4485</v>
      </c>
      <c r="K53" s="8" t="s">
        <v>78</v>
      </c>
      <c r="L53" s="8" t="s">
        <v>26</v>
      </c>
      <c r="M53" s="8" t="s">
        <v>71</v>
      </c>
      <c r="N53" s="8" t="s">
        <v>28</v>
      </c>
      <c r="O53" s="21">
        <v>3791.0</v>
      </c>
      <c r="P53" s="21">
        <v>4473.0</v>
      </c>
      <c r="Q53" s="5">
        <v>37.0</v>
      </c>
      <c r="R53" s="31">
        <f t="shared" si="2"/>
        <v>1402.67</v>
      </c>
    </row>
    <row r="54">
      <c r="B54" s="8" t="s">
        <v>11289</v>
      </c>
      <c r="C54" s="8" t="s">
        <v>11292</v>
      </c>
      <c r="D54" s="8" t="s">
        <v>966</v>
      </c>
      <c r="E54" s="8" t="s">
        <v>11293</v>
      </c>
      <c r="F54" s="8" t="s">
        <v>11294</v>
      </c>
      <c r="G54" s="8">
        <v>9.879583037E9</v>
      </c>
      <c r="H54" s="8"/>
      <c r="I54" s="21">
        <v>2596.0</v>
      </c>
      <c r="J54" s="21" t="s">
        <v>4481</v>
      </c>
      <c r="K54" s="8" t="s">
        <v>78</v>
      </c>
      <c r="L54" s="8" t="s">
        <v>26</v>
      </c>
      <c r="M54" s="8" t="s">
        <v>71</v>
      </c>
      <c r="N54" s="8" t="s">
        <v>28</v>
      </c>
      <c r="O54" s="21">
        <v>7947.0</v>
      </c>
      <c r="P54" s="21">
        <v>9377.0</v>
      </c>
      <c r="Q54" s="5">
        <v>32.0</v>
      </c>
      <c r="R54" s="31">
        <f t="shared" si="2"/>
        <v>2543.04</v>
      </c>
    </row>
    <row r="55">
      <c r="B55" s="8" t="s">
        <v>11289</v>
      </c>
      <c r="C55" s="8" t="s">
        <v>11295</v>
      </c>
      <c r="D55" s="8" t="s">
        <v>60</v>
      </c>
      <c r="E55" s="8" t="s">
        <v>719</v>
      </c>
      <c r="F55" s="8" t="s">
        <v>319</v>
      </c>
      <c r="G55" s="8">
        <v>9.016204815E9</v>
      </c>
      <c r="H55" s="8"/>
      <c r="I55" s="21">
        <v>97.0</v>
      </c>
      <c r="J55" s="21" t="s">
        <v>4481</v>
      </c>
      <c r="K55" s="8" t="s">
        <v>1419</v>
      </c>
      <c r="L55" s="8" t="s">
        <v>26</v>
      </c>
      <c r="M55" s="8" t="s">
        <v>71</v>
      </c>
      <c r="N55" s="8" t="s">
        <v>28</v>
      </c>
      <c r="O55" s="21">
        <v>714.0</v>
      </c>
      <c r="P55" s="21">
        <v>842.0</v>
      </c>
      <c r="Q55" s="5">
        <v>40.0</v>
      </c>
      <c r="R55" s="31">
        <f t="shared" si="2"/>
        <v>285.6</v>
      </c>
    </row>
    <row r="56">
      <c r="B56" s="8" t="s">
        <v>9772</v>
      </c>
      <c r="C56" s="8" t="s">
        <v>11296</v>
      </c>
      <c r="D56" s="8" t="s">
        <v>966</v>
      </c>
      <c r="E56" s="8" t="s">
        <v>11297</v>
      </c>
      <c r="F56" s="8" t="s">
        <v>11298</v>
      </c>
      <c r="G56" s="8">
        <v>9.998070001E9</v>
      </c>
      <c r="H56" s="8"/>
      <c r="I56" s="21">
        <v>1186.0</v>
      </c>
      <c r="J56" s="21" t="s">
        <v>4496</v>
      </c>
      <c r="K56" s="8" t="s">
        <v>78</v>
      </c>
      <c r="L56" s="8" t="s">
        <v>26</v>
      </c>
      <c r="M56" s="8" t="s">
        <v>71</v>
      </c>
      <c r="N56" s="8" t="s">
        <v>28</v>
      </c>
      <c r="O56" s="21">
        <v>3791.0</v>
      </c>
      <c r="P56" s="21">
        <v>4473.0</v>
      </c>
      <c r="Q56" s="5">
        <v>37.0</v>
      </c>
      <c r="R56" s="31">
        <f t="shared" si="2"/>
        <v>1402.67</v>
      </c>
    </row>
    <row r="57">
      <c r="B57" s="8" t="s">
        <v>9790</v>
      </c>
      <c r="C57" s="8" t="s">
        <v>7329</v>
      </c>
      <c r="D57" s="8" t="s">
        <v>966</v>
      </c>
      <c r="E57" s="8" t="s">
        <v>11299</v>
      </c>
      <c r="F57" s="8" t="s">
        <v>11300</v>
      </c>
      <c r="G57" s="8">
        <v>9.825238101E9</v>
      </c>
      <c r="H57" s="8"/>
      <c r="I57" s="21">
        <v>796.0</v>
      </c>
      <c r="J57" s="21" t="s">
        <v>4583</v>
      </c>
      <c r="K57" s="8" t="s">
        <v>78</v>
      </c>
      <c r="L57" s="8" t="s">
        <v>26</v>
      </c>
      <c r="M57" s="8" t="s">
        <v>27</v>
      </c>
      <c r="N57" s="8" t="s">
        <v>28</v>
      </c>
      <c r="O57" s="21">
        <v>2154.0</v>
      </c>
      <c r="P57" s="21">
        <v>2542.0</v>
      </c>
      <c r="Q57" s="5">
        <v>37.0</v>
      </c>
      <c r="R57" s="31">
        <f t="shared" si="2"/>
        <v>796.98</v>
      </c>
    </row>
    <row r="58">
      <c r="B58" s="8" t="s">
        <v>9790</v>
      </c>
      <c r="C58" s="8" t="s">
        <v>11301</v>
      </c>
      <c r="D58" s="8" t="s">
        <v>966</v>
      </c>
      <c r="E58" s="8" t="s">
        <v>11302</v>
      </c>
      <c r="F58" s="8" t="s">
        <v>10609</v>
      </c>
      <c r="G58" s="8">
        <v>9.879229176E9</v>
      </c>
      <c r="H58" s="8"/>
      <c r="I58" s="21">
        <v>1197.0</v>
      </c>
      <c r="J58" s="21" t="s">
        <v>4583</v>
      </c>
      <c r="K58" s="8" t="s">
        <v>78</v>
      </c>
      <c r="L58" s="8" t="s">
        <v>26</v>
      </c>
      <c r="M58" s="8" t="s">
        <v>27</v>
      </c>
      <c r="N58" s="8" t="s">
        <v>28</v>
      </c>
      <c r="O58" s="21">
        <v>3416.0</v>
      </c>
      <c r="P58" s="21">
        <v>4031.0</v>
      </c>
      <c r="Q58" s="5">
        <v>37.0</v>
      </c>
      <c r="R58" s="31">
        <f t="shared" si="2"/>
        <v>1263.92</v>
      </c>
    </row>
    <row r="59">
      <c r="B59" s="8" t="s">
        <v>9790</v>
      </c>
      <c r="C59" s="8" t="s">
        <v>11303</v>
      </c>
      <c r="D59" s="8" t="s">
        <v>966</v>
      </c>
      <c r="E59" s="8" t="s">
        <v>11304</v>
      </c>
      <c r="F59" s="8" t="s">
        <v>11305</v>
      </c>
      <c r="G59" s="8">
        <v>7.990859181E9</v>
      </c>
      <c r="H59" s="8"/>
      <c r="I59" s="21">
        <v>1396.0</v>
      </c>
      <c r="J59" s="21" t="s">
        <v>4583</v>
      </c>
      <c r="K59" s="8" t="s">
        <v>116</v>
      </c>
      <c r="L59" s="8" t="s">
        <v>49</v>
      </c>
      <c r="M59" s="8" t="s">
        <v>27</v>
      </c>
      <c r="N59" s="8" t="s">
        <v>28</v>
      </c>
      <c r="O59" s="203">
        <v>6448.0</v>
      </c>
      <c r="P59" s="97">
        <v>12761.0</v>
      </c>
      <c r="Q59" s="5">
        <v>24.0</v>
      </c>
      <c r="R59" s="31">
        <f t="shared" si="2"/>
        <v>1547.52</v>
      </c>
    </row>
    <row r="60">
      <c r="B60" s="8" t="s">
        <v>9790</v>
      </c>
      <c r="C60" s="8" t="s">
        <v>11306</v>
      </c>
      <c r="D60" s="8" t="s">
        <v>60</v>
      </c>
      <c r="E60" s="8" t="s">
        <v>11214</v>
      </c>
      <c r="F60" s="8" t="s">
        <v>11307</v>
      </c>
      <c r="G60" s="8">
        <v>9.081692992E9</v>
      </c>
      <c r="H60" s="8"/>
      <c r="I60" s="21">
        <v>97.0</v>
      </c>
      <c r="J60" s="21" t="s">
        <v>4706</v>
      </c>
      <c r="K60" s="8" t="s">
        <v>1419</v>
      </c>
      <c r="L60" s="8" t="s">
        <v>26</v>
      </c>
      <c r="M60" s="8" t="s">
        <v>27</v>
      </c>
      <c r="N60" s="8" t="s">
        <v>28</v>
      </c>
      <c r="O60" s="21">
        <v>714.0</v>
      </c>
      <c r="P60" s="21">
        <v>842.0</v>
      </c>
      <c r="Q60" s="5">
        <v>40.0</v>
      </c>
      <c r="R60" s="31">
        <f t="shared" si="2"/>
        <v>285.6</v>
      </c>
    </row>
    <row r="61">
      <c r="B61" s="8" t="s">
        <v>9808</v>
      </c>
      <c r="C61" s="131" t="s">
        <v>11308</v>
      </c>
      <c r="D61" s="8" t="s">
        <v>966</v>
      </c>
      <c r="E61" s="8" t="s">
        <v>11309</v>
      </c>
      <c r="F61" s="8" t="s">
        <v>11310</v>
      </c>
      <c r="G61" s="8">
        <v>7.265002462E9</v>
      </c>
      <c r="H61" s="8"/>
      <c r="I61" s="21">
        <v>1248.0</v>
      </c>
      <c r="J61" s="22">
        <v>45665.0</v>
      </c>
      <c r="K61" s="8" t="s">
        <v>7642</v>
      </c>
      <c r="L61" s="8" t="s">
        <v>26</v>
      </c>
      <c r="M61" s="8" t="s">
        <v>71</v>
      </c>
      <c r="N61" s="8" t="s">
        <v>28</v>
      </c>
      <c r="O61" s="97">
        <v>3466.0</v>
      </c>
      <c r="P61" s="97">
        <v>4090.0</v>
      </c>
      <c r="Q61" s="5">
        <v>36.0</v>
      </c>
      <c r="R61" s="31">
        <f t="shared" si="2"/>
        <v>1247.76</v>
      </c>
    </row>
    <row r="62">
      <c r="B62" s="8" t="s">
        <v>9821</v>
      </c>
      <c r="C62" s="8" t="s">
        <v>6863</v>
      </c>
      <c r="D62" s="8" t="s">
        <v>966</v>
      </c>
      <c r="E62" s="8" t="s">
        <v>8417</v>
      </c>
      <c r="F62" s="8" t="s">
        <v>11311</v>
      </c>
      <c r="G62" s="8">
        <v>9.909808005E9</v>
      </c>
      <c r="H62" s="8"/>
      <c r="I62" s="21">
        <v>1248.0</v>
      </c>
      <c r="J62" s="21" t="s">
        <v>9744</v>
      </c>
      <c r="K62" s="8" t="s">
        <v>7642</v>
      </c>
      <c r="L62" s="8" t="s">
        <v>26</v>
      </c>
      <c r="M62" s="8" t="s">
        <v>27</v>
      </c>
      <c r="N62" s="8" t="s">
        <v>28</v>
      </c>
      <c r="O62" s="97">
        <v>3416.0</v>
      </c>
      <c r="P62" s="97">
        <v>4031.0</v>
      </c>
      <c r="Q62" s="5">
        <v>36.0</v>
      </c>
      <c r="R62" s="31">
        <f t="shared" si="2"/>
        <v>1229.76</v>
      </c>
    </row>
    <row r="63">
      <c r="B63" s="8" t="s">
        <v>9839</v>
      </c>
      <c r="C63" s="8" t="s">
        <v>7374</v>
      </c>
      <c r="D63" s="8" t="s">
        <v>966</v>
      </c>
      <c r="E63" s="8" t="s">
        <v>11312</v>
      </c>
      <c r="F63" s="8" t="s">
        <v>11313</v>
      </c>
      <c r="G63" s="8">
        <v>8.200896835E9</v>
      </c>
      <c r="H63" s="8"/>
      <c r="I63" s="21">
        <v>1197.0</v>
      </c>
      <c r="J63" s="21" t="s">
        <v>4605</v>
      </c>
      <c r="K63" s="8" t="s">
        <v>78</v>
      </c>
      <c r="L63" s="8" t="s">
        <v>26</v>
      </c>
      <c r="M63" s="8" t="s">
        <v>27</v>
      </c>
      <c r="N63" s="8" t="s">
        <v>28</v>
      </c>
      <c r="O63" s="21">
        <v>3851.0</v>
      </c>
      <c r="P63" s="21">
        <v>4544.0</v>
      </c>
      <c r="Q63" s="5">
        <v>37.0</v>
      </c>
      <c r="R63" s="31">
        <f t="shared" si="2"/>
        <v>1424.87</v>
      </c>
    </row>
    <row r="64">
      <c r="B64" s="8" t="s">
        <v>9839</v>
      </c>
      <c r="C64" s="8" t="s">
        <v>7584</v>
      </c>
      <c r="D64" s="8" t="s">
        <v>966</v>
      </c>
      <c r="E64" s="8" t="s">
        <v>11314</v>
      </c>
      <c r="F64" s="8" t="s">
        <v>11315</v>
      </c>
      <c r="G64" s="8">
        <v>8.98000089E9</v>
      </c>
      <c r="H64" s="8"/>
      <c r="I64" s="21">
        <v>1498.0</v>
      </c>
      <c r="J64" s="22">
        <v>45696.0</v>
      </c>
      <c r="K64" s="8" t="s">
        <v>78</v>
      </c>
      <c r="L64" s="8" t="s">
        <v>26</v>
      </c>
      <c r="M64" s="8" t="s">
        <v>71</v>
      </c>
      <c r="N64" s="8" t="s">
        <v>28</v>
      </c>
      <c r="O64" s="21">
        <v>3791.0</v>
      </c>
      <c r="P64" s="21">
        <v>4473.0</v>
      </c>
      <c r="Q64" s="5">
        <v>37.0</v>
      </c>
      <c r="R64" s="31">
        <f t="shared" si="2"/>
        <v>1402.67</v>
      </c>
    </row>
    <row r="65">
      <c r="B65" s="8" t="s">
        <v>9839</v>
      </c>
      <c r="C65" s="8" t="s">
        <v>11316</v>
      </c>
      <c r="D65" s="8" t="s">
        <v>60</v>
      </c>
      <c r="E65" s="8" t="s">
        <v>719</v>
      </c>
      <c r="F65" s="8" t="s">
        <v>11317</v>
      </c>
      <c r="G65" s="8">
        <v>9.725564918E9</v>
      </c>
      <c r="H65" s="8"/>
      <c r="I65" s="21">
        <v>100.0</v>
      </c>
      <c r="J65" s="128">
        <v>45665.0</v>
      </c>
      <c r="K65" s="8" t="s">
        <v>11169</v>
      </c>
      <c r="L65" s="8" t="s">
        <v>26</v>
      </c>
      <c r="M65" s="8" t="s">
        <v>27</v>
      </c>
      <c r="N65" s="8" t="s">
        <v>28</v>
      </c>
      <c r="O65" s="21">
        <v>714.0</v>
      </c>
      <c r="P65" s="21">
        <v>842.0</v>
      </c>
      <c r="Q65" s="5">
        <v>27.0</v>
      </c>
      <c r="R65" s="31">
        <f t="shared" si="2"/>
        <v>192.78</v>
      </c>
    </row>
    <row r="66">
      <c r="B66" s="8" t="s">
        <v>9839</v>
      </c>
      <c r="C66" s="8" t="s">
        <v>11318</v>
      </c>
      <c r="D66" s="8" t="s">
        <v>60</v>
      </c>
      <c r="E66" s="8" t="s">
        <v>11217</v>
      </c>
      <c r="F66" s="8" t="s">
        <v>10061</v>
      </c>
      <c r="G66" s="8" t="s">
        <v>11319</v>
      </c>
      <c r="H66" s="8"/>
      <c r="I66" s="21">
        <v>97.0</v>
      </c>
      <c r="J66" s="21" t="s">
        <v>9744</v>
      </c>
      <c r="K66" s="8" t="s">
        <v>1419</v>
      </c>
      <c r="L66" s="8" t="s">
        <v>26</v>
      </c>
      <c r="M66" s="8" t="s">
        <v>27</v>
      </c>
      <c r="N66" s="8" t="s">
        <v>28</v>
      </c>
      <c r="O66" s="21">
        <v>714.0</v>
      </c>
      <c r="P66" s="21">
        <v>842.0</v>
      </c>
      <c r="Q66" s="5">
        <v>40.0</v>
      </c>
      <c r="R66" s="31">
        <f t="shared" si="2"/>
        <v>285.6</v>
      </c>
    </row>
    <row r="67">
      <c r="B67" s="8" t="s">
        <v>9839</v>
      </c>
      <c r="C67" s="8" t="s">
        <v>11320</v>
      </c>
      <c r="D67" s="8" t="s">
        <v>966</v>
      </c>
      <c r="E67" s="8" t="s">
        <v>11321</v>
      </c>
      <c r="F67" s="8" t="s">
        <v>11322</v>
      </c>
      <c r="G67" s="8">
        <v>9.978292045E9</v>
      </c>
      <c r="H67" s="8"/>
      <c r="I67" s="21">
        <v>1086.0</v>
      </c>
      <c r="J67" s="21" t="s">
        <v>9744</v>
      </c>
      <c r="K67" s="8" t="s">
        <v>78</v>
      </c>
      <c r="L67" s="8" t="s">
        <v>26</v>
      </c>
      <c r="M67" s="8" t="s">
        <v>27</v>
      </c>
      <c r="N67" s="8" t="s">
        <v>28</v>
      </c>
      <c r="O67" s="21">
        <v>3476.0</v>
      </c>
      <c r="P67" s="21">
        <v>4102.0</v>
      </c>
      <c r="Q67" s="5">
        <v>37.0</v>
      </c>
      <c r="R67" s="31">
        <f t="shared" si="2"/>
        <v>1286.12</v>
      </c>
    </row>
    <row r="69">
      <c r="B69" s="657" t="s">
        <v>11323</v>
      </c>
    </row>
    <row r="71">
      <c r="B71" s="215">
        <v>45360.0</v>
      </c>
      <c r="C71" s="8" t="s">
        <v>11324</v>
      </c>
      <c r="D71" s="8" t="s">
        <v>60</v>
      </c>
      <c r="E71" s="8" t="s">
        <v>11226</v>
      </c>
      <c r="F71" s="8" t="s">
        <v>11325</v>
      </c>
      <c r="G71" s="8">
        <v>8.141564502E9</v>
      </c>
      <c r="H71" s="8"/>
      <c r="I71" s="21">
        <v>100.0</v>
      </c>
      <c r="J71" s="22">
        <v>45756.0</v>
      </c>
      <c r="K71" s="8" t="s">
        <v>11169</v>
      </c>
      <c r="L71" s="8" t="s">
        <v>26</v>
      </c>
      <c r="M71" s="8" t="s">
        <v>27</v>
      </c>
      <c r="N71" s="8" t="s">
        <v>28</v>
      </c>
      <c r="O71" s="21">
        <v>714.0</v>
      </c>
      <c r="P71" s="21">
        <v>843.0</v>
      </c>
      <c r="Q71" s="6">
        <v>26.0</v>
      </c>
      <c r="R71" s="31">
        <f t="shared" ref="R71:R109" si="3">O71*Q71%</f>
        <v>185.64</v>
      </c>
    </row>
    <row r="72">
      <c r="B72" s="215">
        <v>45360.0</v>
      </c>
      <c r="C72" s="8" t="s">
        <v>11326</v>
      </c>
      <c r="D72" s="8" t="s">
        <v>60</v>
      </c>
      <c r="E72" s="8" t="s">
        <v>11327</v>
      </c>
      <c r="F72" s="8" t="s">
        <v>11328</v>
      </c>
      <c r="G72" s="8">
        <v>9.712354141E9</v>
      </c>
      <c r="H72" s="8"/>
      <c r="I72" s="21">
        <v>110.0</v>
      </c>
      <c r="J72" s="22">
        <v>45725.0</v>
      </c>
      <c r="K72" s="8" t="s">
        <v>4916</v>
      </c>
      <c r="L72" s="8" t="s">
        <v>26</v>
      </c>
      <c r="M72" s="8" t="s">
        <v>71</v>
      </c>
      <c r="N72" s="8" t="s">
        <v>28</v>
      </c>
      <c r="O72" s="21">
        <v>714.0</v>
      </c>
      <c r="P72" s="21">
        <v>842.52</v>
      </c>
      <c r="Q72" s="6">
        <v>50.0</v>
      </c>
      <c r="R72" s="31">
        <f t="shared" si="3"/>
        <v>357</v>
      </c>
    </row>
    <row r="73">
      <c r="B73" s="215">
        <v>45360.0</v>
      </c>
      <c r="C73" s="8" t="s">
        <v>11329</v>
      </c>
      <c r="D73" s="8" t="s">
        <v>60</v>
      </c>
      <c r="E73" s="8" t="s">
        <v>11330</v>
      </c>
      <c r="F73" s="8" t="s">
        <v>11331</v>
      </c>
      <c r="G73" s="8">
        <v>9.979383618E9</v>
      </c>
      <c r="H73" s="8"/>
      <c r="I73" s="21">
        <v>110.0</v>
      </c>
      <c r="J73" s="22" t="s">
        <v>10079</v>
      </c>
      <c r="K73" s="8" t="s">
        <v>4916</v>
      </c>
      <c r="L73" s="8" t="s">
        <v>26</v>
      </c>
      <c r="M73" s="8" t="s">
        <v>27</v>
      </c>
      <c r="N73" s="8" t="s">
        <v>28</v>
      </c>
      <c r="O73" s="21">
        <v>714.0</v>
      </c>
      <c r="P73" s="21">
        <v>842.0</v>
      </c>
      <c r="Q73" s="6">
        <v>50.0</v>
      </c>
      <c r="R73" s="31">
        <f t="shared" si="3"/>
        <v>357</v>
      </c>
    </row>
    <row r="74">
      <c r="B74" s="215">
        <v>45360.0</v>
      </c>
      <c r="C74" s="8" t="s">
        <v>7574</v>
      </c>
      <c r="D74" s="8" t="s">
        <v>966</v>
      </c>
      <c r="E74" s="8" t="s">
        <v>11332</v>
      </c>
      <c r="F74" s="8" t="s">
        <v>11333</v>
      </c>
      <c r="G74" s="8">
        <v>9.228295815E9</v>
      </c>
      <c r="H74" s="8"/>
      <c r="I74" s="21">
        <v>2446.0</v>
      </c>
      <c r="J74" s="22">
        <v>45697.0</v>
      </c>
      <c r="K74" s="8" t="s">
        <v>78</v>
      </c>
      <c r="L74" s="8" t="s">
        <v>26</v>
      </c>
      <c r="M74" s="8" t="s">
        <v>71</v>
      </c>
      <c r="N74" s="8" t="s">
        <v>28</v>
      </c>
      <c r="O74" s="21">
        <v>7947.0</v>
      </c>
      <c r="P74" s="21">
        <v>9377.0</v>
      </c>
      <c r="Q74" s="6">
        <v>37.0</v>
      </c>
      <c r="R74" s="31">
        <f t="shared" si="3"/>
        <v>2940.39</v>
      </c>
    </row>
    <row r="75">
      <c r="B75" s="215">
        <v>45391.0</v>
      </c>
      <c r="C75" s="8" t="s">
        <v>11334</v>
      </c>
      <c r="D75" s="8" t="s">
        <v>966</v>
      </c>
      <c r="E75" s="8" t="s">
        <v>11335</v>
      </c>
      <c r="F75" s="8" t="s">
        <v>11336</v>
      </c>
      <c r="G75" s="8">
        <v>9.825982715E9</v>
      </c>
      <c r="H75" s="8"/>
      <c r="I75" s="21">
        <v>2982.0</v>
      </c>
      <c r="J75" s="22">
        <v>45725.0</v>
      </c>
      <c r="K75" s="8" t="s">
        <v>78</v>
      </c>
      <c r="L75" s="8" t="s">
        <v>26</v>
      </c>
      <c r="M75" s="8" t="s">
        <v>71</v>
      </c>
      <c r="N75" s="8" t="s">
        <v>28</v>
      </c>
      <c r="O75" s="21">
        <v>7947.0</v>
      </c>
      <c r="P75" s="21">
        <v>9377.0</v>
      </c>
      <c r="Q75" s="6">
        <v>37.0</v>
      </c>
      <c r="R75" s="31">
        <f t="shared" si="3"/>
        <v>2940.39</v>
      </c>
    </row>
    <row r="76">
      <c r="B76" s="215">
        <v>45452.0</v>
      </c>
      <c r="C76" s="8" t="s">
        <v>7701</v>
      </c>
      <c r="D76" s="8" t="s">
        <v>966</v>
      </c>
      <c r="E76" s="8" t="s">
        <v>11337</v>
      </c>
      <c r="F76" s="8" t="s">
        <v>11338</v>
      </c>
      <c r="G76" s="8">
        <v>8.141736765E9</v>
      </c>
      <c r="H76" s="8"/>
      <c r="I76" s="21">
        <v>1086.0</v>
      </c>
      <c r="J76" s="22">
        <v>45817.0</v>
      </c>
      <c r="K76" s="8" t="s">
        <v>78</v>
      </c>
      <c r="L76" s="8" t="s">
        <v>26</v>
      </c>
      <c r="M76" s="8" t="s">
        <v>71</v>
      </c>
      <c r="N76" s="8" t="s">
        <v>28</v>
      </c>
      <c r="O76" s="21">
        <v>3466.0</v>
      </c>
      <c r="P76" s="21">
        <v>4090.0</v>
      </c>
      <c r="Q76" s="6">
        <v>37.0</v>
      </c>
      <c r="R76" s="31">
        <f t="shared" si="3"/>
        <v>1282.42</v>
      </c>
    </row>
    <row r="77">
      <c r="B77" s="215">
        <v>45605.0</v>
      </c>
      <c r="C77" s="8" t="s">
        <v>11339</v>
      </c>
      <c r="D77" s="8" t="s">
        <v>966</v>
      </c>
      <c r="E77" s="8" t="s">
        <v>11340</v>
      </c>
      <c r="F77" s="8" t="s">
        <v>999</v>
      </c>
      <c r="G77" s="8">
        <v>9.979600037E9</v>
      </c>
      <c r="H77" s="8"/>
      <c r="I77" s="21">
        <v>1462.0</v>
      </c>
      <c r="J77" s="22">
        <v>45909.0</v>
      </c>
      <c r="K77" s="8" t="s">
        <v>1419</v>
      </c>
      <c r="L77" s="8" t="s">
        <v>49</v>
      </c>
      <c r="M77" s="8" t="s">
        <v>27</v>
      </c>
      <c r="N77" s="8" t="s">
        <v>28</v>
      </c>
      <c r="O77" s="97">
        <v>15504.0</v>
      </c>
      <c r="P77" s="97">
        <v>18294.0</v>
      </c>
      <c r="Q77" s="6">
        <v>20.0</v>
      </c>
      <c r="R77" s="31">
        <f t="shared" si="3"/>
        <v>3100.8</v>
      </c>
    </row>
    <row r="78">
      <c r="B78" s="215">
        <v>45635.0</v>
      </c>
      <c r="C78" s="8" t="s">
        <v>11341</v>
      </c>
      <c r="D78" s="8" t="s">
        <v>966</v>
      </c>
      <c r="E78" s="8" t="s">
        <v>11342</v>
      </c>
      <c r="F78" s="8" t="s">
        <v>11343</v>
      </c>
      <c r="G78" s="8">
        <v>9.724351533E9</v>
      </c>
      <c r="H78" s="8"/>
      <c r="I78" s="21">
        <v>1199.0</v>
      </c>
      <c r="J78" s="22">
        <v>45970.0</v>
      </c>
      <c r="K78" s="8" t="s">
        <v>78</v>
      </c>
      <c r="L78" s="8" t="s">
        <v>26</v>
      </c>
      <c r="M78" s="8" t="s">
        <v>71</v>
      </c>
      <c r="N78" s="8" t="s">
        <v>28</v>
      </c>
      <c r="O78" s="21">
        <v>3851.0</v>
      </c>
      <c r="P78" s="21">
        <v>4544.0</v>
      </c>
      <c r="Q78" s="6">
        <v>37.0</v>
      </c>
      <c r="R78" s="31">
        <f t="shared" si="3"/>
        <v>1424.87</v>
      </c>
    </row>
    <row r="79">
      <c r="B79" s="215">
        <v>45635.0</v>
      </c>
      <c r="C79" s="8" t="s">
        <v>11344</v>
      </c>
      <c r="D79" s="8" t="s">
        <v>60</v>
      </c>
      <c r="E79" s="8" t="s">
        <v>719</v>
      </c>
      <c r="F79" s="8" t="s">
        <v>11345</v>
      </c>
      <c r="G79" s="8">
        <v>9.89899104E9</v>
      </c>
      <c r="H79" s="8"/>
      <c r="I79" s="21">
        <v>100.0</v>
      </c>
      <c r="J79" s="21" t="s">
        <v>10100</v>
      </c>
      <c r="K79" s="8" t="s">
        <v>11169</v>
      </c>
      <c r="L79" s="8" t="s">
        <v>26</v>
      </c>
      <c r="M79" s="8" t="s">
        <v>27</v>
      </c>
      <c r="N79" s="8" t="s">
        <v>28</v>
      </c>
      <c r="O79" s="21">
        <v>714.0</v>
      </c>
      <c r="P79" s="21">
        <v>843.0</v>
      </c>
      <c r="Q79" s="6">
        <v>26.0</v>
      </c>
      <c r="R79" s="31">
        <f t="shared" si="3"/>
        <v>185.64</v>
      </c>
    </row>
    <row r="80">
      <c r="B80" s="215">
        <v>45635.0</v>
      </c>
      <c r="C80" s="8" t="s">
        <v>7684</v>
      </c>
      <c r="D80" s="8" t="s">
        <v>966</v>
      </c>
      <c r="E80" s="8" t="s">
        <v>11346</v>
      </c>
      <c r="F80" s="8" t="s">
        <v>11347</v>
      </c>
      <c r="G80" s="8">
        <v>9.5869121E9</v>
      </c>
      <c r="H80" s="8"/>
      <c r="I80" s="21">
        <v>1196.0</v>
      </c>
      <c r="J80" s="22">
        <v>46000.0</v>
      </c>
      <c r="K80" s="8" t="s">
        <v>78</v>
      </c>
      <c r="L80" s="8" t="s">
        <v>26</v>
      </c>
      <c r="M80" s="8" t="s">
        <v>71</v>
      </c>
      <c r="N80" s="8" t="s">
        <v>28</v>
      </c>
      <c r="O80" s="21">
        <v>3526.0</v>
      </c>
      <c r="P80" s="21">
        <v>4161.0</v>
      </c>
      <c r="Q80" s="6">
        <v>37.0</v>
      </c>
      <c r="R80" s="31">
        <f t="shared" si="3"/>
        <v>1304.62</v>
      </c>
    </row>
    <row r="81">
      <c r="B81" s="215">
        <v>45635.0</v>
      </c>
      <c r="C81" s="8" t="s">
        <v>11348</v>
      </c>
      <c r="D81" s="8" t="s">
        <v>60</v>
      </c>
      <c r="E81" s="8" t="s">
        <v>719</v>
      </c>
      <c r="F81" s="8" t="s">
        <v>11349</v>
      </c>
      <c r="G81" s="8">
        <v>9.714496259E9</v>
      </c>
      <c r="H81" s="8"/>
      <c r="I81" s="21">
        <v>100.0</v>
      </c>
      <c r="J81" s="21" t="s">
        <v>10100</v>
      </c>
      <c r="K81" s="8" t="s">
        <v>11169</v>
      </c>
      <c r="L81" s="8" t="s">
        <v>26</v>
      </c>
      <c r="M81" s="8" t="s">
        <v>27</v>
      </c>
      <c r="N81" s="8" t="s">
        <v>28</v>
      </c>
      <c r="O81" s="21">
        <v>714.0</v>
      </c>
      <c r="P81" s="21">
        <v>843.0</v>
      </c>
      <c r="Q81" s="6">
        <v>26.0</v>
      </c>
      <c r="R81" s="31">
        <f t="shared" si="3"/>
        <v>185.64</v>
      </c>
    </row>
    <row r="82">
      <c r="B82" s="8" t="s">
        <v>10168</v>
      </c>
      <c r="C82" s="8" t="s">
        <v>11350</v>
      </c>
      <c r="D82" s="8" t="s">
        <v>966</v>
      </c>
      <c r="E82" s="8" t="s">
        <v>8417</v>
      </c>
      <c r="F82" s="8" t="s">
        <v>11351</v>
      </c>
      <c r="G82" s="8">
        <v>8.160464734E9</v>
      </c>
      <c r="H82" s="8"/>
      <c r="I82" s="21">
        <v>1248.0</v>
      </c>
      <c r="J82" s="21" t="s">
        <v>5218</v>
      </c>
      <c r="K82" s="8" t="s">
        <v>11352</v>
      </c>
      <c r="L82" s="8" t="s">
        <v>26</v>
      </c>
      <c r="M82" s="8" t="s">
        <v>27</v>
      </c>
      <c r="N82" s="8" t="s">
        <v>28</v>
      </c>
      <c r="O82" s="97">
        <v>3466.0</v>
      </c>
      <c r="P82" s="97">
        <v>4090.0</v>
      </c>
      <c r="Q82" s="6">
        <v>28.0</v>
      </c>
      <c r="R82" s="31">
        <f t="shared" si="3"/>
        <v>970.48</v>
      </c>
    </row>
    <row r="83">
      <c r="B83" s="8" t="s">
        <v>10168</v>
      </c>
      <c r="C83" s="8" t="s">
        <v>11353</v>
      </c>
      <c r="D83" s="8" t="s">
        <v>60</v>
      </c>
      <c r="E83" s="8" t="s">
        <v>11354</v>
      </c>
      <c r="F83" s="8" t="s">
        <v>11355</v>
      </c>
      <c r="G83" s="8">
        <v>7.874537476E9</v>
      </c>
      <c r="H83" s="8"/>
      <c r="I83" s="21">
        <v>109.0</v>
      </c>
      <c r="J83" s="21" t="s">
        <v>10100</v>
      </c>
      <c r="K83" s="8" t="s">
        <v>4916</v>
      </c>
      <c r="L83" s="8" t="s">
        <v>26</v>
      </c>
      <c r="M83" s="8" t="s">
        <v>27</v>
      </c>
      <c r="N83" s="8" t="s">
        <v>28</v>
      </c>
      <c r="O83" s="21">
        <v>714.0</v>
      </c>
      <c r="P83" s="21">
        <v>842.0</v>
      </c>
      <c r="Q83" s="6">
        <v>50.0</v>
      </c>
      <c r="R83" s="31">
        <f t="shared" si="3"/>
        <v>357</v>
      </c>
    </row>
    <row r="84">
      <c r="B84" s="8" t="s">
        <v>10189</v>
      </c>
      <c r="C84" s="8" t="s">
        <v>11356</v>
      </c>
      <c r="D84" s="8" t="s">
        <v>60</v>
      </c>
      <c r="E84" s="8" t="s">
        <v>11357</v>
      </c>
      <c r="F84" s="8" t="s">
        <v>11358</v>
      </c>
      <c r="G84" s="8">
        <v>9.925643861E9</v>
      </c>
      <c r="H84" s="8"/>
      <c r="I84" s="21">
        <v>109.0</v>
      </c>
      <c r="J84" s="21" t="s">
        <v>5218</v>
      </c>
      <c r="K84" s="8" t="s">
        <v>11169</v>
      </c>
      <c r="L84" s="8" t="s">
        <v>26</v>
      </c>
      <c r="M84" s="8" t="s">
        <v>27</v>
      </c>
      <c r="N84" s="8" t="s">
        <v>28</v>
      </c>
      <c r="O84" s="21">
        <v>714.0</v>
      </c>
      <c r="P84" s="21">
        <v>843.0</v>
      </c>
      <c r="Q84" s="6">
        <v>26.0</v>
      </c>
      <c r="R84" s="31">
        <f t="shared" si="3"/>
        <v>185.64</v>
      </c>
    </row>
    <row r="85">
      <c r="B85" s="8" t="s">
        <v>10192</v>
      </c>
      <c r="C85" s="8" t="s">
        <v>11359</v>
      </c>
      <c r="D85" s="8" t="s">
        <v>966</v>
      </c>
      <c r="E85" s="8" t="s">
        <v>11237</v>
      </c>
      <c r="F85" s="8" t="s">
        <v>11360</v>
      </c>
      <c r="G85" s="8">
        <v>8.51165414E9</v>
      </c>
      <c r="H85" s="8"/>
      <c r="I85" s="21">
        <v>1196.0</v>
      </c>
      <c r="J85" s="21" t="s">
        <v>5218</v>
      </c>
      <c r="K85" s="8" t="s">
        <v>78</v>
      </c>
      <c r="L85" s="8" t="s">
        <v>26</v>
      </c>
      <c r="M85" s="8" t="s">
        <v>27</v>
      </c>
      <c r="N85" s="8" t="s">
        <v>28</v>
      </c>
      <c r="O85" s="21">
        <v>3476.0</v>
      </c>
      <c r="P85" s="21">
        <v>4102.0</v>
      </c>
      <c r="Q85" s="6">
        <v>37.0</v>
      </c>
      <c r="R85" s="31">
        <f t="shared" si="3"/>
        <v>1286.12</v>
      </c>
    </row>
    <row r="86">
      <c r="B86" s="8" t="s">
        <v>10192</v>
      </c>
      <c r="C86" s="8" t="s">
        <v>7190</v>
      </c>
      <c r="D86" s="8" t="s">
        <v>966</v>
      </c>
      <c r="E86" s="8" t="s">
        <v>11278</v>
      </c>
      <c r="F86" s="8" t="s">
        <v>11361</v>
      </c>
      <c r="G86" s="8">
        <v>9.978292045E9</v>
      </c>
      <c r="H86" s="8"/>
      <c r="I86" s="21">
        <v>1495.0</v>
      </c>
      <c r="J86" s="21" t="s">
        <v>5218</v>
      </c>
      <c r="K86" s="8" t="s">
        <v>78</v>
      </c>
      <c r="L86" s="8" t="s">
        <v>26</v>
      </c>
      <c r="M86" s="8" t="s">
        <v>27</v>
      </c>
      <c r="N86" s="8" t="s">
        <v>28</v>
      </c>
      <c r="O86" s="21">
        <v>3526.0</v>
      </c>
      <c r="P86" s="21">
        <v>4161.0</v>
      </c>
      <c r="Q86" s="6">
        <v>37.0</v>
      </c>
      <c r="R86" s="31">
        <f t="shared" si="3"/>
        <v>1304.62</v>
      </c>
    </row>
    <row r="87">
      <c r="B87" s="8" t="s">
        <v>10203</v>
      </c>
      <c r="C87" s="8" t="s">
        <v>11362</v>
      </c>
      <c r="D87" s="8" t="s">
        <v>966</v>
      </c>
      <c r="E87" s="8" t="s">
        <v>11363</v>
      </c>
      <c r="F87" s="8" t="s">
        <v>11364</v>
      </c>
      <c r="G87" s="8">
        <v>8.320466811E9</v>
      </c>
      <c r="H87" s="8"/>
      <c r="I87" s="21">
        <v>1086.0</v>
      </c>
      <c r="J87" s="21" t="s">
        <v>10171</v>
      </c>
      <c r="K87" s="8" t="s">
        <v>78</v>
      </c>
      <c r="L87" s="8" t="s">
        <v>26</v>
      </c>
      <c r="M87" s="8" t="s">
        <v>27</v>
      </c>
      <c r="N87" s="8" t="s">
        <v>28</v>
      </c>
      <c r="O87" s="21">
        <v>3526.0</v>
      </c>
      <c r="P87" s="21">
        <v>4161.0</v>
      </c>
      <c r="Q87" s="6">
        <v>37.0</v>
      </c>
      <c r="R87" s="31">
        <f t="shared" si="3"/>
        <v>1304.62</v>
      </c>
    </row>
    <row r="88">
      <c r="B88" s="8" t="s">
        <v>10218</v>
      </c>
      <c r="C88" s="8" t="s">
        <v>11365</v>
      </c>
      <c r="D88" s="8" t="s">
        <v>60</v>
      </c>
      <c r="E88" s="8" t="s">
        <v>11256</v>
      </c>
      <c r="F88" s="8" t="s">
        <v>11366</v>
      </c>
      <c r="G88" s="8">
        <v>9.825094942E9</v>
      </c>
      <c r="H88" s="8"/>
      <c r="I88" s="21">
        <v>109.0</v>
      </c>
      <c r="J88" s="22">
        <v>45787.0</v>
      </c>
      <c r="K88" s="8" t="s">
        <v>4916</v>
      </c>
      <c r="L88" s="8" t="s">
        <v>26</v>
      </c>
      <c r="M88" s="8" t="s">
        <v>71</v>
      </c>
      <c r="N88" s="8" t="s">
        <v>28</v>
      </c>
      <c r="O88" s="21">
        <v>714.0</v>
      </c>
      <c r="P88" s="21">
        <v>842.0</v>
      </c>
      <c r="Q88" s="6">
        <v>50.0</v>
      </c>
      <c r="R88" s="31">
        <f t="shared" si="3"/>
        <v>357</v>
      </c>
    </row>
    <row r="89">
      <c r="B89" s="8" t="s">
        <v>10218</v>
      </c>
      <c r="C89" s="8" t="s">
        <v>11367</v>
      </c>
      <c r="D89" s="8" t="s">
        <v>966</v>
      </c>
      <c r="E89" s="8" t="s">
        <v>11368</v>
      </c>
      <c r="F89" s="8" t="s">
        <v>11369</v>
      </c>
      <c r="G89" s="8">
        <v>9.687519091E9</v>
      </c>
      <c r="H89" s="8"/>
      <c r="I89" s="21">
        <v>1196.0</v>
      </c>
      <c r="J89" s="21" t="s">
        <v>10185</v>
      </c>
      <c r="K89" s="8" t="s">
        <v>78</v>
      </c>
      <c r="L89" s="8" t="s">
        <v>26</v>
      </c>
      <c r="M89" s="8" t="s">
        <v>71</v>
      </c>
      <c r="N89" s="8" t="s">
        <v>28</v>
      </c>
      <c r="O89" s="21">
        <v>3526.0</v>
      </c>
      <c r="P89" s="21">
        <v>4161.0</v>
      </c>
      <c r="Q89" s="6">
        <v>37.0</v>
      </c>
      <c r="R89" s="31">
        <f t="shared" si="3"/>
        <v>1304.62</v>
      </c>
    </row>
    <row r="90">
      <c r="B90" s="8" t="s">
        <v>10218</v>
      </c>
      <c r="C90" s="8" t="s">
        <v>11370</v>
      </c>
      <c r="D90" s="8" t="s">
        <v>966</v>
      </c>
      <c r="E90" s="8" t="s">
        <v>11371</v>
      </c>
      <c r="F90" s="8" t="s">
        <v>11372</v>
      </c>
      <c r="G90" s="8">
        <v>9.427962738E9</v>
      </c>
      <c r="H90" s="8"/>
      <c r="I90" s="21">
        <v>1248.0</v>
      </c>
      <c r="J90" s="21" t="s">
        <v>10185</v>
      </c>
      <c r="K90" s="8" t="s">
        <v>1419</v>
      </c>
      <c r="L90" s="8" t="s">
        <v>26</v>
      </c>
      <c r="M90" s="8" t="s">
        <v>11373</v>
      </c>
      <c r="N90" s="8" t="s">
        <v>28</v>
      </c>
      <c r="O90" s="97">
        <v>4041.0</v>
      </c>
      <c r="P90" s="97">
        <v>4768.0</v>
      </c>
      <c r="Q90" s="6">
        <v>30.0</v>
      </c>
      <c r="R90" s="31">
        <f t="shared" si="3"/>
        <v>1212.3</v>
      </c>
    </row>
    <row r="91">
      <c r="B91" s="8" t="s">
        <v>7751</v>
      </c>
      <c r="C91" s="8" t="s">
        <v>11374</v>
      </c>
      <c r="D91" s="8" t="s">
        <v>60</v>
      </c>
      <c r="E91" s="8" t="s">
        <v>11375</v>
      </c>
      <c r="F91" s="8" t="s">
        <v>11376</v>
      </c>
      <c r="G91" s="8">
        <v>9.727792929E9</v>
      </c>
      <c r="H91" s="8"/>
      <c r="I91" s="21">
        <v>109.0</v>
      </c>
      <c r="J91" s="21" t="s">
        <v>5001</v>
      </c>
      <c r="K91" s="8" t="s">
        <v>4916</v>
      </c>
      <c r="L91" s="8" t="s">
        <v>26</v>
      </c>
      <c r="M91" s="8" t="s">
        <v>27</v>
      </c>
      <c r="N91" s="8" t="s">
        <v>28</v>
      </c>
      <c r="O91" s="21">
        <v>714.0</v>
      </c>
      <c r="P91" s="21">
        <v>842.0</v>
      </c>
      <c r="Q91" s="6">
        <v>50.0</v>
      </c>
      <c r="R91" s="31">
        <f t="shared" si="3"/>
        <v>357</v>
      </c>
    </row>
    <row r="92">
      <c r="B92" s="8" t="s">
        <v>10262</v>
      </c>
      <c r="C92" s="8" t="s">
        <v>11377</v>
      </c>
      <c r="D92" s="8" t="s">
        <v>966</v>
      </c>
      <c r="E92" s="8" t="s">
        <v>11346</v>
      </c>
      <c r="F92" s="8" t="s">
        <v>11378</v>
      </c>
      <c r="G92" s="8">
        <v>9.825678624E9</v>
      </c>
      <c r="H92" s="8"/>
      <c r="I92" s="21">
        <v>1196.0</v>
      </c>
      <c r="J92" s="21" t="s">
        <v>5150</v>
      </c>
      <c r="K92" s="8" t="s">
        <v>78</v>
      </c>
      <c r="L92" s="8" t="s">
        <v>26</v>
      </c>
      <c r="M92" s="8" t="s">
        <v>27</v>
      </c>
      <c r="N92" s="8" t="s">
        <v>28</v>
      </c>
      <c r="O92" s="21">
        <v>3791.0</v>
      </c>
      <c r="P92" s="21">
        <v>4473.0</v>
      </c>
      <c r="Q92" s="6">
        <v>37.0</v>
      </c>
      <c r="R92" s="31">
        <f t="shared" si="3"/>
        <v>1402.67</v>
      </c>
    </row>
    <row r="93">
      <c r="B93" s="8" t="s">
        <v>7767</v>
      </c>
      <c r="C93" s="8" t="s">
        <v>11379</v>
      </c>
      <c r="D93" s="8" t="s">
        <v>966</v>
      </c>
      <c r="E93" s="8" t="s">
        <v>11380</v>
      </c>
      <c r="F93" s="8" t="s">
        <v>11381</v>
      </c>
      <c r="G93" s="8">
        <v>9.924766847E9</v>
      </c>
      <c r="H93" s="8"/>
      <c r="I93" s="21">
        <v>2596.0</v>
      </c>
      <c r="J93" s="21" t="s">
        <v>5150</v>
      </c>
      <c r="K93" s="8" t="s">
        <v>78</v>
      </c>
      <c r="L93" s="8" t="s">
        <v>26</v>
      </c>
      <c r="M93" s="8" t="s">
        <v>71</v>
      </c>
      <c r="N93" s="8" t="s">
        <v>28</v>
      </c>
      <c r="O93" s="21">
        <v>7947.0</v>
      </c>
      <c r="P93" s="21">
        <v>9377.0</v>
      </c>
      <c r="Q93" s="6">
        <v>37.0</v>
      </c>
      <c r="R93" s="31">
        <f t="shared" si="3"/>
        <v>2940.39</v>
      </c>
    </row>
    <row r="94">
      <c r="B94" s="8" t="s">
        <v>7767</v>
      </c>
      <c r="C94" s="8" t="s">
        <v>7772</v>
      </c>
      <c r="D94" s="8" t="s">
        <v>966</v>
      </c>
      <c r="E94" s="8" t="s">
        <v>7773</v>
      </c>
      <c r="F94" s="8" t="s">
        <v>11382</v>
      </c>
      <c r="G94" s="8">
        <v>9.01637056E9</v>
      </c>
      <c r="H94" s="8"/>
      <c r="I94" s="21">
        <v>1248.0</v>
      </c>
      <c r="J94" s="21" t="s">
        <v>5012</v>
      </c>
      <c r="K94" s="8" t="s">
        <v>11352</v>
      </c>
      <c r="L94" s="8" t="s">
        <v>26</v>
      </c>
      <c r="M94" s="8" t="s">
        <v>71</v>
      </c>
      <c r="N94" s="8" t="s">
        <v>28</v>
      </c>
      <c r="O94" s="97">
        <v>3796.0</v>
      </c>
      <c r="P94" s="97">
        <v>4479.0</v>
      </c>
      <c r="Q94" s="6">
        <v>28.0</v>
      </c>
      <c r="R94" s="31">
        <f t="shared" si="3"/>
        <v>1062.88</v>
      </c>
    </row>
    <row r="95">
      <c r="B95" s="8" t="s">
        <v>7767</v>
      </c>
      <c r="C95" s="8" t="s">
        <v>11383</v>
      </c>
      <c r="D95" s="8" t="s">
        <v>60</v>
      </c>
      <c r="E95" s="8" t="s">
        <v>11327</v>
      </c>
      <c r="F95" s="8" t="s">
        <v>11384</v>
      </c>
      <c r="G95" s="8">
        <v>7.016597137E9</v>
      </c>
      <c r="H95" s="8"/>
      <c r="I95" s="21">
        <v>110.0</v>
      </c>
      <c r="J95" s="21" t="s">
        <v>5012</v>
      </c>
      <c r="K95" s="8" t="s">
        <v>4916</v>
      </c>
      <c r="L95" s="8" t="s">
        <v>26</v>
      </c>
      <c r="M95" s="8" t="s">
        <v>27</v>
      </c>
      <c r="N95" s="8" t="s">
        <v>28</v>
      </c>
      <c r="O95" s="21">
        <v>714.0</v>
      </c>
      <c r="P95" s="21">
        <v>842.0</v>
      </c>
      <c r="Q95" s="6">
        <v>50.0</v>
      </c>
      <c r="R95" s="31">
        <f t="shared" si="3"/>
        <v>357</v>
      </c>
    </row>
    <row r="96">
      <c r="B96" s="8" t="s">
        <v>7767</v>
      </c>
      <c r="C96" s="8" t="s">
        <v>11385</v>
      </c>
      <c r="D96" s="8" t="s">
        <v>966</v>
      </c>
      <c r="E96" s="8" t="s">
        <v>11278</v>
      </c>
      <c r="F96" s="8" t="s">
        <v>11386</v>
      </c>
      <c r="G96" s="8">
        <v>9.898851504E9</v>
      </c>
      <c r="H96" s="8"/>
      <c r="I96" s="21">
        <v>1495.0</v>
      </c>
      <c r="J96" s="21" t="s">
        <v>5012</v>
      </c>
      <c r="K96" s="8" t="s">
        <v>78</v>
      </c>
      <c r="L96" s="8" t="s">
        <v>26</v>
      </c>
      <c r="M96" s="8" t="s">
        <v>27</v>
      </c>
      <c r="N96" s="8" t="s">
        <v>28</v>
      </c>
      <c r="O96" s="21">
        <v>3526.0</v>
      </c>
      <c r="P96" s="21">
        <v>4161.0</v>
      </c>
      <c r="Q96" s="6">
        <v>37.0</v>
      </c>
      <c r="R96" s="31">
        <f t="shared" si="3"/>
        <v>1304.62</v>
      </c>
    </row>
    <row r="97">
      <c r="B97" s="8" t="s">
        <v>7755</v>
      </c>
      <c r="C97" s="8" t="s">
        <v>11387</v>
      </c>
      <c r="D97" s="8" t="s">
        <v>966</v>
      </c>
      <c r="E97" s="8" t="s">
        <v>11388</v>
      </c>
      <c r="F97" s="8" t="s">
        <v>11389</v>
      </c>
      <c r="G97" s="8">
        <v>9.978292045E9</v>
      </c>
      <c r="H97" s="8"/>
      <c r="I97" s="21">
        <v>1086.0</v>
      </c>
      <c r="J97" s="21" t="s">
        <v>5020</v>
      </c>
      <c r="K97" s="8" t="s">
        <v>78</v>
      </c>
      <c r="L97" s="8" t="s">
        <v>26</v>
      </c>
      <c r="M97" s="8" t="s">
        <v>27</v>
      </c>
      <c r="N97" s="8" t="s">
        <v>28</v>
      </c>
      <c r="O97" s="21">
        <v>3526.0</v>
      </c>
      <c r="P97" s="21">
        <v>4161.0</v>
      </c>
      <c r="Q97" s="6">
        <v>37.0</v>
      </c>
      <c r="R97" s="31">
        <f t="shared" si="3"/>
        <v>1304.62</v>
      </c>
    </row>
    <row r="98">
      <c r="B98" s="8" t="s">
        <v>7795</v>
      </c>
      <c r="C98" s="8" t="s">
        <v>11390</v>
      </c>
      <c r="D98" s="8" t="s">
        <v>60</v>
      </c>
      <c r="E98" s="8" t="s">
        <v>11220</v>
      </c>
      <c r="F98" s="8" t="s">
        <v>11391</v>
      </c>
      <c r="G98" s="8">
        <v>9.99885564E9</v>
      </c>
      <c r="H98" s="8"/>
      <c r="I98" s="21">
        <v>125.0</v>
      </c>
      <c r="J98" s="21" t="s">
        <v>11392</v>
      </c>
      <c r="K98" s="8" t="s">
        <v>11169</v>
      </c>
      <c r="L98" s="8" t="s">
        <v>26</v>
      </c>
      <c r="M98" s="8" t="s">
        <v>27</v>
      </c>
      <c r="N98" s="8" t="s">
        <v>28</v>
      </c>
      <c r="O98" s="21">
        <v>714.0</v>
      </c>
      <c r="P98" s="21">
        <v>843.0</v>
      </c>
      <c r="Q98" s="6">
        <v>26.0</v>
      </c>
      <c r="R98" s="31">
        <f t="shared" si="3"/>
        <v>185.64</v>
      </c>
    </row>
    <row r="99">
      <c r="B99" s="8" t="s">
        <v>7791</v>
      </c>
      <c r="C99" s="8" t="s">
        <v>11393</v>
      </c>
      <c r="D99" s="8" t="s">
        <v>966</v>
      </c>
      <c r="E99" s="8" t="s">
        <v>11394</v>
      </c>
      <c r="F99" s="8" t="s">
        <v>11395</v>
      </c>
      <c r="G99" s="8">
        <v>9.71497575E9</v>
      </c>
      <c r="H99" s="8"/>
      <c r="I99" s="21">
        <v>998.0</v>
      </c>
      <c r="J99" s="21" t="s">
        <v>5169</v>
      </c>
      <c r="K99" s="8" t="s">
        <v>78</v>
      </c>
      <c r="L99" s="8" t="s">
        <v>26</v>
      </c>
      <c r="M99" s="8" t="s">
        <v>71</v>
      </c>
      <c r="N99" s="8" t="s">
        <v>28</v>
      </c>
      <c r="O99" s="21">
        <v>2779.0</v>
      </c>
      <c r="P99" s="21">
        <v>3279.0</v>
      </c>
      <c r="Q99" s="6">
        <v>37.0</v>
      </c>
      <c r="R99" s="31">
        <f t="shared" si="3"/>
        <v>1028.23</v>
      </c>
    </row>
    <row r="100">
      <c r="B100" s="8" t="s">
        <v>7791</v>
      </c>
      <c r="C100" s="8" t="s">
        <v>11396</v>
      </c>
      <c r="D100" s="8" t="s">
        <v>60</v>
      </c>
      <c r="E100" s="8" t="s">
        <v>11397</v>
      </c>
      <c r="F100" s="8" t="s">
        <v>11398</v>
      </c>
      <c r="G100" s="8">
        <v>7.434040047E9</v>
      </c>
      <c r="H100" s="8"/>
      <c r="I100" s="21">
        <v>98.0</v>
      </c>
      <c r="J100" s="21" t="s">
        <v>5030</v>
      </c>
      <c r="K100" s="8" t="s">
        <v>1419</v>
      </c>
      <c r="L100" s="8" t="s">
        <v>26</v>
      </c>
      <c r="M100" s="8" t="s">
        <v>27</v>
      </c>
      <c r="N100" s="8" t="s">
        <v>28</v>
      </c>
      <c r="O100" s="21">
        <v>714.0</v>
      </c>
      <c r="P100" s="21">
        <v>842.0</v>
      </c>
      <c r="Q100" s="6">
        <v>35.0</v>
      </c>
      <c r="R100" s="31">
        <f t="shared" si="3"/>
        <v>249.9</v>
      </c>
    </row>
    <row r="101">
      <c r="B101" s="8" t="s">
        <v>7791</v>
      </c>
      <c r="C101" s="8" t="s">
        <v>11399</v>
      </c>
      <c r="D101" s="8" t="s">
        <v>60</v>
      </c>
      <c r="E101" s="8" t="s">
        <v>11400</v>
      </c>
      <c r="F101" s="8" t="s">
        <v>11401</v>
      </c>
      <c r="G101" s="8">
        <v>9.825649989E9</v>
      </c>
      <c r="H101" s="8"/>
      <c r="I101" s="21">
        <v>110.0</v>
      </c>
      <c r="J101" s="21" t="s">
        <v>11402</v>
      </c>
      <c r="K101" s="8" t="s">
        <v>11169</v>
      </c>
      <c r="L101" s="8" t="s">
        <v>26</v>
      </c>
      <c r="M101" s="8" t="s">
        <v>71</v>
      </c>
      <c r="N101" s="8" t="s">
        <v>28</v>
      </c>
      <c r="O101" s="21">
        <v>1045.0</v>
      </c>
      <c r="P101" s="21">
        <v>1233.0</v>
      </c>
      <c r="Q101" s="6">
        <v>26.0</v>
      </c>
      <c r="R101" s="31">
        <f t="shared" si="3"/>
        <v>271.7</v>
      </c>
    </row>
    <row r="102">
      <c r="B102" s="8" t="s">
        <v>7836</v>
      </c>
      <c r="C102" s="8" t="s">
        <v>11403</v>
      </c>
      <c r="D102" s="8" t="s">
        <v>966</v>
      </c>
      <c r="E102" s="8" t="s">
        <v>11404</v>
      </c>
      <c r="F102" s="8" t="s">
        <v>7964</v>
      </c>
      <c r="G102" s="8">
        <v>8.780635339E9</v>
      </c>
      <c r="H102" s="8"/>
      <c r="I102" s="21">
        <v>1120.0</v>
      </c>
      <c r="J102" s="21" t="s">
        <v>10310</v>
      </c>
      <c r="K102" s="8" t="s">
        <v>4696</v>
      </c>
      <c r="L102" s="8" t="s">
        <v>26</v>
      </c>
      <c r="M102" s="8" t="s">
        <v>27</v>
      </c>
      <c r="N102" s="8" t="s">
        <v>28</v>
      </c>
      <c r="O102" s="97">
        <v>3796.0</v>
      </c>
      <c r="P102" s="97">
        <v>4479.0</v>
      </c>
      <c r="Q102" s="6">
        <v>20.0</v>
      </c>
      <c r="R102" s="31">
        <f t="shared" si="3"/>
        <v>759.2</v>
      </c>
    </row>
    <row r="103">
      <c r="B103" s="8" t="s">
        <v>7832</v>
      </c>
      <c r="C103" s="8" t="s">
        <v>11405</v>
      </c>
      <c r="D103" s="8" t="s">
        <v>60</v>
      </c>
      <c r="E103" s="8" t="s">
        <v>11231</v>
      </c>
      <c r="F103" s="8" t="s">
        <v>11406</v>
      </c>
      <c r="G103" s="8"/>
      <c r="H103" s="8"/>
      <c r="I103" s="21">
        <v>110.0</v>
      </c>
      <c r="J103" s="21" t="s">
        <v>10229</v>
      </c>
      <c r="K103" s="8" t="s">
        <v>4916</v>
      </c>
      <c r="L103" s="8" t="s">
        <v>26</v>
      </c>
      <c r="M103" s="8" t="s">
        <v>27</v>
      </c>
      <c r="N103" s="8" t="s">
        <v>28</v>
      </c>
      <c r="O103" s="21">
        <v>714.0</v>
      </c>
      <c r="P103" s="21">
        <v>842.52</v>
      </c>
      <c r="Q103" s="6">
        <v>50.0</v>
      </c>
      <c r="R103" s="31">
        <f t="shared" si="3"/>
        <v>357</v>
      </c>
    </row>
    <row r="104">
      <c r="B104" s="8" t="s">
        <v>7832</v>
      </c>
      <c r="C104" s="8" t="s">
        <v>11407</v>
      </c>
      <c r="D104" s="8" t="s">
        <v>60</v>
      </c>
      <c r="E104" s="8" t="s">
        <v>11240</v>
      </c>
      <c r="F104" s="8" t="s">
        <v>11408</v>
      </c>
      <c r="G104" s="8"/>
      <c r="H104" s="8"/>
      <c r="I104" s="21">
        <v>100.0</v>
      </c>
      <c r="J104" s="658">
        <v>45667.0</v>
      </c>
      <c r="K104" s="8" t="s">
        <v>11169</v>
      </c>
      <c r="L104" s="8" t="s">
        <v>26</v>
      </c>
      <c r="M104" s="8" t="s">
        <v>27</v>
      </c>
      <c r="N104" s="8" t="s">
        <v>28</v>
      </c>
      <c r="O104" s="21">
        <v>714.0</v>
      </c>
      <c r="P104" s="21">
        <v>842.0</v>
      </c>
      <c r="Q104" s="6">
        <v>26.0</v>
      </c>
      <c r="R104" s="31">
        <f t="shared" si="3"/>
        <v>185.64</v>
      </c>
    </row>
    <row r="105">
      <c r="B105" s="8" t="s">
        <v>7832</v>
      </c>
      <c r="C105" s="8" t="s">
        <v>11409</v>
      </c>
      <c r="D105" s="8" t="s">
        <v>966</v>
      </c>
      <c r="E105" s="8" t="s">
        <v>11410</v>
      </c>
      <c r="F105" s="8" t="s">
        <v>11411</v>
      </c>
      <c r="G105" s="8"/>
      <c r="H105" s="8"/>
      <c r="I105" s="21">
        <v>1197.0</v>
      </c>
      <c r="J105" s="21" t="s">
        <v>5069</v>
      </c>
      <c r="K105" s="8" t="s">
        <v>78</v>
      </c>
      <c r="L105" s="8" t="s">
        <v>26</v>
      </c>
      <c r="M105" s="8" t="s">
        <v>27</v>
      </c>
      <c r="N105" s="8" t="s">
        <v>28</v>
      </c>
      <c r="O105" s="21">
        <v>3416.0</v>
      </c>
      <c r="P105" s="21">
        <v>4768.0</v>
      </c>
      <c r="Q105" s="6">
        <v>37.0</v>
      </c>
      <c r="R105" s="31">
        <f t="shared" si="3"/>
        <v>1263.92</v>
      </c>
    </row>
    <row r="106">
      <c r="B106" s="8" t="s">
        <v>7832</v>
      </c>
      <c r="C106" s="8" t="s">
        <v>11412</v>
      </c>
      <c r="D106" s="8" t="s">
        <v>60</v>
      </c>
      <c r="E106" s="8" t="s">
        <v>723</v>
      </c>
      <c r="F106" s="8" t="s">
        <v>11413</v>
      </c>
      <c r="G106" s="8"/>
      <c r="H106" s="8"/>
      <c r="I106" s="21">
        <v>125.0</v>
      </c>
      <c r="J106" s="128">
        <v>45698.0</v>
      </c>
      <c r="K106" s="8" t="s">
        <v>11169</v>
      </c>
      <c r="L106" s="8" t="s">
        <v>26</v>
      </c>
      <c r="M106" s="8" t="s">
        <v>71</v>
      </c>
      <c r="N106" s="8" t="s">
        <v>28</v>
      </c>
      <c r="O106" s="21">
        <v>714.0</v>
      </c>
      <c r="P106" s="21">
        <v>842.0</v>
      </c>
      <c r="Q106" s="6">
        <v>26.0</v>
      </c>
      <c r="R106" s="31">
        <f t="shared" si="3"/>
        <v>185.64</v>
      </c>
    </row>
    <row r="107">
      <c r="B107" s="8" t="s">
        <v>7832</v>
      </c>
      <c r="C107" s="8" t="s">
        <v>11414</v>
      </c>
      <c r="D107" s="8" t="s">
        <v>60</v>
      </c>
      <c r="E107" s="8" t="s">
        <v>11415</v>
      </c>
      <c r="F107" s="8" t="s">
        <v>11416</v>
      </c>
      <c r="G107" s="8"/>
      <c r="H107" s="8"/>
      <c r="I107" s="21">
        <v>100.0</v>
      </c>
      <c r="J107" s="21" t="s">
        <v>5069</v>
      </c>
      <c r="K107" s="8" t="s">
        <v>4916</v>
      </c>
      <c r="L107" s="8" t="s">
        <v>26</v>
      </c>
      <c r="M107" s="8" t="s">
        <v>71</v>
      </c>
      <c r="N107" s="8" t="s">
        <v>28</v>
      </c>
      <c r="O107" s="21">
        <v>714.0</v>
      </c>
      <c r="P107" s="21">
        <v>842.0</v>
      </c>
      <c r="Q107" s="6">
        <v>50.0</v>
      </c>
      <c r="R107" s="31">
        <f t="shared" si="3"/>
        <v>357</v>
      </c>
    </row>
    <row r="108">
      <c r="B108" s="8" t="s">
        <v>7832</v>
      </c>
      <c r="C108" s="8" t="s">
        <v>11417</v>
      </c>
      <c r="D108" s="8" t="s">
        <v>60</v>
      </c>
      <c r="E108" s="8" t="s">
        <v>11418</v>
      </c>
      <c r="F108" s="8" t="s">
        <v>11419</v>
      </c>
      <c r="G108" s="8"/>
      <c r="H108" s="8"/>
      <c r="I108" s="21">
        <v>350.0</v>
      </c>
      <c r="J108" s="658">
        <v>45667.0</v>
      </c>
      <c r="K108" s="8" t="s">
        <v>11169</v>
      </c>
      <c r="L108" s="8" t="s">
        <v>26</v>
      </c>
      <c r="M108" s="8" t="s">
        <v>27</v>
      </c>
      <c r="N108" s="8" t="s">
        <v>28</v>
      </c>
      <c r="O108" s="21">
        <v>1366.0</v>
      </c>
      <c r="P108" s="21">
        <v>1612.0</v>
      </c>
      <c r="Q108" s="6">
        <v>26.0</v>
      </c>
      <c r="R108" s="31">
        <f t="shared" si="3"/>
        <v>355.16</v>
      </c>
    </row>
    <row r="109">
      <c r="B109" s="8" t="s">
        <v>7832</v>
      </c>
      <c r="C109" s="8" t="s">
        <v>6243</v>
      </c>
      <c r="D109" s="8" t="s">
        <v>966</v>
      </c>
      <c r="E109" s="8" t="s">
        <v>11420</v>
      </c>
      <c r="F109" s="8" t="s">
        <v>11421</v>
      </c>
      <c r="G109" s="8"/>
      <c r="H109" s="8"/>
      <c r="I109" s="21">
        <v>2179.0</v>
      </c>
      <c r="J109" s="21" t="s">
        <v>5069</v>
      </c>
      <c r="K109" s="8" t="s">
        <v>78</v>
      </c>
      <c r="L109" s="8" t="s">
        <v>26</v>
      </c>
      <c r="M109" s="8" t="s">
        <v>71</v>
      </c>
      <c r="N109" s="8" t="s">
        <v>28</v>
      </c>
      <c r="O109" s="21">
        <v>7897.0</v>
      </c>
      <c r="P109" s="21">
        <v>9318.0</v>
      </c>
      <c r="Q109" s="6">
        <v>37.0</v>
      </c>
      <c r="R109" s="31">
        <f t="shared" si="3"/>
        <v>2921.89</v>
      </c>
    </row>
    <row r="113">
      <c r="B113" s="657" t="s">
        <v>11422</v>
      </c>
    </row>
    <row r="116">
      <c r="B116" s="215">
        <v>45299.0</v>
      </c>
      <c r="C116" s="8" t="s">
        <v>11423</v>
      </c>
      <c r="D116" s="8" t="s">
        <v>60</v>
      </c>
      <c r="E116" s="8" t="s">
        <v>11424</v>
      </c>
      <c r="F116" s="8" t="s">
        <v>11425</v>
      </c>
      <c r="G116" s="8" t="s">
        <v>8628</v>
      </c>
      <c r="H116" s="8"/>
      <c r="I116" s="21">
        <v>100.0</v>
      </c>
      <c r="J116" s="22">
        <v>45665.0</v>
      </c>
      <c r="K116" s="8" t="s">
        <v>1419</v>
      </c>
      <c r="L116" s="8" t="s">
        <v>26</v>
      </c>
      <c r="M116" s="8" t="s">
        <v>27</v>
      </c>
      <c r="N116" s="8" t="s">
        <v>28</v>
      </c>
      <c r="O116" s="21">
        <v>714.0</v>
      </c>
      <c r="P116" s="21">
        <v>842.0</v>
      </c>
      <c r="Q116" s="6">
        <v>40.0</v>
      </c>
      <c r="R116" s="31">
        <f t="shared" ref="R116:R140" si="4">O116*Q116%</f>
        <v>285.6</v>
      </c>
    </row>
    <row r="117">
      <c r="B117" s="215">
        <v>45299.0</v>
      </c>
      <c r="C117" s="131" t="s">
        <v>11426</v>
      </c>
      <c r="D117" s="8" t="s">
        <v>966</v>
      </c>
      <c r="E117" s="8" t="s">
        <v>11427</v>
      </c>
      <c r="F117" s="8" t="s">
        <v>11428</v>
      </c>
      <c r="G117" s="8">
        <v>9.662863163E9</v>
      </c>
      <c r="H117" s="8"/>
      <c r="I117" s="21">
        <v>796.0</v>
      </c>
      <c r="J117" s="22">
        <v>45665.0</v>
      </c>
      <c r="K117" s="8" t="s">
        <v>78</v>
      </c>
      <c r="L117" s="8" t="s">
        <v>26</v>
      </c>
      <c r="M117" s="8" t="s">
        <v>27</v>
      </c>
      <c r="N117" s="8" t="s">
        <v>28</v>
      </c>
      <c r="O117" s="21">
        <v>2154.0</v>
      </c>
      <c r="P117" s="21">
        <v>2542.0</v>
      </c>
      <c r="Q117" s="6">
        <v>35.0</v>
      </c>
      <c r="R117" s="31">
        <f t="shared" si="4"/>
        <v>753.9</v>
      </c>
    </row>
    <row r="118">
      <c r="B118" s="215">
        <v>45359.0</v>
      </c>
      <c r="C118" s="8" t="s">
        <v>11429</v>
      </c>
      <c r="D118" s="8" t="s">
        <v>966</v>
      </c>
      <c r="E118" s="8" t="s">
        <v>11430</v>
      </c>
      <c r="F118" s="8" t="s">
        <v>11431</v>
      </c>
      <c r="G118" s="8">
        <v>9.228713665E9</v>
      </c>
      <c r="H118" s="8"/>
      <c r="I118" s="21">
        <v>1197.0</v>
      </c>
      <c r="J118" s="22">
        <v>45696.0</v>
      </c>
      <c r="K118" s="8" t="s">
        <v>78</v>
      </c>
      <c r="L118" s="8" t="s">
        <v>26</v>
      </c>
      <c r="M118" s="8" t="s">
        <v>27</v>
      </c>
      <c r="N118" s="8" t="s">
        <v>28</v>
      </c>
      <c r="O118" s="21">
        <v>3416.0</v>
      </c>
      <c r="P118" s="21">
        <v>4031.0</v>
      </c>
      <c r="Q118" s="6">
        <v>35.0</v>
      </c>
      <c r="R118" s="31">
        <f t="shared" si="4"/>
        <v>1195.6</v>
      </c>
    </row>
    <row r="119">
      <c r="B119" s="215">
        <v>45359.0</v>
      </c>
      <c r="C119" s="8" t="s">
        <v>11432</v>
      </c>
      <c r="D119" s="8" t="s">
        <v>966</v>
      </c>
      <c r="E119" s="8" t="s">
        <v>11248</v>
      </c>
      <c r="F119" s="8" t="s">
        <v>11433</v>
      </c>
      <c r="G119" s="8">
        <v>8.160464734E9</v>
      </c>
      <c r="H119" s="8"/>
      <c r="I119" s="21">
        <v>1495.0</v>
      </c>
      <c r="J119" s="22">
        <v>45696.0</v>
      </c>
      <c r="K119" s="8" t="s">
        <v>78</v>
      </c>
      <c r="L119" s="8" t="s">
        <v>26</v>
      </c>
      <c r="M119" s="8" t="s">
        <v>27</v>
      </c>
      <c r="N119" s="8" t="s">
        <v>28</v>
      </c>
      <c r="O119" s="21">
        <v>3476.0</v>
      </c>
      <c r="P119" s="21">
        <v>4102.0</v>
      </c>
      <c r="Q119" s="6">
        <v>35.0</v>
      </c>
      <c r="R119" s="31">
        <f t="shared" si="4"/>
        <v>1216.6</v>
      </c>
    </row>
    <row r="120">
      <c r="B120" s="215">
        <v>45420.0</v>
      </c>
      <c r="C120" s="8" t="s">
        <v>11434</v>
      </c>
      <c r="D120" s="8" t="s">
        <v>966</v>
      </c>
      <c r="E120" s="8" t="s">
        <v>11435</v>
      </c>
      <c r="F120" s="8" t="s">
        <v>11436</v>
      </c>
      <c r="G120" s="8">
        <v>9.574390591E9</v>
      </c>
      <c r="H120" s="8"/>
      <c r="I120" s="21">
        <v>2523.0</v>
      </c>
      <c r="J120" s="22">
        <v>45755.0</v>
      </c>
      <c r="K120" s="8" t="s">
        <v>78</v>
      </c>
      <c r="L120" s="8" t="s">
        <v>26</v>
      </c>
      <c r="M120" s="8" t="s">
        <v>27</v>
      </c>
      <c r="N120" s="8" t="s">
        <v>28</v>
      </c>
      <c r="O120" s="21">
        <v>7947.0</v>
      </c>
      <c r="P120" s="21">
        <v>9377.0</v>
      </c>
      <c r="Q120" s="6">
        <v>35.0</v>
      </c>
      <c r="R120" s="31">
        <f t="shared" si="4"/>
        <v>2781.45</v>
      </c>
    </row>
    <row r="121">
      <c r="B121" s="215">
        <v>45481.0</v>
      </c>
      <c r="C121" s="8" t="s">
        <v>11437</v>
      </c>
      <c r="D121" s="8" t="s">
        <v>60</v>
      </c>
      <c r="E121" s="8" t="s">
        <v>11438</v>
      </c>
      <c r="F121" s="8" t="s">
        <v>11439</v>
      </c>
      <c r="G121" s="8">
        <v>7.990261018E9</v>
      </c>
      <c r="H121" s="8"/>
      <c r="I121" s="21">
        <v>125.0</v>
      </c>
      <c r="J121" s="22">
        <v>45846.0</v>
      </c>
      <c r="K121" s="8" t="s">
        <v>1419</v>
      </c>
      <c r="L121" s="8" t="s">
        <v>26</v>
      </c>
      <c r="M121" s="8" t="s">
        <v>71</v>
      </c>
      <c r="N121" s="8" t="s">
        <v>28</v>
      </c>
      <c r="O121" s="21">
        <v>714.0</v>
      </c>
      <c r="P121" s="21">
        <v>842.0</v>
      </c>
      <c r="Q121" s="6">
        <v>40.0</v>
      </c>
      <c r="R121" s="31">
        <f t="shared" si="4"/>
        <v>285.6</v>
      </c>
    </row>
    <row r="122">
      <c r="B122" s="215">
        <v>45512.0</v>
      </c>
      <c r="C122" s="8" t="s">
        <v>11440</v>
      </c>
      <c r="D122" s="8" t="s">
        <v>60</v>
      </c>
      <c r="E122" s="8" t="s">
        <v>11327</v>
      </c>
      <c r="F122" s="8" t="s">
        <v>11441</v>
      </c>
      <c r="G122" s="8">
        <v>6.355070381E9</v>
      </c>
      <c r="H122" s="8"/>
      <c r="I122" s="21">
        <v>110.0</v>
      </c>
      <c r="J122" s="22">
        <v>45846.0</v>
      </c>
      <c r="K122" s="8" t="s">
        <v>4916</v>
      </c>
      <c r="L122" s="8" t="s">
        <v>26</v>
      </c>
      <c r="M122" s="8" t="s">
        <v>71</v>
      </c>
      <c r="N122" s="8" t="s">
        <v>28</v>
      </c>
      <c r="O122" s="21">
        <v>714.0</v>
      </c>
      <c r="P122" s="21">
        <v>842.52</v>
      </c>
      <c r="Q122" s="6">
        <v>50.0</v>
      </c>
      <c r="R122" s="31">
        <f t="shared" si="4"/>
        <v>357</v>
      </c>
    </row>
    <row r="123">
      <c r="B123" s="215">
        <v>45573.0</v>
      </c>
      <c r="C123" s="8" t="s">
        <v>11442</v>
      </c>
      <c r="D123" s="8" t="s">
        <v>60</v>
      </c>
      <c r="E123" s="8" t="s">
        <v>11443</v>
      </c>
      <c r="F123" s="8" t="s">
        <v>11444</v>
      </c>
      <c r="G123" s="8">
        <v>9.89899104E9</v>
      </c>
      <c r="H123" s="8"/>
      <c r="I123" s="21">
        <v>110.0</v>
      </c>
      <c r="J123" s="22">
        <v>45938.0</v>
      </c>
      <c r="K123" s="8" t="s">
        <v>4916</v>
      </c>
      <c r="L123" s="8" t="s">
        <v>26</v>
      </c>
      <c r="M123" s="8" t="s">
        <v>27</v>
      </c>
      <c r="N123" s="8" t="s">
        <v>28</v>
      </c>
      <c r="O123" s="21">
        <v>714.0</v>
      </c>
      <c r="P123" s="21">
        <v>842.0</v>
      </c>
      <c r="Q123" s="6">
        <v>50.0</v>
      </c>
      <c r="R123" s="31">
        <f t="shared" si="4"/>
        <v>357</v>
      </c>
    </row>
    <row r="124">
      <c r="B124" s="215">
        <v>45573.0</v>
      </c>
      <c r="C124" s="8" t="s">
        <v>11445</v>
      </c>
      <c r="D124" s="8" t="s">
        <v>60</v>
      </c>
      <c r="E124" s="8" t="s">
        <v>11446</v>
      </c>
      <c r="F124" s="8" t="s">
        <v>11447</v>
      </c>
      <c r="G124" s="8">
        <v>9.825648135E9</v>
      </c>
      <c r="H124" s="8"/>
      <c r="I124" s="21">
        <v>110.0</v>
      </c>
      <c r="J124" s="128">
        <v>45969.0</v>
      </c>
      <c r="K124" s="8" t="s">
        <v>11169</v>
      </c>
      <c r="L124" s="8" t="s">
        <v>26</v>
      </c>
      <c r="M124" s="8" t="s">
        <v>71</v>
      </c>
      <c r="N124" s="8" t="s">
        <v>28</v>
      </c>
      <c r="O124" s="21">
        <v>714.0</v>
      </c>
      <c r="P124" s="21">
        <v>843.0</v>
      </c>
      <c r="Q124" s="6">
        <v>28.0</v>
      </c>
      <c r="R124" s="31">
        <f t="shared" si="4"/>
        <v>199.92</v>
      </c>
    </row>
    <row r="125">
      <c r="B125" s="215">
        <v>45604.0</v>
      </c>
      <c r="C125" s="8" t="s">
        <v>11448</v>
      </c>
      <c r="D125" s="8" t="s">
        <v>60</v>
      </c>
      <c r="E125" s="8" t="s">
        <v>11330</v>
      </c>
      <c r="F125" s="8" t="s">
        <v>11449</v>
      </c>
      <c r="G125" s="8">
        <v>8.000015016E9</v>
      </c>
      <c r="H125" s="8"/>
      <c r="I125" s="21">
        <v>110.0</v>
      </c>
      <c r="J125" s="22">
        <v>45938.0</v>
      </c>
      <c r="K125" s="8" t="s">
        <v>4916</v>
      </c>
      <c r="L125" s="8" t="s">
        <v>26</v>
      </c>
      <c r="M125" s="8" t="s">
        <v>27</v>
      </c>
      <c r="N125" s="8" t="s">
        <v>28</v>
      </c>
      <c r="O125" s="21">
        <v>714.0</v>
      </c>
      <c r="P125" s="21">
        <v>842.0</v>
      </c>
      <c r="Q125" s="6">
        <v>50.0</v>
      </c>
      <c r="R125" s="31">
        <f t="shared" si="4"/>
        <v>357</v>
      </c>
    </row>
    <row r="126">
      <c r="B126" s="8" t="s">
        <v>9931</v>
      </c>
      <c r="C126" s="8" t="s">
        <v>11450</v>
      </c>
      <c r="D126" s="8" t="s">
        <v>966</v>
      </c>
      <c r="E126" s="8" t="s">
        <v>11208</v>
      </c>
      <c r="F126" s="8" t="s">
        <v>9905</v>
      </c>
      <c r="G126" s="8">
        <v>9.73734016E9</v>
      </c>
      <c r="H126" s="8"/>
      <c r="I126" s="21">
        <v>1196.0</v>
      </c>
      <c r="J126" s="21" t="s">
        <v>4718</v>
      </c>
      <c r="K126" s="8" t="s">
        <v>78</v>
      </c>
      <c r="L126" s="8" t="s">
        <v>26</v>
      </c>
      <c r="M126" s="8" t="s">
        <v>27</v>
      </c>
      <c r="N126" s="8" t="s">
        <v>28</v>
      </c>
      <c r="O126" s="21">
        <v>3851.0</v>
      </c>
      <c r="P126" s="21">
        <v>4544.0</v>
      </c>
      <c r="Q126" s="6">
        <v>35.0</v>
      </c>
      <c r="R126" s="31">
        <f t="shared" si="4"/>
        <v>1347.85</v>
      </c>
    </row>
    <row r="127">
      <c r="B127" s="8" t="s">
        <v>9931</v>
      </c>
      <c r="C127" s="8" t="s">
        <v>11451</v>
      </c>
      <c r="D127" s="8" t="s">
        <v>60</v>
      </c>
      <c r="E127" s="8" t="s">
        <v>11217</v>
      </c>
      <c r="F127" s="8" t="s">
        <v>11452</v>
      </c>
      <c r="G127" s="8">
        <v>9.909173549E9</v>
      </c>
      <c r="H127" s="8"/>
      <c r="I127" s="21">
        <v>97.0</v>
      </c>
      <c r="J127" s="21" t="s">
        <v>4718</v>
      </c>
      <c r="K127" s="8" t="s">
        <v>1419</v>
      </c>
      <c r="L127" s="8" t="s">
        <v>26</v>
      </c>
      <c r="M127" s="8" t="s">
        <v>27</v>
      </c>
      <c r="N127" s="8" t="s">
        <v>28</v>
      </c>
      <c r="O127" s="21">
        <v>714.0</v>
      </c>
      <c r="P127" s="21">
        <v>842.0</v>
      </c>
      <c r="Q127" s="6">
        <v>40.0</v>
      </c>
      <c r="R127" s="31">
        <f t="shared" si="4"/>
        <v>285.6</v>
      </c>
    </row>
    <row r="128">
      <c r="B128" s="8" t="s">
        <v>9931</v>
      </c>
      <c r="C128" s="8" t="s">
        <v>11453</v>
      </c>
      <c r="D128" s="8" t="s">
        <v>60</v>
      </c>
      <c r="E128" s="8" t="s">
        <v>11330</v>
      </c>
      <c r="F128" s="8" t="s">
        <v>11454</v>
      </c>
      <c r="G128" s="8">
        <v>9.879871325E9</v>
      </c>
      <c r="H128" s="8"/>
      <c r="I128" s="21">
        <v>110.0</v>
      </c>
      <c r="J128" s="21" t="s">
        <v>4724</v>
      </c>
      <c r="K128" s="8" t="s">
        <v>4916</v>
      </c>
      <c r="L128" s="8" t="s">
        <v>26</v>
      </c>
      <c r="M128" s="8" t="s">
        <v>71</v>
      </c>
      <c r="N128" s="8" t="s">
        <v>28</v>
      </c>
      <c r="O128" s="21">
        <v>714.0</v>
      </c>
      <c r="P128" s="21">
        <v>842.0</v>
      </c>
      <c r="Q128" s="6">
        <v>50.0</v>
      </c>
      <c r="R128" s="31">
        <f t="shared" si="4"/>
        <v>357</v>
      </c>
    </row>
    <row r="129">
      <c r="B129" s="8" t="s">
        <v>9931</v>
      </c>
      <c r="C129" s="8" t="s">
        <v>11455</v>
      </c>
      <c r="D129" s="8" t="s">
        <v>60</v>
      </c>
      <c r="E129" s="8" t="s">
        <v>11456</v>
      </c>
      <c r="F129" s="8" t="s">
        <v>11457</v>
      </c>
      <c r="G129" s="8">
        <v>9.879871325E9</v>
      </c>
      <c r="H129" s="8"/>
      <c r="I129" s="21">
        <v>97.0</v>
      </c>
      <c r="J129" s="21" t="s">
        <v>4724</v>
      </c>
      <c r="K129" s="8" t="s">
        <v>1419</v>
      </c>
      <c r="L129" s="8" t="s">
        <v>26</v>
      </c>
      <c r="M129" s="8" t="s">
        <v>71</v>
      </c>
      <c r="N129" s="8" t="s">
        <v>28</v>
      </c>
      <c r="O129" s="21">
        <v>714.0</v>
      </c>
      <c r="P129" s="21">
        <v>842.0</v>
      </c>
      <c r="Q129" s="6">
        <v>40.0</v>
      </c>
      <c r="R129" s="31">
        <f t="shared" si="4"/>
        <v>285.6</v>
      </c>
    </row>
    <row r="130">
      <c r="B130" s="8" t="s">
        <v>9931</v>
      </c>
      <c r="C130" s="8" t="s">
        <v>11458</v>
      </c>
      <c r="D130" s="8" t="s">
        <v>966</v>
      </c>
      <c r="E130" s="8" t="s">
        <v>11459</v>
      </c>
      <c r="F130" s="8" t="s">
        <v>11460</v>
      </c>
      <c r="G130" s="8">
        <v>9.725623375E9</v>
      </c>
      <c r="H130" s="8"/>
      <c r="I130" s="21">
        <v>1197.0</v>
      </c>
      <c r="J130" s="21" t="s">
        <v>4724</v>
      </c>
      <c r="K130" s="8" t="s">
        <v>78</v>
      </c>
      <c r="L130" s="8" t="s">
        <v>26</v>
      </c>
      <c r="M130" s="8" t="s">
        <v>27</v>
      </c>
      <c r="N130" s="8" t="s">
        <v>28</v>
      </c>
      <c r="O130" s="21">
        <v>3791.0</v>
      </c>
      <c r="P130" s="21">
        <v>4473.0</v>
      </c>
      <c r="Q130" s="6">
        <v>35.0</v>
      </c>
      <c r="R130" s="31">
        <f t="shared" si="4"/>
        <v>1326.85</v>
      </c>
    </row>
    <row r="131">
      <c r="B131" s="8" t="s">
        <v>9947</v>
      </c>
      <c r="C131" s="8" t="s">
        <v>11461</v>
      </c>
      <c r="D131" s="8" t="s">
        <v>966</v>
      </c>
      <c r="E131" s="8" t="s">
        <v>11462</v>
      </c>
      <c r="F131" s="8" t="s">
        <v>11463</v>
      </c>
      <c r="G131" s="8">
        <v>8.0000383E9</v>
      </c>
      <c r="H131" s="8"/>
      <c r="I131" s="21">
        <v>998.0</v>
      </c>
      <c r="J131" s="21" t="s">
        <v>4724</v>
      </c>
      <c r="K131" s="8" t="s">
        <v>78</v>
      </c>
      <c r="L131" s="8" t="s">
        <v>26</v>
      </c>
      <c r="M131" s="8" t="s">
        <v>27</v>
      </c>
      <c r="N131" s="8" t="s">
        <v>28</v>
      </c>
      <c r="O131" s="21">
        <v>2154.0</v>
      </c>
      <c r="P131" s="21">
        <v>2542.0</v>
      </c>
      <c r="Q131" s="6">
        <v>35.0</v>
      </c>
      <c r="R131" s="31">
        <f t="shared" si="4"/>
        <v>753.9</v>
      </c>
    </row>
    <row r="132">
      <c r="B132" s="8" t="s">
        <v>9947</v>
      </c>
      <c r="C132" s="8" t="s">
        <v>7476</v>
      </c>
      <c r="D132" s="8" t="s">
        <v>966</v>
      </c>
      <c r="E132" s="8" t="s">
        <v>11464</v>
      </c>
      <c r="F132" s="8" t="s">
        <v>11465</v>
      </c>
      <c r="G132" s="8">
        <v>9.099339853E9</v>
      </c>
      <c r="H132" s="8"/>
      <c r="I132" s="21">
        <v>1086.0</v>
      </c>
      <c r="J132" s="21" t="s">
        <v>4738</v>
      </c>
      <c r="K132" s="8" t="s">
        <v>7642</v>
      </c>
      <c r="L132" s="8" t="s">
        <v>26</v>
      </c>
      <c r="M132" s="8" t="s">
        <v>71</v>
      </c>
      <c r="N132" s="8" t="s">
        <v>28</v>
      </c>
      <c r="O132" s="97">
        <v>3466.0</v>
      </c>
      <c r="P132" s="97">
        <v>4090.0</v>
      </c>
      <c r="Q132" s="6">
        <v>35.0</v>
      </c>
      <c r="R132" s="31">
        <f t="shared" si="4"/>
        <v>1213.1</v>
      </c>
    </row>
    <row r="133">
      <c r="B133" s="8" t="s">
        <v>9947</v>
      </c>
      <c r="C133" s="8" t="s">
        <v>7630</v>
      </c>
      <c r="D133" s="8" t="s">
        <v>966</v>
      </c>
      <c r="E133" s="8" t="s">
        <v>11466</v>
      </c>
      <c r="F133" s="8" t="s">
        <v>11467</v>
      </c>
      <c r="G133" s="8">
        <v>9.712354141E9</v>
      </c>
      <c r="H133" s="8"/>
      <c r="I133" s="21">
        <v>799.0</v>
      </c>
      <c r="J133" s="21" t="s">
        <v>9924</v>
      </c>
      <c r="K133" s="8" t="s">
        <v>78</v>
      </c>
      <c r="L133" s="8" t="s">
        <v>26</v>
      </c>
      <c r="M133" s="8" t="s">
        <v>71</v>
      </c>
      <c r="N133" s="8" t="s">
        <v>28</v>
      </c>
      <c r="O133" s="21">
        <v>2469.0</v>
      </c>
      <c r="P133" s="21">
        <v>2913.0</v>
      </c>
      <c r="Q133" s="6">
        <v>35.0</v>
      </c>
      <c r="R133" s="31">
        <f t="shared" si="4"/>
        <v>864.15</v>
      </c>
    </row>
    <row r="134">
      <c r="B134" s="8" t="s">
        <v>9970</v>
      </c>
      <c r="C134" s="8" t="s">
        <v>11468</v>
      </c>
      <c r="D134" s="8" t="s">
        <v>966</v>
      </c>
      <c r="E134" s="8" t="s">
        <v>7773</v>
      </c>
      <c r="F134" s="8" t="s">
        <v>11469</v>
      </c>
      <c r="G134" s="8">
        <v>7.984315447E9</v>
      </c>
      <c r="H134" s="8"/>
      <c r="I134" s="21">
        <v>1248.0</v>
      </c>
      <c r="J134" s="21" t="s">
        <v>4738</v>
      </c>
      <c r="K134" s="8" t="s">
        <v>7642</v>
      </c>
      <c r="L134" s="8" t="s">
        <v>26</v>
      </c>
      <c r="M134" s="8" t="s">
        <v>27</v>
      </c>
      <c r="N134" s="8" t="s">
        <v>28</v>
      </c>
      <c r="O134" s="97">
        <v>3796.0</v>
      </c>
      <c r="P134" s="97">
        <v>4479.0</v>
      </c>
      <c r="Q134" s="6">
        <v>28.0</v>
      </c>
      <c r="R134" s="31">
        <f t="shared" si="4"/>
        <v>1062.88</v>
      </c>
    </row>
    <row r="135">
      <c r="B135" s="8" t="s">
        <v>9970</v>
      </c>
      <c r="C135" s="8" t="s">
        <v>11470</v>
      </c>
      <c r="D135" s="8" t="s">
        <v>966</v>
      </c>
      <c r="E135" s="8" t="s">
        <v>11346</v>
      </c>
      <c r="F135" s="8" t="s">
        <v>11471</v>
      </c>
      <c r="G135" s="8">
        <v>9.978460453E9</v>
      </c>
      <c r="H135" s="8"/>
      <c r="I135" s="21">
        <v>1196.0</v>
      </c>
      <c r="J135" s="21" t="s">
        <v>4796</v>
      </c>
      <c r="K135" s="8" t="s">
        <v>78</v>
      </c>
      <c r="L135" s="8" t="s">
        <v>26</v>
      </c>
      <c r="M135" s="8" t="s">
        <v>27</v>
      </c>
      <c r="N135" s="8" t="s">
        <v>28</v>
      </c>
      <c r="O135" s="21">
        <v>3526.0</v>
      </c>
      <c r="P135" s="21">
        <v>4161.0</v>
      </c>
      <c r="Q135" s="6">
        <v>35.0</v>
      </c>
      <c r="R135" s="31">
        <f t="shared" si="4"/>
        <v>1234.1</v>
      </c>
    </row>
    <row r="136">
      <c r="B136" s="8" t="s">
        <v>9997</v>
      </c>
      <c r="C136" s="8" t="s">
        <v>11472</v>
      </c>
      <c r="D136" s="8" t="s">
        <v>966</v>
      </c>
      <c r="E136" s="8" t="s">
        <v>11473</v>
      </c>
      <c r="F136" s="8" t="s">
        <v>11474</v>
      </c>
      <c r="G136" s="8">
        <v>9.91384474E9</v>
      </c>
      <c r="H136" s="8"/>
      <c r="I136" s="21">
        <v>2499.0</v>
      </c>
      <c r="J136" s="21" t="s">
        <v>4753</v>
      </c>
      <c r="K136" s="8" t="s">
        <v>78</v>
      </c>
      <c r="L136" s="8" t="s">
        <v>26</v>
      </c>
      <c r="M136" s="8" t="s">
        <v>27</v>
      </c>
      <c r="N136" s="8" t="s">
        <v>28</v>
      </c>
      <c r="O136" s="21">
        <v>7947.0</v>
      </c>
      <c r="P136" s="21">
        <v>9377.0</v>
      </c>
      <c r="Q136" s="6">
        <v>35.0</v>
      </c>
      <c r="R136" s="31">
        <f t="shared" si="4"/>
        <v>2781.45</v>
      </c>
    </row>
    <row r="137">
      <c r="B137" s="8" t="s">
        <v>9997</v>
      </c>
      <c r="C137" s="8" t="s">
        <v>11475</v>
      </c>
      <c r="D137" s="8" t="s">
        <v>966</v>
      </c>
      <c r="E137" s="8" t="s">
        <v>11476</v>
      </c>
      <c r="F137" s="8" t="s">
        <v>11477</v>
      </c>
      <c r="G137" s="8">
        <v>9.979999101E9</v>
      </c>
      <c r="H137" s="8"/>
      <c r="I137" s="21">
        <v>2596.0</v>
      </c>
      <c r="J137" s="21" t="s">
        <v>4753</v>
      </c>
      <c r="K137" s="8" t="s">
        <v>78</v>
      </c>
      <c r="L137" s="8" t="s">
        <v>26</v>
      </c>
      <c r="M137" s="8" t="s">
        <v>71</v>
      </c>
      <c r="N137" s="8" t="s">
        <v>28</v>
      </c>
      <c r="O137" s="21">
        <v>8272.0</v>
      </c>
      <c r="P137" s="21">
        <v>9761.0</v>
      </c>
      <c r="Q137" s="6">
        <v>35.0</v>
      </c>
      <c r="R137" s="31">
        <f t="shared" si="4"/>
        <v>2895.2</v>
      </c>
    </row>
    <row r="138">
      <c r="B138" s="8" t="s">
        <v>10276</v>
      </c>
      <c r="C138" s="8" t="s">
        <v>11478</v>
      </c>
      <c r="D138" s="8" t="s">
        <v>60</v>
      </c>
      <c r="E138" s="8" t="s">
        <v>11327</v>
      </c>
      <c r="F138" s="8" t="s">
        <v>11479</v>
      </c>
      <c r="G138" s="8">
        <v>9.8795491E9</v>
      </c>
      <c r="H138" s="8"/>
      <c r="I138" s="21">
        <v>110.0</v>
      </c>
      <c r="J138" s="21" t="s">
        <v>4779</v>
      </c>
      <c r="K138" s="8" t="s">
        <v>4916</v>
      </c>
      <c r="L138" s="8" t="s">
        <v>26</v>
      </c>
      <c r="M138" s="8" t="s">
        <v>27</v>
      </c>
      <c r="N138" s="8" t="s">
        <v>28</v>
      </c>
      <c r="O138" s="21">
        <v>714.0</v>
      </c>
      <c r="P138" s="21">
        <v>842.0</v>
      </c>
      <c r="Q138" s="6">
        <v>50.0</v>
      </c>
      <c r="R138" s="31">
        <f t="shared" si="4"/>
        <v>357</v>
      </c>
    </row>
    <row r="139">
      <c r="B139" s="8" t="s">
        <v>10039</v>
      </c>
      <c r="C139" s="8" t="s">
        <v>11480</v>
      </c>
      <c r="D139" s="8" t="s">
        <v>966</v>
      </c>
      <c r="E139" s="8" t="s">
        <v>11278</v>
      </c>
      <c r="F139" s="8" t="s">
        <v>11481</v>
      </c>
      <c r="G139" s="8">
        <v>7.016272199E9</v>
      </c>
      <c r="H139" s="8"/>
      <c r="I139" s="21">
        <v>1495.0</v>
      </c>
      <c r="J139" s="21" t="s">
        <v>10121</v>
      </c>
      <c r="K139" s="8" t="s">
        <v>78</v>
      </c>
      <c r="L139" s="8" t="s">
        <v>26</v>
      </c>
      <c r="M139" s="8" t="s">
        <v>27</v>
      </c>
      <c r="N139" s="8" t="s">
        <v>28</v>
      </c>
      <c r="O139" s="21">
        <v>3476.0</v>
      </c>
      <c r="P139" s="21">
        <v>4102.0</v>
      </c>
      <c r="Q139" s="6">
        <v>35.0</v>
      </c>
      <c r="R139" s="31">
        <f t="shared" si="4"/>
        <v>1216.6</v>
      </c>
    </row>
    <row r="140">
      <c r="B140" s="8" t="s">
        <v>10064</v>
      </c>
      <c r="C140" s="8" t="s">
        <v>11482</v>
      </c>
      <c r="D140" s="8" t="s">
        <v>966</v>
      </c>
      <c r="E140" s="8" t="s">
        <v>11483</v>
      </c>
      <c r="F140" s="8" t="s">
        <v>11484</v>
      </c>
      <c r="G140" s="8">
        <v>6.352222026E9</v>
      </c>
      <c r="H140" s="8"/>
      <c r="I140" s="21">
        <v>1248.0</v>
      </c>
      <c r="J140" s="21" t="s">
        <v>4829</v>
      </c>
      <c r="K140" s="8" t="s">
        <v>78</v>
      </c>
      <c r="L140" s="8" t="s">
        <v>26</v>
      </c>
      <c r="M140" s="8" t="s">
        <v>27</v>
      </c>
      <c r="N140" s="8" t="s">
        <v>28</v>
      </c>
      <c r="O140" s="21">
        <v>3791.0</v>
      </c>
      <c r="P140" s="21">
        <v>4473.0</v>
      </c>
      <c r="Q140" s="6">
        <v>35.0</v>
      </c>
      <c r="R140" s="31">
        <f t="shared" si="4"/>
        <v>1326.85</v>
      </c>
    </row>
    <row r="145">
      <c r="B145" s="657" t="s">
        <v>11485</v>
      </c>
    </row>
    <row r="147">
      <c r="B147" s="215">
        <v>45332.0</v>
      </c>
      <c r="C147" s="8" t="s">
        <v>11486</v>
      </c>
      <c r="D147" s="8" t="s">
        <v>60</v>
      </c>
      <c r="E147" s="8" t="s">
        <v>11487</v>
      </c>
      <c r="F147" s="8" t="s">
        <v>11488</v>
      </c>
      <c r="G147" s="8"/>
      <c r="H147" s="8"/>
      <c r="I147" s="21">
        <v>97.0</v>
      </c>
      <c r="J147" s="22">
        <v>45667.0</v>
      </c>
      <c r="K147" s="8" t="s">
        <v>1419</v>
      </c>
      <c r="L147" s="8" t="s">
        <v>26</v>
      </c>
      <c r="M147" s="8" t="s">
        <v>27</v>
      </c>
      <c r="N147" s="8" t="s">
        <v>28</v>
      </c>
      <c r="O147" s="21">
        <v>714.0</v>
      </c>
      <c r="P147" s="21">
        <v>843.0</v>
      </c>
      <c r="Q147" s="5">
        <v>40.0</v>
      </c>
      <c r="R147" s="31">
        <f t="shared" ref="R147:R190" si="5">O147*Q147%</f>
        <v>285.6</v>
      </c>
    </row>
    <row r="148">
      <c r="B148" s="215">
        <v>45361.0</v>
      </c>
      <c r="C148" s="8" t="s">
        <v>7806</v>
      </c>
      <c r="D148" s="8" t="s">
        <v>966</v>
      </c>
      <c r="E148" s="8" t="s">
        <v>11489</v>
      </c>
      <c r="F148" s="8" t="s">
        <v>11490</v>
      </c>
      <c r="G148" s="8"/>
      <c r="H148" s="8"/>
      <c r="I148" s="21">
        <v>1248.0</v>
      </c>
      <c r="J148" s="22">
        <v>45698.0</v>
      </c>
      <c r="K148" s="8" t="s">
        <v>78</v>
      </c>
      <c r="L148" s="8" t="s">
        <v>26</v>
      </c>
      <c r="M148" s="8" t="s">
        <v>71</v>
      </c>
      <c r="N148" s="8" t="s">
        <v>28</v>
      </c>
      <c r="O148" s="21">
        <v>3791.0</v>
      </c>
      <c r="P148" s="21">
        <v>4473.0</v>
      </c>
      <c r="Q148" s="5">
        <v>37.0</v>
      </c>
      <c r="R148" s="31">
        <f t="shared" si="5"/>
        <v>1402.67</v>
      </c>
    </row>
    <row r="149">
      <c r="B149" s="215">
        <v>45361.0</v>
      </c>
      <c r="C149" s="8" t="s">
        <v>11491</v>
      </c>
      <c r="D149" s="8" t="s">
        <v>60</v>
      </c>
      <c r="E149" s="8" t="s">
        <v>11492</v>
      </c>
      <c r="F149" s="8" t="s">
        <v>11493</v>
      </c>
      <c r="G149" s="8">
        <v>7.874016819E9</v>
      </c>
      <c r="H149" s="8"/>
      <c r="I149" s="21">
        <v>125.0</v>
      </c>
      <c r="J149" s="22">
        <v>45698.0</v>
      </c>
      <c r="K149" s="8" t="s">
        <v>1419</v>
      </c>
      <c r="L149" s="8" t="s">
        <v>26</v>
      </c>
      <c r="M149" s="8" t="s">
        <v>27</v>
      </c>
      <c r="N149" s="8" t="s">
        <v>28</v>
      </c>
      <c r="O149" s="21">
        <v>714.0</v>
      </c>
      <c r="P149" s="21">
        <v>842.0</v>
      </c>
      <c r="Q149" s="5">
        <v>40.0</v>
      </c>
      <c r="R149" s="31">
        <f t="shared" si="5"/>
        <v>285.6</v>
      </c>
    </row>
    <row r="150">
      <c r="B150" s="215">
        <v>45361.0</v>
      </c>
      <c r="C150" s="8" t="s">
        <v>11494</v>
      </c>
      <c r="D150" s="8" t="s">
        <v>60</v>
      </c>
      <c r="E150" s="8" t="s">
        <v>11495</v>
      </c>
      <c r="F150" s="8" t="s">
        <v>11496</v>
      </c>
      <c r="G150" s="8">
        <v>8.160538264E9</v>
      </c>
      <c r="H150" s="8"/>
      <c r="I150" s="21">
        <v>150.0</v>
      </c>
      <c r="J150" s="22">
        <v>45726.0</v>
      </c>
      <c r="K150" s="8" t="s">
        <v>11169</v>
      </c>
      <c r="L150" s="8" t="s">
        <v>26</v>
      </c>
      <c r="M150" s="8" t="s">
        <v>27</v>
      </c>
      <c r="N150" s="8" t="s">
        <v>28</v>
      </c>
      <c r="O150" s="21">
        <v>714.0</v>
      </c>
      <c r="P150" s="21">
        <v>843.0</v>
      </c>
      <c r="Q150" s="5">
        <v>26.0</v>
      </c>
      <c r="R150" s="31">
        <f t="shared" si="5"/>
        <v>185.64</v>
      </c>
    </row>
    <row r="151">
      <c r="B151" s="215">
        <v>45361.0</v>
      </c>
      <c r="C151" s="8" t="s">
        <v>11497</v>
      </c>
      <c r="D151" s="8" t="s">
        <v>60</v>
      </c>
      <c r="E151" s="8" t="s">
        <v>11498</v>
      </c>
      <c r="F151" s="8" t="s">
        <v>11499</v>
      </c>
      <c r="G151" s="8">
        <v>9.724412655E9</v>
      </c>
      <c r="H151" s="8"/>
      <c r="I151" s="21">
        <v>149.0</v>
      </c>
      <c r="J151" s="22">
        <v>45726.0</v>
      </c>
      <c r="K151" s="8" t="s">
        <v>1419</v>
      </c>
      <c r="L151" s="8" t="s">
        <v>26</v>
      </c>
      <c r="M151" s="8" t="s">
        <v>27</v>
      </c>
      <c r="N151" s="8" t="s">
        <v>28</v>
      </c>
      <c r="O151" s="97">
        <v>1164.0</v>
      </c>
      <c r="P151" s="97">
        <v>1374.0</v>
      </c>
      <c r="Q151" s="5">
        <v>40.0</v>
      </c>
      <c r="R151" s="31">
        <f t="shared" si="5"/>
        <v>465.6</v>
      </c>
    </row>
    <row r="152">
      <c r="B152" s="215">
        <v>45361.0</v>
      </c>
      <c r="C152" s="8" t="s">
        <v>11500</v>
      </c>
      <c r="D152" s="8" t="s">
        <v>966</v>
      </c>
      <c r="E152" s="8" t="s">
        <v>11501</v>
      </c>
      <c r="F152" s="8" t="s">
        <v>11502</v>
      </c>
      <c r="G152" s="8">
        <v>8.849401262E9</v>
      </c>
      <c r="H152" s="8"/>
      <c r="I152" s="21">
        <v>1196.0</v>
      </c>
      <c r="J152" s="22">
        <v>45726.0</v>
      </c>
      <c r="K152" s="8" t="s">
        <v>78</v>
      </c>
      <c r="L152" s="8" t="s">
        <v>26</v>
      </c>
      <c r="M152" s="8" t="s">
        <v>27</v>
      </c>
      <c r="N152" s="8" t="s">
        <v>28</v>
      </c>
      <c r="O152" s="21">
        <v>3526.0</v>
      </c>
      <c r="P152" s="21">
        <v>4161.0</v>
      </c>
      <c r="Q152" s="5">
        <v>37.0</v>
      </c>
      <c r="R152" s="31">
        <f t="shared" si="5"/>
        <v>1304.62</v>
      </c>
    </row>
    <row r="153">
      <c r="B153" s="215">
        <v>45422.0</v>
      </c>
      <c r="C153" s="8" t="s">
        <v>5114</v>
      </c>
      <c r="D153" s="8" t="s">
        <v>966</v>
      </c>
      <c r="E153" s="8" t="s">
        <v>11346</v>
      </c>
      <c r="F153" s="8" t="s">
        <v>11503</v>
      </c>
      <c r="G153" s="8"/>
      <c r="H153" s="8"/>
      <c r="I153" s="21">
        <v>1196.0</v>
      </c>
      <c r="J153" s="22">
        <v>45787.0</v>
      </c>
      <c r="K153" s="8" t="s">
        <v>78</v>
      </c>
      <c r="L153" s="8" t="s">
        <v>26</v>
      </c>
      <c r="M153" s="8" t="s">
        <v>71</v>
      </c>
      <c r="N153" s="8" t="s">
        <v>28</v>
      </c>
      <c r="O153" s="21">
        <v>4041.0</v>
      </c>
      <c r="P153" s="21">
        <v>4768.0</v>
      </c>
      <c r="Q153" s="5">
        <v>37.0</v>
      </c>
      <c r="R153" s="31">
        <f t="shared" si="5"/>
        <v>1495.17</v>
      </c>
    </row>
    <row r="154">
      <c r="B154" s="215">
        <v>45422.0</v>
      </c>
      <c r="C154" s="8" t="s">
        <v>11504</v>
      </c>
      <c r="D154" s="8" t="s">
        <v>966</v>
      </c>
      <c r="E154" s="8" t="s">
        <v>11505</v>
      </c>
      <c r="F154" s="8" t="s">
        <v>11506</v>
      </c>
      <c r="G154" s="8">
        <v>9.558028186E9</v>
      </c>
      <c r="H154" s="8"/>
      <c r="I154" s="21">
        <v>1196.0</v>
      </c>
      <c r="J154" s="22">
        <v>45787.0</v>
      </c>
      <c r="K154" s="8" t="s">
        <v>78</v>
      </c>
      <c r="L154" s="8" t="s">
        <v>26</v>
      </c>
      <c r="M154" s="8" t="s">
        <v>27</v>
      </c>
      <c r="N154" s="8" t="s">
        <v>28</v>
      </c>
      <c r="O154" s="21">
        <v>3526.0</v>
      </c>
      <c r="P154" s="21">
        <v>4161.0</v>
      </c>
      <c r="Q154" s="5">
        <v>37.0</v>
      </c>
      <c r="R154" s="31">
        <f t="shared" si="5"/>
        <v>1304.62</v>
      </c>
    </row>
    <row r="155">
      <c r="B155" s="215">
        <v>45422.0</v>
      </c>
      <c r="C155" s="8" t="s">
        <v>11507</v>
      </c>
      <c r="D155" s="8" t="s">
        <v>60</v>
      </c>
      <c r="E155" s="8" t="s">
        <v>11226</v>
      </c>
      <c r="F155" s="8" t="s">
        <v>11508</v>
      </c>
      <c r="G155" s="8"/>
      <c r="H155" s="8"/>
      <c r="I155" s="21">
        <v>100.0</v>
      </c>
      <c r="J155" s="128">
        <v>45818.0</v>
      </c>
      <c r="K155" s="8" t="s">
        <v>11169</v>
      </c>
      <c r="L155" s="8" t="s">
        <v>26</v>
      </c>
      <c r="M155" s="8" t="s">
        <v>27</v>
      </c>
      <c r="N155" s="8" t="s">
        <v>28</v>
      </c>
      <c r="O155" s="21">
        <v>714.0</v>
      </c>
      <c r="P155" s="21">
        <v>843.0</v>
      </c>
      <c r="Q155" s="5">
        <v>26.0</v>
      </c>
      <c r="R155" s="31">
        <f t="shared" si="5"/>
        <v>185.64</v>
      </c>
    </row>
    <row r="156">
      <c r="B156" s="215">
        <v>45483.0</v>
      </c>
      <c r="C156" s="8" t="s">
        <v>11509</v>
      </c>
      <c r="D156" s="8" t="s">
        <v>966</v>
      </c>
      <c r="E156" s="8" t="s">
        <v>11510</v>
      </c>
      <c r="F156" s="8" t="s">
        <v>11511</v>
      </c>
      <c r="G156" s="8">
        <v>9.26521663E9</v>
      </c>
      <c r="H156" s="8"/>
      <c r="I156" s="21">
        <v>1061.0</v>
      </c>
      <c r="J156" s="22">
        <v>45848.0</v>
      </c>
      <c r="K156" s="8" t="s">
        <v>78</v>
      </c>
      <c r="L156" s="8" t="s">
        <v>26</v>
      </c>
      <c r="M156" s="8" t="s">
        <v>27</v>
      </c>
      <c r="N156" s="8" t="s">
        <v>28</v>
      </c>
      <c r="O156" s="21">
        <v>3801.0</v>
      </c>
      <c r="P156" s="21">
        <v>4485.0</v>
      </c>
      <c r="Q156" s="5">
        <v>37.0</v>
      </c>
      <c r="R156" s="31">
        <f t="shared" si="5"/>
        <v>1406.37</v>
      </c>
    </row>
    <row r="157">
      <c r="B157" s="215">
        <v>45514.0</v>
      </c>
      <c r="C157" s="8" t="s">
        <v>11512</v>
      </c>
      <c r="D157" s="8" t="s">
        <v>966</v>
      </c>
      <c r="E157" s="8" t="s">
        <v>11309</v>
      </c>
      <c r="F157" s="8" t="s">
        <v>11513</v>
      </c>
      <c r="G157" s="8"/>
      <c r="H157" s="8"/>
      <c r="I157" s="21">
        <v>1248.0</v>
      </c>
      <c r="J157" s="22">
        <v>45879.0</v>
      </c>
      <c r="K157" s="131" t="s">
        <v>11352</v>
      </c>
      <c r="L157" s="8" t="s">
        <v>26</v>
      </c>
      <c r="M157" s="8" t="s">
        <v>27</v>
      </c>
      <c r="N157" s="8" t="s">
        <v>28</v>
      </c>
      <c r="O157" s="97">
        <v>3796.0</v>
      </c>
      <c r="P157" s="97">
        <v>4479.0</v>
      </c>
      <c r="Q157" s="5">
        <v>35.0</v>
      </c>
      <c r="R157" s="31">
        <f t="shared" si="5"/>
        <v>1328.6</v>
      </c>
    </row>
    <row r="158">
      <c r="B158" s="215">
        <v>45545.0</v>
      </c>
      <c r="C158" s="8" t="s">
        <v>11514</v>
      </c>
      <c r="D158" s="8" t="s">
        <v>966</v>
      </c>
      <c r="E158" s="8" t="s">
        <v>11246</v>
      </c>
      <c r="F158" s="8" t="s">
        <v>11515</v>
      </c>
      <c r="G158" s="8">
        <v>7.22808028E9</v>
      </c>
      <c r="H158" s="8"/>
      <c r="I158" s="21">
        <v>1086.0</v>
      </c>
      <c r="J158" s="22">
        <v>45879.0</v>
      </c>
      <c r="K158" s="8" t="s">
        <v>78</v>
      </c>
      <c r="L158" s="8" t="s">
        <v>26</v>
      </c>
      <c r="M158" s="8" t="s">
        <v>27</v>
      </c>
      <c r="N158" s="8" t="s">
        <v>28</v>
      </c>
      <c r="O158" s="21">
        <v>3476.0</v>
      </c>
      <c r="P158" s="21">
        <v>4102.0</v>
      </c>
      <c r="Q158" s="5">
        <v>37.0</v>
      </c>
      <c r="R158" s="31">
        <f t="shared" si="5"/>
        <v>1286.12</v>
      </c>
    </row>
    <row r="159">
      <c r="B159" s="215">
        <v>45545.0</v>
      </c>
      <c r="C159" s="8" t="s">
        <v>7887</v>
      </c>
      <c r="D159" s="8" t="s">
        <v>966</v>
      </c>
      <c r="E159" s="8" t="s">
        <v>11237</v>
      </c>
      <c r="F159" s="8" t="s">
        <v>11516</v>
      </c>
      <c r="G159" s="8">
        <v>6.351947119E9</v>
      </c>
      <c r="H159" s="8"/>
      <c r="I159" s="21">
        <v>1196.0</v>
      </c>
      <c r="J159" s="22">
        <v>45879.0</v>
      </c>
      <c r="K159" s="8" t="s">
        <v>78</v>
      </c>
      <c r="L159" s="8" t="s">
        <v>26</v>
      </c>
      <c r="M159" s="8" t="s">
        <v>71</v>
      </c>
      <c r="N159" s="8" t="s">
        <v>28</v>
      </c>
      <c r="O159" s="21">
        <v>3476.0</v>
      </c>
      <c r="P159" s="21">
        <v>4102.0</v>
      </c>
      <c r="Q159" s="5">
        <v>37.0</v>
      </c>
      <c r="R159" s="31">
        <f t="shared" si="5"/>
        <v>1286.12</v>
      </c>
    </row>
    <row r="160">
      <c r="B160" s="639">
        <v>45575.0</v>
      </c>
      <c r="C160" s="8" t="s">
        <v>11517</v>
      </c>
      <c r="D160" s="8" t="s">
        <v>60</v>
      </c>
      <c r="E160" s="8" t="s">
        <v>11418</v>
      </c>
      <c r="F160" s="8" t="s">
        <v>11518</v>
      </c>
      <c r="G160" s="8">
        <v>9.712345332E9</v>
      </c>
      <c r="H160" s="8"/>
      <c r="I160" s="21">
        <v>346.0</v>
      </c>
      <c r="J160" s="307">
        <v>45940.0</v>
      </c>
      <c r="K160" s="8" t="s">
        <v>11169</v>
      </c>
      <c r="L160" s="8" t="s">
        <v>26</v>
      </c>
      <c r="M160" s="8" t="s">
        <v>27</v>
      </c>
      <c r="N160" s="8" t="s">
        <v>28</v>
      </c>
      <c r="O160" s="21">
        <v>1366.0</v>
      </c>
      <c r="P160" s="21">
        <v>1612.0</v>
      </c>
      <c r="Q160" s="5">
        <v>26.0</v>
      </c>
      <c r="R160" s="31">
        <f t="shared" si="5"/>
        <v>355.16</v>
      </c>
    </row>
    <row r="161">
      <c r="B161" s="639">
        <v>45575.0</v>
      </c>
      <c r="C161" s="8" t="s">
        <v>11519</v>
      </c>
      <c r="D161" s="8" t="s">
        <v>60</v>
      </c>
      <c r="E161" s="8" t="s">
        <v>11164</v>
      </c>
      <c r="F161" s="8" t="s">
        <v>11520</v>
      </c>
      <c r="G161" s="8">
        <v>9.725267134E9</v>
      </c>
      <c r="H161" s="8"/>
      <c r="I161" s="21">
        <v>125.0</v>
      </c>
      <c r="J161" s="22">
        <v>45910.0</v>
      </c>
      <c r="K161" s="8" t="s">
        <v>1419</v>
      </c>
      <c r="L161" s="8" t="s">
        <v>26</v>
      </c>
      <c r="M161" s="8" t="s">
        <v>27</v>
      </c>
      <c r="N161" s="8" t="s">
        <v>28</v>
      </c>
      <c r="O161" s="21">
        <v>714.0</v>
      </c>
      <c r="P161" s="21">
        <v>842.0</v>
      </c>
      <c r="Q161" s="5">
        <v>50.0</v>
      </c>
      <c r="R161" s="31">
        <f t="shared" si="5"/>
        <v>357</v>
      </c>
    </row>
    <row r="162">
      <c r="B162" s="639">
        <v>45575.0</v>
      </c>
      <c r="C162" s="8" t="s">
        <v>11521</v>
      </c>
      <c r="D162" s="8" t="s">
        <v>966</v>
      </c>
      <c r="E162" s="8" t="s">
        <v>11394</v>
      </c>
      <c r="F162" s="8" t="s">
        <v>11522</v>
      </c>
      <c r="G162" s="8">
        <v>9.925381635E9</v>
      </c>
      <c r="H162" s="8"/>
      <c r="I162" s="21">
        <v>998.0</v>
      </c>
      <c r="J162" s="22">
        <v>45910.0</v>
      </c>
      <c r="K162" s="8" t="s">
        <v>78</v>
      </c>
      <c r="L162" s="8" t="s">
        <v>26</v>
      </c>
      <c r="M162" s="8" t="s">
        <v>27</v>
      </c>
      <c r="N162" s="8" t="s">
        <v>28</v>
      </c>
      <c r="O162" s="21">
        <v>2204.0</v>
      </c>
      <c r="P162" s="21">
        <v>2601.0</v>
      </c>
      <c r="Q162" s="5">
        <v>37.0</v>
      </c>
      <c r="R162" s="31">
        <f t="shared" si="5"/>
        <v>815.48</v>
      </c>
    </row>
    <row r="163">
      <c r="B163" s="639">
        <v>45606.0</v>
      </c>
      <c r="C163" s="8" t="s">
        <v>7897</v>
      </c>
      <c r="D163" s="8" t="s">
        <v>966</v>
      </c>
      <c r="E163" s="8" t="s">
        <v>11193</v>
      </c>
      <c r="F163" s="8" t="s">
        <v>11523</v>
      </c>
      <c r="G163" s="8"/>
      <c r="H163" s="8"/>
      <c r="I163" s="21">
        <v>796.0</v>
      </c>
      <c r="J163" s="249">
        <v>45940.0</v>
      </c>
      <c r="K163" s="8" t="s">
        <v>78</v>
      </c>
      <c r="L163" s="8" t="s">
        <v>26</v>
      </c>
      <c r="M163" s="8" t="s">
        <v>71</v>
      </c>
      <c r="N163" s="8" t="s">
        <v>28</v>
      </c>
      <c r="O163" s="21">
        <v>2144.0</v>
      </c>
      <c r="P163" s="21">
        <v>2530.0</v>
      </c>
      <c r="Q163" s="5">
        <v>37.0</v>
      </c>
      <c r="R163" s="31">
        <f t="shared" si="5"/>
        <v>793.28</v>
      </c>
    </row>
    <row r="164">
      <c r="B164" s="639">
        <v>45606.0</v>
      </c>
      <c r="C164" s="8" t="s">
        <v>11524</v>
      </c>
      <c r="D164" s="8" t="s">
        <v>966</v>
      </c>
      <c r="E164" s="8" t="s">
        <v>11510</v>
      </c>
      <c r="F164" s="8" t="s">
        <v>11525</v>
      </c>
      <c r="G164" s="8"/>
      <c r="H164" s="8"/>
      <c r="I164" s="21">
        <v>1061.0</v>
      </c>
      <c r="J164" s="249">
        <v>45940.0</v>
      </c>
      <c r="K164" s="8" t="s">
        <v>78</v>
      </c>
      <c r="L164" s="8" t="s">
        <v>26</v>
      </c>
      <c r="M164" s="8" t="s">
        <v>27</v>
      </c>
      <c r="N164" s="8" t="s">
        <v>28</v>
      </c>
      <c r="O164" s="21">
        <v>3526.0</v>
      </c>
      <c r="P164" s="21">
        <v>4161.0</v>
      </c>
      <c r="Q164" s="5">
        <v>37.0</v>
      </c>
      <c r="R164" s="31">
        <f t="shared" si="5"/>
        <v>1304.62</v>
      </c>
    </row>
    <row r="165">
      <c r="B165" s="639">
        <v>45606.0</v>
      </c>
      <c r="C165" s="8" t="s">
        <v>7958</v>
      </c>
      <c r="D165" s="8" t="s">
        <v>966</v>
      </c>
      <c r="E165" s="8" t="s">
        <v>11526</v>
      </c>
      <c r="F165" s="8" t="s">
        <v>11527</v>
      </c>
      <c r="G165" s="8"/>
      <c r="H165" s="8"/>
      <c r="I165" s="21">
        <v>1197.0</v>
      </c>
      <c r="J165" s="249">
        <v>45971.0</v>
      </c>
      <c r="K165" s="8" t="s">
        <v>78</v>
      </c>
      <c r="L165" s="8" t="s">
        <v>26</v>
      </c>
      <c r="M165" s="8" t="s">
        <v>71</v>
      </c>
      <c r="N165" s="8" t="s">
        <v>28</v>
      </c>
      <c r="O165" s="21">
        <v>3476.0</v>
      </c>
      <c r="P165" s="21">
        <v>4102.0</v>
      </c>
      <c r="Q165" s="5">
        <v>37.0</v>
      </c>
      <c r="R165" s="31">
        <f t="shared" si="5"/>
        <v>1286.12</v>
      </c>
    </row>
    <row r="166">
      <c r="B166" s="639">
        <v>45606.0</v>
      </c>
      <c r="C166" s="8" t="s">
        <v>11528</v>
      </c>
      <c r="D166" s="8" t="s">
        <v>60</v>
      </c>
      <c r="E166" s="8" t="s">
        <v>11529</v>
      </c>
      <c r="F166" s="8" t="s">
        <v>11530</v>
      </c>
      <c r="G166" s="8"/>
      <c r="H166" s="8"/>
      <c r="I166" s="21">
        <v>220.0</v>
      </c>
      <c r="J166" s="307">
        <v>46001.0</v>
      </c>
      <c r="K166" s="8" t="s">
        <v>11169</v>
      </c>
      <c r="L166" s="8" t="s">
        <v>26</v>
      </c>
      <c r="M166" s="8" t="s">
        <v>71</v>
      </c>
      <c r="N166" s="8" t="s">
        <v>28</v>
      </c>
      <c r="O166" s="21">
        <v>1366.0</v>
      </c>
      <c r="P166" s="21">
        <v>1612.0</v>
      </c>
      <c r="Q166" s="5">
        <v>26.0</v>
      </c>
      <c r="R166" s="31">
        <f t="shared" si="5"/>
        <v>355.16</v>
      </c>
    </row>
    <row r="167">
      <c r="B167" s="639">
        <v>45606.0</v>
      </c>
      <c r="C167" s="8" t="s">
        <v>11531</v>
      </c>
      <c r="D167" s="8" t="s">
        <v>966</v>
      </c>
      <c r="E167" s="8" t="s">
        <v>11532</v>
      </c>
      <c r="F167" s="8" t="s">
        <v>11533</v>
      </c>
      <c r="G167" s="8"/>
      <c r="H167" s="8"/>
      <c r="I167" s="21">
        <v>1186.0</v>
      </c>
      <c r="J167" s="249">
        <v>45971.0</v>
      </c>
      <c r="K167" s="8" t="s">
        <v>1419</v>
      </c>
      <c r="L167" s="8" t="s">
        <v>26</v>
      </c>
      <c r="M167" s="8" t="s">
        <v>11373</v>
      </c>
      <c r="N167" s="8" t="s">
        <v>28</v>
      </c>
      <c r="O167" s="97">
        <v>3841.0</v>
      </c>
      <c r="P167" s="97">
        <v>4532.0</v>
      </c>
      <c r="Q167" s="5">
        <v>35.0</v>
      </c>
      <c r="R167" s="31">
        <f t="shared" si="5"/>
        <v>1344.35</v>
      </c>
    </row>
    <row r="168">
      <c r="B168" s="639">
        <v>45606.0</v>
      </c>
      <c r="C168" s="8" t="s">
        <v>7729</v>
      </c>
      <c r="D168" s="8" t="s">
        <v>966</v>
      </c>
      <c r="E168" s="8" t="s">
        <v>11534</v>
      </c>
      <c r="F168" s="8" t="s">
        <v>11535</v>
      </c>
      <c r="G168" s="8"/>
      <c r="H168" s="8"/>
      <c r="I168" s="21">
        <v>796.0</v>
      </c>
      <c r="J168" s="249">
        <v>45971.0</v>
      </c>
      <c r="K168" s="8" t="s">
        <v>78</v>
      </c>
      <c r="L168" s="8" t="s">
        <v>26</v>
      </c>
      <c r="M168" s="8" t="s">
        <v>11373</v>
      </c>
      <c r="N168" s="8" t="s">
        <v>28</v>
      </c>
      <c r="O168" s="21">
        <v>2529.0</v>
      </c>
      <c r="P168" s="21">
        <v>2984.0</v>
      </c>
      <c r="Q168" s="5">
        <v>37.0</v>
      </c>
      <c r="R168" s="31">
        <f t="shared" si="5"/>
        <v>935.73</v>
      </c>
    </row>
    <row r="169">
      <c r="B169" s="639">
        <v>45636.0</v>
      </c>
      <c r="C169" s="8" t="s">
        <v>11536</v>
      </c>
      <c r="D169" s="8" t="s">
        <v>966</v>
      </c>
      <c r="E169" s="8" t="s">
        <v>11537</v>
      </c>
      <c r="F169" s="8" t="s">
        <v>11538</v>
      </c>
      <c r="G169" s="8">
        <v>9.574670572E9</v>
      </c>
      <c r="H169" s="8"/>
      <c r="I169" s="21">
        <v>1086.0</v>
      </c>
      <c r="J169" s="249">
        <v>45971.0</v>
      </c>
      <c r="K169" s="8" t="s">
        <v>78</v>
      </c>
      <c r="L169" s="8" t="s">
        <v>26</v>
      </c>
      <c r="M169" s="8" t="s">
        <v>27</v>
      </c>
      <c r="N169" s="8" t="s">
        <v>28</v>
      </c>
      <c r="O169" s="21">
        <v>3791.0</v>
      </c>
      <c r="P169" s="21">
        <v>4473.0</v>
      </c>
      <c r="Q169" s="5">
        <v>37.0</v>
      </c>
      <c r="R169" s="31">
        <f t="shared" si="5"/>
        <v>1402.67</v>
      </c>
    </row>
    <row r="170">
      <c r="B170" s="639">
        <v>45636.0</v>
      </c>
      <c r="C170" s="8" t="s">
        <v>11539</v>
      </c>
      <c r="D170" s="8" t="s">
        <v>966</v>
      </c>
      <c r="E170" s="8" t="s">
        <v>11309</v>
      </c>
      <c r="F170" s="8" t="s">
        <v>11540</v>
      </c>
      <c r="G170" s="8"/>
      <c r="H170" s="8"/>
      <c r="I170" s="21">
        <v>1248.0</v>
      </c>
      <c r="J170" s="21" t="s">
        <v>5299</v>
      </c>
      <c r="K170" s="8" t="s">
        <v>11352</v>
      </c>
      <c r="L170" s="8" t="s">
        <v>26</v>
      </c>
      <c r="M170" s="8" t="s">
        <v>27</v>
      </c>
      <c r="N170" s="8" t="s">
        <v>28</v>
      </c>
      <c r="O170" s="97">
        <v>3416.0</v>
      </c>
      <c r="P170" s="97">
        <v>4031.0</v>
      </c>
      <c r="Q170" s="5">
        <v>35.0</v>
      </c>
      <c r="R170" s="31">
        <f t="shared" si="5"/>
        <v>1195.6</v>
      </c>
    </row>
    <row r="171">
      <c r="B171" s="8" t="s">
        <v>7997</v>
      </c>
      <c r="C171" s="8" t="s">
        <v>11541</v>
      </c>
      <c r="D171" s="8" t="s">
        <v>966</v>
      </c>
      <c r="E171" s="8" t="s">
        <v>11394</v>
      </c>
      <c r="F171" s="8" t="s">
        <v>11542</v>
      </c>
      <c r="G171" s="8">
        <v>9.870054811E9</v>
      </c>
      <c r="H171" s="8"/>
      <c r="I171" s="21">
        <v>998.0</v>
      </c>
      <c r="J171" s="21" t="s">
        <v>6462</v>
      </c>
      <c r="K171" s="8" t="s">
        <v>78</v>
      </c>
      <c r="L171" s="8" t="s">
        <v>26</v>
      </c>
      <c r="M171" s="8" t="s">
        <v>27</v>
      </c>
      <c r="N171" s="8" t="s">
        <v>28</v>
      </c>
      <c r="O171" s="21">
        <v>2204.0</v>
      </c>
      <c r="P171" s="21">
        <v>2601.0</v>
      </c>
      <c r="Q171" s="5">
        <v>37.0</v>
      </c>
      <c r="R171" s="31">
        <f t="shared" si="5"/>
        <v>815.48</v>
      </c>
    </row>
    <row r="172">
      <c r="B172" s="8" t="s">
        <v>7900</v>
      </c>
      <c r="C172" s="8" t="s">
        <v>11543</v>
      </c>
      <c r="D172" s="8" t="s">
        <v>60</v>
      </c>
      <c r="E172" s="8" t="s">
        <v>719</v>
      </c>
      <c r="F172" s="8" t="s">
        <v>11544</v>
      </c>
      <c r="G172" s="8"/>
      <c r="H172" s="8"/>
      <c r="I172" s="21">
        <v>100.0</v>
      </c>
      <c r="J172" s="21" t="s">
        <v>6480</v>
      </c>
      <c r="K172" s="8" t="s">
        <v>11169</v>
      </c>
      <c r="L172" s="8" t="s">
        <v>26</v>
      </c>
      <c r="M172" s="8" t="s">
        <v>27</v>
      </c>
      <c r="N172" s="8" t="s">
        <v>28</v>
      </c>
      <c r="O172" s="21">
        <v>714.0</v>
      </c>
      <c r="P172" s="21">
        <v>842.0</v>
      </c>
      <c r="Q172" s="5">
        <v>26.0</v>
      </c>
      <c r="R172" s="31">
        <f t="shared" si="5"/>
        <v>185.64</v>
      </c>
    </row>
    <row r="173">
      <c r="B173" s="8" t="s">
        <v>7900</v>
      </c>
      <c r="C173" s="8" t="s">
        <v>11545</v>
      </c>
      <c r="D173" s="8" t="s">
        <v>60</v>
      </c>
      <c r="E173" s="8" t="s">
        <v>11418</v>
      </c>
      <c r="F173" s="8" t="s">
        <v>11546</v>
      </c>
      <c r="G173" s="8">
        <v>8.320348004E9</v>
      </c>
      <c r="H173" s="8"/>
      <c r="I173" s="21">
        <v>350.0</v>
      </c>
      <c r="J173" s="21" t="s">
        <v>6480</v>
      </c>
      <c r="K173" s="8" t="s">
        <v>11169</v>
      </c>
      <c r="L173" s="8" t="s">
        <v>26</v>
      </c>
      <c r="M173" s="8" t="s">
        <v>71</v>
      </c>
      <c r="N173" s="8" t="s">
        <v>28</v>
      </c>
      <c r="O173" s="21">
        <v>1366.0</v>
      </c>
      <c r="P173" s="21">
        <v>1612.0</v>
      </c>
      <c r="Q173" s="5">
        <v>26.0</v>
      </c>
      <c r="R173" s="31">
        <f t="shared" si="5"/>
        <v>355.16</v>
      </c>
    </row>
    <row r="174">
      <c r="B174" s="8" t="s">
        <v>7900</v>
      </c>
      <c r="C174" s="8" t="s">
        <v>11547</v>
      </c>
      <c r="D174" s="8" t="s">
        <v>966</v>
      </c>
      <c r="E174" s="8" t="s">
        <v>11548</v>
      </c>
      <c r="F174" s="8" t="s">
        <v>11549</v>
      </c>
      <c r="G174" s="8">
        <v>9.978103286E9</v>
      </c>
      <c r="H174" s="8"/>
      <c r="I174" s="21">
        <v>1493.0</v>
      </c>
      <c r="J174" s="21" t="s">
        <v>6476</v>
      </c>
      <c r="K174" s="8" t="s">
        <v>1419</v>
      </c>
      <c r="L174" s="8" t="s">
        <v>26</v>
      </c>
      <c r="M174" s="8" t="s">
        <v>71</v>
      </c>
      <c r="N174" s="8" t="s">
        <v>28</v>
      </c>
      <c r="O174" s="97">
        <v>3841.0</v>
      </c>
      <c r="P174" s="97">
        <v>4533.0</v>
      </c>
      <c r="Q174" s="5">
        <v>30.0</v>
      </c>
      <c r="R174" s="31">
        <f t="shared" si="5"/>
        <v>1152.3</v>
      </c>
    </row>
    <row r="175">
      <c r="B175" s="8" t="s">
        <v>7900</v>
      </c>
      <c r="C175" s="8" t="s">
        <v>11550</v>
      </c>
      <c r="D175" s="8" t="s">
        <v>966</v>
      </c>
      <c r="E175" s="8" t="s">
        <v>11551</v>
      </c>
      <c r="F175" s="8" t="s">
        <v>11552</v>
      </c>
      <c r="G175" s="8"/>
      <c r="H175" s="8"/>
      <c r="I175" s="21">
        <v>2596.0</v>
      </c>
      <c r="J175" s="21" t="s">
        <v>6476</v>
      </c>
      <c r="K175" s="8" t="s">
        <v>78</v>
      </c>
      <c r="L175" s="8" t="s">
        <v>26</v>
      </c>
      <c r="M175" s="8" t="s">
        <v>27</v>
      </c>
      <c r="N175" s="8" t="s">
        <v>28</v>
      </c>
      <c r="O175" s="21">
        <v>7897.0</v>
      </c>
      <c r="P175" s="21">
        <v>9377.0</v>
      </c>
      <c r="Q175" s="5">
        <v>37.0</v>
      </c>
      <c r="R175" s="31">
        <f t="shared" si="5"/>
        <v>2921.89</v>
      </c>
    </row>
    <row r="176">
      <c r="B176" s="8" t="s">
        <v>7900</v>
      </c>
      <c r="C176" s="8" t="s">
        <v>11553</v>
      </c>
      <c r="D176" s="8" t="s">
        <v>60</v>
      </c>
      <c r="E176" s="8" t="s">
        <v>671</v>
      </c>
      <c r="F176" s="8" t="s">
        <v>11554</v>
      </c>
      <c r="G176" s="8"/>
      <c r="H176" s="8"/>
      <c r="I176" s="21">
        <v>97.0</v>
      </c>
      <c r="J176" s="21" t="s">
        <v>6476</v>
      </c>
      <c r="K176" s="8" t="s">
        <v>1419</v>
      </c>
      <c r="L176" s="8" t="s">
        <v>26</v>
      </c>
      <c r="M176" s="8" t="s">
        <v>71</v>
      </c>
      <c r="N176" s="8" t="s">
        <v>28</v>
      </c>
      <c r="O176" s="21">
        <v>714.0</v>
      </c>
      <c r="P176" s="21">
        <v>842.0</v>
      </c>
      <c r="Q176" s="5">
        <v>40.0</v>
      </c>
      <c r="R176" s="31">
        <f t="shared" si="5"/>
        <v>285.6</v>
      </c>
    </row>
    <row r="177">
      <c r="B177" s="8" t="s">
        <v>10512</v>
      </c>
      <c r="C177" s="8" t="s">
        <v>11555</v>
      </c>
      <c r="D177" s="8" t="s">
        <v>60</v>
      </c>
      <c r="E177" s="8" t="s">
        <v>11556</v>
      </c>
      <c r="F177" s="8" t="s">
        <v>7924</v>
      </c>
      <c r="G177" s="8"/>
      <c r="H177" s="8"/>
      <c r="I177" s="21">
        <v>102.0</v>
      </c>
      <c r="J177" s="21" t="s">
        <v>5278</v>
      </c>
      <c r="K177" s="8" t="s">
        <v>4916</v>
      </c>
      <c r="L177" s="8" t="s">
        <v>26</v>
      </c>
      <c r="M177" s="8" t="s">
        <v>27</v>
      </c>
      <c r="N177" s="8" t="s">
        <v>28</v>
      </c>
      <c r="O177" s="21">
        <v>714.0</v>
      </c>
      <c r="P177" s="21">
        <v>842.52</v>
      </c>
      <c r="Q177" s="5">
        <v>50.0</v>
      </c>
      <c r="R177" s="31">
        <f t="shared" si="5"/>
        <v>357</v>
      </c>
    </row>
    <row r="178">
      <c r="B178" s="8" t="s">
        <v>10512</v>
      </c>
      <c r="C178" s="8" t="s">
        <v>11557</v>
      </c>
      <c r="D178" s="8" t="s">
        <v>60</v>
      </c>
      <c r="E178" s="8" t="s">
        <v>11558</v>
      </c>
      <c r="F178" s="8" t="s">
        <v>11559</v>
      </c>
      <c r="G178" s="8"/>
      <c r="H178" s="8"/>
      <c r="I178" s="21">
        <v>109.0</v>
      </c>
      <c r="J178" s="21" t="s">
        <v>5278</v>
      </c>
      <c r="K178" s="8" t="s">
        <v>4916</v>
      </c>
      <c r="L178" s="8" t="s">
        <v>26</v>
      </c>
      <c r="M178" s="8" t="s">
        <v>27</v>
      </c>
      <c r="N178" s="8" t="s">
        <v>28</v>
      </c>
      <c r="O178" s="21">
        <v>714.0</v>
      </c>
      <c r="P178" s="21">
        <v>842.52</v>
      </c>
      <c r="Q178" s="5">
        <v>50.0</v>
      </c>
      <c r="R178" s="31">
        <f t="shared" si="5"/>
        <v>357</v>
      </c>
    </row>
    <row r="179">
      <c r="B179" s="8" t="s">
        <v>8030</v>
      </c>
      <c r="C179" s="8" t="s">
        <v>11560</v>
      </c>
      <c r="D179" s="8" t="s">
        <v>60</v>
      </c>
      <c r="E179" s="8" t="s">
        <v>11164</v>
      </c>
      <c r="F179" s="8" t="s">
        <v>11561</v>
      </c>
      <c r="G179" s="8"/>
      <c r="H179" s="8"/>
      <c r="I179" s="21">
        <v>110.0</v>
      </c>
      <c r="J179" s="21" t="s">
        <v>10536</v>
      </c>
      <c r="K179" s="8" t="s">
        <v>1419</v>
      </c>
      <c r="L179" s="8" t="s">
        <v>26</v>
      </c>
      <c r="M179" s="8" t="s">
        <v>71</v>
      </c>
      <c r="N179" s="8" t="s">
        <v>28</v>
      </c>
      <c r="O179" s="21">
        <v>714.0</v>
      </c>
      <c r="P179" s="21">
        <v>842.0</v>
      </c>
      <c r="Q179" s="5">
        <v>50.0</v>
      </c>
      <c r="R179" s="31">
        <f t="shared" si="5"/>
        <v>357</v>
      </c>
    </row>
    <row r="180">
      <c r="B180" s="8" t="s">
        <v>10613</v>
      </c>
      <c r="C180" s="8" t="s">
        <v>11562</v>
      </c>
      <c r="D180" s="8" t="s">
        <v>966</v>
      </c>
      <c r="E180" s="8" t="s">
        <v>7773</v>
      </c>
      <c r="F180" s="8" t="s">
        <v>11563</v>
      </c>
      <c r="G180" s="8"/>
      <c r="H180" s="8"/>
      <c r="I180" s="21">
        <v>1248.0</v>
      </c>
      <c r="J180" s="21" t="s">
        <v>5315</v>
      </c>
      <c r="K180" s="8" t="s">
        <v>11352</v>
      </c>
      <c r="L180" s="8" t="s">
        <v>26</v>
      </c>
      <c r="M180" s="8" t="s">
        <v>27</v>
      </c>
      <c r="N180" s="8" t="s">
        <v>28</v>
      </c>
      <c r="O180" s="97">
        <v>4146.0</v>
      </c>
      <c r="P180" s="97">
        <v>4892.0</v>
      </c>
      <c r="Q180" s="5">
        <v>35.0</v>
      </c>
      <c r="R180" s="31">
        <f t="shared" si="5"/>
        <v>1451.1</v>
      </c>
    </row>
    <row r="181">
      <c r="B181" s="8" t="s">
        <v>10626</v>
      </c>
      <c r="C181" s="8" t="s">
        <v>11564</v>
      </c>
      <c r="D181" s="8" t="s">
        <v>60</v>
      </c>
      <c r="E181" s="8" t="s">
        <v>719</v>
      </c>
      <c r="F181" s="8" t="s">
        <v>11565</v>
      </c>
      <c r="G181" s="8"/>
      <c r="H181" s="8"/>
      <c r="I181" s="21">
        <v>100.0</v>
      </c>
      <c r="J181" s="21" t="s">
        <v>10598</v>
      </c>
      <c r="K181" s="8" t="s">
        <v>11169</v>
      </c>
      <c r="L181" s="8" t="s">
        <v>26</v>
      </c>
      <c r="M181" s="8" t="s">
        <v>27</v>
      </c>
      <c r="N181" s="8" t="s">
        <v>28</v>
      </c>
      <c r="O181" s="21">
        <v>714.0</v>
      </c>
      <c r="P181" s="21">
        <v>843.0</v>
      </c>
      <c r="Q181" s="5">
        <v>26.0</v>
      </c>
      <c r="R181" s="31">
        <f t="shared" si="5"/>
        <v>185.64</v>
      </c>
    </row>
    <row r="182">
      <c r="B182" s="8" t="s">
        <v>10626</v>
      </c>
      <c r="C182" s="8" t="s">
        <v>11566</v>
      </c>
      <c r="D182" s="8" t="s">
        <v>60</v>
      </c>
      <c r="E182" s="8" t="s">
        <v>671</v>
      </c>
      <c r="F182" s="8" t="s">
        <v>11567</v>
      </c>
      <c r="G182" s="8"/>
      <c r="H182" s="8"/>
      <c r="I182" s="21">
        <v>100.0</v>
      </c>
      <c r="J182" s="21" t="s">
        <v>5424</v>
      </c>
      <c r="K182" s="8" t="s">
        <v>1419</v>
      </c>
      <c r="L182" s="8" t="s">
        <v>26</v>
      </c>
      <c r="M182" s="8" t="s">
        <v>71</v>
      </c>
      <c r="N182" s="8" t="s">
        <v>28</v>
      </c>
      <c r="O182" s="21">
        <v>714.0</v>
      </c>
      <c r="P182" s="21">
        <v>842.0</v>
      </c>
      <c r="Q182" s="5">
        <v>40.0</v>
      </c>
      <c r="R182" s="31">
        <f t="shared" si="5"/>
        <v>285.6</v>
      </c>
    </row>
    <row r="183">
      <c r="B183" s="8" t="s">
        <v>10640</v>
      </c>
      <c r="C183" s="8" t="s">
        <v>11568</v>
      </c>
      <c r="D183" s="8" t="s">
        <v>60</v>
      </c>
      <c r="E183" s="8" t="s">
        <v>11164</v>
      </c>
      <c r="F183" s="8" t="s">
        <v>11569</v>
      </c>
      <c r="G183" s="8"/>
      <c r="H183" s="8"/>
      <c r="I183" s="21">
        <v>109.0</v>
      </c>
      <c r="J183" s="21" t="s">
        <v>10598</v>
      </c>
      <c r="K183" s="8" t="s">
        <v>1419</v>
      </c>
      <c r="L183" s="8" t="s">
        <v>26</v>
      </c>
      <c r="M183" s="8" t="s">
        <v>27</v>
      </c>
      <c r="N183" s="8" t="s">
        <v>28</v>
      </c>
      <c r="O183" s="21">
        <v>714.0</v>
      </c>
      <c r="P183" s="21">
        <v>842.0</v>
      </c>
      <c r="Q183" s="5">
        <v>50.0</v>
      </c>
      <c r="R183" s="31">
        <f t="shared" si="5"/>
        <v>357</v>
      </c>
    </row>
    <row r="184">
      <c r="B184" s="8" t="s">
        <v>10640</v>
      </c>
      <c r="C184" s="8" t="s">
        <v>11570</v>
      </c>
      <c r="D184" s="8" t="s">
        <v>966</v>
      </c>
      <c r="E184" s="8" t="s">
        <v>11501</v>
      </c>
      <c r="F184" s="8" t="s">
        <v>11571</v>
      </c>
      <c r="G184" s="8"/>
      <c r="H184" s="8"/>
      <c r="I184" s="21">
        <v>1061.0</v>
      </c>
      <c r="J184" s="21" t="s">
        <v>10565</v>
      </c>
      <c r="K184" s="8" t="s">
        <v>78</v>
      </c>
      <c r="L184" s="8" t="s">
        <v>26</v>
      </c>
      <c r="M184" s="8" t="s">
        <v>71</v>
      </c>
      <c r="N184" s="8" t="s">
        <v>28</v>
      </c>
      <c r="O184" s="21">
        <v>3526.0</v>
      </c>
      <c r="P184" s="21">
        <v>4161.0</v>
      </c>
      <c r="Q184" s="5">
        <v>37.0</v>
      </c>
      <c r="R184" s="31">
        <f t="shared" si="5"/>
        <v>1304.62</v>
      </c>
    </row>
    <row r="185">
      <c r="B185" s="8" t="s">
        <v>10675</v>
      </c>
      <c r="C185" s="8" t="s">
        <v>11572</v>
      </c>
      <c r="D185" s="131" t="s">
        <v>966</v>
      </c>
      <c r="E185" s="8" t="s">
        <v>3541</v>
      </c>
      <c r="F185" s="8" t="s">
        <v>11573</v>
      </c>
      <c r="G185" s="8"/>
      <c r="H185" s="8"/>
      <c r="I185" s="21">
        <v>1196.0</v>
      </c>
      <c r="J185" s="21" t="s">
        <v>5356</v>
      </c>
      <c r="K185" s="131" t="s">
        <v>78</v>
      </c>
      <c r="L185" s="8" t="s">
        <v>26</v>
      </c>
      <c r="M185" s="8" t="s">
        <v>27</v>
      </c>
      <c r="N185" s="8" t="s">
        <v>28</v>
      </c>
      <c r="O185" s="21">
        <v>3466.0</v>
      </c>
      <c r="P185" s="21">
        <v>4090.0</v>
      </c>
      <c r="Q185" s="5">
        <v>37.0</v>
      </c>
      <c r="R185" s="31">
        <f t="shared" si="5"/>
        <v>1282.42</v>
      </c>
    </row>
    <row r="186">
      <c r="B186" s="131" t="s">
        <v>8035</v>
      </c>
      <c r="C186" s="8" t="s">
        <v>11574</v>
      </c>
      <c r="D186" s="8" t="s">
        <v>60</v>
      </c>
      <c r="E186" s="8" t="s">
        <v>719</v>
      </c>
      <c r="F186" s="8" t="s">
        <v>11575</v>
      </c>
      <c r="G186" s="8">
        <v>6.353832388E9</v>
      </c>
      <c r="H186" s="8"/>
      <c r="I186" s="21">
        <v>100.0</v>
      </c>
      <c r="J186" s="21" t="s">
        <v>6035</v>
      </c>
      <c r="K186" s="8" t="s">
        <v>11169</v>
      </c>
      <c r="L186" s="8" t="s">
        <v>26</v>
      </c>
      <c r="M186" s="8" t="s">
        <v>27</v>
      </c>
      <c r="N186" s="8" t="s">
        <v>28</v>
      </c>
      <c r="O186" s="21">
        <v>714.0</v>
      </c>
      <c r="P186" s="21">
        <v>843.0</v>
      </c>
      <c r="Q186" s="5">
        <v>26.0</v>
      </c>
      <c r="R186" s="31">
        <f t="shared" si="5"/>
        <v>185.64</v>
      </c>
    </row>
    <row r="187">
      <c r="B187" s="131" t="s">
        <v>8035</v>
      </c>
      <c r="C187" s="8" t="s">
        <v>11576</v>
      </c>
      <c r="D187" s="8" t="s">
        <v>966</v>
      </c>
      <c r="E187" s="8" t="s">
        <v>11577</v>
      </c>
      <c r="F187" s="8" t="s">
        <v>11578</v>
      </c>
      <c r="G187" s="8"/>
      <c r="H187" s="8"/>
      <c r="I187" s="21">
        <v>1248.0</v>
      </c>
      <c r="J187" s="22">
        <v>45668.0</v>
      </c>
      <c r="K187" s="86" t="s">
        <v>11352</v>
      </c>
      <c r="L187" s="8" t="s">
        <v>26</v>
      </c>
      <c r="M187" s="8" t="s">
        <v>71</v>
      </c>
      <c r="N187" s="8" t="s">
        <v>28</v>
      </c>
      <c r="O187" s="97">
        <v>3466.0</v>
      </c>
      <c r="P187" s="97">
        <v>4090.0</v>
      </c>
      <c r="Q187" s="5">
        <v>35.0</v>
      </c>
      <c r="R187" s="31">
        <f t="shared" si="5"/>
        <v>1213.1</v>
      </c>
    </row>
    <row r="188">
      <c r="B188" s="131" t="s">
        <v>8035</v>
      </c>
      <c r="C188" s="8" t="s">
        <v>11579</v>
      </c>
      <c r="D188" s="8" t="s">
        <v>60</v>
      </c>
      <c r="E188" s="8" t="s">
        <v>11487</v>
      </c>
      <c r="F188" s="8" t="s">
        <v>11580</v>
      </c>
      <c r="G188" s="8"/>
      <c r="H188" s="8"/>
      <c r="I188" s="21">
        <v>97.0</v>
      </c>
      <c r="J188" s="208" t="s">
        <v>5424</v>
      </c>
      <c r="K188" s="8" t="s">
        <v>1419</v>
      </c>
      <c r="L188" s="8" t="s">
        <v>26</v>
      </c>
      <c r="M188" s="8" t="s">
        <v>71</v>
      </c>
      <c r="N188" s="8" t="s">
        <v>28</v>
      </c>
      <c r="O188" s="97">
        <v>1164.0</v>
      </c>
      <c r="P188" s="97">
        <v>1374.0</v>
      </c>
      <c r="Q188" s="5">
        <v>40.0</v>
      </c>
      <c r="R188" s="31">
        <f t="shared" si="5"/>
        <v>465.6</v>
      </c>
    </row>
    <row r="189">
      <c r="B189" s="131" t="s">
        <v>8035</v>
      </c>
      <c r="C189" s="8" t="s">
        <v>11581</v>
      </c>
      <c r="D189" s="131" t="s">
        <v>966</v>
      </c>
      <c r="E189" s="8" t="s">
        <v>8464</v>
      </c>
      <c r="F189" s="8" t="s">
        <v>11582</v>
      </c>
      <c r="G189" s="8"/>
      <c r="H189" s="8"/>
      <c r="I189" s="21">
        <v>1196.0</v>
      </c>
      <c r="J189" s="22">
        <v>45819.0</v>
      </c>
      <c r="K189" s="131" t="s">
        <v>78</v>
      </c>
      <c r="L189" s="8" t="s">
        <v>26</v>
      </c>
      <c r="M189" s="8" t="s">
        <v>71</v>
      </c>
      <c r="N189" s="8" t="s">
        <v>28</v>
      </c>
      <c r="O189" s="21">
        <v>4101.0</v>
      </c>
      <c r="P189" s="21">
        <v>4839.0</v>
      </c>
      <c r="Q189" s="5">
        <v>37.0</v>
      </c>
      <c r="R189" s="31">
        <f t="shared" si="5"/>
        <v>1517.37</v>
      </c>
    </row>
    <row r="190">
      <c r="B190" s="131" t="s">
        <v>8035</v>
      </c>
      <c r="C190" s="8" t="s">
        <v>11583</v>
      </c>
      <c r="D190" s="131" t="s">
        <v>966</v>
      </c>
      <c r="E190" s="8" t="s">
        <v>11584</v>
      </c>
      <c r="F190" s="8" t="s">
        <v>11585</v>
      </c>
      <c r="G190" s="8"/>
      <c r="H190" s="8"/>
      <c r="I190" s="21">
        <v>1086.0</v>
      </c>
      <c r="J190" s="21" t="s">
        <v>5424</v>
      </c>
      <c r="K190" s="8" t="s">
        <v>78</v>
      </c>
      <c r="L190" s="8" t="s">
        <v>26</v>
      </c>
      <c r="M190" s="8" t="s">
        <v>27</v>
      </c>
      <c r="N190" s="8" t="s">
        <v>28</v>
      </c>
      <c r="O190" s="21">
        <v>4101.0</v>
      </c>
      <c r="P190" s="21">
        <v>4839.0</v>
      </c>
      <c r="Q190" s="5">
        <v>37.0</v>
      </c>
      <c r="R190" s="31">
        <f t="shared" si="5"/>
        <v>1517.37</v>
      </c>
    </row>
    <row r="191">
      <c r="A191" s="6" t="s">
        <v>8469</v>
      </c>
    </row>
    <row r="193">
      <c r="B193" s="657" t="s">
        <v>11586</v>
      </c>
    </row>
    <row r="194">
      <c r="B194" s="632"/>
      <c r="C194" s="58"/>
      <c r="D194" s="58"/>
      <c r="E194" s="58"/>
      <c r="F194" s="58"/>
      <c r="G194" s="58"/>
      <c r="H194" s="58"/>
      <c r="I194" s="58"/>
      <c r="J194" s="91"/>
      <c r="K194" s="58"/>
      <c r="L194" s="58"/>
      <c r="M194" s="58"/>
      <c r="N194" s="58"/>
      <c r="O194" s="88"/>
      <c r="P194" s="88"/>
    </row>
    <row r="195">
      <c r="B195" s="232">
        <v>45393.0</v>
      </c>
      <c r="C195" s="8" t="s">
        <v>11587</v>
      </c>
      <c r="D195" s="8" t="s">
        <v>60</v>
      </c>
      <c r="E195" s="8" t="s">
        <v>11588</v>
      </c>
      <c r="F195" s="8" t="s">
        <v>11589</v>
      </c>
      <c r="G195" s="8"/>
      <c r="H195" s="8"/>
      <c r="I195" s="8"/>
      <c r="J195" s="22">
        <v>45788.0</v>
      </c>
      <c r="K195" s="8" t="s">
        <v>677</v>
      </c>
      <c r="L195" s="8" t="s">
        <v>49</v>
      </c>
      <c r="M195" s="8" t="s">
        <v>27</v>
      </c>
      <c r="N195" s="8" t="s">
        <v>28</v>
      </c>
      <c r="O195" s="21">
        <v>1104.0</v>
      </c>
      <c r="P195" s="21">
        <v>1302.72</v>
      </c>
      <c r="Q195" s="6">
        <v>50.0</v>
      </c>
      <c r="R195" s="31">
        <f t="shared" ref="R195:R221" si="6">O195*Q195%</f>
        <v>552</v>
      </c>
    </row>
    <row r="196">
      <c r="B196" s="232">
        <v>45393.0</v>
      </c>
      <c r="C196" s="8" t="s">
        <v>11590</v>
      </c>
      <c r="D196" s="8" t="s">
        <v>60</v>
      </c>
      <c r="E196" s="8" t="s">
        <v>11591</v>
      </c>
      <c r="F196" s="8" t="s">
        <v>11592</v>
      </c>
      <c r="G196" s="8">
        <v>9.71444868E9</v>
      </c>
      <c r="H196" s="8"/>
      <c r="I196" s="21">
        <v>100.0</v>
      </c>
      <c r="J196" s="22">
        <v>45758.0</v>
      </c>
      <c r="K196" s="8" t="s">
        <v>1419</v>
      </c>
      <c r="L196" s="8" t="s">
        <v>26</v>
      </c>
      <c r="M196" s="8" t="s">
        <v>27</v>
      </c>
      <c r="N196" s="8" t="s">
        <v>28</v>
      </c>
      <c r="O196" s="21">
        <v>714.0</v>
      </c>
      <c r="P196" s="21">
        <v>842.0</v>
      </c>
      <c r="Q196" s="6">
        <v>40.0</v>
      </c>
      <c r="R196" s="31">
        <f t="shared" si="6"/>
        <v>285.6</v>
      </c>
    </row>
    <row r="197">
      <c r="B197" s="232">
        <v>45423.0</v>
      </c>
      <c r="C197" s="8" t="s">
        <v>11593</v>
      </c>
      <c r="D197" s="8" t="s">
        <v>60</v>
      </c>
      <c r="E197" s="8" t="s">
        <v>11487</v>
      </c>
      <c r="F197" s="8" t="s">
        <v>11594</v>
      </c>
      <c r="G197" s="8"/>
      <c r="H197" s="8"/>
      <c r="I197" s="21">
        <v>97.0</v>
      </c>
      <c r="J197" s="22">
        <v>45788.0</v>
      </c>
      <c r="K197" s="8" t="s">
        <v>1419</v>
      </c>
      <c r="L197" s="8" t="s">
        <v>26</v>
      </c>
      <c r="M197" s="8" t="s">
        <v>27</v>
      </c>
      <c r="N197" s="8" t="s">
        <v>28</v>
      </c>
      <c r="O197" s="21">
        <v>714.0</v>
      </c>
      <c r="P197" s="21">
        <v>842.0</v>
      </c>
      <c r="Q197" s="6">
        <v>35.0</v>
      </c>
      <c r="R197" s="31">
        <f t="shared" si="6"/>
        <v>249.9</v>
      </c>
    </row>
    <row r="198">
      <c r="B198" s="232">
        <v>45423.0</v>
      </c>
      <c r="C198" s="8" t="s">
        <v>11595</v>
      </c>
      <c r="D198" s="8" t="s">
        <v>966</v>
      </c>
      <c r="E198" s="8" t="s">
        <v>11596</v>
      </c>
      <c r="F198" s="8" t="s">
        <v>11597</v>
      </c>
      <c r="G198" s="8"/>
      <c r="H198" s="8"/>
      <c r="I198" s="21">
        <v>1956.0</v>
      </c>
      <c r="J198" s="22">
        <v>45758.0</v>
      </c>
      <c r="K198" s="8" t="s">
        <v>78</v>
      </c>
      <c r="L198" s="8" t="s">
        <v>49</v>
      </c>
      <c r="M198" s="8" t="s">
        <v>27</v>
      </c>
      <c r="N198" s="8" t="s">
        <v>28</v>
      </c>
      <c r="O198" s="21">
        <v>20664.0</v>
      </c>
      <c r="P198" s="21">
        <v>24384.0</v>
      </c>
      <c r="Q198" s="6">
        <v>37.0</v>
      </c>
      <c r="R198" s="31">
        <f t="shared" si="6"/>
        <v>7645.68</v>
      </c>
    </row>
    <row r="199">
      <c r="B199" s="232">
        <v>45454.0</v>
      </c>
      <c r="C199" s="8" t="s">
        <v>11598</v>
      </c>
      <c r="D199" s="8" t="s">
        <v>966</v>
      </c>
      <c r="E199" s="8" t="s">
        <v>11193</v>
      </c>
      <c r="F199" s="8" t="s">
        <v>11599</v>
      </c>
      <c r="G199" s="8">
        <v>7.9905069E9</v>
      </c>
      <c r="H199" s="8"/>
      <c r="I199" s="21">
        <v>796.0</v>
      </c>
      <c r="J199" s="22">
        <v>45788.0</v>
      </c>
      <c r="K199" s="8" t="s">
        <v>78</v>
      </c>
      <c r="L199" s="8" t="s">
        <v>26</v>
      </c>
      <c r="M199" s="8" t="s">
        <v>27</v>
      </c>
      <c r="N199" s="8" t="s">
        <v>28</v>
      </c>
      <c r="O199" s="21">
        <v>2419.0</v>
      </c>
      <c r="P199" s="21">
        <v>2854.0</v>
      </c>
      <c r="Q199" s="6">
        <v>37.0</v>
      </c>
      <c r="R199" s="31">
        <f t="shared" si="6"/>
        <v>895.03</v>
      </c>
    </row>
    <row r="200">
      <c r="B200" s="232">
        <v>45515.0</v>
      </c>
      <c r="C200" s="8" t="s">
        <v>11600</v>
      </c>
      <c r="D200" s="8" t="s">
        <v>966</v>
      </c>
      <c r="E200" s="8" t="s">
        <v>11548</v>
      </c>
      <c r="F200" s="8" t="s">
        <v>11601</v>
      </c>
      <c r="G200" s="8">
        <v>9.016570832E9</v>
      </c>
      <c r="H200" s="8"/>
      <c r="I200" s="21">
        <v>1493.0</v>
      </c>
      <c r="J200" s="22">
        <v>45849.0</v>
      </c>
      <c r="K200" s="8" t="s">
        <v>1419</v>
      </c>
      <c r="L200" s="8" t="s">
        <v>26</v>
      </c>
      <c r="M200" s="8" t="s">
        <v>71</v>
      </c>
      <c r="N200" s="8" t="s">
        <v>28</v>
      </c>
      <c r="O200" s="97">
        <v>3466.0</v>
      </c>
      <c r="P200" s="97">
        <v>4090.0</v>
      </c>
      <c r="Q200" s="6">
        <v>30.0</v>
      </c>
      <c r="R200" s="31">
        <f t="shared" si="6"/>
        <v>1039.8</v>
      </c>
    </row>
    <row r="201">
      <c r="B201" s="232">
        <v>45515.0</v>
      </c>
      <c r="C201" s="8" t="s">
        <v>11602</v>
      </c>
      <c r="D201" s="8" t="s">
        <v>60</v>
      </c>
      <c r="E201" s="8" t="s">
        <v>11603</v>
      </c>
      <c r="F201" s="8" t="s">
        <v>3399</v>
      </c>
      <c r="G201" s="8"/>
      <c r="H201" s="8"/>
      <c r="I201" s="21">
        <v>125.0</v>
      </c>
      <c r="J201" s="22">
        <v>45849.0</v>
      </c>
      <c r="K201" s="8" t="s">
        <v>677</v>
      </c>
      <c r="L201" s="8" t="s">
        <v>26</v>
      </c>
      <c r="M201" s="8" t="s">
        <v>27</v>
      </c>
      <c r="N201" s="8" t="s">
        <v>28</v>
      </c>
      <c r="O201" s="21">
        <v>714.0</v>
      </c>
      <c r="P201" s="21">
        <v>842.52</v>
      </c>
      <c r="Q201" s="6">
        <v>50.0</v>
      </c>
      <c r="R201" s="31">
        <f t="shared" si="6"/>
        <v>357</v>
      </c>
    </row>
    <row r="202">
      <c r="B202" s="659">
        <v>45637.0</v>
      </c>
      <c r="C202" s="8" t="s">
        <v>11604</v>
      </c>
      <c r="D202" s="8" t="s">
        <v>966</v>
      </c>
      <c r="E202" s="8" t="s">
        <v>11605</v>
      </c>
      <c r="F202" s="8" t="s">
        <v>11606</v>
      </c>
      <c r="G202" s="8">
        <v>9.82573984E9</v>
      </c>
      <c r="H202" s="8"/>
      <c r="I202" s="21">
        <v>1582.0</v>
      </c>
      <c r="J202" s="249">
        <v>45972.0</v>
      </c>
      <c r="K202" s="131" t="s">
        <v>78</v>
      </c>
      <c r="L202" s="8" t="s">
        <v>26</v>
      </c>
      <c r="M202" s="8" t="s">
        <v>27</v>
      </c>
      <c r="N202" s="8" t="s">
        <v>28</v>
      </c>
      <c r="O202" s="21">
        <v>7997.0</v>
      </c>
      <c r="P202" s="21">
        <v>9436.0</v>
      </c>
      <c r="Q202" s="6">
        <v>37.0</v>
      </c>
      <c r="R202" s="31">
        <f t="shared" si="6"/>
        <v>2958.89</v>
      </c>
    </row>
    <row r="203">
      <c r="B203" s="659">
        <v>45637.0</v>
      </c>
      <c r="C203" s="8" t="s">
        <v>11607</v>
      </c>
      <c r="D203" s="8" t="s">
        <v>966</v>
      </c>
      <c r="E203" s="8" t="s">
        <v>11608</v>
      </c>
      <c r="F203" s="8" t="s">
        <v>11609</v>
      </c>
      <c r="G203" s="8">
        <v>9.099339853E9</v>
      </c>
      <c r="H203" s="8"/>
      <c r="I203" s="21">
        <v>998.0</v>
      </c>
      <c r="J203" s="249">
        <v>45972.0</v>
      </c>
      <c r="K203" s="131" t="s">
        <v>78</v>
      </c>
      <c r="L203" s="8" t="s">
        <v>49</v>
      </c>
      <c r="M203" s="8" t="s">
        <v>27</v>
      </c>
      <c r="N203" s="8" t="s">
        <v>28</v>
      </c>
      <c r="O203" s="21">
        <v>2254.0</v>
      </c>
      <c r="P203" s="21">
        <v>2660.0</v>
      </c>
      <c r="Q203" s="6">
        <v>37.0</v>
      </c>
      <c r="R203" s="31">
        <f t="shared" si="6"/>
        <v>833.98</v>
      </c>
    </row>
    <row r="204">
      <c r="B204" s="659">
        <v>45637.0</v>
      </c>
      <c r="C204" s="8" t="s">
        <v>11610</v>
      </c>
      <c r="D204" s="8" t="s">
        <v>60</v>
      </c>
      <c r="E204" s="8" t="s">
        <v>11164</v>
      </c>
      <c r="F204" s="8" t="s">
        <v>11611</v>
      </c>
      <c r="G204" s="8">
        <v>9.714724797E9</v>
      </c>
      <c r="H204" s="8"/>
      <c r="I204" s="8"/>
      <c r="J204" s="249">
        <v>46002.0</v>
      </c>
      <c r="K204" s="8" t="s">
        <v>1419</v>
      </c>
      <c r="L204" s="8" t="s">
        <v>26</v>
      </c>
      <c r="M204" s="8" t="s">
        <v>27</v>
      </c>
      <c r="N204" s="8" t="s">
        <v>28</v>
      </c>
      <c r="O204" s="21">
        <v>714.0</v>
      </c>
      <c r="P204" s="21">
        <v>842.0</v>
      </c>
      <c r="Q204" s="6">
        <v>50.0</v>
      </c>
      <c r="R204" s="31">
        <f t="shared" si="6"/>
        <v>357</v>
      </c>
    </row>
    <row r="205">
      <c r="B205" s="131" t="s">
        <v>10786</v>
      </c>
      <c r="C205" s="8" t="s">
        <v>11612</v>
      </c>
      <c r="D205" s="131" t="s">
        <v>966</v>
      </c>
      <c r="E205" s="8" t="s">
        <v>11613</v>
      </c>
      <c r="F205" s="8" t="s">
        <v>11614</v>
      </c>
      <c r="G205" s="8"/>
      <c r="H205" s="8"/>
      <c r="I205" s="21">
        <v>1461.0</v>
      </c>
      <c r="J205" s="21" t="s">
        <v>5559</v>
      </c>
      <c r="K205" s="8" t="s">
        <v>11615</v>
      </c>
      <c r="L205" s="8" t="s">
        <v>26</v>
      </c>
      <c r="M205" s="8" t="s">
        <v>27</v>
      </c>
      <c r="N205" s="8" t="s">
        <v>28</v>
      </c>
      <c r="O205" s="97">
        <v>3466.0</v>
      </c>
      <c r="P205" s="97">
        <v>4090.0</v>
      </c>
      <c r="Q205" s="6">
        <v>28.0</v>
      </c>
      <c r="R205" s="31">
        <f t="shared" si="6"/>
        <v>970.48</v>
      </c>
    </row>
    <row r="206">
      <c r="B206" s="131" t="s">
        <v>10786</v>
      </c>
      <c r="C206" s="8" t="s">
        <v>11616</v>
      </c>
      <c r="D206" s="8" t="s">
        <v>60</v>
      </c>
      <c r="E206" s="8" t="s">
        <v>11617</v>
      </c>
      <c r="F206" s="8" t="s">
        <v>11618</v>
      </c>
      <c r="G206" s="8"/>
      <c r="H206" s="8"/>
      <c r="I206" s="21">
        <v>100.0</v>
      </c>
      <c r="J206" s="21" t="s">
        <v>11619</v>
      </c>
      <c r="K206" s="8" t="s">
        <v>65</v>
      </c>
      <c r="L206" s="8" t="s">
        <v>26</v>
      </c>
      <c r="M206" s="8" t="s">
        <v>27</v>
      </c>
      <c r="N206" s="8" t="s">
        <v>28</v>
      </c>
      <c r="O206" s="21">
        <v>714.0</v>
      </c>
      <c r="P206" s="21">
        <v>843.0</v>
      </c>
      <c r="Q206" s="6">
        <v>35.0</v>
      </c>
      <c r="R206" s="31">
        <f t="shared" si="6"/>
        <v>249.9</v>
      </c>
    </row>
    <row r="207">
      <c r="B207" s="131" t="s">
        <v>10786</v>
      </c>
      <c r="C207" s="8" t="s">
        <v>11620</v>
      </c>
      <c r="D207" s="131" t="s">
        <v>966</v>
      </c>
      <c r="E207" s="8" t="s">
        <v>11621</v>
      </c>
      <c r="F207" s="8" t="s">
        <v>11622</v>
      </c>
      <c r="G207" s="8">
        <v>9.067216486E9</v>
      </c>
      <c r="H207" s="8"/>
      <c r="I207" s="21">
        <v>1498.0</v>
      </c>
      <c r="J207" s="21" t="s">
        <v>5551</v>
      </c>
      <c r="K207" s="8" t="s">
        <v>78</v>
      </c>
      <c r="L207" s="8" t="s">
        <v>26</v>
      </c>
      <c r="M207" s="8" t="s">
        <v>27</v>
      </c>
      <c r="N207" s="8" t="s">
        <v>28</v>
      </c>
      <c r="O207" s="21">
        <v>3466.0</v>
      </c>
      <c r="P207" s="21">
        <v>4090.0</v>
      </c>
      <c r="Q207" s="6">
        <v>37.0</v>
      </c>
      <c r="R207" s="31">
        <f t="shared" si="6"/>
        <v>1282.42</v>
      </c>
    </row>
    <row r="208">
      <c r="B208" s="8" t="s">
        <v>10786</v>
      </c>
      <c r="C208" s="8" t="s">
        <v>11623</v>
      </c>
      <c r="D208" s="8" t="s">
        <v>60</v>
      </c>
      <c r="E208" s="8" t="s">
        <v>11624</v>
      </c>
      <c r="F208" s="8" t="s">
        <v>11625</v>
      </c>
      <c r="G208" s="8">
        <v>9.909502121E9</v>
      </c>
      <c r="H208" s="8"/>
      <c r="I208" s="8"/>
      <c r="J208" s="21" t="s">
        <v>5559</v>
      </c>
      <c r="K208" s="8" t="s">
        <v>1419</v>
      </c>
      <c r="L208" s="8" t="s">
        <v>26</v>
      </c>
      <c r="M208" s="8" t="s">
        <v>27</v>
      </c>
      <c r="N208" s="8" t="s">
        <v>28</v>
      </c>
      <c r="O208" s="21">
        <v>714.0</v>
      </c>
      <c r="P208" s="21">
        <v>842.0</v>
      </c>
      <c r="Q208" s="6">
        <v>35.0</v>
      </c>
      <c r="R208" s="31">
        <f t="shared" si="6"/>
        <v>249.9</v>
      </c>
    </row>
    <row r="209">
      <c r="B209" s="8" t="s">
        <v>8056</v>
      </c>
      <c r="C209" s="8" t="s">
        <v>11626</v>
      </c>
      <c r="D209" s="8" t="s">
        <v>966</v>
      </c>
      <c r="E209" s="8" t="s">
        <v>8464</v>
      </c>
      <c r="F209" s="8" t="s">
        <v>11627</v>
      </c>
      <c r="G209" s="8">
        <v>9.978860945E9</v>
      </c>
      <c r="H209" s="8"/>
      <c r="I209" s="21">
        <v>1196.0</v>
      </c>
      <c r="J209" s="21" t="s">
        <v>5559</v>
      </c>
      <c r="K209" s="8" t="s">
        <v>78</v>
      </c>
      <c r="L209" s="8" t="s">
        <v>26</v>
      </c>
      <c r="M209" s="8" t="s">
        <v>27</v>
      </c>
      <c r="N209" s="8" t="s">
        <v>28</v>
      </c>
      <c r="O209" s="21">
        <v>3851.0</v>
      </c>
      <c r="P209" s="21">
        <v>4544.0</v>
      </c>
      <c r="Q209" s="6">
        <v>37.0</v>
      </c>
      <c r="R209" s="31">
        <f t="shared" si="6"/>
        <v>1424.87</v>
      </c>
    </row>
    <row r="210">
      <c r="B210" s="8" t="s">
        <v>8111</v>
      </c>
      <c r="C210" s="8" t="s">
        <v>11628</v>
      </c>
      <c r="D210" s="8" t="s">
        <v>60</v>
      </c>
      <c r="E210" s="8" t="s">
        <v>671</v>
      </c>
      <c r="F210" s="8" t="s">
        <v>11629</v>
      </c>
      <c r="G210" s="8">
        <v>8.141152323E9</v>
      </c>
      <c r="H210" s="8"/>
      <c r="I210" s="8"/>
      <c r="J210" s="21" t="s">
        <v>5573</v>
      </c>
      <c r="K210" s="8" t="s">
        <v>1419</v>
      </c>
      <c r="L210" s="8" t="s">
        <v>26</v>
      </c>
      <c r="M210" s="8" t="s">
        <v>27</v>
      </c>
      <c r="N210" s="8" t="s">
        <v>28</v>
      </c>
      <c r="O210" s="21">
        <v>714.0</v>
      </c>
      <c r="P210" s="21">
        <v>842.0</v>
      </c>
      <c r="Q210" s="6">
        <v>40.0</v>
      </c>
      <c r="R210" s="31">
        <f t="shared" si="6"/>
        <v>285.6</v>
      </c>
    </row>
    <row r="211">
      <c r="B211" s="8" t="s">
        <v>8123</v>
      </c>
      <c r="C211" s="8" t="s">
        <v>11630</v>
      </c>
      <c r="D211" s="8" t="s">
        <v>966</v>
      </c>
      <c r="E211" s="8" t="s">
        <v>11631</v>
      </c>
      <c r="F211" s="8" t="s">
        <v>11632</v>
      </c>
      <c r="G211" s="8" t="s">
        <v>7965</v>
      </c>
      <c r="H211" s="8"/>
      <c r="I211" s="21">
        <v>796.0</v>
      </c>
      <c r="J211" s="21" t="s">
        <v>5705</v>
      </c>
      <c r="K211" s="8" t="s">
        <v>1419</v>
      </c>
      <c r="L211" s="8" t="s">
        <v>49</v>
      </c>
      <c r="M211" s="8" t="s">
        <v>71</v>
      </c>
      <c r="N211" s="8" t="s">
        <v>28</v>
      </c>
      <c r="O211" s="97">
        <v>3497.0</v>
      </c>
      <c r="P211" s="97">
        <v>4127.0</v>
      </c>
      <c r="Q211" s="6">
        <v>35.0</v>
      </c>
      <c r="R211" s="31">
        <f t="shared" si="6"/>
        <v>1223.95</v>
      </c>
    </row>
    <row r="212">
      <c r="B212" s="131" t="s">
        <v>8212</v>
      </c>
      <c r="C212" s="8" t="s">
        <v>11633</v>
      </c>
      <c r="D212" s="8" t="s">
        <v>60</v>
      </c>
      <c r="E212" s="8" t="s">
        <v>11456</v>
      </c>
      <c r="F212" s="8" t="s">
        <v>11634</v>
      </c>
      <c r="G212" s="8" t="s">
        <v>11635</v>
      </c>
      <c r="H212" s="8"/>
      <c r="I212" s="8"/>
      <c r="J212" s="208" t="s">
        <v>5661</v>
      </c>
      <c r="K212" s="131" t="s">
        <v>1419</v>
      </c>
      <c r="L212" s="8" t="s">
        <v>26</v>
      </c>
      <c r="M212" s="8" t="s">
        <v>27</v>
      </c>
      <c r="N212" s="8" t="s">
        <v>28</v>
      </c>
      <c r="O212" s="21">
        <v>714.0</v>
      </c>
      <c r="P212" s="21">
        <v>842.0</v>
      </c>
      <c r="Q212" s="6">
        <v>40.0</v>
      </c>
      <c r="R212" s="31">
        <f t="shared" si="6"/>
        <v>285.6</v>
      </c>
    </row>
    <row r="213">
      <c r="B213" s="131" t="s">
        <v>8212</v>
      </c>
      <c r="C213" s="131" t="s">
        <v>11636</v>
      </c>
      <c r="D213" s="131" t="s">
        <v>60</v>
      </c>
      <c r="E213" s="8" t="s">
        <v>11637</v>
      </c>
      <c r="F213" s="8" t="s">
        <v>11638</v>
      </c>
      <c r="G213" s="8">
        <v>9.662294999E9</v>
      </c>
      <c r="H213" s="8"/>
      <c r="I213" s="21">
        <v>149.0</v>
      </c>
      <c r="J213" s="208" t="s">
        <v>5673</v>
      </c>
      <c r="K213" s="131" t="s">
        <v>1419</v>
      </c>
      <c r="L213" s="8" t="s">
        <v>26</v>
      </c>
      <c r="M213" s="8" t="s">
        <v>27</v>
      </c>
      <c r="N213" s="8" t="s">
        <v>28</v>
      </c>
      <c r="O213" s="21">
        <v>714.0</v>
      </c>
      <c r="P213" s="21">
        <v>842.0</v>
      </c>
      <c r="Q213" s="6">
        <v>40.0</v>
      </c>
      <c r="R213" s="31">
        <f t="shared" si="6"/>
        <v>285.6</v>
      </c>
    </row>
    <row r="214">
      <c r="B214" s="131" t="s">
        <v>8222</v>
      </c>
      <c r="C214" s="8" t="s">
        <v>11639</v>
      </c>
      <c r="D214" s="8" t="s">
        <v>966</v>
      </c>
      <c r="E214" s="8" t="s">
        <v>11640</v>
      </c>
      <c r="F214" s="8" t="s">
        <v>11641</v>
      </c>
      <c r="G214" s="131" t="s">
        <v>11642</v>
      </c>
      <c r="H214" s="8"/>
      <c r="I214" s="21">
        <v>796.0</v>
      </c>
      <c r="J214" s="21" t="s">
        <v>5705</v>
      </c>
      <c r="K214" s="8" t="s">
        <v>78</v>
      </c>
      <c r="L214" s="8" t="s">
        <v>26</v>
      </c>
      <c r="M214" s="8" t="s">
        <v>71</v>
      </c>
      <c r="N214" s="8" t="s">
        <v>28</v>
      </c>
      <c r="O214" s="21">
        <v>2154.0</v>
      </c>
      <c r="P214" s="21">
        <v>2542.0</v>
      </c>
      <c r="Q214" s="6">
        <v>37.0</v>
      </c>
      <c r="R214" s="31">
        <f t="shared" si="6"/>
        <v>796.98</v>
      </c>
    </row>
    <row r="215">
      <c r="B215" s="131" t="s">
        <v>8222</v>
      </c>
      <c r="C215" s="8" t="s">
        <v>11643</v>
      </c>
      <c r="D215" s="131" t="s">
        <v>60</v>
      </c>
      <c r="E215" s="8" t="s">
        <v>11164</v>
      </c>
      <c r="F215" s="8" t="s">
        <v>11644</v>
      </c>
      <c r="G215" s="8" t="s">
        <v>11645</v>
      </c>
      <c r="H215" s="8"/>
      <c r="I215" s="8"/>
      <c r="J215" s="208" t="s">
        <v>5705</v>
      </c>
      <c r="K215" s="131" t="s">
        <v>1419</v>
      </c>
      <c r="L215" s="8" t="s">
        <v>26</v>
      </c>
      <c r="M215" s="8" t="s">
        <v>27</v>
      </c>
      <c r="N215" s="8" t="s">
        <v>28</v>
      </c>
      <c r="O215" s="208">
        <v>714.0</v>
      </c>
      <c r="P215" s="208">
        <v>842.0</v>
      </c>
      <c r="Q215" s="6">
        <v>50.0</v>
      </c>
      <c r="R215" s="31">
        <f t="shared" si="6"/>
        <v>357</v>
      </c>
    </row>
    <row r="216">
      <c r="B216" s="131" t="s">
        <v>8199</v>
      </c>
      <c r="C216" s="8" t="s">
        <v>11646</v>
      </c>
      <c r="D216" s="131" t="s">
        <v>966</v>
      </c>
      <c r="E216" s="8" t="s">
        <v>8464</v>
      </c>
      <c r="F216" s="8" t="s">
        <v>11647</v>
      </c>
      <c r="G216" s="131" t="s">
        <v>11648</v>
      </c>
      <c r="H216" s="8"/>
      <c r="I216" s="21">
        <v>1196.0</v>
      </c>
      <c r="J216" s="21" t="s">
        <v>5705</v>
      </c>
      <c r="K216" s="131" t="s">
        <v>78</v>
      </c>
      <c r="L216" s="8" t="s">
        <v>26</v>
      </c>
      <c r="M216" s="8" t="s">
        <v>71</v>
      </c>
      <c r="N216" s="8" t="s">
        <v>28</v>
      </c>
      <c r="O216" s="21">
        <v>3851.0</v>
      </c>
      <c r="P216" s="21">
        <v>4544.0</v>
      </c>
      <c r="Q216" s="6">
        <v>37.0</v>
      </c>
      <c r="R216" s="31">
        <f t="shared" si="6"/>
        <v>1424.87</v>
      </c>
    </row>
    <row r="217">
      <c r="B217" s="131" t="s">
        <v>8231</v>
      </c>
      <c r="C217" s="8" t="s">
        <v>11649</v>
      </c>
      <c r="D217" s="8" t="s">
        <v>60</v>
      </c>
      <c r="E217" s="8" t="s">
        <v>11487</v>
      </c>
      <c r="F217" s="8" t="s">
        <v>11650</v>
      </c>
      <c r="G217" s="131" t="s">
        <v>11651</v>
      </c>
      <c r="H217" s="8"/>
      <c r="I217" s="8"/>
      <c r="J217" s="21" t="s">
        <v>1912</v>
      </c>
      <c r="K217" s="131" t="s">
        <v>1419</v>
      </c>
      <c r="L217" s="8" t="s">
        <v>26</v>
      </c>
      <c r="M217" s="8" t="s">
        <v>71</v>
      </c>
      <c r="N217" s="8" t="s">
        <v>28</v>
      </c>
      <c r="O217" s="21">
        <v>714.0</v>
      </c>
      <c r="P217" s="21">
        <v>842.0</v>
      </c>
      <c r="Q217" s="6">
        <v>40.0</v>
      </c>
      <c r="R217" s="31">
        <f t="shared" si="6"/>
        <v>285.6</v>
      </c>
    </row>
    <row r="218">
      <c r="B218" s="131" t="s">
        <v>8231</v>
      </c>
      <c r="C218" s="131" t="s">
        <v>11652</v>
      </c>
      <c r="D218" s="131" t="s">
        <v>966</v>
      </c>
      <c r="E218" s="8" t="s">
        <v>8464</v>
      </c>
      <c r="F218" s="8" t="s">
        <v>11653</v>
      </c>
      <c r="G218" s="8">
        <v>6.353227517E9</v>
      </c>
      <c r="H218" s="8"/>
      <c r="I218" s="21">
        <v>1196.0</v>
      </c>
      <c r="J218" s="21" t="s">
        <v>5742</v>
      </c>
      <c r="K218" s="8" t="s">
        <v>78</v>
      </c>
      <c r="L218" s="8" t="s">
        <v>26</v>
      </c>
      <c r="M218" s="8" t="s">
        <v>27</v>
      </c>
      <c r="N218" s="8" t="s">
        <v>28</v>
      </c>
      <c r="O218" s="21">
        <v>3476.0</v>
      </c>
      <c r="P218" s="21">
        <v>4102.0</v>
      </c>
      <c r="Q218" s="6">
        <v>37.0</v>
      </c>
      <c r="R218" s="31">
        <f t="shared" si="6"/>
        <v>1286.12</v>
      </c>
    </row>
    <row r="219">
      <c r="B219" s="131" t="s">
        <v>8231</v>
      </c>
      <c r="C219" s="660" t="s">
        <v>11654</v>
      </c>
      <c r="D219" s="131" t="s">
        <v>966</v>
      </c>
      <c r="E219" s="8" t="s">
        <v>11655</v>
      </c>
      <c r="F219" s="8" t="s">
        <v>11656</v>
      </c>
      <c r="G219" s="8"/>
      <c r="H219" s="8"/>
      <c r="I219" s="21">
        <v>1248.0</v>
      </c>
      <c r="J219" s="21" t="s">
        <v>5748</v>
      </c>
      <c r="K219" s="131" t="s">
        <v>78</v>
      </c>
      <c r="L219" s="8" t="s">
        <v>26</v>
      </c>
      <c r="M219" s="8" t="s">
        <v>27</v>
      </c>
      <c r="N219" s="8" t="s">
        <v>28</v>
      </c>
      <c r="O219" s="21">
        <v>3416.0</v>
      </c>
      <c r="P219" s="21">
        <v>4031.0</v>
      </c>
      <c r="Q219" s="6">
        <v>37.0</v>
      </c>
      <c r="R219" s="31">
        <f t="shared" si="6"/>
        <v>1263.92</v>
      </c>
    </row>
    <row r="220">
      <c r="B220" s="131" t="s">
        <v>8231</v>
      </c>
      <c r="C220" s="131" t="s">
        <v>11657</v>
      </c>
      <c r="D220" s="131" t="s">
        <v>966</v>
      </c>
      <c r="E220" s="8" t="s">
        <v>8464</v>
      </c>
      <c r="F220" s="8" t="s">
        <v>11658</v>
      </c>
      <c r="G220" s="8">
        <v>9.71408091E9</v>
      </c>
      <c r="H220" s="8"/>
      <c r="I220" s="21">
        <v>1196.0</v>
      </c>
      <c r="J220" s="21" t="s">
        <v>5748</v>
      </c>
      <c r="K220" s="131" t="s">
        <v>78</v>
      </c>
      <c r="L220" s="8" t="s">
        <v>26</v>
      </c>
      <c r="M220" s="8" t="s">
        <v>27</v>
      </c>
      <c r="N220" s="8" t="s">
        <v>28</v>
      </c>
      <c r="O220" s="21">
        <v>3476.0</v>
      </c>
      <c r="P220" s="21">
        <v>4102.0</v>
      </c>
      <c r="Q220" s="6">
        <v>37.0</v>
      </c>
      <c r="R220" s="31">
        <f t="shared" si="6"/>
        <v>1286.12</v>
      </c>
    </row>
    <row r="221">
      <c r="B221" s="131" t="s">
        <v>8231</v>
      </c>
      <c r="C221" s="660" t="s">
        <v>11659</v>
      </c>
      <c r="D221" s="131" t="s">
        <v>966</v>
      </c>
      <c r="E221" s="8" t="s">
        <v>11660</v>
      </c>
      <c r="F221" s="8" t="s">
        <v>11661</v>
      </c>
      <c r="G221" s="8"/>
      <c r="H221" s="8"/>
      <c r="I221" s="21">
        <v>1399.0</v>
      </c>
      <c r="J221" s="21" t="s">
        <v>5748</v>
      </c>
      <c r="K221" s="131" t="s">
        <v>78</v>
      </c>
      <c r="L221" s="8" t="s">
        <v>26</v>
      </c>
      <c r="M221" s="8" t="s">
        <v>27</v>
      </c>
      <c r="N221" s="8" t="s">
        <v>28</v>
      </c>
      <c r="O221" s="21">
        <v>3416.0</v>
      </c>
      <c r="P221" s="21">
        <v>4031.0</v>
      </c>
      <c r="Q221" s="6">
        <v>37.0</v>
      </c>
      <c r="R221" s="31">
        <f t="shared" si="6"/>
        <v>1263.92</v>
      </c>
    </row>
    <row r="224">
      <c r="B224" s="232">
        <v>45363.0</v>
      </c>
      <c r="C224" s="8" t="s">
        <v>11662</v>
      </c>
      <c r="D224" s="8" t="s">
        <v>60</v>
      </c>
      <c r="E224" s="8" t="s">
        <v>11663</v>
      </c>
      <c r="F224" s="8" t="s">
        <v>11664</v>
      </c>
      <c r="G224" s="8">
        <v>9.72333141E9</v>
      </c>
      <c r="H224" s="8"/>
      <c r="I224" s="21">
        <v>200.0</v>
      </c>
      <c r="J224" s="223">
        <v>45728.0</v>
      </c>
      <c r="K224" s="8" t="s">
        <v>65</v>
      </c>
      <c r="L224" s="8" t="s">
        <v>26</v>
      </c>
      <c r="M224" s="8" t="s">
        <v>27</v>
      </c>
      <c r="N224" s="8" t="s">
        <v>28</v>
      </c>
      <c r="O224" s="21">
        <v>1366.0</v>
      </c>
      <c r="P224" s="21">
        <v>1612.0</v>
      </c>
      <c r="Q224" s="6">
        <v>55.0</v>
      </c>
      <c r="R224" s="31">
        <f t="shared" ref="R224:R258" si="7">O224*Q224%</f>
        <v>751.3</v>
      </c>
    </row>
    <row r="225">
      <c r="B225" s="232">
        <v>45363.0</v>
      </c>
      <c r="C225" s="660" t="s">
        <v>11665</v>
      </c>
      <c r="D225" s="8" t="s">
        <v>60</v>
      </c>
      <c r="E225" s="8" t="s">
        <v>11591</v>
      </c>
      <c r="F225" s="8" t="s">
        <v>11666</v>
      </c>
      <c r="G225" s="8"/>
      <c r="H225" s="8"/>
      <c r="I225" s="21">
        <v>96.0</v>
      </c>
      <c r="J225" s="232">
        <v>45700.0</v>
      </c>
      <c r="K225" s="8" t="s">
        <v>9300</v>
      </c>
      <c r="L225" s="8" t="s">
        <v>26</v>
      </c>
      <c r="M225" s="8" t="s">
        <v>27</v>
      </c>
      <c r="N225" s="8" t="s">
        <v>28</v>
      </c>
      <c r="O225" s="21">
        <v>714.0</v>
      </c>
      <c r="P225" s="21">
        <v>842.0</v>
      </c>
      <c r="Q225" s="6">
        <v>45.0</v>
      </c>
      <c r="R225" s="31">
        <f t="shared" si="7"/>
        <v>321.3</v>
      </c>
    </row>
    <row r="226">
      <c r="B226" s="232">
        <v>45363.0</v>
      </c>
      <c r="C226" s="660" t="s">
        <v>11667</v>
      </c>
      <c r="D226" s="131" t="s">
        <v>60</v>
      </c>
      <c r="E226" s="8" t="s">
        <v>11253</v>
      </c>
      <c r="F226" s="8" t="s">
        <v>11668</v>
      </c>
      <c r="G226" s="8" t="s">
        <v>11669</v>
      </c>
      <c r="H226" s="8"/>
      <c r="I226" s="21">
        <v>100.0</v>
      </c>
      <c r="J226" s="232">
        <v>45700.0</v>
      </c>
      <c r="K226" s="131" t="s">
        <v>1419</v>
      </c>
      <c r="L226" s="8" t="s">
        <v>26</v>
      </c>
      <c r="M226" s="8" t="s">
        <v>27</v>
      </c>
      <c r="N226" s="8" t="s">
        <v>28</v>
      </c>
      <c r="O226" s="21">
        <v>714.0</v>
      </c>
      <c r="P226" s="21">
        <v>842.0</v>
      </c>
      <c r="Q226" s="6">
        <v>45.0</v>
      </c>
      <c r="R226" s="31">
        <f t="shared" si="7"/>
        <v>321.3</v>
      </c>
    </row>
    <row r="227">
      <c r="B227" s="232">
        <v>45363.0</v>
      </c>
      <c r="C227" s="131" t="s">
        <v>11670</v>
      </c>
      <c r="D227" s="131" t="s">
        <v>60</v>
      </c>
      <c r="E227" s="8" t="s">
        <v>11217</v>
      </c>
      <c r="F227" s="8" t="s">
        <v>11671</v>
      </c>
      <c r="G227" s="8">
        <v>9.662878974E9</v>
      </c>
      <c r="H227" s="8"/>
      <c r="I227" s="21">
        <v>97.0</v>
      </c>
      <c r="J227" s="223">
        <v>45728.0</v>
      </c>
      <c r="K227" s="8" t="s">
        <v>65</v>
      </c>
      <c r="L227" s="8" t="s">
        <v>26</v>
      </c>
      <c r="M227" s="8" t="s">
        <v>27</v>
      </c>
      <c r="N227" s="8" t="s">
        <v>28</v>
      </c>
      <c r="O227" s="21">
        <v>714.0</v>
      </c>
      <c r="P227" s="21">
        <v>842.0</v>
      </c>
      <c r="Q227" s="6">
        <v>55.0</v>
      </c>
      <c r="R227" s="31">
        <f t="shared" si="7"/>
        <v>392.7</v>
      </c>
    </row>
    <row r="228">
      <c r="B228" s="232">
        <v>45394.0</v>
      </c>
      <c r="C228" s="8" t="s">
        <v>11672</v>
      </c>
      <c r="D228" s="8" t="s">
        <v>60</v>
      </c>
      <c r="E228" s="8" t="s">
        <v>11438</v>
      </c>
      <c r="F228" s="8" t="s">
        <v>11673</v>
      </c>
      <c r="G228" s="8">
        <v>9.327604569E9</v>
      </c>
      <c r="H228" s="8"/>
      <c r="I228" s="21">
        <v>125.0</v>
      </c>
      <c r="J228" s="232">
        <v>45728.0</v>
      </c>
      <c r="K228" s="8" t="s">
        <v>1419</v>
      </c>
      <c r="L228" s="8" t="s">
        <v>26</v>
      </c>
      <c r="M228" s="8" t="s">
        <v>27</v>
      </c>
      <c r="N228" s="8" t="s">
        <v>28</v>
      </c>
      <c r="O228" s="21">
        <v>714.0</v>
      </c>
      <c r="P228" s="21">
        <v>842.0</v>
      </c>
      <c r="Q228" s="6">
        <v>45.0</v>
      </c>
      <c r="R228" s="31">
        <f t="shared" si="7"/>
        <v>321.3</v>
      </c>
    </row>
    <row r="229">
      <c r="B229" s="232">
        <v>45394.0</v>
      </c>
      <c r="C229" s="131" t="s">
        <v>11674</v>
      </c>
      <c r="D229" s="131" t="s">
        <v>60</v>
      </c>
      <c r="E229" s="8" t="s">
        <v>719</v>
      </c>
      <c r="F229" s="8" t="s">
        <v>11675</v>
      </c>
      <c r="G229" s="8">
        <v>9.909613016E9</v>
      </c>
      <c r="H229" s="8"/>
      <c r="I229" s="21">
        <v>100.0</v>
      </c>
      <c r="J229" s="223">
        <v>45759.0</v>
      </c>
      <c r="K229" s="8" t="s">
        <v>65</v>
      </c>
      <c r="L229" s="8" t="s">
        <v>26</v>
      </c>
      <c r="M229" s="8" t="s">
        <v>27</v>
      </c>
      <c r="N229" s="8" t="s">
        <v>28</v>
      </c>
      <c r="O229" s="21">
        <v>714.0</v>
      </c>
      <c r="P229" s="21">
        <v>842.0</v>
      </c>
      <c r="Q229" s="6">
        <v>55.0</v>
      </c>
      <c r="R229" s="31">
        <f t="shared" si="7"/>
        <v>392.7</v>
      </c>
    </row>
    <row r="230">
      <c r="B230" s="232">
        <v>45394.0</v>
      </c>
      <c r="C230" s="133" t="s">
        <v>11676</v>
      </c>
      <c r="D230" s="131" t="s">
        <v>966</v>
      </c>
      <c r="E230" s="8" t="s">
        <v>11640</v>
      </c>
      <c r="F230" s="8" t="s">
        <v>11677</v>
      </c>
      <c r="G230" s="8" t="s">
        <v>11678</v>
      </c>
      <c r="H230" s="8"/>
      <c r="I230" s="21">
        <v>796.0</v>
      </c>
      <c r="J230" s="215">
        <v>45759.0</v>
      </c>
      <c r="K230" s="131" t="s">
        <v>78</v>
      </c>
      <c r="L230" s="8" t="s">
        <v>26</v>
      </c>
      <c r="M230" s="8" t="s">
        <v>27</v>
      </c>
      <c r="N230" s="8" t="s">
        <v>28</v>
      </c>
      <c r="O230" s="21">
        <v>2529.0</v>
      </c>
      <c r="P230" s="21">
        <v>2984.0</v>
      </c>
      <c r="Q230" s="6">
        <v>37.0</v>
      </c>
      <c r="R230" s="31">
        <f t="shared" si="7"/>
        <v>935.73</v>
      </c>
    </row>
    <row r="231">
      <c r="B231" s="232">
        <v>45455.0</v>
      </c>
      <c r="C231" s="131" t="s">
        <v>11679</v>
      </c>
      <c r="D231" s="8" t="s">
        <v>60</v>
      </c>
      <c r="E231" s="8" t="s">
        <v>11240</v>
      </c>
      <c r="F231" s="8" t="s">
        <v>11680</v>
      </c>
      <c r="G231" s="8" t="s">
        <v>11645</v>
      </c>
      <c r="H231" s="8"/>
      <c r="I231" s="21">
        <v>100.0</v>
      </c>
      <c r="J231" s="223">
        <v>45850.0</v>
      </c>
      <c r="K231" s="8" t="s">
        <v>65</v>
      </c>
      <c r="L231" s="8" t="s">
        <v>26</v>
      </c>
      <c r="M231" s="8" t="s">
        <v>27</v>
      </c>
      <c r="N231" s="8" t="s">
        <v>28</v>
      </c>
      <c r="O231" s="21">
        <v>714.0</v>
      </c>
      <c r="P231" s="21">
        <v>842.0</v>
      </c>
      <c r="Q231" s="6">
        <v>55.0</v>
      </c>
      <c r="R231" s="31">
        <f t="shared" si="7"/>
        <v>392.7</v>
      </c>
    </row>
    <row r="232">
      <c r="B232" s="232">
        <v>45485.0</v>
      </c>
      <c r="C232" s="8" t="s">
        <v>11681</v>
      </c>
      <c r="D232" s="8" t="s">
        <v>60</v>
      </c>
      <c r="E232" s="8" t="s">
        <v>11164</v>
      </c>
      <c r="F232" s="8" t="s">
        <v>11682</v>
      </c>
      <c r="G232" s="8">
        <v>8.200976886E9</v>
      </c>
      <c r="H232" s="8"/>
      <c r="I232" s="21">
        <v>102.0</v>
      </c>
      <c r="J232" s="232">
        <v>45820.0</v>
      </c>
      <c r="K232" s="131" t="s">
        <v>1419</v>
      </c>
      <c r="L232" s="8" t="s">
        <v>26</v>
      </c>
      <c r="M232" s="8" t="s">
        <v>27</v>
      </c>
      <c r="N232" s="8" t="s">
        <v>28</v>
      </c>
      <c r="O232" s="21">
        <v>714.0</v>
      </c>
      <c r="P232" s="21">
        <v>842.0</v>
      </c>
      <c r="Q232" s="6">
        <v>45.0</v>
      </c>
      <c r="R232" s="31">
        <f t="shared" si="7"/>
        <v>321.3</v>
      </c>
    </row>
    <row r="233">
      <c r="B233" s="232">
        <v>45547.0</v>
      </c>
      <c r="C233" s="8" t="s">
        <v>11683</v>
      </c>
      <c r="D233" s="8" t="s">
        <v>966</v>
      </c>
      <c r="E233" s="8" t="s">
        <v>11684</v>
      </c>
      <c r="F233" s="8" t="s">
        <v>11685</v>
      </c>
      <c r="G233" s="131" t="s">
        <v>11686</v>
      </c>
      <c r="H233" s="8"/>
      <c r="I233" s="21">
        <v>1495.0</v>
      </c>
      <c r="J233" s="215">
        <v>45881.0</v>
      </c>
      <c r="K233" s="8" t="s">
        <v>78</v>
      </c>
      <c r="L233" s="8" t="s">
        <v>26</v>
      </c>
      <c r="M233" s="8" t="s">
        <v>71</v>
      </c>
      <c r="N233" s="8" t="s">
        <v>28</v>
      </c>
      <c r="O233" s="21">
        <v>3476.0</v>
      </c>
      <c r="P233" s="21">
        <v>4102.0</v>
      </c>
      <c r="Q233" s="6">
        <v>37.0</v>
      </c>
      <c r="R233" s="31">
        <f t="shared" si="7"/>
        <v>1286.12</v>
      </c>
    </row>
    <row r="234">
      <c r="B234" s="659">
        <v>45577.0</v>
      </c>
      <c r="C234" s="8" t="s">
        <v>11687</v>
      </c>
      <c r="D234" s="131" t="s">
        <v>966</v>
      </c>
      <c r="E234" s="8" t="s">
        <v>11688</v>
      </c>
      <c r="F234" s="8" t="s">
        <v>11689</v>
      </c>
      <c r="G234" s="131" t="s">
        <v>11690</v>
      </c>
      <c r="H234" s="8"/>
      <c r="I234" s="21">
        <v>998.0</v>
      </c>
      <c r="J234" s="215">
        <v>45912.0</v>
      </c>
      <c r="K234" s="131" t="s">
        <v>78</v>
      </c>
      <c r="L234" s="8" t="s">
        <v>26</v>
      </c>
      <c r="M234" s="8" t="s">
        <v>71</v>
      </c>
      <c r="N234" s="8" t="s">
        <v>28</v>
      </c>
      <c r="O234" s="21">
        <v>2394.0</v>
      </c>
      <c r="P234" s="21">
        <v>2825.0</v>
      </c>
      <c r="Q234" s="6">
        <v>37.0</v>
      </c>
      <c r="R234" s="31">
        <f t="shared" si="7"/>
        <v>885.78</v>
      </c>
    </row>
    <row r="235">
      <c r="B235" s="639">
        <v>45577.0</v>
      </c>
      <c r="C235" s="131" t="s">
        <v>11691</v>
      </c>
      <c r="D235" s="8" t="s">
        <v>966</v>
      </c>
      <c r="E235" s="8" t="s">
        <v>8464</v>
      </c>
      <c r="F235" s="8" t="s">
        <v>11692</v>
      </c>
      <c r="G235" s="8" t="s">
        <v>11693</v>
      </c>
      <c r="H235" s="8"/>
      <c r="I235" s="21">
        <v>1196.0</v>
      </c>
      <c r="J235" s="639">
        <v>45942.0</v>
      </c>
      <c r="K235" s="8" t="s">
        <v>78</v>
      </c>
      <c r="L235" s="8" t="s">
        <v>26</v>
      </c>
      <c r="M235" s="8" t="s">
        <v>27</v>
      </c>
      <c r="N235" s="8" t="s">
        <v>28</v>
      </c>
      <c r="O235" s="21">
        <v>3476.0</v>
      </c>
      <c r="P235" s="21">
        <v>4102.0</v>
      </c>
      <c r="Q235" s="6">
        <v>37.0</v>
      </c>
      <c r="R235" s="31">
        <f t="shared" si="7"/>
        <v>1286.12</v>
      </c>
    </row>
    <row r="236">
      <c r="B236" s="8" t="s">
        <v>1553</v>
      </c>
      <c r="C236" s="8" t="s">
        <v>11694</v>
      </c>
      <c r="D236" s="8" t="s">
        <v>966</v>
      </c>
      <c r="E236" s="8" t="s">
        <v>11695</v>
      </c>
      <c r="F236" s="8" t="s">
        <v>11696</v>
      </c>
      <c r="G236" s="8"/>
      <c r="H236" s="8"/>
      <c r="I236" s="21">
        <v>1197.0</v>
      </c>
      <c r="J236" s="639">
        <v>46003.0</v>
      </c>
      <c r="K236" s="8" t="s">
        <v>78</v>
      </c>
      <c r="L236" s="8" t="s">
        <v>26</v>
      </c>
      <c r="M236" s="8" t="s">
        <v>27</v>
      </c>
      <c r="N236" s="8" t="s">
        <v>28</v>
      </c>
      <c r="O236" s="21">
        <v>3476.0</v>
      </c>
      <c r="P236" s="21">
        <v>4102.0</v>
      </c>
      <c r="Q236" s="6">
        <v>37.0</v>
      </c>
      <c r="R236" s="31">
        <f t="shared" si="7"/>
        <v>1286.12</v>
      </c>
    </row>
    <row r="237">
      <c r="B237" s="8" t="s">
        <v>1930</v>
      </c>
      <c r="C237" s="8" t="s">
        <v>11697</v>
      </c>
      <c r="D237" s="8" t="s">
        <v>966</v>
      </c>
      <c r="E237" s="8" t="s">
        <v>11698</v>
      </c>
      <c r="F237" s="8" t="s">
        <v>11699</v>
      </c>
      <c r="G237" s="8">
        <v>9.106641528E9</v>
      </c>
      <c r="H237" s="8"/>
      <c r="I237" s="21">
        <v>998.0</v>
      </c>
      <c r="J237" s="8" t="s">
        <v>11700</v>
      </c>
      <c r="K237" s="8" t="s">
        <v>65</v>
      </c>
      <c r="L237" s="8" t="s">
        <v>26</v>
      </c>
      <c r="M237" s="8" t="s">
        <v>71</v>
      </c>
      <c r="N237" s="8" t="s">
        <v>28</v>
      </c>
      <c r="O237" s="21">
        <v>2144.0</v>
      </c>
      <c r="P237" s="21">
        <v>2530.0</v>
      </c>
      <c r="Q237" s="6">
        <v>43.0</v>
      </c>
      <c r="R237" s="31">
        <f t="shared" si="7"/>
        <v>921.92</v>
      </c>
    </row>
    <row r="238">
      <c r="B238" s="8" t="s">
        <v>1938</v>
      </c>
      <c r="C238" s="131" t="s">
        <v>11701</v>
      </c>
      <c r="D238" s="8" t="s">
        <v>60</v>
      </c>
      <c r="E238" s="8" t="s">
        <v>723</v>
      </c>
      <c r="F238" s="8" t="s">
        <v>11702</v>
      </c>
      <c r="G238" s="8" t="s">
        <v>1598</v>
      </c>
      <c r="H238" s="8"/>
      <c r="I238" s="21">
        <v>125.0</v>
      </c>
      <c r="J238" s="8" t="s">
        <v>11700</v>
      </c>
      <c r="K238" s="8" t="s">
        <v>65</v>
      </c>
      <c r="L238" s="8" t="s">
        <v>26</v>
      </c>
      <c r="M238" s="8" t="s">
        <v>27</v>
      </c>
      <c r="N238" s="8" t="s">
        <v>28</v>
      </c>
      <c r="O238" s="21">
        <v>714.0</v>
      </c>
      <c r="P238" s="21">
        <v>842.0</v>
      </c>
      <c r="Q238" s="6">
        <v>55.0</v>
      </c>
      <c r="R238" s="31">
        <f t="shared" si="7"/>
        <v>392.7</v>
      </c>
    </row>
    <row r="239">
      <c r="B239" s="8" t="s">
        <v>1938</v>
      </c>
      <c r="C239" s="131" t="s">
        <v>11703</v>
      </c>
      <c r="D239" s="8" t="s">
        <v>966</v>
      </c>
      <c r="E239" s="8" t="s">
        <v>11704</v>
      </c>
      <c r="F239" s="8" t="s">
        <v>11705</v>
      </c>
      <c r="G239" s="8">
        <v>9.664999281E9</v>
      </c>
      <c r="H239" s="8"/>
      <c r="I239" s="21">
        <v>799.0</v>
      </c>
      <c r="J239" s="8" t="s">
        <v>1943</v>
      </c>
      <c r="K239" s="8" t="s">
        <v>78</v>
      </c>
      <c r="L239" s="8" t="s">
        <v>49</v>
      </c>
      <c r="M239" s="8" t="s">
        <v>27</v>
      </c>
      <c r="N239" s="8" t="s">
        <v>28</v>
      </c>
      <c r="O239" s="21">
        <v>2144.0</v>
      </c>
      <c r="P239" s="21">
        <v>2530.0</v>
      </c>
      <c r="Q239" s="6">
        <v>37.0</v>
      </c>
      <c r="R239" s="31">
        <f t="shared" si="7"/>
        <v>793.28</v>
      </c>
    </row>
    <row r="240">
      <c r="B240" s="8" t="s">
        <v>1938</v>
      </c>
      <c r="C240" s="133" t="s">
        <v>6720</v>
      </c>
      <c r="D240" s="8" t="s">
        <v>966</v>
      </c>
      <c r="E240" s="8" t="s">
        <v>11704</v>
      </c>
      <c r="F240" s="8" t="s">
        <v>11706</v>
      </c>
      <c r="G240" s="8" t="s">
        <v>11707</v>
      </c>
      <c r="H240" s="8" t="s">
        <v>7926</v>
      </c>
      <c r="I240" s="21">
        <v>799.0</v>
      </c>
      <c r="J240" s="8" t="s">
        <v>11700</v>
      </c>
      <c r="K240" s="8" t="s">
        <v>65</v>
      </c>
      <c r="L240" s="8" t="s">
        <v>26</v>
      </c>
      <c r="M240" s="8" t="s">
        <v>27</v>
      </c>
      <c r="N240" s="8" t="s">
        <v>28</v>
      </c>
      <c r="O240" s="21">
        <v>2425.0</v>
      </c>
      <c r="P240" s="21">
        <v>2861.0</v>
      </c>
      <c r="Q240" s="6">
        <v>43.0</v>
      </c>
      <c r="R240" s="31">
        <f t="shared" si="7"/>
        <v>1042.75</v>
      </c>
    </row>
    <row r="241">
      <c r="B241" s="8" t="s">
        <v>1944</v>
      </c>
      <c r="C241" s="8" t="s">
        <v>11708</v>
      </c>
      <c r="D241" s="8" t="s">
        <v>60</v>
      </c>
      <c r="E241" s="8" t="s">
        <v>719</v>
      </c>
      <c r="F241" s="8" t="s">
        <v>11709</v>
      </c>
      <c r="G241" s="8">
        <v>8.32001011E9</v>
      </c>
      <c r="H241" s="8"/>
      <c r="I241" s="21">
        <v>100.0</v>
      </c>
      <c r="J241" s="8" t="s">
        <v>11710</v>
      </c>
      <c r="K241" s="8" t="s">
        <v>65</v>
      </c>
      <c r="L241" s="8" t="s">
        <v>26</v>
      </c>
      <c r="M241" s="8" t="s">
        <v>27</v>
      </c>
      <c r="N241" s="8" t="s">
        <v>28</v>
      </c>
      <c r="O241" s="21">
        <v>714.0</v>
      </c>
      <c r="P241" s="21">
        <v>842.0</v>
      </c>
      <c r="Q241" s="6">
        <v>55.0</v>
      </c>
      <c r="R241" s="31">
        <f t="shared" si="7"/>
        <v>392.7</v>
      </c>
    </row>
    <row r="242">
      <c r="B242" s="8" t="s">
        <v>8248</v>
      </c>
      <c r="C242" s="8" t="s">
        <v>6690</v>
      </c>
      <c r="D242" s="8" t="s">
        <v>966</v>
      </c>
      <c r="E242" s="8" t="s">
        <v>3541</v>
      </c>
      <c r="F242" s="8" t="s">
        <v>11711</v>
      </c>
      <c r="G242" s="8" t="s">
        <v>11712</v>
      </c>
      <c r="H242" s="8"/>
      <c r="I242" s="21">
        <v>1196.0</v>
      </c>
      <c r="J242" s="8" t="s">
        <v>6235</v>
      </c>
      <c r="K242" s="8" t="s">
        <v>65</v>
      </c>
      <c r="L242" s="8" t="s">
        <v>26</v>
      </c>
      <c r="M242" s="8" t="s">
        <v>27</v>
      </c>
      <c r="N242" s="8" t="s">
        <v>28</v>
      </c>
      <c r="O242" s="21">
        <v>4147.0</v>
      </c>
      <c r="P242" s="21">
        <v>4893.0</v>
      </c>
      <c r="Q242" s="6">
        <v>43.0</v>
      </c>
      <c r="R242" s="31">
        <f t="shared" si="7"/>
        <v>1783.21</v>
      </c>
    </row>
    <row r="243">
      <c r="B243" s="8" t="s">
        <v>8248</v>
      </c>
      <c r="C243" s="131" t="s">
        <v>11713</v>
      </c>
      <c r="D243" s="8" t="s">
        <v>60</v>
      </c>
      <c r="E243" s="8" t="s">
        <v>11714</v>
      </c>
      <c r="F243" s="8" t="s">
        <v>11715</v>
      </c>
      <c r="G243" s="8">
        <v>9.558976007E9</v>
      </c>
      <c r="H243" s="8"/>
      <c r="I243" s="21">
        <v>346.0</v>
      </c>
      <c r="J243" s="8" t="s">
        <v>1947</v>
      </c>
      <c r="K243" s="8" t="s">
        <v>11716</v>
      </c>
      <c r="L243" s="8" t="s">
        <v>26</v>
      </c>
      <c r="M243" s="8" t="s">
        <v>27</v>
      </c>
      <c r="N243" s="8" t="s">
        <v>28</v>
      </c>
      <c r="O243" s="21">
        <v>1366.0</v>
      </c>
      <c r="P243" s="21">
        <v>1612.0</v>
      </c>
      <c r="Q243" s="6">
        <v>10.0</v>
      </c>
      <c r="R243" s="31">
        <f t="shared" si="7"/>
        <v>136.6</v>
      </c>
    </row>
    <row r="244">
      <c r="B244" s="8" t="s">
        <v>1916</v>
      </c>
      <c r="C244" s="8" t="s">
        <v>11717</v>
      </c>
      <c r="D244" s="8" t="s">
        <v>966</v>
      </c>
      <c r="E244" s="8" t="s">
        <v>11718</v>
      </c>
      <c r="F244" s="8" t="s">
        <v>11719</v>
      </c>
      <c r="G244" s="8" t="s">
        <v>11720</v>
      </c>
      <c r="H244" s="8"/>
      <c r="I244" s="21">
        <v>1086.0</v>
      </c>
      <c r="J244" s="8" t="s">
        <v>11721</v>
      </c>
      <c r="K244" s="8" t="s">
        <v>65</v>
      </c>
      <c r="L244" s="8" t="s">
        <v>26</v>
      </c>
      <c r="M244" s="8" t="s">
        <v>27</v>
      </c>
      <c r="N244" s="8" t="s">
        <v>28</v>
      </c>
      <c r="O244" s="21">
        <v>3416.0</v>
      </c>
      <c r="P244" s="21">
        <v>4030.0</v>
      </c>
      <c r="Q244" s="6">
        <v>43.0</v>
      </c>
      <c r="R244" s="31">
        <f t="shared" si="7"/>
        <v>1468.88</v>
      </c>
    </row>
    <row r="245">
      <c r="B245" s="8" t="s">
        <v>1916</v>
      </c>
      <c r="C245" s="131" t="s">
        <v>11722</v>
      </c>
      <c r="D245" s="8" t="s">
        <v>60</v>
      </c>
      <c r="E245" s="8" t="s">
        <v>11240</v>
      </c>
      <c r="F245" s="8" t="s">
        <v>11723</v>
      </c>
      <c r="G245" s="8">
        <v>9.327947959E9</v>
      </c>
      <c r="H245" s="8"/>
      <c r="I245" s="21">
        <v>100.0</v>
      </c>
      <c r="J245" s="8" t="s">
        <v>6104</v>
      </c>
      <c r="K245" s="8" t="s">
        <v>65</v>
      </c>
      <c r="L245" s="8" t="s">
        <v>26</v>
      </c>
      <c r="M245" s="8" t="s">
        <v>27</v>
      </c>
      <c r="N245" s="8" t="s">
        <v>28</v>
      </c>
      <c r="O245" s="21">
        <v>714.0</v>
      </c>
      <c r="P245" s="21">
        <v>842.0</v>
      </c>
      <c r="Q245" s="6">
        <v>55.0</v>
      </c>
      <c r="R245" s="31">
        <f t="shared" si="7"/>
        <v>392.7</v>
      </c>
    </row>
    <row r="246">
      <c r="B246" s="8" t="s">
        <v>8424</v>
      </c>
      <c r="C246" s="8" t="s">
        <v>5941</v>
      </c>
      <c r="D246" s="8" t="s">
        <v>60</v>
      </c>
      <c r="E246" s="8" t="s">
        <v>719</v>
      </c>
      <c r="F246" s="8" t="s">
        <v>11724</v>
      </c>
      <c r="G246" s="8" t="s">
        <v>11725</v>
      </c>
      <c r="H246" s="8"/>
      <c r="I246" s="21">
        <v>100.0</v>
      </c>
      <c r="J246" s="8" t="s">
        <v>6104</v>
      </c>
      <c r="K246" s="8" t="s">
        <v>65</v>
      </c>
      <c r="L246" s="8" t="s">
        <v>26</v>
      </c>
      <c r="M246" s="8" t="s">
        <v>27</v>
      </c>
      <c r="N246" s="8" t="s">
        <v>28</v>
      </c>
      <c r="O246" s="21">
        <v>714.0</v>
      </c>
      <c r="P246" s="21">
        <v>842.0</v>
      </c>
      <c r="Q246" s="6">
        <v>55.0</v>
      </c>
      <c r="R246" s="31">
        <f t="shared" si="7"/>
        <v>392.7</v>
      </c>
    </row>
    <row r="247">
      <c r="B247" s="8" t="s">
        <v>8424</v>
      </c>
      <c r="C247" s="8" t="s">
        <v>11726</v>
      </c>
      <c r="D247" s="8" t="s">
        <v>966</v>
      </c>
      <c r="E247" s="8" t="s">
        <v>3541</v>
      </c>
      <c r="F247" s="8" t="s">
        <v>11727</v>
      </c>
      <c r="G247" s="8" t="s">
        <v>11728</v>
      </c>
      <c r="H247" s="8"/>
      <c r="I247" s="21">
        <v>1196.0</v>
      </c>
      <c r="J247" s="8" t="s">
        <v>6104</v>
      </c>
      <c r="K247" s="8" t="s">
        <v>65</v>
      </c>
      <c r="L247" s="8" t="s">
        <v>26</v>
      </c>
      <c r="M247" s="8" t="s">
        <v>27</v>
      </c>
      <c r="N247" s="8" t="s">
        <v>28</v>
      </c>
      <c r="O247" s="21">
        <v>3416.0</v>
      </c>
      <c r="P247" s="21">
        <v>4030.0</v>
      </c>
      <c r="Q247" s="6">
        <v>43.0</v>
      </c>
      <c r="R247" s="31">
        <f t="shared" si="7"/>
        <v>1468.88</v>
      </c>
    </row>
    <row r="248">
      <c r="B248" s="8" t="s">
        <v>2309</v>
      </c>
      <c r="C248" s="8" t="s">
        <v>11729</v>
      </c>
      <c r="D248" s="8" t="s">
        <v>966</v>
      </c>
      <c r="E248" s="8" t="s">
        <v>8464</v>
      </c>
      <c r="F248" s="8" t="s">
        <v>11730</v>
      </c>
      <c r="G248" s="8" t="s">
        <v>11731</v>
      </c>
      <c r="H248" s="8"/>
      <c r="I248" s="21">
        <v>1196.0</v>
      </c>
      <c r="J248" s="8" t="s">
        <v>18</v>
      </c>
      <c r="K248" s="8" t="s">
        <v>78</v>
      </c>
      <c r="L248" s="8" t="s">
        <v>49</v>
      </c>
      <c r="M248" s="8" t="s">
        <v>71</v>
      </c>
      <c r="N248" s="8" t="s">
        <v>28</v>
      </c>
      <c r="O248" s="21">
        <v>4101.0</v>
      </c>
      <c r="P248" s="21">
        <v>4839.0</v>
      </c>
      <c r="Q248" s="6">
        <v>37.0</v>
      </c>
      <c r="R248" s="31">
        <f t="shared" si="7"/>
        <v>1517.37</v>
      </c>
    </row>
    <row r="249">
      <c r="B249" s="8" t="s">
        <v>1590</v>
      </c>
      <c r="C249" s="131" t="s">
        <v>11732</v>
      </c>
      <c r="D249" s="8" t="s">
        <v>966</v>
      </c>
      <c r="E249" s="8" t="s">
        <v>11733</v>
      </c>
      <c r="F249" s="8" t="s">
        <v>11734</v>
      </c>
      <c r="G249" s="8" t="s">
        <v>11735</v>
      </c>
      <c r="H249" s="8"/>
      <c r="I249" s="21">
        <v>1493.0</v>
      </c>
      <c r="J249" s="8" t="s">
        <v>2317</v>
      </c>
      <c r="K249" s="8" t="s">
        <v>78</v>
      </c>
      <c r="L249" s="8" t="s">
        <v>26</v>
      </c>
      <c r="M249" s="8" t="s">
        <v>27</v>
      </c>
      <c r="N249" s="8" t="s">
        <v>28</v>
      </c>
      <c r="O249" s="21">
        <v>3416.0</v>
      </c>
      <c r="P249" s="21">
        <v>4031.0</v>
      </c>
      <c r="Q249" s="6">
        <v>37.0</v>
      </c>
      <c r="R249" s="31">
        <f t="shared" si="7"/>
        <v>1263.92</v>
      </c>
    </row>
    <row r="250">
      <c r="B250" s="8" t="s">
        <v>1590</v>
      </c>
      <c r="C250" s="131" t="s">
        <v>11736</v>
      </c>
      <c r="D250" s="8" t="s">
        <v>60</v>
      </c>
      <c r="E250" s="8" t="s">
        <v>11737</v>
      </c>
      <c r="F250" s="8" t="s">
        <v>11738</v>
      </c>
      <c r="G250" s="8" t="s">
        <v>11739</v>
      </c>
      <c r="H250" s="8"/>
      <c r="I250" s="21">
        <v>125.0</v>
      </c>
      <c r="J250" s="8" t="s">
        <v>11740</v>
      </c>
      <c r="K250" s="8" t="s">
        <v>65</v>
      </c>
      <c r="L250" s="8" t="s">
        <v>26</v>
      </c>
      <c r="M250" s="8" t="s">
        <v>27</v>
      </c>
      <c r="N250" s="8" t="s">
        <v>28</v>
      </c>
      <c r="O250" s="21">
        <v>714.0</v>
      </c>
      <c r="P250" s="21">
        <v>842.0</v>
      </c>
      <c r="Q250" s="6">
        <v>55.0</v>
      </c>
      <c r="R250" s="31">
        <f t="shared" si="7"/>
        <v>392.7</v>
      </c>
    </row>
    <row r="251">
      <c r="B251" s="8" t="s">
        <v>1590</v>
      </c>
      <c r="C251" s="131" t="s">
        <v>11741</v>
      </c>
      <c r="D251" s="8" t="s">
        <v>60</v>
      </c>
      <c r="E251" s="8" t="s">
        <v>11742</v>
      </c>
      <c r="F251" s="8" t="s">
        <v>11743</v>
      </c>
      <c r="G251" s="8" t="s">
        <v>11744</v>
      </c>
      <c r="H251" s="8"/>
      <c r="I251" s="21">
        <v>112.0</v>
      </c>
      <c r="J251" s="8" t="s">
        <v>11740</v>
      </c>
      <c r="K251" s="8" t="s">
        <v>65</v>
      </c>
      <c r="L251" s="8" t="s">
        <v>26</v>
      </c>
      <c r="M251" s="8" t="s">
        <v>27</v>
      </c>
      <c r="N251" s="8" t="s">
        <v>28</v>
      </c>
      <c r="O251" s="21">
        <v>714.0</v>
      </c>
      <c r="P251" s="21">
        <v>842.0</v>
      </c>
      <c r="Q251" s="6">
        <v>55.0</v>
      </c>
      <c r="R251" s="31">
        <f t="shared" si="7"/>
        <v>392.7</v>
      </c>
    </row>
    <row r="252">
      <c r="B252" s="8" t="s">
        <v>1590</v>
      </c>
      <c r="C252" s="8" t="s">
        <v>717</v>
      </c>
      <c r="D252" s="8" t="s">
        <v>60</v>
      </c>
      <c r="E252" s="8" t="s">
        <v>719</v>
      </c>
      <c r="F252" s="8" t="s">
        <v>720</v>
      </c>
      <c r="G252" s="8">
        <v>6.35259381E9</v>
      </c>
      <c r="H252" s="8"/>
      <c r="I252" s="21">
        <v>100.0</v>
      </c>
      <c r="J252" s="8" t="s">
        <v>1593</v>
      </c>
      <c r="K252" s="8" t="s">
        <v>65</v>
      </c>
      <c r="L252" s="8" t="s">
        <v>26</v>
      </c>
      <c r="M252" s="8" t="s">
        <v>27</v>
      </c>
      <c r="N252" s="8" t="s">
        <v>28</v>
      </c>
      <c r="O252" s="21">
        <v>714.0</v>
      </c>
      <c r="P252" s="21">
        <v>842.0</v>
      </c>
      <c r="Q252" s="6">
        <v>55.0</v>
      </c>
      <c r="R252" s="31">
        <f t="shared" si="7"/>
        <v>392.7</v>
      </c>
    </row>
    <row r="253">
      <c r="B253" s="8" t="s">
        <v>34</v>
      </c>
      <c r="C253" s="131" t="s">
        <v>11745</v>
      </c>
      <c r="D253" s="8" t="s">
        <v>966</v>
      </c>
      <c r="E253" s="8" t="s">
        <v>11746</v>
      </c>
      <c r="F253" s="8" t="s">
        <v>11747</v>
      </c>
      <c r="G253" s="8" t="s">
        <v>11748</v>
      </c>
      <c r="H253" s="8"/>
      <c r="I253" s="21">
        <v>1086.0</v>
      </c>
      <c r="J253" s="8" t="s">
        <v>1593</v>
      </c>
      <c r="K253" s="8" t="s">
        <v>65</v>
      </c>
      <c r="L253" s="8" t="s">
        <v>26</v>
      </c>
      <c r="M253" s="8" t="s">
        <v>27</v>
      </c>
      <c r="N253" s="8" t="s">
        <v>28</v>
      </c>
      <c r="O253" s="21">
        <v>3857.0</v>
      </c>
      <c r="P253" s="21">
        <v>4551.0</v>
      </c>
      <c r="Q253" s="6">
        <v>43.0</v>
      </c>
      <c r="R253" s="31">
        <f t="shared" si="7"/>
        <v>1658.51</v>
      </c>
    </row>
    <row r="254">
      <c r="B254" s="8" t="s">
        <v>1912</v>
      </c>
      <c r="C254" s="133" t="s">
        <v>306</v>
      </c>
      <c r="D254" s="8" t="s">
        <v>60</v>
      </c>
      <c r="E254" s="8" t="s">
        <v>11749</v>
      </c>
      <c r="F254" s="8" t="s">
        <v>308</v>
      </c>
      <c r="G254" s="8">
        <v>9.427222508E9</v>
      </c>
      <c r="H254" s="8"/>
      <c r="I254" s="21">
        <v>110.0</v>
      </c>
      <c r="J254" s="128">
        <v>46296.0</v>
      </c>
      <c r="K254" s="8" t="s">
        <v>65</v>
      </c>
      <c r="L254" s="8" t="s">
        <v>26</v>
      </c>
      <c r="M254" s="8" t="s">
        <v>71</v>
      </c>
      <c r="N254" s="8" t="s">
        <v>28</v>
      </c>
      <c r="O254" s="21">
        <v>714.0</v>
      </c>
      <c r="P254" s="21">
        <v>842.0</v>
      </c>
      <c r="Q254" s="6">
        <v>55.0</v>
      </c>
      <c r="R254" s="31">
        <f t="shared" si="7"/>
        <v>392.7</v>
      </c>
    </row>
    <row r="255">
      <c r="B255" s="8" t="s">
        <v>1912</v>
      </c>
      <c r="C255" s="8" t="s">
        <v>11750</v>
      </c>
      <c r="D255" s="8" t="s">
        <v>60</v>
      </c>
      <c r="E255" s="8" t="s">
        <v>11751</v>
      </c>
      <c r="F255" s="8" t="s">
        <v>11752</v>
      </c>
      <c r="G255" s="8" t="s">
        <v>11753</v>
      </c>
      <c r="H255" s="8"/>
      <c r="I255" s="21">
        <v>110.0</v>
      </c>
      <c r="J255" s="8" t="s">
        <v>11754</v>
      </c>
      <c r="K255" s="8" t="s">
        <v>65</v>
      </c>
      <c r="L255" s="8" t="s">
        <v>26</v>
      </c>
      <c r="M255" s="8" t="s">
        <v>27</v>
      </c>
      <c r="N255" s="8" t="s">
        <v>28</v>
      </c>
      <c r="O255" s="21">
        <v>714.0</v>
      </c>
      <c r="P255" s="21">
        <v>842.0</v>
      </c>
      <c r="Q255" s="6">
        <v>55.0</v>
      </c>
      <c r="R255" s="31">
        <f t="shared" si="7"/>
        <v>392.7</v>
      </c>
    </row>
    <row r="256">
      <c r="B256" s="8" t="s">
        <v>1912</v>
      </c>
      <c r="C256" s="8" t="s">
        <v>11755</v>
      </c>
      <c r="D256" s="8" t="s">
        <v>60</v>
      </c>
      <c r="E256" s="8" t="s">
        <v>719</v>
      </c>
      <c r="F256" s="8" t="s">
        <v>11756</v>
      </c>
      <c r="G256" s="8">
        <v>9.638181213E9</v>
      </c>
      <c r="H256" s="8"/>
      <c r="I256" s="21">
        <v>100.0</v>
      </c>
      <c r="J256" s="8" t="s">
        <v>1999</v>
      </c>
      <c r="K256" s="8" t="s">
        <v>65</v>
      </c>
      <c r="L256" s="8" t="s">
        <v>26</v>
      </c>
      <c r="M256" s="8" t="s">
        <v>71</v>
      </c>
      <c r="N256" s="8" t="s">
        <v>28</v>
      </c>
      <c r="O256" s="21">
        <v>714.0</v>
      </c>
      <c r="P256" s="21">
        <v>842.0</v>
      </c>
      <c r="Q256" s="6">
        <v>55.0</v>
      </c>
      <c r="R256" s="31">
        <f t="shared" si="7"/>
        <v>392.7</v>
      </c>
    </row>
    <row r="257">
      <c r="B257" s="8" t="s">
        <v>72</v>
      </c>
      <c r="C257" s="131" t="s">
        <v>11757</v>
      </c>
      <c r="D257" s="8" t="s">
        <v>966</v>
      </c>
      <c r="E257" s="8" t="s">
        <v>11746</v>
      </c>
      <c r="F257" s="8" t="s">
        <v>11758</v>
      </c>
      <c r="G257" s="8">
        <v>9.574153752E9</v>
      </c>
      <c r="H257" s="8"/>
      <c r="I257" s="21">
        <v>1086.0</v>
      </c>
      <c r="J257" s="8" t="s">
        <v>11759</v>
      </c>
      <c r="K257" s="8" t="s">
        <v>65</v>
      </c>
      <c r="L257" s="8" t="s">
        <v>26</v>
      </c>
      <c r="M257" s="8" t="s">
        <v>27</v>
      </c>
      <c r="N257" s="8" t="s">
        <v>28</v>
      </c>
      <c r="O257" s="21">
        <v>3416.0</v>
      </c>
      <c r="P257" s="21">
        <v>4030.0</v>
      </c>
      <c r="Q257" s="6">
        <v>43.0</v>
      </c>
      <c r="R257" s="31">
        <f t="shared" si="7"/>
        <v>1468.88</v>
      </c>
    </row>
    <row r="258">
      <c r="B258" s="8" t="s">
        <v>121</v>
      </c>
      <c r="C258" s="8" t="s">
        <v>122</v>
      </c>
      <c r="D258" s="8" t="s">
        <v>60</v>
      </c>
      <c r="E258" s="8" t="s">
        <v>11760</v>
      </c>
      <c r="F258" s="8" t="s">
        <v>125</v>
      </c>
      <c r="G258" s="8" t="s">
        <v>11761</v>
      </c>
      <c r="H258" s="8"/>
      <c r="I258" s="21">
        <v>110.0</v>
      </c>
      <c r="J258" s="8" t="s">
        <v>11762</v>
      </c>
      <c r="K258" s="8" t="s">
        <v>65</v>
      </c>
      <c r="L258" s="8" t="s">
        <v>26</v>
      </c>
      <c r="M258" s="8" t="s">
        <v>27</v>
      </c>
      <c r="N258" s="8" t="s">
        <v>28</v>
      </c>
      <c r="O258" s="21">
        <v>714.0</v>
      </c>
      <c r="P258" s="21">
        <v>842.0</v>
      </c>
      <c r="Q258" s="6">
        <v>55.0</v>
      </c>
      <c r="R258" s="31">
        <f t="shared" si="7"/>
        <v>392.7</v>
      </c>
    </row>
    <row r="261">
      <c r="B261" s="661">
        <v>45717.0</v>
      </c>
      <c r="C261" s="31" t="s">
        <v>11763</v>
      </c>
      <c r="D261" s="31" t="s">
        <v>966</v>
      </c>
      <c r="E261" s="31" t="s">
        <v>11764</v>
      </c>
      <c r="F261" s="31" t="s">
        <v>11765</v>
      </c>
      <c r="G261" s="31" t="s">
        <v>11766</v>
      </c>
      <c r="H261" s="31"/>
      <c r="I261" s="31">
        <v>1197.0</v>
      </c>
      <c r="J261" s="662">
        <v>46082.0</v>
      </c>
      <c r="K261" s="31" t="s">
        <v>65</v>
      </c>
      <c r="L261" s="31" t="s">
        <v>26</v>
      </c>
      <c r="M261" s="31" t="s">
        <v>27</v>
      </c>
      <c r="N261" s="31" t="s">
        <v>28</v>
      </c>
      <c r="O261" s="31">
        <v>3416.0</v>
      </c>
      <c r="P261" s="31">
        <v>4030.0</v>
      </c>
      <c r="Q261" s="6">
        <v>47.0</v>
      </c>
      <c r="R261" s="31">
        <f t="shared" ref="R261:R297" si="8">O261*Q261%</f>
        <v>1605.52</v>
      </c>
    </row>
    <row r="262">
      <c r="B262" s="661">
        <v>45778.0</v>
      </c>
      <c r="C262" s="31" t="s">
        <v>11767</v>
      </c>
      <c r="D262" s="31" t="s">
        <v>60</v>
      </c>
      <c r="E262" s="31" t="s">
        <v>723</v>
      </c>
      <c r="F262" s="31" t="s">
        <v>11768</v>
      </c>
      <c r="G262" s="31">
        <v>7.016682171E9</v>
      </c>
      <c r="H262" s="31"/>
      <c r="I262" s="31">
        <v>125.0</v>
      </c>
      <c r="J262" s="662">
        <v>46113.0</v>
      </c>
      <c r="K262" s="31" t="s">
        <v>65</v>
      </c>
      <c r="L262" s="31" t="s">
        <v>26</v>
      </c>
      <c r="M262" s="31" t="s">
        <v>27</v>
      </c>
      <c r="N262" s="31" t="s">
        <v>28</v>
      </c>
      <c r="O262" s="31">
        <v>714.0</v>
      </c>
      <c r="P262" s="31">
        <v>842.0</v>
      </c>
      <c r="Q262" s="6">
        <v>57.0</v>
      </c>
      <c r="R262" s="31">
        <f t="shared" si="8"/>
        <v>406.98</v>
      </c>
    </row>
    <row r="263">
      <c r="B263" s="661">
        <v>45839.0</v>
      </c>
      <c r="C263" s="31" t="s">
        <v>11769</v>
      </c>
      <c r="D263" s="31" t="s">
        <v>60</v>
      </c>
      <c r="E263" s="31" t="s">
        <v>11226</v>
      </c>
      <c r="F263" s="31" t="s">
        <v>11770</v>
      </c>
      <c r="G263" s="31">
        <v>9.825699545E9</v>
      </c>
      <c r="H263" s="31"/>
      <c r="I263" s="31">
        <v>100.0</v>
      </c>
      <c r="J263" s="662">
        <v>46174.0</v>
      </c>
      <c r="K263" s="31" t="s">
        <v>65</v>
      </c>
      <c r="L263" s="31" t="s">
        <v>26</v>
      </c>
      <c r="M263" s="31" t="s">
        <v>27</v>
      </c>
      <c r="N263" s="31" t="s">
        <v>28</v>
      </c>
      <c r="O263" s="31">
        <v>714.0</v>
      </c>
      <c r="P263" s="31">
        <v>842.0</v>
      </c>
      <c r="Q263" s="6">
        <v>57.0</v>
      </c>
      <c r="R263" s="31">
        <f t="shared" si="8"/>
        <v>406.98</v>
      </c>
    </row>
    <row r="264">
      <c r="B264" s="661">
        <v>45839.0</v>
      </c>
      <c r="C264" s="31" t="s">
        <v>11771</v>
      </c>
      <c r="D264" s="31" t="s">
        <v>60</v>
      </c>
      <c r="E264" s="31" t="s">
        <v>719</v>
      </c>
      <c r="F264" s="31" t="s">
        <v>11772</v>
      </c>
      <c r="G264" s="31" t="s">
        <v>1557</v>
      </c>
      <c r="H264" s="31"/>
      <c r="I264" s="31">
        <v>100.0</v>
      </c>
      <c r="J264" s="662">
        <v>46204.0</v>
      </c>
      <c r="K264" s="31" t="s">
        <v>65</v>
      </c>
      <c r="L264" s="31" t="s">
        <v>26</v>
      </c>
      <c r="M264" s="31" t="s">
        <v>27</v>
      </c>
      <c r="N264" s="31" t="s">
        <v>28</v>
      </c>
      <c r="O264" s="31">
        <v>714.0</v>
      </c>
      <c r="P264" s="31">
        <v>842.0</v>
      </c>
      <c r="Q264" s="6">
        <v>57.0</v>
      </c>
      <c r="R264" s="31">
        <f t="shared" si="8"/>
        <v>406.98</v>
      </c>
    </row>
    <row r="265">
      <c r="B265" s="661">
        <v>45962.0</v>
      </c>
      <c r="C265" s="31" t="s">
        <v>6799</v>
      </c>
      <c r="D265" s="31" t="s">
        <v>966</v>
      </c>
      <c r="E265" s="31" t="s">
        <v>11584</v>
      </c>
      <c r="F265" s="31" t="s">
        <v>11773</v>
      </c>
      <c r="G265" s="31" t="s">
        <v>11774</v>
      </c>
      <c r="H265" s="31"/>
      <c r="I265" s="31">
        <v>1086.0</v>
      </c>
      <c r="J265" s="661">
        <v>46266.0</v>
      </c>
      <c r="K265" s="31" t="s">
        <v>78</v>
      </c>
      <c r="L265" s="31" t="s">
        <v>26</v>
      </c>
      <c r="M265" s="31" t="s">
        <v>27</v>
      </c>
      <c r="N265" s="31" t="s">
        <v>28</v>
      </c>
      <c r="O265" s="31">
        <v>3476.0</v>
      </c>
      <c r="P265" s="31">
        <v>4102.0</v>
      </c>
      <c r="Q265" s="6">
        <v>49.0</v>
      </c>
      <c r="R265" s="31">
        <f t="shared" si="8"/>
        <v>1703.24</v>
      </c>
    </row>
    <row r="266">
      <c r="B266" s="661">
        <v>45962.0</v>
      </c>
      <c r="C266" s="31" t="s">
        <v>11775</v>
      </c>
      <c r="D266" s="31" t="s">
        <v>11776</v>
      </c>
      <c r="E266" s="31" t="s">
        <v>11220</v>
      </c>
      <c r="F266" s="31" t="s">
        <v>11777</v>
      </c>
      <c r="G266" s="31">
        <v>9.979631591E9</v>
      </c>
      <c r="H266" s="31"/>
      <c r="I266" s="31">
        <v>125.0</v>
      </c>
      <c r="J266" s="662">
        <v>46327.0</v>
      </c>
      <c r="K266" s="31" t="s">
        <v>65</v>
      </c>
      <c r="L266" s="31" t="s">
        <v>26</v>
      </c>
      <c r="M266" s="31" t="s">
        <v>27</v>
      </c>
      <c r="N266" s="31" t="s">
        <v>28</v>
      </c>
      <c r="O266" s="31">
        <v>714.0</v>
      </c>
      <c r="P266" s="31">
        <v>842.0</v>
      </c>
      <c r="Q266" s="6">
        <v>57.0</v>
      </c>
      <c r="R266" s="31">
        <f t="shared" si="8"/>
        <v>406.98</v>
      </c>
    </row>
    <row r="267">
      <c r="B267" s="31" t="s">
        <v>8533</v>
      </c>
      <c r="C267" s="31" t="s">
        <v>11778</v>
      </c>
      <c r="D267" s="31" t="s">
        <v>966</v>
      </c>
      <c r="E267" s="31" t="s">
        <v>2544</v>
      </c>
      <c r="F267" s="31" t="s">
        <v>11779</v>
      </c>
      <c r="G267" s="31">
        <v>7.990662393E9</v>
      </c>
      <c r="H267" s="31"/>
      <c r="I267" s="31">
        <v>2523.0</v>
      </c>
      <c r="J267" s="661">
        <v>46357.0</v>
      </c>
      <c r="K267" s="31" t="s">
        <v>78</v>
      </c>
      <c r="L267" s="31" t="s">
        <v>26</v>
      </c>
      <c r="M267" s="31" t="s">
        <v>27</v>
      </c>
      <c r="N267" s="31" t="s">
        <v>28</v>
      </c>
      <c r="O267" s="31">
        <v>7947.0</v>
      </c>
      <c r="P267" s="31">
        <v>9377.0</v>
      </c>
      <c r="Q267" s="6">
        <v>42.0</v>
      </c>
      <c r="R267" s="31">
        <f t="shared" si="8"/>
        <v>3337.74</v>
      </c>
    </row>
    <row r="268">
      <c r="B268" s="31" t="s">
        <v>8533</v>
      </c>
      <c r="C268" s="31" t="s">
        <v>11780</v>
      </c>
      <c r="D268" s="31" t="s">
        <v>966</v>
      </c>
      <c r="E268" s="31" t="s">
        <v>11781</v>
      </c>
      <c r="F268" s="31" t="s">
        <v>11782</v>
      </c>
      <c r="G268" s="31" t="s">
        <v>11783</v>
      </c>
      <c r="H268" s="31"/>
      <c r="I268" s="31">
        <v>1497.0</v>
      </c>
      <c r="J268" s="661">
        <v>46357.0</v>
      </c>
      <c r="K268" s="31" t="s">
        <v>78</v>
      </c>
      <c r="L268" s="31" t="s">
        <v>26</v>
      </c>
      <c r="M268" s="31" t="s">
        <v>27</v>
      </c>
      <c r="N268" s="31" t="s">
        <v>28</v>
      </c>
      <c r="O268" s="31">
        <v>3416.0</v>
      </c>
      <c r="P268" s="31">
        <v>4031.0</v>
      </c>
      <c r="Q268" s="6">
        <v>49.0</v>
      </c>
      <c r="R268" s="31">
        <f t="shared" si="8"/>
        <v>1673.84</v>
      </c>
    </row>
    <row r="269">
      <c r="B269" s="31" t="s">
        <v>8533</v>
      </c>
      <c r="C269" s="31" t="s">
        <v>11784</v>
      </c>
      <c r="D269" s="31" t="s">
        <v>966</v>
      </c>
      <c r="E269" s="31" t="s">
        <v>11785</v>
      </c>
      <c r="F269" s="31" t="s">
        <v>11786</v>
      </c>
      <c r="G269" s="31">
        <v>9.724435734E9</v>
      </c>
      <c r="H269" s="31"/>
      <c r="I269" s="31">
        <v>998.0</v>
      </c>
      <c r="J269" s="661">
        <v>46357.0</v>
      </c>
      <c r="K269" s="31" t="s">
        <v>78</v>
      </c>
      <c r="L269" s="31" t="s">
        <v>26</v>
      </c>
      <c r="M269" s="31" t="s">
        <v>27</v>
      </c>
      <c r="N269" s="31" t="s">
        <v>28</v>
      </c>
      <c r="O269" s="31">
        <v>2154.0</v>
      </c>
      <c r="P269" s="31">
        <v>2542.0</v>
      </c>
      <c r="Q269" s="6">
        <v>49.0</v>
      </c>
      <c r="R269" s="31">
        <f t="shared" si="8"/>
        <v>1055.46</v>
      </c>
    </row>
    <row r="270">
      <c r="B270" s="31" t="s">
        <v>1925</v>
      </c>
      <c r="C270" s="31" t="s">
        <v>11787</v>
      </c>
      <c r="D270" s="31" t="s">
        <v>966</v>
      </c>
      <c r="E270" s="31" t="s">
        <v>11684</v>
      </c>
      <c r="F270" s="31" t="s">
        <v>11788</v>
      </c>
      <c r="G270" s="31">
        <v>9.510307212E9</v>
      </c>
      <c r="H270" s="31"/>
      <c r="I270" s="31">
        <v>1495.0</v>
      </c>
      <c r="J270" s="31" t="s">
        <v>1673</v>
      </c>
      <c r="K270" s="31" t="s">
        <v>78</v>
      </c>
      <c r="L270" s="31" t="s">
        <v>26</v>
      </c>
      <c r="M270" s="31" t="s">
        <v>27</v>
      </c>
      <c r="N270" s="31" t="s">
        <v>28</v>
      </c>
      <c r="O270" s="31">
        <v>3476.0</v>
      </c>
      <c r="P270" s="31">
        <v>4102.0</v>
      </c>
      <c r="Q270" s="6">
        <v>49.0</v>
      </c>
      <c r="R270" s="31">
        <f t="shared" si="8"/>
        <v>1703.24</v>
      </c>
    </row>
    <row r="271">
      <c r="B271" s="31" t="s">
        <v>8551</v>
      </c>
      <c r="C271" s="31" t="s">
        <v>11789</v>
      </c>
      <c r="D271" s="31" t="s">
        <v>966</v>
      </c>
      <c r="E271" s="31" t="s">
        <v>11790</v>
      </c>
      <c r="F271" s="31" t="s">
        <v>11791</v>
      </c>
      <c r="G271" s="31">
        <v>9.316384736E9</v>
      </c>
      <c r="H271" s="31"/>
      <c r="I271" s="31">
        <v>1061.0</v>
      </c>
      <c r="J271" s="31" t="s">
        <v>1515</v>
      </c>
      <c r="K271" s="31" t="s">
        <v>78</v>
      </c>
      <c r="L271" s="31" t="s">
        <v>26</v>
      </c>
      <c r="M271" s="31" t="s">
        <v>27</v>
      </c>
      <c r="N271" s="31" t="s">
        <v>28</v>
      </c>
      <c r="O271" s="31">
        <v>3416.0</v>
      </c>
      <c r="P271" s="31">
        <v>4102.0</v>
      </c>
      <c r="Q271" s="6">
        <v>49.0</v>
      </c>
      <c r="R271" s="31">
        <f t="shared" si="8"/>
        <v>1673.84</v>
      </c>
    </row>
    <row r="272">
      <c r="B272" s="31" t="s">
        <v>1777</v>
      </c>
      <c r="C272" s="31" t="s">
        <v>11792</v>
      </c>
      <c r="D272" s="31" t="s">
        <v>60</v>
      </c>
      <c r="E272" s="31" t="s">
        <v>11793</v>
      </c>
      <c r="F272" s="31" t="s">
        <v>11794</v>
      </c>
      <c r="G272" s="31">
        <v>9.558375792E9</v>
      </c>
      <c r="H272" s="31"/>
      <c r="I272" s="31">
        <v>0.0</v>
      </c>
      <c r="J272" s="31" t="s">
        <v>1726</v>
      </c>
      <c r="K272" s="31" t="s">
        <v>1419</v>
      </c>
      <c r="L272" s="31" t="s">
        <v>26</v>
      </c>
      <c r="M272" s="31" t="s">
        <v>27</v>
      </c>
      <c r="N272" s="31" t="s">
        <v>28</v>
      </c>
      <c r="O272" s="31">
        <v>714.0</v>
      </c>
      <c r="P272" s="31">
        <v>842.0</v>
      </c>
      <c r="Q272" s="6">
        <v>45.0</v>
      </c>
      <c r="R272" s="31">
        <f t="shared" si="8"/>
        <v>321.3</v>
      </c>
    </row>
    <row r="273">
      <c r="B273" s="31" t="s">
        <v>8567</v>
      </c>
      <c r="C273" s="31" t="s">
        <v>669</v>
      </c>
      <c r="D273" s="31" t="s">
        <v>60</v>
      </c>
      <c r="E273" s="31" t="s">
        <v>719</v>
      </c>
      <c r="F273" s="31" t="s">
        <v>11795</v>
      </c>
      <c r="G273" s="31" t="s">
        <v>11796</v>
      </c>
      <c r="H273" s="31" t="s">
        <v>11797</v>
      </c>
      <c r="I273" s="31">
        <v>100.0</v>
      </c>
      <c r="J273" s="31" t="s">
        <v>11798</v>
      </c>
      <c r="K273" s="31" t="s">
        <v>65</v>
      </c>
      <c r="L273" s="31" t="s">
        <v>26</v>
      </c>
      <c r="M273" s="31" t="s">
        <v>27</v>
      </c>
      <c r="N273" s="31" t="s">
        <v>28</v>
      </c>
      <c r="O273" s="31">
        <v>714.0</v>
      </c>
      <c r="P273" s="31">
        <v>842.0</v>
      </c>
      <c r="Q273" s="6">
        <v>57.0</v>
      </c>
      <c r="R273" s="31">
        <f t="shared" si="8"/>
        <v>406.98</v>
      </c>
    </row>
    <row r="274">
      <c r="B274" s="31" t="s">
        <v>8567</v>
      </c>
      <c r="C274" s="31" t="s">
        <v>6890</v>
      </c>
      <c r="D274" s="31" t="s">
        <v>966</v>
      </c>
      <c r="E274" s="31" t="s">
        <v>11733</v>
      </c>
      <c r="F274" s="31" t="s">
        <v>11799</v>
      </c>
      <c r="G274" s="31">
        <v>9.173286107E9</v>
      </c>
      <c r="H274" s="31"/>
      <c r="I274" s="31">
        <v>1493.0</v>
      </c>
      <c r="J274" s="31" t="s">
        <v>1736</v>
      </c>
      <c r="K274" s="31" t="s">
        <v>78</v>
      </c>
      <c r="L274" s="31" t="s">
        <v>26</v>
      </c>
      <c r="M274" s="31" t="s">
        <v>71</v>
      </c>
      <c r="N274" s="31" t="s">
        <v>28</v>
      </c>
      <c r="O274" s="31">
        <v>3416.0</v>
      </c>
      <c r="P274" s="31">
        <v>4031.0</v>
      </c>
      <c r="Q274" s="6">
        <v>49.0</v>
      </c>
      <c r="R274" s="31">
        <f t="shared" si="8"/>
        <v>1673.84</v>
      </c>
    </row>
    <row r="275">
      <c r="B275" s="31" t="s">
        <v>1828</v>
      </c>
      <c r="C275" s="31" t="s">
        <v>11800</v>
      </c>
      <c r="D275" s="31" t="s">
        <v>60</v>
      </c>
      <c r="E275" s="31" t="s">
        <v>11418</v>
      </c>
      <c r="F275" s="31" t="s">
        <v>11801</v>
      </c>
      <c r="G275" s="31" t="s">
        <v>11319</v>
      </c>
      <c r="H275" s="31"/>
      <c r="I275" s="31">
        <v>350.0</v>
      </c>
      <c r="J275" s="31" t="s">
        <v>1836</v>
      </c>
      <c r="K275" s="31" t="s">
        <v>65</v>
      </c>
      <c r="L275" s="31" t="s">
        <v>26</v>
      </c>
      <c r="M275" s="31" t="s">
        <v>27</v>
      </c>
      <c r="N275" s="31" t="s">
        <v>28</v>
      </c>
      <c r="O275" s="31">
        <v>1366.0</v>
      </c>
      <c r="P275" s="31">
        <v>1612.0</v>
      </c>
      <c r="Q275" s="6">
        <v>57.0</v>
      </c>
      <c r="R275" s="31">
        <f t="shared" si="8"/>
        <v>778.62</v>
      </c>
    </row>
    <row r="276">
      <c r="B276" s="31" t="s">
        <v>1828</v>
      </c>
      <c r="C276" s="31" t="s">
        <v>11802</v>
      </c>
      <c r="D276" s="31" t="s">
        <v>966</v>
      </c>
      <c r="E276" s="31" t="s">
        <v>2544</v>
      </c>
      <c r="F276" s="31" t="s">
        <v>11803</v>
      </c>
      <c r="G276" s="31" t="s">
        <v>11804</v>
      </c>
      <c r="H276" s="31"/>
      <c r="I276" s="31">
        <v>2523.0</v>
      </c>
      <c r="J276" s="31" t="s">
        <v>1715</v>
      </c>
      <c r="K276" s="31" t="s">
        <v>78</v>
      </c>
      <c r="L276" s="31" t="s">
        <v>26</v>
      </c>
      <c r="M276" s="31" t="s">
        <v>27</v>
      </c>
      <c r="N276" s="31" t="s">
        <v>28</v>
      </c>
      <c r="O276" s="31">
        <v>8322.0</v>
      </c>
      <c r="P276" s="31">
        <v>9820.0</v>
      </c>
      <c r="Q276" s="6">
        <v>42.0</v>
      </c>
      <c r="R276" s="31">
        <f t="shared" si="8"/>
        <v>3495.24</v>
      </c>
    </row>
    <row r="277">
      <c r="B277" s="31" t="s">
        <v>1783</v>
      </c>
      <c r="C277" s="31" t="s">
        <v>11805</v>
      </c>
      <c r="D277" s="31" t="s">
        <v>60</v>
      </c>
      <c r="E277" s="31" t="s">
        <v>11749</v>
      </c>
      <c r="F277" s="31" t="s">
        <v>11806</v>
      </c>
      <c r="G277" s="31">
        <v>9.328922323E9</v>
      </c>
      <c r="H277" s="31"/>
      <c r="I277" s="31">
        <v>110.0</v>
      </c>
      <c r="J277" s="31" t="s">
        <v>6094</v>
      </c>
      <c r="K277" s="31" t="s">
        <v>65</v>
      </c>
      <c r="L277" s="31" t="s">
        <v>26</v>
      </c>
      <c r="M277" s="31" t="s">
        <v>71</v>
      </c>
      <c r="N277" s="31" t="s">
        <v>28</v>
      </c>
      <c r="O277" s="31">
        <v>714.0</v>
      </c>
      <c r="P277" s="31">
        <v>842.0</v>
      </c>
      <c r="Q277" s="6">
        <v>57.0</v>
      </c>
      <c r="R277" s="31">
        <f t="shared" si="8"/>
        <v>406.98</v>
      </c>
    </row>
    <row r="278">
      <c r="B278" s="31" t="s">
        <v>1783</v>
      </c>
      <c r="C278" s="31" t="s">
        <v>11807</v>
      </c>
      <c r="D278" s="31" t="s">
        <v>966</v>
      </c>
      <c r="E278" s="31" t="s">
        <v>8464</v>
      </c>
      <c r="F278" s="31" t="s">
        <v>11808</v>
      </c>
      <c r="G278" s="31" t="s">
        <v>11809</v>
      </c>
      <c r="H278" s="31" t="s">
        <v>11810</v>
      </c>
      <c r="I278" s="31">
        <v>1196.0</v>
      </c>
      <c r="J278" s="31" t="s">
        <v>516</v>
      </c>
      <c r="K278" s="31" t="s">
        <v>78</v>
      </c>
      <c r="L278" s="31" t="s">
        <v>26</v>
      </c>
      <c r="M278" s="31" t="s">
        <v>27</v>
      </c>
      <c r="N278" s="31" t="s">
        <v>28</v>
      </c>
      <c r="O278" s="31">
        <v>3416.0</v>
      </c>
      <c r="P278" s="31">
        <v>4031.0</v>
      </c>
      <c r="Q278" s="6">
        <v>49.0</v>
      </c>
      <c r="R278" s="31">
        <f t="shared" si="8"/>
        <v>1673.84</v>
      </c>
    </row>
    <row r="279">
      <c r="B279" s="31" t="s">
        <v>1971</v>
      </c>
      <c r="C279" s="31" t="s">
        <v>11811</v>
      </c>
      <c r="D279" s="31" t="s">
        <v>60</v>
      </c>
      <c r="E279" s="31" t="s">
        <v>719</v>
      </c>
      <c r="F279" s="31" t="s">
        <v>11812</v>
      </c>
      <c r="G279" s="31">
        <v>9.998706993E9</v>
      </c>
      <c r="H279" s="31">
        <v>9.725309347E9</v>
      </c>
      <c r="I279" s="31">
        <v>100.0</v>
      </c>
      <c r="J279" s="31" t="s">
        <v>11813</v>
      </c>
      <c r="K279" s="31" t="s">
        <v>65</v>
      </c>
      <c r="L279" s="31" t="s">
        <v>26</v>
      </c>
      <c r="M279" s="31" t="s">
        <v>71</v>
      </c>
      <c r="N279" s="31" t="s">
        <v>28</v>
      </c>
      <c r="O279" s="31">
        <v>714.0</v>
      </c>
      <c r="P279" s="31">
        <v>842.0</v>
      </c>
      <c r="Q279" s="6">
        <v>57.0</v>
      </c>
      <c r="R279" s="31">
        <f t="shared" si="8"/>
        <v>406.98</v>
      </c>
    </row>
    <row r="280">
      <c r="B280" s="31" t="s">
        <v>1971</v>
      </c>
      <c r="C280" s="31" t="s">
        <v>11814</v>
      </c>
      <c r="D280" s="31" t="s">
        <v>60</v>
      </c>
      <c r="E280" s="31" t="s">
        <v>719</v>
      </c>
      <c r="F280" s="31" t="s">
        <v>11815</v>
      </c>
      <c r="G280" s="31">
        <v>9.725309347E9</v>
      </c>
      <c r="H280" s="31">
        <v>8.780395808E9</v>
      </c>
      <c r="I280" s="31">
        <v>100.0</v>
      </c>
      <c r="J280" s="31" t="s">
        <v>11813</v>
      </c>
      <c r="K280" s="31" t="s">
        <v>65</v>
      </c>
      <c r="L280" s="31" t="s">
        <v>26</v>
      </c>
      <c r="M280" s="31" t="s">
        <v>71</v>
      </c>
      <c r="N280" s="31" t="s">
        <v>28</v>
      </c>
      <c r="O280" s="31">
        <v>714.0</v>
      </c>
      <c r="P280" s="31">
        <v>842.0</v>
      </c>
      <c r="Q280" s="6">
        <v>57.0</v>
      </c>
      <c r="R280" s="31">
        <f t="shared" si="8"/>
        <v>406.98</v>
      </c>
    </row>
    <row r="281">
      <c r="B281" s="31" t="s">
        <v>1971</v>
      </c>
      <c r="C281" s="31" t="s">
        <v>11816</v>
      </c>
      <c r="D281" s="31" t="s">
        <v>60</v>
      </c>
      <c r="E281" s="31" t="s">
        <v>11749</v>
      </c>
      <c r="F281" s="31" t="s">
        <v>11812</v>
      </c>
      <c r="G281" s="31">
        <v>9.725309347E9</v>
      </c>
      <c r="H281" s="31"/>
      <c r="I281" s="31">
        <v>110.0</v>
      </c>
      <c r="J281" s="31" t="s">
        <v>11813</v>
      </c>
      <c r="K281" s="31" t="s">
        <v>65</v>
      </c>
      <c r="L281" s="31" t="s">
        <v>26</v>
      </c>
      <c r="M281" s="31" t="s">
        <v>27</v>
      </c>
      <c r="N281" s="31" t="s">
        <v>28</v>
      </c>
      <c r="O281" s="31">
        <v>714.0</v>
      </c>
      <c r="P281" s="31">
        <v>842.0</v>
      </c>
      <c r="Q281" s="6">
        <v>57.0</v>
      </c>
      <c r="R281" s="31">
        <f t="shared" si="8"/>
        <v>406.98</v>
      </c>
    </row>
    <row r="282">
      <c r="B282" s="31" t="s">
        <v>1980</v>
      </c>
      <c r="C282" s="31" t="s">
        <v>11817</v>
      </c>
      <c r="D282" s="31" t="s">
        <v>60</v>
      </c>
      <c r="E282" s="31" t="s">
        <v>11749</v>
      </c>
      <c r="F282" s="31" t="s">
        <v>11818</v>
      </c>
      <c r="G282" s="31">
        <v>8.000111921E9</v>
      </c>
      <c r="H282" s="31"/>
      <c r="I282" s="31">
        <v>110.0</v>
      </c>
      <c r="J282" s="31" t="s">
        <v>6023</v>
      </c>
      <c r="K282" s="31" t="s">
        <v>65</v>
      </c>
      <c r="L282" s="31" t="s">
        <v>26</v>
      </c>
      <c r="M282" s="31" t="s">
        <v>27</v>
      </c>
      <c r="N282" s="31" t="s">
        <v>28</v>
      </c>
      <c r="O282" s="31">
        <v>714.0</v>
      </c>
      <c r="P282" s="31">
        <v>842.0</v>
      </c>
      <c r="Q282" s="6">
        <v>57.0</v>
      </c>
      <c r="R282" s="31">
        <f t="shared" si="8"/>
        <v>406.98</v>
      </c>
    </row>
    <row r="283">
      <c r="B283" s="31" t="s">
        <v>1980</v>
      </c>
      <c r="C283" s="31" t="s">
        <v>11819</v>
      </c>
      <c r="D283" s="31" t="s">
        <v>60</v>
      </c>
      <c r="E283" s="31" t="s">
        <v>11820</v>
      </c>
      <c r="F283" s="31" t="s">
        <v>11821</v>
      </c>
      <c r="G283" s="31">
        <v>8.511187861E9</v>
      </c>
      <c r="H283" s="31"/>
      <c r="I283" s="31">
        <v>220.0</v>
      </c>
      <c r="J283" s="31" t="s">
        <v>6023</v>
      </c>
      <c r="K283" s="31" t="s">
        <v>65</v>
      </c>
      <c r="L283" s="31" t="s">
        <v>26</v>
      </c>
      <c r="M283" s="31" t="s">
        <v>27</v>
      </c>
      <c r="N283" s="31" t="s">
        <v>28</v>
      </c>
      <c r="O283" s="31">
        <v>1366.0</v>
      </c>
      <c r="P283" s="31">
        <v>1612.0</v>
      </c>
      <c r="Q283" s="6">
        <v>57.0</v>
      </c>
      <c r="R283" s="31">
        <f t="shared" si="8"/>
        <v>778.62</v>
      </c>
    </row>
    <row r="284">
      <c r="B284" s="31" t="s">
        <v>2004</v>
      </c>
      <c r="C284" s="31" t="s">
        <v>700</v>
      </c>
      <c r="D284" s="31" t="s">
        <v>60</v>
      </c>
      <c r="E284" s="31" t="s">
        <v>11822</v>
      </c>
      <c r="F284" s="31" t="s">
        <v>703</v>
      </c>
      <c r="G284" s="31">
        <v>9.727347864E9</v>
      </c>
      <c r="H284" s="31"/>
      <c r="I284" s="31">
        <v>125.0</v>
      </c>
      <c r="J284" s="31" t="s">
        <v>11823</v>
      </c>
      <c r="K284" s="31" t="s">
        <v>65</v>
      </c>
      <c r="L284" s="31" t="s">
        <v>26</v>
      </c>
      <c r="M284" s="31" t="s">
        <v>27</v>
      </c>
      <c r="N284" s="31" t="s">
        <v>28</v>
      </c>
      <c r="O284" s="31">
        <v>714.0</v>
      </c>
      <c r="P284" s="31">
        <v>842.0</v>
      </c>
      <c r="Q284" s="6">
        <v>57.0</v>
      </c>
      <c r="R284" s="31">
        <f t="shared" si="8"/>
        <v>406.98</v>
      </c>
    </row>
    <row r="285">
      <c r="B285" s="31" t="s">
        <v>2004</v>
      </c>
      <c r="C285" s="31" t="s">
        <v>11824</v>
      </c>
      <c r="D285" s="31" t="s">
        <v>966</v>
      </c>
      <c r="E285" s="31" t="s">
        <v>11584</v>
      </c>
      <c r="F285" s="31" t="s">
        <v>11825</v>
      </c>
      <c r="G285" s="31">
        <v>9.727347864E9</v>
      </c>
      <c r="H285" s="31"/>
      <c r="I285" s="31">
        <v>1086.0</v>
      </c>
      <c r="J285" s="661">
        <v>46297.0</v>
      </c>
      <c r="K285" s="31" t="s">
        <v>78</v>
      </c>
      <c r="L285" s="31" t="s">
        <v>26</v>
      </c>
      <c r="M285" s="31" t="s">
        <v>27</v>
      </c>
      <c r="N285" s="31" t="s">
        <v>28</v>
      </c>
      <c r="O285" s="31">
        <v>3476.0</v>
      </c>
      <c r="P285" s="31">
        <v>4102.0</v>
      </c>
      <c r="Q285" s="6">
        <v>49.0</v>
      </c>
      <c r="R285" s="31">
        <f t="shared" si="8"/>
        <v>1703.24</v>
      </c>
    </row>
    <row r="286">
      <c r="B286" s="31" t="s">
        <v>2004</v>
      </c>
      <c r="C286" s="31" t="s">
        <v>6922</v>
      </c>
      <c r="D286" s="31" t="s">
        <v>966</v>
      </c>
      <c r="E286" s="31" t="s">
        <v>11826</v>
      </c>
      <c r="F286" s="31" t="s">
        <v>11827</v>
      </c>
      <c r="G286" s="31" t="s">
        <v>11828</v>
      </c>
      <c r="H286" s="31"/>
      <c r="I286" s="31">
        <v>1197.0</v>
      </c>
      <c r="J286" s="661">
        <v>46144.0</v>
      </c>
      <c r="K286" s="31" t="s">
        <v>78</v>
      </c>
      <c r="L286" s="31" t="s">
        <v>26</v>
      </c>
      <c r="M286" s="31" t="s">
        <v>11829</v>
      </c>
      <c r="N286" s="31" t="s">
        <v>28</v>
      </c>
      <c r="O286" s="31">
        <v>4101.0</v>
      </c>
      <c r="P286" s="31">
        <v>4839.0</v>
      </c>
      <c r="Q286" s="6">
        <v>49.0</v>
      </c>
      <c r="R286" s="31">
        <f t="shared" si="8"/>
        <v>2009.49</v>
      </c>
    </row>
    <row r="287">
      <c r="B287" s="31" t="s">
        <v>2059</v>
      </c>
      <c r="C287" s="31" t="s">
        <v>11830</v>
      </c>
      <c r="D287" s="31" t="s">
        <v>60</v>
      </c>
      <c r="E287" s="31" t="s">
        <v>719</v>
      </c>
      <c r="F287" s="31" t="s">
        <v>11831</v>
      </c>
      <c r="G287" s="31">
        <v>9.979024245E9</v>
      </c>
      <c r="H287" s="31"/>
      <c r="I287" s="31">
        <v>100.0</v>
      </c>
      <c r="J287" s="31" t="s">
        <v>11832</v>
      </c>
      <c r="K287" s="31" t="s">
        <v>65</v>
      </c>
      <c r="L287" s="31" t="s">
        <v>26</v>
      </c>
      <c r="M287" s="31" t="s">
        <v>27</v>
      </c>
      <c r="N287" s="31" t="s">
        <v>28</v>
      </c>
      <c r="O287" s="31">
        <v>714.0</v>
      </c>
      <c r="P287" s="31">
        <v>842.0</v>
      </c>
      <c r="Q287" s="6">
        <v>57.0</v>
      </c>
      <c r="R287" s="31">
        <f t="shared" si="8"/>
        <v>406.98</v>
      </c>
    </row>
    <row r="288">
      <c r="B288" s="31" t="s">
        <v>2059</v>
      </c>
      <c r="C288" s="31" t="s">
        <v>11833</v>
      </c>
      <c r="D288" s="31" t="s">
        <v>60</v>
      </c>
      <c r="E288" s="31" t="s">
        <v>719</v>
      </c>
      <c r="F288" s="31" t="s">
        <v>11834</v>
      </c>
      <c r="G288" s="31">
        <v>8.780611498E9</v>
      </c>
      <c r="H288" s="31"/>
      <c r="I288" s="31">
        <v>100.0</v>
      </c>
      <c r="J288" s="31" t="s">
        <v>11832</v>
      </c>
      <c r="K288" s="31" t="s">
        <v>11835</v>
      </c>
      <c r="L288" s="31" t="s">
        <v>26</v>
      </c>
      <c r="M288" s="31" t="s">
        <v>27</v>
      </c>
      <c r="N288" s="31" t="s">
        <v>28</v>
      </c>
      <c r="O288" s="31">
        <v>714.0</v>
      </c>
      <c r="P288" s="31">
        <v>842.0</v>
      </c>
      <c r="Q288" s="6">
        <v>57.0</v>
      </c>
      <c r="R288" s="31">
        <f t="shared" si="8"/>
        <v>406.98</v>
      </c>
    </row>
    <row r="289">
      <c r="B289" s="31" t="s">
        <v>2059</v>
      </c>
      <c r="C289" s="31" t="s">
        <v>11836</v>
      </c>
      <c r="D289" s="31" t="s">
        <v>60</v>
      </c>
      <c r="E289" s="31" t="s">
        <v>11837</v>
      </c>
      <c r="F289" s="31" t="s">
        <v>11838</v>
      </c>
      <c r="G289" s="31">
        <v>8.780611498E9</v>
      </c>
      <c r="H289" s="31"/>
      <c r="I289" s="31">
        <v>135.0</v>
      </c>
      <c r="J289" s="31" t="s">
        <v>11832</v>
      </c>
      <c r="K289" s="31" t="s">
        <v>65</v>
      </c>
      <c r="L289" s="31" t="s">
        <v>26</v>
      </c>
      <c r="M289" s="31" t="s">
        <v>27</v>
      </c>
      <c r="N289" s="31" t="s">
        <v>28</v>
      </c>
      <c r="O289" s="31">
        <v>714.0</v>
      </c>
      <c r="P289" s="31">
        <v>842.0</v>
      </c>
      <c r="Q289" s="6">
        <v>57.0</v>
      </c>
      <c r="R289" s="31">
        <f t="shared" si="8"/>
        <v>406.98</v>
      </c>
    </row>
    <row r="290">
      <c r="B290" s="31" t="s">
        <v>2059</v>
      </c>
      <c r="C290" s="31" t="s">
        <v>11839</v>
      </c>
      <c r="D290" s="31" t="s">
        <v>966</v>
      </c>
      <c r="E290" s="31" t="s">
        <v>11840</v>
      </c>
      <c r="F290" s="31" t="s">
        <v>11841</v>
      </c>
      <c r="G290" s="31" t="s">
        <v>11842</v>
      </c>
      <c r="H290" s="31"/>
      <c r="I290" s="31">
        <v>1956.0</v>
      </c>
      <c r="J290" s="31" t="s">
        <v>1868</v>
      </c>
      <c r="K290" s="31" t="s">
        <v>11843</v>
      </c>
      <c r="L290" s="31" t="s">
        <v>49</v>
      </c>
      <c r="M290" s="31" t="s">
        <v>27</v>
      </c>
      <c r="N290" s="31" t="s">
        <v>28</v>
      </c>
      <c r="O290" s="466">
        <v>28977.0</v>
      </c>
      <c r="P290" s="466">
        <v>34194.0</v>
      </c>
      <c r="Q290" s="6">
        <v>27.0</v>
      </c>
      <c r="R290" s="31">
        <f t="shared" si="8"/>
        <v>7823.79</v>
      </c>
    </row>
    <row r="291">
      <c r="B291" s="31" t="s">
        <v>2059</v>
      </c>
      <c r="C291" s="31" t="s">
        <v>11844</v>
      </c>
      <c r="D291" s="31" t="s">
        <v>966</v>
      </c>
      <c r="E291" s="31" t="s">
        <v>2544</v>
      </c>
      <c r="F291" s="31" t="s">
        <v>11845</v>
      </c>
      <c r="G291" s="31">
        <v>8.780611498E9</v>
      </c>
      <c r="H291" s="31"/>
      <c r="I291" s="31">
        <v>2523.0</v>
      </c>
      <c r="J291" s="31" t="s">
        <v>1827</v>
      </c>
      <c r="K291" s="31" t="s">
        <v>78</v>
      </c>
      <c r="L291" s="31" t="s">
        <v>26</v>
      </c>
      <c r="M291" s="31" t="s">
        <v>27</v>
      </c>
      <c r="N291" s="31" t="s">
        <v>28</v>
      </c>
      <c r="O291" s="31">
        <v>7947.0</v>
      </c>
      <c r="P291" s="31">
        <v>9377.0</v>
      </c>
      <c r="Q291" s="6">
        <v>42.0</v>
      </c>
      <c r="R291" s="31">
        <f t="shared" si="8"/>
        <v>3337.74</v>
      </c>
    </row>
    <row r="292">
      <c r="B292" s="31" t="s">
        <v>2059</v>
      </c>
      <c r="C292" s="31" t="s">
        <v>11846</v>
      </c>
      <c r="D292" s="31" t="s">
        <v>966</v>
      </c>
      <c r="E292" s="31" t="s">
        <v>8464</v>
      </c>
      <c r="F292" s="31" t="s">
        <v>11847</v>
      </c>
      <c r="G292" s="31" t="s">
        <v>11848</v>
      </c>
      <c r="H292" s="31"/>
      <c r="I292" s="31">
        <v>1196.0</v>
      </c>
      <c r="J292" s="31" t="s">
        <v>1827</v>
      </c>
      <c r="K292" s="31" t="s">
        <v>78</v>
      </c>
      <c r="L292" s="31" t="s">
        <v>26</v>
      </c>
      <c r="M292" s="31" t="s">
        <v>27</v>
      </c>
      <c r="N292" s="31" t="s">
        <v>28</v>
      </c>
      <c r="O292" s="31">
        <v>3476.0</v>
      </c>
      <c r="P292" s="31">
        <v>4102.0</v>
      </c>
      <c r="Q292" s="6">
        <v>49.0</v>
      </c>
      <c r="R292" s="31">
        <f t="shared" si="8"/>
        <v>1703.24</v>
      </c>
    </row>
    <row r="293">
      <c r="B293" s="31" t="s">
        <v>2059</v>
      </c>
      <c r="C293" s="31" t="s">
        <v>11849</v>
      </c>
      <c r="D293" s="31" t="s">
        <v>966</v>
      </c>
      <c r="E293" s="31" t="s">
        <v>11584</v>
      </c>
      <c r="F293" s="31" t="s">
        <v>11845</v>
      </c>
      <c r="G293" s="31">
        <v>8.780611498E9</v>
      </c>
      <c r="H293" s="31"/>
      <c r="I293" s="31">
        <v>1086.0</v>
      </c>
      <c r="J293" s="661">
        <v>46024.0</v>
      </c>
      <c r="K293" s="31" t="s">
        <v>78</v>
      </c>
      <c r="L293" s="31" t="s">
        <v>26</v>
      </c>
      <c r="M293" s="31" t="s">
        <v>27</v>
      </c>
      <c r="N293" s="31" t="s">
        <v>28</v>
      </c>
      <c r="O293" s="31">
        <v>3476.0</v>
      </c>
      <c r="P293" s="31">
        <v>4102.0</v>
      </c>
      <c r="Q293" s="6">
        <v>49.0</v>
      </c>
      <c r="R293" s="31">
        <f t="shared" si="8"/>
        <v>1703.24</v>
      </c>
    </row>
    <row r="294">
      <c r="B294" s="31" t="s">
        <v>2059</v>
      </c>
      <c r="C294" s="31" t="s">
        <v>11850</v>
      </c>
      <c r="D294" s="31" t="s">
        <v>60</v>
      </c>
      <c r="E294" s="31" t="s">
        <v>719</v>
      </c>
      <c r="F294" s="31" t="s">
        <v>11851</v>
      </c>
      <c r="G294" s="31" t="s">
        <v>11852</v>
      </c>
      <c r="H294" s="31"/>
      <c r="I294" s="31">
        <v>100.0</v>
      </c>
      <c r="J294" s="662">
        <v>46024.0</v>
      </c>
      <c r="K294" s="31" t="s">
        <v>65</v>
      </c>
      <c r="L294" s="31" t="s">
        <v>26</v>
      </c>
      <c r="M294" s="31" t="s">
        <v>71</v>
      </c>
      <c r="N294" s="31" t="s">
        <v>28</v>
      </c>
      <c r="O294" s="31">
        <v>714.0</v>
      </c>
      <c r="P294" s="31">
        <v>842.0</v>
      </c>
      <c r="Q294" s="6">
        <v>57.0</v>
      </c>
      <c r="R294" s="31">
        <f t="shared" si="8"/>
        <v>406.98</v>
      </c>
    </row>
    <row r="295">
      <c r="B295" s="31" t="s">
        <v>2059</v>
      </c>
      <c r="C295" s="31" t="s">
        <v>11853</v>
      </c>
      <c r="D295" s="31" t="s">
        <v>60</v>
      </c>
      <c r="E295" s="31" t="s">
        <v>11220</v>
      </c>
      <c r="F295" s="31" t="s">
        <v>11854</v>
      </c>
      <c r="G295" s="31" t="s">
        <v>11855</v>
      </c>
      <c r="H295" s="31"/>
      <c r="I295" s="31">
        <v>125.0</v>
      </c>
      <c r="J295" s="662">
        <v>46024.0</v>
      </c>
      <c r="K295" s="31" t="s">
        <v>65</v>
      </c>
      <c r="L295" s="31" t="s">
        <v>26</v>
      </c>
      <c r="M295" s="31" t="s">
        <v>27</v>
      </c>
      <c r="N295" s="31" t="s">
        <v>28</v>
      </c>
      <c r="O295" s="31">
        <v>714.0</v>
      </c>
      <c r="P295" s="31">
        <v>842.0</v>
      </c>
      <c r="Q295" s="6">
        <v>57.0</v>
      </c>
      <c r="R295" s="31">
        <f t="shared" si="8"/>
        <v>406.98</v>
      </c>
    </row>
    <row r="296">
      <c r="B296" s="31" t="s">
        <v>2059</v>
      </c>
      <c r="C296" s="31" t="s">
        <v>11856</v>
      </c>
      <c r="D296" s="31" t="s">
        <v>60</v>
      </c>
      <c r="E296" s="31" t="s">
        <v>719</v>
      </c>
      <c r="F296" s="31" t="s">
        <v>11857</v>
      </c>
      <c r="G296" s="31" t="s">
        <v>11858</v>
      </c>
      <c r="H296" s="31"/>
      <c r="I296" s="31">
        <v>97.0</v>
      </c>
      <c r="J296" s="662">
        <v>46024.0</v>
      </c>
      <c r="K296" s="31" t="s">
        <v>65</v>
      </c>
      <c r="L296" s="31" t="s">
        <v>26</v>
      </c>
      <c r="M296" s="31" t="s">
        <v>71</v>
      </c>
      <c r="N296" s="31" t="s">
        <v>28</v>
      </c>
      <c r="O296" s="31">
        <v>714.0</v>
      </c>
      <c r="P296" s="31">
        <v>842.0</v>
      </c>
      <c r="Q296" s="6">
        <v>57.0</v>
      </c>
      <c r="R296" s="31">
        <f t="shared" si="8"/>
        <v>406.98</v>
      </c>
    </row>
    <row r="297">
      <c r="B297" s="31" t="s">
        <v>2059</v>
      </c>
      <c r="C297" s="31" t="s">
        <v>6814</v>
      </c>
      <c r="D297" s="31" t="s">
        <v>966</v>
      </c>
      <c r="E297" s="31" t="s">
        <v>11695</v>
      </c>
      <c r="F297" s="31" t="s">
        <v>11859</v>
      </c>
      <c r="G297" s="31" t="s">
        <v>11860</v>
      </c>
      <c r="H297" s="31" t="s">
        <v>11861</v>
      </c>
      <c r="I297" s="31">
        <v>1086.0</v>
      </c>
      <c r="J297" s="31" t="s">
        <v>1827</v>
      </c>
      <c r="K297" s="31" t="s">
        <v>78</v>
      </c>
      <c r="L297" s="31" t="s">
        <v>26</v>
      </c>
      <c r="M297" s="31" t="s">
        <v>71</v>
      </c>
      <c r="N297" s="31" t="s">
        <v>28</v>
      </c>
      <c r="O297" s="31">
        <v>3416.0</v>
      </c>
      <c r="P297" s="31">
        <v>4031.0</v>
      </c>
      <c r="Q297" s="6">
        <v>49.0</v>
      </c>
      <c r="R297" s="31">
        <f t="shared" si="8"/>
        <v>1673.84</v>
      </c>
    </row>
    <row r="300">
      <c r="B300" s="22">
        <v>45659.0</v>
      </c>
      <c r="C300" s="8" t="s">
        <v>11853</v>
      </c>
      <c r="D300" s="8" t="s">
        <v>60</v>
      </c>
      <c r="E300" s="8" t="s">
        <v>11220</v>
      </c>
      <c r="F300" s="8" t="s">
        <v>11854</v>
      </c>
      <c r="G300" s="21" t="s">
        <v>11855</v>
      </c>
      <c r="H300" s="8"/>
      <c r="I300" s="21">
        <v>125.0</v>
      </c>
      <c r="J300" s="128">
        <v>46024.0</v>
      </c>
      <c r="K300" s="8" t="s">
        <v>65</v>
      </c>
      <c r="L300" s="663" t="s">
        <v>26</v>
      </c>
      <c r="M300" s="8" t="s">
        <v>27</v>
      </c>
      <c r="N300" s="8" t="s">
        <v>28</v>
      </c>
      <c r="O300" s="97">
        <v>714.0</v>
      </c>
      <c r="P300" s="97">
        <v>842.0</v>
      </c>
      <c r="Q300" s="5">
        <v>57.0</v>
      </c>
      <c r="R300" s="31">
        <f t="shared" ref="R300:R354" si="9">O300*Q300%</f>
        <v>406.98</v>
      </c>
    </row>
    <row r="301">
      <c r="B301" s="22">
        <v>45659.0</v>
      </c>
      <c r="C301" s="8" t="s">
        <v>11856</v>
      </c>
      <c r="D301" s="8" t="s">
        <v>60</v>
      </c>
      <c r="E301" s="8" t="s">
        <v>719</v>
      </c>
      <c r="F301" s="8" t="s">
        <v>11857</v>
      </c>
      <c r="G301" s="21" t="s">
        <v>11858</v>
      </c>
      <c r="H301" s="8"/>
      <c r="I301" s="21">
        <v>97.0</v>
      </c>
      <c r="J301" s="128">
        <v>46024.0</v>
      </c>
      <c r="K301" s="8" t="s">
        <v>65</v>
      </c>
      <c r="L301" s="663" t="s">
        <v>26</v>
      </c>
      <c r="M301" s="8" t="s">
        <v>71</v>
      </c>
      <c r="N301" s="8" t="s">
        <v>28</v>
      </c>
      <c r="O301" s="97">
        <v>714.0</v>
      </c>
      <c r="P301" s="97">
        <v>842.0</v>
      </c>
      <c r="Q301" s="5">
        <v>57.0</v>
      </c>
      <c r="R301" s="31">
        <f t="shared" si="9"/>
        <v>406.98</v>
      </c>
    </row>
    <row r="302">
      <c r="B302" s="22">
        <v>45749.0</v>
      </c>
      <c r="C302" s="8" t="s">
        <v>11862</v>
      </c>
      <c r="D302" s="8" t="s">
        <v>60</v>
      </c>
      <c r="E302" s="8" t="s">
        <v>11749</v>
      </c>
      <c r="F302" s="8" t="s">
        <v>11863</v>
      </c>
      <c r="G302" s="21">
        <v>7.567636069E9</v>
      </c>
      <c r="H302" s="8"/>
      <c r="I302" s="21">
        <v>110.0</v>
      </c>
      <c r="J302" s="128">
        <v>46083.0</v>
      </c>
      <c r="K302" s="8" t="s">
        <v>65</v>
      </c>
      <c r="L302" s="664" t="s">
        <v>26</v>
      </c>
      <c r="M302" s="8" t="s">
        <v>27</v>
      </c>
      <c r="N302" s="8" t="s">
        <v>28</v>
      </c>
      <c r="O302" s="21">
        <v>714.0</v>
      </c>
      <c r="P302" s="21">
        <v>842.0</v>
      </c>
      <c r="Q302" s="5">
        <v>58.0</v>
      </c>
      <c r="R302" s="31">
        <f t="shared" si="9"/>
        <v>414.12</v>
      </c>
    </row>
    <row r="303">
      <c r="B303" s="22">
        <v>45749.0</v>
      </c>
      <c r="C303" s="8" t="s">
        <v>11864</v>
      </c>
      <c r="D303" s="8" t="s">
        <v>60</v>
      </c>
      <c r="E303" s="8" t="s">
        <v>11865</v>
      </c>
      <c r="F303" s="8" t="s">
        <v>11866</v>
      </c>
      <c r="G303" s="21">
        <v>9.979495473E9</v>
      </c>
      <c r="H303" s="8"/>
      <c r="I303" s="21">
        <v>100.0</v>
      </c>
      <c r="J303" s="128">
        <v>46083.0</v>
      </c>
      <c r="K303" s="8" t="s">
        <v>65</v>
      </c>
      <c r="L303" s="664" t="s">
        <v>26</v>
      </c>
      <c r="M303" s="8" t="s">
        <v>71</v>
      </c>
      <c r="N303" s="8" t="s">
        <v>28</v>
      </c>
      <c r="O303" s="21">
        <v>1045.0</v>
      </c>
      <c r="P303" s="21">
        <v>1233.0</v>
      </c>
      <c r="Q303" s="5">
        <v>57.0</v>
      </c>
      <c r="R303" s="31">
        <f t="shared" si="9"/>
        <v>595.65</v>
      </c>
    </row>
    <row r="304">
      <c r="B304" s="22">
        <v>45749.0</v>
      </c>
      <c r="C304" s="8" t="s">
        <v>11867</v>
      </c>
      <c r="D304" s="8" t="s">
        <v>60</v>
      </c>
      <c r="E304" s="8" t="s">
        <v>719</v>
      </c>
      <c r="F304" s="8" t="s">
        <v>11868</v>
      </c>
      <c r="G304" s="21" t="s">
        <v>11869</v>
      </c>
      <c r="H304" s="8"/>
      <c r="I304" s="21">
        <v>100.0</v>
      </c>
      <c r="J304" s="128">
        <v>46114.0</v>
      </c>
      <c r="K304" s="8" t="s">
        <v>65</v>
      </c>
      <c r="L304" s="664" t="s">
        <v>26</v>
      </c>
      <c r="M304" s="8" t="s">
        <v>27</v>
      </c>
      <c r="N304" s="8" t="s">
        <v>28</v>
      </c>
      <c r="O304" s="21">
        <v>714.0</v>
      </c>
      <c r="P304" s="21">
        <v>842.0</v>
      </c>
      <c r="Q304" s="5">
        <v>57.0</v>
      </c>
      <c r="R304" s="31">
        <f t="shared" si="9"/>
        <v>406.98</v>
      </c>
    </row>
    <row r="305">
      <c r="B305" s="22">
        <v>45749.0</v>
      </c>
      <c r="C305" s="8" t="s">
        <v>11870</v>
      </c>
      <c r="D305" s="8" t="s">
        <v>966</v>
      </c>
      <c r="E305" s="8" t="s">
        <v>11871</v>
      </c>
      <c r="F305" s="8" t="s">
        <v>11872</v>
      </c>
      <c r="G305" s="21" t="s">
        <v>11873</v>
      </c>
      <c r="H305" s="8"/>
      <c r="I305" s="21">
        <v>1248.0</v>
      </c>
      <c r="J305" s="22">
        <v>46114.0</v>
      </c>
      <c r="K305" s="8" t="s">
        <v>11843</v>
      </c>
      <c r="L305" s="664" t="s">
        <v>26</v>
      </c>
      <c r="M305" s="8" t="s">
        <v>71</v>
      </c>
      <c r="N305" s="8" t="s">
        <v>28</v>
      </c>
      <c r="O305" s="97">
        <v>3746.0</v>
      </c>
      <c r="P305" s="97">
        <v>4420.0</v>
      </c>
      <c r="Q305" s="5">
        <v>32.0</v>
      </c>
      <c r="R305" s="31">
        <f t="shared" si="9"/>
        <v>1198.72</v>
      </c>
    </row>
    <row r="306">
      <c r="B306" s="22">
        <v>45810.0</v>
      </c>
      <c r="C306" s="8" t="s">
        <v>11874</v>
      </c>
      <c r="D306" s="8" t="s">
        <v>60</v>
      </c>
      <c r="E306" s="8" t="s">
        <v>723</v>
      </c>
      <c r="F306" s="8" t="s">
        <v>11875</v>
      </c>
      <c r="G306" s="21" t="s">
        <v>11876</v>
      </c>
      <c r="H306" s="8"/>
      <c r="I306" s="21">
        <v>125.0</v>
      </c>
      <c r="J306" s="128">
        <v>46144.0</v>
      </c>
      <c r="K306" s="8" t="s">
        <v>65</v>
      </c>
      <c r="L306" s="664" t="s">
        <v>26</v>
      </c>
      <c r="M306" s="8" t="s">
        <v>27</v>
      </c>
      <c r="N306" s="8" t="s">
        <v>28</v>
      </c>
      <c r="O306" s="21">
        <v>714.0</v>
      </c>
      <c r="P306" s="21">
        <v>842.0</v>
      </c>
      <c r="Q306" s="5">
        <v>57.0</v>
      </c>
      <c r="R306" s="31">
        <f t="shared" si="9"/>
        <v>406.98</v>
      </c>
    </row>
    <row r="307">
      <c r="B307" s="22">
        <v>45871.0</v>
      </c>
      <c r="C307" s="8" t="s">
        <v>11877</v>
      </c>
      <c r="D307" s="8" t="s">
        <v>966</v>
      </c>
      <c r="E307" s="8" t="s">
        <v>3541</v>
      </c>
      <c r="F307" s="8" t="s">
        <v>11878</v>
      </c>
      <c r="G307" s="21" t="s">
        <v>11879</v>
      </c>
      <c r="H307" s="8"/>
      <c r="I307" s="21">
        <v>1196.0</v>
      </c>
      <c r="J307" s="128">
        <v>46205.0</v>
      </c>
      <c r="K307" s="8" t="s">
        <v>65</v>
      </c>
      <c r="L307" s="664" t="s">
        <v>26</v>
      </c>
      <c r="M307" s="8" t="s">
        <v>27</v>
      </c>
      <c r="N307" s="8" t="s">
        <v>28</v>
      </c>
      <c r="O307" s="21">
        <v>3797.0</v>
      </c>
      <c r="P307" s="21">
        <v>4481.0</v>
      </c>
      <c r="Q307" s="5">
        <v>57.0</v>
      </c>
      <c r="R307" s="31">
        <f t="shared" si="9"/>
        <v>2164.29</v>
      </c>
    </row>
    <row r="308">
      <c r="B308" s="22">
        <v>45871.0</v>
      </c>
      <c r="C308" s="8" t="s">
        <v>11880</v>
      </c>
      <c r="D308" s="8" t="s">
        <v>60</v>
      </c>
      <c r="E308" s="8" t="s">
        <v>719</v>
      </c>
      <c r="F308" s="8" t="s">
        <v>11878</v>
      </c>
      <c r="G308" s="21" t="s">
        <v>11879</v>
      </c>
      <c r="H308" s="8"/>
      <c r="I308" s="21">
        <v>100.0</v>
      </c>
      <c r="J308" s="128">
        <v>46205.0</v>
      </c>
      <c r="K308" s="8" t="s">
        <v>65</v>
      </c>
      <c r="L308" s="664" t="s">
        <v>26</v>
      </c>
      <c r="M308" s="8" t="s">
        <v>27</v>
      </c>
      <c r="N308" s="8" t="s">
        <v>28</v>
      </c>
      <c r="O308" s="21">
        <v>714.0</v>
      </c>
      <c r="P308" s="21">
        <v>842.0</v>
      </c>
      <c r="Q308" s="5">
        <v>57.0</v>
      </c>
      <c r="R308" s="31">
        <f t="shared" si="9"/>
        <v>406.98</v>
      </c>
    </row>
    <row r="309">
      <c r="B309" s="22">
        <v>45871.0</v>
      </c>
      <c r="C309" s="8" t="s">
        <v>11881</v>
      </c>
      <c r="D309" s="8" t="s">
        <v>966</v>
      </c>
      <c r="E309" s="8" t="s">
        <v>11882</v>
      </c>
      <c r="F309" s="8" t="s">
        <v>11883</v>
      </c>
      <c r="G309" s="21">
        <v>9.925977449E9</v>
      </c>
      <c r="H309" s="8"/>
      <c r="I309" s="21">
        <v>998.0</v>
      </c>
      <c r="J309" s="21" t="s">
        <v>855</v>
      </c>
      <c r="K309" s="8" t="s">
        <v>78</v>
      </c>
      <c r="L309" s="664" t="s">
        <v>26</v>
      </c>
      <c r="M309" s="8" t="s">
        <v>71</v>
      </c>
      <c r="N309" s="8" t="s">
        <v>28</v>
      </c>
      <c r="O309" s="21">
        <v>2719.0</v>
      </c>
      <c r="P309" s="21">
        <v>3208.0</v>
      </c>
      <c r="Q309" s="5">
        <v>51.0</v>
      </c>
      <c r="R309" s="31">
        <f t="shared" si="9"/>
        <v>1386.69</v>
      </c>
    </row>
    <row r="310">
      <c r="B310" s="22">
        <v>45871.0</v>
      </c>
      <c r="C310" s="8" t="s">
        <v>11884</v>
      </c>
      <c r="D310" s="8" t="s">
        <v>966</v>
      </c>
      <c r="E310" s="8" t="s">
        <v>3541</v>
      </c>
      <c r="F310" s="8" t="s">
        <v>11885</v>
      </c>
      <c r="G310" s="8"/>
      <c r="H310" s="8"/>
      <c r="I310" s="21">
        <v>1196.0</v>
      </c>
      <c r="J310" s="128">
        <v>46205.0</v>
      </c>
      <c r="K310" s="8" t="s">
        <v>65</v>
      </c>
      <c r="L310" s="664" t="s">
        <v>26</v>
      </c>
      <c r="M310" s="8" t="s">
        <v>27</v>
      </c>
      <c r="N310" s="8" t="s">
        <v>28</v>
      </c>
      <c r="O310" s="21">
        <v>3857.0</v>
      </c>
      <c r="P310" s="21">
        <v>4551.0</v>
      </c>
      <c r="Q310" s="5">
        <v>57.0</v>
      </c>
      <c r="R310" s="31">
        <f t="shared" si="9"/>
        <v>2198.49</v>
      </c>
    </row>
    <row r="311">
      <c r="B311" s="22">
        <v>45902.0</v>
      </c>
      <c r="C311" s="8" t="s">
        <v>11886</v>
      </c>
      <c r="D311" s="8" t="s">
        <v>966</v>
      </c>
      <c r="E311" s="8" t="s">
        <v>11887</v>
      </c>
      <c r="F311" s="8" t="s">
        <v>11888</v>
      </c>
      <c r="G311" s="21">
        <v>9.825497611E9</v>
      </c>
      <c r="H311" s="21">
        <v>6.355912468E9</v>
      </c>
      <c r="I311" s="21">
        <v>2755.0</v>
      </c>
      <c r="J311" s="22">
        <v>46205.0</v>
      </c>
      <c r="K311" s="8" t="s">
        <v>1419</v>
      </c>
      <c r="L311" s="664" t="s">
        <v>49</v>
      </c>
      <c r="M311" s="8" t="s">
        <v>71</v>
      </c>
      <c r="N311" s="8" t="s">
        <v>28</v>
      </c>
      <c r="O311" s="203">
        <v>29763.0</v>
      </c>
      <c r="P311" s="97">
        <v>44941.0</v>
      </c>
      <c r="Q311" s="5">
        <v>20.0</v>
      </c>
      <c r="R311" s="31">
        <f t="shared" si="9"/>
        <v>5952.6</v>
      </c>
    </row>
    <row r="312">
      <c r="B312" s="22">
        <v>45932.0</v>
      </c>
      <c r="C312" s="8" t="s">
        <v>11889</v>
      </c>
      <c r="D312" s="8" t="s">
        <v>60</v>
      </c>
      <c r="E312" s="8" t="s">
        <v>11890</v>
      </c>
      <c r="F312" s="8" t="s">
        <v>2232</v>
      </c>
      <c r="G312" s="21" t="s">
        <v>11891</v>
      </c>
      <c r="H312" s="8"/>
      <c r="I312" s="21">
        <v>100.0</v>
      </c>
      <c r="J312" s="128">
        <v>46297.0</v>
      </c>
      <c r="K312" s="8" t="s">
        <v>65</v>
      </c>
      <c r="L312" s="664" t="s">
        <v>26</v>
      </c>
      <c r="M312" s="8" t="s">
        <v>27</v>
      </c>
      <c r="N312" s="8" t="s">
        <v>28</v>
      </c>
      <c r="O312" s="21">
        <v>714.0</v>
      </c>
      <c r="P312" s="21">
        <v>842.0</v>
      </c>
      <c r="Q312" s="5">
        <v>57.0</v>
      </c>
      <c r="R312" s="31">
        <f t="shared" si="9"/>
        <v>406.98</v>
      </c>
    </row>
    <row r="313">
      <c r="B313" s="22">
        <v>45963.0</v>
      </c>
      <c r="C313" s="8" t="s">
        <v>11892</v>
      </c>
      <c r="D313" s="8" t="s">
        <v>60</v>
      </c>
      <c r="E313" s="8" t="s">
        <v>11749</v>
      </c>
      <c r="F313" s="8" t="s">
        <v>11893</v>
      </c>
      <c r="G313" s="21">
        <v>9.42934032E9</v>
      </c>
      <c r="H313" s="8"/>
      <c r="I313" s="21">
        <v>110.0</v>
      </c>
      <c r="J313" s="128">
        <v>46297.0</v>
      </c>
      <c r="K313" s="8" t="s">
        <v>65</v>
      </c>
      <c r="L313" s="664" t="s">
        <v>26</v>
      </c>
      <c r="M313" s="8" t="s">
        <v>27</v>
      </c>
      <c r="N313" s="8" t="s">
        <v>28</v>
      </c>
      <c r="O313" s="21">
        <v>714.0</v>
      </c>
      <c r="P313" s="21">
        <v>842.0</v>
      </c>
      <c r="Q313" s="5">
        <v>58.0</v>
      </c>
      <c r="R313" s="31">
        <f t="shared" si="9"/>
        <v>414.12</v>
      </c>
    </row>
    <row r="314">
      <c r="B314" s="22">
        <v>45963.0</v>
      </c>
      <c r="C314" s="8" t="s">
        <v>11894</v>
      </c>
      <c r="D314" s="8" t="s">
        <v>60</v>
      </c>
      <c r="E314" s="8" t="s">
        <v>11895</v>
      </c>
      <c r="F314" s="8" t="s">
        <v>11896</v>
      </c>
      <c r="G314" s="21">
        <v>8.320608829E9</v>
      </c>
      <c r="H314" s="8"/>
      <c r="I314" s="21">
        <v>149.0</v>
      </c>
      <c r="J314" s="128">
        <v>46297.0</v>
      </c>
      <c r="K314" s="8" t="s">
        <v>65</v>
      </c>
      <c r="L314" s="664" t="s">
        <v>26</v>
      </c>
      <c r="M314" s="8" t="s">
        <v>27</v>
      </c>
      <c r="N314" s="8" t="s">
        <v>28</v>
      </c>
      <c r="O314" s="21">
        <v>714.0</v>
      </c>
      <c r="P314" s="21">
        <v>842.0</v>
      </c>
      <c r="Q314" s="5">
        <v>57.0</v>
      </c>
      <c r="R314" s="31">
        <f t="shared" si="9"/>
        <v>406.98</v>
      </c>
    </row>
    <row r="315">
      <c r="B315" s="22">
        <v>45963.0</v>
      </c>
      <c r="C315" s="8" t="s">
        <v>7268</v>
      </c>
      <c r="D315" s="8" t="s">
        <v>966</v>
      </c>
      <c r="E315" s="8" t="s">
        <v>11584</v>
      </c>
      <c r="F315" s="8" t="s">
        <v>11897</v>
      </c>
      <c r="G315" s="21" t="s">
        <v>11898</v>
      </c>
      <c r="H315" s="8"/>
      <c r="I315" s="21">
        <v>1086.0</v>
      </c>
      <c r="J315" s="22">
        <v>46267.0</v>
      </c>
      <c r="K315" s="8" t="s">
        <v>78</v>
      </c>
      <c r="L315" s="664" t="s">
        <v>26</v>
      </c>
      <c r="M315" s="8" t="s">
        <v>27</v>
      </c>
      <c r="N315" s="8" t="s">
        <v>28</v>
      </c>
      <c r="O315" s="21">
        <v>3791.0</v>
      </c>
      <c r="P315" s="21">
        <v>4473.0</v>
      </c>
      <c r="Q315" s="5">
        <v>51.0</v>
      </c>
      <c r="R315" s="31">
        <f t="shared" si="9"/>
        <v>1933.41</v>
      </c>
    </row>
    <row r="316">
      <c r="B316" s="22">
        <v>45963.0</v>
      </c>
      <c r="C316" s="8" t="s">
        <v>11899</v>
      </c>
      <c r="D316" s="8" t="s">
        <v>60</v>
      </c>
      <c r="E316" s="8" t="s">
        <v>719</v>
      </c>
      <c r="F316" s="8" t="s">
        <v>11900</v>
      </c>
      <c r="G316" s="21">
        <v>9.601759739E9</v>
      </c>
      <c r="H316" s="8"/>
      <c r="I316" s="21">
        <v>100.0</v>
      </c>
      <c r="J316" s="128">
        <v>46297.0</v>
      </c>
      <c r="K316" s="8" t="s">
        <v>65</v>
      </c>
      <c r="L316" s="664" t="s">
        <v>26</v>
      </c>
      <c r="M316" s="8" t="s">
        <v>71</v>
      </c>
      <c r="N316" s="8" t="s">
        <v>28</v>
      </c>
      <c r="O316" s="21">
        <v>714.0</v>
      </c>
      <c r="P316" s="21">
        <v>842.0</v>
      </c>
      <c r="Q316" s="5">
        <v>57.0</v>
      </c>
      <c r="R316" s="31">
        <f t="shared" si="9"/>
        <v>406.98</v>
      </c>
    </row>
    <row r="317">
      <c r="B317" s="22">
        <v>45993.0</v>
      </c>
      <c r="C317" s="8" t="s">
        <v>11901</v>
      </c>
      <c r="D317" s="8" t="s">
        <v>966</v>
      </c>
      <c r="E317" s="8" t="s">
        <v>8464</v>
      </c>
      <c r="F317" s="8" t="s">
        <v>11902</v>
      </c>
      <c r="G317" s="21" t="s">
        <v>11903</v>
      </c>
      <c r="H317" s="8"/>
      <c r="I317" s="21">
        <v>1196.0</v>
      </c>
      <c r="J317" s="22">
        <v>46328.0</v>
      </c>
      <c r="K317" s="8" t="s">
        <v>78</v>
      </c>
      <c r="L317" s="664" t="s">
        <v>26</v>
      </c>
      <c r="M317" s="8" t="s">
        <v>27</v>
      </c>
      <c r="N317" s="8" t="s">
        <v>28</v>
      </c>
      <c r="O317" s="21">
        <v>4051.0</v>
      </c>
      <c r="P317" s="21">
        <v>4780.0</v>
      </c>
      <c r="Q317" s="5">
        <v>51.0</v>
      </c>
      <c r="R317" s="31">
        <f t="shared" si="9"/>
        <v>2066.01</v>
      </c>
    </row>
    <row r="318">
      <c r="B318" s="22">
        <v>45993.0</v>
      </c>
      <c r="C318" s="8" t="s">
        <v>11904</v>
      </c>
      <c r="D318" s="8" t="s">
        <v>60</v>
      </c>
      <c r="E318" s="8" t="s">
        <v>719</v>
      </c>
      <c r="F318" s="8" t="s">
        <v>11905</v>
      </c>
      <c r="G318" s="21" t="s">
        <v>11906</v>
      </c>
      <c r="H318" s="8"/>
      <c r="I318" s="21">
        <v>100.0</v>
      </c>
      <c r="J318" s="128">
        <v>46328.0</v>
      </c>
      <c r="K318" s="8" t="s">
        <v>65</v>
      </c>
      <c r="L318" s="664" t="s">
        <v>26</v>
      </c>
      <c r="M318" s="8" t="s">
        <v>27</v>
      </c>
      <c r="N318" s="8" t="s">
        <v>28</v>
      </c>
      <c r="O318" s="21">
        <v>714.0</v>
      </c>
      <c r="P318" s="21">
        <v>842.0</v>
      </c>
      <c r="Q318" s="5">
        <v>57.0</v>
      </c>
      <c r="R318" s="31">
        <f t="shared" si="9"/>
        <v>406.98</v>
      </c>
    </row>
    <row r="319">
      <c r="B319" s="22">
        <v>45993.0</v>
      </c>
      <c r="C319" s="8" t="s">
        <v>11907</v>
      </c>
      <c r="D319" s="8" t="s">
        <v>60</v>
      </c>
      <c r="E319" s="8" t="s">
        <v>11749</v>
      </c>
      <c r="F319" s="8" t="s">
        <v>11908</v>
      </c>
      <c r="G319" s="21" t="s">
        <v>11909</v>
      </c>
      <c r="H319" s="8"/>
      <c r="I319" s="21">
        <v>110.0</v>
      </c>
      <c r="J319" s="128">
        <v>46358.0</v>
      </c>
      <c r="K319" s="8" t="s">
        <v>65</v>
      </c>
      <c r="L319" s="664" t="s">
        <v>26</v>
      </c>
      <c r="M319" s="8" t="s">
        <v>27</v>
      </c>
      <c r="N319" s="8" t="s">
        <v>28</v>
      </c>
      <c r="O319" s="21">
        <v>714.0</v>
      </c>
      <c r="P319" s="21">
        <v>842.0</v>
      </c>
      <c r="Q319" s="5">
        <v>58.0</v>
      </c>
      <c r="R319" s="31">
        <f t="shared" si="9"/>
        <v>414.12</v>
      </c>
    </row>
    <row r="320">
      <c r="B320" s="22">
        <v>45993.0</v>
      </c>
      <c r="C320" s="8" t="s">
        <v>11910</v>
      </c>
      <c r="D320" s="8" t="s">
        <v>60</v>
      </c>
      <c r="E320" s="8" t="s">
        <v>11911</v>
      </c>
      <c r="F320" s="8" t="s">
        <v>11912</v>
      </c>
      <c r="G320" s="21" t="s">
        <v>11909</v>
      </c>
      <c r="H320" s="8"/>
      <c r="I320" s="21">
        <v>150.0</v>
      </c>
      <c r="J320" s="128">
        <v>46358.0</v>
      </c>
      <c r="K320" s="8" t="s">
        <v>65</v>
      </c>
      <c r="L320" s="664" t="s">
        <v>26</v>
      </c>
      <c r="M320" s="8" t="s">
        <v>27</v>
      </c>
      <c r="N320" s="8" t="s">
        <v>28</v>
      </c>
      <c r="O320" s="21">
        <v>714.0</v>
      </c>
      <c r="P320" s="21">
        <v>842.0</v>
      </c>
      <c r="Q320" s="5">
        <v>57.0</v>
      </c>
      <c r="R320" s="31">
        <f t="shared" si="9"/>
        <v>406.98</v>
      </c>
    </row>
    <row r="321">
      <c r="B321" s="22">
        <v>45993.0</v>
      </c>
      <c r="C321" s="8" t="s">
        <v>11913</v>
      </c>
      <c r="D321" s="8" t="s">
        <v>60</v>
      </c>
      <c r="E321" s="8" t="s">
        <v>719</v>
      </c>
      <c r="F321" s="8" t="s">
        <v>11914</v>
      </c>
      <c r="G321" s="21" t="s">
        <v>11909</v>
      </c>
      <c r="H321" s="8"/>
      <c r="I321" s="21">
        <v>100.0</v>
      </c>
      <c r="J321" s="128">
        <v>46358.0</v>
      </c>
      <c r="K321" s="8" t="s">
        <v>65</v>
      </c>
      <c r="L321" s="664" t="s">
        <v>26</v>
      </c>
      <c r="M321" s="8" t="s">
        <v>27</v>
      </c>
      <c r="N321" s="8" t="s">
        <v>28</v>
      </c>
      <c r="O321" s="21">
        <v>714.0</v>
      </c>
      <c r="P321" s="21">
        <v>842.0</v>
      </c>
      <c r="Q321" s="5">
        <v>57.0</v>
      </c>
      <c r="R321" s="31">
        <f t="shared" si="9"/>
        <v>406.98</v>
      </c>
    </row>
    <row r="322">
      <c r="B322" s="8" t="s">
        <v>2421</v>
      </c>
      <c r="C322" s="8" t="s">
        <v>11915</v>
      </c>
      <c r="D322" s="8" t="s">
        <v>60</v>
      </c>
      <c r="E322" s="8" t="s">
        <v>719</v>
      </c>
      <c r="F322" s="8" t="s">
        <v>11916</v>
      </c>
      <c r="G322" s="21" t="s">
        <v>11917</v>
      </c>
      <c r="H322" s="8"/>
      <c r="I322" s="21">
        <v>100.0</v>
      </c>
      <c r="J322" s="21" t="s">
        <v>11918</v>
      </c>
      <c r="K322" s="8" t="s">
        <v>65</v>
      </c>
      <c r="L322" s="664" t="s">
        <v>26</v>
      </c>
      <c r="M322" s="8" t="s">
        <v>27</v>
      </c>
      <c r="N322" s="8" t="s">
        <v>28</v>
      </c>
      <c r="O322" s="21">
        <v>714.0</v>
      </c>
      <c r="P322" s="21">
        <v>842.0</v>
      </c>
      <c r="Q322" s="5">
        <v>57.0</v>
      </c>
      <c r="R322" s="31">
        <f t="shared" si="9"/>
        <v>406.98</v>
      </c>
    </row>
    <row r="323">
      <c r="B323" s="8" t="s">
        <v>2421</v>
      </c>
      <c r="C323" s="8" t="s">
        <v>11919</v>
      </c>
      <c r="D323" s="8" t="s">
        <v>60</v>
      </c>
      <c r="E323" s="8" t="s">
        <v>719</v>
      </c>
      <c r="F323" s="8" t="s">
        <v>11920</v>
      </c>
      <c r="G323" s="21" t="s">
        <v>11921</v>
      </c>
      <c r="H323" s="8"/>
      <c r="I323" s="21">
        <v>100.0</v>
      </c>
      <c r="J323" s="21" t="s">
        <v>11918</v>
      </c>
      <c r="K323" s="8" t="s">
        <v>65</v>
      </c>
      <c r="L323" s="664" t="s">
        <v>26</v>
      </c>
      <c r="M323" s="8" t="s">
        <v>27</v>
      </c>
      <c r="N323" s="8" t="s">
        <v>28</v>
      </c>
      <c r="O323" s="21">
        <v>714.0</v>
      </c>
      <c r="P323" s="21">
        <v>842.0</v>
      </c>
      <c r="Q323" s="5">
        <v>57.0</v>
      </c>
      <c r="R323" s="31">
        <f t="shared" si="9"/>
        <v>406.98</v>
      </c>
    </row>
    <row r="324">
      <c r="B324" s="8" t="s">
        <v>2421</v>
      </c>
      <c r="C324" s="8" t="s">
        <v>11922</v>
      </c>
      <c r="D324" s="8" t="s">
        <v>60</v>
      </c>
      <c r="E324" s="8" t="s">
        <v>11923</v>
      </c>
      <c r="F324" s="8" t="s">
        <v>11924</v>
      </c>
      <c r="G324" s="21" t="s">
        <v>11925</v>
      </c>
      <c r="H324" s="8"/>
      <c r="I324" s="21">
        <v>102.0</v>
      </c>
      <c r="J324" s="21" t="s">
        <v>11918</v>
      </c>
      <c r="K324" s="8" t="s">
        <v>65</v>
      </c>
      <c r="L324" s="664" t="s">
        <v>26</v>
      </c>
      <c r="M324" s="8" t="s">
        <v>27</v>
      </c>
      <c r="N324" s="8" t="s">
        <v>28</v>
      </c>
      <c r="O324" s="21">
        <v>1045.0</v>
      </c>
      <c r="P324" s="21">
        <v>1233.0</v>
      </c>
      <c r="Q324" s="5">
        <v>58.0</v>
      </c>
      <c r="R324" s="31">
        <f t="shared" si="9"/>
        <v>606.1</v>
      </c>
    </row>
    <row r="325">
      <c r="B325" s="8" t="s">
        <v>2440</v>
      </c>
      <c r="C325" s="8" t="s">
        <v>11926</v>
      </c>
      <c r="D325" s="8" t="s">
        <v>966</v>
      </c>
      <c r="E325" s="8" t="s">
        <v>11785</v>
      </c>
      <c r="F325" s="8" t="s">
        <v>11927</v>
      </c>
      <c r="G325" s="21" t="s">
        <v>11928</v>
      </c>
      <c r="H325" s="8"/>
      <c r="I325" s="21">
        <v>796.0</v>
      </c>
      <c r="J325" s="21" t="s">
        <v>2432</v>
      </c>
      <c r="K325" s="8" t="s">
        <v>78</v>
      </c>
      <c r="L325" s="664" t="s">
        <v>26</v>
      </c>
      <c r="M325" s="8" t="s">
        <v>27</v>
      </c>
      <c r="N325" s="8" t="s">
        <v>28</v>
      </c>
      <c r="O325" s="21">
        <v>2419.0</v>
      </c>
      <c r="P325" s="21">
        <v>2854.0</v>
      </c>
      <c r="Q325" s="5">
        <v>51.0</v>
      </c>
      <c r="R325" s="31">
        <f t="shared" si="9"/>
        <v>1233.69</v>
      </c>
    </row>
    <row r="326">
      <c r="B326" s="8" t="s">
        <v>2440</v>
      </c>
      <c r="C326" s="8" t="s">
        <v>964</v>
      </c>
      <c r="D326" s="8" t="s">
        <v>966</v>
      </c>
      <c r="E326" s="8" t="s">
        <v>2534</v>
      </c>
      <c r="F326" s="8" t="s">
        <v>968</v>
      </c>
      <c r="G326" s="21" t="s">
        <v>605</v>
      </c>
      <c r="H326" s="8"/>
      <c r="I326" s="21">
        <v>2993.0</v>
      </c>
      <c r="J326" s="21" t="s">
        <v>974</v>
      </c>
      <c r="K326" s="8" t="s">
        <v>25</v>
      </c>
      <c r="L326" s="665" t="s">
        <v>49</v>
      </c>
      <c r="M326" s="8" t="s">
        <v>27</v>
      </c>
      <c r="N326" s="8" t="s">
        <v>28</v>
      </c>
      <c r="O326" s="165">
        <v>121580.0</v>
      </c>
      <c r="P326" s="21">
        <v>153992.0</v>
      </c>
      <c r="Q326" s="5">
        <v>23.0</v>
      </c>
      <c r="R326" s="31">
        <f t="shared" si="9"/>
        <v>27963.4</v>
      </c>
    </row>
    <row r="327">
      <c r="B327" s="8" t="s">
        <v>2440</v>
      </c>
      <c r="C327" s="8" t="s">
        <v>11929</v>
      </c>
      <c r="D327" s="8" t="s">
        <v>60</v>
      </c>
      <c r="E327" s="8" t="s">
        <v>719</v>
      </c>
      <c r="F327" s="8" t="s">
        <v>11930</v>
      </c>
      <c r="G327" s="21" t="s">
        <v>11931</v>
      </c>
      <c r="H327" s="8"/>
      <c r="I327" s="21">
        <v>100.0</v>
      </c>
      <c r="J327" s="21" t="s">
        <v>11932</v>
      </c>
      <c r="K327" s="8" t="s">
        <v>65</v>
      </c>
      <c r="L327" s="664" t="s">
        <v>26</v>
      </c>
      <c r="M327" s="8" t="s">
        <v>27</v>
      </c>
      <c r="N327" s="8" t="s">
        <v>28</v>
      </c>
      <c r="O327" s="97">
        <v>714.0</v>
      </c>
      <c r="P327" s="97">
        <v>842.0</v>
      </c>
      <c r="Q327" s="5">
        <v>57.0</v>
      </c>
      <c r="R327" s="31">
        <f t="shared" si="9"/>
        <v>406.98</v>
      </c>
    </row>
    <row r="328">
      <c r="B328" s="8" t="s">
        <v>2488</v>
      </c>
      <c r="C328" s="8" t="s">
        <v>11933</v>
      </c>
      <c r="D328" s="8" t="s">
        <v>60</v>
      </c>
      <c r="E328" s="8" t="s">
        <v>11934</v>
      </c>
      <c r="F328" s="8" t="s">
        <v>11935</v>
      </c>
      <c r="G328" s="21">
        <v>9.825266042E9</v>
      </c>
      <c r="H328" s="8"/>
      <c r="I328" s="21">
        <v>125.0</v>
      </c>
      <c r="J328" s="21" t="s">
        <v>2503</v>
      </c>
      <c r="K328" s="8" t="s">
        <v>65</v>
      </c>
      <c r="L328" s="664" t="s">
        <v>26</v>
      </c>
      <c r="M328" s="8" t="s">
        <v>71</v>
      </c>
      <c r="N328" s="8" t="s">
        <v>28</v>
      </c>
      <c r="O328" s="21">
        <v>714.0</v>
      </c>
      <c r="P328" s="21">
        <v>842.0</v>
      </c>
      <c r="Q328" s="5">
        <v>57.0</v>
      </c>
      <c r="R328" s="31">
        <f t="shared" si="9"/>
        <v>406.98</v>
      </c>
    </row>
    <row r="329">
      <c r="B329" s="8" t="s">
        <v>2504</v>
      </c>
      <c r="C329" s="8" t="s">
        <v>11936</v>
      </c>
      <c r="D329" s="8" t="s">
        <v>60</v>
      </c>
      <c r="E329" s="8" t="s">
        <v>11749</v>
      </c>
      <c r="F329" s="8" t="s">
        <v>11937</v>
      </c>
      <c r="G329" s="21" t="s">
        <v>11938</v>
      </c>
      <c r="H329" s="8"/>
      <c r="I329" s="21">
        <v>110.0</v>
      </c>
      <c r="J329" s="21" t="s">
        <v>2503</v>
      </c>
      <c r="K329" s="8" t="s">
        <v>65</v>
      </c>
      <c r="L329" s="664" t="s">
        <v>26</v>
      </c>
      <c r="M329" s="8" t="s">
        <v>27</v>
      </c>
      <c r="N329" s="8" t="s">
        <v>28</v>
      </c>
      <c r="O329" s="21">
        <v>714.0</v>
      </c>
      <c r="P329" s="21">
        <v>842.0</v>
      </c>
      <c r="Q329" s="5">
        <v>58.0</v>
      </c>
      <c r="R329" s="31">
        <f t="shared" si="9"/>
        <v>414.12</v>
      </c>
    </row>
    <row r="330">
      <c r="B330" s="8" t="s">
        <v>2504</v>
      </c>
      <c r="C330" s="8" t="s">
        <v>11939</v>
      </c>
      <c r="D330" s="8" t="s">
        <v>60</v>
      </c>
      <c r="E330" s="8" t="s">
        <v>11749</v>
      </c>
      <c r="F330" s="8" t="s">
        <v>11940</v>
      </c>
      <c r="G330" s="8"/>
      <c r="H330" s="8"/>
      <c r="I330" s="21">
        <v>110.0</v>
      </c>
      <c r="J330" s="21" t="s">
        <v>2503</v>
      </c>
      <c r="K330" s="8" t="s">
        <v>65</v>
      </c>
      <c r="L330" s="664" t="s">
        <v>26</v>
      </c>
      <c r="M330" s="8" t="s">
        <v>27</v>
      </c>
      <c r="N330" s="8" t="s">
        <v>28</v>
      </c>
      <c r="O330" s="21">
        <v>714.0</v>
      </c>
      <c r="P330" s="21">
        <v>842.0</v>
      </c>
      <c r="Q330" s="5">
        <v>58.0</v>
      </c>
      <c r="R330" s="31">
        <f t="shared" si="9"/>
        <v>414.12</v>
      </c>
    </row>
    <row r="331">
      <c r="B331" s="8" t="s">
        <v>2504</v>
      </c>
      <c r="C331" s="8" t="s">
        <v>6942</v>
      </c>
      <c r="D331" s="8" t="s">
        <v>966</v>
      </c>
      <c r="E331" s="8" t="s">
        <v>11785</v>
      </c>
      <c r="F331" s="8" t="s">
        <v>11941</v>
      </c>
      <c r="G331" s="21">
        <v>7.016120082E9</v>
      </c>
      <c r="H331" s="8" t="s">
        <v>11942</v>
      </c>
      <c r="I331" s="21">
        <v>796.0</v>
      </c>
      <c r="J331" s="21" t="s">
        <v>868</v>
      </c>
      <c r="K331" s="8" t="s">
        <v>78</v>
      </c>
      <c r="L331" s="664" t="s">
        <v>26</v>
      </c>
      <c r="M331" s="8" t="s">
        <v>71</v>
      </c>
      <c r="N331" s="8" t="s">
        <v>28</v>
      </c>
      <c r="O331" s="21">
        <v>2144.0</v>
      </c>
      <c r="P331" s="21">
        <v>2530.0</v>
      </c>
      <c r="Q331" s="5">
        <v>51.0</v>
      </c>
      <c r="R331" s="31">
        <f t="shared" si="9"/>
        <v>1093.44</v>
      </c>
    </row>
    <row r="332">
      <c r="B332" s="8" t="s">
        <v>2535</v>
      </c>
      <c r="C332" s="8" t="s">
        <v>11943</v>
      </c>
      <c r="D332" s="8" t="s">
        <v>60</v>
      </c>
      <c r="E332" s="8" t="s">
        <v>719</v>
      </c>
      <c r="F332" s="8" t="s">
        <v>11944</v>
      </c>
      <c r="G332" s="8"/>
      <c r="H332" s="8"/>
      <c r="I332" s="21">
        <v>100.0</v>
      </c>
      <c r="J332" s="21" t="s">
        <v>11945</v>
      </c>
      <c r="K332" s="8" t="s">
        <v>65</v>
      </c>
      <c r="L332" s="664" t="s">
        <v>26</v>
      </c>
      <c r="M332" s="8" t="s">
        <v>27</v>
      </c>
      <c r="N332" s="8" t="s">
        <v>28</v>
      </c>
      <c r="O332" s="21">
        <v>714.0</v>
      </c>
      <c r="P332" s="21">
        <v>842.0</v>
      </c>
      <c r="Q332" s="5">
        <v>57.0</v>
      </c>
      <c r="R332" s="31">
        <f t="shared" si="9"/>
        <v>406.98</v>
      </c>
    </row>
    <row r="333">
      <c r="B333" s="8" t="s">
        <v>2535</v>
      </c>
      <c r="C333" s="8" t="s">
        <v>11946</v>
      </c>
      <c r="D333" s="8" t="s">
        <v>966</v>
      </c>
      <c r="E333" s="8" t="s">
        <v>11947</v>
      </c>
      <c r="F333" s="8" t="s">
        <v>11948</v>
      </c>
      <c r="G333" s="8"/>
      <c r="H333" s="8"/>
      <c r="I333" s="21">
        <v>1197.0</v>
      </c>
      <c r="J333" s="21" t="s">
        <v>891</v>
      </c>
      <c r="K333" s="8" t="s">
        <v>78</v>
      </c>
      <c r="L333" s="664" t="s">
        <v>26</v>
      </c>
      <c r="M333" s="8" t="s">
        <v>27</v>
      </c>
      <c r="N333" s="8" t="s">
        <v>28</v>
      </c>
      <c r="O333" s="21">
        <v>3851.0</v>
      </c>
      <c r="P333" s="21">
        <v>4544.0</v>
      </c>
      <c r="Q333" s="5">
        <v>51.0</v>
      </c>
      <c r="R333" s="31">
        <f t="shared" si="9"/>
        <v>1964.01</v>
      </c>
    </row>
    <row r="334">
      <c r="B334" s="8" t="s">
        <v>2535</v>
      </c>
      <c r="C334" s="8" t="s">
        <v>11949</v>
      </c>
      <c r="D334" s="8" t="s">
        <v>966</v>
      </c>
      <c r="E334" s="8" t="s">
        <v>11584</v>
      </c>
      <c r="F334" s="8" t="s">
        <v>11950</v>
      </c>
      <c r="G334" s="8"/>
      <c r="H334" s="8"/>
      <c r="I334" s="21">
        <v>1086.0</v>
      </c>
      <c r="J334" s="21" t="s">
        <v>891</v>
      </c>
      <c r="K334" s="8" t="s">
        <v>78</v>
      </c>
      <c r="L334" s="664" t="s">
        <v>26</v>
      </c>
      <c r="M334" s="8" t="s">
        <v>27</v>
      </c>
      <c r="N334" s="8" t="s">
        <v>28</v>
      </c>
      <c r="O334" s="21">
        <v>3476.0</v>
      </c>
      <c r="P334" s="21">
        <v>4102.0</v>
      </c>
      <c r="Q334" s="5">
        <v>51.0</v>
      </c>
      <c r="R334" s="31">
        <f t="shared" si="9"/>
        <v>1772.76</v>
      </c>
    </row>
    <row r="335">
      <c r="B335" s="8" t="s">
        <v>2550</v>
      </c>
      <c r="C335" s="8" t="s">
        <v>11951</v>
      </c>
      <c r="D335" s="8" t="s">
        <v>60</v>
      </c>
      <c r="E335" s="8" t="s">
        <v>11952</v>
      </c>
      <c r="F335" s="8" t="s">
        <v>11953</v>
      </c>
      <c r="G335" s="21" t="s">
        <v>11954</v>
      </c>
      <c r="H335" s="8"/>
      <c r="I335" s="21">
        <v>155.0</v>
      </c>
      <c r="J335" s="21" t="s">
        <v>11955</v>
      </c>
      <c r="K335" s="8" t="s">
        <v>65</v>
      </c>
      <c r="L335" s="664" t="s">
        <v>26</v>
      </c>
      <c r="M335" s="8" t="s">
        <v>27</v>
      </c>
      <c r="N335" s="8" t="s">
        <v>28</v>
      </c>
      <c r="O335" s="21">
        <v>1366.0</v>
      </c>
      <c r="P335" s="21">
        <v>1612.0</v>
      </c>
      <c r="Q335" s="5">
        <v>57.0</v>
      </c>
      <c r="R335" s="31">
        <f t="shared" si="9"/>
        <v>778.62</v>
      </c>
    </row>
    <row r="336">
      <c r="B336" s="8" t="s">
        <v>2550</v>
      </c>
      <c r="C336" s="8" t="s">
        <v>11956</v>
      </c>
      <c r="D336" s="8" t="s">
        <v>60</v>
      </c>
      <c r="E336" s="8" t="s">
        <v>11446</v>
      </c>
      <c r="F336" s="8" t="s">
        <v>11957</v>
      </c>
      <c r="G336" s="21" t="s">
        <v>11958</v>
      </c>
      <c r="H336" s="8"/>
      <c r="I336" s="21">
        <v>110.0</v>
      </c>
      <c r="J336" s="21" t="s">
        <v>11955</v>
      </c>
      <c r="K336" s="8" t="s">
        <v>65</v>
      </c>
      <c r="L336" s="664" t="s">
        <v>26</v>
      </c>
      <c r="M336" s="8" t="s">
        <v>27</v>
      </c>
      <c r="N336" s="8" t="s">
        <v>28</v>
      </c>
      <c r="O336" s="21">
        <v>714.0</v>
      </c>
      <c r="P336" s="21">
        <v>842.0</v>
      </c>
      <c r="Q336" s="5">
        <v>57.0</v>
      </c>
      <c r="R336" s="31">
        <f t="shared" si="9"/>
        <v>406.98</v>
      </c>
    </row>
    <row r="337">
      <c r="B337" s="8" t="s">
        <v>2550</v>
      </c>
      <c r="C337" s="8" t="s">
        <v>11959</v>
      </c>
      <c r="D337" s="8" t="s">
        <v>60</v>
      </c>
      <c r="E337" s="8" t="s">
        <v>719</v>
      </c>
      <c r="F337" s="8" t="s">
        <v>11960</v>
      </c>
      <c r="G337" s="21">
        <v>9.106336958E9</v>
      </c>
      <c r="H337" s="8"/>
      <c r="I337" s="21">
        <v>100.0</v>
      </c>
      <c r="J337" s="21" t="s">
        <v>11955</v>
      </c>
      <c r="K337" s="8" t="s">
        <v>65</v>
      </c>
      <c r="L337" s="664" t="s">
        <v>26</v>
      </c>
      <c r="M337" s="8" t="s">
        <v>71</v>
      </c>
      <c r="N337" s="8" t="s">
        <v>28</v>
      </c>
      <c r="O337" s="21">
        <v>714.0</v>
      </c>
      <c r="P337" s="21">
        <v>842.0</v>
      </c>
      <c r="Q337" s="5">
        <v>57.0</v>
      </c>
      <c r="R337" s="31">
        <f t="shared" si="9"/>
        <v>406.98</v>
      </c>
    </row>
    <row r="338">
      <c r="B338" s="8" t="s">
        <v>2550</v>
      </c>
      <c r="C338" s="8" t="s">
        <v>11961</v>
      </c>
      <c r="D338" s="8" t="s">
        <v>60</v>
      </c>
      <c r="E338" s="8" t="s">
        <v>11749</v>
      </c>
      <c r="F338" s="8" t="s">
        <v>11962</v>
      </c>
      <c r="G338" s="21" t="s">
        <v>11963</v>
      </c>
      <c r="H338" s="8"/>
      <c r="I338" s="21">
        <v>110.0</v>
      </c>
      <c r="J338" s="21" t="s">
        <v>11955</v>
      </c>
      <c r="K338" s="8" t="s">
        <v>65</v>
      </c>
      <c r="L338" s="664" t="s">
        <v>26</v>
      </c>
      <c r="M338" s="8" t="s">
        <v>27</v>
      </c>
      <c r="N338" s="8" t="s">
        <v>28</v>
      </c>
      <c r="O338" s="21">
        <v>714.0</v>
      </c>
      <c r="P338" s="21">
        <v>842.0</v>
      </c>
      <c r="Q338" s="5">
        <v>58.0</v>
      </c>
      <c r="R338" s="31">
        <f t="shared" si="9"/>
        <v>414.12</v>
      </c>
    </row>
    <row r="339">
      <c r="B339" s="8" t="s">
        <v>2550</v>
      </c>
      <c r="C339" s="8" t="s">
        <v>11964</v>
      </c>
      <c r="D339" s="8" t="s">
        <v>60</v>
      </c>
      <c r="E339" s="8" t="s">
        <v>719</v>
      </c>
      <c r="F339" s="8" t="s">
        <v>11965</v>
      </c>
      <c r="G339" s="21" t="s">
        <v>11966</v>
      </c>
      <c r="H339" s="8"/>
      <c r="I339" s="21">
        <v>100.0</v>
      </c>
      <c r="J339" s="21" t="s">
        <v>11955</v>
      </c>
      <c r="K339" s="8" t="s">
        <v>65</v>
      </c>
      <c r="L339" s="664" t="s">
        <v>26</v>
      </c>
      <c r="M339" s="8" t="s">
        <v>27</v>
      </c>
      <c r="N339" s="8" t="s">
        <v>28</v>
      </c>
      <c r="O339" s="21">
        <v>714.0</v>
      </c>
      <c r="P339" s="21">
        <v>842.0</v>
      </c>
      <c r="Q339" s="5">
        <v>57.0</v>
      </c>
      <c r="R339" s="31">
        <f t="shared" si="9"/>
        <v>406.98</v>
      </c>
    </row>
    <row r="340">
      <c r="B340" s="666" t="s">
        <v>2550</v>
      </c>
      <c r="C340" s="666" t="s">
        <v>11967</v>
      </c>
      <c r="D340" s="666" t="s">
        <v>60</v>
      </c>
      <c r="E340" s="666" t="s">
        <v>11968</v>
      </c>
      <c r="F340" s="666" t="s">
        <v>11969</v>
      </c>
      <c r="G340" s="667" t="s">
        <v>11970</v>
      </c>
      <c r="H340" s="666"/>
      <c r="I340" s="667">
        <v>110.0</v>
      </c>
      <c r="J340" s="667" t="s">
        <v>11955</v>
      </c>
      <c r="K340" s="666" t="s">
        <v>65</v>
      </c>
      <c r="L340" s="668" t="s">
        <v>26</v>
      </c>
      <c r="M340" s="666" t="s">
        <v>27</v>
      </c>
      <c r="N340" s="666" t="s">
        <v>28</v>
      </c>
      <c r="O340" s="667">
        <v>714.0</v>
      </c>
      <c r="P340" s="667">
        <v>842.0</v>
      </c>
      <c r="Q340" s="5">
        <v>58.0</v>
      </c>
      <c r="R340" s="31">
        <f t="shared" si="9"/>
        <v>414.12</v>
      </c>
    </row>
    <row r="341">
      <c r="B341" s="8" t="s">
        <v>2569</v>
      </c>
      <c r="C341" s="8" t="s">
        <v>11971</v>
      </c>
      <c r="D341" s="8" t="s">
        <v>60</v>
      </c>
      <c r="E341" s="8" t="s">
        <v>719</v>
      </c>
      <c r="F341" s="8" t="s">
        <v>11972</v>
      </c>
      <c r="G341" s="21" t="s">
        <v>11973</v>
      </c>
      <c r="H341" s="8"/>
      <c r="I341" s="21">
        <v>97.0</v>
      </c>
      <c r="J341" s="21" t="s">
        <v>11974</v>
      </c>
      <c r="K341" s="8" t="s">
        <v>65</v>
      </c>
      <c r="L341" s="664" t="s">
        <v>26</v>
      </c>
      <c r="M341" s="8" t="s">
        <v>27</v>
      </c>
      <c r="N341" s="8" t="s">
        <v>28</v>
      </c>
      <c r="O341" s="21">
        <v>714.0</v>
      </c>
      <c r="P341" s="21">
        <v>843.0</v>
      </c>
      <c r="Q341" s="5">
        <v>57.0</v>
      </c>
      <c r="R341" s="31">
        <f t="shared" si="9"/>
        <v>406.98</v>
      </c>
    </row>
    <row r="342">
      <c r="B342" s="8" t="s">
        <v>2569</v>
      </c>
      <c r="C342" s="8" t="s">
        <v>11975</v>
      </c>
      <c r="D342" s="8" t="s">
        <v>966</v>
      </c>
      <c r="E342" s="8" t="s">
        <v>11976</v>
      </c>
      <c r="F342" s="8" t="s">
        <v>11977</v>
      </c>
      <c r="G342" s="21">
        <v>9.106191792E9</v>
      </c>
      <c r="H342" s="8"/>
      <c r="I342" s="21">
        <v>1493.0</v>
      </c>
      <c r="J342" s="21" t="s">
        <v>946</v>
      </c>
      <c r="K342" s="8" t="s">
        <v>78</v>
      </c>
      <c r="L342" s="665" t="s">
        <v>49</v>
      </c>
      <c r="M342" s="8" t="s">
        <v>71</v>
      </c>
      <c r="N342" s="8" t="s">
        <v>28</v>
      </c>
      <c r="O342" s="21">
        <v>25847.99</v>
      </c>
      <c r="P342" s="21">
        <v>30501.0</v>
      </c>
      <c r="Q342" s="5">
        <v>27.0</v>
      </c>
      <c r="R342" s="31">
        <f t="shared" si="9"/>
        <v>6978.9573</v>
      </c>
    </row>
    <row r="343">
      <c r="B343" s="8" t="s">
        <v>2569</v>
      </c>
      <c r="C343" s="8" t="s">
        <v>11978</v>
      </c>
      <c r="D343" s="8" t="s">
        <v>966</v>
      </c>
      <c r="E343" s="8" t="s">
        <v>8464</v>
      </c>
      <c r="F343" s="8" t="s">
        <v>11979</v>
      </c>
      <c r="G343" s="8"/>
      <c r="H343" s="8"/>
      <c r="I343" s="21">
        <v>1196.0</v>
      </c>
      <c r="J343" s="21" t="s">
        <v>946</v>
      </c>
      <c r="K343" s="8" t="s">
        <v>78</v>
      </c>
      <c r="L343" s="664" t="s">
        <v>26</v>
      </c>
      <c r="M343" s="8" t="s">
        <v>71</v>
      </c>
      <c r="N343" s="8" t="s">
        <v>28</v>
      </c>
      <c r="O343" s="21">
        <v>3851.0</v>
      </c>
      <c r="P343" s="21">
        <v>4544.0</v>
      </c>
      <c r="Q343" s="5">
        <v>51.0</v>
      </c>
      <c r="R343" s="31">
        <f t="shared" si="9"/>
        <v>1964.01</v>
      </c>
    </row>
    <row r="344">
      <c r="B344" s="8" t="s">
        <v>2584</v>
      </c>
      <c r="C344" s="8" t="s">
        <v>11980</v>
      </c>
      <c r="D344" s="8" t="s">
        <v>60</v>
      </c>
      <c r="E344" s="8" t="s">
        <v>11749</v>
      </c>
      <c r="F344" s="8" t="s">
        <v>11981</v>
      </c>
      <c r="G344" s="21" t="s">
        <v>11982</v>
      </c>
      <c r="H344" s="8"/>
      <c r="I344" s="21">
        <v>110.0</v>
      </c>
      <c r="J344" s="21" t="s">
        <v>11974</v>
      </c>
      <c r="K344" s="8" t="s">
        <v>65</v>
      </c>
      <c r="L344" s="664" t="s">
        <v>26</v>
      </c>
      <c r="M344" s="8" t="s">
        <v>27</v>
      </c>
      <c r="N344" s="8" t="s">
        <v>28</v>
      </c>
      <c r="O344" s="21">
        <v>714.0</v>
      </c>
      <c r="P344" s="21">
        <v>842.0</v>
      </c>
      <c r="Q344" s="5">
        <v>58.0</v>
      </c>
      <c r="R344" s="31">
        <f t="shared" si="9"/>
        <v>414.12</v>
      </c>
    </row>
    <row r="345">
      <c r="B345" s="8" t="s">
        <v>2584</v>
      </c>
      <c r="C345" s="8" t="s">
        <v>11983</v>
      </c>
      <c r="D345" s="8" t="s">
        <v>60</v>
      </c>
      <c r="E345" s="8" t="s">
        <v>11749</v>
      </c>
      <c r="F345" s="8" t="s">
        <v>11984</v>
      </c>
      <c r="G345" s="21">
        <v>9.8795637E9</v>
      </c>
      <c r="H345" s="8"/>
      <c r="I345" s="21">
        <v>110.0</v>
      </c>
      <c r="J345" s="21" t="s">
        <v>11974</v>
      </c>
      <c r="K345" s="8" t="s">
        <v>65</v>
      </c>
      <c r="L345" s="664" t="s">
        <v>26</v>
      </c>
      <c r="M345" s="8" t="s">
        <v>71</v>
      </c>
      <c r="N345" s="8" t="s">
        <v>28</v>
      </c>
      <c r="O345" s="21">
        <v>714.0</v>
      </c>
      <c r="P345" s="21">
        <v>842.0</v>
      </c>
      <c r="Q345" s="5">
        <v>58.0</v>
      </c>
      <c r="R345" s="31">
        <f t="shared" si="9"/>
        <v>414.12</v>
      </c>
    </row>
    <row r="346">
      <c r="B346" s="8" t="s">
        <v>2584</v>
      </c>
      <c r="C346" s="8" t="s">
        <v>11985</v>
      </c>
      <c r="D346" s="8" t="s">
        <v>60</v>
      </c>
      <c r="E346" s="8" t="s">
        <v>11986</v>
      </c>
      <c r="F346" s="8" t="s">
        <v>11987</v>
      </c>
      <c r="G346" s="21">
        <v>9.8795637E9</v>
      </c>
      <c r="H346" s="8"/>
      <c r="I346" s="21">
        <v>110.0</v>
      </c>
      <c r="J346" s="21" t="s">
        <v>11974</v>
      </c>
      <c r="K346" s="8" t="s">
        <v>65</v>
      </c>
      <c r="L346" s="664" t="s">
        <v>26</v>
      </c>
      <c r="M346" s="8" t="s">
        <v>71</v>
      </c>
      <c r="N346" s="8" t="s">
        <v>28</v>
      </c>
      <c r="O346" s="21">
        <v>714.0</v>
      </c>
      <c r="P346" s="21">
        <v>842.0</v>
      </c>
      <c r="Q346" s="5">
        <v>58.0</v>
      </c>
      <c r="R346" s="31">
        <f t="shared" si="9"/>
        <v>414.12</v>
      </c>
    </row>
    <row r="347">
      <c r="B347" s="8" t="s">
        <v>2584</v>
      </c>
      <c r="C347" s="8" t="s">
        <v>11988</v>
      </c>
      <c r="D347" s="8" t="s">
        <v>966</v>
      </c>
      <c r="E347" s="8" t="s">
        <v>11989</v>
      </c>
      <c r="F347" s="8" t="s">
        <v>11990</v>
      </c>
      <c r="G347" s="8"/>
      <c r="H347" s="8"/>
      <c r="I347" s="21">
        <v>1248.0</v>
      </c>
      <c r="J347" s="21" t="s">
        <v>958</v>
      </c>
      <c r="K347" s="8" t="s">
        <v>1419</v>
      </c>
      <c r="L347" s="664" t="s">
        <v>26</v>
      </c>
      <c r="M347" s="8" t="s">
        <v>27</v>
      </c>
      <c r="N347" s="8" t="s">
        <v>28</v>
      </c>
      <c r="O347" s="97">
        <v>3466.0</v>
      </c>
      <c r="P347" s="97">
        <v>4090.0</v>
      </c>
      <c r="Q347" s="5">
        <v>37.0</v>
      </c>
      <c r="R347" s="31">
        <f t="shared" si="9"/>
        <v>1282.42</v>
      </c>
    </row>
    <row r="348">
      <c r="B348" s="8" t="s">
        <v>2588</v>
      </c>
      <c r="C348" s="8" t="s">
        <v>11991</v>
      </c>
      <c r="D348" s="8" t="s">
        <v>60</v>
      </c>
      <c r="E348" s="8" t="s">
        <v>11446</v>
      </c>
      <c r="F348" s="8" t="s">
        <v>11992</v>
      </c>
      <c r="G348" s="21" t="s">
        <v>11993</v>
      </c>
      <c r="H348" s="8"/>
      <c r="I348" s="21">
        <v>110.0</v>
      </c>
      <c r="J348" s="21" t="s">
        <v>2600</v>
      </c>
      <c r="K348" s="8" t="s">
        <v>65</v>
      </c>
      <c r="L348" s="664" t="s">
        <v>26</v>
      </c>
      <c r="M348" s="8" t="s">
        <v>27</v>
      </c>
      <c r="N348" s="8" t="s">
        <v>28</v>
      </c>
      <c r="O348" s="21">
        <v>714.0</v>
      </c>
      <c r="P348" s="21">
        <v>842.0</v>
      </c>
      <c r="Q348" s="5">
        <v>57.0</v>
      </c>
      <c r="R348" s="31">
        <f t="shared" si="9"/>
        <v>406.98</v>
      </c>
    </row>
    <row r="349">
      <c r="B349" s="8" t="s">
        <v>2588</v>
      </c>
      <c r="C349" s="8" t="s">
        <v>11994</v>
      </c>
      <c r="D349" s="8" t="s">
        <v>966</v>
      </c>
      <c r="E349" s="8" t="s">
        <v>11995</v>
      </c>
      <c r="F349" s="8" t="s">
        <v>11996</v>
      </c>
      <c r="G349" s="21" t="s">
        <v>11686</v>
      </c>
      <c r="H349" s="8"/>
      <c r="I349" s="21">
        <v>1199.0</v>
      </c>
      <c r="J349" s="21" t="s">
        <v>958</v>
      </c>
      <c r="K349" s="8" t="s">
        <v>78</v>
      </c>
      <c r="L349" s="664" t="s">
        <v>26</v>
      </c>
      <c r="M349" s="8" t="s">
        <v>27</v>
      </c>
      <c r="N349" s="8" t="s">
        <v>28</v>
      </c>
      <c r="O349" s="21">
        <v>3476.0</v>
      </c>
      <c r="P349" s="21">
        <v>4102.0</v>
      </c>
      <c r="Q349" s="5">
        <v>51.0</v>
      </c>
      <c r="R349" s="31">
        <f t="shared" si="9"/>
        <v>1772.76</v>
      </c>
    </row>
    <row r="350">
      <c r="B350" s="8" t="s">
        <v>2588</v>
      </c>
      <c r="C350" s="8" t="s">
        <v>11997</v>
      </c>
      <c r="D350" s="8" t="s">
        <v>966</v>
      </c>
      <c r="E350" s="8" t="s">
        <v>8464</v>
      </c>
      <c r="F350" s="8" t="s">
        <v>11998</v>
      </c>
      <c r="G350" s="21">
        <v>9.106920618E9</v>
      </c>
      <c r="H350" s="8"/>
      <c r="I350" s="21">
        <v>1196.0</v>
      </c>
      <c r="J350" s="21" t="s">
        <v>958</v>
      </c>
      <c r="K350" s="8" t="s">
        <v>78</v>
      </c>
      <c r="L350" s="664" t="s">
        <v>26</v>
      </c>
      <c r="M350" s="8" t="s">
        <v>27</v>
      </c>
      <c r="N350" s="8" t="s">
        <v>28</v>
      </c>
      <c r="O350" s="21">
        <v>4101.0</v>
      </c>
      <c r="P350" s="21">
        <v>4839.0</v>
      </c>
      <c r="Q350" s="5">
        <v>51.0</v>
      </c>
      <c r="R350" s="31">
        <f t="shared" si="9"/>
        <v>2091.51</v>
      </c>
    </row>
    <row r="351">
      <c r="B351" s="8" t="s">
        <v>2588</v>
      </c>
      <c r="C351" s="8" t="s">
        <v>11999</v>
      </c>
      <c r="D351" s="8" t="s">
        <v>966</v>
      </c>
      <c r="E351" s="8" t="s">
        <v>8464</v>
      </c>
      <c r="F351" s="8" t="s">
        <v>12000</v>
      </c>
      <c r="G351" s="21" t="s">
        <v>12001</v>
      </c>
      <c r="H351" s="8" t="s">
        <v>12002</v>
      </c>
      <c r="I351" s="21">
        <v>1196.0</v>
      </c>
      <c r="J351" s="21" t="s">
        <v>970</v>
      </c>
      <c r="K351" s="8" t="s">
        <v>78</v>
      </c>
      <c r="L351" s="664" t="s">
        <v>26</v>
      </c>
      <c r="M351" s="8" t="s">
        <v>27</v>
      </c>
      <c r="N351" s="8" t="s">
        <v>28</v>
      </c>
      <c r="O351" s="21">
        <v>3476.0</v>
      </c>
      <c r="P351" s="21">
        <v>4102.0</v>
      </c>
      <c r="Q351" s="5">
        <v>51.0</v>
      </c>
      <c r="R351" s="31">
        <f t="shared" si="9"/>
        <v>1772.76</v>
      </c>
    </row>
    <row r="352">
      <c r="B352" s="8" t="s">
        <v>8890</v>
      </c>
      <c r="C352" s="8" t="s">
        <v>12003</v>
      </c>
      <c r="D352" s="8" t="s">
        <v>60</v>
      </c>
      <c r="E352" s="8" t="s">
        <v>11617</v>
      </c>
      <c r="F352" s="8" t="s">
        <v>12004</v>
      </c>
      <c r="G352" s="21">
        <v>8.779118501E9</v>
      </c>
      <c r="H352" s="8"/>
      <c r="I352" s="21">
        <v>102.0</v>
      </c>
      <c r="J352" s="8" t="s">
        <v>12005</v>
      </c>
      <c r="K352" s="8" t="s">
        <v>65</v>
      </c>
      <c r="L352" s="664" t="s">
        <v>26</v>
      </c>
      <c r="M352" s="8" t="s">
        <v>71</v>
      </c>
      <c r="N352" s="8" t="s">
        <v>28</v>
      </c>
      <c r="O352" s="21">
        <v>714.0</v>
      </c>
      <c r="P352" s="21">
        <v>842.0</v>
      </c>
      <c r="Q352" s="5">
        <v>57.0</v>
      </c>
      <c r="R352" s="31">
        <f t="shared" si="9"/>
        <v>406.98</v>
      </c>
    </row>
    <row r="353">
      <c r="B353" s="8" t="s">
        <v>8890</v>
      </c>
      <c r="C353" s="8" t="s">
        <v>12006</v>
      </c>
      <c r="D353" s="8" t="s">
        <v>966</v>
      </c>
      <c r="E353" s="8" t="s">
        <v>12007</v>
      </c>
      <c r="F353" s="8" t="s">
        <v>12008</v>
      </c>
      <c r="G353" s="21" t="s">
        <v>12009</v>
      </c>
      <c r="H353" s="8"/>
      <c r="I353" s="21">
        <v>1493.0</v>
      </c>
      <c r="J353" s="21" t="s">
        <v>974</v>
      </c>
      <c r="K353" s="8" t="s">
        <v>677</v>
      </c>
      <c r="L353" s="664" t="s">
        <v>49</v>
      </c>
      <c r="M353" s="8" t="s">
        <v>71</v>
      </c>
      <c r="N353" s="8" t="s">
        <v>28</v>
      </c>
      <c r="O353" s="21">
        <v>15292.71</v>
      </c>
      <c r="P353" s="21">
        <v>18045.39</v>
      </c>
      <c r="Q353" s="5">
        <v>25.0</v>
      </c>
      <c r="R353" s="31">
        <f t="shared" si="9"/>
        <v>3823.1775</v>
      </c>
    </row>
    <row r="354">
      <c r="B354" s="22">
        <v>45659.0</v>
      </c>
      <c r="C354" s="8" t="s">
        <v>12010</v>
      </c>
      <c r="D354" s="8" t="s">
        <v>966</v>
      </c>
      <c r="E354" s="8" t="s">
        <v>12011</v>
      </c>
      <c r="F354" s="8" t="s">
        <v>12012</v>
      </c>
      <c r="G354" s="21" t="s">
        <v>12013</v>
      </c>
      <c r="H354" s="8"/>
      <c r="I354" s="21">
        <v>1197.0</v>
      </c>
      <c r="J354" s="21" t="s">
        <v>567</v>
      </c>
      <c r="K354" s="8" t="s">
        <v>677</v>
      </c>
      <c r="L354" s="664" t="s">
        <v>49</v>
      </c>
      <c r="M354" s="8" t="s">
        <v>11829</v>
      </c>
      <c r="N354" s="8" t="s">
        <v>28</v>
      </c>
      <c r="O354" s="21">
        <v>11003.75</v>
      </c>
      <c r="P354" s="21">
        <v>12984.43</v>
      </c>
      <c r="Q354" s="5">
        <v>25.0</v>
      </c>
      <c r="R354" s="31">
        <f t="shared" si="9"/>
        <v>2750.9375</v>
      </c>
    </row>
    <row r="357">
      <c r="B357" s="164">
        <v>45660.0</v>
      </c>
      <c r="C357" s="31" t="s">
        <v>12014</v>
      </c>
      <c r="D357" s="31" t="s">
        <v>60</v>
      </c>
      <c r="E357" s="31" t="s">
        <v>719</v>
      </c>
      <c r="F357" s="31" t="s">
        <v>12015</v>
      </c>
      <c r="G357" s="31" t="s">
        <v>11748</v>
      </c>
      <c r="H357" s="31"/>
      <c r="I357" s="31">
        <v>100.0</v>
      </c>
      <c r="J357" s="662">
        <v>46025.0</v>
      </c>
      <c r="K357" s="31" t="s">
        <v>65</v>
      </c>
      <c r="L357" s="31" t="s">
        <v>26</v>
      </c>
      <c r="M357" s="31" t="s">
        <v>71</v>
      </c>
      <c r="N357" s="31" t="s">
        <v>28</v>
      </c>
      <c r="O357" s="466">
        <v>714.0</v>
      </c>
      <c r="P357" s="466">
        <v>842.0</v>
      </c>
      <c r="Q357" s="6">
        <v>57.0</v>
      </c>
      <c r="R357" s="31">
        <f t="shared" ref="R357:R392" si="10">O357*Q357%</f>
        <v>406.98</v>
      </c>
    </row>
    <row r="358">
      <c r="B358" s="661">
        <v>45750.0</v>
      </c>
      <c r="C358" s="31" t="s">
        <v>12016</v>
      </c>
      <c r="D358" s="31" t="s">
        <v>60</v>
      </c>
      <c r="E358" s="31" t="s">
        <v>11418</v>
      </c>
      <c r="F358" s="31" t="s">
        <v>12017</v>
      </c>
      <c r="G358" s="31" t="s">
        <v>12018</v>
      </c>
      <c r="H358" s="31"/>
      <c r="I358" s="31">
        <v>350.0</v>
      </c>
      <c r="J358" s="662">
        <v>46084.0</v>
      </c>
      <c r="K358" s="31" t="s">
        <v>65</v>
      </c>
      <c r="L358" s="31" t="s">
        <v>26</v>
      </c>
      <c r="M358" s="31" t="s">
        <v>27</v>
      </c>
      <c r="N358" s="31" t="s">
        <v>28</v>
      </c>
      <c r="O358" s="31">
        <v>1366.0</v>
      </c>
      <c r="P358" s="31">
        <v>1612.0</v>
      </c>
      <c r="Q358" s="6">
        <v>57.0</v>
      </c>
      <c r="R358" s="31">
        <f t="shared" si="10"/>
        <v>778.62</v>
      </c>
    </row>
    <row r="359">
      <c r="B359" s="661">
        <v>45750.0</v>
      </c>
      <c r="C359" s="31" t="s">
        <v>12019</v>
      </c>
      <c r="D359" s="31" t="s">
        <v>966</v>
      </c>
      <c r="E359" s="31" t="s">
        <v>12020</v>
      </c>
      <c r="F359" s="31" t="s">
        <v>12021</v>
      </c>
      <c r="G359" s="31">
        <v>9.913550328E9</v>
      </c>
      <c r="H359" s="31"/>
      <c r="I359" s="31">
        <v>1298.0</v>
      </c>
      <c r="J359" s="661">
        <v>46084.0</v>
      </c>
      <c r="K359" s="31" t="s">
        <v>78</v>
      </c>
      <c r="L359" s="31" t="s">
        <v>26</v>
      </c>
      <c r="M359" s="31" t="s">
        <v>71</v>
      </c>
      <c r="N359" s="31" t="s">
        <v>28</v>
      </c>
      <c r="O359" s="31">
        <v>3851.0</v>
      </c>
      <c r="P359" s="31">
        <v>4544.0</v>
      </c>
      <c r="Q359" s="6">
        <v>53.0</v>
      </c>
      <c r="R359" s="31">
        <f t="shared" si="10"/>
        <v>2041.03</v>
      </c>
    </row>
    <row r="360">
      <c r="B360" s="661">
        <v>45811.0</v>
      </c>
      <c r="C360" s="31" t="s">
        <v>12022</v>
      </c>
      <c r="D360" s="31" t="s">
        <v>966</v>
      </c>
      <c r="E360" s="31" t="s">
        <v>11947</v>
      </c>
      <c r="F360" s="31" t="s">
        <v>12023</v>
      </c>
      <c r="G360" s="31">
        <v>9.925351346E9</v>
      </c>
      <c r="H360" s="31"/>
      <c r="I360" s="31">
        <v>1197.0</v>
      </c>
      <c r="J360" s="661">
        <v>46176.0</v>
      </c>
      <c r="K360" s="31" t="s">
        <v>78</v>
      </c>
      <c r="L360" s="31" t="s">
        <v>26</v>
      </c>
      <c r="M360" s="31" t="s">
        <v>71</v>
      </c>
      <c r="N360" s="31" t="s">
        <v>28</v>
      </c>
      <c r="O360" s="31">
        <v>3466.0</v>
      </c>
      <c r="P360" s="31">
        <v>4090.0</v>
      </c>
      <c r="Q360" s="6">
        <v>53.0</v>
      </c>
      <c r="R360" s="31">
        <f t="shared" si="10"/>
        <v>1836.98</v>
      </c>
    </row>
    <row r="361">
      <c r="B361" s="661">
        <v>45872.0</v>
      </c>
      <c r="C361" s="31" t="s">
        <v>12024</v>
      </c>
      <c r="D361" s="31" t="s">
        <v>60</v>
      </c>
      <c r="E361" s="31" t="s">
        <v>719</v>
      </c>
      <c r="F361" s="31" t="s">
        <v>12025</v>
      </c>
      <c r="G361" s="31" t="s">
        <v>12026</v>
      </c>
      <c r="H361" s="31"/>
      <c r="I361" s="31">
        <v>100.0</v>
      </c>
      <c r="J361" s="662">
        <v>46206.0</v>
      </c>
      <c r="K361" s="31" t="s">
        <v>65</v>
      </c>
      <c r="L361" s="31" t="s">
        <v>26</v>
      </c>
      <c r="M361" s="31" t="s">
        <v>27</v>
      </c>
      <c r="N361" s="31" t="s">
        <v>28</v>
      </c>
      <c r="O361" s="31">
        <v>714.0</v>
      </c>
      <c r="P361" s="31">
        <v>842.0</v>
      </c>
      <c r="Q361" s="6">
        <v>57.0</v>
      </c>
      <c r="R361" s="31">
        <f t="shared" si="10"/>
        <v>406.98</v>
      </c>
    </row>
    <row r="362">
      <c r="B362" s="661">
        <v>45872.0</v>
      </c>
      <c r="C362" s="31" t="s">
        <v>12027</v>
      </c>
      <c r="D362" s="31" t="s">
        <v>60</v>
      </c>
      <c r="E362" s="31" t="s">
        <v>719</v>
      </c>
      <c r="F362" s="31" t="s">
        <v>12028</v>
      </c>
      <c r="G362" s="31" t="s">
        <v>12029</v>
      </c>
      <c r="H362" s="31"/>
      <c r="I362" s="31">
        <v>97.0</v>
      </c>
      <c r="J362" s="662">
        <v>46237.0</v>
      </c>
      <c r="K362" s="31" t="s">
        <v>65</v>
      </c>
      <c r="L362" s="31" t="s">
        <v>26</v>
      </c>
      <c r="M362" s="31" t="s">
        <v>71</v>
      </c>
      <c r="N362" s="31" t="s">
        <v>28</v>
      </c>
      <c r="O362" s="31">
        <v>714.0</v>
      </c>
      <c r="P362" s="31">
        <v>842.0</v>
      </c>
      <c r="Q362" s="6">
        <v>57.0</v>
      </c>
      <c r="R362" s="31">
        <f t="shared" si="10"/>
        <v>406.98</v>
      </c>
    </row>
    <row r="363">
      <c r="B363" s="661">
        <v>45964.0</v>
      </c>
      <c r="C363" s="31" t="s">
        <v>12030</v>
      </c>
      <c r="D363" s="31" t="s">
        <v>60</v>
      </c>
      <c r="E363" s="31" t="s">
        <v>11934</v>
      </c>
      <c r="F363" s="31" t="s">
        <v>12031</v>
      </c>
      <c r="G363" s="31">
        <v>9.913297786E9</v>
      </c>
      <c r="H363" s="31"/>
      <c r="I363" s="31">
        <v>125.0</v>
      </c>
      <c r="J363" s="662">
        <v>46329.0</v>
      </c>
      <c r="K363" s="31" t="s">
        <v>65</v>
      </c>
      <c r="L363" s="31" t="s">
        <v>26</v>
      </c>
      <c r="M363" s="31" t="s">
        <v>27</v>
      </c>
      <c r="N363" s="31" t="s">
        <v>28</v>
      </c>
      <c r="O363" s="31">
        <v>714.0</v>
      </c>
      <c r="P363" s="31">
        <v>843.0</v>
      </c>
      <c r="Q363" s="6">
        <v>57.0</v>
      </c>
      <c r="R363" s="31">
        <f t="shared" si="10"/>
        <v>406.98</v>
      </c>
    </row>
    <row r="364">
      <c r="B364" s="661">
        <v>45964.0</v>
      </c>
      <c r="C364" s="31" t="s">
        <v>12032</v>
      </c>
      <c r="D364" s="31" t="s">
        <v>60</v>
      </c>
      <c r="E364" s="31" t="s">
        <v>719</v>
      </c>
      <c r="F364" s="31" t="s">
        <v>12033</v>
      </c>
      <c r="G364" s="31">
        <v>9.978929629E9</v>
      </c>
      <c r="H364" s="31"/>
      <c r="I364" s="31">
        <v>100.0</v>
      </c>
      <c r="J364" s="662">
        <v>46298.0</v>
      </c>
      <c r="K364" s="31" t="s">
        <v>65</v>
      </c>
      <c r="L364" s="31" t="s">
        <v>26</v>
      </c>
      <c r="M364" s="31" t="s">
        <v>71</v>
      </c>
      <c r="N364" s="31" t="s">
        <v>28</v>
      </c>
      <c r="O364" s="31">
        <v>1045.0</v>
      </c>
      <c r="P364" s="31">
        <v>1233.0</v>
      </c>
      <c r="Q364" s="6">
        <v>57.0</v>
      </c>
      <c r="R364" s="31">
        <f t="shared" si="10"/>
        <v>595.65</v>
      </c>
    </row>
    <row r="365">
      <c r="B365" s="661">
        <v>45994.0</v>
      </c>
      <c r="C365" s="31" t="s">
        <v>12034</v>
      </c>
      <c r="D365" s="31" t="s">
        <v>966</v>
      </c>
      <c r="E365" s="31" t="s">
        <v>8464</v>
      </c>
      <c r="F365" s="31" t="s">
        <v>12035</v>
      </c>
      <c r="G365" s="31">
        <v>9.104373107E9</v>
      </c>
      <c r="H365" s="31"/>
      <c r="I365" s="31">
        <v>1196.0</v>
      </c>
      <c r="J365" s="661">
        <v>46329.0</v>
      </c>
      <c r="K365" s="31" t="s">
        <v>78</v>
      </c>
      <c r="L365" s="31" t="s">
        <v>26</v>
      </c>
      <c r="M365" s="31" t="s">
        <v>71</v>
      </c>
      <c r="N365" s="31" t="s">
        <v>28</v>
      </c>
      <c r="O365" s="31">
        <v>4101.0</v>
      </c>
      <c r="P365" s="31">
        <v>4839.0</v>
      </c>
      <c r="Q365" s="6">
        <v>53.0</v>
      </c>
      <c r="R365" s="31">
        <f t="shared" si="10"/>
        <v>2173.53</v>
      </c>
    </row>
    <row r="366">
      <c r="B366" s="31" t="s">
        <v>9020</v>
      </c>
      <c r="C366" s="31" t="s">
        <v>12036</v>
      </c>
      <c r="D366" s="31" t="s">
        <v>60</v>
      </c>
      <c r="E366" s="31" t="s">
        <v>719</v>
      </c>
      <c r="F366" s="31" t="s">
        <v>12037</v>
      </c>
      <c r="G366" s="31">
        <v>9.825403236E9</v>
      </c>
      <c r="H366" s="31"/>
      <c r="I366" s="31">
        <v>100.0</v>
      </c>
      <c r="J366" s="31" t="s">
        <v>12038</v>
      </c>
      <c r="K366" s="31" t="s">
        <v>65</v>
      </c>
      <c r="L366" s="31" t="s">
        <v>26</v>
      </c>
      <c r="M366" s="31" t="s">
        <v>27</v>
      </c>
      <c r="N366" s="31" t="s">
        <v>28</v>
      </c>
      <c r="O366" s="31">
        <v>714.0</v>
      </c>
      <c r="P366" s="31">
        <v>843.0</v>
      </c>
      <c r="Q366" s="6">
        <v>57.0</v>
      </c>
      <c r="R366" s="31">
        <f t="shared" si="10"/>
        <v>406.98</v>
      </c>
    </row>
    <row r="367">
      <c r="B367" s="31" t="s">
        <v>9020</v>
      </c>
      <c r="C367" s="31" t="s">
        <v>12039</v>
      </c>
      <c r="D367" s="31" t="s">
        <v>966</v>
      </c>
      <c r="E367" s="31" t="s">
        <v>8464</v>
      </c>
      <c r="F367" s="31" t="s">
        <v>12040</v>
      </c>
      <c r="G367" s="31" t="s">
        <v>12041</v>
      </c>
      <c r="H367" s="31"/>
      <c r="I367" s="31">
        <v>1196.0</v>
      </c>
      <c r="J367" s="31" t="s">
        <v>1103</v>
      </c>
      <c r="K367" s="31" t="s">
        <v>78</v>
      </c>
      <c r="L367" s="31" t="s">
        <v>26</v>
      </c>
      <c r="M367" s="31" t="s">
        <v>71</v>
      </c>
      <c r="N367" s="31" t="s">
        <v>28</v>
      </c>
      <c r="O367" s="31">
        <v>4041.0</v>
      </c>
      <c r="P367" s="31">
        <v>4768.0</v>
      </c>
      <c r="Q367" s="6">
        <v>53.0</v>
      </c>
      <c r="R367" s="31">
        <f t="shared" si="10"/>
        <v>2141.73</v>
      </c>
    </row>
    <row r="368">
      <c r="B368" s="31" t="s">
        <v>9020</v>
      </c>
      <c r="C368" s="31" t="s">
        <v>6998</v>
      </c>
      <c r="D368" s="31" t="s">
        <v>966</v>
      </c>
      <c r="E368" s="31" t="s">
        <v>11785</v>
      </c>
      <c r="F368" s="31" t="s">
        <v>12042</v>
      </c>
      <c r="G368" s="31" t="s">
        <v>12043</v>
      </c>
      <c r="H368" s="31"/>
      <c r="I368" s="31">
        <v>796.0</v>
      </c>
      <c r="J368" s="661">
        <v>46329.0</v>
      </c>
      <c r="K368" s="31" t="s">
        <v>78</v>
      </c>
      <c r="L368" s="31" t="s">
        <v>26</v>
      </c>
      <c r="M368" s="31" t="s">
        <v>71</v>
      </c>
      <c r="N368" s="31" t="s">
        <v>28</v>
      </c>
      <c r="O368" s="466">
        <v>2204.0</v>
      </c>
      <c r="P368" s="466">
        <v>2601.0</v>
      </c>
      <c r="Q368" s="6">
        <v>53.0</v>
      </c>
      <c r="R368" s="31">
        <f t="shared" si="10"/>
        <v>1168.12</v>
      </c>
    </row>
    <row r="369">
      <c r="B369" s="31" t="s">
        <v>9020</v>
      </c>
      <c r="C369" s="31" t="s">
        <v>12044</v>
      </c>
      <c r="D369" s="31" t="s">
        <v>966</v>
      </c>
      <c r="E369" s="31" t="s">
        <v>11790</v>
      </c>
      <c r="F369" s="31" t="s">
        <v>12045</v>
      </c>
      <c r="G369" s="31"/>
      <c r="H369" s="31"/>
      <c r="I369" s="31">
        <v>998.0</v>
      </c>
      <c r="J369" s="661">
        <v>46329.0</v>
      </c>
      <c r="K369" s="31" t="s">
        <v>78</v>
      </c>
      <c r="L369" s="31" t="s">
        <v>26</v>
      </c>
      <c r="M369" s="31" t="s">
        <v>27</v>
      </c>
      <c r="N369" s="31" t="s">
        <v>28</v>
      </c>
      <c r="O369" s="31">
        <v>2779.0</v>
      </c>
      <c r="P369" s="31">
        <v>3279.0</v>
      </c>
      <c r="Q369" s="6">
        <v>53.0</v>
      </c>
      <c r="R369" s="31">
        <f t="shared" si="10"/>
        <v>1472.87</v>
      </c>
    </row>
    <row r="370">
      <c r="B370" s="31" t="s">
        <v>9024</v>
      </c>
      <c r="C370" s="31" t="s">
        <v>7553</v>
      </c>
      <c r="D370" s="31" t="s">
        <v>966</v>
      </c>
      <c r="E370" s="31" t="s">
        <v>8464</v>
      </c>
      <c r="F370" s="31" t="s">
        <v>12046</v>
      </c>
      <c r="G370" s="31"/>
      <c r="H370" s="31"/>
      <c r="I370" s="31">
        <v>1196.0</v>
      </c>
      <c r="J370" s="31" t="s">
        <v>1103</v>
      </c>
      <c r="K370" s="31" t="s">
        <v>78</v>
      </c>
      <c r="L370" s="31" t="s">
        <v>26</v>
      </c>
      <c r="M370" s="31" t="s">
        <v>71</v>
      </c>
      <c r="N370" s="31" t="s">
        <v>28</v>
      </c>
      <c r="O370" s="31">
        <v>4101.0</v>
      </c>
      <c r="P370" s="31">
        <v>4839.0</v>
      </c>
      <c r="Q370" s="6">
        <v>53.0</v>
      </c>
      <c r="R370" s="31">
        <f t="shared" si="10"/>
        <v>2173.53</v>
      </c>
    </row>
    <row r="371">
      <c r="B371" s="31" t="s">
        <v>9000</v>
      </c>
      <c r="C371" s="31" t="s">
        <v>12047</v>
      </c>
      <c r="D371" s="31" t="s">
        <v>60</v>
      </c>
      <c r="E371" s="31" t="s">
        <v>719</v>
      </c>
      <c r="F371" s="31" t="s">
        <v>12048</v>
      </c>
      <c r="G371" s="31"/>
      <c r="H371" s="31"/>
      <c r="I371" s="31">
        <v>100.0</v>
      </c>
      <c r="J371" s="31" t="s">
        <v>12049</v>
      </c>
      <c r="K371" s="31" t="s">
        <v>65</v>
      </c>
      <c r="L371" s="31" t="s">
        <v>26</v>
      </c>
      <c r="M371" s="31" t="s">
        <v>27</v>
      </c>
      <c r="N371" s="31" t="s">
        <v>28</v>
      </c>
      <c r="O371" s="31">
        <v>714.0</v>
      </c>
      <c r="P371" s="31">
        <v>843.0</v>
      </c>
      <c r="Q371" s="6">
        <v>57.0</v>
      </c>
      <c r="R371" s="31">
        <f t="shared" si="10"/>
        <v>406.98</v>
      </c>
    </row>
    <row r="372">
      <c r="B372" s="31" t="s">
        <v>9000</v>
      </c>
      <c r="C372" s="31" t="s">
        <v>12050</v>
      </c>
      <c r="D372" s="31" t="s">
        <v>966</v>
      </c>
      <c r="E372" s="31" t="s">
        <v>8464</v>
      </c>
      <c r="F372" s="31" t="s">
        <v>12051</v>
      </c>
      <c r="G372" s="31" t="s">
        <v>12052</v>
      </c>
      <c r="H372" s="31"/>
      <c r="I372" s="31">
        <v>1196.0</v>
      </c>
      <c r="J372" s="31" t="s">
        <v>1103</v>
      </c>
      <c r="K372" s="31" t="s">
        <v>78</v>
      </c>
      <c r="L372" s="31" t="s">
        <v>26</v>
      </c>
      <c r="M372" s="31" t="s">
        <v>27</v>
      </c>
      <c r="N372" s="31" t="s">
        <v>28</v>
      </c>
      <c r="O372" s="31">
        <v>4101.0</v>
      </c>
      <c r="P372" s="31">
        <v>4839.0</v>
      </c>
      <c r="Q372" s="6">
        <v>53.0</v>
      </c>
      <c r="R372" s="31">
        <f t="shared" si="10"/>
        <v>2173.53</v>
      </c>
    </row>
    <row r="373">
      <c r="B373" s="31" t="s">
        <v>9070</v>
      </c>
      <c r="C373" s="31" t="s">
        <v>12053</v>
      </c>
      <c r="D373" s="31" t="s">
        <v>966</v>
      </c>
      <c r="E373" s="31" t="s">
        <v>11785</v>
      </c>
      <c r="F373" s="31" t="s">
        <v>12054</v>
      </c>
      <c r="G373" s="31"/>
      <c r="H373" s="31"/>
      <c r="I373" s="31">
        <v>796.0</v>
      </c>
      <c r="J373" s="31" t="s">
        <v>1120</v>
      </c>
      <c r="K373" s="31" t="s">
        <v>78</v>
      </c>
      <c r="L373" s="31" t="s">
        <v>26</v>
      </c>
      <c r="M373" s="31" t="s">
        <v>27</v>
      </c>
      <c r="N373" s="31" t="s">
        <v>28</v>
      </c>
      <c r="O373" s="31">
        <v>2779.0</v>
      </c>
      <c r="P373" s="31">
        <v>3279.0</v>
      </c>
      <c r="Q373" s="6">
        <v>53.0</v>
      </c>
      <c r="R373" s="31">
        <f t="shared" si="10"/>
        <v>1472.87</v>
      </c>
    </row>
    <row r="374">
      <c r="B374" s="31" t="s">
        <v>9077</v>
      </c>
      <c r="C374" s="31" t="s">
        <v>12055</v>
      </c>
      <c r="D374" s="31" t="s">
        <v>60</v>
      </c>
      <c r="E374" s="31" t="s">
        <v>719</v>
      </c>
      <c r="F374" s="31" t="s">
        <v>12056</v>
      </c>
      <c r="G374" s="31"/>
      <c r="H374" s="31"/>
      <c r="I374" s="31">
        <v>100.0</v>
      </c>
      <c r="J374" s="31" t="s">
        <v>2969</v>
      </c>
      <c r="K374" s="31" t="s">
        <v>65</v>
      </c>
      <c r="L374" s="31" t="s">
        <v>26</v>
      </c>
      <c r="M374" s="31" t="s">
        <v>27</v>
      </c>
      <c r="N374" s="31" t="s">
        <v>28</v>
      </c>
      <c r="O374" s="31">
        <v>714.0</v>
      </c>
      <c r="P374" s="31">
        <v>843.0</v>
      </c>
      <c r="Q374" s="6">
        <v>57.0</v>
      </c>
      <c r="R374" s="31">
        <f t="shared" si="10"/>
        <v>406.98</v>
      </c>
    </row>
    <row r="375">
      <c r="B375" s="31" t="s">
        <v>9077</v>
      </c>
      <c r="C375" s="31" t="s">
        <v>12057</v>
      </c>
      <c r="D375" s="31" t="s">
        <v>966</v>
      </c>
      <c r="E375" s="31" t="s">
        <v>11947</v>
      </c>
      <c r="F375" s="31" t="s">
        <v>12058</v>
      </c>
      <c r="G375" s="31"/>
      <c r="H375" s="31"/>
      <c r="I375" s="31">
        <v>1197.0</v>
      </c>
      <c r="J375" s="31" t="s">
        <v>3002</v>
      </c>
      <c r="K375" s="31" t="s">
        <v>78</v>
      </c>
      <c r="L375" s="31" t="s">
        <v>26</v>
      </c>
      <c r="M375" s="31" t="s">
        <v>27</v>
      </c>
      <c r="N375" s="31" t="s">
        <v>28</v>
      </c>
      <c r="O375" s="31">
        <v>3791.0</v>
      </c>
      <c r="P375" s="31">
        <v>4473.0</v>
      </c>
      <c r="Q375" s="6">
        <v>53.0</v>
      </c>
      <c r="R375" s="31">
        <f t="shared" si="10"/>
        <v>2009.23</v>
      </c>
    </row>
    <row r="376">
      <c r="B376" s="31" t="s">
        <v>9075</v>
      </c>
      <c r="C376" s="31" t="s">
        <v>12059</v>
      </c>
      <c r="D376" s="31" t="s">
        <v>60</v>
      </c>
      <c r="E376" s="31" t="s">
        <v>12060</v>
      </c>
      <c r="F376" s="31" t="s">
        <v>12061</v>
      </c>
      <c r="G376" s="31"/>
      <c r="H376" s="31"/>
      <c r="I376" s="31">
        <v>100.0</v>
      </c>
      <c r="J376" s="31" t="s">
        <v>3054</v>
      </c>
      <c r="K376" s="31" t="s">
        <v>65</v>
      </c>
      <c r="L376" s="31" t="s">
        <v>26</v>
      </c>
      <c r="M376" s="31" t="s">
        <v>27</v>
      </c>
      <c r="N376" s="31" t="s">
        <v>28</v>
      </c>
      <c r="O376" s="31">
        <v>714.0</v>
      </c>
      <c r="P376" s="31">
        <v>843.0</v>
      </c>
      <c r="Q376" s="6">
        <v>57.0</v>
      </c>
      <c r="R376" s="31">
        <f t="shared" si="10"/>
        <v>406.98</v>
      </c>
    </row>
    <row r="377">
      <c r="B377" s="31" t="s">
        <v>9092</v>
      </c>
      <c r="C377" s="31" t="s">
        <v>12062</v>
      </c>
      <c r="D377" s="31" t="s">
        <v>966</v>
      </c>
      <c r="E377" s="31" t="s">
        <v>8464</v>
      </c>
      <c r="F377" s="31" t="s">
        <v>12063</v>
      </c>
      <c r="G377" s="31"/>
      <c r="H377" s="31"/>
      <c r="I377" s="31">
        <v>1196.0</v>
      </c>
      <c r="J377" s="31" t="s">
        <v>1156</v>
      </c>
      <c r="K377" s="31" t="s">
        <v>78</v>
      </c>
      <c r="L377" s="31" t="s">
        <v>49</v>
      </c>
      <c r="M377" s="31" t="s">
        <v>27</v>
      </c>
      <c r="N377" s="31" t="s">
        <v>28</v>
      </c>
      <c r="O377" s="31">
        <v>14070.74</v>
      </c>
      <c r="P377" s="31">
        <v>16603.0</v>
      </c>
      <c r="Q377" s="6">
        <v>53.0</v>
      </c>
      <c r="R377" s="31">
        <f t="shared" si="10"/>
        <v>7457.4922</v>
      </c>
    </row>
    <row r="378">
      <c r="B378" s="31" t="s">
        <v>3092</v>
      </c>
      <c r="C378" s="31" t="s">
        <v>12064</v>
      </c>
      <c r="D378" s="31" t="s">
        <v>966</v>
      </c>
      <c r="E378" s="31" t="s">
        <v>12065</v>
      </c>
      <c r="F378" s="31" t="s">
        <v>12066</v>
      </c>
      <c r="G378" s="31" t="s">
        <v>2093</v>
      </c>
      <c r="H378" s="31"/>
      <c r="I378" s="31">
        <v>1248.0</v>
      </c>
      <c r="J378" s="31" t="s">
        <v>1162</v>
      </c>
      <c r="K378" s="31" t="s">
        <v>11716</v>
      </c>
      <c r="L378" s="31" t="s">
        <v>26</v>
      </c>
      <c r="M378" s="31" t="s">
        <v>27</v>
      </c>
      <c r="N378" s="31" t="s">
        <v>28</v>
      </c>
      <c r="O378" s="31">
        <v>3741.0</v>
      </c>
      <c r="P378" s="31">
        <v>4414.0</v>
      </c>
      <c r="Q378" s="6">
        <v>37.0</v>
      </c>
      <c r="R378" s="31">
        <f t="shared" si="10"/>
        <v>1384.17</v>
      </c>
    </row>
    <row r="379">
      <c r="B379" s="31" t="s">
        <v>3092</v>
      </c>
      <c r="C379" s="31" t="s">
        <v>12067</v>
      </c>
      <c r="D379" s="31" t="s">
        <v>966</v>
      </c>
      <c r="E379" s="31" t="s">
        <v>12068</v>
      </c>
      <c r="F379" s="31" t="s">
        <v>12069</v>
      </c>
      <c r="G379" s="31"/>
      <c r="H379" s="31"/>
      <c r="I379" s="31">
        <v>1598.0</v>
      </c>
      <c r="J379" s="31" t="s">
        <v>1168</v>
      </c>
      <c r="K379" s="31" t="s">
        <v>78</v>
      </c>
      <c r="L379" s="31" t="s">
        <v>26</v>
      </c>
      <c r="M379" s="31" t="s">
        <v>27</v>
      </c>
      <c r="N379" s="31" t="s">
        <v>28</v>
      </c>
      <c r="O379" s="31">
        <v>7947.0</v>
      </c>
      <c r="P379" s="31">
        <v>9377.0</v>
      </c>
      <c r="Q379" s="6">
        <v>43.0</v>
      </c>
      <c r="R379" s="31">
        <f t="shared" si="10"/>
        <v>3417.21</v>
      </c>
    </row>
    <row r="380">
      <c r="B380" s="31" t="s">
        <v>3092</v>
      </c>
      <c r="C380" s="31" t="s">
        <v>1188</v>
      </c>
      <c r="D380" s="31" t="s">
        <v>966</v>
      </c>
      <c r="E380" s="31" t="s">
        <v>12070</v>
      </c>
      <c r="F380" s="31" t="s">
        <v>12071</v>
      </c>
      <c r="G380" s="31"/>
      <c r="H380" s="31"/>
      <c r="I380" s="31">
        <v>1197.0</v>
      </c>
      <c r="J380" s="31" t="s">
        <v>1168</v>
      </c>
      <c r="K380" s="31" t="s">
        <v>78</v>
      </c>
      <c r="L380" s="31" t="s">
        <v>26</v>
      </c>
      <c r="M380" s="31" t="s">
        <v>27</v>
      </c>
      <c r="N380" s="31" t="s">
        <v>28</v>
      </c>
      <c r="O380" s="31">
        <v>3851.0</v>
      </c>
      <c r="P380" s="31">
        <v>4544.0</v>
      </c>
      <c r="Q380" s="6">
        <v>53.0</v>
      </c>
      <c r="R380" s="31">
        <f t="shared" si="10"/>
        <v>2041.03</v>
      </c>
    </row>
    <row r="381">
      <c r="B381" s="31" t="s">
        <v>3111</v>
      </c>
      <c r="C381" s="31" t="s">
        <v>12072</v>
      </c>
      <c r="D381" s="31" t="s">
        <v>966</v>
      </c>
      <c r="E381" s="31" t="s">
        <v>2544</v>
      </c>
      <c r="F381" s="31" t="s">
        <v>12073</v>
      </c>
      <c r="G381" s="31" t="s">
        <v>12074</v>
      </c>
      <c r="H381" s="31"/>
      <c r="I381" s="31">
        <v>2523.0</v>
      </c>
      <c r="J381" s="31" t="s">
        <v>1177</v>
      </c>
      <c r="K381" s="31" t="s">
        <v>78</v>
      </c>
      <c r="L381" s="31" t="s">
        <v>26</v>
      </c>
      <c r="M381" s="31" t="s">
        <v>27</v>
      </c>
      <c r="N381" s="31" t="s">
        <v>28</v>
      </c>
      <c r="O381" s="31">
        <v>8522.0</v>
      </c>
      <c r="P381" s="31">
        <v>10056.0</v>
      </c>
      <c r="Q381" s="6">
        <v>43.0</v>
      </c>
      <c r="R381" s="31">
        <f t="shared" si="10"/>
        <v>3664.46</v>
      </c>
    </row>
    <row r="382">
      <c r="B382" s="31" t="s">
        <v>3144</v>
      </c>
      <c r="C382" s="31" t="s">
        <v>12075</v>
      </c>
      <c r="D382" s="31" t="s">
        <v>60</v>
      </c>
      <c r="E382" s="31" t="s">
        <v>11749</v>
      </c>
      <c r="F382" s="31" t="s">
        <v>12076</v>
      </c>
      <c r="G382" s="31">
        <v>9.09932384E9</v>
      </c>
      <c r="H382" s="31"/>
      <c r="I382" s="31">
        <v>109.0</v>
      </c>
      <c r="J382" s="31" t="s">
        <v>12077</v>
      </c>
      <c r="K382" s="31" t="s">
        <v>65</v>
      </c>
      <c r="L382" s="31" t="s">
        <v>26</v>
      </c>
      <c r="M382" s="31" t="s">
        <v>27</v>
      </c>
      <c r="N382" s="31" t="s">
        <v>28</v>
      </c>
      <c r="O382" s="31">
        <v>714.0</v>
      </c>
      <c r="P382" s="31">
        <v>843.0</v>
      </c>
      <c r="Q382" s="6">
        <v>58.0</v>
      </c>
      <c r="R382" s="31">
        <f t="shared" si="10"/>
        <v>414.12</v>
      </c>
    </row>
    <row r="383">
      <c r="B383" s="31" t="s">
        <v>3144</v>
      </c>
      <c r="C383" s="31" t="s">
        <v>12078</v>
      </c>
      <c r="D383" s="31" t="s">
        <v>60</v>
      </c>
      <c r="E383" s="31" t="s">
        <v>719</v>
      </c>
      <c r="F383" s="31" t="s">
        <v>12079</v>
      </c>
      <c r="G383" s="31" t="s">
        <v>12080</v>
      </c>
      <c r="H383" s="31"/>
      <c r="I383" s="31">
        <v>100.0</v>
      </c>
      <c r="J383" s="31" t="s">
        <v>12077</v>
      </c>
      <c r="K383" s="31" t="s">
        <v>65</v>
      </c>
      <c r="L383" s="31" t="s">
        <v>26</v>
      </c>
      <c r="M383" s="31" t="s">
        <v>27</v>
      </c>
      <c r="N383" s="31" t="s">
        <v>28</v>
      </c>
      <c r="O383" s="31">
        <v>714.0</v>
      </c>
      <c r="P383" s="31">
        <v>843.0</v>
      </c>
      <c r="Q383" s="6">
        <v>57.0</v>
      </c>
      <c r="R383" s="31">
        <f t="shared" si="10"/>
        <v>406.98</v>
      </c>
    </row>
    <row r="384">
      <c r="B384" s="31" t="s">
        <v>3144</v>
      </c>
      <c r="C384" s="31" t="s">
        <v>12081</v>
      </c>
      <c r="D384" s="31" t="s">
        <v>60</v>
      </c>
      <c r="E384" s="31" t="s">
        <v>11751</v>
      </c>
      <c r="F384" s="31" t="s">
        <v>12082</v>
      </c>
      <c r="G384" s="31" t="s">
        <v>12083</v>
      </c>
      <c r="H384" s="31"/>
      <c r="I384" s="31">
        <v>110.0</v>
      </c>
      <c r="J384" s="31" t="s">
        <v>12077</v>
      </c>
      <c r="K384" s="31" t="s">
        <v>65</v>
      </c>
      <c r="L384" s="31" t="s">
        <v>26</v>
      </c>
      <c r="M384" s="31" t="s">
        <v>27</v>
      </c>
      <c r="N384" s="31" t="s">
        <v>28</v>
      </c>
      <c r="O384" s="31">
        <v>714.0</v>
      </c>
      <c r="P384" s="31">
        <v>843.0</v>
      </c>
      <c r="Q384" s="6">
        <v>57.0</v>
      </c>
      <c r="R384" s="31">
        <f t="shared" si="10"/>
        <v>406.98</v>
      </c>
    </row>
    <row r="385">
      <c r="B385" s="31" t="s">
        <v>3144</v>
      </c>
      <c r="C385" s="31" t="s">
        <v>12084</v>
      </c>
      <c r="D385" s="31" t="s">
        <v>60</v>
      </c>
      <c r="E385" s="31" t="s">
        <v>11749</v>
      </c>
      <c r="F385" s="31" t="s">
        <v>12085</v>
      </c>
      <c r="G385" s="31" t="s">
        <v>12086</v>
      </c>
      <c r="H385" s="31"/>
      <c r="I385" s="31">
        <v>110.0</v>
      </c>
      <c r="J385" s="31" t="s">
        <v>12087</v>
      </c>
      <c r="K385" s="31" t="s">
        <v>65</v>
      </c>
      <c r="L385" s="31" t="s">
        <v>26</v>
      </c>
      <c r="M385" s="31" t="s">
        <v>27</v>
      </c>
      <c r="N385" s="31" t="s">
        <v>28</v>
      </c>
      <c r="O385" s="31">
        <v>714.0</v>
      </c>
      <c r="P385" s="31">
        <v>843.0</v>
      </c>
      <c r="Q385" s="6">
        <v>58.0</v>
      </c>
      <c r="R385" s="31">
        <f t="shared" si="10"/>
        <v>414.12</v>
      </c>
    </row>
    <row r="386">
      <c r="B386" s="31" t="s">
        <v>3144</v>
      </c>
      <c r="C386" s="31" t="s">
        <v>12088</v>
      </c>
      <c r="D386" s="31" t="s">
        <v>966</v>
      </c>
      <c r="E386" s="31" t="s">
        <v>7773</v>
      </c>
      <c r="F386" s="31" t="s">
        <v>12089</v>
      </c>
      <c r="G386" s="31"/>
      <c r="H386" s="31"/>
      <c r="I386" s="31">
        <v>1248.0</v>
      </c>
      <c r="J386" s="31" t="s">
        <v>3149</v>
      </c>
      <c r="K386" s="31" t="s">
        <v>11716</v>
      </c>
      <c r="L386" s="31" t="s">
        <v>26</v>
      </c>
      <c r="M386" s="31" t="s">
        <v>27</v>
      </c>
      <c r="N386" s="31" t="s">
        <v>28</v>
      </c>
      <c r="O386" s="31">
        <v>3741.0</v>
      </c>
      <c r="P386" s="31">
        <v>4414.0</v>
      </c>
      <c r="Q386" s="6">
        <v>37.0</v>
      </c>
      <c r="R386" s="31">
        <f t="shared" si="10"/>
        <v>1384.17</v>
      </c>
    </row>
    <row r="387">
      <c r="B387" s="31" t="s">
        <v>3173</v>
      </c>
      <c r="C387" s="31" t="s">
        <v>12090</v>
      </c>
      <c r="D387" s="31" t="s">
        <v>60</v>
      </c>
      <c r="E387" s="31" t="s">
        <v>11749</v>
      </c>
      <c r="F387" s="31" t="s">
        <v>12091</v>
      </c>
      <c r="G387" s="31">
        <v>9.03326875E9</v>
      </c>
      <c r="H387" s="31"/>
      <c r="I387" s="31">
        <v>110.0</v>
      </c>
      <c r="J387" s="31" t="s">
        <v>12087</v>
      </c>
      <c r="K387" s="31" t="s">
        <v>65</v>
      </c>
      <c r="L387" s="31" t="s">
        <v>26</v>
      </c>
      <c r="M387" s="31" t="s">
        <v>27</v>
      </c>
      <c r="N387" s="31" t="s">
        <v>28</v>
      </c>
      <c r="O387" s="31">
        <v>714.0</v>
      </c>
      <c r="P387" s="31">
        <v>843.0</v>
      </c>
      <c r="Q387" s="6">
        <v>58.0</v>
      </c>
      <c r="R387" s="31">
        <f t="shared" si="10"/>
        <v>414.12</v>
      </c>
    </row>
    <row r="388">
      <c r="B388" s="31" t="s">
        <v>3209</v>
      </c>
      <c r="C388" s="31" t="s">
        <v>12092</v>
      </c>
      <c r="D388" s="31" t="s">
        <v>60</v>
      </c>
      <c r="E388" s="31" t="s">
        <v>719</v>
      </c>
      <c r="F388" s="31" t="s">
        <v>12093</v>
      </c>
      <c r="G388" s="31"/>
      <c r="H388" s="31"/>
      <c r="I388" s="31">
        <v>100.0</v>
      </c>
      <c r="J388" s="31" t="s">
        <v>3050</v>
      </c>
      <c r="K388" s="31" t="s">
        <v>65</v>
      </c>
      <c r="L388" s="31" t="s">
        <v>26</v>
      </c>
      <c r="M388" s="31" t="s">
        <v>71</v>
      </c>
      <c r="N388" s="31" t="s">
        <v>28</v>
      </c>
      <c r="O388" s="31">
        <v>714.0</v>
      </c>
      <c r="P388" s="31">
        <v>843.0</v>
      </c>
      <c r="Q388" s="6">
        <v>57.0</v>
      </c>
      <c r="R388" s="31">
        <f t="shared" si="10"/>
        <v>406.98</v>
      </c>
    </row>
    <row r="389">
      <c r="B389" s="31" t="s">
        <v>3209</v>
      </c>
      <c r="C389" s="31" t="s">
        <v>12094</v>
      </c>
      <c r="D389" s="31" t="s">
        <v>60</v>
      </c>
      <c r="E389" s="31" t="s">
        <v>719</v>
      </c>
      <c r="F389" s="31" t="s">
        <v>12095</v>
      </c>
      <c r="G389" s="31"/>
      <c r="H389" s="31"/>
      <c r="I389" s="31">
        <v>100.0</v>
      </c>
      <c r="J389" s="31" t="s">
        <v>3050</v>
      </c>
      <c r="K389" s="31" t="s">
        <v>65</v>
      </c>
      <c r="L389" s="31" t="s">
        <v>26</v>
      </c>
      <c r="M389" s="31" t="s">
        <v>27</v>
      </c>
      <c r="N389" s="31" t="s">
        <v>28</v>
      </c>
      <c r="O389" s="31">
        <v>714.0</v>
      </c>
      <c r="P389" s="31">
        <v>843.0</v>
      </c>
      <c r="Q389" s="6">
        <v>57.0</v>
      </c>
      <c r="R389" s="31">
        <f t="shared" si="10"/>
        <v>406.98</v>
      </c>
    </row>
    <row r="390">
      <c r="B390" s="31" t="s">
        <v>3238</v>
      </c>
      <c r="C390" s="31" t="s">
        <v>12096</v>
      </c>
      <c r="D390" s="31" t="s">
        <v>966</v>
      </c>
      <c r="E390" s="31" t="s">
        <v>11584</v>
      </c>
      <c r="F390" s="31" t="s">
        <v>12097</v>
      </c>
      <c r="G390" s="31"/>
      <c r="H390" s="31"/>
      <c r="I390" s="31">
        <v>1086.0</v>
      </c>
      <c r="J390" s="31" t="s">
        <v>1211</v>
      </c>
      <c r="K390" s="31" t="s">
        <v>78</v>
      </c>
      <c r="L390" s="31" t="s">
        <v>26</v>
      </c>
      <c r="M390" s="31" t="s">
        <v>27</v>
      </c>
      <c r="N390" s="31" t="s">
        <v>28</v>
      </c>
      <c r="O390" s="31">
        <v>3526.0</v>
      </c>
      <c r="P390" s="31">
        <v>4161.0</v>
      </c>
      <c r="Q390" s="6">
        <v>53.0</v>
      </c>
      <c r="R390" s="31">
        <f t="shared" si="10"/>
        <v>1868.78</v>
      </c>
    </row>
    <row r="391">
      <c r="B391" s="31" t="s">
        <v>3238</v>
      </c>
      <c r="C391" s="31" t="s">
        <v>12098</v>
      </c>
      <c r="D391" s="31" t="s">
        <v>966</v>
      </c>
      <c r="E391" s="31" t="s">
        <v>12099</v>
      </c>
      <c r="F391" s="31" t="s">
        <v>12100</v>
      </c>
      <c r="G391" s="31"/>
      <c r="H391" s="31"/>
      <c r="I391" s="31">
        <v>1794.0</v>
      </c>
      <c r="J391" s="31" t="s">
        <v>1211</v>
      </c>
      <c r="K391" s="31" t="s">
        <v>78</v>
      </c>
      <c r="L391" s="31" t="s">
        <v>26</v>
      </c>
      <c r="M391" s="31" t="s">
        <v>27</v>
      </c>
      <c r="N391" s="31" t="s">
        <v>28</v>
      </c>
      <c r="O391" s="31">
        <v>8007.0</v>
      </c>
      <c r="P391" s="31">
        <v>9448.0</v>
      </c>
      <c r="Q391" s="6">
        <v>43.0</v>
      </c>
      <c r="R391" s="31">
        <f t="shared" si="10"/>
        <v>3443.01</v>
      </c>
    </row>
    <row r="392">
      <c r="B392" s="31" t="s">
        <v>3238</v>
      </c>
      <c r="C392" s="31" t="s">
        <v>12101</v>
      </c>
      <c r="D392" s="31" t="s">
        <v>966</v>
      </c>
      <c r="E392" s="31" t="s">
        <v>11947</v>
      </c>
      <c r="F392" s="31" t="s">
        <v>12102</v>
      </c>
      <c r="G392" s="31"/>
      <c r="H392" s="31"/>
      <c r="I392" s="31">
        <v>1197.0</v>
      </c>
      <c r="J392" s="31" t="s">
        <v>1211</v>
      </c>
      <c r="K392" s="31" t="s">
        <v>78</v>
      </c>
      <c r="L392" s="31" t="s">
        <v>26</v>
      </c>
      <c r="M392" s="31" t="s">
        <v>27</v>
      </c>
      <c r="N392" s="31" t="s">
        <v>28</v>
      </c>
      <c r="O392" s="31">
        <v>3526.0</v>
      </c>
      <c r="P392" s="31">
        <v>4161.0</v>
      </c>
      <c r="Q392" s="6">
        <v>53.0</v>
      </c>
      <c r="R392" s="31">
        <f t="shared" si="10"/>
        <v>1868.78</v>
      </c>
    </row>
    <row r="395">
      <c r="B395" s="669">
        <v>45751.0</v>
      </c>
      <c r="C395" s="296" t="s">
        <v>12103</v>
      </c>
      <c r="D395" s="296" t="s">
        <v>966</v>
      </c>
      <c r="E395" s="296" t="s">
        <v>11785</v>
      </c>
      <c r="F395" s="296" t="s">
        <v>12104</v>
      </c>
      <c r="G395" s="296">
        <v>9.89899104E9</v>
      </c>
      <c r="I395" s="296">
        <v>796.0</v>
      </c>
      <c r="J395" s="669">
        <v>46085.0</v>
      </c>
      <c r="K395" s="296" t="s">
        <v>78</v>
      </c>
      <c r="L395" s="296" t="s">
        <v>26</v>
      </c>
      <c r="M395" s="296" t="s">
        <v>71</v>
      </c>
      <c r="N395" s="296" t="s">
        <v>28</v>
      </c>
      <c r="O395" s="296">
        <v>2204.0</v>
      </c>
      <c r="P395" s="296">
        <v>2601.0</v>
      </c>
      <c r="Q395" s="6">
        <v>44.0</v>
      </c>
      <c r="R395" s="31">
        <f t="shared" ref="R395:R421" si="11">O395*Q395%</f>
        <v>969.76</v>
      </c>
    </row>
    <row r="396">
      <c r="B396" s="669">
        <v>45751.0</v>
      </c>
      <c r="C396" s="296" t="s">
        <v>12105</v>
      </c>
      <c r="D396" s="296" t="s">
        <v>60</v>
      </c>
      <c r="E396" s="296" t="s">
        <v>12106</v>
      </c>
      <c r="F396" s="296" t="s">
        <v>12107</v>
      </c>
      <c r="G396" s="296" t="s">
        <v>12108</v>
      </c>
      <c r="I396" s="296">
        <v>125.0</v>
      </c>
      <c r="J396" s="670">
        <v>46085.0</v>
      </c>
      <c r="K396" s="296" t="s">
        <v>65</v>
      </c>
      <c r="L396" s="296" t="s">
        <v>26</v>
      </c>
      <c r="M396" s="296" t="s">
        <v>27</v>
      </c>
      <c r="N396" s="296" t="s">
        <v>28</v>
      </c>
      <c r="O396" s="296">
        <v>714.0</v>
      </c>
      <c r="P396" s="296">
        <v>842.0</v>
      </c>
      <c r="Q396" s="6">
        <v>58.0</v>
      </c>
      <c r="R396" s="31">
        <f t="shared" si="11"/>
        <v>414.12</v>
      </c>
    </row>
    <row r="397">
      <c r="B397" s="669">
        <v>45781.0</v>
      </c>
      <c r="C397" s="296" t="s">
        <v>12096</v>
      </c>
      <c r="D397" s="296" t="s">
        <v>966</v>
      </c>
      <c r="E397" s="296" t="s">
        <v>12109</v>
      </c>
      <c r="F397" s="296" t="s">
        <v>12110</v>
      </c>
      <c r="G397" s="296" t="s">
        <v>12111</v>
      </c>
      <c r="I397" s="296">
        <v>1086.0</v>
      </c>
      <c r="J397" s="670">
        <v>46116.0</v>
      </c>
      <c r="K397" s="296" t="s">
        <v>65</v>
      </c>
      <c r="L397" s="296" t="s">
        <v>26</v>
      </c>
      <c r="M397" s="296" t="s">
        <v>27</v>
      </c>
      <c r="N397" s="296" t="s">
        <v>28</v>
      </c>
      <c r="O397" s="296">
        <v>3526.0</v>
      </c>
      <c r="P397" s="296">
        <v>4160.0</v>
      </c>
      <c r="Q397" s="6">
        <v>46.0</v>
      </c>
      <c r="R397" s="31">
        <f t="shared" si="11"/>
        <v>1621.96</v>
      </c>
    </row>
    <row r="398">
      <c r="B398" s="669">
        <v>45812.0</v>
      </c>
      <c r="C398" s="296" t="s">
        <v>12112</v>
      </c>
      <c r="D398" s="296" t="s">
        <v>966</v>
      </c>
      <c r="E398" s="296" t="s">
        <v>7773</v>
      </c>
      <c r="F398" s="296" t="s">
        <v>12113</v>
      </c>
      <c r="G398" s="296">
        <v>9.825735697E9</v>
      </c>
      <c r="I398" s="296">
        <v>1373.0</v>
      </c>
      <c r="J398" s="670">
        <v>46146.0</v>
      </c>
      <c r="K398" s="296" t="s">
        <v>65</v>
      </c>
      <c r="L398" s="296" t="s">
        <v>26</v>
      </c>
      <c r="M398" s="296" t="s">
        <v>27</v>
      </c>
      <c r="N398" s="296" t="s">
        <v>28</v>
      </c>
      <c r="O398" s="296">
        <v>4207.0</v>
      </c>
      <c r="P398" s="296">
        <v>4965.0</v>
      </c>
      <c r="Q398" s="6">
        <v>46.0</v>
      </c>
      <c r="R398" s="31">
        <f t="shared" si="11"/>
        <v>1935.22</v>
      </c>
    </row>
    <row r="399">
      <c r="B399" s="669">
        <v>45842.0</v>
      </c>
      <c r="C399" s="296" t="s">
        <v>7551</v>
      </c>
      <c r="D399" s="296" t="s">
        <v>966</v>
      </c>
      <c r="E399" s="296" t="s">
        <v>3541</v>
      </c>
      <c r="F399" s="296" t="s">
        <v>12114</v>
      </c>
      <c r="G399" s="296">
        <v>7.567524946E9</v>
      </c>
      <c r="I399" s="296">
        <v>1196.0</v>
      </c>
      <c r="J399" s="669">
        <v>46177.0</v>
      </c>
      <c r="K399" s="296" t="s">
        <v>11716</v>
      </c>
      <c r="L399" s="296" t="s">
        <v>26</v>
      </c>
      <c r="M399" s="296" t="s">
        <v>27</v>
      </c>
      <c r="N399" s="296" t="s">
        <v>28</v>
      </c>
      <c r="O399" s="296">
        <v>4051.0</v>
      </c>
      <c r="P399" s="296">
        <v>4781.0</v>
      </c>
      <c r="Q399" s="6">
        <v>24.0</v>
      </c>
      <c r="R399" s="31">
        <f t="shared" si="11"/>
        <v>972.24</v>
      </c>
    </row>
    <row r="400">
      <c r="B400" s="669">
        <v>45842.0</v>
      </c>
      <c r="C400" s="296" t="s">
        <v>12115</v>
      </c>
      <c r="D400" s="296" t="s">
        <v>966</v>
      </c>
      <c r="E400" s="296" t="s">
        <v>12116</v>
      </c>
      <c r="F400" s="296" t="s">
        <v>12117</v>
      </c>
      <c r="G400" s="296" t="s">
        <v>4392</v>
      </c>
      <c r="I400" s="296">
        <v>2982.0</v>
      </c>
      <c r="J400" s="669">
        <v>46207.0</v>
      </c>
      <c r="K400" s="296" t="s">
        <v>78</v>
      </c>
      <c r="L400" s="296" t="s">
        <v>26</v>
      </c>
      <c r="M400" s="296" t="s">
        <v>27</v>
      </c>
      <c r="N400" s="296" t="s">
        <v>28</v>
      </c>
      <c r="O400" s="296">
        <v>7947.0</v>
      </c>
      <c r="P400" s="296">
        <v>9377.0</v>
      </c>
      <c r="Q400" s="6">
        <v>35.0</v>
      </c>
      <c r="R400" s="31">
        <f t="shared" si="11"/>
        <v>2781.45</v>
      </c>
    </row>
    <row r="401">
      <c r="B401" s="669">
        <v>45934.0</v>
      </c>
      <c r="C401" s="296" t="s">
        <v>12118</v>
      </c>
      <c r="D401" s="296" t="s">
        <v>60</v>
      </c>
      <c r="E401" s="296" t="s">
        <v>719</v>
      </c>
      <c r="F401" s="296" t="s">
        <v>12119</v>
      </c>
      <c r="I401" s="296">
        <v>100.0</v>
      </c>
      <c r="J401" s="670">
        <v>46269.0</v>
      </c>
      <c r="K401" s="296" t="s">
        <v>65</v>
      </c>
      <c r="L401" s="296" t="s">
        <v>26</v>
      </c>
      <c r="M401" s="296" t="s">
        <v>27</v>
      </c>
      <c r="N401" s="296" t="s">
        <v>28</v>
      </c>
      <c r="O401" s="296">
        <v>714.0</v>
      </c>
      <c r="P401" s="296">
        <v>842.0</v>
      </c>
      <c r="Q401" s="6">
        <v>58.0</v>
      </c>
      <c r="R401" s="31">
        <f t="shared" si="11"/>
        <v>414.12</v>
      </c>
    </row>
    <row r="402">
      <c r="B402" s="669">
        <v>45934.0</v>
      </c>
      <c r="C402" s="296" t="s">
        <v>12120</v>
      </c>
      <c r="D402" s="296" t="s">
        <v>966</v>
      </c>
      <c r="E402" s="296" t="s">
        <v>3541</v>
      </c>
      <c r="F402" s="296" t="s">
        <v>12121</v>
      </c>
      <c r="I402" s="296">
        <v>1196.0</v>
      </c>
      <c r="J402" s="669">
        <v>46238.0</v>
      </c>
      <c r="K402" s="296" t="s">
        <v>11716</v>
      </c>
      <c r="L402" s="296" t="s">
        <v>26</v>
      </c>
      <c r="M402" s="296" t="s">
        <v>27</v>
      </c>
      <c r="N402" s="296" t="s">
        <v>28</v>
      </c>
      <c r="O402" s="296">
        <v>3526.0</v>
      </c>
      <c r="P402" s="296">
        <v>4161.0</v>
      </c>
      <c r="Q402" s="6">
        <v>24.0</v>
      </c>
      <c r="R402" s="31">
        <f t="shared" si="11"/>
        <v>846.24</v>
      </c>
    </row>
    <row r="403">
      <c r="B403" s="669">
        <v>45995.0</v>
      </c>
      <c r="C403" s="296" t="s">
        <v>12122</v>
      </c>
      <c r="D403" s="296" t="s">
        <v>966</v>
      </c>
      <c r="E403" s="296" t="s">
        <v>12123</v>
      </c>
      <c r="F403" s="296" t="s">
        <v>12124</v>
      </c>
      <c r="I403" s="296">
        <v>3199.0</v>
      </c>
      <c r="J403" s="669">
        <v>46330.0</v>
      </c>
      <c r="K403" s="296" t="s">
        <v>78</v>
      </c>
      <c r="L403" s="296" t="s">
        <v>26</v>
      </c>
      <c r="M403" s="296" t="s">
        <v>27</v>
      </c>
      <c r="N403" s="296" t="s">
        <v>28</v>
      </c>
      <c r="O403" s="296">
        <v>8272.0</v>
      </c>
      <c r="P403" s="296">
        <v>9761.0</v>
      </c>
      <c r="Q403" s="6">
        <v>35.0</v>
      </c>
      <c r="R403" s="31">
        <f t="shared" si="11"/>
        <v>2895.2</v>
      </c>
    </row>
    <row r="404">
      <c r="B404" s="296" t="s">
        <v>3506</v>
      </c>
      <c r="C404" s="296" t="s">
        <v>12125</v>
      </c>
      <c r="D404" s="296" t="s">
        <v>966</v>
      </c>
      <c r="E404" s="296" t="s">
        <v>12109</v>
      </c>
      <c r="F404" s="296" t="s">
        <v>12126</v>
      </c>
      <c r="I404" s="296">
        <v>1086.0</v>
      </c>
      <c r="J404" s="670">
        <v>46360.0</v>
      </c>
      <c r="K404" s="296" t="s">
        <v>65</v>
      </c>
      <c r="L404" s="296" t="s">
        <v>26</v>
      </c>
      <c r="M404" s="296" t="s">
        <v>27</v>
      </c>
      <c r="N404" s="296" t="s">
        <v>28</v>
      </c>
      <c r="O404" s="296">
        <v>3526.0</v>
      </c>
      <c r="P404" s="296">
        <v>4160.0</v>
      </c>
      <c r="Q404" s="6">
        <v>46.0</v>
      </c>
      <c r="R404" s="31">
        <f t="shared" si="11"/>
        <v>1621.96</v>
      </c>
    </row>
    <row r="405">
      <c r="B405" s="296" t="s">
        <v>3516</v>
      </c>
      <c r="C405" s="296" t="s">
        <v>12127</v>
      </c>
      <c r="D405" s="296" t="s">
        <v>966</v>
      </c>
      <c r="E405" s="296" t="s">
        <v>11304</v>
      </c>
      <c r="F405" s="296" t="s">
        <v>12128</v>
      </c>
      <c r="G405" s="296" t="s">
        <v>12129</v>
      </c>
      <c r="I405" s="296">
        <v>1396.0</v>
      </c>
      <c r="J405" s="296" t="s">
        <v>1300</v>
      </c>
      <c r="K405" s="296" t="s">
        <v>11716</v>
      </c>
      <c r="L405" s="296" t="s">
        <v>26</v>
      </c>
      <c r="M405" s="296" t="s">
        <v>27</v>
      </c>
      <c r="N405" s="296" t="s">
        <v>28</v>
      </c>
      <c r="O405" s="296">
        <v>3741.0</v>
      </c>
      <c r="P405" s="296">
        <v>4415.0</v>
      </c>
      <c r="Q405" s="6">
        <v>24.0</v>
      </c>
      <c r="R405" s="31">
        <f t="shared" si="11"/>
        <v>897.84</v>
      </c>
    </row>
    <row r="406">
      <c r="B406" s="296" t="s">
        <v>3548</v>
      </c>
      <c r="C406" s="296" t="s">
        <v>12130</v>
      </c>
      <c r="D406" s="296" t="s">
        <v>966</v>
      </c>
      <c r="E406" s="296" t="s">
        <v>3541</v>
      </c>
      <c r="F406" s="296" t="s">
        <v>12131</v>
      </c>
      <c r="G406" s="296" t="s">
        <v>2015</v>
      </c>
      <c r="I406" s="296">
        <v>1196.0</v>
      </c>
      <c r="J406" s="296" t="s">
        <v>3500</v>
      </c>
      <c r="K406" s="296" t="s">
        <v>11716</v>
      </c>
      <c r="L406" s="296" t="s">
        <v>26</v>
      </c>
      <c r="M406" s="296" t="s">
        <v>27</v>
      </c>
      <c r="N406" s="296" t="s">
        <v>28</v>
      </c>
      <c r="O406" s="296">
        <v>3526.0</v>
      </c>
      <c r="P406" s="296">
        <v>4160.0</v>
      </c>
      <c r="Q406" s="6">
        <v>24.0</v>
      </c>
      <c r="R406" s="31">
        <f t="shared" si="11"/>
        <v>846.24</v>
      </c>
    </row>
    <row r="407">
      <c r="B407" s="296" t="s">
        <v>3568</v>
      </c>
      <c r="C407" s="296" t="s">
        <v>12132</v>
      </c>
      <c r="D407" s="296" t="s">
        <v>60</v>
      </c>
      <c r="E407" s="296" t="s">
        <v>11217</v>
      </c>
      <c r="F407" s="296" t="s">
        <v>12133</v>
      </c>
      <c r="I407" s="296">
        <v>97.0</v>
      </c>
      <c r="J407" s="296" t="s">
        <v>12134</v>
      </c>
      <c r="K407" s="296" t="s">
        <v>65</v>
      </c>
      <c r="L407" s="296" t="s">
        <v>26</v>
      </c>
      <c r="M407" s="296" t="s">
        <v>27</v>
      </c>
      <c r="N407" s="296" t="s">
        <v>28</v>
      </c>
      <c r="O407" s="296">
        <v>714.0</v>
      </c>
      <c r="P407" s="296">
        <v>842.0</v>
      </c>
      <c r="Q407" s="6">
        <v>58.0</v>
      </c>
      <c r="R407" s="31">
        <f t="shared" si="11"/>
        <v>414.12</v>
      </c>
    </row>
    <row r="408">
      <c r="B408" s="296" t="s">
        <v>3568</v>
      </c>
      <c r="C408" s="296" t="s">
        <v>12135</v>
      </c>
      <c r="D408" s="296" t="s">
        <v>966</v>
      </c>
      <c r="E408" s="296" t="s">
        <v>11746</v>
      </c>
      <c r="F408" s="296" t="s">
        <v>12136</v>
      </c>
      <c r="I408" s="296">
        <v>1086.0</v>
      </c>
      <c r="J408" s="296" t="s">
        <v>12134</v>
      </c>
      <c r="K408" s="296" t="s">
        <v>65</v>
      </c>
      <c r="L408" s="296" t="s">
        <v>26</v>
      </c>
      <c r="M408" s="296" t="s">
        <v>27</v>
      </c>
      <c r="N408" s="296" t="s">
        <v>28</v>
      </c>
      <c r="O408" s="296">
        <v>3857.0</v>
      </c>
      <c r="P408" s="296">
        <v>4551.0</v>
      </c>
      <c r="Q408" s="6">
        <v>46.0</v>
      </c>
      <c r="R408" s="31">
        <f t="shared" si="11"/>
        <v>1774.22</v>
      </c>
    </row>
    <row r="409">
      <c r="B409" s="296" t="s">
        <v>3579</v>
      </c>
      <c r="C409" s="296" t="s">
        <v>12137</v>
      </c>
      <c r="D409" s="296" t="s">
        <v>966</v>
      </c>
      <c r="E409" s="296" t="s">
        <v>12109</v>
      </c>
      <c r="F409" s="296" t="s">
        <v>12138</v>
      </c>
      <c r="G409" s="296" t="s">
        <v>12139</v>
      </c>
      <c r="I409" s="296">
        <v>1086.0</v>
      </c>
      <c r="J409" s="296" t="s">
        <v>12140</v>
      </c>
      <c r="K409" s="296" t="s">
        <v>65</v>
      </c>
      <c r="L409" s="296" t="s">
        <v>26</v>
      </c>
      <c r="M409" s="296" t="s">
        <v>27</v>
      </c>
      <c r="N409" s="296" t="s">
        <v>28</v>
      </c>
      <c r="O409" s="296">
        <v>3526.0</v>
      </c>
      <c r="P409" s="296">
        <v>4160.0</v>
      </c>
      <c r="Q409" s="6">
        <v>46.0</v>
      </c>
      <c r="R409" s="31">
        <f t="shared" si="11"/>
        <v>1621.96</v>
      </c>
    </row>
    <row r="410">
      <c r="B410" s="296" t="s">
        <v>3591</v>
      </c>
      <c r="C410" s="296" t="s">
        <v>12141</v>
      </c>
      <c r="D410" s="296" t="s">
        <v>966</v>
      </c>
      <c r="E410" s="296" t="s">
        <v>12142</v>
      </c>
      <c r="F410" s="296" t="s">
        <v>12143</v>
      </c>
      <c r="I410" s="296">
        <v>798.0</v>
      </c>
      <c r="J410" s="296" t="s">
        <v>1377</v>
      </c>
      <c r="K410" s="296" t="s">
        <v>11716</v>
      </c>
      <c r="L410" s="296" t="s">
        <v>26</v>
      </c>
      <c r="M410" s="296" t="s">
        <v>27</v>
      </c>
      <c r="N410" s="296" t="s">
        <v>28</v>
      </c>
      <c r="O410" s="296">
        <v>2204.0</v>
      </c>
      <c r="P410" s="296">
        <v>2600.0</v>
      </c>
      <c r="Q410" s="6">
        <v>24.0</v>
      </c>
      <c r="R410" s="31">
        <f t="shared" si="11"/>
        <v>528.96</v>
      </c>
    </row>
    <row r="411">
      <c r="B411" s="296" t="s">
        <v>3591</v>
      </c>
      <c r="C411" s="296" t="s">
        <v>12144</v>
      </c>
      <c r="D411" s="296" t="s">
        <v>60</v>
      </c>
      <c r="E411" s="296" t="s">
        <v>671</v>
      </c>
      <c r="F411" s="296" t="s">
        <v>12145</v>
      </c>
      <c r="G411" s="296" t="s">
        <v>12146</v>
      </c>
      <c r="I411" s="296">
        <v>100.0</v>
      </c>
      <c r="J411" s="296" t="s">
        <v>3452</v>
      </c>
      <c r="K411" s="296" t="s">
        <v>668</v>
      </c>
      <c r="L411" s="296" t="s">
        <v>49</v>
      </c>
      <c r="M411" s="296" t="s">
        <v>27</v>
      </c>
      <c r="N411" s="296" t="s">
        <v>28</v>
      </c>
      <c r="O411" s="671">
        <v>1235.0</v>
      </c>
      <c r="P411" s="671">
        <v>1457.0</v>
      </c>
      <c r="Q411" s="6">
        <v>35.0</v>
      </c>
      <c r="R411" s="31">
        <f t="shared" si="11"/>
        <v>432.25</v>
      </c>
    </row>
    <row r="412">
      <c r="B412" s="296" t="s">
        <v>3647</v>
      </c>
      <c r="C412" s="296" t="s">
        <v>12147</v>
      </c>
      <c r="D412" s="296" t="s">
        <v>966</v>
      </c>
      <c r="E412" s="296" t="s">
        <v>12148</v>
      </c>
      <c r="F412" s="296" t="s">
        <v>12149</v>
      </c>
      <c r="G412" s="296">
        <v>9.925351346E9</v>
      </c>
      <c r="I412" s="296">
        <v>1197.0</v>
      </c>
      <c r="J412" s="296" t="s">
        <v>3597</v>
      </c>
      <c r="K412" s="296" t="s">
        <v>78</v>
      </c>
      <c r="L412" s="296" t="s">
        <v>49</v>
      </c>
      <c r="M412" s="296" t="s">
        <v>27</v>
      </c>
      <c r="N412" s="296" t="s">
        <v>28</v>
      </c>
      <c r="O412" s="296">
        <v>12388.0</v>
      </c>
      <c r="P412" s="296">
        <v>14619.0</v>
      </c>
      <c r="Q412" s="6">
        <v>27.0</v>
      </c>
      <c r="R412" s="31">
        <f t="shared" si="11"/>
        <v>3344.76</v>
      </c>
    </row>
    <row r="413">
      <c r="B413" s="296" t="s">
        <v>3685</v>
      </c>
      <c r="C413" s="296" t="s">
        <v>12150</v>
      </c>
      <c r="D413" s="296" t="s">
        <v>966</v>
      </c>
      <c r="E413" s="296" t="s">
        <v>11309</v>
      </c>
      <c r="F413" s="296" t="s">
        <v>12151</v>
      </c>
      <c r="G413" s="296" t="s">
        <v>12152</v>
      </c>
      <c r="H413" s="296" t="s">
        <v>12153</v>
      </c>
      <c r="I413" s="296">
        <v>1248.0</v>
      </c>
      <c r="J413" s="296" t="s">
        <v>3465</v>
      </c>
      <c r="K413" s="296" t="s">
        <v>11716</v>
      </c>
      <c r="L413" s="296" t="s">
        <v>26</v>
      </c>
      <c r="M413" s="296" t="s">
        <v>27</v>
      </c>
      <c r="N413" s="296" t="s">
        <v>28</v>
      </c>
      <c r="O413" s="296">
        <v>3741.0</v>
      </c>
      <c r="P413" s="296">
        <v>4415.0</v>
      </c>
      <c r="Q413" s="6">
        <v>24.0</v>
      </c>
      <c r="R413" s="31">
        <f t="shared" si="11"/>
        <v>897.84</v>
      </c>
    </row>
    <row r="414">
      <c r="B414" s="296" t="s">
        <v>3685</v>
      </c>
      <c r="C414" s="296" t="s">
        <v>12154</v>
      </c>
      <c r="D414" s="296" t="s">
        <v>966</v>
      </c>
      <c r="E414" s="296" t="s">
        <v>3541</v>
      </c>
      <c r="F414" s="296" t="s">
        <v>12155</v>
      </c>
      <c r="G414" s="296">
        <v>7.567529873E9</v>
      </c>
      <c r="I414" s="296">
        <v>1196.0</v>
      </c>
      <c r="J414" s="296" t="s">
        <v>3309</v>
      </c>
      <c r="K414" s="296" t="s">
        <v>11716</v>
      </c>
      <c r="L414" s="296" t="s">
        <v>26</v>
      </c>
      <c r="M414" s="296" t="s">
        <v>71</v>
      </c>
      <c r="N414" s="296" t="s">
        <v>28</v>
      </c>
      <c r="O414" s="296">
        <v>3801.0</v>
      </c>
      <c r="P414" s="296">
        <v>4485.0</v>
      </c>
      <c r="Q414" s="6">
        <v>24.0</v>
      </c>
      <c r="R414" s="31">
        <f t="shared" si="11"/>
        <v>912.24</v>
      </c>
    </row>
    <row r="415">
      <c r="B415" s="296" t="s">
        <v>3685</v>
      </c>
      <c r="C415" s="296" t="s">
        <v>12156</v>
      </c>
      <c r="D415" s="296" t="s">
        <v>966</v>
      </c>
      <c r="E415" s="296" t="s">
        <v>12157</v>
      </c>
      <c r="F415" s="296" t="s">
        <v>12158</v>
      </c>
      <c r="I415" s="296">
        <v>1498.0</v>
      </c>
      <c r="J415" s="296" t="s">
        <v>3465</v>
      </c>
      <c r="K415" s="296" t="s">
        <v>11716</v>
      </c>
      <c r="L415" s="296" t="s">
        <v>26</v>
      </c>
      <c r="M415" s="296" t="s">
        <v>27</v>
      </c>
      <c r="N415" s="296" t="s">
        <v>28</v>
      </c>
      <c r="O415" s="296">
        <v>3991.0</v>
      </c>
      <c r="P415" s="296">
        <v>4709.0</v>
      </c>
      <c r="Q415" s="6">
        <v>24.0</v>
      </c>
      <c r="R415" s="31">
        <f t="shared" si="11"/>
        <v>957.84</v>
      </c>
    </row>
    <row r="416">
      <c r="B416" s="296" t="s">
        <v>3709</v>
      </c>
      <c r="C416" s="296" t="s">
        <v>12159</v>
      </c>
      <c r="D416" s="296" t="s">
        <v>60</v>
      </c>
      <c r="E416" s="296" t="s">
        <v>12160</v>
      </c>
      <c r="F416" s="296" t="s">
        <v>12161</v>
      </c>
      <c r="G416" s="296" t="s">
        <v>12162</v>
      </c>
      <c r="I416" s="296">
        <v>100.0</v>
      </c>
      <c r="J416" s="296" t="s">
        <v>3742</v>
      </c>
      <c r="K416" s="296" t="s">
        <v>65</v>
      </c>
      <c r="L416" s="296" t="s">
        <v>26</v>
      </c>
      <c r="M416" s="296" t="s">
        <v>27</v>
      </c>
      <c r="N416" s="296" t="s">
        <v>28</v>
      </c>
      <c r="O416" s="296">
        <v>714.0</v>
      </c>
      <c r="P416" s="296">
        <v>842.0</v>
      </c>
      <c r="Q416" s="6">
        <v>58.0</v>
      </c>
      <c r="R416" s="31">
        <f t="shared" si="11"/>
        <v>414.12</v>
      </c>
    </row>
    <row r="417">
      <c r="B417" s="296" t="s">
        <v>9305</v>
      </c>
      <c r="C417" s="296" t="s">
        <v>12163</v>
      </c>
      <c r="D417" s="296" t="s">
        <v>60</v>
      </c>
      <c r="E417" s="296" t="s">
        <v>11986</v>
      </c>
      <c r="F417" s="296" t="s">
        <v>12164</v>
      </c>
      <c r="G417" s="296" t="s">
        <v>12162</v>
      </c>
      <c r="I417" s="296">
        <v>110.0</v>
      </c>
      <c r="J417" s="296" t="s">
        <v>12165</v>
      </c>
      <c r="K417" s="296" t="s">
        <v>65</v>
      </c>
      <c r="L417" s="296" t="s">
        <v>26</v>
      </c>
      <c r="M417" s="296" t="s">
        <v>27</v>
      </c>
      <c r="N417" s="296" t="s">
        <v>28</v>
      </c>
      <c r="O417" s="296">
        <v>714.0</v>
      </c>
      <c r="P417" s="296">
        <v>842.0</v>
      </c>
      <c r="Q417" s="6">
        <v>58.0</v>
      </c>
      <c r="R417" s="31">
        <f t="shared" si="11"/>
        <v>414.12</v>
      </c>
    </row>
    <row r="418">
      <c r="B418" s="296" t="s">
        <v>3716</v>
      </c>
      <c r="C418" s="296" t="s">
        <v>12166</v>
      </c>
      <c r="D418" s="296" t="s">
        <v>966</v>
      </c>
      <c r="E418" s="296" t="s">
        <v>12167</v>
      </c>
      <c r="F418" s="296" t="s">
        <v>12168</v>
      </c>
      <c r="G418" s="296" t="s">
        <v>12169</v>
      </c>
      <c r="H418" s="296">
        <v>9.427222549E9</v>
      </c>
      <c r="I418" s="296">
        <v>1248.0</v>
      </c>
      <c r="J418" s="296" t="s">
        <v>3314</v>
      </c>
      <c r="K418" s="296" t="s">
        <v>11716</v>
      </c>
      <c r="L418" s="296" t="s">
        <v>26</v>
      </c>
      <c r="M418" s="296" t="s">
        <v>27</v>
      </c>
      <c r="N418" s="296" t="s">
        <v>28</v>
      </c>
      <c r="O418" s="296">
        <v>3991.0</v>
      </c>
      <c r="P418" s="296">
        <v>4709.0</v>
      </c>
      <c r="Q418" s="6">
        <v>24.0</v>
      </c>
      <c r="R418" s="31">
        <f t="shared" si="11"/>
        <v>957.84</v>
      </c>
    </row>
    <row r="419">
      <c r="B419" s="296" t="s">
        <v>3716</v>
      </c>
      <c r="C419" s="296" t="s">
        <v>12170</v>
      </c>
      <c r="D419" s="296" t="s">
        <v>60</v>
      </c>
      <c r="E419" s="296" t="s">
        <v>11220</v>
      </c>
      <c r="F419" s="296" t="s">
        <v>12171</v>
      </c>
      <c r="G419" s="296">
        <v>9.825943625E9</v>
      </c>
      <c r="I419" s="296">
        <v>125.0</v>
      </c>
      <c r="J419" s="296" t="s">
        <v>12172</v>
      </c>
      <c r="K419" s="296" t="s">
        <v>65</v>
      </c>
      <c r="L419" s="296" t="s">
        <v>26</v>
      </c>
      <c r="M419" s="296" t="s">
        <v>27</v>
      </c>
      <c r="N419" s="296" t="s">
        <v>28</v>
      </c>
      <c r="O419" s="296">
        <v>714.0</v>
      </c>
      <c r="P419" s="296">
        <v>842.0</v>
      </c>
      <c r="Q419" s="6">
        <v>58.0</v>
      </c>
      <c r="R419" s="31">
        <f t="shared" si="11"/>
        <v>414.12</v>
      </c>
    </row>
    <row r="420">
      <c r="B420" s="296" t="s">
        <v>3716</v>
      </c>
      <c r="C420" s="296" t="s">
        <v>12173</v>
      </c>
      <c r="D420" s="296" t="s">
        <v>60</v>
      </c>
      <c r="E420" s="296" t="s">
        <v>12174</v>
      </c>
      <c r="F420" s="296" t="s">
        <v>12175</v>
      </c>
      <c r="G420" s="296">
        <v>8.347773641E9</v>
      </c>
      <c r="H420" s="296">
        <v>9.71493298E9</v>
      </c>
      <c r="I420" s="296">
        <v>350.0</v>
      </c>
      <c r="J420" s="296" t="s">
        <v>12172</v>
      </c>
      <c r="K420" s="296" t="s">
        <v>65</v>
      </c>
      <c r="L420" s="296" t="s">
        <v>26</v>
      </c>
      <c r="M420" s="296" t="s">
        <v>27</v>
      </c>
      <c r="N420" s="296" t="s">
        <v>28</v>
      </c>
      <c r="O420" s="296">
        <v>1366.0</v>
      </c>
      <c r="P420" s="296">
        <v>1612.0</v>
      </c>
      <c r="Q420" s="6">
        <v>58.0</v>
      </c>
      <c r="R420" s="31">
        <f t="shared" si="11"/>
        <v>792.28</v>
      </c>
    </row>
    <row r="421">
      <c r="B421" s="296" t="s">
        <v>3722</v>
      </c>
      <c r="C421" s="296" t="s">
        <v>12176</v>
      </c>
      <c r="D421" s="296" t="s">
        <v>966</v>
      </c>
      <c r="E421" s="296" t="s">
        <v>3541</v>
      </c>
      <c r="F421" s="296" t="s">
        <v>12177</v>
      </c>
      <c r="G421" s="296">
        <v>8.780838282E9</v>
      </c>
      <c r="I421" s="296">
        <v>1196.0</v>
      </c>
      <c r="J421" s="296" t="s">
        <v>12178</v>
      </c>
      <c r="K421" s="296" t="s">
        <v>65</v>
      </c>
      <c r="L421" s="296" t="s">
        <v>26</v>
      </c>
      <c r="M421" s="296" t="s">
        <v>27</v>
      </c>
      <c r="N421" s="296" t="s">
        <v>28</v>
      </c>
      <c r="O421" s="296">
        <v>3797.0</v>
      </c>
      <c r="P421" s="296">
        <v>4481.0</v>
      </c>
      <c r="Q421" s="6">
        <v>46.0</v>
      </c>
      <c r="R421" s="31">
        <f t="shared" si="11"/>
        <v>1746.62</v>
      </c>
    </row>
    <row r="424">
      <c r="B424" s="22">
        <v>45721.0</v>
      </c>
      <c r="C424" s="8" t="s">
        <v>12179</v>
      </c>
      <c r="D424" s="8" t="s">
        <v>966</v>
      </c>
      <c r="E424" s="8" t="s">
        <v>3541</v>
      </c>
      <c r="F424" s="8" t="s">
        <v>12180</v>
      </c>
      <c r="G424" s="7" t="s">
        <v>12181</v>
      </c>
      <c r="H424" s="8"/>
      <c r="I424" s="21">
        <v>1196.0</v>
      </c>
      <c r="J424" s="217">
        <v>46058.0</v>
      </c>
      <c r="K424" s="8" t="s">
        <v>65</v>
      </c>
      <c r="L424" s="672" t="s">
        <v>26</v>
      </c>
      <c r="M424" s="8" t="s">
        <v>27</v>
      </c>
      <c r="N424" s="8" t="s">
        <v>28</v>
      </c>
      <c r="O424" s="21">
        <v>4147.0</v>
      </c>
      <c r="P424" s="21">
        <v>4893.0</v>
      </c>
      <c r="Q424" s="6">
        <v>47.0</v>
      </c>
      <c r="R424" s="31">
        <f t="shared" ref="R424:R467" si="12">O424*Q424%</f>
        <v>1949.09</v>
      </c>
    </row>
    <row r="425">
      <c r="B425" s="658">
        <v>45721.0</v>
      </c>
      <c r="C425" s="131" t="s">
        <v>12182</v>
      </c>
      <c r="D425" s="131" t="s">
        <v>966</v>
      </c>
      <c r="E425" s="131" t="s">
        <v>12183</v>
      </c>
      <c r="F425" s="131" t="s">
        <v>12184</v>
      </c>
      <c r="G425" s="13">
        <v>9.725646041E9</v>
      </c>
      <c r="H425" s="13">
        <v>9.72220079E9</v>
      </c>
      <c r="I425" s="208">
        <v>1956.0</v>
      </c>
      <c r="J425" s="17">
        <v>46058.0</v>
      </c>
      <c r="K425" s="131" t="s">
        <v>78</v>
      </c>
      <c r="L425" s="672" t="s">
        <v>49</v>
      </c>
      <c r="M425" s="131" t="s">
        <v>71</v>
      </c>
      <c r="N425" s="131" t="s">
        <v>28</v>
      </c>
      <c r="O425" s="208">
        <v>25780.44</v>
      </c>
      <c r="P425" s="208">
        <v>30421.0</v>
      </c>
      <c r="Q425" s="6">
        <v>27.0</v>
      </c>
      <c r="R425" s="31">
        <f t="shared" si="12"/>
        <v>6960.7188</v>
      </c>
    </row>
    <row r="426">
      <c r="B426" s="22">
        <v>45813.0</v>
      </c>
      <c r="C426" s="8" t="s">
        <v>12185</v>
      </c>
      <c r="D426" s="8" t="s">
        <v>966</v>
      </c>
      <c r="E426" s="8" t="s">
        <v>12186</v>
      </c>
      <c r="F426" s="8" t="s">
        <v>12187</v>
      </c>
      <c r="G426" s="7">
        <v>9.879446884E9</v>
      </c>
      <c r="H426" s="7">
        <v>9.879075882E9</v>
      </c>
      <c r="I426" s="21">
        <v>796.0</v>
      </c>
      <c r="J426" s="217">
        <v>46147.0</v>
      </c>
      <c r="K426" s="8" t="s">
        <v>65</v>
      </c>
      <c r="L426" s="672" t="s">
        <v>26</v>
      </c>
      <c r="M426" s="8" t="s">
        <v>27</v>
      </c>
      <c r="N426" s="8" t="s">
        <v>28</v>
      </c>
      <c r="O426" s="21">
        <v>2785.0</v>
      </c>
      <c r="P426" s="21">
        <v>3287.0</v>
      </c>
      <c r="Q426" s="6">
        <v>47.0</v>
      </c>
      <c r="R426" s="31">
        <f t="shared" si="12"/>
        <v>1308.95</v>
      </c>
    </row>
    <row r="427">
      <c r="B427" s="22">
        <v>45813.0</v>
      </c>
      <c r="C427" s="8" t="s">
        <v>12188</v>
      </c>
      <c r="D427" s="8" t="s">
        <v>60</v>
      </c>
      <c r="E427" s="8" t="s">
        <v>12189</v>
      </c>
      <c r="F427" s="8" t="s">
        <v>12190</v>
      </c>
      <c r="G427" s="7">
        <v>9.978810786E9</v>
      </c>
      <c r="H427" s="8"/>
      <c r="I427" s="21">
        <v>125.0</v>
      </c>
      <c r="J427" s="217">
        <v>46147.0</v>
      </c>
      <c r="K427" s="8" t="s">
        <v>65</v>
      </c>
      <c r="L427" s="672" t="s">
        <v>26</v>
      </c>
      <c r="M427" s="8" t="s">
        <v>27</v>
      </c>
      <c r="N427" s="8" t="s">
        <v>28</v>
      </c>
      <c r="O427" s="21">
        <v>714.0</v>
      </c>
      <c r="P427" s="21">
        <v>842.0</v>
      </c>
      <c r="Q427" s="6">
        <v>57.0</v>
      </c>
      <c r="R427" s="31">
        <f t="shared" si="12"/>
        <v>406.98</v>
      </c>
    </row>
    <row r="428">
      <c r="B428" s="22">
        <v>45813.0</v>
      </c>
      <c r="C428" s="8" t="s">
        <v>12191</v>
      </c>
      <c r="D428" s="8" t="s">
        <v>966</v>
      </c>
      <c r="E428" s="8" t="s">
        <v>12192</v>
      </c>
      <c r="F428" s="8" t="s">
        <v>12193</v>
      </c>
      <c r="G428" s="7">
        <v>8.347773614E9</v>
      </c>
      <c r="H428" s="7">
        <v>9.71493298E9</v>
      </c>
      <c r="I428" s="21">
        <v>2499.0</v>
      </c>
      <c r="J428" s="14">
        <v>46147.0</v>
      </c>
      <c r="K428" s="8" t="s">
        <v>78</v>
      </c>
      <c r="L428" s="672" t="s">
        <v>26</v>
      </c>
      <c r="M428" s="8" t="s">
        <v>27</v>
      </c>
      <c r="N428" s="8" t="s">
        <v>28</v>
      </c>
      <c r="O428" s="21">
        <v>8522.0</v>
      </c>
      <c r="P428" s="21">
        <v>10056.0</v>
      </c>
      <c r="Q428" s="6">
        <v>45.0</v>
      </c>
      <c r="R428" s="31">
        <f t="shared" si="12"/>
        <v>3834.9</v>
      </c>
    </row>
    <row r="429">
      <c r="B429" s="22">
        <v>45813.0</v>
      </c>
      <c r="C429" s="8" t="s">
        <v>12194</v>
      </c>
      <c r="D429" s="8" t="s">
        <v>60</v>
      </c>
      <c r="E429" s="8" t="s">
        <v>719</v>
      </c>
      <c r="F429" s="8" t="s">
        <v>12195</v>
      </c>
      <c r="G429" s="7">
        <v>8.866307365E9</v>
      </c>
      <c r="H429" s="7">
        <v>8.200173557E9</v>
      </c>
      <c r="I429" s="21">
        <v>100.0</v>
      </c>
      <c r="J429" s="217">
        <v>46178.0</v>
      </c>
      <c r="K429" s="8" t="s">
        <v>65</v>
      </c>
      <c r="L429" s="672" t="s">
        <v>26</v>
      </c>
      <c r="M429" s="8" t="s">
        <v>27</v>
      </c>
      <c r="N429" s="8" t="s">
        <v>28</v>
      </c>
      <c r="O429" s="21">
        <v>714.0</v>
      </c>
      <c r="P429" s="21">
        <v>842.0</v>
      </c>
      <c r="Q429" s="6">
        <v>57.0</v>
      </c>
      <c r="R429" s="31">
        <f t="shared" si="12"/>
        <v>406.98</v>
      </c>
    </row>
    <row r="430">
      <c r="B430" s="658">
        <v>45813.0</v>
      </c>
      <c r="C430" s="131" t="s">
        <v>12196</v>
      </c>
      <c r="D430" s="131" t="s">
        <v>966</v>
      </c>
      <c r="E430" s="131" t="s">
        <v>12197</v>
      </c>
      <c r="F430" s="131" t="s">
        <v>12198</v>
      </c>
      <c r="G430" s="13">
        <v>9.979212538E9</v>
      </c>
      <c r="H430" s="131"/>
      <c r="I430" s="208">
        <v>998.0</v>
      </c>
      <c r="J430" s="673">
        <v>46147.0</v>
      </c>
      <c r="K430" s="131" t="s">
        <v>11716</v>
      </c>
      <c r="L430" s="672" t="s">
        <v>26</v>
      </c>
      <c r="M430" s="131" t="s">
        <v>27</v>
      </c>
      <c r="N430" s="131" t="s">
        <v>28</v>
      </c>
      <c r="O430" s="208">
        <v>3704.0</v>
      </c>
      <c r="P430" s="208">
        <v>4100.0</v>
      </c>
      <c r="Q430" s="6">
        <v>30.0</v>
      </c>
      <c r="R430" s="31">
        <f t="shared" si="12"/>
        <v>1111.2</v>
      </c>
    </row>
    <row r="431">
      <c r="B431" s="22">
        <v>45874.0</v>
      </c>
      <c r="C431" s="8" t="s">
        <v>12199</v>
      </c>
      <c r="D431" s="8" t="s">
        <v>60</v>
      </c>
      <c r="E431" s="8" t="s">
        <v>719</v>
      </c>
      <c r="F431" s="8" t="s">
        <v>12200</v>
      </c>
      <c r="G431" s="7">
        <v>7.567092775E9</v>
      </c>
      <c r="H431" s="7">
        <v>8.866612412E9</v>
      </c>
      <c r="I431" s="21">
        <v>100.0</v>
      </c>
      <c r="J431" s="217">
        <v>46239.0</v>
      </c>
      <c r="K431" s="8" t="s">
        <v>65</v>
      </c>
      <c r="L431" s="672" t="s">
        <v>26</v>
      </c>
      <c r="M431" s="8" t="s">
        <v>27</v>
      </c>
      <c r="N431" s="8" t="s">
        <v>28</v>
      </c>
      <c r="O431" s="21">
        <v>714.0</v>
      </c>
      <c r="P431" s="21">
        <v>842.0</v>
      </c>
      <c r="Q431" s="6">
        <v>57.0</v>
      </c>
      <c r="R431" s="31">
        <f t="shared" si="12"/>
        <v>406.98</v>
      </c>
    </row>
    <row r="432">
      <c r="B432" s="22">
        <v>45905.0</v>
      </c>
      <c r="C432" s="8" t="s">
        <v>12201</v>
      </c>
      <c r="D432" s="8" t="s">
        <v>60</v>
      </c>
      <c r="E432" s="8" t="s">
        <v>11890</v>
      </c>
      <c r="F432" s="8" t="s">
        <v>12202</v>
      </c>
      <c r="G432" s="7">
        <v>9.574878647E9</v>
      </c>
      <c r="H432" s="7">
        <v>8.690233097E9</v>
      </c>
      <c r="I432" s="21">
        <v>100.0</v>
      </c>
      <c r="J432" s="217">
        <v>46270.0</v>
      </c>
      <c r="K432" s="8" t="s">
        <v>65</v>
      </c>
      <c r="L432" s="672" t="s">
        <v>26</v>
      </c>
      <c r="M432" s="8" t="s">
        <v>27</v>
      </c>
      <c r="N432" s="8" t="s">
        <v>28</v>
      </c>
      <c r="O432" s="21">
        <v>714.0</v>
      </c>
      <c r="P432" s="21">
        <v>842.0</v>
      </c>
      <c r="Q432" s="6">
        <v>57.0</v>
      </c>
      <c r="R432" s="31">
        <f t="shared" si="12"/>
        <v>406.98</v>
      </c>
    </row>
    <row r="433">
      <c r="B433" s="22">
        <v>45935.0</v>
      </c>
      <c r="C433" s="8" t="s">
        <v>12203</v>
      </c>
      <c r="D433" s="8" t="s">
        <v>966</v>
      </c>
      <c r="E433" s="8" t="s">
        <v>12204</v>
      </c>
      <c r="F433" s="8" t="s">
        <v>12205</v>
      </c>
      <c r="G433" s="7">
        <v>9.998070001E9</v>
      </c>
      <c r="H433" s="8"/>
      <c r="I433" s="21">
        <v>1186.0</v>
      </c>
      <c r="J433" s="14">
        <v>46331.0</v>
      </c>
      <c r="K433" s="8" t="s">
        <v>7099</v>
      </c>
      <c r="L433" s="672" t="s">
        <v>26</v>
      </c>
      <c r="M433" s="8" t="s">
        <v>27</v>
      </c>
      <c r="N433" s="8" t="s">
        <v>28</v>
      </c>
      <c r="O433" s="96">
        <v>3796.0</v>
      </c>
      <c r="P433" s="96">
        <v>4479.0</v>
      </c>
      <c r="Q433" s="6">
        <v>20.0</v>
      </c>
      <c r="R433" s="31">
        <f t="shared" si="12"/>
        <v>759.2</v>
      </c>
    </row>
    <row r="434">
      <c r="B434" s="22">
        <v>45935.0</v>
      </c>
      <c r="C434" s="8" t="s">
        <v>7516</v>
      </c>
      <c r="D434" s="8" t="s">
        <v>966</v>
      </c>
      <c r="E434" s="8" t="s">
        <v>12206</v>
      </c>
      <c r="F434" s="8" t="s">
        <v>12207</v>
      </c>
      <c r="G434" s="7">
        <v>9.601447786E9</v>
      </c>
      <c r="H434" s="8"/>
      <c r="I434" s="21">
        <v>2523.0</v>
      </c>
      <c r="J434" s="14">
        <v>46300.0</v>
      </c>
      <c r="K434" s="8" t="s">
        <v>78</v>
      </c>
      <c r="L434" s="672" t="s">
        <v>26</v>
      </c>
      <c r="M434" s="8" t="s">
        <v>71</v>
      </c>
      <c r="N434" s="8" t="s">
        <v>28</v>
      </c>
      <c r="O434" s="21">
        <v>7947.0</v>
      </c>
      <c r="P434" s="21">
        <v>9377.0</v>
      </c>
      <c r="Q434" s="6">
        <v>45.0</v>
      </c>
      <c r="R434" s="31">
        <f t="shared" si="12"/>
        <v>3576.15</v>
      </c>
    </row>
    <row r="435">
      <c r="B435" s="22">
        <v>45935.0</v>
      </c>
      <c r="C435" s="8" t="s">
        <v>12208</v>
      </c>
      <c r="D435" s="8" t="s">
        <v>966</v>
      </c>
      <c r="E435" s="8" t="s">
        <v>12209</v>
      </c>
      <c r="F435" s="8" t="s">
        <v>12210</v>
      </c>
      <c r="G435" s="7">
        <v>8.32033693E9</v>
      </c>
      <c r="H435" s="7" t="s">
        <v>12211</v>
      </c>
      <c r="I435" s="21">
        <v>1199.0</v>
      </c>
      <c r="J435" s="217">
        <v>46331.0</v>
      </c>
      <c r="K435" s="8" t="s">
        <v>70</v>
      </c>
      <c r="L435" s="672" t="s">
        <v>49</v>
      </c>
      <c r="M435" s="8" t="s">
        <v>27</v>
      </c>
      <c r="N435" s="8" t="s">
        <v>28</v>
      </c>
      <c r="O435" s="97">
        <v>11157.0</v>
      </c>
      <c r="P435" s="97">
        <v>13165.0</v>
      </c>
      <c r="Q435" s="6">
        <v>25.0</v>
      </c>
      <c r="R435" s="31">
        <f t="shared" si="12"/>
        <v>2789.25</v>
      </c>
    </row>
    <row r="436">
      <c r="B436" s="21" t="s">
        <v>9384</v>
      </c>
      <c r="C436" s="58" t="s">
        <v>12212</v>
      </c>
      <c r="D436" s="8" t="s">
        <v>12213</v>
      </c>
      <c r="E436" s="58" t="s">
        <v>11923</v>
      </c>
      <c r="F436" s="58" t="s">
        <v>12214</v>
      </c>
      <c r="G436" s="7" t="s">
        <v>12215</v>
      </c>
      <c r="H436" s="8"/>
      <c r="I436" s="88">
        <v>102.0</v>
      </c>
      <c r="J436" s="62" t="s">
        <v>12216</v>
      </c>
      <c r="K436" s="8" t="s">
        <v>65</v>
      </c>
      <c r="L436" s="672" t="s">
        <v>26</v>
      </c>
      <c r="M436" s="8" t="s">
        <v>27</v>
      </c>
      <c r="N436" s="8" t="s">
        <v>28</v>
      </c>
      <c r="O436" s="21">
        <v>714.0</v>
      </c>
      <c r="P436" s="21">
        <v>842.0</v>
      </c>
      <c r="Q436" s="6">
        <v>58.0</v>
      </c>
      <c r="R436" s="31">
        <f t="shared" si="12"/>
        <v>414.12</v>
      </c>
    </row>
    <row r="437">
      <c r="B437" s="21" t="s">
        <v>9384</v>
      </c>
      <c r="C437" s="58" t="s">
        <v>12217</v>
      </c>
      <c r="D437" s="8" t="s">
        <v>966</v>
      </c>
      <c r="E437" s="58" t="s">
        <v>12218</v>
      </c>
      <c r="F437" s="58" t="s">
        <v>12219</v>
      </c>
      <c r="G437" s="7">
        <v>8.98000089E9</v>
      </c>
      <c r="H437" s="7">
        <v>8.980000982E9</v>
      </c>
      <c r="I437" s="88">
        <v>1248.0</v>
      </c>
      <c r="J437" s="62" t="s">
        <v>3886</v>
      </c>
      <c r="K437" s="8" t="s">
        <v>7099</v>
      </c>
      <c r="L437" s="672" t="s">
        <v>26</v>
      </c>
      <c r="M437" s="8" t="s">
        <v>27</v>
      </c>
      <c r="N437" s="8" t="s">
        <v>28</v>
      </c>
      <c r="O437" s="97">
        <v>3796.0</v>
      </c>
      <c r="P437" s="97">
        <v>4479.0</v>
      </c>
      <c r="Q437" s="6">
        <v>20.0</v>
      </c>
      <c r="R437" s="31">
        <f t="shared" si="12"/>
        <v>759.2</v>
      </c>
    </row>
    <row r="438">
      <c r="B438" s="21" t="s">
        <v>3870</v>
      </c>
      <c r="C438" s="58" t="s">
        <v>12220</v>
      </c>
      <c r="D438" s="8" t="s">
        <v>966</v>
      </c>
      <c r="E438" s="58" t="s">
        <v>7773</v>
      </c>
      <c r="F438" s="58" t="s">
        <v>12221</v>
      </c>
      <c r="G438" s="7" t="s">
        <v>12222</v>
      </c>
      <c r="H438" s="7">
        <v>9.601435883E9</v>
      </c>
      <c r="I438" s="88">
        <v>1462.0</v>
      </c>
      <c r="J438" s="62" t="s">
        <v>12216</v>
      </c>
      <c r="K438" s="8" t="s">
        <v>65</v>
      </c>
      <c r="L438" s="672" t="s">
        <v>26</v>
      </c>
      <c r="M438" s="8" t="s">
        <v>27</v>
      </c>
      <c r="N438" s="8" t="s">
        <v>28</v>
      </c>
      <c r="O438" s="21">
        <v>3526.0</v>
      </c>
      <c r="P438" s="21">
        <v>4160.0</v>
      </c>
      <c r="Q438" s="6">
        <v>47.0</v>
      </c>
      <c r="R438" s="31">
        <f t="shared" si="12"/>
        <v>1657.22</v>
      </c>
    </row>
    <row r="439">
      <c r="B439" s="21" t="s">
        <v>3887</v>
      </c>
      <c r="C439" s="58" t="s">
        <v>12223</v>
      </c>
      <c r="D439" s="8" t="s">
        <v>966</v>
      </c>
      <c r="E439" s="58" t="s">
        <v>12224</v>
      </c>
      <c r="F439" s="58" t="s">
        <v>12225</v>
      </c>
      <c r="G439" s="7" t="s">
        <v>12226</v>
      </c>
      <c r="H439" s="8"/>
      <c r="I439" s="88">
        <v>1047.0</v>
      </c>
      <c r="J439" s="62" t="s">
        <v>12227</v>
      </c>
      <c r="K439" s="8" t="s">
        <v>11716</v>
      </c>
      <c r="L439" s="672" t="s">
        <v>26</v>
      </c>
      <c r="M439" s="8" t="s">
        <v>27</v>
      </c>
      <c r="N439" s="8" t="s">
        <v>28</v>
      </c>
      <c r="O439" s="21">
        <v>3466.0</v>
      </c>
      <c r="P439" s="21">
        <v>4090.0</v>
      </c>
      <c r="Q439" s="6">
        <v>30.0</v>
      </c>
      <c r="R439" s="31">
        <f t="shared" si="12"/>
        <v>1039.8</v>
      </c>
    </row>
    <row r="440">
      <c r="B440" s="21" t="s">
        <v>3891</v>
      </c>
      <c r="C440" s="8" t="s">
        <v>12228</v>
      </c>
      <c r="D440" s="8" t="s">
        <v>966</v>
      </c>
      <c r="E440" s="8" t="s">
        <v>12229</v>
      </c>
      <c r="F440" s="8" t="s">
        <v>12230</v>
      </c>
      <c r="G440" s="7" t="s">
        <v>5649</v>
      </c>
      <c r="H440" s="7" t="s">
        <v>12231</v>
      </c>
      <c r="I440" s="21">
        <v>2510.0</v>
      </c>
      <c r="J440" s="62" t="s">
        <v>3904</v>
      </c>
      <c r="K440" s="8" t="s">
        <v>677</v>
      </c>
      <c r="L440" s="672" t="s">
        <v>49</v>
      </c>
      <c r="M440" s="8" t="s">
        <v>27</v>
      </c>
      <c r="N440" s="8" t="s">
        <v>28</v>
      </c>
      <c r="O440" s="134">
        <v>13299.98</v>
      </c>
      <c r="P440" s="134">
        <v>15693.98</v>
      </c>
      <c r="Q440" s="6">
        <v>25.0</v>
      </c>
      <c r="R440" s="31">
        <f t="shared" si="12"/>
        <v>3324.995</v>
      </c>
    </row>
    <row r="441">
      <c r="B441" s="21" t="s">
        <v>3921</v>
      </c>
      <c r="C441" s="58" t="s">
        <v>12232</v>
      </c>
      <c r="D441" s="8" t="s">
        <v>966</v>
      </c>
      <c r="E441" s="58" t="s">
        <v>12233</v>
      </c>
      <c r="F441" s="58" t="s">
        <v>12234</v>
      </c>
      <c r="G441" s="7" t="s">
        <v>12235</v>
      </c>
      <c r="H441" s="7" t="s">
        <v>12236</v>
      </c>
      <c r="I441" s="88">
        <v>796.0</v>
      </c>
      <c r="J441" s="62" t="s">
        <v>12237</v>
      </c>
      <c r="K441" s="8" t="s">
        <v>65</v>
      </c>
      <c r="L441" s="672" t="s">
        <v>26</v>
      </c>
      <c r="M441" s="8" t="s">
        <v>27</v>
      </c>
      <c r="N441" s="8" t="s">
        <v>28</v>
      </c>
      <c r="O441" s="88">
        <v>2785.0</v>
      </c>
      <c r="P441" s="88">
        <v>3287.0</v>
      </c>
      <c r="Q441" s="6">
        <v>47.0</v>
      </c>
      <c r="R441" s="31">
        <f t="shared" si="12"/>
        <v>1308.95</v>
      </c>
    </row>
    <row r="442">
      <c r="B442" s="21" t="s">
        <v>3946</v>
      </c>
      <c r="C442" s="8" t="s">
        <v>12238</v>
      </c>
      <c r="D442" s="8" t="s">
        <v>966</v>
      </c>
      <c r="E442" s="58" t="s">
        <v>3541</v>
      </c>
      <c r="F442" s="58" t="s">
        <v>12239</v>
      </c>
      <c r="G442" s="7" t="s">
        <v>12240</v>
      </c>
      <c r="H442" s="7" t="s">
        <v>12241</v>
      </c>
      <c r="I442" s="21">
        <v>1196.0</v>
      </c>
      <c r="J442" s="62" t="s">
        <v>12237</v>
      </c>
      <c r="K442" s="8" t="s">
        <v>3934</v>
      </c>
      <c r="L442" s="672" t="s">
        <v>26</v>
      </c>
      <c r="M442" s="8" t="s">
        <v>71</v>
      </c>
      <c r="N442" s="8" t="s">
        <v>3897</v>
      </c>
      <c r="O442" s="88">
        <v>3526.0</v>
      </c>
      <c r="P442" s="88">
        <v>4160.0</v>
      </c>
      <c r="Q442" s="6">
        <v>47.0</v>
      </c>
      <c r="R442" s="31">
        <f t="shared" si="12"/>
        <v>1657.22</v>
      </c>
    </row>
    <row r="443">
      <c r="A443" s="31"/>
      <c r="B443" s="208" t="s">
        <v>4046</v>
      </c>
      <c r="C443" s="8" t="s">
        <v>12242</v>
      </c>
      <c r="D443" s="8" t="s">
        <v>966</v>
      </c>
      <c r="E443" s="8" t="s">
        <v>12243</v>
      </c>
      <c r="F443" s="8" t="s">
        <v>12244</v>
      </c>
      <c r="G443" s="7" t="s">
        <v>12245</v>
      </c>
      <c r="H443" s="8"/>
      <c r="I443" s="21">
        <v>1498.0</v>
      </c>
      <c r="J443" s="7" t="s">
        <v>3319</v>
      </c>
      <c r="K443" s="8" t="s">
        <v>677</v>
      </c>
      <c r="L443" s="672" t="s">
        <v>49</v>
      </c>
      <c r="M443" s="8" t="s">
        <v>27</v>
      </c>
      <c r="N443" s="8" t="s">
        <v>3897</v>
      </c>
      <c r="O443" s="21">
        <v>5712.0</v>
      </c>
      <c r="P443" s="21">
        <v>6740.0</v>
      </c>
      <c r="Q443" s="6">
        <v>25.0</v>
      </c>
      <c r="R443" s="31">
        <f t="shared" si="12"/>
        <v>1428</v>
      </c>
    </row>
    <row r="444">
      <c r="A444" s="31"/>
      <c r="B444" s="21" t="s">
        <v>3978</v>
      </c>
      <c r="C444" s="8" t="s">
        <v>12246</v>
      </c>
      <c r="D444" s="8" t="s">
        <v>966</v>
      </c>
      <c r="E444" s="8" t="s">
        <v>12247</v>
      </c>
      <c r="F444" s="8" t="s">
        <v>12248</v>
      </c>
      <c r="G444" s="8" t="s">
        <v>12249</v>
      </c>
      <c r="H444" s="7">
        <v>9.62408138E9</v>
      </c>
      <c r="I444" s="21">
        <v>1248.0</v>
      </c>
      <c r="J444" s="7" t="s">
        <v>12250</v>
      </c>
      <c r="K444" s="8" t="s">
        <v>677</v>
      </c>
      <c r="L444" s="672" t="s">
        <v>49</v>
      </c>
      <c r="M444" s="8" t="s">
        <v>27</v>
      </c>
      <c r="N444" s="8" t="s">
        <v>3897</v>
      </c>
      <c r="O444" s="21">
        <v>8612.0</v>
      </c>
      <c r="P444" s="21">
        <v>10162.5</v>
      </c>
      <c r="Q444" s="6">
        <v>25.0</v>
      </c>
      <c r="R444" s="31">
        <f t="shared" si="12"/>
        <v>2153</v>
      </c>
    </row>
    <row r="445">
      <c r="B445" s="21" t="s">
        <v>3978</v>
      </c>
      <c r="C445" s="58" t="s">
        <v>12251</v>
      </c>
      <c r="D445" s="8" t="s">
        <v>966</v>
      </c>
      <c r="E445" s="58" t="s">
        <v>12252</v>
      </c>
      <c r="F445" s="58" t="s">
        <v>12253</v>
      </c>
      <c r="G445" s="7" t="s">
        <v>12254</v>
      </c>
      <c r="H445" s="8"/>
      <c r="I445" s="21">
        <v>1196.0</v>
      </c>
      <c r="J445" s="62" t="s">
        <v>3911</v>
      </c>
      <c r="K445" s="58" t="s">
        <v>12255</v>
      </c>
      <c r="L445" s="672" t="s">
        <v>49</v>
      </c>
      <c r="M445" s="8" t="s">
        <v>27</v>
      </c>
      <c r="N445" s="8" t="s">
        <v>28</v>
      </c>
      <c r="O445" s="90">
        <v>5656.0</v>
      </c>
      <c r="P445" s="90">
        <v>6674.0</v>
      </c>
      <c r="Q445" s="6">
        <v>25.0</v>
      </c>
      <c r="R445" s="31">
        <f t="shared" si="12"/>
        <v>1414</v>
      </c>
    </row>
    <row r="446">
      <c r="B446" s="21" t="s">
        <v>3978</v>
      </c>
      <c r="C446" s="58" t="s">
        <v>12256</v>
      </c>
      <c r="D446" s="8" t="s">
        <v>60</v>
      </c>
      <c r="E446" s="58" t="s">
        <v>719</v>
      </c>
      <c r="F446" s="58" t="s">
        <v>12257</v>
      </c>
      <c r="G446" s="7">
        <v>7.98450612E9</v>
      </c>
      <c r="H446" s="7">
        <v>9.92529971E9</v>
      </c>
      <c r="I446" s="21">
        <v>100.0</v>
      </c>
      <c r="J446" s="62" t="s">
        <v>6077</v>
      </c>
      <c r="K446" s="8" t="s">
        <v>65</v>
      </c>
      <c r="L446" s="672" t="s">
        <v>26</v>
      </c>
      <c r="M446" s="8" t="s">
        <v>71</v>
      </c>
      <c r="N446" s="8" t="s">
        <v>28</v>
      </c>
      <c r="O446" s="88">
        <v>714.0</v>
      </c>
      <c r="P446" s="88">
        <v>842.0</v>
      </c>
      <c r="Q446" s="6">
        <v>57.0</v>
      </c>
      <c r="R446" s="31">
        <f t="shared" si="12"/>
        <v>406.98</v>
      </c>
    </row>
    <row r="447">
      <c r="B447" s="21" t="s">
        <v>3978</v>
      </c>
      <c r="C447" s="58" t="s">
        <v>12258</v>
      </c>
      <c r="D447" s="8" t="s">
        <v>60</v>
      </c>
      <c r="E447" s="92" t="s">
        <v>719</v>
      </c>
      <c r="F447" s="92" t="s">
        <v>12259</v>
      </c>
      <c r="G447" s="7">
        <v>9.97842381E9</v>
      </c>
      <c r="H447" s="7">
        <v>8.49002381E9</v>
      </c>
      <c r="I447" s="88">
        <v>97.0</v>
      </c>
      <c r="J447" s="62" t="s">
        <v>6077</v>
      </c>
      <c r="K447" s="8" t="s">
        <v>65</v>
      </c>
      <c r="L447" s="672" t="s">
        <v>26</v>
      </c>
      <c r="M447" s="8" t="s">
        <v>71</v>
      </c>
      <c r="N447" s="8" t="s">
        <v>28</v>
      </c>
      <c r="O447" s="88">
        <v>714.0</v>
      </c>
      <c r="P447" s="88">
        <v>842.0</v>
      </c>
      <c r="Q447" s="6">
        <v>57.0</v>
      </c>
      <c r="R447" s="31">
        <f t="shared" si="12"/>
        <v>406.98</v>
      </c>
    </row>
    <row r="448">
      <c r="B448" s="21" t="s">
        <v>4002</v>
      </c>
      <c r="C448" s="58" t="s">
        <v>12260</v>
      </c>
      <c r="D448" s="8" t="s">
        <v>60</v>
      </c>
      <c r="E448" s="58" t="s">
        <v>719</v>
      </c>
      <c r="F448" s="58" t="s">
        <v>12261</v>
      </c>
      <c r="G448" s="7">
        <v>7.98450612E9</v>
      </c>
      <c r="H448" s="7">
        <v>9.92529971E9</v>
      </c>
      <c r="I448" s="88">
        <v>97.0</v>
      </c>
      <c r="J448" s="62" t="s">
        <v>4009</v>
      </c>
      <c r="K448" s="8" t="s">
        <v>65</v>
      </c>
      <c r="L448" s="672" t="s">
        <v>26</v>
      </c>
      <c r="M448" s="8" t="s">
        <v>8968</v>
      </c>
      <c r="N448" s="8" t="s">
        <v>28</v>
      </c>
      <c r="O448" s="88">
        <v>714.0</v>
      </c>
      <c r="P448" s="88">
        <v>842.0</v>
      </c>
      <c r="Q448" s="6">
        <v>57.0</v>
      </c>
      <c r="R448" s="31">
        <f t="shared" si="12"/>
        <v>406.98</v>
      </c>
    </row>
    <row r="449">
      <c r="B449" s="21" t="s">
        <v>4022</v>
      </c>
      <c r="C449" s="58" t="s">
        <v>7209</v>
      </c>
      <c r="D449" s="8" t="s">
        <v>966</v>
      </c>
      <c r="E449" s="58" t="s">
        <v>12233</v>
      </c>
      <c r="F449" s="58" t="s">
        <v>12262</v>
      </c>
      <c r="G449" s="7">
        <v>9.687521551E9</v>
      </c>
      <c r="H449" s="7">
        <v>9.727485126E9</v>
      </c>
      <c r="I449" s="88">
        <v>796.0</v>
      </c>
      <c r="J449" s="62" t="s">
        <v>12263</v>
      </c>
      <c r="K449" s="8" t="s">
        <v>65</v>
      </c>
      <c r="L449" s="672" t="s">
        <v>26</v>
      </c>
      <c r="M449" s="8" t="s">
        <v>27</v>
      </c>
      <c r="N449" s="8" t="s">
        <v>3897</v>
      </c>
      <c r="O449" s="88">
        <v>2204.0</v>
      </c>
      <c r="P449" s="88">
        <v>2600.0</v>
      </c>
      <c r="Q449" s="6">
        <v>47.0</v>
      </c>
      <c r="R449" s="31">
        <f t="shared" si="12"/>
        <v>1035.88</v>
      </c>
    </row>
    <row r="450">
      <c r="B450" s="21" t="s">
        <v>4022</v>
      </c>
      <c r="C450" s="58" t="s">
        <v>12264</v>
      </c>
      <c r="D450" s="8" t="s">
        <v>60</v>
      </c>
      <c r="E450" s="58" t="s">
        <v>11986</v>
      </c>
      <c r="F450" s="58" t="s">
        <v>12265</v>
      </c>
      <c r="G450" s="7">
        <v>9.909172954E9</v>
      </c>
      <c r="H450" s="7">
        <v>9.624223038E9</v>
      </c>
      <c r="I450" s="674">
        <v>110.0</v>
      </c>
      <c r="J450" s="62" t="s">
        <v>12263</v>
      </c>
      <c r="K450" s="8" t="s">
        <v>65</v>
      </c>
      <c r="L450" s="672" t="s">
        <v>26</v>
      </c>
      <c r="M450" s="8" t="s">
        <v>71</v>
      </c>
      <c r="N450" s="8" t="s">
        <v>28</v>
      </c>
      <c r="O450" s="88">
        <v>714.0</v>
      </c>
      <c r="P450" s="88">
        <v>842.0</v>
      </c>
      <c r="Q450" s="6">
        <v>58.0</v>
      </c>
      <c r="R450" s="31">
        <f t="shared" si="12"/>
        <v>414.12</v>
      </c>
    </row>
    <row r="451">
      <c r="B451" s="21" t="s">
        <v>4022</v>
      </c>
      <c r="C451" s="58" t="s">
        <v>12266</v>
      </c>
      <c r="D451" s="8" t="s">
        <v>60</v>
      </c>
      <c r="E451" s="58" t="s">
        <v>11749</v>
      </c>
      <c r="F451" s="58" t="s">
        <v>12267</v>
      </c>
      <c r="G451" s="7">
        <v>9.824825122E9</v>
      </c>
      <c r="H451" s="7">
        <v>9.879625122E9</v>
      </c>
      <c r="I451" s="674">
        <v>110.0</v>
      </c>
      <c r="J451" s="62" t="s">
        <v>12263</v>
      </c>
      <c r="K451" s="8" t="s">
        <v>65</v>
      </c>
      <c r="L451" s="672" t="s">
        <v>26</v>
      </c>
      <c r="M451" s="8" t="s">
        <v>71</v>
      </c>
      <c r="N451" s="8" t="s">
        <v>28</v>
      </c>
      <c r="O451" s="88">
        <v>714.0</v>
      </c>
      <c r="P451" s="88">
        <v>842.0</v>
      </c>
      <c r="Q451" s="6">
        <v>58.0</v>
      </c>
      <c r="R451" s="31">
        <f t="shared" si="12"/>
        <v>414.12</v>
      </c>
    </row>
    <row r="452">
      <c r="B452" s="21" t="s">
        <v>4022</v>
      </c>
      <c r="C452" s="58" t="s">
        <v>12268</v>
      </c>
      <c r="D452" s="8" t="s">
        <v>60</v>
      </c>
      <c r="E452" s="58" t="s">
        <v>12269</v>
      </c>
      <c r="F452" s="58" t="s">
        <v>12267</v>
      </c>
      <c r="G452" s="7">
        <v>9.824825122E9</v>
      </c>
      <c r="H452" s="7">
        <v>9.879625122E9</v>
      </c>
      <c r="I452" s="674">
        <v>97.0</v>
      </c>
      <c r="J452" s="62" t="s">
        <v>12263</v>
      </c>
      <c r="K452" s="8" t="s">
        <v>65</v>
      </c>
      <c r="L452" s="672" t="s">
        <v>26</v>
      </c>
      <c r="M452" s="8" t="s">
        <v>71</v>
      </c>
      <c r="N452" s="8" t="s">
        <v>28</v>
      </c>
      <c r="O452" s="88">
        <v>714.0</v>
      </c>
      <c r="P452" s="88">
        <v>842.0</v>
      </c>
      <c r="Q452" s="6">
        <v>57.0</v>
      </c>
      <c r="R452" s="31">
        <f t="shared" si="12"/>
        <v>406.98</v>
      </c>
    </row>
    <row r="453">
      <c r="B453" s="21" t="s">
        <v>9478</v>
      </c>
      <c r="C453" s="58" t="s">
        <v>7233</v>
      </c>
      <c r="D453" s="8" t="s">
        <v>966</v>
      </c>
      <c r="E453" s="58" t="s">
        <v>12270</v>
      </c>
      <c r="F453" s="58" t="s">
        <v>12271</v>
      </c>
      <c r="G453" s="7" t="s">
        <v>12272</v>
      </c>
      <c r="H453" s="8"/>
      <c r="I453" s="21">
        <v>830.0</v>
      </c>
      <c r="J453" s="62" t="s">
        <v>4028</v>
      </c>
      <c r="K453" s="8" t="s">
        <v>65</v>
      </c>
      <c r="L453" s="672" t="s">
        <v>26</v>
      </c>
      <c r="M453" s="8" t="s">
        <v>71</v>
      </c>
      <c r="N453" s="8" t="s">
        <v>3897</v>
      </c>
      <c r="O453" s="88">
        <v>2144.0</v>
      </c>
      <c r="P453" s="88">
        <v>2530.0</v>
      </c>
      <c r="Q453" s="6">
        <v>47.0</v>
      </c>
      <c r="R453" s="31">
        <f t="shared" si="12"/>
        <v>1007.68</v>
      </c>
    </row>
    <row r="454">
      <c r="B454" s="21" t="s">
        <v>9478</v>
      </c>
      <c r="C454" s="58" t="s">
        <v>12273</v>
      </c>
      <c r="D454" s="8" t="s">
        <v>966</v>
      </c>
      <c r="E454" s="58" t="s">
        <v>12270</v>
      </c>
      <c r="F454" s="58" t="s">
        <v>12274</v>
      </c>
      <c r="G454" s="7" t="s">
        <v>12275</v>
      </c>
      <c r="H454" s="8"/>
      <c r="I454" s="208">
        <v>998.0</v>
      </c>
      <c r="J454" s="62" t="s">
        <v>4028</v>
      </c>
      <c r="K454" s="8" t="s">
        <v>65</v>
      </c>
      <c r="L454" s="672" t="s">
        <v>26</v>
      </c>
      <c r="M454" s="8" t="s">
        <v>27</v>
      </c>
      <c r="N454" s="8" t="s">
        <v>3897</v>
      </c>
      <c r="O454" s="88">
        <v>2144.0</v>
      </c>
      <c r="P454" s="88">
        <v>2530.0</v>
      </c>
      <c r="Q454" s="6">
        <v>47.0</v>
      </c>
      <c r="R454" s="31">
        <f t="shared" si="12"/>
        <v>1007.68</v>
      </c>
    </row>
    <row r="455">
      <c r="B455" s="21" t="s">
        <v>9478</v>
      </c>
      <c r="C455" s="58" t="s">
        <v>12276</v>
      </c>
      <c r="D455" s="8" t="s">
        <v>966</v>
      </c>
      <c r="E455" s="58" t="s">
        <v>12277</v>
      </c>
      <c r="F455" s="58" t="s">
        <v>12278</v>
      </c>
      <c r="G455" s="7" t="s">
        <v>12279</v>
      </c>
      <c r="H455" s="7" t="s">
        <v>1915</v>
      </c>
      <c r="I455" s="8"/>
      <c r="J455" s="62" t="s">
        <v>4034</v>
      </c>
      <c r="K455" s="8" t="s">
        <v>12280</v>
      </c>
      <c r="L455" s="672" t="s">
        <v>26</v>
      </c>
      <c r="M455" s="8" t="s">
        <v>71</v>
      </c>
      <c r="N455" s="8" t="s">
        <v>3897</v>
      </c>
      <c r="O455" s="90">
        <v>3416.0</v>
      </c>
      <c r="P455" s="90">
        <v>4031.0</v>
      </c>
      <c r="Q455" s="6">
        <v>20.0</v>
      </c>
      <c r="R455" s="31">
        <f t="shared" si="12"/>
        <v>683.2</v>
      </c>
    </row>
    <row r="456">
      <c r="B456" s="21" t="s">
        <v>9478</v>
      </c>
      <c r="C456" s="58" t="s">
        <v>12281</v>
      </c>
      <c r="D456" s="8" t="s">
        <v>60</v>
      </c>
      <c r="E456" s="58" t="s">
        <v>719</v>
      </c>
      <c r="F456" s="58" t="s">
        <v>12282</v>
      </c>
      <c r="G456" s="7" t="s">
        <v>12283</v>
      </c>
      <c r="H456" s="7" t="s">
        <v>12284</v>
      </c>
      <c r="I456" s="21">
        <v>100.0</v>
      </c>
      <c r="J456" s="62" t="s">
        <v>12285</v>
      </c>
      <c r="K456" s="8" t="s">
        <v>65</v>
      </c>
      <c r="L456" s="672" t="s">
        <v>26</v>
      </c>
      <c r="M456" s="8" t="s">
        <v>27</v>
      </c>
      <c r="N456" s="8" t="s">
        <v>3897</v>
      </c>
      <c r="O456" s="88">
        <v>714.0</v>
      </c>
      <c r="P456" s="88">
        <v>842.0</v>
      </c>
      <c r="Q456" s="6">
        <v>57.0</v>
      </c>
      <c r="R456" s="31">
        <f t="shared" si="12"/>
        <v>406.98</v>
      </c>
    </row>
    <row r="457">
      <c r="B457" s="21" t="s">
        <v>9478</v>
      </c>
      <c r="C457" s="58" t="s">
        <v>12286</v>
      </c>
      <c r="D457" s="8" t="s">
        <v>60</v>
      </c>
      <c r="E457" s="58" t="s">
        <v>719</v>
      </c>
      <c r="F457" s="58" t="s">
        <v>12287</v>
      </c>
      <c r="G457" s="7" t="s">
        <v>12283</v>
      </c>
      <c r="H457" s="7" t="s">
        <v>12284</v>
      </c>
      <c r="I457" s="21">
        <v>97.0</v>
      </c>
      <c r="J457" s="62" t="s">
        <v>12288</v>
      </c>
      <c r="K457" s="8" t="s">
        <v>65</v>
      </c>
      <c r="L457" s="672" t="s">
        <v>26</v>
      </c>
      <c r="M457" s="8" t="s">
        <v>27</v>
      </c>
      <c r="N457" s="8" t="s">
        <v>3897</v>
      </c>
      <c r="O457" s="88">
        <v>714.0</v>
      </c>
      <c r="P457" s="88">
        <v>842.0</v>
      </c>
      <c r="Q457" s="6">
        <v>57.0</v>
      </c>
      <c r="R457" s="31">
        <f t="shared" si="12"/>
        <v>406.98</v>
      </c>
    </row>
    <row r="458">
      <c r="B458" s="21" t="s">
        <v>4029</v>
      </c>
      <c r="C458" s="58" t="s">
        <v>12289</v>
      </c>
      <c r="D458" s="8" t="s">
        <v>966</v>
      </c>
      <c r="E458" s="58" t="s">
        <v>3541</v>
      </c>
      <c r="F458" s="58" t="s">
        <v>12290</v>
      </c>
      <c r="G458" s="7">
        <v>9.925465777E9</v>
      </c>
      <c r="H458" s="8"/>
      <c r="I458" s="88">
        <v>1196.0</v>
      </c>
      <c r="J458" s="62" t="s">
        <v>12285</v>
      </c>
      <c r="K458" s="8" t="s">
        <v>65</v>
      </c>
      <c r="L458" s="672" t="s">
        <v>26</v>
      </c>
      <c r="M458" s="8" t="s">
        <v>71</v>
      </c>
      <c r="N458" s="8" t="s">
        <v>3897</v>
      </c>
      <c r="O458" s="88">
        <v>3526.0</v>
      </c>
      <c r="P458" s="88">
        <v>4160.0</v>
      </c>
      <c r="Q458" s="6">
        <v>47.0</v>
      </c>
      <c r="R458" s="31">
        <f t="shared" si="12"/>
        <v>1657.22</v>
      </c>
    </row>
    <row r="459">
      <c r="B459" s="208" t="s">
        <v>4056</v>
      </c>
      <c r="C459" s="58" t="s">
        <v>12291</v>
      </c>
      <c r="D459" s="58" t="s">
        <v>966</v>
      </c>
      <c r="E459" s="58" t="s">
        <v>3541</v>
      </c>
      <c r="F459" s="58" t="s">
        <v>12292</v>
      </c>
      <c r="G459" s="7" t="s">
        <v>3675</v>
      </c>
      <c r="H459" s="8"/>
      <c r="I459" s="88">
        <v>1196.0</v>
      </c>
      <c r="J459" s="62" t="s">
        <v>12288</v>
      </c>
      <c r="K459" s="8" t="s">
        <v>65</v>
      </c>
      <c r="L459" s="672" t="s">
        <v>26</v>
      </c>
      <c r="M459" s="8" t="s">
        <v>3977</v>
      </c>
      <c r="N459" s="8" t="s">
        <v>3897</v>
      </c>
      <c r="O459" s="88">
        <v>3776.0</v>
      </c>
      <c r="P459" s="88">
        <v>4456.0</v>
      </c>
      <c r="Q459" s="6">
        <v>47.0</v>
      </c>
      <c r="R459" s="31">
        <f t="shared" si="12"/>
        <v>1774.72</v>
      </c>
    </row>
    <row r="460">
      <c r="B460" s="21" t="s">
        <v>4035</v>
      </c>
      <c r="C460" s="58" t="s">
        <v>12293</v>
      </c>
      <c r="D460" s="8" t="s">
        <v>966</v>
      </c>
      <c r="E460" s="58" t="s">
        <v>12294</v>
      </c>
      <c r="F460" s="58" t="s">
        <v>12295</v>
      </c>
      <c r="G460" s="7">
        <v>9.714804592E9</v>
      </c>
      <c r="H460" s="8"/>
      <c r="I460" s="88">
        <v>2198.0</v>
      </c>
      <c r="J460" s="7" t="s">
        <v>4061</v>
      </c>
      <c r="K460" s="8" t="s">
        <v>48</v>
      </c>
      <c r="L460" s="672" t="s">
        <v>49</v>
      </c>
      <c r="M460" s="8" t="s">
        <v>71</v>
      </c>
      <c r="N460" s="8" t="s">
        <v>3897</v>
      </c>
      <c r="O460" s="88">
        <v>23289.0</v>
      </c>
      <c r="P460" s="88">
        <v>27481.0</v>
      </c>
      <c r="Q460" s="6">
        <v>20.0</v>
      </c>
      <c r="R460" s="31">
        <f t="shared" si="12"/>
        <v>4657.8</v>
      </c>
    </row>
    <row r="461">
      <c r="B461" s="21" t="s">
        <v>4035</v>
      </c>
      <c r="C461" s="58" t="s">
        <v>12296</v>
      </c>
      <c r="D461" s="8" t="s">
        <v>966</v>
      </c>
      <c r="E461" s="58" t="s">
        <v>12297</v>
      </c>
      <c r="F461" s="58" t="s">
        <v>12298</v>
      </c>
      <c r="G461" s="7" t="s">
        <v>12299</v>
      </c>
      <c r="H461" s="8"/>
      <c r="I461" s="88">
        <v>796.0</v>
      </c>
      <c r="J461" s="58" t="s">
        <v>4061</v>
      </c>
      <c r="K461" s="8" t="s">
        <v>12280</v>
      </c>
      <c r="L461" s="672" t="s">
        <v>49</v>
      </c>
      <c r="M461" s="8" t="s">
        <v>1456</v>
      </c>
      <c r="N461" s="8" t="s">
        <v>3897</v>
      </c>
      <c r="O461" s="90">
        <v>9843.0</v>
      </c>
      <c r="P461" s="90">
        <v>11615.0</v>
      </c>
      <c r="Q461" s="6">
        <v>23.0</v>
      </c>
      <c r="R461" s="31">
        <f t="shared" si="12"/>
        <v>2263.89</v>
      </c>
    </row>
    <row r="462">
      <c r="B462" s="21" t="s">
        <v>4035</v>
      </c>
      <c r="C462" s="58" t="s">
        <v>12300</v>
      </c>
      <c r="D462" s="8" t="s">
        <v>60</v>
      </c>
      <c r="E462" s="58" t="s">
        <v>719</v>
      </c>
      <c r="F462" s="58" t="s">
        <v>11758</v>
      </c>
      <c r="G462" s="7">
        <v>9.574153752E9</v>
      </c>
      <c r="H462" s="8"/>
      <c r="I462" s="88">
        <v>97.0</v>
      </c>
      <c r="J462" s="94">
        <v>46028.0</v>
      </c>
      <c r="K462" s="8" t="s">
        <v>65</v>
      </c>
      <c r="L462" s="672" t="s">
        <v>26</v>
      </c>
      <c r="M462" s="8" t="s">
        <v>27</v>
      </c>
      <c r="N462" s="8" t="s">
        <v>3897</v>
      </c>
      <c r="O462" s="88">
        <v>714.0</v>
      </c>
      <c r="P462" s="88">
        <v>842.0</v>
      </c>
      <c r="Q462" s="6">
        <v>57.0</v>
      </c>
      <c r="R462" s="31">
        <f t="shared" si="12"/>
        <v>406.98</v>
      </c>
    </row>
    <row r="463">
      <c r="B463" s="21" t="s">
        <v>4035</v>
      </c>
      <c r="C463" s="58" t="s">
        <v>12301</v>
      </c>
      <c r="D463" s="8" t="s">
        <v>966</v>
      </c>
      <c r="E463" s="58" t="s">
        <v>12302</v>
      </c>
      <c r="F463" s="58" t="s">
        <v>12303</v>
      </c>
      <c r="G463" s="7">
        <v>7.096480597E9</v>
      </c>
      <c r="H463" s="8"/>
      <c r="I463" s="88">
        <v>1493.0</v>
      </c>
      <c r="J463" s="94">
        <v>46028.0</v>
      </c>
      <c r="K463" s="8" t="s">
        <v>25</v>
      </c>
      <c r="L463" s="672" t="s">
        <v>49</v>
      </c>
      <c r="M463" s="8" t="s">
        <v>71</v>
      </c>
      <c r="N463" s="8" t="s">
        <v>3897</v>
      </c>
      <c r="O463" s="88">
        <v>13999.0</v>
      </c>
      <c r="P463" s="88">
        <v>14960.0</v>
      </c>
      <c r="Q463" s="6">
        <v>20.0</v>
      </c>
      <c r="R463" s="31">
        <f t="shared" si="12"/>
        <v>2799.8</v>
      </c>
    </row>
    <row r="464">
      <c r="B464" s="22">
        <v>45694.0</v>
      </c>
      <c r="C464" s="58" t="s">
        <v>12304</v>
      </c>
      <c r="D464" s="8" t="s">
        <v>966</v>
      </c>
      <c r="E464" s="58" t="s">
        <v>12305</v>
      </c>
      <c r="F464" s="58" t="s">
        <v>12306</v>
      </c>
      <c r="G464" s="88">
        <v>8.32033693E9</v>
      </c>
      <c r="H464" s="8"/>
      <c r="I464" s="134">
        <v>1197.0</v>
      </c>
      <c r="J464" s="58" t="s">
        <v>12307</v>
      </c>
      <c r="K464" s="8" t="s">
        <v>12308</v>
      </c>
      <c r="L464" s="672" t="s">
        <v>49</v>
      </c>
      <c r="M464" s="8" t="s">
        <v>71</v>
      </c>
      <c r="N464" s="8" t="s">
        <v>28</v>
      </c>
      <c r="O464" s="88">
        <v>15391.51</v>
      </c>
      <c r="P464" s="90">
        <v>18161.98</v>
      </c>
      <c r="Q464" s="6">
        <v>25.0</v>
      </c>
      <c r="R464" s="31">
        <f t="shared" si="12"/>
        <v>3847.8775</v>
      </c>
    </row>
    <row r="465">
      <c r="B465" s="22">
        <v>45694.0</v>
      </c>
      <c r="C465" s="58" t="s">
        <v>12309</v>
      </c>
      <c r="D465" s="8" t="s">
        <v>60</v>
      </c>
      <c r="E465" s="58" t="s">
        <v>12310</v>
      </c>
      <c r="F465" s="58" t="s">
        <v>12311</v>
      </c>
      <c r="G465" s="7">
        <v>9.879456248E9</v>
      </c>
      <c r="H465" s="7">
        <v>7.878892E9</v>
      </c>
      <c r="I465" s="88">
        <v>125.0</v>
      </c>
      <c r="J465" s="58" t="s">
        <v>3989</v>
      </c>
      <c r="K465" s="8" t="s">
        <v>65</v>
      </c>
      <c r="L465" s="672" t="s">
        <v>26</v>
      </c>
      <c r="M465" s="8" t="s">
        <v>71</v>
      </c>
      <c r="N465" s="8" t="s">
        <v>3897</v>
      </c>
      <c r="O465" s="88">
        <v>714.0</v>
      </c>
      <c r="P465" s="88">
        <v>842.0</v>
      </c>
      <c r="Q465" s="6">
        <v>57.0</v>
      </c>
      <c r="R465" s="31">
        <f t="shared" si="12"/>
        <v>406.98</v>
      </c>
    </row>
    <row r="466">
      <c r="B466" s="22">
        <v>45722.0</v>
      </c>
      <c r="C466" s="58" t="s">
        <v>12312</v>
      </c>
      <c r="D466" s="8" t="s">
        <v>966</v>
      </c>
      <c r="E466" s="58" t="s">
        <v>12313</v>
      </c>
      <c r="F466" s="58" t="s">
        <v>604</v>
      </c>
      <c r="G466" s="13" t="s">
        <v>4060</v>
      </c>
      <c r="H466" s="8"/>
      <c r="I466" s="88">
        <v>2523.0</v>
      </c>
      <c r="J466" s="91">
        <v>46028.0</v>
      </c>
      <c r="K466" s="8" t="s">
        <v>3429</v>
      </c>
      <c r="L466" s="672" t="s">
        <v>49</v>
      </c>
      <c r="M466" s="8" t="s">
        <v>27</v>
      </c>
      <c r="N466" s="8" t="s">
        <v>28</v>
      </c>
      <c r="O466" s="88">
        <v>10735.0</v>
      </c>
      <c r="P466" s="88">
        <v>12667.0</v>
      </c>
      <c r="Q466" s="6">
        <v>25.0</v>
      </c>
      <c r="R466" s="31">
        <f t="shared" si="12"/>
        <v>2683.75</v>
      </c>
    </row>
    <row r="467">
      <c r="B467" s="22">
        <v>45814.0</v>
      </c>
      <c r="C467" s="58" t="s">
        <v>12314</v>
      </c>
      <c r="D467" s="8" t="s">
        <v>966</v>
      </c>
      <c r="E467" s="58" t="s">
        <v>6503</v>
      </c>
      <c r="F467" s="58" t="s">
        <v>12315</v>
      </c>
      <c r="G467" s="7" t="s">
        <v>12316</v>
      </c>
      <c r="H467" s="7" t="s">
        <v>12317</v>
      </c>
      <c r="I467" s="88">
        <v>1196.0</v>
      </c>
      <c r="J467" s="215" t="s">
        <v>4130</v>
      </c>
      <c r="K467" s="8" t="s">
        <v>4070</v>
      </c>
      <c r="L467" s="672" t="s">
        <v>49</v>
      </c>
      <c r="M467" s="8" t="s">
        <v>27</v>
      </c>
      <c r="N467" s="8" t="s">
        <v>28</v>
      </c>
      <c r="O467" s="90">
        <v>6788.0</v>
      </c>
      <c r="P467" s="90">
        <v>8010.0</v>
      </c>
      <c r="Q467" s="6">
        <v>25.0</v>
      </c>
      <c r="R467" s="31">
        <f t="shared" si="12"/>
        <v>1697</v>
      </c>
    </row>
    <row r="470">
      <c r="B470" s="22">
        <v>45722.0</v>
      </c>
      <c r="C470" s="8" t="s">
        <v>12318</v>
      </c>
      <c r="D470" s="8" t="s">
        <v>12319</v>
      </c>
      <c r="E470" s="8" t="s">
        <v>12320</v>
      </c>
      <c r="F470" s="8" t="s">
        <v>12321</v>
      </c>
      <c r="G470" s="7">
        <v>9.998835534E9</v>
      </c>
      <c r="H470" s="8"/>
      <c r="I470" s="21">
        <v>100.0</v>
      </c>
      <c r="J470" s="128">
        <v>46059.0</v>
      </c>
      <c r="K470" s="8" t="s">
        <v>3934</v>
      </c>
      <c r="L470" s="672" t="s">
        <v>26</v>
      </c>
      <c r="M470" s="8" t="s">
        <v>3977</v>
      </c>
      <c r="N470" s="8" t="s">
        <v>3897</v>
      </c>
      <c r="O470" s="21">
        <v>714.0</v>
      </c>
      <c r="P470" s="21">
        <v>842.0</v>
      </c>
      <c r="Q470" s="5">
        <v>57.0</v>
      </c>
      <c r="R470" s="31">
        <f t="shared" ref="R470:R489" si="13">O470*Q470%</f>
        <v>406.98</v>
      </c>
    </row>
    <row r="471">
      <c r="B471" s="22">
        <v>45783.0</v>
      </c>
      <c r="C471" s="8" t="s">
        <v>12322</v>
      </c>
      <c r="D471" s="8" t="s">
        <v>60</v>
      </c>
      <c r="E471" s="8" t="s">
        <v>11164</v>
      </c>
      <c r="F471" s="8" t="s">
        <v>12323</v>
      </c>
      <c r="G471" s="7" t="s">
        <v>12324</v>
      </c>
      <c r="H471" s="8"/>
      <c r="I471" s="21">
        <v>102.0</v>
      </c>
      <c r="J471" s="22">
        <v>46148.0</v>
      </c>
      <c r="K471" s="8" t="s">
        <v>668</v>
      </c>
      <c r="L471" s="672" t="s">
        <v>49</v>
      </c>
      <c r="M471" s="8" t="s">
        <v>8968</v>
      </c>
      <c r="N471" s="8" t="s">
        <v>3897</v>
      </c>
      <c r="O471" s="21">
        <v>787.0</v>
      </c>
      <c r="P471" s="21">
        <v>929.0</v>
      </c>
      <c r="Q471" s="5">
        <v>45.0</v>
      </c>
      <c r="R471" s="31">
        <f t="shared" si="13"/>
        <v>354.15</v>
      </c>
    </row>
    <row r="472">
      <c r="B472" s="22">
        <v>45814.0</v>
      </c>
      <c r="C472" s="8" t="s">
        <v>12325</v>
      </c>
      <c r="D472" s="8" t="s">
        <v>966</v>
      </c>
      <c r="E472" s="8" t="s">
        <v>12326</v>
      </c>
      <c r="F472" s="8" t="s">
        <v>12327</v>
      </c>
      <c r="G472" s="7">
        <v>8.84954475E9</v>
      </c>
      <c r="H472" s="7">
        <v>8.980660087E9</v>
      </c>
      <c r="I472" s="21">
        <v>999.0</v>
      </c>
      <c r="J472" s="22">
        <v>46148.0</v>
      </c>
      <c r="K472" s="8" t="s">
        <v>12328</v>
      </c>
      <c r="L472" s="672" t="s">
        <v>49</v>
      </c>
      <c r="M472" s="8" t="s">
        <v>340</v>
      </c>
      <c r="N472" s="8" t="s">
        <v>3897</v>
      </c>
      <c r="O472" s="21">
        <v>3983.15</v>
      </c>
      <c r="P472" s="21">
        <v>4700.13</v>
      </c>
      <c r="Q472" s="5">
        <v>25.0</v>
      </c>
      <c r="R472" s="31">
        <f t="shared" si="13"/>
        <v>995.7875</v>
      </c>
    </row>
    <row r="473">
      <c r="B473" s="22">
        <v>45814.0</v>
      </c>
      <c r="C473" s="8" t="s">
        <v>12329</v>
      </c>
      <c r="D473" s="8" t="s">
        <v>966</v>
      </c>
      <c r="E473" s="8" t="s">
        <v>12330</v>
      </c>
      <c r="F473" s="8" t="s">
        <v>12331</v>
      </c>
      <c r="G473" s="7">
        <v>9.726370321E9</v>
      </c>
      <c r="H473" s="8"/>
      <c r="I473" s="21">
        <v>1196.0</v>
      </c>
      <c r="J473" s="22">
        <v>46148.0</v>
      </c>
      <c r="K473" s="8" t="s">
        <v>4070</v>
      </c>
      <c r="L473" s="672" t="s">
        <v>49</v>
      </c>
      <c r="M473" s="8" t="s">
        <v>71</v>
      </c>
      <c r="N473" s="8" t="s">
        <v>28</v>
      </c>
      <c r="O473" s="97">
        <v>10236.0</v>
      </c>
      <c r="P473" s="97">
        <v>12078.0</v>
      </c>
      <c r="Q473" s="5">
        <v>25.0</v>
      </c>
      <c r="R473" s="31">
        <f t="shared" si="13"/>
        <v>2559</v>
      </c>
    </row>
    <row r="474">
      <c r="B474" s="22">
        <v>45814.0</v>
      </c>
      <c r="C474" s="8" t="s">
        <v>12332</v>
      </c>
      <c r="D474" s="8" t="s">
        <v>966</v>
      </c>
      <c r="E474" s="8" t="s">
        <v>12333</v>
      </c>
      <c r="F474" s="8" t="s">
        <v>12334</v>
      </c>
      <c r="G474" s="7" t="s">
        <v>12335</v>
      </c>
      <c r="H474" s="8"/>
      <c r="I474" s="21">
        <v>796.0</v>
      </c>
      <c r="J474" s="128">
        <v>46209.0</v>
      </c>
      <c r="K474" s="8" t="s">
        <v>3934</v>
      </c>
      <c r="L474" s="672" t="s">
        <v>26</v>
      </c>
      <c r="M474" s="8" t="s">
        <v>27</v>
      </c>
      <c r="N474" s="8" t="s">
        <v>3897</v>
      </c>
      <c r="O474" s="21">
        <v>2204.0</v>
      </c>
      <c r="P474" s="21">
        <v>2600.0</v>
      </c>
      <c r="Q474" s="5">
        <v>47.0</v>
      </c>
      <c r="R474" s="31">
        <f t="shared" si="13"/>
        <v>1035.88</v>
      </c>
    </row>
    <row r="475">
      <c r="B475" s="22">
        <v>45814.0</v>
      </c>
      <c r="C475" s="8" t="s">
        <v>12336</v>
      </c>
      <c r="D475" s="8" t="s">
        <v>966</v>
      </c>
      <c r="E475" s="8" t="s">
        <v>12337</v>
      </c>
      <c r="F475" s="8" t="s">
        <v>12338</v>
      </c>
      <c r="G475" s="7">
        <v>7.984311346E9</v>
      </c>
      <c r="H475" s="8"/>
      <c r="I475" s="21">
        <v>1196.0</v>
      </c>
      <c r="J475" s="128">
        <v>46209.0</v>
      </c>
      <c r="K475" s="8" t="s">
        <v>3934</v>
      </c>
      <c r="L475" s="672" t="s">
        <v>26</v>
      </c>
      <c r="M475" s="8" t="s">
        <v>71</v>
      </c>
      <c r="N475" s="8" t="s">
        <v>28</v>
      </c>
      <c r="O475" s="21">
        <v>3466.0</v>
      </c>
      <c r="P475" s="21">
        <v>4090.0</v>
      </c>
      <c r="Q475" s="5">
        <v>47.0</v>
      </c>
      <c r="R475" s="31">
        <f t="shared" si="13"/>
        <v>1629.02</v>
      </c>
    </row>
    <row r="476">
      <c r="B476" s="22">
        <v>46210.0</v>
      </c>
      <c r="C476" s="8" t="s">
        <v>12339</v>
      </c>
      <c r="D476" s="131" t="s">
        <v>966</v>
      </c>
      <c r="E476" s="8" t="s">
        <v>12340</v>
      </c>
      <c r="F476" s="8" t="s">
        <v>12341</v>
      </c>
      <c r="G476" s="7">
        <v>6.353557914E9</v>
      </c>
      <c r="H476" s="8"/>
      <c r="I476" s="21">
        <v>1196.0</v>
      </c>
      <c r="J476" s="22">
        <v>46148.0</v>
      </c>
      <c r="K476" s="8" t="s">
        <v>12342</v>
      </c>
      <c r="L476" s="672" t="s">
        <v>26</v>
      </c>
      <c r="M476" s="8" t="s">
        <v>33</v>
      </c>
      <c r="N476" s="8" t="s">
        <v>3897</v>
      </c>
      <c r="O476" s="21">
        <v>3526.0</v>
      </c>
      <c r="P476" s="208">
        <v>4161.0</v>
      </c>
      <c r="Q476" s="5">
        <v>25.0</v>
      </c>
      <c r="R476" s="31">
        <f t="shared" si="13"/>
        <v>881.5</v>
      </c>
    </row>
    <row r="477">
      <c r="B477" s="22">
        <v>46210.0</v>
      </c>
      <c r="C477" s="8" t="s">
        <v>12343</v>
      </c>
      <c r="D477" s="8" t="s">
        <v>60</v>
      </c>
      <c r="E477" s="8" t="s">
        <v>12344</v>
      </c>
      <c r="F477" s="8" t="s">
        <v>12345</v>
      </c>
      <c r="G477" s="7">
        <v>8.140263219E9</v>
      </c>
      <c r="H477" s="8"/>
      <c r="I477" s="21">
        <v>100.0</v>
      </c>
      <c r="J477" s="128">
        <v>46209.0</v>
      </c>
      <c r="K477" s="8" t="s">
        <v>3934</v>
      </c>
      <c r="L477" s="672" t="s">
        <v>26</v>
      </c>
      <c r="M477" s="8" t="s">
        <v>27</v>
      </c>
      <c r="N477" s="8" t="s">
        <v>3897</v>
      </c>
      <c r="O477" s="21">
        <v>714.0</v>
      </c>
      <c r="P477" s="21">
        <v>842.0</v>
      </c>
      <c r="Q477" s="5">
        <v>57.0</v>
      </c>
      <c r="R477" s="31">
        <f t="shared" si="13"/>
        <v>406.98</v>
      </c>
    </row>
    <row r="478">
      <c r="B478" s="22">
        <v>46210.0</v>
      </c>
      <c r="C478" s="8" t="s">
        <v>12346</v>
      </c>
      <c r="D478" s="8" t="s">
        <v>60</v>
      </c>
      <c r="E478" s="8" t="s">
        <v>12347</v>
      </c>
      <c r="F478" s="8" t="s">
        <v>12348</v>
      </c>
      <c r="G478" s="7" t="s">
        <v>12349</v>
      </c>
      <c r="H478" s="8"/>
      <c r="I478" s="21">
        <v>110.0</v>
      </c>
      <c r="J478" s="128">
        <v>46209.0</v>
      </c>
      <c r="K478" s="8" t="s">
        <v>3934</v>
      </c>
      <c r="L478" s="672" t="s">
        <v>26</v>
      </c>
      <c r="M478" s="8" t="s">
        <v>27</v>
      </c>
      <c r="N478" s="8" t="s">
        <v>3897</v>
      </c>
      <c r="O478" s="21">
        <v>714.0</v>
      </c>
      <c r="P478" s="21">
        <v>842.0</v>
      </c>
      <c r="Q478" s="5">
        <v>57.0</v>
      </c>
      <c r="R478" s="31">
        <f t="shared" si="13"/>
        <v>406.98</v>
      </c>
    </row>
    <row r="479">
      <c r="B479" s="22">
        <v>46210.0</v>
      </c>
      <c r="C479" s="8" t="s">
        <v>12350</v>
      </c>
      <c r="D479" s="8" t="s">
        <v>966</v>
      </c>
      <c r="E479" s="8" t="s">
        <v>12351</v>
      </c>
      <c r="F479" s="8" t="s">
        <v>12352</v>
      </c>
      <c r="G479" s="7">
        <v>8.140263219E9</v>
      </c>
      <c r="H479" s="7">
        <v>7.016653398E9</v>
      </c>
      <c r="I479" s="21">
        <v>1198.0</v>
      </c>
      <c r="J479" s="128">
        <v>46209.0</v>
      </c>
      <c r="K479" s="8" t="s">
        <v>3934</v>
      </c>
      <c r="L479" s="672" t="s">
        <v>26</v>
      </c>
      <c r="M479" s="8" t="s">
        <v>71</v>
      </c>
      <c r="N479" s="8" t="s">
        <v>3897</v>
      </c>
      <c r="O479" s="21">
        <v>3526.0</v>
      </c>
      <c r="P479" s="21">
        <v>4160.0</v>
      </c>
      <c r="Q479" s="5">
        <v>47.0</v>
      </c>
      <c r="R479" s="31">
        <f t="shared" si="13"/>
        <v>1657.22</v>
      </c>
    </row>
    <row r="480">
      <c r="B480" s="22">
        <v>46210.0</v>
      </c>
      <c r="C480" s="8" t="s">
        <v>12353</v>
      </c>
      <c r="D480" s="8" t="s">
        <v>966</v>
      </c>
      <c r="E480" s="8" t="s">
        <v>12354</v>
      </c>
      <c r="F480" s="8" t="s">
        <v>12355</v>
      </c>
      <c r="G480" s="7">
        <v>8.140263219E9</v>
      </c>
      <c r="H480" s="7">
        <v>7.016653398E9</v>
      </c>
      <c r="I480" s="21">
        <v>1396.0</v>
      </c>
      <c r="J480" s="22">
        <v>46148.0</v>
      </c>
      <c r="K480" s="8" t="s">
        <v>12342</v>
      </c>
      <c r="L480" s="672" t="s">
        <v>26</v>
      </c>
      <c r="M480" s="8" t="s">
        <v>71</v>
      </c>
      <c r="N480" s="8" t="s">
        <v>3897</v>
      </c>
      <c r="O480" s="21">
        <v>3466.0</v>
      </c>
      <c r="P480" s="21">
        <v>4090.0</v>
      </c>
      <c r="Q480" s="5">
        <v>25.0</v>
      </c>
      <c r="R480" s="31">
        <f t="shared" si="13"/>
        <v>866.5</v>
      </c>
    </row>
    <row r="481">
      <c r="B481" s="22">
        <v>46210.0</v>
      </c>
      <c r="C481" s="8" t="s">
        <v>12356</v>
      </c>
      <c r="D481" s="8" t="s">
        <v>966</v>
      </c>
      <c r="E481" s="8" t="s">
        <v>12357</v>
      </c>
      <c r="F481" s="8" t="s">
        <v>12358</v>
      </c>
      <c r="G481" s="7" t="s">
        <v>8396</v>
      </c>
      <c r="H481" s="8"/>
      <c r="I481" s="21">
        <v>2499.0</v>
      </c>
      <c r="J481" s="22">
        <v>46148.0</v>
      </c>
      <c r="K481" s="8" t="s">
        <v>12342</v>
      </c>
      <c r="L481" s="672" t="s">
        <v>26</v>
      </c>
      <c r="M481" s="8" t="s">
        <v>27</v>
      </c>
      <c r="N481" s="8" t="s">
        <v>3897</v>
      </c>
      <c r="O481" s="21">
        <v>7947.0</v>
      </c>
      <c r="P481" s="21">
        <v>9377.0</v>
      </c>
      <c r="Q481" s="5">
        <v>25.0</v>
      </c>
      <c r="R481" s="31">
        <f t="shared" si="13"/>
        <v>1986.75</v>
      </c>
    </row>
    <row r="482">
      <c r="B482" s="22">
        <v>46210.0</v>
      </c>
      <c r="C482" s="8" t="s">
        <v>12359</v>
      </c>
      <c r="D482" s="8" t="s">
        <v>60</v>
      </c>
      <c r="E482" s="8" t="s">
        <v>5886</v>
      </c>
      <c r="F482" s="8" t="s">
        <v>12360</v>
      </c>
      <c r="G482" s="7">
        <v>8.00001521E9</v>
      </c>
      <c r="H482" s="7">
        <v>8.000015016E9</v>
      </c>
      <c r="I482" s="21">
        <v>100.0</v>
      </c>
      <c r="J482" s="128">
        <v>46209.0</v>
      </c>
      <c r="K482" s="8" t="s">
        <v>3934</v>
      </c>
      <c r="L482" s="672" t="s">
        <v>26</v>
      </c>
      <c r="M482" s="8" t="s">
        <v>71</v>
      </c>
      <c r="N482" s="8" t="s">
        <v>28</v>
      </c>
      <c r="O482" s="21">
        <v>714.0</v>
      </c>
      <c r="P482" s="21">
        <v>842.0</v>
      </c>
      <c r="Q482" s="5">
        <v>57.0</v>
      </c>
      <c r="R482" s="31">
        <f t="shared" si="13"/>
        <v>406.98</v>
      </c>
    </row>
    <row r="483">
      <c r="B483" s="22">
        <v>45967.0</v>
      </c>
      <c r="C483" s="8" t="s">
        <v>12361</v>
      </c>
      <c r="D483" s="8" t="s">
        <v>60</v>
      </c>
      <c r="E483" s="8" t="s">
        <v>326</v>
      </c>
      <c r="F483" s="8" t="s">
        <v>12362</v>
      </c>
      <c r="G483" s="7">
        <v>9.904358582E9</v>
      </c>
      <c r="H483" s="8"/>
      <c r="I483" s="21">
        <v>100.0</v>
      </c>
      <c r="J483" s="128">
        <v>46332.0</v>
      </c>
      <c r="K483" s="8" t="s">
        <v>3934</v>
      </c>
      <c r="L483" s="672" t="s">
        <v>26</v>
      </c>
      <c r="M483" s="8" t="s">
        <v>27</v>
      </c>
      <c r="N483" s="8" t="s">
        <v>3897</v>
      </c>
      <c r="O483" s="21">
        <v>714.0</v>
      </c>
      <c r="P483" s="21">
        <v>842.0</v>
      </c>
      <c r="Q483" s="5">
        <v>57.0</v>
      </c>
      <c r="R483" s="31">
        <f t="shared" si="13"/>
        <v>406.98</v>
      </c>
    </row>
    <row r="484">
      <c r="B484" s="22">
        <v>45967.0</v>
      </c>
      <c r="C484" s="8" t="s">
        <v>12363</v>
      </c>
      <c r="D484" s="8" t="s">
        <v>60</v>
      </c>
      <c r="E484" s="8" t="s">
        <v>12364</v>
      </c>
      <c r="F484" s="8" t="s">
        <v>12365</v>
      </c>
      <c r="G484" s="7">
        <v>8.780055169E9</v>
      </c>
      <c r="H484" s="8"/>
      <c r="I484" s="21">
        <v>155.0</v>
      </c>
      <c r="J484" s="128">
        <v>46332.0</v>
      </c>
      <c r="K484" s="8" t="s">
        <v>3934</v>
      </c>
      <c r="L484" s="672" t="s">
        <v>26</v>
      </c>
      <c r="M484" s="8" t="s">
        <v>3977</v>
      </c>
      <c r="N484" s="8" t="s">
        <v>3897</v>
      </c>
      <c r="O484" s="21">
        <v>1366.0</v>
      </c>
      <c r="P484" s="21">
        <v>1612.0</v>
      </c>
      <c r="Q484" s="5">
        <v>57.0</v>
      </c>
      <c r="R484" s="31">
        <f t="shared" si="13"/>
        <v>778.62</v>
      </c>
    </row>
    <row r="485">
      <c r="B485" s="22">
        <v>45967.0</v>
      </c>
      <c r="C485" s="8" t="s">
        <v>12366</v>
      </c>
      <c r="D485" s="8" t="s">
        <v>60</v>
      </c>
      <c r="E485" s="8" t="s">
        <v>12367</v>
      </c>
      <c r="F485" s="8" t="s">
        <v>12368</v>
      </c>
      <c r="G485" s="7">
        <v>9.898321556E9</v>
      </c>
      <c r="H485" s="7">
        <v>9.427236237E9</v>
      </c>
      <c r="I485" s="21">
        <v>125.0</v>
      </c>
      <c r="J485" s="128">
        <v>46332.0</v>
      </c>
      <c r="K485" s="8" t="s">
        <v>3934</v>
      </c>
      <c r="L485" s="672" t="s">
        <v>26</v>
      </c>
      <c r="M485" s="8" t="s">
        <v>71</v>
      </c>
      <c r="N485" s="8" t="s">
        <v>3897</v>
      </c>
      <c r="O485" s="21">
        <v>714.0</v>
      </c>
      <c r="P485" s="21">
        <v>842.0</v>
      </c>
      <c r="Q485" s="5">
        <v>57.0</v>
      </c>
      <c r="R485" s="31">
        <f t="shared" si="13"/>
        <v>406.98</v>
      </c>
    </row>
    <row r="486">
      <c r="B486" s="22">
        <v>45967.0</v>
      </c>
      <c r="C486" s="8" t="s">
        <v>12369</v>
      </c>
      <c r="D486" s="8" t="s">
        <v>60</v>
      </c>
      <c r="E486" s="8" t="s">
        <v>12370</v>
      </c>
      <c r="F486" s="8" t="s">
        <v>12371</v>
      </c>
      <c r="G486" s="7">
        <v>9.824356775E9</v>
      </c>
      <c r="H486" s="7">
        <v>9.825349352E9</v>
      </c>
      <c r="I486" s="21">
        <v>102.0</v>
      </c>
      <c r="J486" s="128">
        <v>46332.0</v>
      </c>
      <c r="K486" s="8" t="s">
        <v>3934</v>
      </c>
      <c r="L486" s="672" t="s">
        <v>26</v>
      </c>
      <c r="M486" s="8" t="s">
        <v>3977</v>
      </c>
      <c r="N486" s="8" t="s">
        <v>3897</v>
      </c>
      <c r="O486" s="21">
        <v>714.0</v>
      </c>
      <c r="P486" s="21">
        <v>842.0</v>
      </c>
      <c r="Q486" s="5">
        <v>58.0</v>
      </c>
      <c r="R486" s="31">
        <f t="shared" si="13"/>
        <v>414.12</v>
      </c>
    </row>
    <row r="487">
      <c r="B487" s="22">
        <v>45997.0</v>
      </c>
      <c r="C487" s="8" t="s">
        <v>12372</v>
      </c>
      <c r="D487" s="8" t="s">
        <v>60</v>
      </c>
      <c r="E487" s="8" t="s">
        <v>12373</v>
      </c>
      <c r="F487" s="8" t="s">
        <v>12374</v>
      </c>
      <c r="G487" s="7">
        <v>9.879498738E9</v>
      </c>
      <c r="H487" s="8"/>
      <c r="I487" s="21">
        <v>350.0</v>
      </c>
      <c r="J487" s="128">
        <v>46362.0</v>
      </c>
      <c r="K487" s="8" t="s">
        <v>3934</v>
      </c>
      <c r="L487" s="672" t="s">
        <v>26</v>
      </c>
      <c r="M487" s="8" t="s">
        <v>71</v>
      </c>
      <c r="N487" s="8" t="s">
        <v>3897</v>
      </c>
      <c r="O487" s="21">
        <v>1366.0</v>
      </c>
      <c r="P487" s="21">
        <v>1612.0</v>
      </c>
      <c r="Q487" s="5">
        <v>57.0</v>
      </c>
      <c r="R487" s="31">
        <f t="shared" si="13"/>
        <v>778.62</v>
      </c>
    </row>
    <row r="488">
      <c r="B488" s="21" t="s">
        <v>9577</v>
      </c>
      <c r="C488" s="8" t="s">
        <v>12375</v>
      </c>
      <c r="D488" s="8" t="s">
        <v>60</v>
      </c>
      <c r="E488" s="8" t="s">
        <v>11164</v>
      </c>
      <c r="F488" s="8" t="s">
        <v>12376</v>
      </c>
      <c r="G488" s="8"/>
      <c r="H488" s="8"/>
      <c r="I488" s="21">
        <v>110.0</v>
      </c>
      <c r="J488" s="8" t="s">
        <v>12377</v>
      </c>
      <c r="K488" s="8" t="s">
        <v>2681</v>
      </c>
      <c r="L488" s="672" t="s">
        <v>49</v>
      </c>
      <c r="M488" s="8" t="s">
        <v>71</v>
      </c>
      <c r="N488" s="8" t="s">
        <v>3897</v>
      </c>
      <c r="O488" s="21">
        <v>804.0</v>
      </c>
      <c r="P488" s="21">
        <v>948.0</v>
      </c>
      <c r="Q488" s="5">
        <v>45.0</v>
      </c>
      <c r="R488" s="31">
        <f t="shared" si="13"/>
        <v>361.8</v>
      </c>
    </row>
    <row r="489">
      <c r="B489" s="21" t="s">
        <v>4208</v>
      </c>
      <c r="C489" s="8" t="s">
        <v>12378</v>
      </c>
      <c r="D489" s="8" t="s">
        <v>966</v>
      </c>
      <c r="E489" s="8" t="s">
        <v>10188</v>
      </c>
      <c r="F489" s="8" t="s">
        <v>12379</v>
      </c>
      <c r="G489" s="7">
        <v>9.099815623E9</v>
      </c>
      <c r="H489" s="7" t="s">
        <v>12380</v>
      </c>
      <c r="I489" s="21">
        <v>1462.0</v>
      </c>
      <c r="J489" s="8" t="s">
        <v>4090</v>
      </c>
      <c r="K489" s="8" t="s">
        <v>4070</v>
      </c>
      <c r="L489" s="672" t="s">
        <v>49</v>
      </c>
      <c r="M489" s="8" t="s">
        <v>340</v>
      </c>
      <c r="N489" s="8" t="s">
        <v>28</v>
      </c>
      <c r="O489" s="97">
        <v>12487.0</v>
      </c>
      <c r="P489" s="97">
        <v>14735.0</v>
      </c>
      <c r="Q489" s="5">
        <v>25.0</v>
      </c>
      <c r="R489" s="31">
        <f t="shared" si="13"/>
        <v>3121.75</v>
      </c>
    </row>
    <row r="492">
      <c r="A492" s="6" t="s">
        <v>12381</v>
      </c>
      <c r="B492" s="208">
        <v>101.0</v>
      </c>
      <c r="C492" s="21" t="s">
        <v>4208</v>
      </c>
      <c r="D492" s="8" t="s">
        <v>11177</v>
      </c>
      <c r="E492" s="58" t="s">
        <v>12382</v>
      </c>
      <c r="F492" s="8" t="s">
        <v>966</v>
      </c>
      <c r="G492" s="58" t="s">
        <v>12383</v>
      </c>
      <c r="H492" s="58" t="s">
        <v>12384</v>
      </c>
      <c r="I492" s="7">
        <v>9.909340415E9</v>
      </c>
      <c r="J492" s="8"/>
      <c r="K492" s="21">
        <v>1197.0</v>
      </c>
      <c r="L492" s="8" t="s">
        <v>12385</v>
      </c>
      <c r="M492" s="8" t="s">
        <v>65</v>
      </c>
      <c r="N492" s="672" t="s">
        <v>26</v>
      </c>
      <c r="O492" s="8" t="s">
        <v>71</v>
      </c>
      <c r="P492" s="8" t="s">
        <v>28</v>
      </c>
      <c r="Q492" s="297">
        <v>49594.0</v>
      </c>
      <c r="R492" s="217">
        <v>46085.0</v>
      </c>
      <c r="S492" s="7" t="s">
        <v>63</v>
      </c>
      <c r="T492" s="88">
        <v>3466.0</v>
      </c>
      <c r="U492" s="88">
        <v>4090.0</v>
      </c>
      <c r="V492" s="675">
        <v>4000.0</v>
      </c>
      <c r="W492" s="675">
        <f>U492-V492</f>
        <v>90</v>
      </c>
      <c r="X492" s="7" t="s">
        <v>12386</v>
      </c>
      <c r="Y492" s="7" t="s">
        <v>12387</v>
      </c>
      <c r="Z492" s="58" t="s">
        <v>12388</v>
      </c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</row>
  </sheetData>
  <mergeCells count="4">
    <mergeCell ref="B69:R69"/>
    <mergeCell ref="B113:R113"/>
    <mergeCell ref="B145:R145"/>
    <mergeCell ref="B193:R193"/>
  </mergeCells>
  <dataValidations>
    <dataValidation type="list" allowBlank="1" showErrorMessage="1" sqref="L1:L34 L38:L67 L71:L109 L116:L140 L147:L190 L194:L221 L224:L258 L300:L354 L424:L467 L470:L489 N492">
      <formula1>"TP,FULL,SAOD"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2" width="9.78"/>
    <col customWidth="1" min="3" max="3" width="12.0"/>
    <col customWidth="1" min="4" max="4" width="7.44"/>
    <col customWidth="1" min="5" max="5" width="69.33"/>
    <col customWidth="1" min="6" max="6" width="41.67"/>
    <col customWidth="1" min="13" max="13" width="19.11"/>
  </cols>
  <sheetData>
    <row r="1">
      <c r="A1" s="676">
        <v>45627.0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42"/>
    </row>
    <row r="2">
      <c r="A2" s="3" t="s">
        <v>6629</v>
      </c>
      <c r="B2" s="4" t="s">
        <v>0</v>
      </c>
      <c r="C2" s="1" t="s">
        <v>1</v>
      </c>
      <c r="D2" s="3" t="s">
        <v>3</v>
      </c>
      <c r="E2" s="1" t="s">
        <v>4</v>
      </c>
      <c r="F2" s="3" t="s">
        <v>5</v>
      </c>
      <c r="G2" s="4" t="s">
        <v>8</v>
      </c>
      <c r="H2" s="4" t="s">
        <v>9</v>
      </c>
      <c r="I2" s="1" t="s">
        <v>10</v>
      </c>
      <c r="J2" s="3" t="s">
        <v>11</v>
      </c>
      <c r="K2" s="3" t="s">
        <v>14</v>
      </c>
      <c r="L2" s="677" t="s">
        <v>15</v>
      </c>
      <c r="M2" s="2" t="s">
        <v>16</v>
      </c>
      <c r="N2" s="678" t="s">
        <v>17</v>
      </c>
      <c r="O2" s="31"/>
      <c r="P2" s="31"/>
      <c r="Q2" s="31"/>
      <c r="R2" s="31"/>
      <c r="S2" s="31"/>
      <c r="T2" s="31"/>
    </row>
    <row r="3">
      <c r="A3" s="593">
        <v>1.0</v>
      </c>
      <c r="B3" s="232">
        <v>45363.0</v>
      </c>
      <c r="C3" s="131" t="s">
        <v>7680</v>
      </c>
      <c r="D3" s="131" t="s">
        <v>1405</v>
      </c>
      <c r="E3" s="8" t="s">
        <v>1506</v>
      </c>
      <c r="F3" s="8" t="s">
        <v>12389</v>
      </c>
      <c r="G3" s="21">
        <v>990.0</v>
      </c>
      <c r="H3" s="215">
        <v>45700.0</v>
      </c>
      <c r="I3" s="131" t="s">
        <v>1419</v>
      </c>
      <c r="J3" s="8" t="s">
        <v>49</v>
      </c>
      <c r="K3" s="21">
        <v>5394.0</v>
      </c>
      <c r="L3" s="611">
        <v>6096.0</v>
      </c>
      <c r="M3" s="5">
        <v>57.0</v>
      </c>
      <c r="N3" s="679">
        <f t="shared" ref="N3:N101" si="1">K3*M3%</f>
        <v>3074.58</v>
      </c>
    </row>
    <row r="4">
      <c r="A4" s="593">
        <v>2.0</v>
      </c>
      <c r="B4" s="232">
        <v>45363.0</v>
      </c>
      <c r="C4" s="131" t="s">
        <v>12390</v>
      </c>
      <c r="D4" s="131" t="s">
        <v>1432</v>
      </c>
      <c r="E4" s="8" t="s">
        <v>2125</v>
      </c>
      <c r="F4" s="8" t="s">
        <v>12391</v>
      </c>
      <c r="G4" s="21">
        <v>436.0</v>
      </c>
      <c r="H4" s="215">
        <v>45728.0</v>
      </c>
      <c r="I4" s="131" t="s">
        <v>1424</v>
      </c>
      <c r="J4" s="8" t="s">
        <v>49</v>
      </c>
      <c r="K4" s="21">
        <v>6712.0</v>
      </c>
      <c r="L4" s="611">
        <v>7920.0</v>
      </c>
      <c r="M4" s="5">
        <v>54.0</v>
      </c>
      <c r="N4" s="679">
        <f t="shared" si="1"/>
        <v>3624.48</v>
      </c>
    </row>
    <row r="5">
      <c r="A5" s="593">
        <v>3.0</v>
      </c>
      <c r="B5" s="232">
        <v>45363.0</v>
      </c>
      <c r="C5" s="131" t="s">
        <v>1085</v>
      </c>
      <c r="D5" s="131" t="s">
        <v>1395</v>
      </c>
      <c r="E5" s="8" t="s">
        <v>8970</v>
      </c>
      <c r="F5" s="8" t="s">
        <v>12392</v>
      </c>
      <c r="G5" s="21">
        <v>5700.0</v>
      </c>
      <c r="H5" s="223">
        <v>45700.0</v>
      </c>
      <c r="I5" s="131" t="s">
        <v>65</v>
      </c>
      <c r="J5" s="8" t="s">
        <v>26</v>
      </c>
      <c r="K5" s="21">
        <v>16049.0</v>
      </c>
      <c r="L5" s="611">
        <v>18093.0</v>
      </c>
      <c r="M5" s="5">
        <v>48.0</v>
      </c>
      <c r="N5" s="679">
        <f t="shared" si="1"/>
        <v>7703.52</v>
      </c>
    </row>
    <row r="6">
      <c r="A6" s="593">
        <v>4.0</v>
      </c>
      <c r="B6" s="232">
        <v>45363.0</v>
      </c>
      <c r="C6" s="8" t="s">
        <v>12393</v>
      </c>
      <c r="D6" s="131" t="s">
        <v>1395</v>
      </c>
      <c r="E6" s="8" t="s">
        <v>12394</v>
      </c>
      <c r="F6" s="8" t="s">
        <v>12395</v>
      </c>
      <c r="G6" s="21">
        <v>1685.0</v>
      </c>
      <c r="H6" s="215">
        <v>45700.0</v>
      </c>
      <c r="I6" s="131" t="s">
        <v>116</v>
      </c>
      <c r="J6" s="8" t="s">
        <v>49</v>
      </c>
      <c r="K6" s="97">
        <v>20133.0</v>
      </c>
      <c r="L6" s="610">
        <v>22787.0</v>
      </c>
      <c r="M6" s="5">
        <v>50.0</v>
      </c>
      <c r="N6" s="679">
        <f t="shared" si="1"/>
        <v>10066.5</v>
      </c>
    </row>
    <row r="7">
      <c r="A7" s="593">
        <v>5.0</v>
      </c>
      <c r="B7" s="232">
        <v>45394.0</v>
      </c>
      <c r="C7" s="8" t="s">
        <v>5770</v>
      </c>
      <c r="D7" s="131" t="s">
        <v>1432</v>
      </c>
      <c r="E7" s="8" t="s">
        <v>2125</v>
      </c>
      <c r="F7" s="8" t="s">
        <v>12396</v>
      </c>
      <c r="G7" s="21">
        <v>436.0</v>
      </c>
      <c r="H7" s="215">
        <v>45820.0</v>
      </c>
      <c r="I7" s="131" t="s">
        <v>1424</v>
      </c>
      <c r="J7" s="8" t="s">
        <v>49</v>
      </c>
      <c r="K7" s="21">
        <v>6712.0</v>
      </c>
      <c r="L7" s="611">
        <v>7920.0</v>
      </c>
      <c r="M7" s="5">
        <v>54.0</v>
      </c>
      <c r="N7" s="679">
        <f t="shared" si="1"/>
        <v>3624.48</v>
      </c>
    </row>
    <row r="8">
      <c r="A8" s="593">
        <v>6.0</v>
      </c>
      <c r="B8" s="232">
        <v>45394.0</v>
      </c>
      <c r="C8" s="8" t="s">
        <v>8285</v>
      </c>
      <c r="D8" s="131" t="s">
        <v>21</v>
      </c>
      <c r="E8" s="8" t="s">
        <v>2603</v>
      </c>
      <c r="F8" s="8" t="s">
        <v>12397</v>
      </c>
      <c r="G8" s="21">
        <v>16200.0</v>
      </c>
      <c r="H8" s="223">
        <v>45728.0</v>
      </c>
      <c r="I8" s="131" t="s">
        <v>65</v>
      </c>
      <c r="J8" s="8" t="s">
        <v>26</v>
      </c>
      <c r="K8" s="21">
        <v>35413.0</v>
      </c>
      <c r="L8" s="611">
        <v>39669.0</v>
      </c>
      <c r="M8" s="5">
        <v>48.0</v>
      </c>
      <c r="N8" s="679">
        <f t="shared" si="1"/>
        <v>16998.24</v>
      </c>
    </row>
    <row r="9">
      <c r="A9" s="593">
        <v>7.0</v>
      </c>
      <c r="B9" s="232">
        <v>45394.0</v>
      </c>
      <c r="C9" s="8" t="s">
        <v>6369</v>
      </c>
      <c r="D9" s="131" t="s">
        <v>21</v>
      </c>
      <c r="E9" s="8" t="s">
        <v>12398</v>
      </c>
      <c r="F9" s="8" t="s">
        <v>12399</v>
      </c>
      <c r="G9" s="21">
        <v>28000.0</v>
      </c>
      <c r="H9" s="223">
        <v>45728.0</v>
      </c>
      <c r="I9" s="131" t="s">
        <v>65</v>
      </c>
      <c r="J9" s="8" t="s">
        <v>26</v>
      </c>
      <c r="K9" s="21">
        <v>43950.0</v>
      </c>
      <c r="L9" s="611">
        <v>49342.0</v>
      </c>
      <c r="M9" s="5">
        <v>48.0</v>
      </c>
      <c r="N9" s="679">
        <f t="shared" si="1"/>
        <v>21096</v>
      </c>
    </row>
    <row r="10">
      <c r="A10" s="593">
        <v>8.0</v>
      </c>
      <c r="B10" s="232">
        <v>45424.0</v>
      </c>
      <c r="C10" s="133" t="s">
        <v>12400</v>
      </c>
      <c r="D10" s="131" t="s">
        <v>1395</v>
      </c>
      <c r="E10" s="8" t="s">
        <v>1747</v>
      </c>
      <c r="F10" s="8" t="s">
        <v>12401</v>
      </c>
      <c r="G10" s="21">
        <v>3490.0</v>
      </c>
      <c r="H10" s="215">
        <v>45789.0</v>
      </c>
      <c r="I10" s="8" t="s">
        <v>1419</v>
      </c>
      <c r="J10" s="8" t="s">
        <v>49</v>
      </c>
      <c r="K10" s="21">
        <v>20494.0</v>
      </c>
      <c r="L10" s="611">
        <v>23220.0</v>
      </c>
      <c r="M10" s="5">
        <v>54.0</v>
      </c>
      <c r="N10" s="679">
        <f t="shared" si="1"/>
        <v>11066.76</v>
      </c>
    </row>
    <row r="11">
      <c r="A11" s="593">
        <v>9.0</v>
      </c>
      <c r="B11" s="232">
        <v>45424.0</v>
      </c>
      <c r="C11" s="8" t="s">
        <v>12402</v>
      </c>
      <c r="D11" s="131" t="s">
        <v>1395</v>
      </c>
      <c r="E11" s="8" t="s">
        <v>12403</v>
      </c>
      <c r="F11" s="8" t="s">
        <v>12404</v>
      </c>
      <c r="G11" s="21">
        <v>2450.0</v>
      </c>
      <c r="H11" s="215">
        <v>45759.0</v>
      </c>
      <c r="I11" s="131" t="s">
        <v>70</v>
      </c>
      <c r="J11" s="8" t="s">
        <v>49</v>
      </c>
      <c r="K11" s="97">
        <v>18233.0</v>
      </c>
      <c r="L11" s="610">
        <v>20552.0</v>
      </c>
      <c r="M11" s="5">
        <v>62.0</v>
      </c>
      <c r="N11" s="679">
        <f t="shared" si="1"/>
        <v>11304.46</v>
      </c>
    </row>
    <row r="12">
      <c r="A12" s="593">
        <v>10.0</v>
      </c>
      <c r="B12" s="232">
        <v>45424.0</v>
      </c>
      <c r="C12" s="8" t="s">
        <v>12405</v>
      </c>
      <c r="D12" s="131" t="s">
        <v>1432</v>
      </c>
      <c r="E12" s="8" t="s">
        <v>9151</v>
      </c>
      <c r="F12" s="8" t="s">
        <v>12406</v>
      </c>
      <c r="G12" s="21">
        <v>236.0</v>
      </c>
      <c r="H12" s="215">
        <v>45759.0</v>
      </c>
      <c r="I12" s="131" t="s">
        <v>1424</v>
      </c>
      <c r="J12" s="8" t="s">
        <v>49</v>
      </c>
      <c r="K12" s="21">
        <v>6375.0</v>
      </c>
      <c r="L12" s="611">
        <v>7523.0</v>
      </c>
      <c r="M12" s="5">
        <v>54.0</v>
      </c>
      <c r="N12" s="679">
        <f t="shared" si="1"/>
        <v>3442.5</v>
      </c>
    </row>
    <row r="13">
      <c r="A13" s="593">
        <v>11.0</v>
      </c>
      <c r="B13" s="232">
        <v>45424.0</v>
      </c>
      <c r="C13" s="8" t="s">
        <v>12407</v>
      </c>
      <c r="D13" s="8" t="s">
        <v>533</v>
      </c>
      <c r="E13" s="8" t="s">
        <v>11070</v>
      </c>
      <c r="F13" s="8" t="s">
        <v>12408</v>
      </c>
      <c r="G13" s="8"/>
      <c r="H13" s="215">
        <v>45789.0</v>
      </c>
      <c r="I13" s="131" t="s">
        <v>1424</v>
      </c>
      <c r="J13" s="8" t="s">
        <v>26</v>
      </c>
      <c r="K13" s="21">
        <v>7317.0</v>
      </c>
      <c r="L13" s="611">
        <v>8635.0</v>
      </c>
      <c r="M13" s="5">
        <v>29.0</v>
      </c>
      <c r="N13" s="679">
        <f t="shared" si="1"/>
        <v>2121.93</v>
      </c>
    </row>
    <row r="14">
      <c r="A14" s="593">
        <v>12.0</v>
      </c>
      <c r="B14" s="232">
        <v>45424.0</v>
      </c>
      <c r="C14" s="131" t="s">
        <v>12409</v>
      </c>
      <c r="D14" s="131" t="s">
        <v>1432</v>
      </c>
      <c r="E14" s="8" t="s">
        <v>2125</v>
      </c>
      <c r="F14" s="8" t="s">
        <v>12410</v>
      </c>
      <c r="G14" s="21">
        <v>436.0</v>
      </c>
      <c r="H14" s="215">
        <v>45759.0</v>
      </c>
      <c r="I14" s="131" t="s">
        <v>1424</v>
      </c>
      <c r="J14" s="8" t="s">
        <v>49</v>
      </c>
      <c r="K14" s="21">
        <v>6497.0</v>
      </c>
      <c r="L14" s="611">
        <v>7667.0</v>
      </c>
      <c r="M14" s="5">
        <v>54.0</v>
      </c>
      <c r="N14" s="679">
        <f t="shared" si="1"/>
        <v>3508.38</v>
      </c>
    </row>
    <row r="15">
      <c r="A15" s="593">
        <v>13.0</v>
      </c>
      <c r="B15" s="232">
        <v>45424.0</v>
      </c>
      <c r="C15" s="8" t="s">
        <v>12411</v>
      </c>
      <c r="D15" s="131" t="s">
        <v>1432</v>
      </c>
      <c r="E15" s="8" t="s">
        <v>2125</v>
      </c>
      <c r="F15" s="8" t="s">
        <v>12412</v>
      </c>
      <c r="G15" s="21">
        <v>436.0</v>
      </c>
      <c r="H15" s="215">
        <v>45820.0</v>
      </c>
      <c r="I15" s="131" t="s">
        <v>1424</v>
      </c>
      <c r="J15" s="8" t="s">
        <v>49</v>
      </c>
      <c r="K15" s="21">
        <v>6375.0</v>
      </c>
      <c r="L15" s="611">
        <v>7523.0</v>
      </c>
      <c r="M15" s="5">
        <v>54.0</v>
      </c>
      <c r="N15" s="679">
        <f t="shared" si="1"/>
        <v>3442.5</v>
      </c>
    </row>
    <row r="16">
      <c r="A16" s="593">
        <v>14.0</v>
      </c>
      <c r="B16" s="232">
        <v>45455.0</v>
      </c>
      <c r="C16" s="8" t="s">
        <v>12413</v>
      </c>
      <c r="D16" s="131" t="s">
        <v>21</v>
      </c>
      <c r="E16" s="8" t="s">
        <v>8970</v>
      </c>
      <c r="F16" s="8" t="s">
        <v>12414</v>
      </c>
      <c r="G16" s="21">
        <v>5700.0</v>
      </c>
      <c r="H16" s="223">
        <v>45820.0</v>
      </c>
      <c r="I16" s="8" t="s">
        <v>65</v>
      </c>
      <c r="J16" s="8" t="s">
        <v>26</v>
      </c>
      <c r="K16" s="21">
        <v>16199.0</v>
      </c>
      <c r="L16" s="611">
        <v>18153.0</v>
      </c>
      <c r="M16" s="5">
        <v>48.0</v>
      </c>
      <c r="N16" s="679">
        <f t="shared" si="1"/>
        <v>7775.52</v>
      </c>
    </row>
    <row r="17">
      <c r="A17" s="593">
        <v>15.0</v>
      </c>
      <c r="B17" s="232">
        <v>45455.0</v>
      </c>
      <c r="C17" s="8" t="s">
        <v>214</v>
      </c>
      <c r="D17" s="131" t="s">
        <v>1405</v>
      </c>
      <c r="E17" s="8" t="s">
        <v>1458</v>
      </c>
      <c r="F17" s="8" t="s">
        <v>12415</v>
      </c>
      <c r="G17" s="21">
        <v>995.0</v>
      </c>
      <c r="H17" s="215">
        <v>45789.0</v>
      </c>
      <c r="I17" s="8" t="s">
        <v>78</v>
      </c>
      <c r="J17" s="8" t="s">
        <v>49</v>
      </c>
      <c r="K17" s="97">
        <v>5394.12</v>
      </c>
      <c r="L17" s="610">
        <v>6096.0</v>
      </c>
      <c r="M17" s="5">
        <v>57.0</v>
      </c>
      <c r="N17" s="679">
        <f t="shared" si="1"/>
        <v>3074.6484</v>
      </c>
    </row>
    <row r="18">
      <c r="A18" s="593">
        <v>16.0</v>
      </c>
      <c r="B18" s="232">
        <v>45455.0</v>
      </c>
      <c r="C18" s="8" t="s">
        <v>208</v>
      </c>
      <c r="D18" s="131" t="s">
        <v>1405</v>
      </c>
      <c r="E18" s="8" t="s">
        <v>1458</v>
      </c>
      <c r="F18" s="8" t="s">
        <v>12415</v>
      </c>
      <c r="G18" s="21">
        <v>995.0</v>
      </c>
      <c r="H18" s="215">
        <v>45820.0</v>
      </c>
      <c r="I18" s="8" t="s">
        <v>78</v>
      </c>
      <c r="J18" s="8" t="s">
        <v>49</v>
      </c>
      <c r="K18" s="97">
        <v>5224.13</v>
      </c>
      <c r="L18" s="610">
        <v>5895.0</v>
      </c>
      <c r="M18" s="5">
        <v>57.0</v>
      </c>
      <c r="N18" s="679">
        <f t="shared" si="1"/>
        <v>2977.7541</v>
      </c>
    </row>
    <row r="19">
      <c r="A19" s="593">
        <v>17.0</v>
      </c>
      <c r="B19" s="232">
        <v>45455.0</v>
      </c>
      <c r="C19" s="8" t="s">
        <v>5801</v>
      </c>
      <c r="D19" s="131" t="s">
        <v>1405</v>
      </c>
      <c r="E19" s="8" t="s">
        <v>12416</v>
      </c>
      <c r="F19" s="8" t="s">
        <v>12417</v>
      </c>
      <c r="G19" s="21">
        <v>995.0</v>
      </c>
      <c r="H19" s="215">
        <v>45789.0</v>
      </c>
      <c r="I19" s="8" t="s">
        <v>78</v>
      </c>
      <c r="J19" s="8" t="s">
        <v>49</v>
      </c>
      <c r="K19" s="97">
        <v>5560.7</v>
      </c>
      <c r="L19" s="610">
        <v>6292.0</v>
      </c>
      <c r="M19" s="5">
        <v>57.0</v>
      </c>
      <c r="N19" s="679">
        <f t="shared" si="1"/>
        <v>3169.599</v>
      </c>
    </row>
    <row r="20">
      <c r="A20" s="593">
        <v>18.0</v>
      </c>
      <c r="B20" s="232">
        <v>45455.0</v>
      </c>
      <c r="C20" s="8" t="s">
        <v>6078</v>
      </c>
      <c r="D20" s="131" t="s">
        <v>1405</v>
      </c>
      <c r="E20" s="8" t="s">
        <v>12416</v>
      </c>
      <c r="F20" s="8" t="s">
        <v>12418</v>
      </c>
      <c r="G20" s="21">
        <v>995.0</v>
      </c>
      <c r="H20" s="8" t="s">
        <v>1934</v>
      </c>
      <c r="I20" s="8" t="s">
        <v>78</v>
      </c>
      <c r="J20" s="8" t="s">
        <v>49</v>
      </c>
      <c r="K20" s="97">
        <v>5106.98</v>
      </c>
      <c r="L20" s="610">
        <v>5757.0</v>
      </c>
      <c r="M20" s="5">
        <v>57.0</v>
      </c>
      <c r="N20" s="679">
        <f t="shared" si="1"/>
        <v>2910.9786</v>
      </c>
    </row>
    <row r="21">
      <c r="A21" s="593">
        <v>19.0</v>
      </c>
      <c r="B21" s="232">
        <v>45455.0</v>
      </c>
      <c r="C21" s="131" t="s">
        <v>12419</v>
      </c>
      <c r="D21" s="131" t="s">
        <v>1432</v>
      </c>
      <c r="E21" s="8" t="s">
        <v>9151</v>
      </c>
      <c r="F21" s="8" t="s">
        <v>12420</v>
      </c>
      <c r="G21" s="21">
        <v>236.0</v>
      </c>
      <c r="H21" s="215">
        <v>45820.0</v>
      </c>
      <c r="I21" s="131" t="s">
        <v>1424</v>
      </c>
      <c r="J21" s="8" t="s">
        <v>49</v>
      </c>
      <c r="K21" s="21">
        <v>6391.0</v>
      </c>
      <c r="L21" s="611">
        <v>7541.0</v>
      </c>
      <c r="M21" s="5">
        <v>54.0</v>
      </c>
      <c r="N21" s="679">
        <f t="shared" si="1"/>
        <v>3451.14</v>
      </c>
    </row>
    <row r="22">
      <c r="A22" s="593">
        <v>20.0</v>
      </c>
      <c r="B22" s="232">
        <v>45455.0</v>
      </c>
      <c r="C22" s="8" t="s">
        <v>12421</v>
      </c>
      <c r="D22" s="131" t="s">
        <v>1432</v>
      </c>
      <c r="E22" s="8" t="s">
        <v>9151</v>
      </c>
      <c r="F22" s="8" t="s">
        <v>12422</v>
      </c>
      <c r="G22" s="21">
        <v>236.0</v>
      </c>
      <c r="H22" s="215">
        <v>45789.0</v>
      </c>
      <c r="I22" s="131" t="s">
        <v>1424</v>
      </c>
      <c r="J22" s="8" t="s">
        <v>49</v>
      </c>
      <c r="K22" s="21">
        <v>6599.0</v>
      </c>
      <c r="L22" s="611">
        <v>7787.0</v>
      </c>
      <c r="M22" s="5">
        <v>54.0</v>
      </c>
      <c r="N22" s="679">
        <f t="shared" si="1"/>
        <v>3563.46</v>
      </c>
    </row>
    <row r="23">
      <c r="A23" s="593">
        <v>21.0</v>
      </c>
      <c r="B23" s="232">
        <v>45455.0</v>
      </c>
      <c r="C23" s="8" t="s">
        <v>12423</v>
      </c>
      <c r="D23" s="131" t="s">
        <v>1432</v>
      </c>
      <c r="E23" s="8" t="s">
        <v>9151</v>
      </c>
      <c r="F23" s="8" t="s">
        <v>12424</v>
      </c>
      <c r="G23" s="21">
        <v>236.0</v>
      </c>
      <c r="H23" s="215">
        <v>45789.0</v>
      </c>
      <c r="I23" s="131" t="s">
        <v>1424</v>
      </c>
      <c r="J23" s="8" t="s">
        <v>49</v>
      </c>
      <c r="K23" s="21">
        <v>6344.0</v>
      </c>
      <c r="L23" s="611">
        <v>7486.0</v>
      </c>
      <c r="M23" s="5">
        <v>54.0</v>
      </c>
      <c r="N23" s="679">
        <f t="shared" si="1"/>
        <v>3425.76</v>
      </c>
    </row>
    <row r="24">
      <c r="A24" s="593">
        <v>22.0</v>
      </c>
      <c r="B24" s="232">
        <v>45455.0</v>
      </c>
      <c r="C24" s="8" t="s">
        <v>8304</v>
      </c>
      <c r="D24" s="131" t="s">
        <v>1395</v>
      </c>
      <c r="E24" s="8" t="s">
        <v>12425</v>
      </c>
      <c r="F24" s="8" t="s">
        <v>12426</v>
      </c>
      <c r="G24" s="21">
        <v>2670.0</v>
      </c>
      <c r="H24" s="215">
        <v>45820.0</v>
      </c>
      <c r="I24" s="131" t="s">
        <v>1424</v>
      </c>
      <c r="J24" s="8" t="s">
        <v>49</v>
      </c>
      <c r="K24" s="21">
        <v>17381.0</v>
      </c>
      <c r="L24" s="611">
        <v>19547.0</v>
      </c>
      <c r="M24" s="5">
        <v>54.0</v>
      </c>
      <c r="N24" s="679">
        <f t="shared" si="1"/>
        <v>9385.74</v>
      </c>
    </row>
    <row r="25">
      <c r="A25" s="593">
        <v>23.0</v>
      </c>
      <c r="B25" s="232">
        <v>45455.0</v>
      </c>
      <c r="C25" s="8" t="s">
        <v>12427</v>
      </c>
      <c r="D25" s="131" t="s">
        <v>1432</v>
      </c>
      <c r="E25" s="8" t="s">
        <v>9883</v>
      </c>
      <c r="F25" s="8" t="s">
        <v>8233</v>
      </c>
      <c r="G25" s="21">
        <v>145.0</v>
      </c>
      <c r="H25" s="215">
        <v>45789.0</v>
      </c>
      <c r="I25" s="131" t="s">
        <v>1424</v>
      </c>
      <c r="J25" s="8" t="s">
        <v>49</v>
      </c>
      <c r="K25" s="21">
        <v>6464.0</v>
      </c>
      <c r="L25" s="611">
        <v>7628.0</v>
      </c>
      <c r="M25" s="5">
        <v>54.0</v>
      </c>
      <c r="N25" s="679">
        <f t="shared" si="1"/>
        <v>3490.56</v>
      </c>
    </row>
    <row r="26">
      <c r="A26" s="593">
        <v>24.0</v>
      </c>
      <c r="B26" s="232">
        <v>45485.0</v>
      </c>
      <c r="C26" s="131" t="s">
        <v>12428</v>
      </c>
      <c r="D26" s="131" t="s">
        <v>1395</v>
      </c>
      <c r="E26" s="8" t="s">
        <v>9389</v>
      </c>
      <c r="F26" s="8" t="s">
        <v>12429</v>
      </c>
      <c r="G26" s="21">
        <v>2750.0</v>
      </c>
      <c r="H26" s="215">
        <v>45820.0</v>
      </c>
      <c r="I26" s="8" t="s">
        <v>116</v>
      </c>
      <c r="J26" s="8" t="s">
        <v>49</v>
      </c>
      <c r="K26" s="97">
        <v>19878.0</v>
      </c>
      <c r="L26" s="610">
        <v>22488.0</v>
      </c>
      <c r="M26" s="5">
        <v>50.0</v>
      </c>
      <c r="N26" s="679">
        <f t="shared" si="1"/>
        <v>9939</v>
      </c>
    </row>
    <row r="27">
      <c r="A27" s="593">
        <v>25.0</v>
      </c>
      <c r="B27" s="232">
        <v>45485.0</v>
      </c>
      <c r="C27" s="133" t="s">
        <v>8273</v>
      </c>
      <c r="D27" s="131" t="s">
        <v>1395</v>
      </c>
      <c r="E27" s="8" t="s">
        <v>6269</v>
      </c>
      <c r="F27" s="8" t="s">
        <v>12430</v>
      </c>
      <c r="G27" s="21">
        <v>1550.0</v>
      </c>
      <c r="H27" s="215">
        <v>45881.0</v>
      </c>
      <c r="I27" s="131" t="s">
        <v>70</v>
      </c>
      <c r="J27" s="8" t="s">
        <v>49</v>
      </c>
      <c r="K27" s="97">
        <v>16799.0</v>
      </c>
      <c r="L27" s="610">
        <v>18860.0</v>
      </c>
      <c r="M27" s="5">
        <v>62.0</v>
      </c>
      <c r="N27" s="679">
        <f t="shared" si="1"/>
        <v>10415.38</v>
      </c>
    </row>
    <row r="28">
      <c r="A28" s="593">
        <v>26.0</v>
      </c>
      <c r="B28" s="232">
        <v>45485.0</v>
      </c>
      <c r="C28" s="8" t="s">
        <v>12431</v>
      </c>
      <c r="D28" s="131" t="s">
        <v>1432</v>
      </c>
      <c r="E28" s="8" t="s">
        <v>9151</v>
      </c>
      <c r="F28" s="8" t="s">
        <v>12432</v>
      </c>
      <c r="G28" s="21">
        <v>236.0</v>
      </c>
      <c r="H28" s="215">
        <v>45820.0</v>
      </c>
      <c r="I28" s="131" t="s">
        <v>1424</v>
      </c>
      <c r="J28" s="8" t="s">
        <v>49</v>
      </c>
      <c r="K28" s="21">
        <v>6424.0</v>
      </c>
      <c r="L28" s="611">
        <v>7580.0</v>
      </c>
      <c r="M28" s="5">
        <v>54.0</v>
      </c>
      <c r="N28" s="679">
        <f t="shared" si="1"/>
        <v>3468.96</v>
      </c>
    </row>
    <row r="29">
      <c r="A29" s="593">
        <v>27.0</v>
      </c>
      <c r="B29" s="232">
        <v>45485.0</v>
      </c>
      <c r="C29" s="8" t="s">
        <v>8372</v>
      </c>
      <c r="D29" s="131" t="s">
        <v>1432</v>
      </c>
      <c r="E29" s="8" t="s">
        <v>12433</v>
      </c>
      <c r="F29" s="8" t="s">
        <v>12434</v>
      </c>
      <c r="G29" s="21">
        <v>236.0</v>
      </c>
      <c r="H29" s="8" t="s">
        <v>6378</v>
      </c>
      <c r="I29" s="131" t="s">
        <v>1424</v>
      </c>
      <c r="J29" s="8" t="s">
        <v>26</v>
      </c>
      <c r="K29" s="21">
        <v>5883.0</v>
      </c>
      <c r="L29" s="611">
        <v>6941.0</v>
      </c>
      <c r="M29" s="5">
        <v>54.0</v>
      </c>
      <c r="N29" s="679">
        <f t="shared" si="1"/>
        <v>3176.82</v>
      </c>
    </row>
    <row r="30">
      <c r="A30" s="593">
        <v>28.0</v>
      </c>
      <c r="B30" s="232">
        <v>45485.0</v>
      </c>
      <c r="C30" s="8" t="s">
        <v>12435</v>
      </c>
      <c r="D30" s="131" t="s">
        <v>1432</v>
      </c>
      <c r="E30" s="8" t="s">
        <v>9151</v>
      </c>
      <c r="F30" s="8" t="s">
        <v>12436</v>
      </c>
      <c r="G30" s="21">
        <v>236.0</v>
      </c>
      <c r="H30" s="215">
        <v>45820.0</v>
      </c>
      <c r="I30" s="131" t="s">
        <v>1424</v>
      </c>
      <c r="J30" s="8" t="s">
        <v>49</v>
      </c>
      <c r="K30" s="21">
        <v>6392.0</v>
      </c>
      <c r="L30" s="611">
        <v>7542.0</v>
      </c>
      <c r="M30" s="5">
        <v>54.0</v>
      </c>
      <c r="N30" s="679">
        <f t="shared" si="1"/>
        <v>3451.68</v>
      </c>
    </row>
    <row r="31">
      <c r="A31" s="593">
        <v>29.0</v>
      </c>
      <c r="B31" s="232">
        <v>45485.0</v>
      </c>
      <c r="C31" s="8" t="s">
        <v>12437</v>
      </c>
      <c r="D31" s="8" t="s">
        <v>21</v>
      </c>
      <c r="E31" s="21">
        <v>10.59</v>
      </c>
      <c r="F31" s="8" t="s">
        <v>12438</v>
      </c>
      <c r="G31" s="21">
        <v>6250.0</v>
      </c>
      <c r="H31" s="223">
        <v>45881.0</v>
      </c>
      <c r="I31" s="8" t="s">
        <v>65</v>
      </c>
      <c r="J31" s="8" t="s">
        <v>26</v>
      </c>
      <c r="K31" s="21">
        <v>16199.0</v>
      </c>
      <c r="L31" s="611">
        <v>18153.0</v>
      </c>
      <c r="M31" s="5">
        <v>48.0</v>
      </c>
      <c r="N31" s="679">
        <f t="shared" si="1"/>
        <v>7775.52</v>
      </c>
    </row>
    <row r="32">
      <c r="A32" s="593">
        <v>30.0</v>
      </c>
      <c r="B32" s="232">
        <v>45516.0</v>
      </c>
      <c r="C32" s="133" t="s">
        <v>12439</v>
      </c>
      <c r="D32" s="131" t="s">
        <v>1432</v>
      </c>
      <c r="E32" s="8" t="s">
        <v>9151</v>
      </c>
      <c r="F32" s="8" t="s">
        <v>12440</v>
      </c>
      <c r="G32" s="21">
        <v>236.0</v>
      </c>
      <c r="H32" s="215">
        <v>45850.0</v>
      </c>
      <c r="I32" s="131" t="s">
        <v>1424</v>
      </c>
      <c r="J32" s="8" t="s">
        <v>49</v>
      </c>
      <c r="K32" s="21">
        <v>6325.0</v>
      </c>
      <c r="L32" s="611">
        <v>7463.0</v>
      </c>
      <c r="M32" s="5">
        <v>54.0</v>
      </c>
      <c r="N32" s="679">
        <f t="shared" si="1"/>
        <v>3415.5</v>
      </c>
    </row>
    <row r="33">
      <c r="A33" s="593">
        <v>31.0</v>
      </c>
      <c r="B33" s="232">
        <v>45516.0</v>
      </c>
      <c r="C33" s="8" t="s">
        <v>6372</v>
      </c>
      <c r="D33" s="131" t="s">
        <v>1395</v>
      </c>
      <c r="E33" s="8" t="s">
        <v>12441</v>
      </c>
      <c r="F33" s="8" t="s">
        <v>6374</v>
      </c>
      <c r="G33" s="21">
        <v>3490.0</v>
      </c>
      <c r="H33" s="215">
        <v>45881.0</v>
      </c>
      <c r="I33" s="8" t="s">
        <v>116</v>
      </c>
      <c r="J33" s="8" t="s">
        <v>49</v>
      </c>
      <c r="K33" s="21">
        <v>20744.0</v>
      </c>
      <c r="L33" s="611">
        <v>23510.0</v>
      </c>
      <c r="M33" s="5">
        <v>50.0</v>
      </c>
      <c r="N33" s="679">
        <f t="shared" si="1"/>
        <v>10372</v>
      </c>
    </row>
    <row r="34">
      <c r="A34" s="593">
        <v>32.0</v>
      </c>
      <c r="B34" s="232">
        <v>45516.0</v>
      </c>
      <c r="C34" s="8" t="s">
        <v>6019</v>
      </c>
      <c r="D34" s="131" t="s">
        <v>1395</v>
      </c>
      <c r="E34" s="8" t="s">
        <v>2116</v>
      </c>
      <c r="F34" s="8" t="s">
        <v>12442</v>
      </c>
      <c r="G34" s="21">
        <v>1600.0</v>
      </c>
      <c r="H34" s="215">
        <v>45912.0</v>
      </c>
      <c r="I34" s="131" t="s">
        <v>1424</v>
      </c>
      <c r="J34" s="8" t="s">
        <v>49</v>
      </c>
      <c r="K34" s="21">
        <v>21363.0</v>
      </c>
      <c r="L34" s="611">
        <v>21363.0</v>
      </c>
      <c r="M34" s="5">
        <v>54.0</v>
      </c>
      <c r="N34" s="679">
        <f t="shared" si="1"/>
        <v>11536.02</v>
      </c>
    </row>
    <row r="35">
      <c r="A35" s="593">
        <v>33.0</v>
      </c>
      <c r="B35" s="232">
        <v>45577.0</v>
      </c>
      <c r="C35" s="8" t="s">
        <v>12443</v>
      </c>
      <c r="D35" s="131" t="s">
        <v>1405</v>
      </c>
      <c r="E35" s="8" t="s">
        <v>1458</v>
      </c>
      <c r="F35" s="8" t="s">
        <v>12444</v>
      </c>
      <c r="G35" s="21">
        <v>995.0</v>
      </c>
      <c r="H35" s="215">
        <v>45912.0</v>
      </c>
      <c r="I35" s="131" t="s">
        <v>78</v>
      </c>
      <c r="J35" s="8" t="s">
        <v>49</v>
      </c>
      <c r="K35" s="97">
        <v>5235.7</v>
      </c>
      <c r="L35" s="610">
        <v>5909.0</v>
      </c>
      <c r="M35" s="5">
        <v>57.0</v>
      </c>
      <c r="N35" s="679">
        <f t="shared" si="1"/>
        <v>2984.349</v>
      </c>
    </row>
    <row r="36">
      <c r="A36" s="593">
        <v>34.0</v>
      </c>
      <c r="B36" s="659">
        <v>45577.0</v>
      </c>
      <c r="C36" s="8" t="s">
        <v>5857</v>
      </c>
      <c r="D36" s="131" t="s">
        <v>1405</v>
      </c>
      <c r="E36" s="8" t="s">
        <v>1458</v>
      </c>
      <c r="F36" s="8" t="s">
        <v>12445</v>
      </c>
      <c r="G36" s="21">
        <v>995.0</v>
      </c>
      <c r="H36" s="639">
        <v>45973.0</v>
      </c>
      <c r="I36" s="131" t="s">
        <v>78</v>
      </c>
      <c r="J36" s="8" t="s">
        <v>49</v>
      </c>
      <c r="K36" s="97">
        <v>5196.0</v>
      </c>
      <c r="L36" s="610">
        <v>5862.0</v>
      </c>
      <c r="M36" s="5">
        <v>57.0</v>
      </c>
      <c r="N36" s="679">
        <f t="shared" si="1"/>
        <v>2961.72</v>
      </c>
    </row>
    <row r="37">
      <c r="A37" s="593">
        <v>35.0</v>
      </c>
      <c r="B37" s="659">
        <v>45577.0</v>
      </c>
      <c r="C37" s="8" t="s">
        <v>8315</v>
      </c>
      <c r="D37" s="131" t="s">
        <v>1432</v>
      </c>
      <c r="E37" s="8" t="s">
        <v>9151</v>
      </c>
      <c r="F37" s="8" t="s">
        <v>8316</v>
      </c>
      <c r="G37" s="21">
        <v>236.0</v>
      </c>
      <c r="H37" s="215">
        <v>45881.0</v>
      </c>
      <c r="I37" s="131" t="s">
        <v>1424</v>
      </c>
      <c r="J37" s="8" t="s">
        <v>49</v>
      </c>
      <c r="K37" s="21">
        <v>6206.0</v>
      </c>
      <c r="L37" s="611">
        <v>7324.0</v>
      </c>
      <c r="M37" s="5">
        <v>54.0</v>
      </c>
      <c r="N37" s="679">
        <f t="shared" si="1"/>
        <v>3351.24</v>
      </c>
    </row>
    <row r="38">
      <c r="A38" s="593">
        <v>36.0</v>
      </c>
      <c r="B38" s="659">
        <v>45577.0</v>
      </c>
      <c r="C38" s="8" t="s">
        <v>12446</v>
      </c>
      <c r="D38" s="131" t="s">
        <v>1395</v>
      </c>
      <c r="E38" s="8" t="s">
        <v>12447</v>
      </c>
      <c r="F38" s="8" t="s">
        <v>12448</v>
      </c>
      <c r="G38" s="21">
        <v>2960.0</v>
      </c>
      <c r="H38" s="639">
        <v>45973.0</v>
      </c>
      <c r="I38" s="8" t="s">
        <v>25</v>
      </c>
      <c r="J38" s="8" t="s">
        <v>49</v>
      </c>
      <c r="K38" s="97">
        <v>17948.0</v>
      </c>
      <c r="L38" s="610">
        <v>20216.0</v>
      </c>
      <c r="M38" s="5">
        <v>52.0</v>
      </c>
      <c r="N38" s="679">
        <f t="shared" si="1"/>
        <v>9332.96</v>
      </c>
    </row>
    <row r="39">
      <c r="A39" s="593">
        <v>37.0</v>
      </c>
      <c r="B39" s="659">
        <v>45577.0</v>
      </c>
      <c r="C39" s="133" t="s">
        <v>6042</v>
      </c>
      <c r="D39" s="131" t="s">
        <v>1405</v>
      </c>
      <c r="E39" s="8" t="s">
        <v>1479</v>
      </c>
      <c r="F39" s="8" t="s">
        <v>12449</v>
      </c>
      <c r="G39" s="21">
        <v>990.0</v>
      </c>
      <c r="H39" s="215">
        <v>45912.0</v>
      </c>
      <c r="I39" s="131" t="s">
        <v>1419</v>
      </c>
      <c r="J39" s="8" t="s">
        <v>49</v>
      </c>
      <c r="K39" s="21">
        <v>5394.0</v>
      </c>
      <c r="L39" s="611">
        <v>6096.0</v>
      </c>
      <c r="M39" s="5">
        <v>57.0</v>
      </c>
      <c r="N39" s="679">
        <f t="shared" si="1"/>
        <v>3074.58</v>
      </c>
    </row>
    <row r="40">
      <c r="A40" s="593">
        <v>38.0</v>
      </c>
      <c r="B40" s="659">
        <v>45577.0</v>
      </c>
      <c r="C40" s="8" t="s">
        <v>12450</v>
      </c>
      <c r="D40" s="131" t="s">
        <v>1432</v>
      </c>
      <c r="E40" s="8" t="s">
        <v>9151</v>
      </c>
      <c r="F40" s="8" t="s">
        <v>12451</v>
      </c>
      <c r="G40" s="21">
        <v>236.0</v>
      </c>
      <c r="H40" s="215">
        <v>45912.0</v>
      </c>
      <c r="I40" s="131" t="s">
        <v>1424</v>
      </c>
      <c r="J40" s="8" t="s">
        <v>49</v>
      </c>
      <c r="K40" s="21">
        <v>6391.0</v>
      </c>
      <c r="L40" s="611">
        <v>7541.0</v>
      </c>
      <c r="M40" s="5">
        <v>54.0</v>
      </c>
      <c r="N40" s="679">
        <f t="shared" si="1"/>
        <v>3451.14</v>
      </c>
    </row>
    <row r="41">
      <c r="A41" s="593">
        <v>39.0</v>
      </c>
      <c r="B41" s="659">
        <v>45577.0</v>
      </c>
      <c r="C41" s="8" t="s">
        <v>12452</v>
      </c>
      <c r="D41" s="131" t="s">
        <v>1395</v>
      </c>
      <c r="E41" s="8" t="s">
        <v>6293</v>
      </c>
      <c r="F41" s="8" t="s">
        <v>12453</v>
      </c>
      <c r="G41" s="21">
        <v>3460.0</v>
      </c>
      <c r="H41" s="639">
        <v>45942.0</v>
      </c>
      <c r="I41" s="8" t="s">
        <v>116</v>
      </c>
      <c r="J41" s="8" t="s">
        <v>49</v>
      </c>
      <c r="K41" s="97">
        <v>21858.0</v>
      </c>
      <c r="L41" s="610">
        <v>24824.0</v>
      </c>
      <c r="M41" s="5">
        <v>50.0</v>
      </c>
      <c r="N41" s="679">
        <f t="shared" si="1"/>
        <v>10929</v>
      </c>
    </row>
    <row r="42">
      <c r="A42" s="593">
        <v>40.0</v>
      </c>
      <c r="B42" s="639">
        <v>45577.0</v>
      </c>
      <c r="C42" s="8" t="s">
        <v>12454</v>
      </c>
      <c r="D42" s="131" t="s">
        <v>1395</v>
      </c>
      <c r="E42" s="8" t="s">
        <v>2116</v>
      </c>
      <c r="F42" s="8" t="s">
        <v>12455</v>
      </c>
      <c r="G42" s="21">
        <v>1600.0</v>
      </c>
      <c r="H42" s="215">
        <v>45912.0</v>
      </c>
      <c r="I42" s="131" t="s">
        <v>1424</v>
      </c>
      <c r="J42" s="8" t="s">
        <v>49</v>
      </c>
      <c r="K42" s="21">
        <v>19593.0</v>
      </c>
      <c r="L42" s="611">
        <v>22157.0</v>
      </c>
      <c r="M42" s="5">
        <v>54.0</v>
      </c>
      <c r="N42" s="679">
        <f t="shared" si="1"/>
        <v>10580.22</v>
      </c>
    </row>
    <row r="43">
      <c r="A43" s="593">
        <v>41.0</v>
      </c>
      <c r="B43" s="639">
        <v>45608.0</v>
      </c>
      <c r="C43" s="8" t="s">
        <v>12456</v>
      </c>
      <c r="D43" s="8" t="s">
        <v>1432</v>
      </c>
      <c r="E43" s="8" t="s">
        <v>12457</v>
      </c>
      <c r="F43" s="8" t="s">
        <v>12458</v>
      </c>
      <c r="G43" s="21">
        <v>199.0</v>
      </c>
      <c r="H43" s="639">
        <v>45973.0</v>
      </c>
      <c r="I43" s="8" t="s">
        <v>1424</v>
      </c>
      <c r="J43" s="8" t="s">
        <v>49</v>
      </c>
      <c r="K43" s="21">
        <v>6512.0</v>
      </c>
      <c r="L43" s="611">
        <v>7684.0</v>
      </c>
      <c r="M43" s="5">
        <v>54.0</v>
      </c>
      <c r="N43" s="679">
        <f t="shared" si="1"/>
        <v>3516.48</v>
      </c>
    </row>
    <row r="44">
      <c r="A44" s="593">
        <v>42.0</v>
      </c>
      <c r="B44" s="639">
        <v>45608.0</v>
      </c>
      <c r="C44" s="8" t="s">
        <v>6722</v>
      </c>
      <c r="D44" s="8" t="s">
        <v>1395</v>
      </c>
      <c r="E44" s="8" t="s">
        <v>2789</v>
      </c>
      <c r="F44" s="8" t="s">
        <v>8308</v>
      </c>
      <c r="G44" s="21">
        <v>2700.0</v>
      </c>
      <c r="H44" s="639">
        <v>46003.0</v>
      </c>
      <c r="I44" s="8" t="s">
        <v>1424</v>
      </c>
      <c r="J44" s="8" t="s">
        <v>49</v>
      </c>
      <c r="K44" s="21">
        <v>17288.0</v>
      </c>
      <c r="L44" s="611">
        <v>19438.0</v>
      </c>
      <c r="M44" s="5">
        <v>54.0</v>
      </c>
      <c r="N44" s="679">
        <f t="shared" si="1"/>
        <v>9335.52</v>
      </c>
    </row>
    <row r="45">
      <c r="A45" s="593">
        <v>43.0</v>
      </c>
      <c r="B45" s="639">
        <v>45638.0</v>
      </c>
      <c r="C45" s="133" t="s">
        <v>12459</v>
      </c>
      <c r="D45" s="8" t="s">
        <v>1405</v>
      </c>
      <c r="E45" s="8" t="s">
        <v>1506</v>
      </c>
      <c r="F45" s="8" t="s">
        <v>12460</v>
      </c>
      <c r="G45" s="21">
        <v>990.0</v>
      </c>
      <c r="H45" s="639">
        <v>45973.0</v>
      </c>
      <c r="I45" s="8" t="s">
        <v>1419</v>
      </c>
      <c r="J45" s="8" t="s">
        <v>49</v>
      </c>
      <c r="K45" s="21">
        <v>5394.0</v>
      </c>
      <c r="L45" s="611">
        <v>6096.0</v>
      </c>
      <c r="M45" s="5">
        <v>57.0</v>
      </c>
      <c r="N45" s="679">
        <f t="shared" si="1"/>
        <v>3074.58</v>
      </c>
    </row>
    <row r="46">
      <c r="A46" s="593">
        <v>44.0</v>
      </c>
      <c r="B46" s="639">
        <v>45638.0</v>
      </c>
      <c r="C46" s="8" t="s">
        <v>8339</v>
      </c>
      <c r="D46" s="8" t="s">
        <v>1432</v>
      </c>
      <c r="E46" s="8" t="s">
        <v>9151</v>
      </c>
      <c r="F46" s="8" t="s">
        <v>8340</v>
      </c>
      <c r="G46" s="21">
        <v>236.0</v>
      </c>
      <c r="H46" s="639">
        <v>46003.0</v>
      </c>
      <c r="I46" s="8" t="s">
        <v>1424</v>
      </c>
      <c r="J46" s="8" t="s">
        <v>49</v>
      </c>
      <c r="K46" s="21">
        <v>6223.0</v>
      </c>
      <c r="L46" s="611">
        <v>7343.0</v>
      </c>
      <c r="M46" s="5">
        <v>54.0</v>
      </c>
      <c r="N46" s="679">
        <f t="shared" si="1"/>
        <v>3360.42</v>
      </c>
    </row>
    <row r="47">
      <c r="A47" s="593">
        <v>45.0</v>
      </c>
      <c r="B47" s="639">
        <v>45638.0</v>
      </c>
      <c r="C47" s="8" t="s">
        <v>6698</v>
      </c>
      <c r="D47" s="8" t="s">
        <v>1395</v>
      </c>
      <c r="E47" s="8" t="s">
        <v>1969</v>
      </c>
      <c r="F47" s="8" t="s">
        <v>12461</v>
      </c>
      <c r="G47" s="21">
        <v>2880.0</v>
      </c>
      <c r="H47" s="639">
        <v>45973.0</v>
      </c>
      <c r="I47" s="8" t="s">
        <v>9300</v>
      </c>
      <c r="J47" s="8" t="s">
        <v>49</v>
      </c>
      <c r="K47" s="21">
        <v>17446.0</v>
      </c>
      <c r="L47" s="611">
        <v>19624.0</v>
      </c>
      <c r="M47" s="5">
        <v>54.0</v>
      </c>
      <c r="N47" s="679">
        <f t="shared" si="1"/>
        <v>9420.84</v>
      </c>
    </row>
    <row r="48">
      <c r="A48" s="593">
        <v>46.0</v>
      </c>
      <c r="B48" s="8" t="s">
        <v>1553</v>
      </c>
      <c r="C48" s="133" t="s">
        <v>5853</v>
      </c>
      <c r="D48" s="8" t="s">
        <v>1405</v>
      </c>
      <c r="E48" s="8" t="s">
        <v>1655</v>
      </c>
      <c r="F48" s="8" t="s">
        <v>12462</v>
      </c>
      <c r="G48" s="21">
        <v>995.0</v>
      </c>
      <c r="H48" s="8" t="s">
        <v>1934</v>
      </c>
      <c r="I48" s="8" t="s">
        <v>78</v>
      </c>
      <c r="J48" s="8" t="s">
        <v>49</v>
      </c>
      <c r="K48" s="97">
        <v>5478.06</v>
      </c>
      <c r="L48" s="610">
        <v>6195.0</v>
      </c>
      <c r="M48" s="5">
        <v>57.0</v>
      </c>
      <c r="N48" s="679">
        <f t="shared" si="1"/>
        <v>3122.4942</v>
      </c>
    </row>
    <row r="49">
      <c r="A49" s="593">
        <v>47.0</v>
      </c>
      <c r="B49" s="8" t="s">
        <v>8090</v>
      </c>
      <c r="C49" s="8" t="s">
        <v>5918</v>
      </c>
      <c r="D49" s="8" t="s">
        <v>1395</v>
      </c>
      <c r="E49" s="8" t="s">
        <v>2116</v>
      </c>
      <c r="F49" s="8" t="s">
        <v>12463</v>
      </c>
      <c r="G49" s="21">
        <v>1600.0</v>
      </c>
      <c r="H49" s="8" t="s">
        <v>5860</v>
      </c>
      <c r="I49" s="8" t="s">
        <v>1424</v>
      </c>
      <c r="J49" s="8" t="s">
        <v>49</v>
      </c>
      <c r="K49" s="97">
        <v>20154.0</v>
      </c>
      <c r="L49" s="610">
        <v>22818.0</v>
      </c>
      <c r="M49" s="5">
        <v>54.0</v>
      </c>
      <c r="N49" s="679">
        <f t="shared" si="1"/>
        <v>10883.16</v>
      </c>
    </row>
    <row r="50">
      <c r="A50" s="593">
        <v>48.0</v>
      </c>
      <c r="B50" s="8" t="s">
        <v>8090</v>
      </c>
      <c r="C50" s="131" t="s">
        <v>6379</v>
      </c>
      <c r="D50" s="8" t="s">
        <v>1395</v>
      </c>
      <c r="E50" s="8" t="s">
        <v>2116</v>
      </c>
      <c r="F50" s="8" t="s">
        <v>12464</v>
      </c>
      <c r="G50" s="21">
        <v>1600.0</v>
      </c>
      <c r="H50" s="639">
        <v>46003.0</v>
      </c>
      <c r="I50" s="8" t="s">
        <v>1424</v>
      </c>
      <c r="J50" s="8" t="s">
        <v>49</v>
      </c>
      <c r="K50" s="97">
        <v>19706.0</v>
      </c>
      <c r="L50" s="610">
        <v>22290.0</v>
      </c>
      <c r="M50" s="5">
        <v>54.0</v>
      </c>
      <c r="N50" s="679">
        <f t="shared" si="1"/>
        <v>10641.24</v>
      </c>
    </row>
    <row r="51">
      <c r="A51" s="593">
        <v>49.0</v>
      </c>
      <c r="B51" s="8" t="s">
        <v>8090</v>
      </c>
      <c r="C51" s="8" t="s">
        <v>12465</v>
      </c>
      <c r="D51" s="8" t="s">
        <v>1395</v>
      </c>
      <c r="E51" s="8" t="s">
        <v>12466</v>
      </c>
      <c r="F51" s="8" t="s">
        <v>12467</v>
      </c>
      <c r="G51" s="21">
        <v>2670.0</v>
      </c>
      <c r="H51" s="8" t="s">
        <v>1934</v>
      </c>
      <c r="I51" s="8" t="s">
        <v>9300</v>
      </c>
      <c r="J51" s="8" t="s">
        <v>49</v>
      </c>
      <c r="K51" s="21">
        <v>20154.0</v>
      </c>
      <c r="L51" s="611">
        <v>22820.0</v>
      </c>
      <c r="M51" s="5">
        <v>54.0</v>
      </c>
      <c r="N51" s="679">
        <f t="shared" si="1"/>
        <v>10883.16</v>
      </c>
    </row>
    <row r="52">
      <c r="A52" s="593">
        <v>50.0</v>
      </c>
      <c r="B52" s="8" t="s">
        <v>8090</v>
      </c>
      <c r="C52" s="8" t="s">
        <v>12468</v>
      </c>
      <c r="D52" s="8" t="s">
        <v>1395</v>
      </c>
      <c r="E52" s="8" t="s">
        <v>12469</v>
      </c>
      <c r="F52" s="8" t="s">
        <v>12470</v>
      </c>
      <c r="G52" s="21">
        <v>2275.0</v>
      </c>
      <c r="H52" s="8" t="s">
        <v>6378</v>
      </c>
      <c r="I52" s="8" t="s">
        <v>1424</v>
      </c>
      <c r="J52" s="8" t="s">
        <v>49</v>
      </c>
      <c r="K52" s="97">
        <v>20157.0</v>
      </c>
      <c r="L52" s="610">
        <v>22823.0</v>
      </c>
      <c r="M52" s="5">
        <v>54.0</v>
      </c>
      <c r="N52" s="679">
        <f t="shared" si="1"/>
        <v>10884.78</v>
      </c>
    </row>
    <row r="53">
      <c r="A53" s="593">
        <v>51.0</v>
      </c>
      <c r="B53" s="8" t="s">
        <v>8090</v>
      </c>
      <c r="C53" s="8" t="s">
        <v>12471</v>
      </c>
      <c r="D53" s="8" t="s">
        <v>1395</v>
      </c>
      <c r="E53" s="8" t="s">
        <v>12472</v>
      </c>
      <c r="F53" s="8" t="s">
        <v>12473</v>
      </c>
      <c r="G53" s="21">
        <v>1493.0</v>
      </c>
      <c r="H53" s="8" t="s">
        <v>1934</v>
      </c>
      <c r="I53" s="8" t="s">
        <v>1424</v>
      </c>
      <c r="J53" s="8" t="s">
        <v>49</v>
      </c>
      <c r="K53" s="21">
        <v>32715.0</v>
      </c>
      <c r="L53" s="611">
        <v>38603.0</v>
      </c>
      <c r="M53" s="5">
        <v>54.0</v>
      </c>
      <c r="N53" s="679">
        <f t="shared" si="1"/>
        <v>17666.1</v>
      </c>
    </row>
    <row r="54">
      <c r="A54" s="593">
        <v>52.0</v>
      </c>
      <c r="B54" s="8" t="s">
        <v>8090</v>
      </c>
      <c r="C54" s="8" t="s">
        <v>6733</v>
      </c>
      <c r="D54" s="8" t="s">
        <v>1395</v>
      </c>
      <c r="E54" s="8" t="s">
        <v>2112</v>
      </c>
      <c r="F54" s="8" t="s">
        <v>12474</v>
      </c>
      <c r="G54" s="21">
        <v>1600.0</v>
      </c>
      <c r="H54" s="8" t="s">
        <v>5860</v>
      </c>
      <c r="I54" s="8" t="s">
        <v>1424</v>
      </c>
      <c r="J54" s="8" t="s">
        <v>49</v>
      </c>
      <c r="K54" s="21">
        <v>19277.0</v>
      </c>
      <c r="L54" s="611">
        <v>21785.0</v>
      </c>
      <c r="M54" s="5">
        <v>54.0</v>
      </c>
      <c r="N54" s="679">
        <f t="shared" si="1"/>
        <v>10409.58</v>
      </c>
    </row>
    <row r="55">
      <c r="A55" s="593">
        <v>53.0</v>
      </c>
      <c r="B55" s="8" t="s">
        <v>1930</v>
      </c>
      <c r="C55" s="8" t="s">
        <v>5959</v>
      </c>
      <c r="D55" s="8" t="s">
        <v>1395</v>
      </c>
      <c r="E55" s="8" t="s">
        <v>12475</v>
      </c>
      <c r="F55" s="8" t="s">
        <v>8436</v>
      </c>
      <c r="G55" s="21">
        <v>1305.0</v>
      </c>
      <c r="H55" s="8" t="s">
        <v>2317</v>
      </c>
      <c r="I55" s="8" t="s">
        <v>70</v>
      </c>
      <c r="J55" s="8" t="s">
        <v>49</v>
      </c>
      <c r="K55" s="97">
        <v>16921.0</v>
      </c>
      <c r="L55" s="610">
        <v>19004.0</v>
      </c>
      <c r="M55" s="5">
        <v>62.0</v>
      </c>
      <c r="N55" s="679">
        <f t="shared" si="1"/>
        <v>10491.02</v>
      </c>
    </row>
    <row r="56">
      <c r="A56" s="593">
        <v>54.0</v>
      </c>
      <c r="B56" s="8" t="s">
        <v>1930</v>
      </c>
      <c r="C56" s="133" t="s">
        <v>12476</v>
      </c>
      <c r="D56" s="8" t="s">
        <v>1395</v>
      </c>
      <c r="E56" s="8" t="s">
        <v>4799</v>
      </c>
      <c r="F56" s="8" t="s">
        <v>12477</v>
      </c>
      <c r="G56" s="21">
        <v>1630.0</v>
      </c>
      <c r="H56" s="8" t="s">
        <v>1934</v>
      </c>
      <c r="I56" s="8" t="s">
        <v>70</v>
      </c>
      <c r="J56" s="8" t="s">
        <v>49</v>
      </c>
      <c r="K56" s="97">
        <v>18418.0</v>
      </c>
      <c r="L56" s="610">
        <v>20770.0</v>
      </c>
      <c r="M56" s="5">
        <v>62.0</v>
      </c>
      <c r="N56" s="679">
        <f t="shared" si="1"/>
        <v>11419.16</v>
      </c>
    </row>
    <row r="57">
      <c r="A57" s="593">
        <v>55.0</v>
      </c>
      <c r="B57" s="8" t="s">
        <v>1938</v>
      </c>
      <c r="C57" s="131" t="s">
        <v>117</v>
      </c>
      <c r="D57" s="8" t="s">
        <v>1405</v>
      </c>
      <c r="E57" s="8" t="s">
        <v>12416</v>
      </c>
      <c r="F57" s="8" t="s">
        <v>12478</v>
      </c>
      <c r="G57" s="21">
        <v>995.0</v>
      </c>
      <c r="H57" s="8" t="s">
        <v>1943</v>
      </c>
      <c r="I57" s="8" t="s">
        <v>78</v>
      </c>
      <c r="J57" s="8" t="s">
        <v>49</v>
      </c>
      <c r="K57" s="97">
        <v>5235.7</v>
      </c>
      <c r="L57" s="610">
        <v>5909.0</v>
      </c>
      <c r="M57" s="5">
        <v>57.0</v>
      </c>
      <c r="N57" s="679">
        <f t="shared" si="1"/>
        <v>2984.349</v>
      </c>
    </row>
    <row r="58">
      <c r="A58" s="593">
        <v>56.0</v>
      </c>
      <c r="B58" s="8" t="s">
        <v>1938</v>
      </c>
      <c r="C58" s="131" t="s">
        <v>12479</v>
      </c>
      <c r="D58" s="8" t="s">
        <v>1395</v>
      </c>
      <c r="E58" s="8" t="s">
        <v>12480</v>
      </c>
      <c r="F58" s="8" t="s">
        <v>12481</v>
      </c>
      <c r="G58" s="21">
        <v>2750.0</v>
      </c>
      <c r="H58" s="8" t="s">
        <v>1947</v>
      </c>
      <c r="I58" s="8" t="s">
        <v>1424</v>
      </c>
      <c r="J58" s="8" t="s">
        <v>49</v>
      </c>
      <c r="K58" s="21">
        <v>17864.0</v>
      </c>
      <c r="L58" s="611">
        <v>20116.0</v>
      </c>
      <c r="M58" s="5">
        <v>54.0</v>
      </c>
      <c r="N58" s="679">
        <f t="shared" si="1"/>
        <v>9646.56</v>
      </c>
    </row>
    <row r="59">
      <c r="A59" s="593">
        <v>57.0</v>
      </c>
      <c r="B59" s="8" t="s">
        <v>1938</v>
      </c>
      <c r="C59" s="8" t="s">
        <v>12482</v>
      </c>
      <c r="D59" s="8" t="s">
        <v>1395</v>
      </c>
      <c r="E59" s="8" t="s">
        <v>1247</v>
      </c>
      <c r="F59" s="8" t="s">
        <v>12483</v>
      </c>
      <c r="G59" s="21">
        <v>2825.0</v>
      </c>
      <c r="H59" s="8" t="s">
        <v>1947</v>
      </c>
      <c r="I59" s="8" t="s">
        <v>116</v>
      </c>
      <c r="J59" s="8" t="s">
        <v>49</v>
      </c>
      <c r="K59" s="97">
        <v>20848.0</v>
      </c>
      <c r="L59" s="610">
        <v>23632.0</v>
      </c>
      <c r="M59" s="5">
        <v>50.0</v>
      </c>
      <c r="N59" s="679">
        <f t="shared" si="1"/>
        <v>10424</v>
      </c>
    </row>
    <row r="60">
      <c r="A60" s="593">
        <v>58.0</v>
      </c>
      <c r="B60" s="8" t="s">
        <v>1938</v>
      </c>
      <c r="C60" s="131" t="s">
        <v>12484</v>
      </c>
      <c r="D60" s="8" t="s">
        <v>1395</v>
      </c>
      <c r="E60" s="8" t="s">
        <v>12485</v>
      </c>
      <c r="F60" s="8" t="s">
        <v>12486</v>
      </c>
      <c r="G60" s="21">
        <v>1248.0</v>
      </c>
      <c r="H60" s="8" t="s">
        <v>1943</v>
      </c>
      <c r="I60" s="8" t="s">
        <v>1424</v>
      </c>
      <c r="J60" s="8" t="s">
        <v>49</v>
      </c>
      <c r="K60" s="21">
        <v>15928.0</v>
      </c>
      <c r="L60" s="611">
        <v>18794.0</v>
      </c>
      <c r="M60" s="5">
        <v>54.0</v>
      </c>
      <c r="N60" s="679">
        <f t="shared" si="1"/>
        <v>8601.12</v>
      </c>
    </row>
    <row r="61">
      <c r="A61" s="593">
        <v>59.0</v>
      </c>
      <c r="B61" s="8" t="s">
        <v>1938</v>
      </c>
      <c r="C61" s="131" t="s">
        <v>12487</v>
      </c>
      <c r="D61" s="8" t="s">
        <v>1395</v>
      </c>
      <c r="E61" s="8" t="s">
        <v>12488</v>
      </c>
      <c r="F61" s="8" t="s">
        <v>12489</v>
      </c>
      <c r="G61" s="21">
        <v>2820.0</v>
      </c>
      <c r="H61" s="8" t="s">
        <v>1567</v>
      </c>
      <c r="I61" s="8" t="s">
        <v>1419</v>
      </c>
      <c r="J61" s="8" t="s">
        <v>49</v>
      </c>
      <c r="K61" s="21">
        <v>17641.0</v>
      </c>
      <c r="L61" s="611">
        <v>19853.0</v>
      </c>
      <c r="M61" s="5">
        <v>54.0</v>
      </c>
      <c r="N61" s="679">
        <f t="shared" si="1"/>
        <v>9526.14</v>
      </c>
    </row>
    <row r="62">
      <c r="A62" s="593">
        <v>60.0</v>
      </c>
      <c r="B62" s="8" t="s">
        <v>1938</v>
      </c>
      <c r="C62" s="133" t="s">
        <v>12490</v>
      </c>
      <c r="D62" s="8" t="s">
        <v>1395</v>
      </c>
      <c r="E62" s="8" t="s">
        <v>2154</v>
      </c>
      <c r="F62" s="8" t="s">
        <v>12491</v>
      </c>
      <c r="G62" s="21">
        <v>2620.0</v>
      </c>
      <c r="H62" s="8" t="s">
        <v>1947</v>
      </c>
      <c r="I62" s="8" t="s">
        <v>1424</v>
      </c>
      <c r="J62" s="8" t="s">
        <v>49</v>
      </c>
      <c r="K62" s="21">
        <v>17964.0</v>
      </c>
      <c r="L62" s="611">
        <v>20234.0</v>
      </c>
      <c r="M62" s="5">
        <v>54.0</v>
      </c>
      <c r="N62" s="679">
        <f t="shared" si="1"/>
        <v>9700.56</v>
      </c>
    </row>
    <row r="63">
      <c r="A63" s="593">
        <v>61.0</v>
      </c>
      <c r="B63" s="8" t="s">
        <v>1944</v>
      </c>
      <c r="C63" s="8" t="s">
        <v>12492</v>
      </c>
      <c r="D63" s="8" t="s">
        <v>1432</v>
      </c>
      <c r="E63" s="8" t="s">
        <v>9190</v>
      </c>
      <c r="F63" s="8" t="s">
        <v>12493</v>
      </c>
      <c r="G63" s="21">
        <v>236.0</v>
      </c>
      <c r="H63" s="8" t="s">
        <v>1567</v>
      </c>
      <c r="I63" s="8" t="s">
        <v>1424</v>
      </c>
      <c r="J63" s="8" t="s">
        <v>49</v>
      </c>
      <c r="K63" s="21">
        <v>6375.0</v>
      </c>
      <c r="L63" s="611">
        <v>7523.0</v>
      </c>
      <c r="M63" s="5">
        <v>54.0</v>
      </c>
      <c r="N63" s="679">
        <f t="shared" si="1"/>
        <v>3442.5</v>
      </c>
    </row>
    <row r="64">
      <c r="A64" s="593">
        <v>62.0</v>
      </c>
      <c r="B64" s="8" t="s">
        <v>1944</v>
      </c>
      <c r="C64" s="131" t="s">
        <v>12494</v>
      </c>
      <c r="D64" s="8" t="s">
        <v>1395</v>
      </c>
      <c r="E64" s="8" t="s">
        <v>2912</v>
      </c>
      <c r="F64" s="8" t="s">
        <v>12495</v>
      </c>
      <c r="G64" s="21">
        <v>1600.0</v>
      </c>
      <c r="H64" s="8" t="s">
        <v>72</v>
      </c>
      <c r="I64" s="8" t="s">
        <v>1424</v>
      </c>
      <c r="J64" s="8" t="s">
        <v>49</v>
      </c>
      <c r="K64" s="21">
        <v>19485.0</v>
      </c>
      <c r="L64" s="611">
        <v>22029.0</v>
      </c>
      <c r="M64" s="5">
        <v>54.0</v>
      </c>
      <c r="N64" s="679">
        <f t="shared" si="1"/>
        <v>10521.9</v>
      </c>
    </row>
    <row r="65">
      <c r="A65" s="593">
        <v>63.0</v>
      </c>
      <c r="B65" s="8" t="s">
        <v>1944</v>
      </c>
      <c r="C65" s="8" t="s">
        <v>6739</v>
      </c>
      <c r="D65" s="8" t="s">
        <v>1395</v>
      </c>
      <c r="E65" s="8" t="s">
        <v>12496</v>
      </c>
      <c r="F65" s="8" t="s">
        <v>12497</v>
      </c>
      <c r="G65" s="21">
        <v>2510.0</v>
      </c>
      <c r="H65" s="8" t="s">
        <v>1947</v>
      </c>
      <c r="I65" s="8" t="s">
        <v>1419</v>
      </c>
      <c r="J65" s="8" t="s">
        <v>49</v>
      </c>
      <c r="K65" s="21">
        <v>16099.0</v>
      </c>
      <c r="L65" s="611">
        <v>18035.0</v>
      </c>
      <c r="M65" s="5">
        <v>54.0</v>
      </c>
      <c r="N65" s="679">
        <f t="shared" si="1"/>
        <v>8693.46</v>
      </c>
    </row>
    <row r="66">
      <c r="A66" s="593">
        <v>64.0</v>
      </c>
      <c r="B66" s="8" t="s">
        <v>1944</v>
      </c>
      <c r="C66" s="8" t="s">
        <v>8360</v>
      </c>
      <c r="D66" s="8" t="s">
        <v>1405</v>
      </c>
      <c r="E66" s="8" t="s">
        <v>12498</v>
      </c>
      <c r="F66" s="8" t="s">
        <v>12499</v>
      </c>
      <c r="G66" s="21">
        <v>990.0</v>
      </c>
      <c r="H66" s="8" t="s">
        <v>1947</v>
      </c>
      <c r="I66" s="8" t="s">
        <v>78</v>
      </c>
      <c r="J66" s="8" t="s">
        <v>49</v>
      </c>
      <c r="K66" s="96">
        <v>4934.0</v>
      </c>
      <c r="L66" s="610">
        <v>5553.0</v>
      </c>
      <c r="M66" s="5">
        <v>57.0</v>
      </c>
      <c r="N66" s="679">
        <f t="shared" si="1"/>
        <v>2812.38</v>
      </c>
    </row>
    <row r="67">
      <c r="A67" s="593">
        <v>65.0</v>
      </c>
      <c r="B67" s="8" t="s">
        <v>1944</v>
      </c>
      <c r="C67" s="131" t="s">
        <v>12500</v>
      </c>
      <c r="D67" s="8" t="s">
        <v>1395</v>
      </c>
      <c r="E67" s="8" t="s">
        <v>12501</v>
      </c>
      <c r="F67" s="8" t="s">
        <v>12502</v>
      </c>
      <c r="G67" s="21">
        <v>3425.0</v>
      </c>
      <c r="H67" s="8" t="s">
        <v>1921</v>
      </c>
      <c r="I67" s="8" t="s">
        <v>116</v>
      </c>
      <c r="J67" s="8" t="s">
        <v>49</v>
      </c>
      <c r="K67" s="97">
        <v>21996.0</v>
      </c>
      <c r="L67" s="610">
        <v>24986.0</v>
      </c>
      <c r="M67" s="5">
        <v>50.0</v>
      </c>
      <c r="N67" s="679">
        <f t="shared" si="1"/>
        <v>10998</v>
      </c>
    </row>
    <row r="68">
      <c r="A68" s="593">
        <v>66.0</v>
      </c>
      <c r="B68" s="8" t="s">
        <v>1944</v>
      </c>
      <c r="C68" s="131" t="s">
        <v>12503</v>
      </c>
      <c r="D68" s="8" t="s">
        <v>1432</v>
      </c>
      <c r="E68" s="8" t="s">
        <v>12504</v>
      </c>
      <c r="F68" s="8" t="s">
        <v>12505</v>
      </c>
      <c r="G68" s="21">
        <v>436.0</v>
      </c>
      <c r="H68" s="8" t="s">
        <v>1947</v>
      </c>
      <c r="I68" s="8" t="s">
        <v>1424</v>
      </c>
      <c r="J68" s="8" t="s">
        <v>49</v>
      </c>
      <c r="K68" s="21">
        <v>6578.0</v>
      </c>
      <c r="L68" s="611">
        <v>7762.0</v>
      </c>
      <c r="M68" s="5">
        <v>54.0</v>
      </c>
      <c r="N68" s="679">
        <f t="shared" si="1"/>
        <v>3552.12</v>
      </c>
    </row>
    <row r="69">
      <c r="A69" s="593">
        <v>67.0</v>
      </c>
      <c r="B69" s="8" t="s">
        <v>1944</v>
      </c>
      <c r="C69" s="8" t="s">
        <v>12506</v>
      </c>
      <c r="D69" s="8" t="s">
        <v>1432</v>
      </c>
      <c r="E69" s="8" t="s">
        <v>9895</v>
      </c>
      <c r="F69" s="680" t="s">
        <v>12507</v>
      </c>
      <c r="G69" s="21">
        <v>199.0</v>
      </c>
      <c r="H69" s="8" t="s">
        <v>1947</v>
      </c>
      <c r="I69" s="8" t="s">
        <v>1424</v>
      </c>
      <c r="J69" s="8" t="s">
        <v>49</v>
      </c>
      <c r="K69" s="21">
        <v>6427.0</v>
      </c>
      <c r="L69" s="611">
        <v>7583.0</v>
      </c>
      <c r="M69" s="5">
        <v>54.0</v>
      </c>
      <c r="N69" s="679">
        <f t="shared" si="1"/>
        <v>3470.58</v>
      </c>
    </row>
    <row r="70">
      <c r="A70" s="593">
        <v>68.0</v>
      </c>
      <c r="B70" s="8" t="s">
        <v>8248</v>
      </c>
      <c r="C70" s="131" t="s">
        <v>12508</v>
      </c>
      <c r="D70" s="8" t="s">
        <v>1432</v>
      </c>
      <c r="E70" s="8" t="s">
        <v>12509</v>
      </c>
      <c r="F70" s="8" t="s">
        <v>12510</v>
      </c>
      <c r="G70" s="21">
        <v>145.0</v>
      </c>
      <c r="H70" s="8" t="s">
        <v>1921</v>
      </c>
      <c r="I70" s="8" t="s">
        <v>1424</v>
      </c>
      <c r="J70" s="8" t="s">
        <v>49</v>
      </c>
      <c r="K70" s="21">
        <v>6167.0</v>
      </c>
      <c r="L70" s="611">
        <v>7277.0</v>
      </c>
      <c r="M70" s="5">
        <v>54.0</v>
      </c>
      <c r="N70" s="679">
        <f t="shared" si="1"/>
        <v>3330.18</v>
      </c>
    </row>
    <row r="71">
      <c r="A71" s="593">
        <v>69.0</v>
      </c>
      <c r="B71" s="8" t="s">
        <v>8248</v>
      </c>
      <c r="C71" s="131" t="s">
        <v>12511</v>
      </c>
      <c r="D71" s="8" t="s">
        <v>1432</v>
      </c>
      <c r="E71" s="8" t="s">
        <v>9151</v>
      </c>
      <c r="F71" s="8" t="s">
        <v>12512</v>
      </c>
      <c r="G71" s="21">
        <v>236.0</v>
      </c>
      <c r="H71" s="8" t="s">
        <v>1567</v>
      </c>
      <c r="I71" s="8" t="s">
        <v>1424</v>
      </c>
      <c r="J71" s="8" t="s">
        <v>49</v>
      </c>
      <c r="K71" s="21">
        <v>6497.0</v>
      </c>
      <c r="L71" s="611">
        <v>7667.0</v>
      </c>
      <c r="M71" s="5">
        <v>54.0</v>
      </c>
      <c r="N71" s="679">
        <f t="shared" si="1"/>
        <v>3508.38</v>
      </c>
    </row>
    <row r="72">
      <c r="A72" s="593">
        <v>70.0</v>
      </c>
      <c r="B72" s="8" t="s">
        <v>8248</v>
      </c>
      <c r="C72" s="8" t="s">
        <v>12513</v>
      </c>
      <c r="D72" s="8" t="s">
        <v>1432</v>
      </c>
      <c r="E72" s="8" t="s">
        <v>2125</v>
      </c>
      <c r="F72" s="8" t="s">
        <v>12514</v>
      </c>
      <c r="G72" s="21">
        <v>436.0</v>
      </c>
      <c r="H72" s="8" t="s">
        <v>1567</v>
      </c>
      <c r="I72" s="8" t="s">
        <v>1424</v>
      </c>
      <c r="J72" s="8" t="s">
        <v>49</v>
      </c>
      <c r="K72" s="21">
        <v>6424.0</v>
      </c>
      <c r="L72" s="611">
        <v>7580.0</v>
      </c>
      <c r="M72" s="5">
        <v>54.0</v>
      </c>
      <c r="N72" s="679">
        <f t="shared" si="1"/>
        <v>3468.96</v>
      </c>
    </row>
    <row r="73">
      <c r="A73" s="593">
        <v>71.0</v>
      </c>
      <c r="B73" s="8" t="s">
        <v>8248</v>
      </c>
      <c r="C73" s="131" t="s">
        <v>12515</v>
      </c>
      <c r="D73" s="8" t="s">
        <v>1432</v>
      </c>
      <c r="E73" s="8" t="s">
        <v>12516</v>
      </c>
      <c r="F73" s="8" t="s">
        <v>12517</v>
      </c>
      <c r="G73" s="21">
        <v>236.0</v>
      </c>
      <c r="H73" s="8" t="s">
        <v>1921</v>
      </c>
      <c r="I73" s="8" t="s">
        <v>1424</v>
      </c>
      <c r="J73" s="8" t="s">
        <v>49</v>
      </c>
      <c r="K73" s="21">
        <v>6344.0</v>
      </c>
      <c r="L73" s="611">
        <v>7486.0</v>
      </c>
      <c r="M73" s="5">
        <v>54.0</v>
      </c>
      <c r="N73" s="679">
        <f t="shared" si="1"/>
        <v>3425.76</v>
      </c>
    </row>
    <row r="74">
      <c r="A74" s="593">
        <v>72.0</v>
      </c>
      <c r="B74" s="8" t="s">
        <v>1563</v>
      </c>
      <c r="C74" s="131" t="s">
        <v>12518</v>
      </c>
      <c r="D74" s="8" t="s">
        <v>1432</v>
      </c>
      <c r="E74" s="8" t="s">
        <v>9151</v>
      </c>
      <c r="F74" s="8" t="s">
        <v>12519</v>
      </c>
      <c r="G74" s="21">
        <v>236.0</v>
      </c>
      <c r="H74" s="8" t="s">
        <v>1952</v>
      </c>
      <c r="I74" s="8" t="s">
        <v>1424</v>
      </c>
      <c r="J74" s="8" t="s">
        <v>49</v>
      </c>
      <c r="K74" s="21">
        <v>6591.0</v>
      </c>
      <c r="L74" s="611">
        <v>7777.0</v>
      </c>
      <c r="M74" s="5">
        <v>54.0</v>
      </c>
      <c r="N74" s="679">
        <f t="shared" si="1"/>
        <v>3559.14</v>
      </c>
    </row>
    <row r="75">
      <c r="A75" s="593">
        <v>73.0</v>
      </c>
      <c r="B75" s="8" t="s">
        <v>1563</v>
      </c>
      <c r="C75" s="131" t="s">
        <v>5928</v>
      </c>
      <c r="D75" s="8" t="s">
        <v>1395</v>
      </c>
      <c r="E75" s="8" t="s">
        <v>2116</v>
      </c>
      <c r="F75" s="8" t="s">
        <v>11061</v>
      </c>
      <c r="G75" s="21">
        <v>1600.0</v>
      </c>
      <c r="H75" s="8" t="s">
        <v>1921</v>
      </c>
      <c r="I75" s="8" t="s">
        <v>70</v>
      </c>
      <c r="J75" s="8" t="s">
        <v>49</v>
      </c>
      <c r="K75" s="21">
        <v>19031.0</v>
      </c>
      <c r="L75" s="611">
        <v>21493.0</v>
      </c>
      <c r="M75" s="5">
        <v>62.0</v>
      </c>
      <c r="N75" s="679">
        <f t="shared" si="1"/>
        <v>11799.22</v>
      </c>
    </row>
    <row r="76">
      <c r="A76" s="593">
        <v>74.0</v>
      </c>
      <c r="B76" s="8" t="s">
        <v>1563</v>
      </c>
      <c r="C76" s="131" t="s">
        <v>12520</v>
      </c>
      <c r="D76" s="8" t="s">
        <v>1432</v>
      </c>
      <c r="E76" s="8" t="s">
        <v>2125</v>
      </c>
      <c r="F76" s="8" t="s">
        <v>12521</v>
      </c>
      <c r="G76" s="21">
        <v>436.0</v>
      </c>
      <c r="H76" s="8" t="s">
        <v>1921</v>
      </c>
      <c r="I76" s="8" t="s">
        <v>1424</v>
      </c>
      <c r="J76" s="8" t="s">
        <v>49</v>
      </c>
      <c r="K76" s="21">
        <v>6559.0</v>
      </c>
      <c r="L76" s="611">
        <v>7739.0</v>
      </c>
      <c r="M76" s="5">
        <v>54.0</v>
      </c>
      <c r="N76" s="679">
        <f t="shared" si="1"/>
        <v>3541.86</v>
      </c>
    </row>
    <row r="77">
      <c r="A77" s="593">
        <v>75.0</v>
      </c>
      <c r="B77" s="8" t="s">
        <v>1563</v>
      </c>
      <c r="C77" s="131" t="s">
        <v>12522</v>
      </c>
      <c r="D77" s="8" t="s">
        <v>1432</v>
      </c>
      <c r="E77" s="8" t="s">
        <v>2125</v>
      </c>
      <c r="F77" s="8" t="s">
        <v>12523</v>
      </c>
      <c r="G77" s="21">
        <v>436.0</v>
      </c>
      <c r="H77" s="8" t="s">
        <v>1921</v>
      </c>
      <c r="I77" s="8" t="s">
        <v>1424</v>
      </c>
      <c r="J77" s="8" t="s">
        <v>49</v>
      </c>
      <c r="K77" s="21">
        <v>6325.0</v>
      </c>
      <c r="L77" s="611">
        <v>7463.0</v>
      </c>
      <c r="M77" s="5">
        <v>54.0</v>
      </c>
      <c r="N77" s="679">
        <f t="shared" si="1"/>
        <v>3415.5</v>
      </c>
    </row>
    <row r="78">
      <c r="A78" s="593">
        <v>76.0</v>
      </c>
      <c r="B78" s="8" t="s">
        <v>1916</v>
      </c>
      <c r="C78" s="8" t="s">
        <v>8412</v>
      </c>
      <c r="D78" s="8" t="s">
        <v>1395</v>
      </c>
      <c r="E78" s="8" t="s">
        <v>1969</v>
      </c>
      <c r="F78" s="8" t="s">
        <v>8413</v>
      </c>
      <c r="G78" s="21">
        <v>2880.0</v>
      </c>
      <c r="H78" s="8" t="s">
        <v>1921</v>
      </c>
      <c r="I78" s="8" t="s">
        <v>1419</v>
      </c>
      <c r="J78" s="8" t="s">
        <v>49</v>
      </c>
      <c r="K78" s="21">
        <v>17666.0</v>
      </c>
      <c r="L78" s="611">
        <v>19884.0</v>
      </c>
      <c r="M78" s="5">
        <v>54.0</v>
      </c>
      <c r="N78" s="679">
        <f t="shared" si="1"/>
        <v>9539.64</v>
      </c>
    </row>
    <row r="79">
      <c r="A79" s="593">
        <v>77.0</v>
      </c>
      <c r="B79" s="8" t="s">
        <v>1916</v>
      </c>
      <c r="C79" s="8" t="s">
        <v>12524</v>
      </c>
      <c r="D79" s="8" t="s">
        <v>1395</v>
      </c>
      <c r="E79" s="8" t="s">
        <v>12525</v>
      </c>
      <c r="F79" s="8" t="s">
        <v>12526</v>
      </c>
      <c r="G79" s="21">
        <v>2565.0</v>
      </c>
      <c r="H79" s="8" t="s">
        <v>2317</v>
      </c>
      <c r="I79" s="8" t="s">
        <v>116</v>
      </c>
      <c r="J79" s="8" t="s">
        <v>49</v>
      </c>
      <c r="K79" s="97">
        <v>20062.0</v>
      </c>
      <c r="L79" s="610">
        <v>22706.0</v>
      </c>
      <c r="M79" s="5">
        <v>50.0</v>
      </c>
      <c r="N79" s="679">
        <f t="shared" si="1"/>
        <v>10031</v>
      </c>
    </row>
    <row r="80">
      <c r="A80" s="593">
        <v>78.0</v>
      </c>
      <c r="B80" s="8" t="s">
        <v>1916</v>
      </c>
      <c r="C80" s="8" t="s">
        <v>12527</v>
      </c>
      <c r="D80" s="8" t="s">
        <v>1432</v>
      </c>
      <c r="E80" s="8" t="s">
        <v>2125</v>
      </c>
      <c r="F80" s="8" t="s">
        <v>12528</v>
      </c>
      <c r="G80" s="21">
        <v>436.0</v>
      </c>
      <c r="H80" s="8" t="s">
        <v>1952</v>
      </c>
      <c r="I80" s="8" t="s">
        <v>1424</v>
      </c>
      <c r="J80" s="8" t="s">
        <v>49</v>
      </c>
      <c r="K80" s="21">
        <v>6540.0</v>
      </c>
      <c r="L80" s="611">
        <v>7718.0</v>
      </c>
      <c r="M80" s="5">
        <v>54.0</v>
      </c>
      <c r="N80" s="679">
        <f t="shared" si="1"/>
        <v>3531.6</v>
      </c>
    </row>
    <row r="81">
      <c r="A81" s="593">
        <v>79.0</v>
      </c>
      <c r="B81" s="8" t="s">
        <v>1916</v>
      </c>
      <c r="C81" s="8" t="s">
        <v>6101</v>
      </c>
      <c r="D81" s="8" t="s">
        <v>1395</v>
      </c>
      <c r="E81" s="8" t="s">
        <v>2912</v>
      </c>
      <c r="F81" s="8" t="s">
        <v>12529</v>
      </c>
      <c r="G81" s="21">
        <v>1600.0</v>
      </c>
      <c r="H81" s="8" t="s">
        <v>18</v>
      </c>
      <c r="I81" s="8" t="s">
        <v>1424</v>
      </c>
      <c r="J81" s="8" t="s">
        <v>49</v>
      </c>
      <c r="K81" s="21">
        <v>19845.0</v>
      </c>
      <c r="L81" s="611">
        <v>22455.0</v>
      </c>
      <c r="M81" s="5">
        <v>54.0</v>
      </c>
      <c r="N81" s="679">
        <f t="shared" si="1"/>
        <v>10716.3</v>
      </c>
    </row>
    <row r="82">
      <c r="A82" s="593">
        <v>80.0</v>
      </c>
      <c r="B82" s="8" t="s">
        <v>1916</v>
      </c>
      <c r="C82" s="8" t="s">
        <v>5952</v>
      </c>
      <c r="D82" s="8" t="s">
        <v>1395</v>
      </c>
      <c r="E82" s="8" t="s">
        <v>10090</v>
      </c>
      <c r="F82" s="8" t="s">
        <v>12530</v>
      </c>
      <c r="G82" s="21">
        <v>2500.0</v>
      </c>
      <c r="H82" s="8" t="s">
        <v>2319</v>
      </c>
      <c r="I82" s="8" t="s">
        <v>70</v>
      </c>
      <c r="J82" s="8" t="s">
        <v>49</v>
      </c>
      <c r="K82" s="97">
        <v>16776.0</v>
      </c>
      <c r="L82" s="681">
        <v>18833.0</v>
      </c>
      <c r="M82" s="5">
        <v>62.0</v>
      </c>
      <c r="N82" s="679">
        <f t="shared" si="1"/>
        <v>10401.12</v>
      </c>
    </row>
    <row r="83">
      <c r="A83" s="593">
        <v>81.0</v>
      </c>
      <c r="B83" s="8" t="s">
        <v>1916</v>
      </c>
      <c r="C83" s="8" t="s">
        <v>6791</v>
      </c>
      <c r="D83" s="8" t="s">
        <v>1395</v>
      </c>
      <c r="E83" s="8" t="s">
        <v>12531</v>
      </c>
      <c r="F83" s="8" t="s">
        <v>12532</v>
      </c>
      <c r="G83" s="21">
        <v>2750.0</v>
      </c>
      <c r="H83" s="8" t="s">
        <v>90</v>
      </c>
      <c r="I83" s="8" t="s">
        <v>1424</v>
      </c>
      <c r="J83" s="8" t="s">
        <v>49</v>
      </c>
      <c r="K83" s="21">
        <v>17923.0</v>
      </c>
      <c r="L83" s="611">
        <v>20187.0</v>
      </c>
      <c r="M83" s="5">
        <v>54.0</v>
      </c>
      <c r="N83" s="679">
        <f t="shared" si="1"/>
        <v>9678.42</v>
      </c>
    </row>
    <row r="84">
      <c r="A84" s="593">
        <v>82.0</v>
      </c>
      <c r="B84" s="8" t="s">
        <v>1916</v>
      </c>
      <c r="C84" s="133" t="s">
        <v>12533</v>
      </c>
      <c r="D84" s="8" t="s">
        <v>1395</v>
      </c>
      <c r="E84" s="8" t="s">
        <v>12488</v>
      </c>
      <c r="F84" s="8" t="s">
        <v>12534</v>
      </c>
      <c r="G84" s="21">
        <v>2750.0</v>
      </c>
      <c r="H84" s="8" t="s">
        <v>2319</v>
      </c>
      <c r="I84" s="8" t="s">
        <v>1419</v>
      </c>
      <c r="J84" s="8" t="s">
        <v>49</v>
      </c>
      <c r="K84" s="21">
        <v>18347.0</v>
      </c>
      <c r="L84" s="611">
        <v>20687.0</v>
      </c>
      <c r="M84" s="5">
        <v>54.0</v>
      </c>
      <c r="N84" s="679">
        <f t="shared" si="1"/>
        <v>9907.38</v>
      </c>
    </row>
    <row r="85">
      <c r="A85" s="593">
        <v>83.0</v>
      </c>
      <c r="B85" s="8" t="s">
        <v>1916</v>
      </c>
      <c r="C85" s="8" t="s">
        <v>12535</v>
      </c>
      <c r="D85" s="8" t="s">
        <v>1432</v>
      </c>
      <c r="E85" s="8" t="s">
        <v>2125</v>
      </c>
      <c r="F85" s="8" t="s">
        <v>12536</v>
      </c>
      <c r="G85" s="21">
        <v>436.0</v>
      </c>
      <c r="H85" s="8" t="s">
        <v>1952</v>
      </c>
      <c r="I85" s="8" t="s">
        <v>1424</v>
      </c>
      <c r="J85" s="8" t="s">
        <v>49</v>
      </c>
      <c r="K85" s="21">
        <v>6497.0</v>
      </c>
      <c r="L85" s="611">
        <v>7667.0</v>
      </c>
      <c r="M85" s="5">
        <v>54.0</v>
      </c>
      <c r="N85" s="679">
        <f t="shared" si="1"/>
        <v>3508.38</v>
      </c>
    </row>
    <row r="86">
      <c r="A86" s="593">
        <v>84.0</v>
      </c>
      <c r="B86" s="8" t="s">
        <v>8424</v>
      </c>
      <c r="C86" s="8" t="s">
        <v>8439</v>
      </c>
      <c r="D86" s="8" t="s">
        <v>1395</v>
      </c>
      <c r="E86" s="8" t="s">
        <v>12537</v>
      </c>
      <c r="F86" s="8" t="s">
        <v>8440</v>
      </c>
      <c r="G86" s="21">
        <v>2880.0</v>
      </c>
      <c r="H86" s="8" t="s">
        <v>2317</v>
      </c>
      <c r="I86" s="8" t="s">
        <v>1419</v>
      </c>
      <c r="J86" s="8" t="s">
        <v>49</v>
      </c>
      <c r="K86" s="21">
        <v>16878.0</v>
      </c>
      <c r="L86" s="611">
        <v>18954.0</v>
      </c>
      <c r="M86" s="5">
        <v>54.0</v>
      </c>
      <c r="N86" s="679">
        <f t="shared" si="1"/>
        <v>9114.12</v>
      </c>
    </row>
    <row r="87">
      <c r="A87" s="593">
        <v>85.0</v>
      </c>
      <c r="B87" s="8" t="s">
        <v>8424</v>
      </c>
      <c r="C87" s="133" t="s">
        <v>6096</v>
      </c>
      <c r="D87" s="8" t="s">
        <v>1405</v>
      </c>
      <c r="E87" s="8" t="s">
        <v>1479</v>
      </c>
      <c r="F87" s="8" t="s">
        <v>12538</v>
      </c>
      <c r="G87" s="21">
        <v>990.0</v>
      </c>
      <c r="H87" s="8" t="s">
        <v>18</v>
      </c>
      <c r="I87" s="8" t="s">
        <v>1419</v>
      </c>
      <c r="J87" s="8" t="s">
        <v>49</v>
      </c>
      <c r="K87" s="21">
        <v>5473.0</v>
      </c>
      <c r="L87" s="611">
        <v>6189.0</v>
      </c>
      <c r="M87" s="5">
        <v>57.0</v>
      </c>
      <c r="N87" s="679">
        <f t="shared" si="1"/>
        <v>3119.61</v>
      </c>
    </row>
    <row r="88">
      <c r="A88" s="593">
        <v>86.0</v>
      </c>
      <c r="B88" s="8" t="s">
        <v>8424</v>
      </c>
      <c r="C88" s="133" t="s">
        <v>12539</v>
      </c>
      <c r="D88" s="8" t="s">
        <v>1432</v>
      </c>
      <c r="E88" s="8" t="s">
        <v>12540</v>
      </c>
      <c r="F88" s="8" t="s">
        <v>12541</v>
      </c>
      <c r="G88" s="21">
        <v>236.0</v>
      </c>
      <c r="H88" s="8" t="s">
        <v>1952</v>
      </c>
      <c r="I88" s="8" t="s">
        <v>1424</v>
      </c>
      <c r="J88" s="8" t="s">
        <v>49</v>
      </c>
      <c r="K88" s="21">
        <v>6436.0</v>
      </c>
      <c r="L88" s="611">
        <v>7594.0</v>
      </c>
      <c r="M88" s="5">
        <v>54.0</v>
      </c>
      <c r="N88" s="679">
        <f t="shared" si="1"/>
        <v>3475.44</v>
      </c>
    </row>
    <row r="89">
      <c r="A89" s="593">
        <v>87.0</v>
      </c>
      <c r="B89" s="8" t="s">
        <v>2309</v>
      </c>
      <c r="C89" s="131" t="s">
        <v>12542</v>
      </c>
      <c r="D89" s="8" t="s">
        <v>1432</v>
      </c>
      <c r="E89" s="8" t="s">
        <v>12543</v>
      </c>
      <c r="F89" s="8" t="s">
        <v>12544</v>
      </c>
      <c r="G89" s="21">
        <v>435.0</v>
      </c>
      <c r="H89" s="8" t="s">
        <v>2319</v>
      </c>
      <c r="I89" s="8" t="s">
        <v>7901</v>
      </c>
      <c r="J89" s="8" t="s">
        <v>49</v>
      </c>
      <c r="K89" s="21">
        <v>6663.0</v>
      </c>
      <c r="L89" s="611">
        <v>7862.0</v>
      </c>
      <c r="M89" s="5">
        <v>45.0</v>
      </c>
      <c r="N89" s="679">
        <f t="shared" si="1"/>
        <v>2998.35</v>
      </c>
    </row>
    <row r="90">
      <c r="A90" s="593">
        <v>88.0</v>
      </c>
      <c r="B90" s="8" t="s">
        <v>2309</v>
      </c>
      <c r="C90" s="131" t="s">
        <v>12545</v>
      </c>
      <c r="D90" s="8" t="s">
        <v>1432</v>
      </c>
      <c r="E90" s="8" t="s">
        <v>2125</v>
      </c>
      <c r="F90" s="8" t="s">
        <v>12546</v>
      </c>
      <c r="G90" s="21">
        <v>436.0</v>
      </c>
      <c r="H90" s="8" t="s">
        <v>2319</v>
      </c>
      <c r="I90" s="8" t="s">
        <v>1424</v>
      </c>
      <c r="J90" s="8" t="s">
        <v>49</v>
      </c>
      <c r="K90" s="21">
        <v>4.0</v>
      </c>
      <c r="L90" s="611">
        <v>7745.0</v>
      </c>
      <c r="M90" s="5">
        <v>54.0</v>
      </c>
      <c r="N90" s="679">
        <f t="shared" si="1"/>
        <v>2.16</v>
      </c>
    </row>
    <row r="91">
      <c r="A91" s="593">
        <v>89.0</v>
      </c>
      <c r="B91" s="8" t="s">
        <v>1590</v>
      </c>
      <c r="C91" s="133" t="s">
        <v>12547</v>
      </c>
      <c r="D91" s="8" t="s">
        <v>21</v>
      </c>
      <c r="E91" s="8" t="s">
        <v>2408</v>
      </c>
      <c r="F91" s="8" t="s">
        <v>12548</v>
      </c>
      <c r="G91" s="21">
        <v>6250.0</v>
      </c>
      <c r="H91" s="8" t="s">
        <v>12549</v>
      </c>
      <c r="I91" s="8" t="s">
        <v>65</v>
      </c>
      <c r="J91" s="8" t="s">
        <v>26</v>
      </c>
      <c r="K91" s="21">
        <v>16149.0</v>
      </c>
      <c r="L91" s="611">
        <v>18093.0</v>
      </c>
      <c r="M91" s="5">
        <v>48.0</v>
      </c>
      <c r="N91" s="679">
        <f t="shared" si="1"/>
        <v>7751.52</v>
      </c>
    </row>
    <row r="92">
      <c r="A92" s="593">
        <v>90.0</v>
      </c>
      <c r="B92" s="8" t="s">
        <v>34</v>
      </c>
      <c r="C92" s="8" t="s">
        <v>12550</v>
      </c>
      <c r="D92" s="86" t="s">
        <v>1405</v>
      </c>
      <c r="E92" s="8" t="s">
        <v>1506</v>
      </c>
      <c r="F92" s="8" t="s">
        <v>12551</v>
      </c>
      <c r="G92" s="21">
        <v>990.0</v>
      </c>
      <c r="H92" s="8" t="s">
        <v>1590</v>
      </c>
      <c r="I92" s="8" t="s">
        <v>9300</v>
      </c>
      <c r="J92" s="8" t="s">
        <v>49</v>
      </c>
      <c r="K92" s="21">
        <v>5394.0</v>
      </c>
      <c r="L92" s="611">
        <v>6096.0</v>
      </c>
      <c r="M92" s="5">
        <v>57.0</v>
      </c>
      <c r="N92" s="679">
        <f t="shared" si="1"/>
        <v>3074.58</v>
      </c>
    </row>
    <row r="93">
      <c r="A93" s="593">
        <v>91.0</v>
      </c>
      <c r="B93" s="8" t="s">
        <v>51</v>
      </c>
      <c r="C93" s="131" t="s">
        <v>12552</v>
      </c>
      <c r="D93" s="8" t="s">
        <v>1432</v>
      </c>
      <c r="E93" s="8" t="s">
        <v>1439</v>
      </c>
      <c r="F93" s="8" t="s">
        <v>12553</v>
      </c>
      <c r="G93" s="21">
        <v>236.0</v>
      </c>
      <c r="H93" s="8" t="s">
        <v>34</v>
      </c>
      <c r="I93" s="8" t="s">
        <v>1419</v>
      </c>
      <c r="J93" s="8" t="s">
        <v>49</v>
      </c>
      <c r="K93" s="21">
        <v>6877.0</v>
      </c>
      <c r="L93" s="611">
        <v>8115.0</v>
      </c>
      <c r="M93" s="5">
        <v>54.0</v>
      </c>
      <c r="N93" s="679">
        <f t="shared" si="1"/>
        <v>3713.58</v>
      </c>
    </row>
    <row r="94">
      <c r="A94" s="593">
        <v>92.0</v>
      </c>
      <c r="B94" s="8" t="s">
        <v>57</v>
      </c>
      <c r="C94" s="8" t="s">
        <v>6732</v>
      </c>
      <c r="D94" s="8" t="s">
        <v>1395</v>
      </c>
      <c r="E94" s="8" t="s">
        <v>12554</v>
      </c>
      <c r="F94" s="8" t="s">
        <v>12555</v>
      </c>
      <c r="G94" s="21">
        <v>1540.0</v>
      </c>
      <c r="H94" s="8" t="s">
        <v>51</v>
      </c>
      <c r="I94" s="8" t="s">
        <v>70</v>
      </c>
      <c r="J94" s="8" t="s">
        <v>49</v>
      </c>
      <c r="K94" s="97">
        <v>17658.0</v>
      </c>
      <c r="L94" s="610">
        <v>19873.0</v>
      </c>
      <c r="M94" s="5">
        <v>62.0</v>
      </c>
      <c r="N94" s="679">
        <f t="shared" si="1"/>
        <v>10947.96</v>
      </c>
    </row>
    <row r="95">
      <c r="A95" s="593">
        <v>93.0</v>
      </c>
      <c r="B95" s="8" t="s">
        <v>1912</v>
      </c>
      <c r="C95" s="8" t="s">
        <v>235</v>
      </c>
      <c r="D95" s="8" t="s">
        <v>75</v>
      </c>
      <c r="E95" s="8" t="s">
        <v>1760</v>
      </c>
      <c r="F95" s="8" t="s">
        <v>12556</v>
      </c>
      <c r="G95" s="21">
        <v>990.0</v>
      </c>
      <c r="H95" s="8" t="s">
        <v>57</v>
      </c>
      <c r="I95" s="8" t="s">
        <v>668</v>
      </c>
      <c r="J95" s="8" t="s">
        <v>49</v>
      </c>
      <c r="K95" s="21">
        <v>5084.0</v>
      </c>
      <c r="L95" s="611">
        <v>5730.0</v>
      </c>
      <c r="M95" s="5">
        <v>57.0</v>
      </c>
      <c r="N95" s="679">
        <f t="shared" si="1"/>
        <v>2897.88</v>
      </c>
    </row>
    <row r="96">
      <c r="A96" s="593">
        <v>94.0</v>
      </c>
      <c r="B96" s="8" t="s">
        <v>1912</v>
      </c>
      <c r="C96" s="8" t="s">
        <v>12557</v>
      </c>
      <c r="D96" s="8" t="s">
        <v>21</v>
      </c>
      <c r="E96" s="8" t="s">
        <v>12558</v>
      </c>
      <c r="F96" s="8" t="s">
        <v>12559</v>
      </c>
      <c r="G96" s="8">
        <v>9600.0</v>
      </c>
      <c r="H96" s="8" t="s">
        <v>51</v>
      </c>
      <c r="I96" s="8" t="s">
        <v>65</v>
      </c>
      <c r="J96" s="8" t="s">
        <v>26</v>
      </c>
      <c r="K96" s="21">
        <v>27617.0</v>
      </c>
      <c r="L96" s="611">
        <v>30957.0</v>
      </c>
      <c r="M96" s="5">
        <v>48.0</v>
      </c>
      <c r="N96" s="679">
        <f t="shared" si="1"/>
        <v>13256.16</v>
      </c>
    </row>
    <row r="97">
      <c r="A97" s="593">
        <v>95.0</v>
      </c>
      <c r="B97" s="8" t="s">
        <v>1912</v>
      </c>
      <c r="C97" s="8" t="s">
        <v>12560</v>
      </c>
      <c r="D97" s="8" t="s">
        <v>1395</v>
      </c>
      <c r="E97" s="8" t="s">
        <v>1106</v>
      </c>
      <c r="F97" s="8" t="s">
        <v>12561</v>
      </c>
      <c r="G97" s="8">
        <v>2710.0</v>
      </c>
      <c r="H97" s="8" t="s">
        <v>57</v>
      </c>
      <c r="I97" s="8" t="s">
        <v>116</v>
      </c>
      <c r="J97" s="8" t="s">
        <v>49</v>
      </c>
      <c r="K97" s="8">
        <v>22245.0</v>
      </c>
      <c r="L97" s="682">
        <v>25281.0</v>
      </c>
      <c r="M97" s="5">
        <v>50.0</v>
      </c>
      <c r="N97" s="679">
        <f t="shared" si="1"/>
        <v>11122.5</v>
      </c>
      <c r="O97" s="58"/>
      <c r="P97" s="58"/>
    </row>
    <row r="98">
      <c r="A98" s="593">
        <v>96.0</v>
      </c>
      <c r="B98" s="8" t="s">
        <v>1912</v>
      </c>
      <c r="C98" s="8" t="s">
        <v>112</v>
      </c>
      <c r="D98" s="8" t="s">
        <v>1395</v>
      </c>
      <c r="E98" s="8" t="s">
        <v>2143</v>
      </c>
      <c r="F98" s="8" t="s">
        <v>12562</v>
      </c>
      <c r="G98" s="8">
        <v>3490.0</v>
      </c>
      <c r="H98" s="8" t="s">
        <v>57</v>
      </c>
      <c r="I98" s="8" t="s">
        <v>116</v>
      </c>
      <c r="J98" s="683" t="s">
        <v>49</v>
      </c>
      <c r="K98" s="683">
        <v>20819.0</v>
      </c>
      <c r="L98" s="684">
        <v>23599.0</v>
      </c>
      <c r="M98" s="5">
        <v>50.0</v>
      </c>
      <c r="N98" s="679">
        <f t="shared" si="1"/>
        <v>10409.5</v>
      </c>
      <c r="O98" s="58"/>
      <c r="P98" s="58"/>
    </row>
    <row r="99">
      <c r="A99" s="593">
        <v>97.0</v>
      </c>
      <c r="B99" s="8" t="s">
        <v>72</v>
      </c>
      <c r="C99" s="8" t="s">
        <v>6385</v>
      </c>
      <c r="D99" s="8" t="s">
        <v>1395</v>
      </c>
      <c r="E99" s="8" t="s">
        <v>6348</v>
      </c>
      <c r="F99" s="8" t="s">
        <v>6387</v>
      </c>
      <c r="G99" s="21">
        <v>3490.0</v>
      </c>
      <c r="H99" s="8" t="s">
        <v>57</v>
      </c>
      <c r="I99" s="8" t="s">
        <v>116</v>
      </c>
      <c r="J99" s="8" t="s">
        <v>49</v>
      </c>
      <c r="K99" s="96">
        <v>21153.0</v>
      </c>
      <c r="L99" s="610">
        <v>23993.0</v>
      </c>
      <c r="M99" s="5">
        <v>50.0</v>
      </c>
      <c r="N99" s="679">
        <f t="shared" si="1"/>
        <v>10576.5</v>
      </c>
    </row>
    <row r="100">
      <c r="A100" s="593">
        <v>98.0</v>
      </c>
      <c r="B100" s="8" t="s">
        <v>121</v>
      </c>
      <c r="C100" s="8" t="s">
        <v>12563</v>
      </c>
      <c r="D100" s="8" t="s">
        <v>1395</v>
      </c>
      <c r="E100" s="8" t="s">
        <v>9509</v>
      </c>
      <c r="F100" s="8" t="s">
        <v>12564</v>
      </c>
      <c r="G100" s="21">
        <v>2855.0</v>
      </c>
      <c r="H100" s="8" t="s">
        <v>121</v>
      </c>
      <c r="I100" s="8" t="s">
        <v>116</v>
      </c>
      <c r="J100" s="8" t="s">
        <v>49</v>
      </c>
      <c r="K100" s="97">
        <v>21485.0</v>
      </c>
      <c r="L100" s="681">
        <v>24381.0</v>
      </c>
      <c r="M100" s="5">
        <v>50.0</v>
      </c>
      <c r="N100" s="679">
        <f t="shared" si="1"/>
        <v>10742.5</v>
      </c>
    </row>
    <row r="101">
      <c r="A101" s="593">
        <v>99.0</v>
      </c>
      <c r="B101" s="8" t="s">
        <v>121</v>
      </c>
      <c r="C101" s="8" t="s">
        <v>6784</v>
      </c>
      <c r="D101" s="8" t="s">
        <v>1395</v>
      </c>
      <c r="E101" s="8" t="s">
        <v>12565</v>
      </c>
      <c r="F101" s="8" t="s">
        <v>12566</v>
      </c>
      <c r="G101" s="21">
        <v>2620.0</v>
      </c>
      <c r="H101" s="8" t="s">
        <v>90</v>
      </c>
      <c r="I101" s="8" t="s">
        <v>1419</v>
      </c>
      <c r="J101" s="8" t="s">
        <v>49</v>
      </c>
      <c r="K101" s="21">
        <v>17135.0</v>
      </c>
      <c r="L101" s="611">
        <v>19257.0</v>
      </c>
      <c r="M101" s="5">
        <v>54.0</v>
      </c>
      <c r="N101" s="679">
        <f t="shared" si="1"/>
        <v>9252.9</v>
      </c>
    </row>
    <row r="102">
      <c r="N102" s="685">
        <f>SUM(N3:N101)</f>
        <v>689815.8823</v>
      </c>
    </row>
    <row r="104">
      <c r="M104" s="6" t="s">
        <v>12567</v>
      </c>
      <c r="N104" s="6">
        <v>68237.0</v>
      </c>
      <c r="O104" s="6" t="s">
        <v>12568</v>
      </c>
    </row>
    <row r="105">
      <c r="N105" s="6">
        <v>229648.0</v>
      </c>
      <c r="O105" s="6" t="s">
        <v>12569</v>
      </c>
    </row>
    <row r="106">
      <c r="N106" s="6">
        <v>147442.0</v>
      </c>
      <c r="O106" s="6" t="s">
        <v>12570</v>
      </c>
    </row>
    <row r="107">
      <c r="N107" s="6">
        <v>23399.0</v>
      </c>
      <c r="O107" s="6" t="s">
        <v>12571</v>
      </c>
    </row>
    <row r="108">
      <c r="N108" s="6">
        <v>37638.0</v>
      </c>
      <c r="O108" s="6" t="s">
        <v>12572</v>
      </c>
    </row>
    <row r="109">
      <c r="N109" s="6">
        <v>12492.0</v>
      </c>
      <c r="O109" s="6" t="s">
        <v>12573</v>
      </c>
    </row>
    <row r="110">
      <c r="M110" s="686" t="s">
        <v>12574</v>
      </c>
      <c r="N110" s="687">
        <f>SUM(N104:N109)</f>
        <v>518856</v>
      </c>
    </row>
    <row r="111">
      <c r="M111" s="688" t="s">
        <v>12575</v>
      </c>
      <c r="N111" s="689">
        <f>N102-N110</f>
        <v>170959.8823</v>
      </c>
    </row>
  </sheetData>
  <mergeCells count="1">
    <mergeCell ref="A1:L1"/>
  </mergeCells>
  <dataValidations>
    <dataValidation type="list" allowBlank="1" showErrorMessage="1" sqref="J2:J96 J99:J101">
      <formula1>"TP,FULL,SAOD"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2023-02-19T10:04:07Z</dcterms:created>
  <dc:creator>Microsoft Office User</dc:creator>
</cp:coreProperties>
</file>