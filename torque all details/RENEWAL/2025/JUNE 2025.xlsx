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Sheet1!$A$2:$AI$248</definedName>
  </definedNames>
  <calcPr/>
</workbook>
</file>

<file path=xl/sharedStrings.xml><?xml version="1.0" encoding="utf-8"?>
<sst xmlns="http://schemas.openxmlformats.org/spreadsheetml/2006/main" count="3612" uniqueCount="1618">
  <si>
    <t>SR NO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</si>
  <si>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</si>
  <si>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</si>
  <si>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</si>
  <si>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</si>
  <si>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</si>
  <si>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</si>
  <si>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</si>
  <si>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</si>
  <si>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</si>
  <si>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</si>
  <si>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</si>
  <si>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TP/FULL/SAOD</t>
  </si>
  <si>
    <t>VIA</t>
  </si>
  <si>
    <t>FROM</t>
  </si>
  <si>
    <t>CF EXPIRY</t>
  </si>
  <si>
    <t>PUC EXPIRY</t>
  </si>
  <si>
    <t>PERMIT EXPIRY</t>
  </si>
  <si>
    <t>NET PREMIUM</t>
  </si>
  <si>
    <t>TOTAL PREMIUM</t>
  </si>
  <si>
    <t>RS FROM CUSTOMER</t>
  </si>
  <si>
    <t>Difference</t>
  </si>
  <si>
    <t>ONLINE UPDATE</t>
  </si>
  <si>
    <t>FILE / COVER / COURIER / POST</t>
  </si>
  <si>
    <t>ADDRESS</t>
  </si>
  <si>
    <t>-</t>
  </si>
  <si>
    <t>GJ13AX1980</t>
  </si>
  <si>
    <t>3379/04374331/000/00</t>
  </si>
  <si>
    <t>LCV</t>
  </si>
  <si>
    <t>BADA DOST - I4 FSD BSVI</t>
  </si>
  <si>
    <t>MAHMAD AJAZ HANIFBHAI GHANCHI</t>
  </si>
  <si>
    <t>97245 00181</t>
  </si>
  <si>
    <t>CHOLA</t>
  </si>
  <si>
    <t>FULL</t>
  </si>
  <si>
    <t>RN</t>
  </si>
  <si>
    <t>DC</t>
  </si>
  <si>
    <t xml:space="preserve">YES </t>
  </si>
  <si>
    <t xml:space="preserve">cover-ok </t>
  </si>
  <si>
    <t>GHANCHI STREET 7 MAHENDRAPARA ROAD MORBI, MORBI,MORBI,, MORBI,MORBI GUJARAT,PIN- 363641</t>
  </si>
  <si>
    <t>GJ36N1525</t>
  </si>
  <si>
    <t>12-1806-0007293413-00</t>
  </si>
  <si>
    <t xml:space="preserve">2W </t>
  </si>
  <si>
    <t>SPLENDOR I SMART</t>
  </si>
  <si>
    <t>Babariya Bhurendra Dilipbhai</t>
  </si>
  <si>
    <t xml:space="preserve">BAJAJ </t>
  </si>
  <si>
    <t>TP</t>
  </si>
  <si>
    <t xml:space="preserve">OF </t>
  </si>
  <si>
    <t xml:space="preserve">IS </t>
  </si>
  <si>
    <t>28-01-2034</t>
  </si>
  <si>
    <t xml:space="preserve">aavine lai jase </t>
  </si>
  <si>
    <t>VAVDI ROAD SOMAIYA SOCIETY MORBI MDG , MORBI MDG RAJKOT 363641 GUJARAT</t>
  </si>
  <si>
    <t>GJ36V6682</t>
  </si>
  <si>
    <t>213049/31/26/002568</t>
  </si>
  <si>
    <t>MARUTI SUZUKI - SUPER CARRY STD BS 6</t>
  </si>
  <si>
    <t>MR. KARIM OSHMANBHAI KATIYA</t>
  </si>
  <si>
    <t xml:space="preserve">SHRIRAM </t>
  </si>
  <si>
    <t>GN</t>
  </si>
  <si>
    <t>20-05-2026</t>
  </si>
  <si>
    <t>20-05-2025</t>
  </si>
  <si>
    <t>speed post - ok</t>
  </si>
  <si>
    <t>2-349, SHEKH VAS, AT- MALIYA, TA- MORBI,, , ,, MORBI - 363670 , MALIYA MIYANA , RAJKOT, GUJARAT - 363670</t>
  </si>
  <si>
    <t>GJ36W7247</t>
  </si>
  <si>
    <t>213049/31/26/002566</t>
  </si>
  <si>
    <t>3WPCV</t>
  </si>
  <si>
    <t>BAJAJ AUTO - MAXIMA Z CNG BS 6</t>
  </si>
  <si>
    <t>/ MR. HAJIBHAI HUSHENBHAI MAJOTHI</t>
  </si>
  <si>
    <t>JP</t>
  </si>
  <si>
    <t>23-05-2026</t>
  </si>
  <si>
    <t>23-05-2025</t>
  </si>
  <si>
    <t>OPP JAKATNAKA LILAPAR ROAD MDG, MORBI, MORBI, GUJARAT, 363641 , MORBI , RAJKOT, GUJARAT - 363641</t>
  </si>
  <si>
    <t>GJ36U6900</t>
  </si>
  <si>
    <t>213049/31/26/002564</t>
  </si>
  <si>
    <t>MR. HITENDRA KAILASHGIRI GOSWAMI</t>
  </si>
  <si>
    <t xml:space="preserve">SN </t>
  </si>
  <si>
    <t>17-04-2027</t>
  </si>
  <si>
    <t>16-02-2030</t>
  </si>
  <si>
    <t>MORBI NAVLAKHI ROAD KUBERNAGAR-4, MORBI, , MORBI, GUJARAT, 363641 , MORBI , RAJKOT, GUJARAT - 363641</t>
  </si>
  <si>
    <t>GJ36W0021</t>
  </si>
  <si>
    <t>213049/31/26/002562</t>
  </si>
  <si>
    <t>MR. MUSTAQ HUSHENBHAI MADAKIYA</t>
  </si>
  <si>
    <t>20-06-2027</t>
  </si>
  <si>
    <t>25-06-2028</t>
  </si>
  <si>
    <t>NAGAR NAKA ROAD LUHAR VARI SHERI DALA WAS TA TANKARA MORBI GUJARAT 363650 , TANKARA , RAJKOT, GUJARAT - 363650</t>
  </si>
  <si>
    <t>GJ36V1904</t>
  </si>
  <si>
    <t>213049/31/26/002561</t>
  </si>
  <si>
    <t>MAHINDRA AND MAHINDRA - SUPRO PROFITTRUCK MINI VX BS6</t>
  </si>
  <si>
    <t>MR. DABHI DHARMENDRA SHIVABHAI</t>
  </si>
  <si>
    <t>19-06-2026</t>
  </si>
  <si>
    <t>19-07-2025</t>
  </si>
  <si>
    <t>GULABNAGAR , MOTI VAVDI , MORBI , RAJKOT , GUJARAT , MORBI , RAJKOT, GUJARAT - 363641</t>
  </si>
  <si>
    <t>GJ12AT8888</t>
  </si>
  <si>
    <t>213049/31/26/002602</t>
  </si>
  <si>
    <t>HGV</t>
  </si>
  <si>
    <t>TATA MOTORS - LPT 2515 COWL</t>
  </si>
  <si>
    <t>MR. MAHMADIKBAL BHATTI</t>
  </si>
  <si>
    <t>99986 86286</t>
  </si>
  <si>
    <t>82000 30131</t>
  </si>
  <si>
    <t>VR</t>
  </si>
  <si>
    <t>27-07-2025</t>
  </si>
  <si>
    <t>23-07-2028</t>
  </si>
  <si>
    <t>VAGADIYA GAITE,OPP NAGARAPALIKA MALIYA,MALIYA,: MALIYA MIYANA,RAJKOT,: RAJKOT-363670, , MALIYA MIYANA , RAJKOT, GUJARAT - 363670</t>
  </si>
  <si>
    <t>GJ36X3128</t>
  </si>
  <si>
    <t>213049/31/26/002616</t>
  </si>
  <si>
    <t>MAHINDRA AND MAHINDRA - BOLERO CAMPER GOLD ZX 2WD PS BS 6</t>
  </si>
  <si>
    <t>MR. KHIT MILAN RAMABHAI</t>
  </si>
  <si>
    <t>97120 64564</t>
  </si>
  <si>
    <t>99793 75111</t>
  </si>
  <si>
    <t>21-05-2026</t>
  </si>
  <si>
    <t>21-05-2025</t>
  </si>
  <si>
    <t>MAHENDRA PARA-11, NEAR MACHCHHU MATAJI TEMPLE, MDG,MORBI, 363641 , MORBI , RAJKOT, GUJARAT - 363641</t>
  </si>
  <si>
    <t>GJ36T9791</t>
  </si>
  <si>
    <t>213049/31/26/002620</t>
  </si>
  <si>
    <t>TATA MOTORS - ULTRA T.11/39CBC BS 6</t>
  </si>
  <si>
    <t>MR. LOKHIL BHARATBHAI KANJIBHAI</t>
  </si>
  <si>
    <t>63510 00398</t>
  </si>
  <si>
    <t>90333 33157</t>
  </si>
  <si>
    <t>MT</t>
  </si>
  <si>
    <t>17-06-2027</t>
  </si>
  <si>
    <t>27-04-2028</t>
  </si>
  <si>
    <t>AT KRUSHNANAGAR ,GUNGANTAL MORBI DIST MORBIRAJKOTGUJARAT 363642 , GUNGAN , RAJKOT, GUJARAT - 363642</t>
  </si>
  <si>
    <t>GJ03FR6242</t>
  </si>
  <si>
    <t>6104409819 - 00</t>
  </si>
  <si>
    <t>2W</t>
  </si>
  <si>
    <t>HONDA/ACTIVA</t>
  </si>
  <si>
    <t>Mr. THEBA HANIF MUSABHAI</t>
  </si>
  <si>
    <t>98254 84598</t>
  </si>
  <si>
    <t>TATA</t>
  </si>
  <si>
    <t xml:space="preserve">RN </t>
  </si>
  <si>
    <t>KALIKA PLOT STREET NO 5 BEHIND V MART RAVAPAR ROAD MORBI,
MORBI- 363641,
GUJARAT</t>
  </si>
  <si>
    <t>GJ36V4347</t>
  </si>
  <si>
    <t>3379/04376641/000/00</t>
  </si>
  <si>
    <t>BOL MAXX PUP - CITY LX CNG BSVI</t>
  </si>
  <si>
    <t>JANVI IMPEX</t>
  </si>
  <si>
    <t xml:space="preserve">CHOLA </t>
  </si>
  <si>
    <t>19-06-2027</t>
  </si>
  <si>
    <t>SURVEY NO 565 1 PLOT NO 6 AT GHUNADA SAJANPAR DI MORBI,, WANKANER S.O,RAJKOT GUJARAT,PIN- 363621</t>
  </si>
  <si>
    <t>GJ36T6876</t>
  </si>
  <si>
    <t>213049/31/26/002672</t>
  </si>
  <si>
    <t>MAHINDRA AND MAHINDRA - BOLERO MAXI TRUCK PLUS 1.2T PS</t>
  </si>
  <si>
    <t>MR. NIGAMBHAI AMRUTLAL VIDJA</t>
  </si>
  <si>
    <t>AL</t>
  </si>
  <si>
    <t>13-06-2026</t>
  </si>
  <si>
    <t>13-06-2025</t>
  </si>
  <si>
    <t>&gt;</t>
  </si>
  <si>
    <t>AT RAPAR JETPAR TA MORBI MORBI GUJARAT, 363630 , JETPAR , RAJKOT, GUJARAT - 363630</t>
  </si>
  <si>
    <t>GJ36S1345</t>
  </si>
  <si>
    <t>161522523430004303</t>
  </si>
  <si>
    <t>OTHER</t>
  </si>
  <si>
    <t>JCB INDIA LIMITED 3DX XTRA</t>
  </si>
  <si>
    <t>Mr. HAKABHAI HIRABHAI PANCHIYA</t>
  </si>
  <si>
    <t>97261 52414</t>
  </si>
  <si>
    <t xml:space="preserve">RELIANCE </t>
  </si>
  <si>
    <t>NL</t>
  </si>
  <si>
    <t>21-01-2023</t>
  </si>
  <si>
    <t>AT JUNA JAMBUDIYA MORBI MORBI, RAJKOT, GUJARAT, India, 363642.</t>
  </si>
  <si>
    <t>GJ36AL3193</t>
  </si>
  <si>
    <t>D205919702 / 06062025</t>
  </si>
  <si>
    <t>LMV</t>
  </si>
  <si>
    <t>TRIBER/RXL BSVI</t>
  </si>
  <si>
    <t>RAJESH BODA</t>
  </si>
  <si>
    <t xml:space="preserve">GO DIGIT </t>
  </si>
  <si>
    <t>DARSHAN APPARTMENT 206 SECOND FLOOR, SARDAR NAGAR 1 TAL- MORBI, DIS- MORBI GUJA,RAT 363641,Morbi-363641</t>
  </si>
  <si>
    <t>GJ36F6417</t>
  </si>
  <si>
    <t>161522523110003667</t>
  </si>
  <si>
    <t>MARUTI SUZUKI EECO TOUR V 5 SEATER AC CNG</t>
  </si>
  <si>
    <t>Mr. VISHALBHAI RAJUBHAI RATHOD</t>
  </si>
  <si>
    <t>IS</t>
  </si>
  <si>
    <t>29-04-2033</t>
  </si>
  <si>
    <t>30-10-2025</t>
  </si>
  <si>
    <t>SO CHORAS FUT NEAR DADMADADA TEMPLE GHUNTU MORBI MORBI, GUJARAT, India, 363641.</t>
  </si>
  <si>
    <t>GJ36V6317</t>
  </si>
  <si>
    <t>213049/31/26/002682</t>
  </si>
  <si>
    <t>MR. KANUBHAI VALJIBHAI ITODARA</t>
  </si>
  <si>
    <t>speed post-ok</t>
  </si>
  <si>
    <t>AT DIGHADIYA , TA HALAVAD , MORBI , GUJARAT , HALVAD , SURENDRA NAGAR, GUJARAT - 363330 ,</t>
  </si>
  <si>
    <t>GJ36T4995</t>
  </si>
  <si>
    <t>213049/31/26/002683</t>
  </si>
  <si>
    <t>MAHINDRA AND MAHINDRA - BOLERO MAXI TRUCK PLUS CBC 1.2 T BS6</t>
  </si>
  <si>
    <t>MR. BHARATBHAI DAMJIBHAI SARSAVADIYA</t>
  </si>
  <si>
    <t>13-10-2024</t>
  </si>
  <si>
    <t>KESHAVNAGAR , JIVAPAR CHAKAMPUR-MORBI , RAJKOT, GUJARAT - 363641</t>
  </si>
  <si>
    <t>GJ03AW9419</t>
  </si>
  <si>
    <t>213049/31/26/002685</t>
  </si>
  <si>
    <t>TATA MOTORS - LPT 1109 EX / 42 BS 3</t>
  </si>
  <si>
    <t>MR. BHARATBHAI KANJIBHAI LOKHIL</t>
  </si>
  <si>
    <t>17-06-2026</t>
  </si>
  <si>
    <t>15-02-2028</t>
  </si>
  <si>
    <t>GUNGAN 2 , MORBI , RAJKOT , GUJARAT , MORBI , RAJKOT, GUJARAT - 363641</t>
  </si>
  <si>
    <t>GJ36W8325</t>
  </si>
  <si>
    <t>POCMVGC0100362394</t>
  </si>
  <si>
    <t>3WGCV</t>
  </si>
  <si>
    <t>Bajaj Auto Limited,Maxima &amp; Cargo CNG DAC</t>
  </si>
  <si>
    <t>Mr.GOPALBHAI VIHABHAI BHANGARA</t>
  </si>
  <si>
    <t>SBI</t>
  </si>
  <si>
    <t xml:space="preserve"> cover-ok</t>
  </si>
  <si>
    <t>MAKANSAR MORBI, GUJARAT, Rajkot, Gujarat-363642 India</t>
  </si>
  <si>
    <t>GJ36X4763</t>
  </si>
  <si>
    <t>3379/04376925/000/00</t>
  </si>
  <si>
    <t>BOL MAXX PUP - 1.7 CITY LX BSVI</t>
  </si>
  <si>
    <t>VINODBHAI BECHARBHAI BARAIYA</t>
  </si>
  <si>
    <t>SM</t>
  </si>
  <si>
    <t>21-02-2026</t>
  </si>
  <si>
    <t>26-05-2026</t>
  </si>
  <si>
    <t>DHAR UPAR, BEHIND KUBER CINEMA , AT TRAJPAR , TAL MORBI , MORBI,,,,, MORBI PPW S.O,RAJKOT</t>
  </si>
  <si>
    <t>GJ36R1549</t>
  </si>
  <si>
    <t>12-1805-0007327355-00</t>
  </si>
  <si>
    <t xml:space="preserve"> MARUTI ALTO</t>
  </si>
  <si>
    <t>Riyaz Nurudin Katiya</t>
  </si>
  <si>
    <t>98254 17664</t>
  </si>
  <si>
    <t>OF</t>
  </si>
  <si>
    <t>20-07-2035</t>
  </si>
  <si>
    <t>JONES NAGAR STREET NO 12 MORBI 1 , MORBI RAJKOT 363641 GUJARAT</t>
  </si>
  <si>
    <t>GJ09AG5613</t>
  </si>
  <si>
    <t>12-1805-0007327295-00</t>
  </si>
  <si>
    <t xml:space="preserve">MARUTI EECO </t>
  </si>
  <si>
    <t>Rafai Sultan Jumabhai</t>
  </si>
  <si>
    <t xml:space="preserve">speed post-ok </t>
  </si>
  <si>
    <t>CHHATTAR MORBI TANKARA , TANKARA RAJKOT 363650 GUJARAT</t>
  </si>
  <si>
    <t>GJ03BZ5075</t>
  </si>
  <si>
    <t>VGC1164817000100</t>
  </si>
  <si>
    <t>ASHOK LAYLEND 2516 H/4C/TRUCK</t>
  </si>
  <si>
    <t xml:space="preserve">MR MUNDHAVA VIJAYKUMAR POPATBHAI </t>
  </si>
  <si>
    <t xml:space="preserve">MAGMA </t>
  </si>
  <si>
    <t>22-05-2026</t>
  </si>
  <si>
    <t>30-09-2025</t>
  </si>
  <si>
    <t>18-06-2029</t>
  </si>
  <si>
    <t xml:space="preserve">office e j rakhvani </t>
  </si>
  <si>
    <t>SAMLI MATHAK SURENDRANAGAR HALVAD SURENDRANAGAR GUJRAT 363330</t>
  </si>
  <si>
    <t>GJ36L7645</t>
  </si>
  <si>
    <t>POPMCAR00101755057</t>
  </si>
  <si>
    <t>Mahindra &amp; Mahindra,Bolero &amp; DI BSIII</t>
  </si>
  <si>
    <t>Mr KATIA SATAR ALIYAS</t>
  </si>
  <si>
    <t>20-12-2027</t>
  </si>
  <si>
    <t>LATI PLOT MAFATIYA PARA, MORBI, Rajkot, Gujarat 363641</t>
  </si>
  <si>
    <t>GJ36AC9645</t>
  </si>
  <si>
    <t>561002312519000467</t>
  </si>
  <si>
    <t xml:space="preserve">MARUTI SUZUKI EECO  </t>
  </si>
  <si>
    <t xml:space="preserve">MR. MANSUKHBHAI BABUBHAI PANARA </t>
  </si>
  <si>
    <t xml:space="preserve">NATIONAL </t>
  </si>
  <si>
    <t>21-06-2037</t>
  </si>
  <si>
    <t>CHUMPANI, PO MATHAK, SURENDRANAGAR- 363330</t>
  </si>
  <si>
    <t>GJ03BT4826</t>
  </si>
  <si>
    <t>12-1831-0007329032-00</t>
  </si>
  <si>
    <t>TATA LPT 909 EX</t>
  </si>
  <si>
    <t>Toyta Devabhai Machabhai</t>
  </si>
  <si>
    <t>16-10-2025</t>
  </si>
  <si>
    <t>17-07-2029</t>
  </si>
  <si>
    <t>JAVAHAR SOCIETY SHERI NO 2 BHADIYAD MORBI , BHADIYAD RAJKOT 363642 GUJARAT</t>
  </si>
  <si>
    <t>GJ13DD2847</t>
  </si>
  <si>
    <t>12-1806-0007329004-00</t>
  </si>
  <si>
    <t>BAJAJ DISCOVER DTS-Si KICK STAR</t>
  </si>
  <si>
    <t>Thakor Rahulbhai Becharbhai</t>
  </si>
  <si>
    <t>15-08-2026</t>
  </si>
  <si>
    <t>EKALVA EKALVA PATAN , EKALVA PATAN 384240 GUJARAT</t>
  </si>
  <si>
    <t>GJ03HJ5267</t>
  </si>
  <si>
    <t>12-1806-0007329002-00</t>
  </si>
  <si>
    <t>HERO MOTOCORP PASSION XPRO</t>
  </si>
  <si>
    <t>Sherasiya Kirit Harilal</t>
  </si>
  <si>
    <t>92655 78455‬</t>
  </si>
  <si>
    <t>PLOT NO 17 KISHAN PARK SATYAM VIDHYALAY MORABI MORBI MDG , MORBI MDG RAJKOT 363641 GUJARAT</t>
  </si>
  <si>
    <t>GJ01RX9879</t>
  </si>
  <si>
    <t>12-1805-0007328996-00</t>
  </si>
  <si>
    <t>VOLKSWAGEN POLO</t>
  </si>
  <si>
    <t>Jethloja Bipinbhai Bhanjibhai</t>
  </si>
  <si>
    <t>cover-ok</t>
  </si>
  <si>
    <t>PATELVAS MOHANDEVRAJ VALI SHERI SHIVPUR MORBI SHIVPUR MATHAK HALVAD , MATHAK SURENDRA NAGAR 363330 GUJARAT</t>
  </si>
  <si>
    <t>GJ36B5062</t>
  </si>
  <si>
    <t>561002312519000471</t>
  </si>
  <si>
    <t xml:space="preserve">HYUNDAI 120 ASTA 1.4 CRDI </t>
  </si>
  <si>
    <t xml:space="preserve">MR.JAYANTILAL MULJIBHAI CHHATROLA </t>
  </si>
  <si>
    <t xml:space="preserve"> cover-ok </t>
  </si>
  <si>
    <t>NICHI MANDAL, NICHI MANDAL RAJKOT MORBI 363641</t>
  </si>
  <si>
    <t>GJ36T1937</t>
  </si>
  <si>
    <t>213049/31/26/002734</t>
  </si>
  <si>
    <t>MAHINDRA AND MAHINDRA - BOLERO PICK UP FB BS 3</t>
  </si>
  <si>
    <t>MR. SURELA DHARAMASHIBHAI LABHUBHAI</t>
  </si>
  <si>
    <t>23-06-2025</t>
  </si>
  <si>
    <t>16-04-2026</t>
  </si>
  <si>
    <r>
      <t xml:space="preserve"> </t>
    </r>
    <r>
      <rPr>
        <rFont val="Arial"/>
        <color rgb="FF000000"/>
      </rPr>
      <t xml:space="preserve">cover-ok </t>
    </r>
  </si>
  <si>
    <t>AT LILAPAR TA MORBI MORBI , LILAPAR , RAJKOT, GUJARAT - 363641</t>
  </si>
  <si>
    <t>GJ03EC2748</t>
  </si>
  <si>
    <t>561002312519000470</t>
  </si>
  <si>
    <t xml:space="preserve">CHEVROLETTAVERA LS B3 10 STR BS III </t>
  </si>
  <si>
    <t xml:space="preserve">MR. KANZARIYA MAVJI KANJIBHAI </t>
  </si>
  <si>
    <t>79843 34645</t>
  </si>
  <si>
    <t>18-05-2016</t>
  </si>
  <si>
    <t>MOR BHAGAT NI VADI BEHIND GOKALDAS PRAGJI JIN MORBI 363641</t>
  </si>
  <si>
    <t>GJ03EH0248</t>
  </si>
  <si>
    <t>12-1806-0007329012-00</t>
  </si>
  <si>
    <t>HERO HONDA SPLENDOR PLUS</t>
  </si>
  <si>
    <t>Parmar Juberbhai Hanifbhai</t>
  </si>
  <si>
    <t>30-01-2027</t>
  </si>
  <si>
    <t>24-04-2024</t>
  </si>
  <si>
    <t>A -9 LATI PLOT STREET NUMBER 8 NEAR LUKS FARNITURE JONSNAGAR MORVI RAJKOT , MORBI RAJKOT 363641 GUJARAT</t>
  </si>
  <si>
    <t>GJ14X5581</t>
  </si>
  <si>
    <t>213049/31/26/002759</t>
  </si>
  <si>
    <t>ASHOK LEYLAND - 1616 IL / 4 (246")</t>
  </si>
  <si>
    <t>MR. FATEPARA AADRSHAKUMAR BHIKHABHAI</t>
  </si>
  <si>
    <t>15-06-2026</t>
  </si>
  <si>
    <t>22-06-2025</t>
  </si>
  <si>
    <t>SANALI VINCHHIYA JASDAN RAJKOT GUJARAT 360055 , SANALI , RAJKOT, GUJARAT - 360055</t>
  </si>
  <si>
    <t>GJ36U6772</t>
  </si>
  <si>
    <t>213049/31/26/002760</t>
  </si>
  <si>
    <t>MR. MAQBOOL YUSUFBHAI KURESHI</t>
  </si>
  <si>
    <t>20-06-2025</t>
  </si>
  <si>
    <t>18-06-2025</t>
  </si>
  <si>
    <t>14-06-2026</t>
  </si>
  <si>
    <t>shiv trading torque same</t>
  </si>
  <si>
    <t>SAMADHIALA RAJKOT GUJARAT , WANKANER, GUJARAT - 363621</t>
  </si>
  <si>
    <t>GJ36T9579</t>
  </si>
  <si>
    <t>213049/31/26/002761</t>
  </si>
  <si>
    <t>MR. RAVAL VISHNUBHAI RAMSANGBHAI</t>
  </si>
  <si>
    <t>15-05-2027</t>
  </si>
  <si>
    <t>420 DHARKHARI VISTAR , TRAJPAR MORBI MAFATIYAPARA-MORBI 2 , MORBI, GUJARAT - 363642</t>
  </si>
  <si>
    <t>GJ32K1117</t>
  </si>
  <si>
    <t>POPMCAR00101759016</t>
  </si>
  <si>
    <t>Maruti Suzuki,New Dzire &amp; Vxi AGS</t>
  </si>
  <si>
    <t>Mr KISHOR SAVJIBHAI CHANDRA</t>
  </si>
  <si>
    <t>79846 73550</t>
  </si>
  <si>
    <t>17-12-2025</t>
  </si>
  <si>
    <t>MANGALDHAM PLOT 38/1, LALPUR ROAS, Jamnagar, Gujarat 361006</t>
  </si>
  <si>
    <t>GJ36V3355</t>
  </si>
  <si>
    <t>213049/31/26/002796</t>
  </si>
  <si>
    <t>TATA MOTORS - LPT 4825 BS 6 10*2</t>
  </si>
  <si>
    <t>MR. MOTLANI KASAMBHAI ANVARBHAI</t>
  </si>
  <si>
    <t>96645 18633</t>
  </si>
  <si>
    <t>14/06/2026</t>
  </si>
  <si>
    <t>NO</t>
  </si>
  <si>
    <t>V C PARA MANDINA SOCIETY, MORBI , CITY-RAJKOT , MORBI, GUJARAT - 363641</t>
  </si>
  <si>
    <t>GJ36V3391</t>
  </si>
  <si>
    <t>213049/31/26/002798</t>
  </si>
  <si>
    <t>20-07-2026</t>
  </si>
  <si>
    <t>21-07-2027</t>
  </si>
  <si>
    <t>GJ36V5254</t>
  </si>
  <si>
    <t>213049/31/26/002803</t>
  </si>
  <si>
    <t>TATA MOTORS - LPT 4825 10X2 BS 6</t>
  </si>
  <si>
    <t>22-06-2026</t>
  </si>
  <si>
    <t>23-06-2027</t>
  </si>
  <si>
    <t>GJ36V5353</t>
  </si>
  <si>
    <t>213049/31/26/002800</t>
  </si>
  <si>
    <t>20-06-2026</t>
  </si>
  <si>
    <t>21-06-2027</t>
  </si>
  <si>
    <t>GJ36V6693</t>
  </si>
  <si>
    <t>3379/04378975/000/00</t>
  </si>
  <si>
    <t>ALPESH ASHOKBHAI PARMAR</t>
  </si>
  <si>
    <t>91062 96107</t>
  </si>
  <si>
    <t>PR</t>
  </si>
  <si>
    <t>22-05-2025</t>
  </si>
  <si>
    <t>29-05-2029</t>
  </si>
  <si>
    <t>AT BAGATHALA, PO BAGATHALA , DIST MORBI , MORBI,, MORBI,RAJKOT GUJARAT,PIN- 363641</t>
  </si>
  <si>
    <t>GJ36U8362</t>
  </si>
  <si>
    <t>POCMVGC0100365258</t>
  </si>
  <si>
    <t>Bajaj Auto Limited,Maxima C &amp; CNG</t>
  </si>
  <si>
    <t>Mr.PATHAN HUSHEN MAHMADBHAI</t>
  </si>
  <si>
    <t>RABARI VAS BH SUB JAIL , MDG MORBI, Rajkot, Gujarat-363641 India</t>
  </si>
  <si>
    <t>GJ36AC1612</t>
  </si>
  <si>
    <t>2302 2065 0071 3601 000</t>
  </si>
  <si>
    <t>MARUTI EECO-5 STR</t>
  </si>
  <si>
    <t>M/S SOMANY MAX PRIVATE LIMITED</t>
  </si>
  <si>
    <t>HDFC</t>
  </si>
  <si>
    <t>RB</t>
  </si>
  <si>
    <t>19-02-2025</t>
  </si>
  <si>
    <t>SERVEY NO 466 P1 P3 P4 P5 SURVEY NO 465 467 468 P2 KHOKHRA HANUMAN ROAD NEAR KHOKHRA HANUMAN T RAJKOT RAJKOT GUJARAT - 363642</t>
  </si>
  <si>
    <t>GJ36T6253</t>
  </si>
  <si>
    <t>POCMVGC0100365871</t>
  </si>
  <si>
    <t>Maruti,Super Carry &amp; Diesel STD</t>
  </si>
  <si>
    <t>Mr.MILANBHAI RAYDHANBHAI ZILARIYA</t>
  </si>
  <si>
    <t>23-12-2025</t>
  </si>
  <si>
    <t>AT HOUSE 3 TULSI PARK SOC SHANALA BY PASS, NEAR ANAND NAGAR, Rajkot, Gujarat-363641 Indi</t>
  </si>
  <si>
    <t>GJ03CR3829</t>
  </si>
  <si>
    <t>POPMCAR00101763538</t>
  </si>
  <si>
    <t>Maruti Suzuki,Alto &amp; Lxi - BS III</t>
  </si>
  <si>
    <t>Mr AAMIN AMADBHAI PAYAK</t>
  </si>
  <si>
    <t>19/06/2026</t>
  </si>
  <si>
    <t>14-06-2025</t>
  </si>
  <si>
    <t>HARIPAR RAJKOT, RAJKOT, Rajkot, Gujarat 363641</t>
  </si>
  <si>
    <t>GJ03HA4661</t>
  </si>
  <si>
    <t>POPMCAR00101763540</t>
  </si>
  <si>
    <t>Hyundai,Grand I10 &amp; Sportz</t>
  </si>
  <si>
    <t>Mr SATISHKUMAR LALJIBHAI MERJA</t>
  </si>
  <si>
    <t>29-04-2025</t>
  </si>
  <si>
    <t>AVADH SOCIETY PLOT NO 93 ST NO 4 BH NEW HOUSING , SANALA ROAD, Rajkot, Gujarat 363641</t>
  </si>
  <si>
    <t>GJ13QQ4302</t>
  </si>
  <si>
    <t>12-1806-0007353709-00</t>
  </si>
  <si>
    <t>HERO MOTOCORP SPLENDOR PLUS</t>
  </si>
  <si>
    <t>Multani Ikbalbhai Isubbhai</t>
  </si>
  <si>
    <t>MATHAK SURENDRA NAGAR MATHAK , MATHAK SURENDRA NAGAR 363330 GUJARAT</t>
  </si>
  <si>
    <t>GJ36AB7867</t>
  </si>
  <si>
    <t>12-1806-0007353706-00</t>
  </si>
  <si>
    <t>YAMAHA YZF R15  V3 ABS BS V</t>
  </si>
  <si>
    <t>Sandhvani Mosin Hasambhai</t>
  </si>
  <si>
    <t>20-11-2035</t>
  </si>
  <si>
    <t>MAHENDRAPARA 14 MORBI PO MORBI MDG , MORBI MDG RAJKOT 363641 GUJARAT</t>
  </si>
  <si>
    <t>GJ36K2525</t>
  </si>
  <si>
    <t>12-1806-0007353701-00</t>
  </si>
  <si>
    <t>HONDA CB SHINE</t>
  </si>
  <si>
    <t>Pathan Mujibkhan Mazarmahamad</t>
  </si>
  <si>
    <t>30-03-2033</t>
  </si>
  <si>
    <t>ZAVER SHERI GADH NI RANG MORVI , MORABI RAJKOT 363641 GUJARAT</t>
  </si>
  <si>
    <t>GJ03FL1103</t>
  </si>
  <si>
    <t>12-1806-0007353698-00</t>
  </si>
  <si>
    <t>HERO MOTOCORP PLEASURE LIMITED EDITION</t>
  </si>
  <si>
    <t>Hadiyal Rohitbhai Dayabhai</t>
  </si>
  <si>
    <t>KALIKA PLOT STREET NO 1 OPP KHODIYAR WELDING MORVI MDG , MORBI MDG RAJKOT 363641 GUJARAT</t>
  </si>
  <si>
    <t>GJ13AV4134</t>
  </si>
  <si>
    <t>213049/31/26/002874</t>
  </si>
  <si>
    <t>R. JUSANI MUSTUFA IKBALBHAI</t>
  </si>
  <si>
    <t>13-06-2027</t>
  </si>
  <si>
    <t>MAKRANI WAS , WANKANER DARVAJA PASE , MORBI , GUJARAT , MORBI , RAJKOT, GUJARAT - 363641</t>
  </si>
  <si>
    <t>GJ03BU4587</t>
  </si>
  <si>
    <t>213049/31/26/002872</t>
  </si>
  <si>
    <t>BAJAJ AUTO - RE COMPACT PLUS</t>
  </si>
  <si>
    <t>MR. RATADIYA PRAVINBHAI ODHADBHAI</t>
  </si>
  <si>
    <t>2-9724568388</t>
  </si>
  <si>
    <t xml:space="preserve">Speed post-ok </t>
  </si>
  <si>
    <t>JAY JAVAN JAY KISHAN SOCIETY STREET NO 5 , MORBI ROAD OPP JAKAT NAKA RAJKOT , RAJKOT , RAJKOT, GUJARAT - 360001</t>
  </si>
  <si>
    <t>GJ36S2590</t>
  </si>
  <si>
    <t>213049/31/26/002873</t>
  </si>
  <si>
    <t>BULL - BULL HD 76</t>
  </si>
  <si>
    <t>BHABHA CERAMIC PRIVATE LIMITED</t>
  </si>
  <si>
    <t>17-03-2026</t>
  </si>
  <si>
    <t>8-A NATIONAL HIGHWAY LAKHDHIRPUR , ROAD, AT- LAKHDHIRPUR, TA-MORBI,DI- MORBI, MORBI -363642 , MORBI , RAJKOT, GUJARAT - 363642</t>
  </si>
  <si>
    <t>GJ36AF0311</t>
  </si>
  <si>
    <t>OG-23-2202-1825-00000783</t>
  </si>
  <si>
    <t>HYUNDAI I20 1.2 KAPPA MAGNA</t>
  </si>
  <si>
    <t>SINDHAV DHANJI NAVGHANBHAI</t>
  </si>
  <si>
    <t>92281 80349</t>
  </si>
  <si>
    <t>78628 14260</t>
  </si>
  <si>
    <t>ICICI</t>
  </si>
  <si>
    <t>29-06-2037</t>
  </si>
  <si>
    <t>MILL PLOT-4862, NR MACCMUMA MAN, VILL-WANKANER, TA-WANKANER, MORBI, RAJKOT, GUJARAT - 363621</t>
  </si>
  <si>
    <t>GJ36V4108</t>
  </si>
  <si>
    <t>213049/31/26/002871</t>
  </si>
  <si>
    <t>MR. PANCHIYA RAMESHBHAI GANDUBHAI</t>
  </si>
  <si>
    <t>99254 90596</t>
  </si>
  <si>
    <t>63535 42695</t>
  </si>
  <si>
    <t>MN</t>
  </si>
  <si>
    <t>22-06-2027</t>
  </si>
  <si>
    <t>MODPAR , MORBI , MORBI , RAJKOT , GUJARAT , MORBI , RAJKOT, GUJARAT - 363641</t>
  </si>
  <si>
    <t>GJ36V6672</t>
  </si>
  <si>
    <t>213049/31/26/002870</t>
  </si>
  <si>
    <t>MR. JIGNESHBHAI GUGABHAI KOLI</t>
  </si>
  <si>
    <t>LAMBI DERI BHAVANI NAGAR , HALAVAD , MORBI , GUJARAT , HALVAD , SURENDRA NAGAR, GUJARAT - 363330</t>
  </si>
  <si>
    <t>GJ03HK8600</t>
  </si>
  <si>
    <t>132/01/11/0626/MTP/2410032875</t>
  </si>
  <si>
    <t>MARUTI SUZUKI CIAZ ZDI</t>
  </si>
  <si>
    <t>MR KISHAN DINESHBHAI KHAMBHLA</t>
  </si>
  <si>
    <t>FUTURE</t>
  </si>
  <si>
    <t>KRUSHN NAGAR 2 BEHIND GAYATRI, NAGAR VAVDI ROAD MORVI, RAJKOT, GUJARAT, INDIA, Pincode : 363641</t>
  </si>
  <si>
    <t>GJ03AT1618</t>
  </si>
  <si>
    <t>213049/31/26/002783</t>
  </si>
  <si>
    <t>ASHOK LEYLAND - 2214 TUSKER SUPER 6X2</t>
  </si>
  <si>
    <t>MR. RAJESHBHAI BHIKHABHAI GOGA</t>
  </si>
  <si>
    <t xml:space="preserve"> 88492 85752</t>
  </si>
  <si>
    <t>14-03-2026</t>
  </si>
  <si>
    <t>22-04-2026</t>
  </si>
  <si>
    <t>DHAYDI VISTAR , AT-RAVAPAR,TA-DI-MORBI, MORBI -999999 , MORBI , RAJKOT, GUJARAT - 363641</t>
  </si>
  <si>
    <t>GJ36X5374</t>
  </si>
  <si>
    <t>POCMVGC0100366339</t>
  </si>
  <si>
    <t>Ashok Leyland,Dost &amp; Plus RLS HSD</t>
  </si>
  <si>
    <t>Mr.IKBAL IBRAHIMBHAI DOSAN</t>
  </si>
  <si>
    <t>RAJPAR MORBI, GUJARAT, Rajkot, Gujarat-363641 India</t>
  </si>
  <si>
    <t>GJ36V5814</t>
  </si>
  <si>
    <t>213049/31/26/002906</t>
  </si>
  <si>
    <t>TATA MOTORS - LPT 1816 DCR 49 HSD 160B6M5</t>
  </si>
  <si>
    <t>MR. RAYMALBHAI JEMABHAI VINZVADIYA</t>
  </si>
  <si>
    <t>99131 32782</t>
  </si>
  <si>
    <t>82381 73148</t>
  </si>
  <si>
    <t>AT OL, WANKANER, MORBI, GUJARAT, 363621 , WANKANER , RAJKOT, GUJARAT - 363621</t>
  </si>
  <si>
    <t>GJ36V6128</t>
  </si>
  <si>
    <t>3379/04379908/000/00</t>
  </si>
  <si>
    <t>VIKANI JAYSUKH DEVSHIBHAI</t>
  </si>
  <si>
    <t>87582 12084</t>
  </si>
  <si>
    <t>26-09-2029</t>
  </si>
  <si>
    <t>MAFATIYA PARA, NAVI RATIDEVLI, RATIDEVLI PO WANKANER DIS MORBI,, WANKANER S.O,RAJKOT GUJARAT,PIN- 363621</t>
  </si>
  <si>
    <t>GJ03MH3112</t>
  </si>
  <si>
    <t>POPMCAR00101765678</t>
  </si>
  <si>
    <t>Maruti Suzuki,Vitara Brezza &amp; ZXI</t>
  </si>
  <si>
    <t>Mr LAKHMANBHAI MEPABHAI GARCHAR</t>
  </si>
  <si>
    <t>87587 03339</t>
  </si>
  <si>
    <t>99748 86103</t>
  </si>
  <si>
    <t>13-06-2037</t>
  </si>
  <si>
    <t>26-04-2025</t>
  </si>
  <si>
    <t>AT KHODAPIPAR TA PADDHARI, DIST RAJKOT, Rajkot, Gujarat 360110</t>
  </si>
  <si>
    <t>GJ36T7707</t>
  </si>
  <si>
    <t>213049/31/26/002922</t>
  </si>
  <si>
    <t>TATA MOTORS - LPT 1109 EX (36/DSD/PTO)</t>
  </si>
  <si>
    <t>Mr. MASABHAI HIRABHAI GAMARA</t>
  </si>
  <si>
    <t>26-09-2025</t>
  </si>
  <si>
    <t>22-04-2030</t>
  </si>
  <si>
    <t>MACHHO NAGAR PANELI ROAD, AT RAFALESHWAR, MORBI, , GUJARAT-363642 , RAFALESHWAR , RAJKOT, GUJARAT - 363642 ,</t>
  </si>
  <si>
    <t>GJ36R9077</t>
  </si>
  <si>
    <t>POPMCAR00101765920</t>
  </si>
  <si>
    <t>Maruti Suzuki,Swift &amp; 1.2 VXI MT</t>
  </si>
  <si>
    <t>Mr AJAYKUMAR NARENDRABHAI BHORANIYA</t>
  </si>
  <si>
    <t>18-05-2036</t>
  </si>
  <si>
    <t>AT JUNA DEVALIYA TA HALVAD, MORBI, Surendra Nagar, Gujarat 363330</t>
  </si>
  <si>
    <t>GJ36U3805</t>
  </si>
  <si>
    <t>213049/31/26/002923</t>
  </si>
  <si>
    <t>MR. BAVADA PRAVINBHAI GOVINDBHAI</t>
  </si>
  <si>
    <t>CHARAN PIPALI , AMRELI , BAGASRA , GUJARAT , BAGASRA , AMRELI, GUJARAT - 365440 ,Mob</t>
  </si>
  <si>
    <t>GJ36T9453</t>
  </si>
  <si>
    <t>6303129394 00 00</t>
  </si>
  <si>
    <t>ASHOK LEYLAND/DOS T/RLX</t>
  </si>
  <si>
    <t>Mr KHUSHAL CHANDUBHAI POPAT</t>
  </si>
  <si>
    <t>97263 70321</t>
  </si>
  <si>
    <t xml:space="preserve">TATA </t>
  </si>
  <si>
    <t>21-10-2025</t>
  </si>
  <si>
    <t>7 JALARAM SOCIETY UN IT 1 NAVLAKHI ROAD M ORVI, MORBI, GUJARAT 363641</t>
  </si>
  <si>
    <t>GJ03HG9292</t>
  </si>
  <si>
    <t>12-1806-0007362580-00</t>
  </si>
  <si>
    <t>ROYAL ENFIELD CLASSIC 350</t>
  </si>
  <si>
    <t>Sevangia Asif Alarkhabhai</t>
  </si>
  <si>
    <t>20-12-2029</t>
  </si>
  <si>
    <t>GHUNTU GHUNTU RAJKOT , GHUNTU RAJKOT 363641 GUJARAT</t>
  </si>
  <si>
    <t>GJ25P0949</t>
  </si>
  <si>
    <t>3008/A/396310966/00/B00</t>
  </si>
  <si>
    <t xml:space="preserve">OTHER </t>
  </si>
  <si>
    <t>WHEEL LOADER 2021 D WHEEL LOADER</t>
  </si>
  <si>
    <t>PRUTHVIRAJ STONE CRUSHER</t>
  </si>
  <si>
    <t>25-06-2025</t>
  </si>
  <si>
    <t>17-06-2025</t>
  </si>
  <si>
    <t>AT-BHALGAM, TA-WANKANER, MORBI, GUJARAT 363641</t>
  </si>
  <si>
    <t>13/06/2025</t>
  </si>
  <si>
    <t>GJ36V1811</t>
  </si>
  <si>
    <t>3379/04381627/000/00</t>
  </si>
  <si>
    <t>BOLERO - PICK UP FB PS 1.7 T XL</t>
  </si>
  <si>
    <t>MAYUR PRAKASHBHAI PANCHASARA</t>
  </si>
  <si>
    <t>17-11-2025</t>
  </si>
  <si>
    <t>NAVA JAMBUDIYA, NAVA JAMBUDIYA, JAMBUDIYA , RAJKOT, JAMBUDIYA B.O,RAJKOT GUJARAT,PIN- 363642</t>
  </si>
  <si>
    <t>GJ36W0162</t>
  </si>
  <si>
    <t>213049/31/26/002979</t>
  </si>
  <si>
    <t>MR. DIPAKBHAI LALJIBHAI RATHOD</t>
  </si>
  <si>
    <t>17/06/2026</t>
  </si>
  <si>
    <t>27-06-2025</t>
  </si>
  <si>
    <t>27-06-2024</t>
  </si>
  <si>
    <t>BHARAT NAGAR SAMAKANTHE , MORBI PPW , RAJKOT, GUJARAT - 363642</t>
  </si>
  <si>
    <t>GJ36W9597</t>
  </si>
  <si>
    <t>213049/31/26/002978</t>
  </si>
  <si>
    <t>MR. HAMIRBHAI VAHANBHAI RAVA</t>
  </si>
  <si>
    <t>24-11-2025</t>
  </si>
  <si>
    <t>20-06-2029</t>
  </si>
  <si>
    <t>DHRUVNAGAR RAJAVAD, TANKARA MORBI, MORBI, GUJARAT, 363650 , TANKARA , RAJKOT, GUJARAT - 363650</t>
  </si>
  <si>
    <t>GJ36T6896</t>
  </si>
  <si>
    <t>213049/31/26/002977</t>
  </si>
  <si>
    <t>LPV</t>
  </si>
  <si>
    <t>MARUTI SUZUKI - EECO TOUR V 5 STR AC</t>
  </si>
  <si>
    <t>MR. TOFIK HUSHENBHAI PILUDIYA</t>
  </si>
  <si>
    <t>16-06-2025</t>
  </si>
  <si>
    <t>26-08-2029</t>
  </si>
  <si>
    <t>236OLD BUSSTAND NEAR GEBANSHAPIR NI DARGHAH OPP MARUTI PAN , - MORBI , MORBI, GUJARAT - 363641</t>
  </si>
  <si>
    <t>GJ01RB6996</t>
  </si>
  <si>
    <t>POPMCAR00101768511</t>
  </si>
  <si>
    <t>Audi,A4 &amp; 2.0 TDI</t>
  </si>
  <si>
    <t>Mr LALJIBHAI PREMJIBHAI PARMA</t>
  </si>
  <si>
    <t>24-02-2028</t>
  </si>
  <si>
    <t>HADMATIYA TANKARA, MORBI, Rajkot, Gujarat 363641</t>
  </si>
  <si>
    <t>GJ36T3301</t>
  </si>
  <si>
    <t>213049/31/26/002976</t>
  </si>
  <si>
    <t>MAHINDRA AND MAHINDRA - BOLERO MAXI TRUCK PLUS BS 4 PS 1.2T</t>
  </si>
  <si>
    <t>MR. GADHAVI RADHESHBHAI VALABHAI</t>
  </si>
  <si>
    <t>29-05-2019</t>
  </si>
  <si>
    <t>ROHIDASPARA , MORBI , GUJARAT , MORBI , RAJKOT, GUJARAT - 363641</t>
  </si>
  <si>
    <t>GJ36W1611</t>
  </si>
  <si>
    <t>POCMVGC0100368495</t>
  </si>
  <si>
    <t>Mr.CHANDANKUMAR VINESHBHAI ZANZAVADIA</t>
  </si>
  <si>
    <t>16-01-2026</t>
  </si>
  <si>
    <t>MORBI TRAJPAR, MORBI, Rajkot, Gujarat-363642 India</t>
  </si>
  <si>
    <t>GJ36X9223</t>
  </si>
  <si>
    <t>213049/31/26/002975</t>
  </si>
  <si>
    <t>MR. AMITBHAI RANCHHODBHAI DHARODIYA</t>
  </si>
  <si>
    <t>20-06-2028</t>
  </si>
  <si>
    <t>AT PALAS LUNSAR WANKANER MORBI MORBI GUJARAT363621 , WANKANER , RAJKOT, GUJARAT - 363621</t>
  </si>
  <si>
    <t>213049/31/26/002974</t>
  </si>
  <si>
    <t>ASHOK LEYLAND - 2516 IL / 1 (193")</t>
  </si>
  <si>
    <t>MR. MUNDHAVA VIJAYKUMAR POPATBHAI</t>
  </si>
  <si>
    <t>SAMALI,MATHAK,HALVAD,MORBI,GUJARAT-363330 , MATHAK , SURENDRA NAGAR, GUJARAT - 363330</t>
  </si>
  <si>
    <t>GJ36V0454</t>
  </si>
  <si>
    <t>POCMVGC0100368492</t>
  </si>
  <si>
    <t>Ashok Leyland,2516</t>
  </si>
  <si>
    <t>Mr.BHAVESHBHA BABABHA GUDHADA</t>
  </si>
  <si>
    <t>98792 29176</t>
  </si>
  <si>
    <t>17-04-2025</t>
  </si>
  <si>
    <t>18-04-2026</t>
  </si>
  <si>
    <t>MADHAPAR STREET NO 17, MORBI, Rajkot, Gujarat-363641 India</t>
  </si>
  <si>
    <t>14/06/2025</t>
  </si>
  <si>
    <t>GJ36X5115</t>
  </si>
  <si>
    <t>213049/31/26/003023</t>
  </si>
  <si>
    <t>TATA MOTORS - SIGNA 3530</t>
  </si>
  <si>
    <t>MR. ARVINDBHAI NARSHIBHAI DABHI</t>
  </si>
  <si>
    <t>13/06/2026</t>
  </si>
  <si>
    <t>23-06-2029</t>
  </si>
  <si>
    <t>AT CHITRAKHDA , TA WANKANER,, MORBI , WANKANER , RAJKOT, GUJARAT - 363621</t>
  </si>
  <si>
    <t>GJ36V1779</t>
  </si>
  <si>
    <t>3003/396631860/00/000</t>
  </si>
  <si>
    <t>BOLERO PICK-UP FB PS 1.7T XL</t>
  </si>
  <si>
    <t>JAY SHIVANSH MIRROR PRIVATE LIMITED</t>
  </si>
  <si>
    <t>29-06-2026</t>
  </si>
  <si>
    <t>24-05-2028</t>
  </si>
  <si>
    <t>PLOT NO 1 AND 2 SURVEY NO 152/2/3, HARIPAR, MORBI, GUJARAT 363641</t>
  </si>
  <si>
    <t>GJ36X4888</t>
  </si>
  <si>
    <t>213049/31/26/003024</t>
  </si>
  <si>
    <t>TATA MOTORS - 1216 LPT BS6</t>
  </si>
  <si>
    <t>MR. SUSARA RAHUL SURESHBHAI</t>
  </si>
  <si>
    <t>25-07-2025</t>
  </si>
  <si>
    <t>27-06-2028</t>
  </si>
  <si>
    <t>rate devanu che</t>
  </si>
  <si>
    <t>VAVDI ROAD KARIYA SOCIETY MORBI, VAVADI ROAD,MORBI, GUJARAT 363641 , MORBI , RAJKOT, GUJARAT - 363641</t>
  </si>
  <si>
    <t>GJ36X7090</t>
  </si>
  <si>
    <t>3003/396632486/00/000</t>
  </si>
  <si>
    <t>BOLERO MAXX PUP HD 2.0L LX</t>
  </si>
  <si>
    <t>SATKA JETHABHAI BHARABHAI</t>
  </si>
  <si>
    <t>AT-PANDATIRATH KADIYANA, TA-HALVAD, MORBI, GUJARAT 363641</t>
  </si>
  <si>
    <t>GJ27AN9060</t>
  </si>
  <si>
    <t>Mr. ANSARI JAMILAHEMAD</t>
  </si>
  <si>
    <t>93280 88460</t>
  </si>
  <si>
    <t>15/06/2026</t>
  </si>
  <si>
    <t>22-07-2030</t>
  </si>
  <si>
    <t>16-07-2025</t>
  </si>
  <si>
    <t>445-31-3 DOCTOR NI CHALI OPP. SHAHID BHAGATSINH NI, CHALI GOMTIPUR ABAD Gujarat, AHMEDABAD- 380021, GUJARAT</t>
  </si>
  <si>
    <t>GJ36V4468</t>
  </si>
  <si>
    <t>3379/04383022/000/00</t>
  </si>
  <si>
    <t>VISHVAS POLYPACK</t>
  </si>
  <si>
    <t>24-07-2028</t>
  </si>
  <si>
    <t>FIRST FLOOR SHOP NO 1 P NO 28 29 1, CHANDRA PARK SARA CROSS ROAD HALVAD, DIS MORBI, HALVAD S.O,SURENDRA NAGAR GUJARAT,PIN- 363330</t>
  </si>
  <si>
    <t>GJ37B0363</t>
  </si>
  <si>
    <t>MARUTI SUZUKI ALTO</t>
  </si>
  <si>
    <t>Mr. Theba Ashif Valimamad</t>
  </si>
  <si>
    <t>96870 47038</t>
  </si>
  <si>
    <t>ZUNO</t>
  </si>
  <si>
    <t>18-05-2026</t>
  </si>
  <si>
    <t>2 AMBIKA CHOWK STREET UNTBET SHAMPAR MORBI MORBI - 363655,Gujarat</t>
  </si>
  <si>
    <t>15/06/2025</t>
  </si>
  <si>
    <t>GJ36S1474</t>
  </si>
  <si>
    <t>3008/A/396678707/00/B00</t>
  </si>
  <si>
    <t>BULL CONSTRUCTION EQUIPMENT BACK HOE LOADER</t>
  </si>
  <si>
    <t>: MATHAKIYA JAHIDHUSEN USMANBHAI</t>
  </si>
  <si>
    <t>24-12-2025</t>
  </si>
  <si>
    <t>AT -RATI DEVLI, TA-WANKANER, MORBI, GUJARAT 363641</t>
  </si>
  <si>
    <t>GJ36V9444</t>
  </si>
  <si>
    <t>P0025200025/4103/101006</t>
  </si>
  <si>
    <t xml:space="preserve">ASHOK LAYLEND 3718S/ TRUCK </t>
  </si>
  <si>
    <t xml:space="preserve">MR SHERASIYA FIROZ HAJI </t>
  </si>
  <si>
    <t>31-07-2027</t>
  </si>
  <si>
    <t>PANCHASAR PANCHASAR MORBI RAJKOT GUJRAT,363621</t>
  </si>
  <si>
    <t>GJ36X3974</t>
  </si>
  <si>
    <t>213049/31/26/003064</t>
  </si>
  <si>
    <t>MR. VIKRAMBHAI RAMASUBHAI PANADA</t>
  </si>
  <si>
    <t>22-04-2025</t>
  </si>
  <si>
    <t>24-04-2029</t>
  </si>
  <si>
    <t>Baki &gt;</t>
  </si>
  <si>
    <t>GOKULDHAM SOCIETY, WADI AREA, PIPALI -2,PIPALI, MORBI, ,, MORBI , MORBI , RAJKOT, GUJARAT - 363641</t>
  </si>
  <si>
    <t>GJ36T4967</t>
  </si>
  <si>
    <t>POCMVGC0100370672</t>
  </si>
  <si>
    <t xml:space="preserve">Mahindra,Bolero &amp; Pick UP FB 1.5T BSIV PS - </t>
  </si>
  <si>
    <t>Mr.RAHUL RAJESHBHAI ADGAMA</t>
  </si>
  <si>
    <t>99042 70209</t>
  </si>
  <si>
    <t>15-07-2026</t>
  </si>
  <si>
    <t>20-08-2025</t>
  </si>
  <si>
    <t>19-06-2029</t>
  </si>
  <si>
    <t>LATI PLOT 3/4 OPP DOSHI INDUSTRIES MAFATIYA PARA, MORBI, Rajkot, Gujarat-363641 India</t>
  </si>
  <si>
    <t>GJ14Z1022</t>
  </si>
  <si>
    <t>POCMVGC0100370642</t>
  </si>
  <si>
    <t>Tata Motors,LPT 1109</t>
  </si>
  <si>
    <t>Mr.HARESHBHAI MAGANBHAI DEGAMA</t>
  </si>
  <si>
    <t>BLOCK 24 TRAJPAR KHARI, MORBI, Rajkot, Gujarat-363642 India</t>
  </si>
  <si>
    <t>16/06/2025</t>
  </si>
  <si>
    <t>MP11G3383</t>
  </si>
  <si>
    <t>064003125P104393843</t>
  </si>
  <si>
    <t xml:space="preserve">MAHINDRA&amp;MAHINDRA/BOLERO PICKUP CBC 2WD </t>
  </si>
  <si>
    <t xml:space="preserve">MR NAJRU DAMOR </t>
  </si>
  <si>
    <t>16/06/2026</t>
  </si>
  <si>
    <t xml:space="preserve">UNITED </t>
  </si>
  <si>
    <t>S/O MUNNA DAMOR, DUDHI KANCH DATTIGAON, DIST - DHAR-MADHYA PRADESH 454116</t>
  </si>
  <si>
    <t>GJ36L5509</t>
  </si>
  <si>
    <t>POPMCAR00101776425</t>
  </si>
  <si>
    <t>Ford,Figo &amp; TITANIUM 1.5 TDCI BS-V</t>
  </si>
  <si>
    <t>Mr IKBALBHAI ISUBBHAI MULTANI</t>
  </si>
  <si>
    <t>99043 58582</t>
  </si>
  <si>
    <t>16-06-2026</t>
  </si>
  <si>
    <t>MATHAK SURENDRANAGAR, DIST MORBI, Rajkot, Gujarat 363641</t>
  </si>
  <si>
    <t>GJ03CK4386</t>
  </si>
  <si>
    <t>OG-26-1105-1806-00007093</t>
  </si>
  <si>
    <t>AVENGER 150 STREET</t>
  </si>
  <si>
    <t>SALIM GULAMHUSEN VADAVARIYA</t>
  </si>
  <si>
    <t>BUDHAWALI LINE STREET NO 2 BEHIND GUEST HOUSE ROAD MORVI, , ,, RAJKOT - 363641</t>
  </si>
  <si>
    <t>17/06/2025</t>
  </si>
  <si>
    <t>GJ36U3559</t>
  </si>
  <si>
    <t>213049/31/26/003121</t>
  </si>
  <si>
    <t>BAJAJ AUTO - RE COMPACT CNG 4S</t>
  </si>
  <si>
    <t>MR. PANJVANI RAFIK BAHADURALI</t>
  </si>
  <si>
    <t>14-07-2026</t>
  </si>
  <si>
    <t>18-04-2025</t>
  </si>
  <si>
    <t>GHUNADA , SAJANPAR , MORBI , GUJARAT , GHUNDA , RAJKOT, GUJARAT - 363641</t>
  </si>
  <si>
    <t>GJ36V1108</t>
  </si>
  <si>
    <t>213049/31/26/003120</t>
  </si>
  <si>
    <t xml:space="preserve">LPV </t>
  </si>
  <si>
    <t>MARUTI SUZUKI - DZIRE TOUR S STD (O) CNG</t>
  </si>
  <si>
    <t>MR. ASHISH BHARATBHAI MAKWANA</t>
  </si>
  <si>
    <t>99040 00489‬</t>
  </si>
  <si>
    <t>18-06-2026</t>
  </si>
  <si>
    <t>kale aavse</t>
  </si>
  <si>
    <t>NANI BAJAR , OPP . CHAUHAN STREET , MORBI , GUJARAT , MORBI , RAJKOT, GUJARAT - 363641 ,M</t>
  </si>
  <si>
    <t>GJ36U1619</t>
  </si>
  <si>
    <t>213049/31/26/003119</t>
  </si>
  <si>
    <t>MR. ARIFBHAI HANIFBHAI AMBALIYA</t>
  </si>
  <si>
    <t>31-05-2027</t>
  </si>
  <si>
    <t xml:space="preserve">kale aavine lai jase </t>
  </si>
  <si>
    <t>KULI NAGAR, V.C. PARA MORBI MORBI GUJARAT, 363641 , - RAJKOT , MORBI, GUJARAT - 363641</t>
  </si>
  <si>
    <t>GJ01HN2524</t>
  </si>
  <si>
    <t>VPT0904479000100</t>
  </si>
  <si>
    <t>MARUTI SUZUKI OMNI MPI STD</t>
  </si>
  <si>
    <t>Mr SUVARIYA SATHISHBHAI DURLABHJIBHAI</t>
  </si>
  <si>
    <t>96648 84525</t>
  </si>
  <si>
    <t xml:space="preserve">ROYAL </t>
  </si>
  <si>
    <t>16-04-2028</t>
  </si>
  <si>
    <t>AMRELI, AMRELI, MORVI,, AJKOT, -, , , AHMEDABAD, 363642, GUJARAT</t>
  </si>
  <si>
    <t>GJ36W6565</t>
  </si>
  <si>
    <t>213049/31/26/003118</t>
  </si>
  <si>
    <t>MR. BIJALBHAI BHARMALBHAI PARMAR</t>
  </si>
  <si>
    <t>83207 35635</t>
  </si>
  <si>
    <t>NEKNAM, TA TANKARA, MORBI, GUJARAT, 363650 , NEKNAM , RAJKOT, GUJARAT - 363650</t>
  </si>
  <si>
    <t>GJ36R5243</t>
  </si>
  <si>
    <t>12-1805-0007397308-00</t>
  </si>
  <si>
    <t>MARUTI SWIFT 1.2L VXI ISS</t>
  </si>
  <si>
    <t>Jakasaniya Harshad Chandulal</t>
  </si>
  <si>
    <t>BAJAJ</t>
  </si>
  <si>
    <t>MORBI SHERI JETPAR RAJKOT , JETPAR M RAJKOT 363630 GUJARA</t>
  </si>
  <si>
    <t>GJ36X6656</t>
  </si>
  <si>
    <t>213049/31/26/003117</t>
  </si>
  <si>
    <t>TATA MOTORS - SIGNA 3530.TK 56WB BS6</t>
  </si>
  <si>
    <t>MR. ARJAN VASABHAI BAMBHAVA</t>
  </si>
  <si>
    <t>99259 68917</t>
  </si>
  <si>
    <t>AT ANDARNA, TAL MORBI, , MORBI, GUJARAT, 363642 , MORBI , RAJKOT, GUJARAT - 363642</t>
  </si>
  <si>
    <t>GJ03AT3869</t>
  </si>
  <si>
    <t>213049/31/26/003116</t>
  </si>
  <si>
    <t>ASHOK LEYLAND - 2516 IL (193")</t>
  </si>
  <si>
    <t>MR. GUDHDA AMUBHAI BABABHAI</t>
  </si>
  <si>
    <t>19-09-2026</t>
  </si>
  <si>
    <t>AT BEHIND MADHAPAR , STREET NO 17 , VAVDI ROAD , MORBI , MORBI , RAJKOT, GUJARAT - 36364</t>
  </si>
  <si>
    <t>GJ36AC0474</t>
  </si>
  <si>
    <t>781122523110001648</t>
  </si>
  <si>
    <t>MARUTI SUZUKI ERTIGA SMART HYBRID VXI</t>
  </si>
  <si>
    <t>Mr. JITENDRA MAGANBHAI MAKWANA</t>
  </si>
  <si>
    <t>81550 57980</t>
  </si>
  <si>
    <t>24-06-2036</t>
  </si>
  <si>
    <t>30-07-2025</t>
  </si>
  <si>
    <t>aaje rate aavse</t>
  </si>
  <si>
    <t>JITENDER MAGANBHAI MAKWANA LAJAI MORBI, GUJARAT, India, 363641</t>
  </si>
  <si>
    <t>GJ13W1368</t>
  </si>
  <si>
    <t>POCMVGC0100372120</t>
  </si>
  <si>
    <t>Atul Auto,ATUL SHAKTI &amp; Cargo D</t>
  </si>
  <si>
    <t>Mr.RAJUBHAI POPATBHAI ZAPDA</t>
  </si>
  <si>
    <t>26-01-2015</t>
  </si>
  <si>
    <t>JINPARA SHERI NO 3 WANKANER, AMARSAR, Rajkot, Gujarat</t>
  </si>
  <si>
    <t>GJ36Q9131</t>
  </si>
  <si>
    <t>161122523480000098</t>
  </si>
  <si>
    <t xml:space="preserve">HONDA ACTIVA 5G </t>
  </si>
  <si>
    <t xml:space="preserve">MODAN ASLAM IBRAHIMBHAI </t>
  </si>
  <si>
    <t>90673 24747</t>
  </si>
  <si>
    <t>18-03-2035</t>
  </si>
  <si>
    <t>RAMPARK SOCIETY 2 VADI ROAD, MORVI RAJKOT RAJKOT MORBI GUJRAT 363641</t>
  </si>
  <si>
    <t>GJ10TY9117</t>
  </si>
  <si>
    <t>213049/31/26/003128</t>
  </si>
  <si>
    <t>TATA MOTORS - LPT 1616 DCR 49 HSD PS BS 6</t>
  </si>
  <si>
    <t>MR. DHARODIYA SHAILESHBHAI RANCHHODBHAI</t>
  </si>
  <si>
    <t>19-04-2026</t>
  </si>
  <si>
    <t>19-04-2025</t>
  </si>
  <si>
    <t>PALANS , RAJKOT , GUJARAT , WANKANER , RAJKOT, GUJARAT - 363621 ,</t>
  </si>
  <si>
    <t>18/06/2025</t>
  </si>
  <si>
    <t>GJ36V1858</t>
  </si>
  <si>
    <t>12-1831-0007405516-00</t>
  </si>
  <si>
    <t>TATA INTRA V10</t>
  </si>
  <si>
    <t>Pipliya Rajeshbhai Motibhai</t>
  </si>
  <si>
    <t>97266 56163</t>
  </si>
  <si>
    <t>81 PIPLIYAVAS BHAVPAR BAGASARA MALIYA MIYANA , MALIYA MIYANA RAJKOT 363670 GUJARAT</t>
  </si>
  <si>
    <t>GJ36V7707</t>
  </si>
  <si>
    <t>213049/31/26/003173</t>
  </si>
  <si>
    <t>TATA MOTORS - LPT 1212 4200 MM CRX BS 4</t>
  </si>
  <si>
    <t>MR. GAMARA MASABHAI HIRABHAI</t>
  </si>
  <si>
    <t>27-03-2026</t>
  </si>
  <si>
    <t>Monday aavse</t>
  </si>
  <si>
    <t>MACHCHHOMANAGAR , AT RAFALESWAR , MORBI , GUJARAT , RAFALESHWAR , RAJKOT, GUJARAT - 363642</t>
  </si>
  <si>
    <t>GJ36AL3446</t>
  </si>
  <si>
    <t>POPMCAR00101780058</t>
  </si>
  <si>
    <t>Tata Motors,Punch &amp; Adventure</t>
  </si>
  <si>
    <t>Mr AHMADBHAI SAJIBHAI GADHVARA</t>
  </si>
  <si>
    <t>23/06/2026</t>
  </si>
  <si>
    <t>26-06-2039</t>
  </si>
  <si>
    <t>26-06-2025</t>
  </si>
  <si>
    <t>speed post-no</t>
  </si>
  <si>
    <t>LOMJIVAN PARK 1 PLOT 101 VAVDI ROAD , DIST MORBI, Rajkot, Gujarat 363641</t>
  </si>
  <si>
    <t>GJ13AX3880</t>
  </si>
  <si>
    <t>3379/04385256/000/00</t>
  </si>
  <si>
    <t>BOL MAXX PUP-1.7 CITY LX BSVI</t>
  </si>
  <si>
    <t xml:space="preserve">RATHOD HAMIDBHAI KESUBHAI </t>
  </si>
  <si>
    <t>97234 00909</t>
  </si>
  <si>
    <t>97377 17281</t>
  </si>
  <si>
    <t>8-19 JOK PARU JAINABAD TAL- DASADA SURENDRANAGAR JAINABAD B.O SURENDRANAGAR GUJRAT PIN 382765</t>
  </si>
  <si>
    <t>GJ01KW1716</t>
  </si>
  <si>
    <t>POPMCAR00101781856</t>
  </si>
  <si>
    <t>Hyundai,Verna &amp; VTVT SX (O) 1.6</t>
  </si>
  <si>
    <t>Mr JADAVJIBHAI GANGARAMBHAI RAJPARA</t>
  </si>
  <si>
    <t>63533 67408</t>
  </si>
  <si>
    <t>18/06/2026</t>
  </si>
  <si>
    <t>30-07-2034</t>
  </si>
  <si>
    <t>AT-SHIVPUR MATHAK,TA-HALVAD,DISTMORBI,MORBI,GUJARAT , ,Surendra Nagar Surendra Nagar, Gujarat 363330</t>
  </si>
  <si>
    <t>19/06/2025</t>
  </si>
  <si>
    <t>GJ01KH0016</t>
  </si>
  <si>
    <t>0607013125P104539616</t>
  </si>
  <si>
    <t>MARUTI SUZUKI INDIA LTD / OMNI MPI STD BS 3</t>
  </si>
  <si>
    <t>MR SHERASIYA ABDULGAFUR HAJIBHAI</t>
  </si>
  <si>
    <t>31-07-2024</t>
  </si>
  <si>
    <t>abdulbhai Haji bhai speed post no</t>
  </si>
  <si>
    <t>JODHPAR CHHALA WANKANER,MORBI 363621 RAJKOT GUJARAT</t>
  </si>
  <si>
    <t>GJ13V4216</t>
  </si>
  <si>
    <t>12-1831-0007420283-00</t>
  </si>
  <si>
    <t>ASHOK LEYLAND 2214</t>
  </si>
  <si>
    <t>Kunparan Mansangbhai Narshibhai</t>
  </si>
  <si>
    <t>99254 72052</t>
  </si>
  <si>
    <t>16-05-2026</t>
  </si>
  <si>
    <t>13-10-2025</t>
  </si>
  <si>
    <t>RATAVIRDA RAJKOT , RATIDEVDI RAJKOT 363621 GUJARAT</t>
  </si>
  <si>
    <t>GJ03BA6213</t>
  </si>
  <si>
    <t>POPMCAR00101782607</t>
  </si>
  <si>
    <t>Honda,City &amp; 1.5 LXI</t>
  </si>
  <si>
    <t>Mr RAFIKSHA HUSENSHA SHAHMADAR</t>
  </si>
  <si>
    <t>18-10-2027</t>
  </si>
  <si>
    <t>MAKRANI VAS MADINA MASJID, NEAR SUB JAIL MORBI, Rajkot, Gujarat 363641</t>
  </si>
  <si>
    <t>GJ36U1510</t>
  </si>
  <si>
    <t>213049/31/26/003229</t>
  </si>
  <si>
    <t>MR. ARIFBHAI GANIBHAI UMRETIYA</t>
  </si>
  <si>
    <t>18-07-2028</t>
  </si>
  <si>
    <t>AT JETPAR SANDHIVAS TA MORBI MORBI GUJARAT, 36364 , MORBI NANI BAZAR , RAJKOT, GUJARAT - 363641 ,</t>
  </si>
  <si>
    <t>GJ36V1447</t>
  </si>
  <si>
    <t>182000/31/2026/711</t>
  </si>
  <si>
    <t>SHRI ANADH APANG GAU ASHRAM</t>
  </si>
  <si>
    <t xml:space="preserve">76980 42220 </t>
  </si>
  <si>
    <t>Oriental</t>
  </si>
  <si>
    <t>GINPARA GAUSHALA ROAD , WAKANER , MORBI , GJ , 363621</t>
  </si>
  <si>
    <t>GJ36F7902</t>
  </si>
  <si>
    <t>POPMCAR00101784364</t>
  </si>
  <si>
    <t>Hyundai,I20 &amp; 1.2 Magna Executive</t>
  </si>
  <si>
    <t>Mr PARTH RAMESHBHAI PANCHOTIYA</t>
  </si>
  <si>
    <t>14-09-2032</t>
  </si>
  <si>
    <t>20-12-2025</t>
  </si>
  <si>
    <t>AMARNAGAR ROTARY GRAM RAVAPAR NADI, RAJKOT, Rajkot, Gujarat 363642</t>
  </si>
  <si>
    <t>GJ01KT4505</t>
  </si>
  <si>
    <t>D208146151</t>
  </si>
  <si>
    <t>3118 IL / 5350MM 210WB H SERIES</t>
  </si>
  <si>
    <t>LAKIRAJSINH INDRASINH JADEJA</t>
  </si>
  <si>
    <t>GO DIGIT</t>
  </si>
  <si>
    <t>22-09-2026</t>
  </si>
  <si>
    <t>27-07-2028</t>
  </si>
  <si>
    <t>AT-SAPAR,TA-MORBI,DIS-MORBI,363670,Morbi363641</t>
  </si>
  <si>
    <t>20/06/2025</t>
  </si>
  <si>
    <t>GJ36X5545</t>
  </si>
  <si>
    <t>P0026200007/4103/101648</t>
  </si>
  <si>
    <t xml:space="preserve">TATA SIGNA 3530 TK 8X4 BSVI HD </t>
  </si>
  <si>
    <t xml:space="preserve">MR BHAMBHAVA HARESH PANCHA </t>
  </si>
  <si>
    <t>31-07-2028</t>
  </si>
  <si>
    <t xml:space="preserve">KERALA MORBI GUJRAT 363621 RAJKOT GUJRAT </t>
  </si>
  <si>
    <t>GJ36AJ7181</t>
  </si>
  <si>
    <t>3001/O/397224263/00/000</t>
  </si>
  <si>
    <t>CRETA 1.5 SX OPTION CRDI MT</t>
  </si>
  <si>
    <t>JAHIDBHAI IQBALBHAI PAYAK</t>
  </si>
  <si>
    <t>20/06/2026</t>
  </si>
  <si>
    <t>25-06-2038</t>
  </si>
  <si>
    <t>25-06-2024</t>
  </si>
  <si>
    <t>MAHENDRAPARA STREET NO-7, NEAR OLD BUSSTAND, MORVI, MORBI, GUJARAT - 363641</t>
  </si>
  <si>
    <t>GJ03AX7723</t>
  </si>
  <si>
    <t>213049/31/26/003310</t>
  </si>
  <si>
    <t>ASHOK LEYLAND - 3116 IL (240") COW</t>
  </si>
  <si>
    <t>MR. GHANSHYAMBHAI GOPALBHAI KERASHIYA</t>
  </si>
  <si>
    <t>22-08-2025</t>
  </si>
  <si>
    <t>18-03-2027</t>
  </si>
  <si>
    <t>MILAN PARK VAVDI ROAD,STREET-2, MORBI MORBI, GUJARAT, INDIA , MORBI , RAJKOT, GUJARAT - 363641</t>
  </si>
  <si>
    <t>GJ03DR2850</t>
  </si>
  <si>
    <t>OG-26-1105-1806-00007602</t>
  </si>
  <si>
    <t>DISCOVER 125 M - SELF START DISC BREAK ALLOY WHEEL</t>
  </si>
  <si>
    <t>ANIL JAYSUKH KATHEWADI</t>
  </si>
  <si>
    <t>21/06/2026</t>
  </si>
  <si>
    <t>RABARI ST LIMDA CHOWK AT MOTI PANELI TA UPLETA DT RAJKOT GUJARAT, , ,, RAJKOT - 363641</t>
  </si>
  <si>
    <t>GJ36S4046</t>
  </si>
  <si>
    <t>6303154943 00 00</t>
  </si>
  <si>
    <t>JCB/3DX/BACKHOE LOA DER/OPEN/CONSTRUC TION EQUIPMENTS</t>
  </si>
  <si>
    <t>Mr RANABHAI MULABHAI BHARVAD</t>
  </si>
  <si>
    <t>15-01-2026</t>
  </si>
  <si>
    <t>AT RATAVIRDA, TAL WA NKANER MORBI, WANK ANER, GUJARAT, 36362 1</t>
  </si>
  <si>
    <t>21/06/2025</t>
  </si>
  <si>
    <t>GJ36V6978</t>
  </si>
  <si>
    <t>3379/04387951/000/00</t>
  </si>
  <si>
    <t xml:space="preserve">BADA DOST - 14 </t>
  </si>
  <si>
    <t xml:space="preserve">NAVGHANBHAI LAKHMANBHAI BHARVAD </t>
  </si>
  <si>
    <t xml:space="preserve">JP </t>
  </si>
  <si>
    <t>15-07-2029</t>
  </si>
  <si>
    <t>CHITRODI SAPAKDA SURENDRANAGAR SAPAKDA ,,SAPAKDA B.O, SURENDRANAGAR GUJRAT, PIN - 363330</t>
  </si>
  <si>
    <t>GJ36V7169</t>
  </si>
  <si>
    <t>3003/397371357/00/000</t>
  </si>
  <si>
    <t>BOLERO MAXX PUP HD 2.0L VXI</t>
  </si>
  <si>
    <t>HARILAL MAVJIBHAI GOGARI</t>
  </si>
  <si>
    <t>87805 90813</t>
  </si>
  <si>
    <t>27/06/2026</t>
  </si>
  <si>
    <t>28-06-2026</t>
  </si>
  <si>
    <t>28-06-2025</t>
  </si>
  <si>
    <t>LAXMI TIMBER 7 LATI PLOT MORBI, MORBI, GUJARAT 363641</t>
  </si>
  <si>
    <t>GJ36V6649</t>
  </si>
  <si>
    <t>3003/397371344/00/000</t>
  </si>
  <si>
    <t>BOLERO MAXX PUP HD 1.7 LX</t>
  </si>
  <si>
    <t>SANJAYBHAI BATUKBHAI AGHOLA</t>
  </si>
  <si>
    <t>97121 89237</t>
  </si>
  <si>
    <t>24/06/2026</t>
  </si>
  <si>
    <t>25-04-2026</t>
  </si>
  <si>
    <t>25-04-2025</t>
  </si>
  <si>
    <t>291, WADI AREA, WANKANER ROAD, KERALA, TAL WANKANER,, MORBI,, MORBI, GUJARAT 363641</t>
  </si>
  <si>
    <t>GJ36AC7311</t>
  </si>
  <si>
    <t>D208212061</t>
  </si>
  <si>
    <t xml:space="preserve">MARUTI SUZUKI SWIFT/VXi
</t>
  </si>
  <si>
    <t>MAHAMADFAIJAL NASRUDIN PIR</t>
  </si>
  <si>
    <t xml:space="preserve">70162 77021 </t>
  </si>
  <si>
    <t>29-06-2036</t>
  </si>
  <si>
    <t>18-01-2026</t>
  </si>
  <si>
    <t>PIRVAS AT ZINZADU TA MORBIDIS MORBI (JAMNAGAR)MORBI JAMNAGAR,, GUJARAT, JAMNAGA,R, ZINZUDA363655,Jamnagar-363655</t>
  </si>
  <si>
    <t>GJ03CK5324</t>
  </si>
  <si>
    <t>OG-26-1105-1806-00007708</t>
  </si>
  <si>
    <t>HERO HONDA PLEASU</t>
  </si>
  <si>
    <t>KANZARIYA BHARATBHAI NARANBHAI</t>
  </si>
  <si>
    <t>96875 19091</t>
  </si>
  <si>
    <t>99131 02768</t>
  </si>
  <si>
    <t>30-03-2024</t>
  </si>
  <si>
    <t>20-02-2024</t>
  </si>
  <si>
    <t>KAILAS PARK BEHIND BHAGVATI HALL KANDLA BAYPASS ROAD MORBI GUJARAT, , ,, RAJKOT - 363641</t>
  </si>
  <si>
    <t>GJ08AG9550</t>
  </si>
  <si>
    <t>D208128014</t>
  </si>
  <si>
    <t>HONDA ACTIVA/CBS</t>
  </si>
  <si>
    <t>HANIFBHAI ABHRAMBHAI NAKANI</t>
  </si>
  <si>
    <t>24-04-2028</t>
  </si>
  <si>
    <t>18-12-2025</t>
  </si>
  <si>
    <t>KANTI NAGAR NR CHANGALSA PIR DARGAH MAHENDRANAGAR PO MAHENDRANAGAR RAJKOT,Rajkot-363645</t>
  </si>
  <si>
    <t>GJ36U8613</t>
  </si>
  <si>
    <t>213049/31/26/003343</t>
  </si>
  <si>
    <t>MR. JILLU TARASI THARESA</t>
  </si>
  <si>
    <t>19-09-2024</t>
  </si>
  <si>
    <t>19-09-2023</t>
  </si>
  <si>
    <t>28-09-2027</t>
  </si>
  <si>
    <t>UNCHI MANDAL, TA MORBI, MORBI, GUJARAT, 363641 , MORBI , RAJKOT, GUJARAT - 363641</t>
  </si>
  <si>
    <t>GJ36K5977</t>
  </si>
  <si>
    <t>OG-26-1105-1806-00007707</t>
  </si>
  <si>
    <t>HONDA 5G STD ACTIVA</t>
  </si>
  <si>
    <t>BABARIYA MANDIP RAJESHBHAI</t>
  </si>
  <si>
    <t>18-04-2033</t>
  </si>
  <si>
    <t>21-04-2026</t>
  </si>
  <si>
    <t>BLOCK NUMBER-28 SOMAIYA SOCIETY BEHIND MANISH VIDHYAMANDIR VAVDI ROAD MORBI, GUJARAT 31, ,, RAJKOT - 363641</t>
  </si>
  <si>
    <t>GJ03DL2330</t>
  </si>
  <si>
    <t>12-1806-0007437573-00</t>
  </si>
  <si>
    <t>HERO HONDA CBZ X TREME DISC SELF START</t>
  </si>
  <si>
    <t>Durlabhji Amrashi Padsumbiya</t>
  </si>
  <si>
    <t>14-02-2026</t>
  </si>
  <si>
    <t>19-12-2025</t>
  </si>
  <si>
    <t>NANI VAVDI RAJKOT , MORBI RAJKOT 363641 GUJARAT</t>
  </si>
  <si>
    <t>GJ04CA1952</t>
  </si>
  <si>
    <t>30180031256760000730</t>
  </si>
  <si>
    <t>MARUTI SUZUKI SWIFT VDI</t>
  </si>
  <si>
    <t>Mr MEHULKUMAR CHATURBHAI MATRIYA</t>
  </si>
  <si>
    <t>15-05-2029</t>
  </si>
  <si>
    <t>KARIYANI BOTAD , GUJARAT , BOTAD</t>
  </si>
  <si>
    <t>GJ36AJ8034</t>
  </si>
  <si>
    <t>POCMVMI0100202000</t>
  </si>
  <si>
    <t>New Holland 3230 &amp; 42 HP - Agricultural Tractor</t>
  </si>
  <si>
    <t>Mr. GARDHARIA JAGDISHBHAI BALUBHAI</t>
  </si>
  <si>
    <t>22-12-2038</t>
  </si>
  <si>
    <t>22-12-2025</t>
  </si>
  <si>
    <t>ANDARNA, ANDARNA, MORBI MDG, ,Rajkot, , Gujarat, 363641 India.</t>
  </si>
  <si>
    <t>GJ01KH8736</t>
  </si>
  <si>
    <t>P0026200028/4190/115736</t>
  </si>
  <si>
    <t xml:space="preserve">HYUNDAI I20 1.4 ASTA </t>
  </si>
  <si>
    <t xml:space="preserve">MR SANJA RAVIKUMAR  JASAMATBHAI </t>
  </si>
  <si>
    <t xml:space="preserve"> 70163 83758</t>
  </si>
  <si>
    <t>21/07/2026</t>
  </si>
  <si>
    <t>TM</t>
  </si>
  <si>
    <t>17-04-2026</t>
  </si>
  <si>
    <t xml:space="preserve">JEPUR, MORVI MORBI MDG RAJKOT GUJRAT 363641 </t>
  </si>
  <si>
    <t>GJ03BW8998</t>
  </si>
  <si>
    <t>213049/31/26/003356</t>
  </si>
  <si>
    <t>TATA MOTORS - SIGNA 3518 BS 4</t>
  </si>
  <si>
    <t>MR. KARAMANBHAI HIRABHAI PARASADIYA</t>
  </si>
  <si>
    <t>22-06-2028</t>
  </si>
  <si>
    <t>PANELI,MORBI,MORBI,: MORBI PPW,RAJKOT,: RAJKOT-363642, , PANELI , RAJKOT, GUJARAT - 363642 ,Mo</t>
  </si>
  <si>
    <t>GJ36V6781</t>
  </si>
  <si>
    <t>213049/31/26/003366</t>
  </si>
  <si>
    <t>SPECTRUM JOHNSON TILES PRIVATE LTD</t>
  </si>
  <si>
    <t>25/06/2026</t>
  </si>
  <si>
    <t>25-06-2026</t>
  </si>
  <si>
    <t>SR NO 175P2 175P3 185P2 185P1, SURVEY NO 175 8/A NATIONAL HIGHWAY, AT MATEL TAL WANKANER, , WANKANER , RAJKOT, GUJARAT - 363621</t>
  </si>
  <si>
    <t>22/062025</t>
  </si>
  <si>
    <t>GJ03BY4880</t>
  </si>
  <si>
    <t>3379/04388780/000/00</t>
  </si>
  <si>
    <t>BOLERO - PIK UP FB 1.7T PS BS VI</t>
  </si>
  <si>
    <t>RATHOD BHARATBHAI RAMJIBHAI</t>
  </si>
  <si>
    <t>22-11-2027</t>
  </si>
  <si>
    <t>232 NEW THORLA MAIN ROAD , NR SAGAR PAN, RAJKOT, RAJKOT AJI IND ESTATE S.O,RAJKOT GUJARAT,PIN- 360003</t>
  </si>
  <si>
    <t>GJ36V4777</t>
  </si>
  <si>
    <t>213049/31/26/003388</t>
  </si>
  <si>
    <t>TATA MOTORS - SIGNA 3525 TK 8X4 BS 6</t>
  </si>
  <si>
    <t>MR. GOPALBHAI POPATBHAI SIYAR</t>
  </si>
  <si>
    <t>14-05-2028</t>
  </si>
  <si>
    <t>SARDARNAGAR AT-KHAKHRECHI TA-MALIYA (MIYANA) DIS-MORBI MORBI MORBI GUJARAT 363630 , KHAKHRECHI , RAJKOT, GUJARAT - 363630 ,Mob</t>
  </si>
  <si>
    <t>GJ36V4148</t>
  </si>
  <si>
    <t>213049/31/26/003387</t>
  </si>
  <si>
    <t>MR. MUSTAK THARU JAM</t>
  </si>
  <si>
    <t>29-06-2025</t>
  </si>
  <si>
    <t>29-06-2024</t>
  </si>
  <si>
    <t>AMBLIVALU FARIYU MALIYA MIYANA RAJKOT , MORBI , RAJKOT, GUJARAT - 363670</t>
  </si>
  <si>
    <t>GJ03CM5926</t>
  </si>
  <si>
    <t>D208568783</t>
  </si>
  <si>
    <t>HERO HONDA ASSION PRO/CAST SELF</t>
  </si>
  <si>
    <t>BHARATBHAI NARANBHAI KANZARIYA</t>
  </si>
  <si>
    <t xml:space="preserve"> 99131 02768</t>
  </si>
  <si>
    <t>KAILASH PARK BEHIND BHAGVATI HALL KANDALA BAYPAS ROAD MORVI RAJKOT 363641,Morbi-363641</t>
  </si>
  <si>
    <t>GJ23AW6102</t>
  </si>
  <si>
    <t>213049/31/26/003385</t>
  </si>
  <si>
    <t>EICHER - PRO 2114 XP S L HSD 24FT. BS 6</t>
  </si>
  <si>
    <t>MR. GADHAVI BHARATBHAI KARSHANBHAI</t>
  </si>
  <si>
    <t>27-01-2030</t>
  </si>
  <si>
    <t>BLOCK N 13 NANDANVAN SOCIETY, VASAD, ANAND, ANAND, GUJARAT, 36 , VASAD , ANAND, GUJARAT - 388306</t>
  </si>
  <si>
    <t>GJ03AZ8823</t>
  </si>
  <si>
    <t>P0026100006/4103/102221</t>
  </si>
  <si>
    <t xml:space="preserve">ASHOK LAYLEND AL 3116 WB BSII </t>
  </si>
  <si>
    <t xml:space="preserve">MR RATHOD ARJUNSINH UMEDSINH </t>
  </si>
  <si>
    <t>99240 06994</t>
  </si>
  <si>
    <t>14-07-2025</t>
  </si>
  <si>
    <t>16-08-2025</t>
  </si>
  <si>
    <t>23-05-2028</t>
  </si>
  <si>
    <t>MAFATIYA PARA MORBI RAJKOT RAFALESHWAR RAJKOT GUJRAT-363642</t>
  </si>
  <si>
    <t>GJ12AU7882</t>
  </si>
  <si>
    <t>12-1831-0007445666-00</t>
  </si>
  <si>
    <t xml:space="preserve">TATA LPT 2518 </t>
  </si>
  <si>
    <t>Motlani Maksud Mamdbhai</t>
  </si>
  <si>
    <t>23-06-2026</t>
  </si>
  <si>
    <t>ROHIDAS PARA NEAR 4 GODARM VC PARA MORVI , MORBI RAJKOT 363641 GUJARAT</t>
  </si>
  <si>
    <t>23/06/2025</t>
  </si>
  <si>
    <t>GJ03FD3751</t>
  </si>
  <si>
    <t>POPMCAR00101791655</t>
  </si>
  <si>
    <t>Hyundai,Santro &amp; GL</t>
  </si>
  <si>
    <t>Mr BHARAT HASMUKHBHAI MAKASANA</t>
  </si>
  <si>
    <t>15-09-2024</t>
  </si>
  <si>
    <t>BHARAT NAGAR NAVA SADULKA, RAJKOT, Rajkot, Gujarat 363642</t>
  </si>
  <si>
    <t>GJ36V1715</t>
  </si>
  <si>
    <t>POCMVGC0100377905</t>
  </si>
  <si>
    <t>Tata Motors,LPK 3118 &amp; TC</t>
  </si>
  <si>
    <t>Mr.KAKASANIYA MAHENDRABHAI MOHANBHAI</t>
  </si>
  <si>
    <t>98795 45172</t>
  </si>
  <si>
    <t>19-03-2025</t>
  </si>
  <si>
    <t>302 SHIVAM APPARTMENT DARPAR SOCIETY 2, OPP SVAGATAM HALL RAVAPAR ROAD, Rajkot, Gujarat-363641 India</t>
  </si>
  <si>
    <t>GJ36V1575</t>
  </si>
  <si>
    <t>POCMVGC0100378016</t>
  </si>
  <si>
    <t>Mahindra &amp; Mahindra,Bolero</t>
  </si>
  <si>
    <t>Mr.RAVODARA RAMESH BACHUBHAI</t>
  </si>
  <si>
    <t>28/06/2026</t>
  </si>
  <si>
    <t>14-07-2027</t>
  </si>
  <si>
    <t>MATEL RAJKOT, ., Rajkot, Gujarat-363621 India</t>
  </si>
  <si>
    <t>GJ26T9312</t>
  </si>
  <si>
    <t>POCMVGC0100377993</t>
  </si>
  <si>
    <t>Mr.PARECHA MAHESH DAMJIBHAI</t>
  </si>
  <si>
    <t>27-03-2025</t>
  </si>
  <si>
    <t>27-06-2027</t>
  </si>
  <si>
    <t>GHUNTU GHUNTU, MORBI, Rajkot, Gujarat-363641 India</t>
  </si>
  <si>
    <t>GJ36V1943</t>
  </si>
  <si>
    <t>3003/397495546/00/000</t>
  </si>
  <si>
    <t>BOLERO MAXI TRUCK PLUS PS 1.2T</t>
  </si>
  <si>
    <t>CHAVDA VIJAY NARANBHAI</t>
  </si>
  <si>
    <t xml:space="preserve"> 94282 60539 </t>
  </si>
  <si>
    <t>22/06/2026</t>
  </si>
  <si>
    <t>19-11-2025</t>
  </si>
  <si>
    <t>ALSHARDHAM SOCIETY, NAVLAKHI ROAD, MORBI, GUJARAT 363641</t>
  </si>
  <si>
    <t>GJ36AC8016</t>
  </si>
  <si>
    <t>30180031256760000747</t>
  </si>
  <si>
    <t>MARUTI SUZUKI EECO 5 STR AC CNG</t>
  </si>
  <si>
    <t>NITESHBHAI SHELABHAI CHORIYA</t>
  </si>
  <si>
    <t>76003 81516</t>
  </si>
  <si>
    <t>63510 34109</t>
  </si>
  <si>
    <t>18-08-2025</t>
  </si>
  <si>
    <t>GAAM OL ,OL,WANKANER MORBI GUJRAT , GUJARAT , MORBI</t>
  </si>
  <si>
    <t>GJ11VV1055</t>
  </si>
  <si>
    <t>POCMVGC0100378659</t>
  </si>
  <si>
    <t>Tata Motors,LPT</t>
  </si>
  <si>
    <t>Mr.HULANI DILIPBHAI TRILOKBHAI</t>
  </si>
  <si>
    <t>23-12-2022</t>
  </si>
  <si>
    <t>26-07-2027</t>
  </si>
  <si>
    <t>YADUNANDAN PARK - 19 CHANDRESHNAGAR NI BAJU MA, SHANALA ROAD, Rajkot, Gujarat-363641 India</t>
  </si>
  <si>
    <t>24/06/2025</t>
  </si>
  <si>
    <t>GJ01DT6027</t>
  </si>
  <si>
    <t>213049/31/26/003443</t>
  </si>
  <si>
    <t xml:space="preserve">MGV </t>
  </si>
  <si>
    <t>TATA MOTORS - LPT 909 / 36 BS 3</t>
  </si>
  <si>
    <t>MR. RATADIYA SANGRAM MAVJIBHAI</t>
  </si>
  <si>
    <t xml:space="preserve"> 78620 47473</t>
  </si>
  <si>
    <t xml:space="preserve"> 98257 37944</t>
  </si>
  <si>
    <t>25-09-2025</t>
  </si>
  <si>
    <t>18-03-2025</t>
  </si>
  <si>
    <t>SANOSARA , KALAVAD , MAKRANI SANOSARA , JAMNAGAR , MAKRANI SANOSARA , JAMNAGAR, GUJARAT - 361160</t>
  </si>
  <si>
    <t>GJ03DG5141</t>
  </si>
  <si>
    <t>POPMCAR00101794274</t>
  </si>
  <si>
    <t>Hyundai,Santro &amp; GLS</t>
  </si>
  <si>
    <t>Mr MAHEBUBBHAI OSMANBHAI AJMERI</t>
  </si>
  <si>
    <t xml:space="preserve">SBI </t>
  </si>
  <si>
    <t>27-10-2025</t>
  </si>
  <si>
    <t>KARIYA SOCIETY STREET NUMBER 1 VAVDI ROAD, MORBI, Rajkot, Gujarat 363641</t>
  </si>
  <si>
    <t>GJ36V6570</t>
  </si>
  <si>
    <t>3003/397563512/00/000</t>
  </si>
  <si>
    <t>BOLERO MAXX PUP HD 1.7L VXI</t>
  </si>
  <si>
    <t>WINDSON PRINT PACK</t>
  </si>
  <si>
    <t>98790 12016</t>
  </si>
  <si>
    <t>JN</t>
  </si>
  <si>
    <t>24-06-2026</t>
  </si>
  <si>
    <t>24-06-2025</t>
  </si>
  <si>
    <t>25-07-2029</t>
  </si>
  <si>
    <t>PLOT NO 13 8 A NATIONAL HIGHWAY, AT LALPAR TA-MORBI, MORBI, MORBI, GUJARAT 363641</t>
  </si>
  <si>
    <t>GJ36C9963</t>
  </si>
  <si>
    <t>D209061343</t>
  </si>
  <si>
    <t xml:space="preserve"> HONDA ACTIVA/3G </t>
  </si>
  <si>
    <t>HITENDRASINH CHANDRASINHJI JADEJA</t>
  </si>
  <si>
    <t>AMBIKA ROAD ,MORBI, DIST MORBI,, MORBI, , GUJARAT,,Morbi-36364</t>
  </si>
  <si>
    <t>GJ10TZ3276</t>
  </si>
  <si>
    <t>213049/31/26/003450</t>
  </si>
  <si>
    <t>MR. BHAGVANJIBHAI PARSOTAMBHAI SAVARIYA</t>
  </si>
  <si>
    <t>30/06/2026</t>
  </si>
  <si>
    <t>TO DUDHAI TAL JODIYA, DIST JAMNAGAR, JAMNAGAR, JAMNAGAR, GUJARAT, 363655 , JODIA , JAMNAGAR, GUJARAT - 363655</t>
  </si>
  <si>
    <t>GJ03AV0159</t>
  </si>
  <si>
    <t>6303164277 00 00</t>
  </si>
  <si>
    <t>ATUL AUTO/SHAKTI/D/</t>
  </si>
  <si>
    <t>Mr SARVAIYA SADURBHAI RAJABHAI</t>
  </si>
  <si>
    <t>24-02-2012</t>
  </si>
  <si>
    <t>999999, MORBI, GUJA RAT, 363641</t>
  </si>
  <si>
    <t>25/06/2025</t>
  </si>
  <si>
    <t>GJ03JH4092</t>
  </si>
  <si>
    <t>12-1806-0007462801-00</t>
  </si>
  <si>
    <t>Prakash Govindbhai Parmar</t>
  </si>
  <si>
    <t>19-09-2031</t>
  </si>
  <si>
    <t>696 VANKARWAS JETPAR 3 MORBI , JETPAR M RAJKOT 363630 GUJARAT</t>
  </si>
  <si>
    <t>GJ36AJ6257</t>
  </si>
  <si>
    <t>POPMCAR00101796610</t>
  </si>
  <si>
    <t>Hyundai,Aura &amp; 1.2 MT CNG SX</t>
  </si>
  <si>
    <t>Mr HITESH CHAMANBHAI KHANDALA</t>
  </si>
  <si>
    <t>99747 27303</t>
  </si>
  <si>
    <t>77788 43345</t>
  </si>
  <si>
    <t>26-10-2038</t>
  </si>
  <si>
    <t>NARSHIPARA NEAR SARVARIYA HANUMAN COLLAGE ROAD , DHRANGADHRA, Rajkot, Gujarat 363650</t>
  </si>
  <si>
    <t>GJ36T9705</t>
  </si>
  <si>
    <t>3003/397781800/00/B00</t>
  </si>
  <si>
    <t>BOLERO MAXI TRUCK PLUS CNG</t>
  </si>
  <si>
    <t>GAMARA NAVAGHANBHAI</t>
  </si>
  <si>
    <t xml:space="preserve"> 72839 49718</t>
  </si>
  <si>
    <t>27-05-2023</t>
  </si>
  <si>
    <t>AT-PALANSADI, TA-WANKANER, MORBI, GUJARAT 363641</t>
  </si>
  <si>
    <t>GJ36W8930</t>
  </si>
  <si>
    <t>213049/31/26/003487</t>
  </si>
  <si>
    <t>MRS. KHATIJABEN PALEJA</t>
  </si>
  <si>
    <t>BLOCK NO 118 GUJARAT HOUSING, BOARD NEAR RUSHIKESH VIDHYALAY, SAME KHANTHE MORBI, MORBI, G , MORBI , RAJKOT, GUJARAT - 363642</t>
  </si>
  <si>
    <t>GJ36W4571</t>
  </si>
  <si>
    <t>213049/31/26/003485</t>
  </si>
  <si>
    <t>MR. NAGAJIBHAI RANABHAI FANGALIYA</t>
  </si>
  <si>
    <t>90992 77893</t>
  </si>
  <si>
    <t>MAHAVIR NAGAR SOC PASE VADIYAVADI, TA WANKANER, MORBI, GUJARAT, 363621 , WANKANER , RAJKOT, GUJARAT - 363621</t>
  </si>
  <si>
    <t>26/06/2025</t>
  </si>
  <si>
    <t>GJ03JA3526</t>
  </si>
  <si>
    <t>3005/397952056/00/B00</t>
  </si>
  <si>
    <t>HERO MOTOCORP LTD PASSION PRO</t>
  </si>
  <si>
    <t>RAJNI HARESH CHAVDA</t>
  </si>
  <si>
    <t>88660 19507</t>
  </si>
  <si>
    <t>99253 51346</t>
  </si>
  <si>
    <t>16-11-2030</t>
  </si>
  <si>
    <t>GAYATRI KRUPA, 8 - JAYGEET SOCIETY, B/H PARIMAL SCHOOL, KALAWAD ROAD, RAJKOT, RAJKOT SAU UNI AREA,, RAJKOT, GUJARAT 360005</t>
  </si>
  <si>
    <t>GJ12CP1170</t>
  </si>
  <si>
    <t>POPMCAR00101799145</t>
  </si>
  <si>
    <t>Renault,KWID &amp; RX</t>
  </si>
  <si>
    <t>Mr MAHMADBASIR UMARBHAI PAYAK</t>
  </si>
  <si>
    <t>30-12-2023</t>
  </si>
  <si>
    <t>124 GADULI LAKHPAT - KACHHH, KACHHH, Kachchh, Gujarat 370627</t>
  </si>
  <si>
    <t>GJ36B2804</t>
  </si>
  <si>
    <t>30180031256760000782</t>
  </si>
  <si>
    <t>MARUTI SUZUKI SWIFT DZIRE VD</t>
  </si>
  <si>
    <t>Mr CHANIYA YUNUSHBHAI NURMAMAMDBHAI</t>
  </si>
  <si>
    <t>26-11-2030</t>
  </si>
  <si>
    <t>KALIKA PLOT 3 RAVAPAR ROAD MORBI , GUJARAT , MORBI</t>
  </si>
  <si>
    <t>GJ36Q5278</t>
  </si>
  <si>
    <t>12-1806-0007470371-00</t>
  </si>
  <si>
    <t>HONDA ACTIVA 5G STD</t>
  </si>
  <si>
    <t>Ajaj Abdulsatarbhai Kaladiya</t>
  </si>
  <si>
    <t>95742 94929</t>
  </si>
  <si>
    <t>GHANCHI NI KHARA VAD HALVAD SURENDRANAGAR , HALVAD SURENDRA NAGAR 363330 GUJARAT</t>
  </si>
  <si>
    <t>GJ36W6816</t>
  </si>
  <si>
    <t>213049/31/26/003538</t>
  </si>
  <si>
    <t>AJAJ AUTO - MAXIMA Z CNG BS 6</t>
  </si>
  <si>
    <t>MR. OGHAN RAJESHBHAI TOTA</t>
  </si>
  <si>
    <t>27-06-2026</t>
  </si>
  <si>
    <t>BHARVAD STREET SHAKTI CHOWK, MORBI, MORBI, GUJARAT, 363641 , MORBI , RAJKOT, GUJARAT - 363641 ,</t>
  </si>
  <si>
    <t>GJ02ZZ3811</t>
  </si>
  <si>
    <t>213049/31/26/003537</t>
  </si>
  <si>
    <t>MAHINDRA AND MAHINDRA - BOLERO POWER PLUS SLE</t>
  </si>
  <si>
    <t>134-KH DARBAR WAS MOTA DAHISARA, AT-MOTA DAHISARA TA-MALIYA, , MORBI, GUJARAT, 363641 , MORBI , RAJKOT, GUJARAT - 363641</t>
  </si>
  <si>
    <t>GJ36AH7443</t>
  </si>
  <si>
    <t>131522523080038981</t>
  </si>
  <si>
    <t>OLA S1 PRO</t>
  </si>
  <si>
    <t>Mr. MAHMADKHAN D BLOCH</t>
  </si>
  <si>
    <t>29-06-2038</t>
  </si>
  <si>
    <t>ADINA SOCIETY,GHANTI PACHAL,VISIPARA,MORVI,MORBI MDG,MORBI,GUJARAT,363641 MADINA SOCIETY,GHANTI PACHAL,VISIPARA,MORVI,MORBI MDG,MORBI,GUJARAT,363641 TANKARA, RAJKOT, GUJARAT, India, 363641</t>
  </si>
  <si>
    <t>GJ36W1776</t>
  </si>
  <si>
    <t>213049/31/26/003541</t>
  </si>
  <si>
    <t>MR. RAFIKBHAI IQBALBHAI PAYAK</t>
  </si>
  <si>
    <t>26-06-2026</t>
  </si>
  <si>
    <t>BHARATPARA OPP GEBI FLOOR MILL, PNCHASAR RD, MORBI, GUJARAT, 363641 , MORBI , RAJKOT, GUJARAT - 363641 ,M</t>
  </si>
  <si>
    <t>GJ36W3131</t>
  </si>
  <si>
    <t>POCMVGC0100382035</t>
  </si>
  <si>
    <t>Mr.MUNDHAVA HARSHAD LAKHABHA</t>
  </si>
  <si>
    <t>2 MAKANASAR 1 PREMJINAGAR Morbi, GUJARAT , Rajkot, Gujarat-363642 India</t>
  </si>
  <si>
    <t>GJ36V3330</t>
  </si>
  <si>
    <t>3003/398017473/00/000</t>
  </si>
  <si>
    <t>VACHHANI MANOJBHAI MAGANBHAI</t>
  </si>
  <si>
    <t>BHUT SOCIETY AT -CHANCHAPAR, MORBI, MORBI, GUJARAT 363641</t>
  </si>
  <si>
    <t>GJ36S4256</t>
  </si>
  <si>
    <t>6303171975 00 00</t>
  </si>
  <si>
    <t>CATERPILLAR/HM 202 1/E/OPEN/CONSTRUCTI ON EQUIPMENTS</t>
  </si>
  <si>
    <t>JAYDEEP ASSOCIATES PRIVATE LIMITED</t>
  </si>
  <si>
    <t xml:space="preserve">Jaydeep </t>
  </si>
  <si>
    <t>22-07-2025</t>
  </si>
  <si>
    <t>MORBI, 363641, MORB I, GUJARAT, 363641</t>
  </si>
  <si>
    <t>GJ36S4118</t>
  </si>
  <si>
    <t>6303171973 00 00</t>
  </si>
  <si>
    <t>27/06/2025</t>
  </si>
  <si>
    <t>GJ36V1623</t>
  </si>
  <si>
    <t>213049/31/26/003581</t>
  </si>
  <si>
    <t>TATA MOTORS - SIGNA 3525 TK 8X4 BS</t>
  </si>
  <si>
    <t>MR. KUKABHAI KANABHAI KUNPARA</t>
  </si>
  <si>
    <t>26/06/2026</t>
  </si>
  <si>
    <t>18-07-2026</t>
  </si>
  <si>
    <t>PALANS,LUNSAR,MORBI, RAJKOT, RAJKOT-363621, , LUNSAR , RAJKOT, GUJARAT - 363621</t>
  </si>
  <si>
    <t>GJ36W9896</t>
  </si>
  <si>
    <t>213049/31/26/003576</t>
  </si>
  <si>
    <t>MR. SANJAY RAMESHBHAI NAKUM</t>
  </si>
  <si>
    <t>81413 41700</t>
  </si>
  <si>
    <t>13-11 GANDRA NI VADI OPP RAMJI, TEMPLE SHANALA RD, MORBI, GUJARAT, 363641 , MORBI , RAJKOT, GUJARAT - 363641 ,</t>
  </si>
  <si>
    <t>GJ10TZ0733</t>
  </si>
  <si>
    <t>213049/31/26/003575</t>
  </si>
  <si>
    <t>MR. JEDA GANI BHARMAL</t>
  </si>
  <si>
    <t>14-03-2025</t>
  </si>
  <si>
    <t>28-05-2028</t>
  </si>
  <si>
    <t>YES</t>
  </si>
  <si>
    <t>83 , VADA AREA , OLD RAILWAY FATAK , NAVAGAM , MALIYA MIYANA , GUJARAT , MALIYA MIYANA , RAJKOT, GUJARAT - 363670</t>
  </si>
  <si>
    <t>GJ03BV4465</t>
  </si>
  <si>
    <t>3003/398115905/00/B00,</t>
  </si>
  <si>
    <t>BOLERO PICK UP VAN 4WD</t>
  </si>
  <si>
    <t>MAKVANA MUNNABHAI CHANDUBHAI</t>
  </si>
  <si>
    <t>22-11-2025</t>
  </si>
  <si>
    <t>NAGALPAR MORBI, MDG, MORBI, GUJARAT 363641</t>
  </si>
  <si>
    <t>28/06/2025</t>
  </si>
  <si>
    <t>GJ36AJ1187</t>
  </si>
  <si>
    <t>3001/O/398288021/00/000</t>
  </si>
  <si>
    <t>Tata Motors ALTROZ XM PLUS S CNG</t>
  </si>
  <si>
    <t>PARESHKUMAR DINESHCHANDRA VINDHANI</t>
  </si>
  <si>
    <t>27-05-2026</t>
  </si>
  <si>
    <t>LAKHDHIRVAS, BEHIND CITY POLICELINE, INSIDE WAANKANER DARWAJA, MORVI, RAJKOT, RAJKOT, GUJARAT - 363641</t>
  </si>
  <si>
    <t>GJ03EK0933</t>
  </si>
  <si>
    <t>12-1806-0007489661-00</t>
  </si>
  <si>
    <t>HONDA ACTIVA STD</t>
  </si>
  <si>
    <t>Maheshkumar Lakhman Padsumbiya</t>
  </si>
  <si>
    <t>15-04-2020</t>
  </si>
  <si>
    <t>201, KRISHAV PALACE, RAVAPAR SATADHAR PARK 2 MORVI , MORBI RAJKOT 363641 GUJARAT</t>
  </si>
  <si>
    <t>GJ36V7094</t>
  </si>
  <si>
    <t>213049/31/26/003650</t>
  </si>
  <si>
    <t>MARUTI SUZUKI - DZIRE TOUR S STD CNG</t>
  </si>
  <si>
    <t>MR. SHARUKHBHAI ABDULBHAI JAFARANI</t>
  </si>
  <si>
    <t>108, CHORAVALI STREET, HADMATIA-1, TA-TANKARA, , MORBI, GUJARAT, 383641 , MORBI , RAJKOT, GUJARAT - 363641</t>
  </si>
  <si>
    <t>GJ36T6515</t>
  </si>
  <si>
    <t>213049/31/26/003648</t>
  </si>
  <si>
    <t>EICHER - PRO 5019 R CWC 32FT</t>
  </si>
  <si>
    <t>MARUTI CARGO MOVERS</t>
  </si>
  <si>
    <t>75675 54481</t>
  </si>
  <si>
    <t>22-02-2026</t>
  </si>
  <si>
    <t>19-11-2024</t>
  </si>
  <si>
    <t>SHOP NO 17 SHAKTI PLAZA AT SAKATSANALA MORBI RAJKOT HIGHWAYS MORBI GUJARAT 363641 , MORBI , RAJKOT, GUJARAT - 363641</t>
  </si>
  <si>
    <t>GJ36V7170</t>
  </si>
  <si>
    <t>3379/04394298/000/00</t>
  </si>
  <si>
    <t>ASHOK LEYLAND BADA DOST - I4</t>
  </si>
  <si>
    <t>PINTU JADUBHAI KOLI</t>
  </si>
  <si>
    <t>99253 75031</t>
  </si>
  <si>
    <t>94085 27335</t>
  </si>
  <si>
    <t>PINTU JADUBHAI KOLI MATHAK, HALVAD , MORBI GUJARAT,, HALVAD S.O,SURENDRA NAGAR GUJARAT,PIN- 363330</t>
  </si>
  <si>
    <t>GJ36N9280</t>
  </si>
  <si>
    <t>12-1806-0007489347-00</t>
  </si>
  <si>
    <t>HONDA ACTIVA</t>
  </si>
  <si>
    <t>Dhaval Hasmukhbhai Ramanuj</t>
  </si>
  <si>
    <t>BAGATHALA RAJKOT , BAGATHALA RAJKOT 363641 GUJARAT</t>
  </si>
  <si>
    <t>GJ36AJ9131</t>
  </si>
  <si>
    <t>6204917479 00 00</t>
  </si>
  <si>
    <t>HYUNDAI/CRETA</t>
  </si>
  <si>
    <t>Mr IBRAHIMBHAI UMARBHAI MODAN</t>
  </si>
  <si>
    <t>75673 02047</t>
  </si>
  <si>
    <t>29/06/2026</t>
  </si>
  <si>
    <t>RAMPARK SOCIETY 2 VAVDI ROAD, MORVI RAJKOT GUJARAT, MORBI-363641, GUJARAT</t>
  </si>
  <si>
    <t>GJ36Q8570</t>
  </si>
  <si>
    <t>12-1806-0007486826-00</t>
  </si>
  <si>
    <t>Gopal Kanjibhai Patdya</t>
  </si>
  <si>
    <t>14-06-2035</t>
  </si>
  <si>
    <t>SVAMINARAYAN NAGAR KHAKHRECHI RAJKOT , KHAKHRECHI RAJKOT 363630 GUJARAT</t>
  </si>
  <si>
    <t>GJ36W1934</t>
  </si>
  <si>
    <t>POCMVGC0100384555</t>
  </si>
  <si>
    <t>Thukral Electric Bikes Pvt Ltd,Thural EC1 &amp; Ecart</t>
  </si>
  <si>
    <t>Mr.DETROJA BHUPENDRABHAI JADAVJIBHAI</t>
  </si>
  <si>
    <t>30-06-2026</t>
  </si>
  <si>
    <t>BHARATNAGAR 1 NEAR BHAKTI CIRCLE, MORVI RAJKOT, Rajkot, Gujarat-363641 India</t>
  </si>
  <si>
    <t>GJ36T2477</t>
  </si>
  <si>
    <t>POCMVGC0100384546</t>
  </si>
  <si>
    <t>Ashok Leyland,3118 &amp; II -</t>
  </si>
  <si>
    <t>Mr.DANGAR CHETANBHAI DEVAYATBHAI</t>
  </si>
  <si>
    <t>21-07-2025</t>
  </si>
  <si>
    <t>19-02-2026</t>
  </si>
  <si>
    <t>PATEL VAS LILAPAR, RAJKOT, Rajkot, Gujarat-363641 India</t>
  </si>
  <si>
    <t>GJ36AJ2009</t>
  </si>
  <si>
    <t>160622523090006680</t>
  </si>
  <si>
    <t>MAHINDRA BOLERO B6</t>
  </si>
  <si>
    <t>Mr. YUVRAJSINH BHIKHUBHA ZALA</t>
  </si>
  <si>
    <t>NEAR RANCHHODRAY TEMPLE CHARDVA TALUKO-HALVAD MORBI HALVAD, MORBI, GUJARAT, India, 363330.</t>
  </si>
  <si>
    <t>29/06/2025</t>
  </si>
  <si>
    <t>GJ36V2030</t>
  </si>
  <si>
    <t>213049/31/26/003690</t>
  </si>
  <si>
    <t>MR. KARAMSHIBHAI NAJABHAI BHARVAD</t>
  </si>
  <si>
    <t>19-05-2027</t>
  </si>
  <si>
    <t>19-05-2026</t>
  </si>
  <si>
    <t>AT MODPAR TA MORBI MORBI MORBI GUJARAT, 363641 , MORBI , RAJKOT, GUJARAT - 36364</t>
  </si>
  <si>
    <t>GJ03HN3576</t>
  </si>
  <si>
    <t>3005/A/398492248/00/000</t>
  </si>
  <si>
    <t>HERO MOTOCORP LTD PLEASURE</t>
  </si>
  <si>
    <t>MURUGESHAN ANNAMALAI NAIDU</t>
  </si>
  <si>
    <t xml:space="preserve">ICICI </t>
  </si>
  <si>
    <t>31-05-2030</t>
  </si>
  <si>
    <t>PLOT NO-39, BHUVNESHWARI PARK, SHOBHESHWAR ROAD, ASHAPURA PAN STREET, MORVI, MORBI, RAJKOT, GUJARAT 363642</t>
  </si>
  <si>
    <t>GJ03CM5830</t>
  </si>
  <si>
    <t>D210153946</t>
  </si>
  <si>
    <t>HERO MOTOCORP SPLENDOR PLUS/STD</t>
  </si>
  <si>
    <t>MURUGESHAN .</t>
  </si>
  <si>
    <t>16-09-2029</t>
  </si>
  <si>
    <t>PLOT NO 39 BHUVNESHWARI PARK SHOBHESHWAR ROAD ASHAPURA PAN STREET MORVI,MORBI-363642</t>
  </si>
  <si>
    <t>GJ13AX9922</t>
  </si>
  <si>
    <t>213049/31/26/003688</t>
  </si>
  <si>
    <t>MR. JANKIDASH BABUBHAI DUDHREJIYA</t>
  </si>
  <si>
    <t>30-06-2025</t>
  </si>
  <si>
    <t>16 KOLIVAS , AT NALIYELI , PO JANIVADLA , TA CHOTILA , SURENDRANAGAR , JANIVADLA , SURENDRA NAGAR, GUJARAT - 363520 ,Mob</t>
  </si>
  <si>
    <t>GJ36F6215</t>
  </si>
  <si>
    <t>30180031256760000803</t>
  </si>
  <si>
    <t>MARUTI SUZUKI EECO 5 STR WITH A/C+HTR CNG</t>
  </si>
  <si>
    <t>Mr MALANI FIROJ HUSEN</t>
  </si>
  <si>
    <t>22-04-2033</t>
  </si>
  <si>
    <t>MALANI SHERI MU PO MALIYA RAJKOT , GUJARAT , MORBI</t>
  </si>
  <si>
    <t>30/06/2025</t>
  </si>
  <si>
    <t>GJ36V4044</t>
  </si>
  <si>
    <t>POCMVGC0100385720</t>
  </si>
  <si>
    <t>Tata Motors,LPT 3118 &amp; TC 8X2 COWL</t>
  </si>
  <si>
    <t>Mr.RATHOD RAMSIBHAI RANCHHODBHAI</t>
  </si>
  <si>
    <t>29-09-2025</t>
  </si>
  <si>
    <t>25-09-2028</t>
  </si>
  <si>
    <t>THORALA THORALA, RAJKOT, Rajkot, Gujarat-363641 India</t>
  </si>
  <si>
    <t>GJ36T7104</t>
  </si>
  <si>
    <t>POCMVGC0100385715</t>
  </si>
  <si>
    <t>Ashok Leyland,1618 &amp; /4 -</t>
  </si>
  <si>
    <t xml:space="preserve">75675 54481 </t>
  </si>
  <si>
    <t>FIRST FLOOR PLOT NO 34 SHREE HARI PARK, LAJAI NEAR BUS STAND , Rajkot, Gujarat-363641 India</t>
  </si>
  <si>
    <t>GJ16AU8363</t>
  </si>
  <si>
    <t>POCMVGC0100385712</t>
  </si>
  <si>
    <t>Mr.HARUNBHAI I VOHRA</t>
  </si>
  <si>
    <t>25-07-2028</t>
  </si>
  <si>
    <t>PLOT NO C 117 ZINNAT BANGLOWS, BHARUCH MANUBAR ROAD, Bharuch, Gujarat-392001 India</t>
  </si>
  <si>
    <t>GJ36AJ0300</t>
  </si>
  <si>
    <t>D210186407</t>
  </si>
  <si>
    <t>CRETA/1.5 U2 CRDI SX (O) 6AT BSVI</t>
  </si>
  <si>
    <t>RAJENDRASHINH CHAUHAN</t>
  </si>
  <si>
    <t>13-02-2026</t>
  </si>
  <si>
    <t>OPP.LAXMI NARAYAN TEMPLE,KUBERNATH  ROAD,DARBAR STREET,GREEN CHOWK,TALMORBI,MOR,BI,GUJARAT,363641,Morbi-363641</t>
  </si>
  <si>
    <t>GJ12BZ8443</t>
  </si>
  <si>
    <t>12-1831-0007507484-00</t>
  </si>
  <si>
    <t>TATA LPT 3118</t>
  </si>
  <si>
    <t>Gajjar Dhruvilbhai Maheshbhai</t>
  </si>
  <si>
    <t>27-12-2028</t>
  </si>
  <si>
    <t>SHIVAM APPARTMENT 301 OPP KABIR ASRAM NANI VAVDI , NANI VAVDI RAJKOT 363641 GUJARAT</t>
  </si>
  <si>
    <t>GJ36R3422</t>
  </si>
  <si>
    <t>POPMCAR00101810375</t>
  </si>
  <si>
    <t>Maruti Suzuki,Alto &amp; Lxi BS</t>
  </si>
  <si>
    <t>Mrs Madhuben Umedpari Goswami</t>
  </si>
  <si>
    <t>13-09-2035</t>
  </si>
  <si>
    <t>25-07-2024</t>
  </si>
  <si>
    <t>Hadmatiya, Hadmatiya,, Rajkot,, Rajkot, Gujarat 363641</t>
  </si>
  <si>
    <t>GJ36U1557</t>
  </si>
  <si>
    <t>213049/31/26/003748</t>
  </si>
  <si>
    <t>MR. FIROZKHAN PATHAN</t>
  </si>
  <si>
    <t>25-08-2026</t>
  </si>
  <si>
    <t>23-08-2027</t>
  </si>
  <si>
    <t>SUNRISE PARK , B/H PRAKASH KARKHANA , V C PARA , MORBI , GUJARAT , MORBI , RAJKOT, GUJARAT - 363641 ,M</t>
  </si>
  <si>
    <t>GJ36W2702</t>
  </si>
  <si>
    <t>213049/31/26/003747</t>
  </si>
  <si>
    <t>MR. HUSHEN GULABBHAI SEDAT</t>
  </si>
  <si>
    <t>BHARATPARA OPP SARASWATI MARBAL,PANCHASAR ROADMORBI,MORBI,, 363641 , MORBI , RAJKOT, GUJARAT - 363641 ,M</t>
  </si>
  <si>
    <t>GJ36U2190</t>
  </si>
  <si>
    <t>213049/31/26/003746</t>
  </si>
  <si>
    <t>MR. AARIFBHAI HANIFBHAI AMBALIYA</t>
  </si>
  <si>
    <t>22-08-2027</t>
  </si>
  <si>
    <t>AT BLOCK NO.-244 KULI NAGAR-2 V.C PARA MAIN ROAD M , MORBI GIDC , RAJKOT, GUJARAT - 363641</t>
  </si>
  <si>
    <t>GJ36W3348</t>
  </si>
  <si>
    <t>213049/31/26/003745</t>
  </si>
  <si>
    <t>MR. HARESH SANKHESARIYA</t>
  </si>
  <si>
    <t>82388 42889</t>
  </si>
  <si>
    <t>28-07-2025</t>
  </si>
  <si>
    <t>PANCHASAR , WANKANER , MORBI, 363621 , WANKANER , RAJKOT, GUJARAT - 363621</t>
  </si>
  <si>
    <t>GJ36S1294</t>
  </si>
  <si>
    <t>213049/31/26/003744</t>
  </si>
  <si>
    <t>JOHN DEERE - 5310 M FWD</t>
  </si>
  <si>
    <t>AMBANI COAL</t>
  </si>
  <si>
    <t>SURVEY NO 67 / PAIKI 2 , N/H 8A OPP ASVANEGH HOTEL , TIMBDI , TA MORBI , DIST MORBI , GUJARAT , MORBI , RAJKOT, GUJARAT - 363641 ,M</t>
  </si>
  <si>
    <t>GJ18AH8703</t>
  </si>
  <si>
    <t>POPMCAR00101810391</t>
  </si>
  <si>
    <t>Mahindra &amp; Mahindra,Xylo &amp; E8 8Str</t>
  </si>
  <si>
    <t>Mr JAM ANVAR HUSEN</t>
  </si>
  <si>
    <t>22-07-2016</t>
  </si>
  <si>
    <t>NAVA HANJIYASAR MORBI MALIYA MIYANA , ,Rajkot Rajkot, Gujarat 363670</t>
  </si>
  <si>
    <t>GJ36V1609</t>
  </si>
  <si>
    <t>213049/31/26/003743</t>
  </si>
  <si>
    <t>MAHINDRA AND MAHINDRA - BOLERO MAXI TRUCK PLUS MS 1.2T BS6</t>
  </si>
  <si>
    <t>MR. SANJAY HIRABHAI PADSARIYA</t>
  </si>
  <si>
    <t>31-07-2026</t>
  </si>
  <si>
    <t>31-07-2025</t>
  </si>
  <si>
    <t>LAKHDHIRNAGAR LAKHDHIRNAGAR RAJKOT GUJARAT , MORBI , MORBI, GUJARAT - 36364</t>
  </si>
  <si>
    <t>GJ36B3601</t>
  </si>
  <si>
    <t>6204930135 00 00</t>
  </si>
  <si>
    <t>CHAROLA SHAILESH HARJIVAN</t>
  </si>
  <si>
    <t>21-06-2031</t>
  </si>
  <si>
    <t>28-06-2024</t>
  </si>
  <si>
    <t>23 CHAROLA STREET RAVAPAR 1 RAVAPAR, ROAD MORBI MORBI GUJARAT, MORBI-363641, GUJARAT</t>
  </si>
  <si>
    <t>GJ36V0104</t>
  </si>
  <si>
    <t>3003/399042027/00/B00</t>
  </si>
  <si>
    <t>ZAPADA BUDHABHAI HIRABHAI</t>
  </si>
  <si>
    <t>JAY GOPAL BHARVAD VAS, DERI NAKA ROA TANKARA, RAJKOT, GUJARAT 363650</t>
  </si>
  <si>
    <t>GJ36X4084</t>
  </si>
  <si>
    <t>213049/31/26/003740</t>
  </si>
  <si>
    <t>EICHER - PRO 2110 H HSD 20FT NGB PRM BS 6</t>
  </si>
  <si>
    <t>MR. BACHUBHAI MOTIBHAI GINGORA</t>
  </si>
  <si>
    <t>AT. LAKADDHAR, TAL. WANKANER, DIST. MORBI MORBI GUJARAT 363621 , WANKANER , RAJKOT, GUJARAT - 363621 ,Mo</t>
  </si>
  <si>
    <t>GJ36T6121</t>
  </si>
  <si>
    <t>3379/04396080/000/00</t>
  </si>
  <si>
    <t>MAHINDRA BOLERO - PIK UP FB 1.7T PS BS VI</t>
  </si>
  <si>
    <t xml:space="preserve">VISHAL RAMUBHAI VIKANI </t>
  </si>
  <si>
    <t xml:space="preserve">SHERI NABAR 3 LAYNS NAGAR SANALA ROAD MORVI MORBI GUJRAT </t>
  </si>
  <si>
    <t>GJ36V7354</t>
  </si>
  <si>
    <t>213049/31/26/003742</t>
  </si>
  <si>
    <t>TATA MOTORS - TITANIUM WH INTRA V20 LX BS 6</t>
  </si>
  <si>
    <t>MR. BHARAT BACHUBHAI GAJIYA</t>
  </si>
  <si>
    <t>30-04-2026</t>
  </si>
  <si>
    <t>GAJIYA GSTIN No. Of Insured Unregistered Insured Address and Contact Details BAGSRA , MALIYA MIYANA , MORBI , GUJARAT , MALIYA MIYANA , RAJKOT, GUJARAT - 363670 ,Mob</t>
  </si>
  <si>
    <t>GJ36T9408</t>
  </si>
  <si>
    <t>161522523340008283</t>
  </si>
  <si>
    <t>MAHINDRA JEETO &amp; PLUS 16 BSVI</t>
  </si>
  <si>
    <t>MR. SANJAY DEVRAJBHAI VERANA</t>
  </si>
  <si>
    <t>NAVA MAKANSAR MAKANSAR RAJKOT MORBI, RAJKOT, GUJARAT, India, 363642</t>
  </si>
  <si>
    <t>GJ12BZ0085</t>
  </si>
  <si>
    <t>213049/31/26/003739</t>
  </si>
  <si>
    <t>TATA MOTORS - SIGNA 4018 S BS 6</t>
  </si>
  <si>
    <t>SHREEDEEP LOGISTICS</t>
  </si>
  <si>
    <t>23-07-2026</t>
  </si>
  <si>
    <t>OFFICE NO-203,204,205, PLOT NO.46 SECOND FLOOR SECTOR 8, GANDHIDHAM TRADE CENTRE KACHCHH G , GANDHIDHAM , KACHCHH, GUJARAT - 370201 ,M</t>
  </si>
  <si>
    <t>GJ12BZ0098</t>
  </si>
  <si>
    <t>213049/31/26/003735</t>
  </si>
  <si>
    <t>PLOT NO 46,OFFICE NO 203-204-205,2ND FLOOR SECTOR 8 GANDHIDHAM TRADE, GANDHIDHAM, KACH , GANDHIDHAM , KACHCHH, GUJARAT - 370201 ,Mob</t>
  </si>
  <si>
    <t>GJ12BZ0143</t>
  </si>
  <si>
    <t>213049/31/26/003736</t>
  </si>
  <si>
    <t>28-07-2026</t>
  </si>
  <si>
    <t>OFFICE NO-203,204,205, PLOT NO.46 SECOND FLOOR SECTOR 8, GANDHIDHAM TRADE CENTRE KACHCHH G , GANDHIDHAM , KACHCHH, GUJARAT - 370201</t>
  </si>
  <si>
    <t>GJ12BZ0322</t>
  </si>
  <si>
    <t>213049/31/26/003749</t>
  </si>
  <si>
    <t>GJ03FD3066</t>
  </si>
  <si>
    <t>P0026200007/4101/100756</t>
  </si>
  <si>
    <t>MARUTI ERTIGA VDI/</t>
  </si>
  <si>
    <t>MR. THEBA WASIM HANIFBHAI</t>
  </si>
  <si>
    <t xml:space="preserve">363641 RAJKOT GUJRAT 363641 </t>
  </si>
  <si>
    <t>GJ02Z4895</t>
  </si>
  <si>
    <t>POCMVGC0100387314</t>
  </si>
  <si>
    <t>Tata Motors,LPT 3118 &amp; TC</t>
  </si>
  <si>
    <t>Mr.VADGAMA MAYODIN YUSUFBHAI</t>
  </si>
  <si>
    <t>BALAPIRVAS JAINABAD, SURENDRA NAGAR, Surendra Nagar, Gujarat-382765 India</t>
  </si>
  <si>
    <t>GJ36V0252</t>
  </si>
  <si>
    <t>POCMVGC0100387374</t>
  </si>
  <si>
    <t xml:space="preserve">LCV </t>
  </si>
  <si>
    <t>Maruti,Super Carry &amp; CNG STD</t>
  </si>
  <si>
    <t>Mr.DHAMECHA BHAGABHAI SURABHAI</t>
  </si>
  <si>
    <t>22-01-2027</t>
  </si>
  <si>
    <t>22-01-2026</t>
  </si>
  <si>
    <t>SOLANKI NAGAR ZINZUDA MORBI, ZINZUDA, Jamnagar, Gujarat-363655 India</t>
  </si>
  <si>
    <t>GJ36U5017</t>
  </si>
  <si>
    <t>POCMVGC0100387392</t>
  </si>
  <si>
    <t xml:space="preserve">3WGCV </t>
  </si>
  <si>
    <t>Mahindra &amp; Mahindra,Alfa &amp; LC Plus -</t>
  </si>
  <si>
    <t>Mr.UDHREJA SIDESHBHAI DEVJIBHAI</t>
  </si>
  <si>
    <t xml:space="preserve">BLOCK NO 10 SANALA ROAD, VISHVKARMA PARK MORBI, Rajkot, Gujarat-363641 India
</t>
  </si>
  <si>
    <t>GJ36V1546</t>
  </si>
  <si>
    <t>OG-26-2214-1812-00000064</t>
  </si>
  <si>
    <t>STARBUS PRIME STAFFBUS</t>
  </si>
  <si>
    <t>RAVI DANGAR</t>
  </si>
  <si>
    <t>25-05-2028</t>
  </si>
  <si>
    <t>48 MEINSHRI MALIYA HARIPAR TA MALIYA, , ,, RAJKOT - 363641</t>
  </si>
  <si>
    <t>GJ36T4623</t>
  </si>
  <si>
    <t>P0026100006/4103/102483</t>
  </si>
  <si>
    <t xml:space="preserve">TATA LPK 3118 CR8X4BSIV </t>
  </si>
  <si>
    <t xml:space="preserve">MR KALARIYA BIPIN RATANSHI </t>
  </si>
  <si>
    <t>26-07-2026</t>
  </si>
  <si>
    <t xml:space="preserve">CHAKAMPAR MORBI MDG RAJKOT GUJRAT 363641 </t>
  </si>
  <si>
    <t>GJ36T4642</t>
  </si>
  <si>
    <t>P0026100006/4103/102485</t>
  </si>
  <si>
    <t>GJ36V5977</t>
  </si>
  <si>
    <t>6301810118 01 00</t>
  </si>
  <si>
    <t>MAHINDRA/BOLERO</t>
  </si>
  <si>
    <t>Mr SIPAI FARIDBHAI MUSTUFABHAI</t>
  </si>
  <si>
    <t>KASBA SHERI,DHRANG ADHRA, SURENDRANA GAR, GUJARAT, DHRAN GADHRA, GUJARAT, 363 310</t>
  </si>
  <si>
    <t>GJ36V7569</t>
  </si>
  <si>
    <t>3379/04397975/000/00</t>
  </si>
  <si>
    <t>BADA DOST - I4</t>
  </si>
  <si>
    <t>NITINBHAI JADAVJIBHAI BADRAKHIYA</t>
  </si>
  <si>
    <t>SO ORDI PARSHOTAM,NAGAR MORBI, MORBI, MORBI PPW S.O,RAJKOT GUJARAT,PIN- 363642</t>
  </si>
  <si>
    <t>GJ11Y6481</t>
  </si>
  <si>
    <t>POCMVGC0100388173</t>
  </si>
  <si>
    <t>Tata Motors,LPT 1109 &amp; EX</t>
  </si>
  <si>
    <t>KIRITSINH DOLUBHA SOLANKI</t>
  </si>
  <si>
    <t>UMIYANAGAR TRAJPAR, MORVI, Rajkot, Gujarat-363641</t>
  </si>
  <si>
    <t>GJ36T1176</t>
  </si>
  <si>
    <t>213049/31/26/003795</t>
  </si>
  <si>
    <t>MAHINDRA AND MAHINDRA - BOLERO</t>
  </si>
  <si>
    <t>PRAHLADBHAI LABHUBHAI SURELA</t>
  </si>
  <si>
    <t>SHRIRAM</t>
  </si>
  <si>
    <t>PRAKASH NAGAR LILAPARMORBIGUJRAT , MORBI , RAJKOT, GUJARAT</t>
  </si>
  <si>
    <t>GJ36AC5581</t>
  </si>
  <si>
    <t>ERTIGA</t>
  </si>
  <si>
    <t>Dangar Maheshbhai Kanabhai</t>
  </si>
  <si>
    <t>KARIYA SOC NR RAMDEVPIR TEMPLE VAVDI ROAD MORBI RAKKOT, Rajkot 363641, Gujarat</t>
  </si>
  <si>
    <t>GJ36V1677</t>
  </si>
  <si>
    <t>213049/31/26/003794</t>
  </si>
  <si>
    <t>NILESHKUMAR MAKASANA</t>
  </si>
  <si>
    <t>JANAKPURATGHUNTUDIMORBI,, , MORBI , RAJKOT, GUJARAT</t>
  </si>
  <si>
    <t>GJ36U8234</t>
  </si>
  <si>
    <t>213049/31/26/003797</t>
  </si>
  <si>
    <t>ARIFBHAI PATHAN</t>
  </si>
  <si>
    <t>SANDHI SOCIETY NAVAPARA, TA WANKANER AMARSAR, , MORBI-363621 , WANKANER</t>
  </si>
  <si>
    <t>GJ36X6724</t>
  </si>
  <si>
    <t>213049/31/26/003790</t>
  </si>
  <si>
    <t>RAJESH HIRABHAI PARSADIYA</t>
  </si>
  <si>
    <t>AT JETPAR , PO JETPAR , TA MORBI , GUJARAT , JETPAR , RAJKOT, GUJARAT</t>
  </si>
  <si>
    <t>GJ36AJ6281</t>
  </si>
  <si>
    <t>6204934716 00 00</t>
  </si>
  <si>
    <t>HYUNDAI/VENUE</t>
  </si>
  <si>
    <t>KUNAPARA BHARATBHAI HARJIBHA</t>
  </si>
  <si>
    <t>91P2,RATDIYU,PALANS WANKANER MORBI Gujarat 363621, WANKANER-363621,</t>
  </si>
  <si>
    <t>GJ10W6976</t>
  </si>
  <si>
    <t>VGT0447524000101</t>
  </si>
  <si>
    <t>LPT 2515/48</t>
  </si>
  <si>
    <t>ASIF KASAMBHAI DALVANI</t>
  </si>
  <si>
    <t>ROYAL</t>
  </si>
  <si>
    <t>BLOCK NO 38 MOCHINAGAR 1 ST NO 5 BAJARANGWADI JAMNAGAR</t>
  </si>
  <si>
    <t>GJ12BZ0134</t>
  </si>
  <si>
    <t>213049/31/26/003825</t>
  </si>
  <si>
    <t>OFFICE NO-203,204,205, PLOT NO.46 SECOND FLOOR SECTOR 8 GANDHIDHAM TRADE CENTRE, KACHCHH G , GANDHIDHAM , KACHCHH, GUJARAT</t>
  </si>
  <si>
    <t>GJ18AU9077</t>
  </si>
  <si>
    <t>213049/31/26/003855</t>
  </si>
  <si>
    <t>JAYDEEP ASSOCIATES PVT LTD</t>
  </si>
  <si>
    <t>JAYDEEP</t>
  </si>
  <si>
    <t>JAYDEEP HOUSE OPP SKY MALL, SANALA ROAD MORBI, MORBI, MORBI, GUJARAT, 363641 , MORBI , RAJKOT, GUJARAT</t>
  </si>
  <si>
    <t>GJ36S4153</t>
  </si>
  <si>
    <t>3614004368 00 00</t>
  </si>
  <si>
    <t>CATERPILLAR/HM 202 1/OPEN/CONSTRUCTIO N EQUIPMENTS</t>
  </si>
  <si>
    <t>GJ36T8382</t>
  </si>
  <si>
    <t>213049/31/26/003851</t>
  </si>
  <si>
    <t>ASHOK LEYLAND - 3718 10*2 HAULAGE 6600 MM BS 4</t>
  </si>
  <si>
    <t>IDRISHBHAI ALIMAMDBHAI GHONIA</t>
  </si>
  <si>
    <t>GALAXY PARK 2 , A ONE APARTMENT , CHANDRAPUR , MORBI , GUJARAT , CHANDRAPUR , RAJKOT, GUJARAT</t>
  </si>
  <si>
    <t>GJ24AQ0998</t>
  </si>
  <si>
    <t>0607013125P105329130</t>
  </si>
  <si>
    <t>FORCE MOTORS. / FORCE TOOFAN CLASSIC BS III</t>
  </si>
  <si>
    <t>SINDHI SIRAJBHAI SAMSHERBHAI</t>
  </si>
  <si>
    <t>UNITED</t>
  </si>
  <si>
    <t>7-7-83-3,LOTESHWAR,MULLA VADAPASE,SOLARA NI POL,PATAN 384265</t>
  </si>
  <si>
    <t>GJ36T9635</t>
  </si>
  <si>
    <t>POCMVGC0100390596</t>
  </si>
  <si>
    <t>Ashok Leyland,Bada Dost &amp; I4TNDD - 3490 GVW</t>
  </si>
  <si>
    <t>SABIR ANWARBHAI GANCHI</t>
  </si>
  <si>
    <t>81416 54514</t>
  </si>
  <si>
    <t>70167 97340</t>
  </si>
  <si>
    <t>MAHENDRAPARA SOCIETY 20, MORBI, Rajkot, Gujarat-363641</t>
  </si>
  <si>
    <t>GJ10DR8450</t>
  </si>
  <si>
    <t>D211256568 / 04072025</t>
  </si>
  <si>
    <t>BALENO NEW/1.2 DELTA AGS BSVI</t>
  </si>
  <si>
    <t>NANJIBHAI JETHABHAI JIVANI</t>
  </si>
  <si>
    <t>DIGIT</t>
  </si>
  <si>
    <t>AT RASNAL TA JODIYA DIS JAMNAGAR</t>
  </si>
  <si>
    <t>GJ36V4985</t>
  </si>
  <si>
    <t>POCMVGC0100390595</t>
  </si>
  <si>
    <t>RAVALJIBHAI POLABHAI RANGPARA</t>
  </si>
  <si>
    <t>AT ADEPAR TA WANKANER, MORBI, Rajkot, Gujarat-363621</t>
  </si>
  <si>
    <t>GJ36X9924</t>
  </si>
  <si>
    <t>3003/399435410/00/B00</t>
  </si>
  <si>
    <t>BOLERO MAXX PUP CITY 1.3L SXID</t>
  </si>
  <si>
    <t>SARAIYA JAYESH GELABHAI</t>
  </si>
  <si>
    <t>JETPARDA WANKANER, RAJKOT, RAJKOT, GUJARAT 363621</t>
  </si>
  <si>
    <t>GJ36X7605</t>
  </si>
  <si>
    <t>213049/31/26/003989</t>
  </si>
  <si>
    <t>TATA MOTORS - SIGNA 4830 TK 10X4 29 BOX BS 6</t>
  </si>
  <si>
    <t>JAYADIPBHAI RAMBHAI CHAVADA</t>
  </si>
  <si>
    <t>96013 09674</t>
  </si>
  <si>
    <t>272 GAYATRI NAGAR 1 NANIBARAR, MORBI, MORBI, MORBI, GUJARAT, 363660 , MORBI , RAJKOT, GUJARAT - 363660 ,Mob- ****</t>
  </si>
  <si>
    <t>GJ36T7535</t>
  </si>
  <si>
    <t>3003/399517727/00/B00</t>
  </si>
  <si>
    <t>LPT 407 EX</t>
  </si>
  <si>
    <t>SABALIYA PRAVINBHAI LAKHABHAI</t>
  </si>
  <si>
    <t xml:space="preserve"> 99134 46989</t>
  </si>
  <si>
    <t>JAMBUDIYA MORBI, RAJKOT, GUJARAT 363642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</si>
</sst>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-dd-yyyy"/>
    <numFmt numFmtId="166" formatCode="m-d-yyyy"/>
  </numFmts>
  <fonts count="8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11.0"/>
      <color rgb="FF351C75"/>
      <name val="Arial"/>
    </font>
    <font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0000FF"/>
        <bgColor rgb="FF0000FF"/>
      </patternFill>
    </fill>
    <fill>
      <patternFill patternType="solid">
        <fgColor rgb="FF46BDC6"/>
        <bgColor rgb="FF46BD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right" readingOrder="0" shrinkToFit="0" vertical="center" wrapText="1"/>
    </xf>
    <xf borderId="1" fillId="2" fontId="2" numFmtId="0" xfId="0" applyAlignment="1" applyBorder="1" applyFon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left" readingOrder="0" vertical="bottom"/>
    </xf>
    <xf borderId="1" fillId="3" fontId="4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horizontal="left" vertical="bottom"/>
    </xf>
    <xf borderId="1" fillId="0" fontId="3" numFmtId="165" xfId="0" applyAlignment="1" applyBorder="1" applyFont="1" applyNumberFormat="1">
      <alignment horizontal="center" readingOrder="0" vertical="bottom"/>
    </xf>
    <xf borderId="0" fillId="0" fontId="3" numFmtId="4" xfId="0" applyAlignment="1" applyFont="1" applyNumberFormat="1">
      <alignment horizontal="right" vertical="bottom"/>
    </xf>
    <xf borderId="1" fillId="0" fontId="3" numFmtId="0" xfId="0" applyAlignment="1" applyBorder="1" applyFont="1">
      <alignment horizontal="right" readingOrder="0" vertical="center"/>
    </xf>
    <xf borderId="1" fillId="0" fontId="3" numFmtId="4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left" vertical="bottom"/>
    </xf>
    <xf borderId="1" fillId="0" fontId="3" numFmtId="0" xfId="0" applyAlignment="1" applyBorder="1" applyFont="1">
      <alignment horizontal="right" vertical="center"/>
    </xf>
    <xf borderId="1" fillId="0" fontId="3" numFmtId="164" xfId="0" applyAlignment="1" applyBorder="1" applyFont="1" applyNumberFormat="1">
      <alignment horizontal="left" vertical="bottom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left" readingOrder="0"/>
    </xf>
    <xf borderId="1" fillId="0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right" readingOrder="0" vertical="center"/>
    </xf>
    <xf borderId="1" fillId="0" fontId="5" numFmtId="164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/>
    </xf>
    <xf borderId="0" fillId="0" fontId="5" numFmtId="4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0" fillId="0" fontId="5" numFmtId="0" xfId="0" applyAlignment="1" applyFont="1">
      <alignment horizontal="center" readingOrder="0"/>
    </xf>
    <xf borderId="1" fillId="0" fontId="5" numFmtId="165" xfId="0" applyAlignment="1" applyBorder="1" applyFont="1" applyNumberFormat="1">
      <alignment horizontal="left" readingOrder="0"/>
    </xf>
    <xf borderId="1" fillId="3" fontId="4" numFmtId="0" xfId="0" applyAlignment="1" applyBorder="1" applyFont="1">
      <alignment horizontal="center" readingOrder="0" shrinkToFit="0" vertical="bottom" wrapText="1"/>
    </xf>
    <xf borderId="1" fillId="0" fontId="5" numFmtId="166" xfId="0" applyAlignment="1" applyBorder="1" applyFont="1" applyNumberFormat="1">
      <alignment horizontal="center" readingOrder="0"/>
    </xf>
    <xf borderId="1" fillId="5" fontId="6" numFmtId="0" xfId="0" applyAlignment="1" applyBorder="1" applyFill="1" applyFont="1">
      <alignment horizontal="right" readingOrder="0" vertical="bottom"/>
    </xf>
    <xf borderId="1" fillId="5" fontId="5" numFmtId="164" xfId="0" applyAlignment="1" applyBorder="1" applyFont="1" applyNumberFormat="1">
      <alignment readingOrder="0"/>
    </xf>
    <xf borderId="1" fillId="5" fontId="5" numFmtId="0" xfId="0" applyAlignment="1" applyBorder="1" applyFont="1">
      <alignment readingOrder="0"/>
    </xf>
    <xf borderId="0" fillId="5" fontId="5" numFmtId="0" xfId="0" applyAlignment="1" applyFont="1">
      <alignment readingOrder="0"/>
    </xf>
    <xf borderId="1" fillId="5" fontId="5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/>
    </xf>
    <xf borderId="1" fillId="5" fontId="5" numFmtId="164" xfId="0" applyAlignment="1" applyBorder="1" applyFont="1" applyNumberFormat="1">
      <alignment horizontal="left" readingOrder="0"/>
    </xf>
    <xf borderId="1" fillId="5" fontId="4" numFmtId="0" xfId="0" applyAlignment="1" applyBorder="1" applyFont="1">
      <alignment horizontal="center" readingOrder="0" shrinkToFit="0" vertical="bottom" wrapText="1"/>
    </xf>
    <xf borderId="1" fillId="5" fontId="5" numFmtId="0" xfId="0" applyAlignment="1" applyBorder="1" applyFont="1">
      <alignment horizontal="right" readingOrder="0" vertical="center"/>
    </xf>
    <xf borderId="0" fillId="5" fontId="5" numFmtId="0" xfId="0" applyFont="1"/>
    <xf borderId="1" fillId="6" fontId="5" numFmtId="0" xfId="0" applyAlignment="1" applyBorder="1" applyFill="1" applyFont="1">
      <alignment readingOrder="0"/>
    </xf>
    <xf borderId="1" fillId="6" fontId="4" numFmtId="0" xfId="0" applyAlignment="1" applyBorder="1" applyFont="1">
      <alignment horizontal="center" readingOrder="0" shrinkToFit="0" vertical="bottom" wrapText="1"/>
    </xf>
    <xf borderId="1" fillId="7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1" fillId="5" fontId="5" numFmtId="0" xfId="0" applyAlignment="1" applyBorder="1" applyFont="1">
      <alignment horizontal="left" readingOrder="0"/>
    </xf>
    <xf borderId="1" fillId="5" fontId="5" numFmtId="165" xfId="0" applyAlignment="1" applyBorder="1" applyFont="1" applyNumberFormat="1">
      <alignment horizontal="center" readingOrder="0"/>
    </xf>
    <xf borderId="1" fillId="8" fontId="3" numFmtId="0" xfId="0" applyAlignment="1" applyBorder="1" applyFill="1" applyFont="1">
      <alignment vertical="bottom"/>
    </xf>
    <xf borderId="1" fillId="4" fontId="5" numFmtId="164" xfId="0" applyAlignment="1" applyBorder="1" applyFont="1" applyNumberFormat="1">
      <alignment horizontal="left" readingOrder="0"/>
    </xf>
    <xf borderId="1" fillId="9" fontId="3" numFmtId="0" xfId="0" applyAlignment="1" applyBorder="1" applyFill="1" applyFont="1">
      <alignment horizontal="right" readingOrder="0" vertical="bottom"/>
    </xf>
    <xf borderId="1" fillId="0" fontId="5" numFmtId="0" xfId="0" applyAlignment="1" applyBorder="1" applyFont="1">
      <alignment horizontal="left" readingOrder="0"/>
    </xf>
    <xf borderId="1" fillId="4" fontId="4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right" readingOrder="0"/>
    </xf>
    <xf borderId="1" fillId="4" fontId="5" numFmtId="0" xfId="0" applyAlignment="1" applyBorder="1" applyFont="1">
      <alignment readingOrder="0"/>
    </xf>
    <xf borderId="0" fillId="0" fontId="5" numFmtId="0" xfId="0" applyAlignment="1" applyFont="1">
      <alignment horizontal="left" readingOrder="0"/>
    </xf>
    <xf borderId="1" fillId="5" fontId="5" numFmtId="0" xfId="0" applyAlignment="1" applyBorder="1" applyFont="1">
      <alignment horizontal="right" readingOrder="0"/>
    </xf>
    <xf borderId="0" fillId="4" fontId="5" numFmtId="4" xfId="0" applyAlignment="1" applyFont="1" applyNumberFormat="1">
      <alignment readingOrder="0"/>
    </xf>
    <xf quotePrefix="1" borderId="0" fillId="0" fontId="5" numFmtId="0" xfId="0" applyAlignment="1" applyFont="1">
      <alignment readingOrder="0"/>
    </xf>
    <xf borderId="1" fillId="0" fontId="7" numFmtId="0" xfId="0" applyAlignment="1" applyBorder="1" applyFont="1">
      <alignment horizontal="center" readingOrder="0"/>
    </xf>
    <xf borderId="0" fillId="3" fontId="6" numFmtId="0" xfId="0" applyAlignment="1" applyFont="1">
      <alignment horizontal="left" readingOrder="0"/>
    </xf>
    <xf borderId="1" fillId="0" fontId="5" numFmtId="0" xfId="0" applyBorder="1" applyFont="1"/>
    <xf borderId="1" fillId="0" fontId="5" numFmtId="4" xfId="0" applyAlignment="1" applyBorder="1" applyFont="1" applyNumberFormat="1">
      <alignment readingOrder="0"/>
    </xf>
    <xf borderId="1" fillId="5" fontId="3" numFmtId="0" xfId="0" applyAlignment="1" applyBorder="1" applyFont="1">
      <alignment horizontal="right" vertical="center"/>
    </xf>
    <xf borderId="0" fillId="0" fontId="5" numFmtId="164" xfId="0" applyAlignment="1" applyFont="1" applyNumberFormat="1">
      <alignment horizontal="left" readingOrder="0"/>
    </xf>
    <xf borderId="1" fillId="4" fontId="3" numFmtId="0" xfId="0" applyAlignment="1" applyBorder="1" applyFont="1">
      <alignment horizontal="right" readingOrder="0" vertical="bottom"/>
    </xf>
    <xf borderId="1" fillId="4" fontId="5" numFmtId="164" xfId="0" applyAlignment="1" applyBorder="1" applyFont="1" applyNumberFormat="1">
      <alignment readingOrder="0"/>
    </xf>
    <xf borderId="1" fillId="4" fontId="5" numFmtId="0" xfId="0" applyAlignment="1" applyBorder="1" applyFont="1">
      <alignment horizontal="center" readingOrder="0"/>
    </xf>
    <xf borderId="1" fillId="4" fontId="5" numFmtId="165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horizontal="right" readingOrder="0" vertical="center"/>
    </xf>
    <xf borderId="1" fillId="4" fontId="3" numFmtId="0" xfId="0" applyAlignment="1" applyBorder="1" applyFont="1">
      <alignment horizontal="right" vertical="center"/>
    </xf>
    <xf borderId="1" fillId="4" fontId="5" numFmtId="0" xfId="0" applyAlignment="1" applyBorder="1" applyFont="1">
      <alignment horizontal="center"/>
    </xf>
    <xf borderId="0" fillId="4" fontId="5" numFmtId="0" xfId="0" applyFont="1"/>
    <xf borderId="1" fillId="0" fontId="3" numFmtId="16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shrinkToFit="0" vertical="bottom" wrapText="1"/>
    </xf>
    <xf borderId="1" fillId="0" fontId="3" numFmtId="4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/>
    </xf>
    <xf borderId="1" fillId="10" fontId="3" numFmtId="164" xfId="0" applyAlignment="1" applyBorder="1" applyFill="1" applyFont="1" applyNumberFormat="1">
      <alignment horizontal="center" vertical="bottom"/>
    </xf>
    <xf borderId="1" fillId="10" fontId="3" numFmtId="0" xfId="0" applyAlignment="1" applyBorder="1" applyFont="1">
      <alignment vertical="bottom"/>
    </xf>
    <xf borderId="1" fillId="10" fontId="3" numFmtId="0" xfId="0" applyAlignment="1" applyBorder="1" applyFont="1">
      <alignment horizontal="right" vertical="bottom"/>
    </xf>
    <xf borderId="1" fillId="10" fontId="3" numFmtId="164" xfId="0" applyAlignment="1" applyBorder="1" applyFont="1" applyNumberFormat="1">
      <alignment horizontal="right" vertical="bottom"/>
    </xf>
    <xf borderId="1" fillId="10" fontId="1" numFmtId="0" xfId="0" applyAlignment="1" applyBorder="1" applyFont="1">
      <alignment horizontal="center" shrinkToFit="0" vertical="bottom" wrapText="1"/>
    </xf>
    <xf borderId="0" fillId="0" fontId="3" numFmtId="164" xfId="0" applyAlignment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88"/>
    <col customWidth="1" min="2" max="2" width="13.0"/>
    <col customWidth="1" min="3" max="3" width="15.13"/>
    <col customWidth="1" min="4" max="4" width="22.63"/>
    <col customWidth="1" min="6" max="6" width="25.25"/>
    <col customWidth="1" min="7" max="7" width="39.0"/>
    <col customWidth="1" min="10" max="10" width="6.63"/>
    <col customWidth="1" min="14" max="14" width="4.88"/>
    <col customWidth="1" min="15" max="15" width="7.88"/>
    <col customWidth="1" min="16" max="18" width="13.0"/>
    <col customWidth="1" min="21" max="22" width="14.38"/>
    <col customWidth="1" min="24" max="24" width="23.0"/>
    <col customWidth="1" min="25" max="35" width="76.88"/>
  </cols>
  <sheetData>
    <row r="1" ht="54.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4" t="s">
        <v>20</v>
      </c>
      <c r="V1" s="5" t="s">
        <v>21</v>
      </c>
      <c r="W1" s="2" t="s">
        <v>22</v>
      </c>
      <c r="X1" s="6" t="s">
        <v>23</v>
      </c>
      <c r="Y1" s="2" t="s">
        <v>24</v>
      </c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9"/>
      <c r="L2" s="8"/>
      <c r="M2" s="10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 t="s">
        <v>25</v>
      </c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hidden="1">
      <c r="A3" s="8">
        <v>1.0</v>
      </c>
      <c r="B3" s="12">
        <v>45722.0</v>
      </c>
      <c r="C3" s="11" t="s">
        <v>26</v>
      </c>
      <c r="D3" s="11" t="s">
        <v>27</v>
      </c>
      <c r="E3" s="13" t="s">
        <v>28</v>
      </c>
      <c r="F3" s="11" t="s">
        <v>29</v>
      </c>
      <c r="G3" s="11" t="s">
        <v>30</v>
      </c>
      <c r="H3" s="14" t="s">
        <v>31</v>
      </c>
      <c r="I3" s="13"/>
      <c r="J3" s="15">
        <v>3490.0</v>
      </c>
      <c r="K3" s="16">
        <v>46059.0</v>
      </c>
      <c r="L3" s="13" t="s">
        <v>32</v>
      </c>
      <c r="M3" s="10" t="s">
        <v>33</v>
      </c>
      <c r="N3" s="13" t="s">
        <v>34</v>
      </c>
      <c r="O3" s="13" t="s">
        <v>35</v>
      </c>
      <c r="P3" s="17">
        <v>46635.0</v>
      </c>
      <c r="Q3" s="17">
        <v>46205.0</v>
      </c>
      <c r="R3" s="17">
        <v>46976.0</v>
      </c>
      <c r="S3" s="18">
        <v>21938.0</v>
      </c>
      <c r="T3" s="18">
        <v>24918.0</v>
      </c>
      <c r="U3" s="19">
        <v>19000.0</v>
      </c>
      <c r="V3" s="20">
        <f t="shared" ref="V3:V248" si="1">T3-U3</f>
        <v>5918</v>
      </c>
      <c r="W3" s="21" t="s">
        <v>36</v>
      </c>
      <c r="X3" s="22" t="s">
        <v>37</v>
      </c>
      <c r="Y3" s="13"/>
      <c r="Z3" s="13"/>
      <c r="AA3" s="13" t="s">
        <v>36</v>
      </c>
      <c r="AB3" s="11" t="s">
        <v>38</v>
      </c>
      <c r="AC3" s="13"/>
      <c r="AD3" s="13"/>
      <c r="AE3" s="13"/>
      <c r="AF3" s="13"/>
      <c r="AG3" s="13"/>
      <c r="AH3" s="13"/>
      <c r="AI3" s="13"/>
    </row>
    <row r="4" hidden="1">
      <c r="A4" s="23">
        <v>2.0</v>
      </c>
      <c r="B4" s="12">
        <v>45722.0</v>
      </c>
      <c r="C4" s="11" t="s">
        <v>39</v>
      </c>
      <c r="D4" s="11" t="s">
        <v>40</v>
      </c>
      <c r="E4" s="13" t="s">
        <v>41</v>
      </c>
      <c r="F4" s="11" t="s">
        <v>42</v>
      </c>
      <c r="G4" s="11" t="s">
        <v>43</v>
      </c>
      <c r="H4" s="14">
        <v>9.998835534E9</v>
      </c>
      <c r="I4" s="14"/>
      <c r="J4" s="24">
        <v>100.0</v>
      </c>
      <c r="K4" s="25">
        <v>46059.0</v>
      </c>
      <c r="L4" s="13" t="s">
        <v>44</v>
      </c>
      <c r="M4" s="10" t="s">
        <v>45</v>
      </c>
      <c r="N4" s="13" t="s">
        <v>46</v>
      </c>
      <c r="O4" s="13" t="s">
        <v>47</v>
      </c>
      <c r="P4" s="21" t="s">
        <v>48</v>
      </c>
      <c r="Q4" s="21" t="s">
        <v>25</v>
      </c>
      <c r="R4" s="21" t="s">
        <v>25</v>
      </c>
      <c r="S4" s="24">
        <v>714.0</v>
      </c>
      <c r="T4" s="24">
        <v>842.0</v>
      </c>
      <c r="U4" s="19">
        <v>900.0</v>
      </c>
      <c r="V4" s="26">
        <f t="shared" si="1"/>
        <v>-58</v>
      </c>
      <c r="W4" s="21" t="s">
        <v>36</v>
      </c>
      <c r="X4" s="22" t="s">
        <v>49</v>
      </c>
      <c r="Y4" s="11" t="s">
        <v>50</v>
      </c>
      <c r="Z4" s="13"/>
      <c r="AA4" s="13"/>
      <c r="AB4" s="11" t="s">
        <v>50</v>
      </c>
      <c r="AC4" s="13"/>
      <c r="AD4" s="13"/>
      <c r="AE4" s="13"/>
      <c r="AF4" s="13"/>
      <c r="AG4" s="13"/>
      <c r="AH4" s="13"/>
      <c r="AI4" s="13"/>
    </row>
    <row r="5" hidden="1">
      <c r="A5" s="8">
        <v>3.0</v>
      </c>
      <c r="B5" s="12">
        <v>45753.0</v>
      </c>
      <c r="C5" s="11" t="s">
        <v>51</v>
      </c>
      <c r="D5" s="11" t="s">
        <v>52</v>
      </c>
      <c r="E5" s="13" t="s">
        <v>28</v>
      </c>
      <c r="F5" s="11" t="s">
        <v>53</v>
      </c>
      <c r="G5" s="11" t="s">
        <v>54</v>
      </c>
      <c r="H5" s="14">
        <v>9.0998391E9</v>
      </c>
      <c r="I5" s="14"/>
      <c r="J5" s="24">
        <v>1600.0</v>
      </c>
      <c r="K5" s="16">
        <v>46059.0</v>
      </c>
      <c r="L5" s="13" t="s">
        <v>55</v>
      </c>
      <c r="M5" s="10" t="s">
        <v>33</v>
      </c>
      <c r="N5" s="13" t="s">
        <v>56</v>
      </c>
      <c r="O5" s="13" t="s">
        <v>35</v>
      </c>
      <c r="P5" s="21" t="s">
        <v>57</v>
      </c>
      <c r="Q5" s="21" t="s">
        <v>58</v>
      </c>
      <c r="R5" s="21" t="s">
        <v>25</v>
      </c>
      <c r="S5" s="24">
        <v>19291.0</v>
      </c>
      <c r="T5" s="24">
        <v>21801.0</v>
      </c>
      <c r="U5" s="19">
        <v>15500.0</v>
      </c>
      <c r="V5" s="26">
        <f t="shared" si="1"/>
        <v>6301</v>
      </c>
      <c r="W5" s="21" t="s">
        <v>36</v>
      </c>
      <c r="X5" s="22" t="s">
        <v>59</v>
      </c>
      <c r="Y5" s="11" t="s">
        <v>60</v>
      </c>
      <c r="Z5" s="13"/>
      <c r="AA5" s="13"/>
      <c r="AB5" s="11" t="s">
        <v>60</v>
      </c>
      <c r="AC5" s="13"/>
      <c r="AD5" s="13"/>
      <c r="AE5" s="13"/>
      <c r="AF5" s="13"/>
      <c r="AG5" s="13"/>
      <c r="AH5" s="13"/>
      <c r="AI5" s="13"/>
    </row>
    <row r="6" hidden="1">
      <c r="A6" s="8">
        <v>4.0</v>
      </c>
      <c r="B6" s="12">
        <v>45753.0</v>
      </c>
      <c r="C6" s="11" t="s">
        <v>61</v>
      </c>
      <c r="D6" s="11" t="s">
        <v>62</v>
      </c>
      <c r="E6" s="13" t="s">
        <v>63</v>
      </c>
      <c r="F6" s="11" t="s">
        <v>64</v>
      </c>
      <c r="G6" s="11" t="s">
        <v>65</v>
      </c>
      <c r="H6" s="14">
        <v>9.879454078E9</v>
      </c>
      <c r="I6" s="14">
        <v>7.984840903E9</v>
      </c>
      <c r="J6" s="24">
        <v>236.0</v>
      </c>
      <c r="K6" s="16">
        <v>46059.0</v>
      </c>
      <c r="L6" s="13" t="s">
        <v>55</v>
      </c>
      <c r="M6" s="10" t="s">
        <v>33</v>
      </c>
      <c r="N6" s="13" t="s">
        <v>66</v>
      </c>
      <c r="O6" s="13" t="s">
        <v>35</v>
      </c>
      <c r="P6" s="21" t="s">
        <v>67</v>
      </c>
      <c r="Q6" s="21" t="s">
        <v>68</v>
      </c>
      <c r="R6" s="17">
        <v>47183.0</v>
      </c>
      <c r="S6" s="24">
        <v>6519.0</v>
      </c>
      <c r="T6" s="24">
        <v>7693.0</v>
      </c>
      <c r="U6" s="19">
        <v>6200.0</v>
      </c>
      <c r="V6" s="26">
        <f t="shared" si="1"/>
        <v>1493</v>
      </c>
      <c r="W6" s="21" t="s">
        <v>36</v>
      </c>
      <c r="X6" s="22" t="s">
        <v>49</v>
      </c>
      <c r="Y6" s="11" t="s">
        <v>69</v>
      </c>
      <c r="Z6" s="13"/>
      <c r="AA6" s="13"/>
      <c r="AB6" s="11" t="s">
        <v>69</v>
      </c>
      <c r="AC6" s="13"/>
      <c r="AD6" s="13"/>
      <c r="AE6" s="13"/>
      <c r="AF6" s="13"/>
      <c r="AG6" s="13"/>
      <c r="AH6" s="13"/>
      <c r="AI6" s="13"/>
    </row>
    <row r="7" hidden="1">
      <c r="A7" s="23">
        <v>5.0</v>
      </c>
      <c r="B7" s="12">
        <v>45753.0</v>
      </c>
      <c r="C7" s="13" t="s">
        <v>70</v>
      </c>
      <c r="D7" s="11" t="s">
        <v>71</v>
      </c>
      <c r="E7" s="13" t="s">
        <v>63</v>
      </c>
      <c r="F7" s="11" t="s">
        <v>64</v>
      </c>
      <c r="G7" s="11" t="s">
        <v>72</v>
      </c>
      <c r="H7" s="14">
        <v>9.727007901E9</v>
      </c>
      <c r="I7" s="14">
        <v>9.033407901E9</v>
      </c>
      <c r="J7" s="15">
        <v>236.0</v>
      </c>
      <c r="K7" s="27">
        <v>46059.0</v>
      </c>
      <c r="L7" s="13" t="s">
        <v>55</v>
      </c>
      <c r="M7" s="10" t="s">
        <v>33</v>
      </c>
      <c r="N7" s="13" t="s">
        <v>73</v>
      </c>
      <c r="O7" s="13" t="s">
        <v>35</v>
      </c>
      <c r="P7" s="21" t="s">
        <v>74</v>
      </c>
      <c r="Q7" s="17">
        <v>45814.0</v>
      </c>
      <c r="R7" s="21" t="s">
        <v>75</v>
      </c>
      <c r="S7" s="24">
        <v>6375.0</v>
      </c>
      <c r="T7" s="24">
        <v>7523.0</v>
      </c>
      <c r="U7" s="19">
        <v>6500.0</v>
      </c>
      <c r="V7" s="26">
        <f t="shared" si="1"/>
        <v>1023</v>
      </c>
      <c r="W7" s="21" t="s">
        <v>36</v>
      </c>
      <c r="X7" s="22" t="s">
        <v>37</v>
      </c>
      <c r="Y7" s="11" t="s">
        <v>76</v>
      </c>
      <c r="Z7" s="13"/>
      <c r="AA7" s="13"/>
      <c r="AB7" s="11" t="s">
        <v>76</v>
      </c>
      <c r="AC7" s="13"/>
      <c r="AD7" s="13"/>
      <c r="AE7" s="13"/>
      <c r="AF7" s="13"/>
      <c r="AG7" s="13"/>
      <c r="AH7" s="13"/>
      <c r="AI7" s="13"/>
    </row>
    <row r="8" hidden="1">
      <c r="A8" s="8">
        <v>6.0</v>
      </c>
      <c r="B8" s="12">
        <v>45753.0</v>
      </c>
      <c r="C8" s="13" t="s">
        <v>77</v>
      </c>
      <c r="D8" s="11" t="s">
        <v>78</v>
      </c>
      <c r="E8" s="13" t="s">
        <v>63</v>
      </c>
      <c r="F8" s="11" t="s">
        <v>64</v>
      </c>
      <c r="G8" s="11" t="s">
        <v>79</v>
      </c>
      <c r="H8" s="14">
        <v>9.879816567E9</v>
      </c>
      <c r="I8" s="14">
        <v>9.277804599E9</v>
      </c>
      <c r="J8" s="15">
        <v>236.0</v>
      </c>
      <c r="K8" s="27">
        <v>46332.0</v>
      </c>
      <c r="L8" s="13" t="s">
        <v>55</v>
      </c>
      <c r="M8" s="10" t="s">
        <v>33</v>
      </c>
      <c r="N8" s="13" t="s">
        <v>66</v>
      </c>
      <c r="O8" s="13" t="s">
        <v>35</v>
      </c>
      <c r="P8" s="21" t="s">
        <v>80</v>
      </c>
      <c r="Q8" s="17">
        <v>45876.0</v>
      </c>
      <c r="R8" s="21" t="s">
        <v>81</v>
      </c>
      <c r="S8" s="24">
        <v>6424.0</v>
      </c>
      <c r="T8" s="24">
        <v>7580.0</v>
      </c>
      <c r="U8" s="19">
        <v>6500.0</v>
      </c>
      <c r="V8" s="26">
        <f t="shared" si="1"/>
        <v>1080</v>
      </c>
      <c r="W8" s="21" t="s">
        <v>36</v>
      </c>
      <c r="X8" s="22" t="s">
        <v>37</v>
      </c>
      <c r="Y8" s="11" t="s">
        <v>82</v>
      </c>
      <c r="Z8" s="13"/>
      <c r="AA8" s="13"/>
      <c r="AB8" s="11" t="s">
        <v>82</v>
      </c>
      <c r="AC8" s="13"/>
      <c r="AD8" s="13"/>
      <c r="AE8" s="13"/>
      <c r="AF8" s="13"/>
      <c r="AG8" s="13"/>
      <c r="AH8" s="13"/>
      <c r="AI8" s="13"/>
    </row>
    <row r="9" hidden="1">
      <c r="A9" s="8">
        <v>7.0</v>
      </c>
      <c r="B9" s="12">
        <v>45753.0</v>
      </c>
      <c r="C9" s="13" t="s">
        <v>83</v>
      </c>
      <c r="D9" s="11" t="s">
        <v>84</v>
      </c>
      <c r="E9" s="13" t="s">
        <v>28</v>
      </c>
      <c r="F9" s="11" t="s">
        <v>85</v>
      </c>
      <c r="G9" s="11" t="s">
        <v>86</v>
      </c>
      <c r="H9" s="14">
        <v>9.825391267E9</v>
      </c>
      <c r="I9" s="14"/>
      <c r="J9" s="15">
        <v>1950.0</v>
      </c>
      <c r="K9" s="27">
        <v>46059.0</v>
      </c>
      <c r="L9" s="13" t="s">
        <v>55</v>
      </c>
      <c r="M9" s="10" t="s">
        <v>33</v>
      </c>
      <c r="N9" s="13" t="s">
        <v>34</v>
      </c>
      <c r="O9" s="13" t="s">
        <v>35</v>
      </c>
      <c r="P9" s="21" t="s">
        <v>87</v>
      </c>
      <c r="Q9" s="21" t="s">
        <v>88</v>
      </c>
      <c r="R9" s="21" t="s">
        <v>25</v>
      </c>
      <c r="S9" s="24">
        <v>18528.0</v>
      </c>
      <c r="T9" s="24">
        <v>20900.0</v>
      </c>
      <c r="U9" s="19">
        <v>15000.0</v>
      </c>
      <c r="V9" s="26">
        <f t="shared" si="1"/>
        <v>5900</v>
      </c>
      <c r="W9" s="21" t="s">
        <v>36</v>
      </c>
      <c r="X9" s="22" t="s">
        <v>37</v>
      </c>
      <c r="Y9" s="11" t="s">
        <v>89</v>
      </c>
      <c r="Z9" s="13"/>
      <c r="AA9" s="13"/>
      <c r="AB9" s="11" t="s">
        <v>89</v>
      </c>
      <c r="AC9" s="13"/>
      <c r="AD9" s="13"/>
      <c r="AE9" s="13"/>
      <c r="AF9" s="13"/>
      <c r="AG9" s="13"/>
      <c r="AH9" s="13"/>
      <c r="AI9" s="13"/>
    </row>
    <row r="10" hidden="1">
      <c r="A10" s="23">
        <v>8.0</v>
      </c>
      <c r="B10" s="12">
        <v>45753.0</v>
      </c>
      <c r="C10" s="28" t="s">
        <v>90</v>
      </c>
      <c r="D10" s="29" t="s">
        <v>91</v>
      </c>
      <c r="E10" s="28" t="s">
        <v>92</v>
      </c>
      <c r="F10" s="29" t="s">
        <v>93</v>
      </c>
      <c r="G10" s="29" t="s">
        <v>94</v>
      </c>
      <c r="H10" s="30" t="s">
        <v>95</v>
      </c>
      <c r="I10" s="30" t="s">
        <v>96</v>
      </c>
      <c r="J10" s="28">
        <v>28000.0</v>
      </c>
      <c r="K10" s="31">
        <v>46118.0</v>
      </c>
      <c r="L10" s="13" t="s">
        <v>55</v>
      </c>
      <c r="M10" s="10" t="s">
        <v>33</v>
      </c>
      <c r="N10" s="28" t="s">
        <v>97</v>
      </c>
      <c r="O10" s="28" t="s">
        <v>35</v>
      </c>
      <c r="P10" s="32">
        <v>46301.0</v>
      </c>
      <c r="Q10" s="30" t="s">
        <v>98</v>
      </c>
      <c r="R10" s="30" t="s">
        <v>99</v>
      </c>
      <c r="S10" s="29">
        <v>46197.0</v>
      </c>
      <c r="T10" s="29">
        <v>51875.0</v>
      </c>
      <c r="U10" s="33">
        <v>46000.0</v>
      </c>
      <c r="V10" s="26">
        <f t="shared" si="1"/>
        <v>5875</v>
      </c>
      <c r="W10" s="30" t="s">
        <v>36</v>
      </c>
      <c r="X10" s="22" t="s">
        <v>49</v>
      </c>
      <c r="Y10" s="29" t="s">
        <v>100</v>
      </c>
    </row>
    <row r="11" hidden="1">
      <c r="A11" s="8">
        <v>9.0</v>
      </c>
      <c r="B11" s="12">
        <v>45753.0</v>
      </c>
      <c r="C11" s="28" t="s">
        <v>101</v>
      </c>
      <c r="D11" s="29" t="s">
        <v>102</v>
      </c>
      <c r="E11" s="28" t="s">
        <v>28</v>
      </c>
      <c r="F11" s="29" t="s">
        <v>103</v>
      </c>
      <c r="G11" s="29" t="s">
        <v>104</v>
      </c>
      <c r="H11" s="30" t="s">
        <v>105</v>
      </c>
      <c r="I11" s="30" t="s">
        <v>106</v>
      </c>
      <c r="J11" s="28">
        <v>2735.0</v>
      </c>
      <c r="K11" s="31">
        <v>46087.0</v>
      </c>
      <c r="L11" s="13" t="s">
        <v>55</v>
      </c>
      <c r="M11" s="10" t="s">
        <v>33</v>
      </c>
      <c r="N11" s="28" t="s">
        <v>56</v>
      </c>
      <c r="O11" s="28" t="s">
        <v>35</v>
      </c>
      <c r="P11" s="30" t="s">
        <v>107</v>
      </c>
      <c r="Q11" s="30" t="s">
        <v>108</v>
      </c>
      <c r="R11" s="30" t="s">
        <v>25</v>
      </c>
      <c r="S11" s="29">
        <v>20765.0</v>
      </c>
      <c r="T11" s="29">
        <v>23540.0</v>
      </c>
      <c r="U11" s="33">
        <v>16500.0</v>
      </c>
      <c r="V11" s="26">
        <f t="shared" si="1"/>
        <v>7040</v>
      </c>
      <c r="W11" s="30" t="s">
        <v>36</v>
      </c>
      <c r="X11" s="22" t="s">
        <v>37</v>
      </c>
      <c r="Y11" s="29" t="s">
        <v>109</v>
      </c>
    </row>
    <row r="12" hidden="1">
      <c r="A12" s="8">
        <v>10.0</v>
      </c>
      <c r="B12" s="34">
        <v>45783.0</v>
      </c>
      <c r="C12" s="28" t="s">
        <v>110</v>
      </c>
      <c r="D12" s="29" t="s">
        <v>111</v>
      </c>
      <c r="E12" s="28" t="s">
        <v>92</v>
      </c>
      <c r="F12" s="29" t="s">
        <v>112</v>
      </c>
      <c r="G12" s="29" t="s">
        <v>113</v>
      </c>
      <c r="H12" s="30" t="s">
        <v>114</v>
      </c>
      <c r="I12" s="30" t="s">
        <v>115</v>
      </c>
      <c r="J12" s="28">
        <v>11250.0</v>
      </c>
      <c r="K12" s="31">
        <v>46118.0</v>
      </c>
      <c r="L12" s="13" t="s">
        <v>55</v>
      </c>
      <c r="M12" s="10" t="s">
        <v>33</v>
      </c>
      <c r="N12" s="28" t="s">
        <v>116</v>
      </c>
      <c r="O12" s="28" t="s">
        <v>35</v>
      </c>
      <c r="P12" s="30" t="s">
        <v>117</v>
      </c>
      <c r="Q12" s="32">
        <v>45722.0</v>
      </c>
      <c r="R12" s="30" t="s">
        <v>118</v>
      </c>
      <c r="S12" s="29">
        <v>30132.0</v>
      </c>
      <c r="T12" s="29">
        <v>33924.0</v>
      </c>
      <c r="U12" s="33">
        <v>32000.0</v>
      </c>
      <c r="V12" s="26">
        <f t="shared" si="1"/>
        <v>1924</v>
      </c>
      <c r="W12" s="30" t="s">
        <v>36</v>
      </c>
      <c r="X12" s="22" t="s">
        <v>49</v>
      </c>
      <c r="Y12" s="29" t="s">
        <v>119</v>
      </c>
    </row>
    <row r="13" ht="17.25" hidden="1" customHeight="1">
      <c r="A13" s="23">
        <v>11.0</v>
      </c>
      <c r="B13" s="34">
        <v>45783.0</v>
      </c>
      <c r="C13" s="28" t="s">
        <v>120</v>
      </c>
      <c r="D13" s="29" t="s">
        <v>121</v>
      </c>
      <c r="E13" s="28" t="s">
        <v>122</v>
      </c>
      <c r="F13" s="29" t="s">
        <v>123</v>
      </c>
      <c r="G13" s="29" t="s">
        <v>124</v>
      </c>
      <c r="H13" s="30" t="s">
        <v>125</v>
      </c>
      <c r="I13" s="35"/>
      <c r="J13" s="28">
        <v>102.0</v>
      </c>
      <c r="K13" s="31">
        <v>46148.0</v>
      </c>
      <c r="L13" s="28" t="s">
        <v>126</v>
      </c>
      <c r="M13" s="10" t="s">
        <v>33</v>
      </c>
      <c r="N13" s="28" t="s">
        <v>127</v>
      </c>
      <c r="O13" s="28" t="s">
        <v>47</v>
      </c>
      <c r="P13" s="32">
        <v>47336.0</v>
      </c>
      <c r="Q13" s="32">
        <v>45999.0</v>
      </c>
      <c r="R13" s="30" t="s">
        <v>25</v>
      </c>
      <c r="S13" s="28">
        <v>787.0</v>
      </c>
      <c r="T13" s="29">
        <v>929.0</v>
      </c>
      <c r="U13" s="33">
        <v>1000.0</v>
      </c>
      <c r="V13" s="26">
        <f t="shared" si="1"/>
        <v>-71</v>
      </c>
      <c r="W13" s="30" t="s">
        <v>36</v>
      </c>
      <c r="X13" s="22" t="s">
        <v>37</v>
      </c>
      <c r="Y13" s="28" t="s">
        <v>128</v>
      </c>
    </row>
    <row r="14" hidden="1">
      <c r="A14" s="8">
        <v>12.0</v>
      </c>
      <c r="B14" s="34">
        <v>45783.0</v>
      </c>
      <c r="C14" s="28" t="s">
        <v>129</v>
      </c>
      <c r="D14" s="29" t="s">
        <v>130</v>
      </c>
      <c r="E14" s="28" t="s">
        <v>28</v>
      </c>
      <c r="F14" s="29" t="s">
        <v>131</v>
      </c>
      <c r="G14" s="29" t="s">
        <v>132</v>
      </c>
      <c r="H14" s="30">
        <v>6.351612375E9</v>
      </c>
      <c r="I14" s="35"/>
      <c r="J14" s="28">
        <v>2855.0</v>
      </c>
      <c r="K14" s="31">
        <v>46148.0</v>
      </c>
      <c r="L14" s="28" t="s">
        <v>133</v>
      </c>
      <c r="M14" s="10" t="s">
        <v>33</v>
      </c>
      <c r="N14" s="28" t="s">
        <v>34</v>
      </c>
      <c r="O14" s="28" t="s">
        <v>35</v>
      </c>
      <c r="P14" s="30" t="s">
        <v>134</v>
      </c>
      <c r="Q14" s="32">
        <v>46332.0</v>
      </c>
      <c r="R14" s="30" t="s">
        <v>25</v>
      </c>
      <c r="S14" s="36">
        <v>20578.0</v>
      </c>
      <c r="T14" s="36">
        <v>23310.0</v>
      </c>
      <c r="U14" s="33">
        <v>18000.0</v>
      </c>
      <c r="V14" s="20">
        <f t="shared" si="1"/>
        <v>5310</v>
      </c>
      <c r="W14" s="30" t="s">
        <v>36</v>
      </c>
      <c r="X14" s="22" t="s">
        <v>37</v>
      </c>
      <c r="Y14" s="29" t="s">
        <v>135</v>
      </c>
    </row>
    <row r="15" hidden="1">
      <c r="A15" s="8">
        <v>13.0</v>
      </c>
      <c r="B15" s="34">
        <v>45814.0</v>
      </c>
      <c r="C15" s="28" t="s">
        <v>136</v>
      </c>
      <c r="D15" s="29" t="s">
        <v>137</v>
      </c>
      <c r="E15" s="28" t="s">
        <v>28</v>
      </c>
      <c r="F15" s="29" t="s">
        <v>138</v>
      </c>
      <c r="G15" s="29" t="s">
        <v>139</v>
      </c>
      <c r="H15" s="30">
        <v>9.638197281E9</v>
      </c>
      <c r="I15" s="35"/>
      <c r="J15" s="28">
        <v>2670.0</v>
      </c>
      <c r="K15" s="31">
        <v>46179.0</v>
      </c>
      <c r="L15" s="28" t="s">
        <v>55</v>
      </c>
      <c r="M15" s="10" t="s">
        <v>33</v>
      </c>
      <c r="N15" s="28" t="s">
        <v>140</v>
      </c>
      <c r="O15" s="28" t="s">
        <v>35</v>
      </c>
      <c r="P15" s="30" t="s">
        <v>141</v>
      </c>
      <c r="Q15" s="30" t="s">
        <v>142</v>
      </c>
      <c r="R15" s="30" t="s">
        <v>25</v>
      </c>
      <c r="S15" s="29">
        <v>18388.0</v>
      </c>
      <c r="T15" s="29">
        <v>20736.0</v>
      </c>
      <c r="U15" s="33">
        <v>15000.0</v>
      </c>
      <c r="V15" s="26">
        <f t="shared" si="1"/>
        <v>5736</v>
      </c>
      <c r="W15" s="30" t="s">
        <v>36</v>
      </c>
      <c r="X15" s="22" t="s">
        <v>143</v>
      </c>
      <c r="Y15" s="29" t="s">
        <v>144</v>
      </c>
    </row>
    <row r="16" hidden="1">
      <c r="A16" s="23">
        <v>14.0</v>
      </c>
      <c r="B16" s="34">
        <v>45814.0</v>
      </c>
      <c r="C16" s="28" t="s">
        <v>145</v>
      </c>
      <c r="D16" s="29" t="s">
        <v>146</v>
      </c>
      <c r="E16" s="28" t="s">
        <v>147</v>
      </c>
      <c r="F16" s="29" t="s">
        <v>148</v>
      </c>
      <c r="G16" s="29" t="s">
        <v>149</v>
      </c>
      <c r="H16" s="30" t="s">
        <v>150</v>
      </c>
      <c r="I16" s="30">
        <v>9.879695775E9</v>
      </c>
      <c r="J16" s="28">
        <v>7580.0</v>
      </c>
      <c r="K16" s="31">
        <v>46148.0</v>
      </c>
      <c r="L16" s="28" t="s">
        <v>151</v>
      </c>
      <c r="M16" s="10" t="s">
        <v>33</v>
      </c>
      <c r="N16" s="28" t="s">
        <v>152</v>
      </c>
      <c r="O16" s="28" t="s">
        <v>47</v>
      </c>
      <c r="P16" s="30" t="s">
        <v>153</v>
      </c>
      <c r="Q16" s="32">
        <v>45789.0</v>
      </c>
      <c r="R16" s="30" t="s">
        <v>25</v>
      </c>
      <c r="S16" s="36">
        <v>11291.0</v>
      </c>
      <c r="T16" s="36">
        <v>13323.0</v>
      </c>
      <c r="U16" s="33">
        <v>13323.0</v>
      </c>
      <c r="V16" s="20">
        <f t="shared" si="1"/>
        <v>0</v>
      </c>
      <c r="W16" s="30" t="s">
        <v>36</v>
      </c>
      <c r="X16" s="22" t="s">
        <v>37</v>
      </c>
      <c r="Y16" s="29" t="s">
        <v>154</v>
      </c>
    </row>
    <row r="17" hidden="1">
      <c r="A17" s="8">
        <v>15.0</v>
      </c>
      <c r="B17" s="34">
        <v>45814.0</v>
      </c>
      <c r="C17" s="28" t="s">
        <v>155</v>
      </c>
      <c r="D17" s="29" t="s">
        <v>156</v>
      </c>
      <c r="E17" s="28" t="s">
        <v>157</v>
      </c>
      <c r="F17" s="29" t="s">
        <v>158</v>
      </c>
      <c r="G17" s="29" t="s">
        <v>159</v>
      </c>
      <c r="H17" s="30">
        <v>8.84954475E9</v>
      </c>
      <c r="I17" s="30">
        <v>8.980660087E9</v>
      </c>
      <c r="J17" s="28">
        <v>999.0</v>
      </c>
      <c r="K17" s="31">
        <v>46148.0</v>
      </c>
      <c r="L17" s="28" t="s">
        <v>160</v>
      </c>
      <c r="M17" s="10" t="s">
        <v>33</v>
      </c>
      <c r="N17" s="28" t="s">
        <v>97</v>
      </c>
      <c r="O17" s="28" t="s">
        <v>47</v>
      </c>
      <c r="P17" s="32">
        <v>50896.0</v>
      </c>
      <c r="Q17" s="32">
        <v>45783.0</v>
      </c>
      <c r="R17" s="30" t="s">
        <v>25</v>
      </c>
      <c r="S17" s="29">
        <v>3983.15</v>
      </c>
      <c r="T17" s="29">
        <v>4700.13</v>
      </c>
      <c r="U17" s="33">
        <v>6000.0</v>
      </c>
      <c r="V17" s="26">
        <f t="shared" si="1"/>
        <v>-1299.87</v>
      </c>
      <c r="W17" s="30" t="s">
        <v>36</v>
      </c>
      <c r="X17" s="22" t="s">
        <v>37</v>
      </c>
      <c r="Y17" s="29" t="s">
        <v>161</v>
      </c>
    </row>
    <row r="18" hidden="1">
      <c r="A18" s="8">
        <v>16.0</v>
      </c>
      <c r="B18" s="34">
        <v>45814.0</v>
      </c>
      <c r="C18" s="28" t="s">
        <v>162</v>
      </c>
      <c r="D18" s="29" t="s">
        <v>163</v>
      </c>
      <c r="E18" s="28" t="s">
        <v>157</v>
      </c>
      <c r="F18" s="29" t="s">
        <v>164</v>
      </c>
      <c r="G18" s="29" t="s">
        <v>165</v>
      </c>
      <c r="H18" s="30">
        <v>9.726370321E9</v>
      </c>
      <c r="I18" s="35"/>
      <c r="J18" s="28">
        <v>1196.0</v>
      </c>
      <c r="K18" s="31">
        <v>46148.0</v>
      </c>
      <c r="L18" s="28" t="s">
        <v>151</v>
      </c>
      <c r="M18" s="10" t="s">
        <v>33</v>
      </c>
      <c r="N18" s="28" t="s">
        <v>34</v>
      </c>
      <c r="O18" s="28" t="s">
        <v>166</v>
      </c>
      <c r="P18" s="30" t="s">
        <v>167</v>
      </c>
      <c r="Q18" s="30" t="s">
        <v>168</v>
      </c>
      <c r="R18" s="30" t="s">
        <v>25</v>
      </c>
      <c r="S18" s="36">
        <v>10236.0</v>
      </c>
      <c r="T18" s="36">
        <v>12078.0</v>
      </c>
      <c r="U18" s="33">
        <v>11900.0</v>
      </c>
      <c r="V18" s="20">
        <f t="shared" si="1"/>
        <v>178</v>
      </c>
      <c r="W18" s="30" t="s">
        <v>36</v>
      </c>
      <c r="X18" s="22" t="s">
        <v>37</v>
      </c>
      <c r="Y18" s="29" t="s">
        <v>169</v>
      </c>
    </row>
    <row r="19" hidden="1">
      <c r="A19" s="23">
        <v>17.0</v>
      </c>
      <c r="B19" s="34">
        <v>45814.0</v>
      </c>
      <c r="C19" s="28" t="s">
        <v>170</v>
      </c>
      <c r="D19" s="29" t="s">
        <v>171</v>
      </c>
      <c r="E19" s="28" t="s">
        <v>28</v>
      </c>
      <c r="F19" s="29" t="s">
        <v>53</v>
      </c>
      <c r="G19" s="29" t="s">
        <v>172</v>
      </c>
      <c r="H19" s="30">
        <v>6.353097583E9</v>
      </c>
      <c r="I19" s="30">
        <v>9.106873596E9</v>
      </c>
      <c r="J19" s="28">
        <v>1600.0</v>
      </c>
      <c r="K19" s="31">
        <v>46148.0</v>
      </c>
      <c r="L19" s="28" t="s">
        <v>55</v>
      </c>
      <c r="M19" s="10" t="s">
        <v>33</v>
      </c>
      <c r="N19" s="28" t="s">
        <v>73</v>
      </c>
      <c r="O19" s="28" t="s">
        <v>35</v>
      </c>
      <c r="P19" s="32">
        <v>46329.0</v>
      </c>
      <c r="Q19" s="32">
        <v>45964.0</v>
      </c>
      <c r="R19" s="30" t="s">
        <v>25</v>
      </c>
      <c r="S19" s="29">
        <v>20027.0</v>
      </c>
      <c r="T19" s="29">
        <v>22669.0</v>
      </c>
      <c r="U19" s="33">
        <v>16500.0</v>
      </c>
      <c r="V19" s="26">
        <f t="shared" si="1"/>
        <v>6169</v>
      </c>
      <c r="W19" s="30" t="s">
        <v>36</v>
      </c>
      <c r="X19" s="22" t="s">
        <v>173</v>
      </c>
      <c r="Y19" s="29" t="s">
        <v>174</v>
      </c>
    </row>
    <row r="20" hidden="1">
      <c r="A20" s="8">
        <v>18.0</v>
      </c>
      <c r="B20" s="34">
        <v>45814.0</v>
      </c>
      <c r="C20" s="28" t="s">
        <v>175</v>
      </c>
      <c r="D20" s="29" t="s">
        <v>176</v>
      </c>
      <c r="E20" s="28" t="s">
        <v>28</v>
      </c>
      <c r="F20" s="29" t="s">
        <v>177</v>
      </c>
      <c r="G20" s="29" t="s">
        <v>178</v>
      </c>
      <c r="H20" s="30">
        <v>9.92567134E9</v>
      </c>
      <c r="I20" s="35"/>
      <c r="J20" s="28">
        <v>2670.0</v>
      </c>
      <c r="K20" s="31">
        <v>46148.0</v>
      </c>
      <c r="L20" s="28" t="s">
        <v>55</v>
      </c>
      <c r="M20" s="10" t="s">
        <v>33</v>
      </c>
      <c r="N20" s="28" t="s">
        <v>34</v>
      </c>
      <c r="O20" s="28" t="s">
        <v>35</v>
      </c>
      <c r="P20" s="32">
        <v>46029.0</v>
      </c>
      <c r="Q20" s="30" t="s">
        <v>179</v>
      </c>
      <c r="R20" s="30" t="s">
        <v>25</v>
      </c>
      <c r="S20" s="29">
        <v>17981.0</v>
      </c>
      <c r="T20" s="37">
        <v>20255.0</v>
      </c>
      <c r="U20" s="33">
        <v>14500.0</v>
      </c>
      <c r="V20" s="26">
        <f t="shared" si="1"/>
        <v>5755</v>
      </c>
      <c r="W20" s="30" t="s">
        <v>36</v>
      </c>
      <c r="X20" s="22" t="s">
        <v>37</v>
      </c>
      <c r="Y20" s="29" t="s">
        <v>180</v>
      </c>
    </row>
    <row r="21" hidden="1">
      <c r="A21" s="8">
        <v>19.0</v>
      </c>
      <c r="B21" s="34">
        <v>45814.0</v>
      </c>
      <c r="C21" s="28" t="s">
        <v>181</v>
      </c>
      <c r="D21" s="29" t="s">
        <v>182</v>
      </c>
      <c r="E21" s="28" t="s">
        <v>92</v>
      </c>
      <c r="F21" s="29" t="s">
        <v>183</v>
      </c>
      <c r="G21" s="29" t="s">
        <v>184</v>
      </c>
      <c r="H21" s="30">
        <v>6.351000398E9</v>
      </c>
      <c r="I21" s="30">
        <v>9.033333157E9</v>
      </c>
      <c r="J21" s="28">
        <v>12500.0</v>
      </c>
      <c r="K21" s="31">
        <v>46148.0</v>
      </c>
      <c r="L21" s="28" t="s">
        <v>55</v>
      </c>
      <c r="M21" s="10" t="s">
        <v>33</v>
      </c>
      <c r="N21" s="28" t="s">
        <v>116</v>
      </c>
      <c r="O21" s="28" t="s">
        <v>35</v>
      </c>
      <c r="P21" s="30" t="s">
        <v>185</v>
      </c>
      <c r="Q21" s="32">
        <v>45334.0</v>
      </c>
      <c r="R21" s="30" t="s">
        <v>186</v>
      </c>
      <c r="S21" s="29">
        <v>37013.0</v>
      </c>
      <c r="T21" s="29">
        <v>41557.0</v>
      </c>
      <c r="U21" s="33">
        <v>38000.0</v>
      </c>
      <c r="V21" s="26">
        <f t="shared" si="1"/>
        <v>3557</v>
      </c>
      <c r="W21" s="30" t="s">
        <v>36</v>
      </c>
      <c r="X21" s="22" t="s">
        <v>49</v>
      </c>
      <c r="Y21" s="29" t="s">
        <v>187</v>
      </c>
    </row>
    <row r="22" hidden="1">
      <c r="A22" s="23">
        <v>20.0</v>
      </c>
      <c r="B22" s="34">
        <v>45814.0</v>
      </c>
      <c r="C22" s="28" t="s">
        <v>188</v>
      </c>
      <c r="D22" s="29" t="s">
        <v>189</v>
      </c>
      <c r="E22" s="28" t="s">
        <v>190</v>
      </c>
      <c r="F22" s="29" t="s">
        <v>191</v>
      </c>
      <c r="G22" s="29" t="s">
        <v>192</v>
      </c>
      <c r="H22" s="30">
        <v>8.1558695E9</v>
      </c>
      <c r="I22" s="30">
        <v>7.096520661E9</v>
      </c>
      <c r="J22" s="28">
        <v>995.0</v>
      </c>
      <c r="K22" s="31">
        <v>46179.0</v>
      </c>
      <c r="L22" s="28" t="s">
        <v>193</v>
      </c>
      <c r="M22" s="10" t="s">
        <v>33</v>
      </c>
      <c r="N22" s="28" t="s">
        <v>140</v>
      </c>
      <c r="O22" s="28" t="s">
        <v>35</v>
      </c>
      <c r="P22" s="32">
        <v>46209.0</v>
      </c>
      <c r="Q22" s="32">
        <v>46209.0</v>
      </c>
      <c r="R22" s="30" t="s">
        <v>25</v>
      </c>
      <c r="S22" s="36">
        <v>5362.44</v>
      </c>
      <c r="T22" s="36">
        <v>6058.0</v>
      </c>
      <c r="U22" s="33">
        <v>5500.0</v>
      </c>
      <c r="V22" s="20">
        <f t="shared" si="1"/>
        <v>558</v>
      </c>
      <c r="W22" s="30" t="s">
        <v>36</v>
      </c>
      <c r="X22" s="22" t="s">
        <v>194</v>
      </c>
      <c r="Y22" s="29" t="s">
        <v>195</v>
      </c>
    </row>
    <row r="23" hidden="1">
      <c r="A23" s="8">
        <v>21.0</v>
      </c>
      <c r="B23" s="34">
        <v>45814.0</v>
      </c>
      <c r="C23" s="28" t="s">
        <v>196</v>
      </c>
      <c r="D23" s="29" t="s">
        <v>197</v>
      </c>
      <c r="E23" s="28" t="s">
        <v>28</v>
      </c>
      <c r="F23" s="29" t="s">
        <v>198</v>
      </c>
      <c r="G23" s="29" t="s">
        <v>199</v>
      </c>
      <c r="H23" s="30">
        <v>9.726143791E9</v>
      </c>
      <c r="I23" s="35"/>
      <c r="J23" s="28">
        <v>3460.0</v>
      </c>
      <c r="K23" s="31">
        <v>46240.0</v>
      </c>
      <c r="L23" s="28" t="s">
        <v>133</v>
      </c>
      <c r="M23" s="10" t="s">
        <v>33</v>
      </c>
      <c r="N23" s="28" t="s">
        <v>200</v>
      </c>
      <c r="O23" s="28" t="s">
        <v>35</v>
      </c>
      <c r="P23" s="30" t="s">
        <v>201</v>
      </c>
      <c r="Q23" s="30" t="s">
        <v>202</v>
      </c>
      <c r="R23" s="32">
        <v>47425.0</v>
      </c>
      <c r="S23" s="36">
        <v>23099.0</v>
      </c>
      <c r="T23" s="36">
        <v>26289.0</v>
      </c>
      <c r="U23" s="33">
        <v>19500.0</v>
      </c>
      <c r="V23" s="20">
        <f t="shared" si="1"/>
        <v>6789</v>
      </c>
      <c r="W23" s="38" t="s">
        <v>36</v>
      </c>
      <c r="X23" s="22" t="s">
        <v>37</v>
      </c>
      <c r="Y23" s="29" t="s">
        <v>203</v>
      </c>
    </row>
    <row r="24" hidden="1">
      <c r="A24" s="8">
        <v>22.0</v>
      </c>
      <c r="B24" s="34">
        <v>45814.0</v>
      </c>
      <c r="C24" s="28" t="s">
        <v>204</v>
      </c>
      <c r="D24" s="29" t="s">
        <v>205</v>
      </c>
      <c r="E24" s="28" t="s">
        <v>157</v>
      </c>
      <c r="F24" s="29" t="s">
        <v>206</v>
      </c>
      <c r="G24" s="29" t="s">
        <v>207</v>
      </c>
      <c r="H24" s="30" t="s">
        <v>208</v>
      </c>
      <c r="I24" s="35"/>
      <c r="J24" s="28">
        <v>796.0</v>
      </c>
      <c r="K24" s="39">
        <v>46209.0</v>
      </c>
      <c r="L24" s="28" t="s">
        <v>44</v>
      </c>
      <c r="M24" s="40" t="s">
        <v>45</v>
      </c>
      <c r="N24" s="28" t="s">
        <v>209</v>
      </c>
      <c r="O24" s="28" t="s">
        <v>47</v>
      </c>
      <c r="P24" s="30" t="s">
        <v>210</v>
      </c>
      <c r="Q24" s="32">
        <v>46148.0</v>
      </c>
      <c r="R24" s="30" t="s">
        <v>25</v>
      </c>
      <c r="S24" s="29">
        <v>2204.0</v>
      </c>
      <c r="T24" s="28">
        <v>2600.0</v>
      </c>
      <c r="U24" s="33">
        <v>2500.0</v>
      </c>
      <c r="V24" s="26">
        <f t="shared" si="1"/>
        <v>100</v>
      </c>
      <c r="W24" s="30" t="s">
        <v>36</v>
      </c>
      <c r="X24" s="22" t="s">
        <v>37</v>
      </c>
      <c r="Y24" s="29" t="s">
        <v>211</v>
      </c>
    </row>
    <row r="25" hidden="1">
      <c r="A25" s="23">
        <v>23.0</v>
      </c>
      <c r="B25" s="34">
        <v>45814.0</v>
      </c>
      <c r="C25" s="28" t="s">
        <v>212</v>
      </c>
      <c r="D25" s="29" t="s">
        <v>213</v>
      </c>
      <c r="E25" s="28" t="s">
        <v>157</v>
      </c>
      <c r="F25" s="29" t="s">
        <v>214</v>
      </c>
      <c r="G25" s="28" t="s">
        <v>215</v>
      </c>
      <c r="H25" s="30">
        <v>7.984311346E9</v>
      </c>
      <c r="I25" s="35"/>
      <c r="J25" s="28">
        <v>1196.0</v>
      </c>
      <c r="K25" s="39">
        <v>46209.0</v>
      </c>
      <c r="L25" s="28" t="s">
        <v>44</v>
      </c>
      <c r="M25" s="40" t="s">
        <v>45</v>
      </c>
      <c r="N25" s="28" t="s">
        <v>34</v>
      </c>
      <c r="O25" s="28" t="s">
        <v>166</v>
      </c>
      <c r="P25" s="41">
        <v>45941.0</v>
      </c>
      <c r="Q25" s="32">
        <v>45662.0</v>
      </c>
      <c r="R25" s="30" t="s">
        <v>25</v>
      </c>
      <c r="S25" s="29">
        <v>3466.0</v>
      </c>
      <c r="T25" s="29">
        <v>4090.0</v>
      </c>
      <c r="U25" s="33">
        <v>4000.0</v>
      </c>
      <c r="V25" s="26">
        <f t="shared" si="1"/>
        <v>90</v>
      </c>
      <c r="W25" s="30" t="s">
        <v>36</v>
      </c>
      <c r="X25" s="22" t="s">
        <v>216</v>
      </c>
      <c r="Y25" s="29" t="s">
        <v>217</v>
      </c>
    </row>
    <row r="26">
      <c r="A26" s="42">
        <v>24.0</v>
      </c>
      <c r="B26" s="43">
        <v>45814.0</v>
      </c>
      <c r="C26" s="44" t="s">
        <v>218</v>
      </c>
      <c r="D26" s="45" t="s">
        <v>219</v>
      </c>
      <c r="E26" s="44" t="s">
        <v>92</v>
      </c>
      <c r="F26" s="44" t="s">
        <v>220</v>
      </c>
      <c r="G26" s="44" t="s">
        <v>221</v>
      </c>
      <c r="H26" s="46">
        <v>6.352100183E9</v>
      </c>
      <c r="I26" s="47"/>
      <c r="J26" s="44">
        <v>25000.0</v>
      </c>
      <c r="K26" s="48">
        <v>46179.0</v>
      </c>
      <c r="L26" s="44" t="s">
        <v>222</v>
      </c>
      <c r="M26" s="49" t="s">
        <v>33</v>
      </c>
      <c r="N26" s="44" t="s">
        <v>34</v>
      </c>
      <c r="O26" s="44" t="s">
        <v>47</v>
      </c>
      <c r="P26" s="46" t="s">
        <v>223</v>
      </c>
      <c r="Q26" s="46" t="s">
        <v>224</v>
      </c>
      <c r="R26" s="46" t="s">
        <v>225</v>
      </c>
      <c r="S26" s="44">
        <v>48003.0</v>
      </c>
      <c r="T26" s="44">
        <v>54007.0</v>
      </c>
      <c r="U26" s="50">
        <v>46000.0</v>
      </c>
      <c r="V26" s="26">
        <f t="shared" si="1"/>
        <v>8007</v>
      </c>
      <c r="W26" s="46" t="s">
        <v>36</v>
      </c>
      <c r="X26" s="22" t="s">
        <v>226</v>
      </c>
      <c r="Y26" s="44" t="s">
        <v>227</v>
      </c>
      <c r="Z26" s="51"/>
      <c r="AA26" s="51"/>
      <c r="AB26" s="51"/>
      <c r="AC26" s="51"/>
      <c r="AD26" s="51"/>
      <c r="AE26" s="51"/>
      <c r="AF26" s="51"/>
      <c r="AG26" s="51"/>
      <c r="AH26" s="51"/>
      <c r="AI26" s="51"/>
    </row>
    <row r="27" hidden="1">
      <c r="A27" s="8">
        <v>25.0</v>
      </c>
      <c r="B27" s="34">
        <v>46210.0</v>
      </c>
      <c r="C27" s="28" t="s">
        <v>228</v>
      </c>
      <c r="D27" s="29" t="s">
        <v>229</v>
      </c>
      <c r="E27" s="52" t="s">
        <v>157</v>
      </c>
      <c r="F27" s="29" t="s">
        <v>230</v>
      </c>
      <c r="G27" s="29" t="s">
        <v>231</v>
      </c>
      <c r="H27" s="30" t="s">
        <v>208</v>
      </c>
      <c r="I27" s="35"/>
      <c r="J27" s="28">
        <v>2523.0</v>
      </c>
      <c r="K27" s="31">
        <v>46179.0</v>
      </c>
      <c r="L27" s="28" t="s">
        <v>193</v>
      </c>
      <c r="M27" s="53" t="s">
        <v>45</v>
      </c>
      <c r="N27" s="28" t="s">
        <v>209</v>
      </c>
      <c r="O27" s="28" t="s">
        <v>35</v>
      </c>
      <c r="P27" s="30" t="s">
        <v>232</v>
      </c>
      <c r="Q27" s="32">
        <v>45789.0</v>
      </c>
      <c r="R27" s="30" t="s">
        <v>25</v>
      </c>
      <c r="S27" s="29">
        <v>7947.0</v>
      </c>
      <c r="T27" s="29">
        <v>9377.0</v>
      </c>
      <c r="U27" s="33">
        <v>9300.0</v>
      </c>
      <c r="V27" s="26">
        <f t="shared" si="1"/>
        <v>77</v>
      </c>
      <c r="W27" s="30" t="s">
        <v>36</v>
      </c>
      <c r="X27" s="22" t="s">
        <v>37</v>
      </c>
      <c r="Y27" s="29" t="s">
        <v>233</v>
      </c>
    </row>
    <row r="28" hidden="1">
      <c r="A28" s="23">
        <v>26.0</v>
      </c>
      <c r="B28" s="34">
        <v>46210.0</v>
      </c>
      <c r="C28" s="28" t="s">
        <v>234</v>
      </c>
      <c r="D28" s="28" t="s">
        <v>235</v>
      </c>
      <c r="E28" s="52" t="s">
        <v>157</v>
      </c>
      <c r="F28" s="28" t="s">
        <v>236</v>
      </c>
      <c r="G28" s="28" t="s">
        <v>237</v>
      </c>
      <c r="H28" s="30">
        <v>6.353557914E9</v>
      </c>
      <c r="I28" s="35"/>
      <c r="J28" s="28">
        <v>1196.0</v>
      </c>
      <c r="K28" s="31">
        <v>46148.0</v>
      </c>
      <c r="L28" s="28" t="s">
        <v>238</v>
      </c>
      <c r="M28" s="53" t="s">
        <v>45</v>
      </c>
      <c r="N28" s="28" t="s">
        <v>140</v>
      </c>
      <c r="O28" s="28" t="s">
        <v>47</v>
      </c>
      <c r="P28" s="30" t="s">
        <v>239</v>
      </c>
      <c r="Q28" s="30"/>
      <c r="R28" s="32">
        <v>45881.0</v>
      </c>
      <c r="S28" s="28">
        <v>3526.0</v>
      </c>
      <c r="T28" s="52">
        <v>4161.0</v>
      </c>
      <c r="U28" s="33">
        <v>4000.0</v>
      </c>
      <c r="V28" s="26">
        <f t="shared" si="1"/>
        <v>161</v>
      </c>
      <c r="W28" s="30" t="s">
        <v>36</v>
      </c>
      <c r="X28" s="22" t="s">
        <v>216</v>
      </c>
      <c r="Y28" s="28" t="s">
        <v>240</v>
      </c>
    </row>
    <row r="29" hidden="1">
      <c r="A29" s="8">
        <v>27.0</v>
      </c>
      <c r="B29" s="34">
        <v>46210.0</v>
      </c>
      <c r="C29" s="28" t="s">
        <v>241</v>
      </c>
      <c r="D29" s="29" t="s">
        <v>242</v>
      </c>
      <c r="E29" s="28" t="s">
        <v>92</v>
      </c>
      <c r="F29" s="29" t="s">
        <v>243</v>
      </c>
      <c r="G29" s="29" t="s">
        <v>244</v>
      </c>
      <c r="H29" s="30">
        <v>9.97905557E9</v>
      </c>
      <c r="I29" s="35"/>
      <c r="J29" s="28">
        <v>10400.0</v>
      </c>
      <c r="K29" s="39">
        <v>46209.0</v>
      </c>
      <c r="L29" s="28" t="s">
        <v>44</v>
      </c>
      <c r="M29" s="53" t="s">
        <v>45</v>
      </c>
      <c r="N29" s="28" t="s">
        <v>34</v>
      </c>
      <c r="O29" s="28" t="s">
        <v>47</v>
      </c>
      <c r="P29" s="32">
        <v>46271.0</v>
      </c>
      <c r="Q29" s="30" t="s">
        <v>245</v>
      </c>
      <c r="R29" s="30" t="s">
        <v>246</v>
      </c>
      <c r="S29" s="29">
        <v>27286.0</v>
      </c>
      <c r="T29" s="29">
        <v>30566.0</v>
      </c>
      <c r="U29" s="33">
        <v>23000.0</v>
      </c>
      <c r="V29" s="26">
        <f t="shared" si="1"/>
        <v>7566</v>
      </c>
      <c r="W29" s="30" t="s">
        <v>36</v>
      </c>
      <c r="X29" s="22" t="s">
        <v>37</v>
      </c>
      <c r="Y29" s="29" t="s">
        <v>247</v>
      </c>
    </row>
    <row r="30" hidden="1">
      <c r="A30" s="8">
        <v>28.0</v>
      </c>
      <c r="B30" s="34">
        <v>46210.0</v>
      </c>
      <c r="C30" s="28" t="s">
        <v>248</v>
      </c>
      <c r="D30" s="29" t="s">
        <v>249</v>
      </c>
      <c r="E30" s="28" t="s">
        <v>122</v>
      </c>
      <c r="F30" s="29" t="s">
        <v>250</v>
      </c>
      <c r="G30" s="29" t="s">
        <v>251</v>
      </c>
      <c r="H30" s="30">
        <v>8.140263219E9</v>
      </c>
      <c r="I30" s="35"/>
      <c r="J30" s="28">
        <v>100.0</v>
      </c>
      <c r="K30" s="39">
        <v>46209.0</v>
      </c>
      <c r="L30" s="28" t="s">
        <v>44</v>
      </c>
      <c r="M30" s="53" t="s">
        <v>45</v>
      </c>
      <c r="N30" s="28" t="s">
        <v>209</v>
      </c>
      <c r="O30" s="28" t="s">
        <v>47</v>
      </c>
      <c r="P30" s="30" t="s">
        <v>252</v>
      </c>
      <c r="Q30" s="32">
        <v>46332.0</v>
      </c>
      <c r="R30" s="30" t="s">
        <v>25</v>
      </c>
      <c r="S30" s="29">
        <v>714.0</v>
      </c>
      <c r="T30" s="29">
        <v>842.0</v>
      </c>
      <c r="U30" s="33">
        <v>842.0</v>
      </c>
      <c r="V30" s="26">
        <f t="shared" si="1"/>
        <v>0</v>
      </c>
      <c r="W30" s="30" t="s">
        <v>36</v>
      </c>
      <c r="X30" s="22" t="s">
        <v>37</v>
      </c>
      <c r="Y30" s="29" t="s">
        <v>253</v>
      </c>
    </row>
    <row r="31" hidden="1">
      <c r="A31" s="23">
        <v>29.0</v>
      </c>
      <c r="B31" s="34">
        <v>46210.0</v>
      </c>
      <c r="C31" s="28" t="s">
        <v>254</v>
      </c>
      <c r="D31" s="29" t="s">
        <v>255</v>
      </c>
      <c r="E31" s="28" t="s">
        <v>122</v>
      </c>
      <c r="F31" s="29" t="s">
        <v>256</v>
      </c>
      <c r="G31" s="29" t="s">
        <v>257</v>
      </c>
      <c r="H31" s="30" t="s">
        <v>258</v>
      </c>
      <c r="I31" s="35"/>
      <c r="J31" s="28">
        <v>110.0</v>
      </c>
      <c r="K31" s="39">
        <v>46209.0</v>
      </c>
      <c r="L31" s="28" t="s">
        <v>44</v>
      </c>
      <c r="M31" s="53" t="s">
        <v>45</v>
      </c>
      <c r="N31" s="28" t="s">
        <v>209</v>
      </c>
      <c r="O31" s="28" t="s">
        <v>47</v>
      </c>
      <c r="P31" s="32">
        <v>47697.0</v>
      </c>
      <c r="Q31" s="30" t="s">
        <v>25</v>
      </c>
      <c r="R31" s="30" t="s">
        <v>25</v>
      </c>
      <c r="S31" s="29">
        <v>714.0</v>
      </c>
      <c r="T31" s="29">
        <v>842.0</v>
      </c>
      <c r="U31" s="33">
        <v>842.0</v>
      </c>
      <c r="V31" s="26">
        <f t="shared" si="1"/>
        <v>0</v>
      </c>
      <c r="W31" s="30" t="s">
        <v>36</v>
      </c>
      <c r="X31" s="22" t="s">
        <v>37</v>
      </c>
      <c r="Y31" s="29" t="s">
        <v>259</v>
      </c>
    </row>
    <row r="32" hidden="1">
      <c r="A32" s="8">
        <v>30.0</v>
      </c>
      <c r="B32" s="34">
        <v>46210.0</v>
      </c>
      <c r="C32" s="28" t="s">
        <v>260</v>
      </c>
      <c r="D32" s="29" t="s">
        <v>261</v>
      </c>
      <c r="E32" s="28" t="s">
        <v>157</v>
      </c>
      <c r="F32" s="29" t="s">
        <v>262</v>
      </c>
      <c r="G32" s="29" t="s">
        <v>263</v>
      </c>
      <c r="H32" s="30">
        <v>8.140263219E9</v>
      </c>
      <c r="I32" s="30">
        <v>7.016653398E9</v>
      </c>
      <c r="J32" s="28">
        <v>1198.0</v>
      </c>
      <c r="K32" s="39">
        <v>46209.0</v>
      </c>
      <c r="L32" s="28" t="s">
        <v>44</v>
      </c>
      <c r="M32" s="53" t="s">
        <v>45</v>
      </c>
      <c r="N32" s="28" t="s">
        <v>34</v>
      </c>
      <c r="O32" s="28" t="s">
        <v>47</v>
      </c>
      <c r="P32" s="32">
        <v>48280.0</v>
      </c>
      <c r="Q32" s="32">
        <v>46357.0</v>
      </c>
      <c r="R32" s="30" t="s">
        <v>25</v>
      </c>
      <c r="S32" s="29">
        <v>3526.0</v>
      </c>
      <c r="T32" s="29">
        <v>4160.0</v>
      </c>
      <c r="U32" s="33">
        <v>4000.0</v>
      </c>
      <c r="V32" s="26">
        <f t="shared" si="1"/>
        <v>160</v>
      </c>
      <c r="W32" s="30" t="s">
        <v>36</v>
      </c>
      <c r="X32" s="22" t="s">
        <v>264</v>
      </c>
      <c r="Y32" s="29" t="s">
        <v>265</v>
      </c>
    </row>
    <row r="33" hidden="1">
      <c r="A33" s="8">
        <v>31.0</v>
      </c>
      <c r="B33" s="34">
        <v>46210.0</v>
      </c>
      <c r="C33" s="28" t="s">
        <v>266</v>
      </c>
      <c r="D33" s="28" t="s">
        <v>267</v>
      </c>
      <c r="E33" s="28" t="s">
        <v>157</v>
      </c>
      <c r="F33" s="28" t="s">
        <v>268</v>
      </c>
      <c r="G33" s="28" t="s">
        <v>269</v>
      </c>
      <c r="H33" s="30">
        <v>8.140263219E9</v>
      </c>
      <c r="I33" s="30">
        <v>7.016653398E9</v>
      </c>
      <c r="J33" s="28">
        <v>1396.0</v>
      </c>
      <c r="K33" s="31">
        <v>46148.0</v>
      </c>
      <c r="L33" s="28" t="s">
        <v>238</v>
      </c>
      <c r="M33" s="53" t="s">
        <v>45</v>
      </c>
      <c r="N33" s="28" t="s">
        <v>34</v>
      </c>
      <c r="O33" s="28" t="s">
        <v>47</v>
      </c>
      <c r="P33" s="32">
        <v>47948.0</v>
      </c>
      <c r="Q33" s="32">
        <v>45783.0</v>
      </c>
      <c r="R33" s="30" t="s">
        <v>25</v>
      </c>
      <c r="S33" s="28">
        <v>3466.0</v>
      </c>
      <c r="T33" s="28">
        <v>4090.0</v>
      </c>
      <c r="U33" s="33">
        <v>4000.0</v>
      </c>
      <c r="V33" s="26">
        <f t="shared" si="1"/>
        <v>90</v>
      </c>
      <c r="W33" s="30" t="s">
        <v>36</v>
      </c>
      <c r="X33" s="22" t="s">
        <v>270</v>
      </c>
      <c r="Y33" s="28" t="s">
        <v>271</v>
      </c>
    </row>
    <row r="34" hidden="1">
      <c r="A34" s="23">
        <v>32.0</v>
      </c>
      <c r="B34" s="34">
        <v>46210.0</v>
      </c>
      <c r="C34" s="28" t="s">
        <v>272</v>
      </c>
      <c r="D34" s="29" t="s">
        <v>273</v>
      </c>
      <c r="E34" s="28" t="s">
        <v>28</v>
      </c>
      <c r="F34" s="29" t="s">
        <v>274</v>
      </c>
      <c r="G34" s="29" t="s">
        <v>275</v>
      </c>
      <c r="H34" s="30">
        <v>9.825699562E9</v>
      </c>
      <c r="I34" s="35"/>
      <c r="J34" s="28">
        <v>2750.0</v>
      </c>
      <c r="K34" s="31">
        <v>46179.0</v>
      </c>
      <c r="L34" s="28" t="s">
        <v>55</v>
      </c>
      <c r="M34" s="53" t="s">
        <v>33</v>
      </c>
      <c r="N34" s="28" t="s">
        <v>34</v>
      </c>
      <c r="O34" s="28" t="s">
        <v>35</v>
      </c>
      <c r="P34" s="30" t="s">
        <v>276</v>
      </c>
      <c r="Q34" s="30" t="s">
        <v>277</v>
      </c>
      <c r="R34" s="30" t="s">
        <v>25</v>
      </c>
      <c r="S34" s="29">
        <v>17406.0</v>
      </c>
      <c r="T34" s="29">
        <v>19576.0</v>
      </c>
      <c r="U34" s="33">
        <v>15000.0</v>
      </c>
      <c r="V34" s="26">
        <f t="shared" si="1"/>
        <v>4576</v>
      </c>
      <c r="W34" s="30" t="s">
        <v>36</v>
      </c>
      <c r="X34" s="54" t="s">
        <v>278</v>
      </c>
      <c r="Y34" s="29" t="s">
        <v>279</v>
      </c>
    </row>
    <row r="35" hidden="1">
      <c r="A35" s="8">
        <v>33.0</v>
      </c>
      <c r="B35" s="34">
        <v>46210.0</v>
      </c>
      <c r="C35" s="28" t="s">
        <v>280</v>
      </c>
      <c r="D35" s="28" t="s">
        <v>281</v>
      </c>
      <c r="E35" s="28" t="s">
        <v>157</v>
      </c>
      <c r="F35" s="28" t="s">
        <v>282</v>
      </c>
      <c r="G35" s="28" t="s">
        <v>283</v>
      </c>
      <c r="H35" s="30" t="s">
        <v>284</v>
      </c>
      <c r="I35" s="35"/>
      <c r="J35" s="28">
        <v>2499.0</v>
      </c>
      <c r="K35" s="31">
        <v>46148.0</v>
      </c>
      <c r="L35" s="28" t="s">
        <v>238</v>
      </c>
      <c r="M35" s="53" t="s">
        <v>45</v>
      </c>
      <c r="N35" s="28" t="s">
        <v>209</v>
      </c>
      <c r="O35" s="28" t="s">
        <v>47</v>
      </c>
      <c r="P35" s="30" t="s">
        <v>285</v>
      </c>
      <c r="Q35" s="32">
        <v>45789.0</v>
      </c>
      <c r="R35" s="30" t="s">
        <v>25</v>
      </c>
      <c r="S35" s="28">
        <v>7947.0</v>
      </c>
      <c r="T35" s="28">
        <v>9377.0</v>
      </c>
      <c r="U35" s="33">
        <v>9000.0</v>
      </c>
      <c r="V35" s="26">
        <f t="shared" si="1"/>
        <v>377</v>
      </c>
      <c r="W35" s="30" t="s">
        <v>36</v>
      </c>
      <c r="X35" s="55"/>
      <c r="Y35" s="28" t="s">
        <v>286</v>
      </c>
    </row>
    <row r="36" hidden="1">
      <c r="A36" s="8">
        <v>34.0</v>
      </c>
      <c r="B36" s="34">
        <v>46210.0</v>
      </c>
      <c r="C36" s="28" t="s">
        <v>287</v>
      </c>
      <c r="D36" s="29" t="s">
        <v>288</v>
      </c>
      <c r="E36" s="28" t="s">
        <v>122</v>
      </c>
      <c r="F36" s="29" t="s">
        <v>289</v>
      </c>
      <c r="G36" s="29" t="s">
        <v>290</v>
      </c>
      <c r="H36" s="30">
        <v>8.00001521E9</v>
      </c>
      <c r="I36" s="30">
        <v>8.000015016E9</v>
      </c>
      <c r="J36" s="28">
        <v>100.0</v>
      </c>
      <c r="K36" s="39">
        <v>46209.0</v>
      </c>
      <c r="L36" s="28" t="s">
        <v>44</v>
      </c>
      <c r="M36" s="53" t="s">
        <v>45</v>
      </c>
      <c r="N36" s="28" t="s">
        <v>34</v>
      </c>
      <c r="O36" s="28" t="s">
        <v>166</v>
      </c>
      <c r="P36" s="30" t="s">
        <v>291</v>
      </c>
      <c r="Q36" s="30" t="s">
        <v>292</v>
      </c>
      <c r="R36" s="30" t="s">
        <v>25</v>
      </c>
      <c r="S36" s="29">
        <v>714.0</v>
      </c>
      <c r="T36" s="29">
        <v>842.0</v>
      </c>
      <c r="U36" s="33">
        <v>800.0</v>
      </c>
      <c r="V36" s="26">
        <f t="shared" si="1"/>
        <v>42</v>
      </c>
      <c r="W36" s="30" t="s">
        <v>36</v>
      </c>
      <c r="X36" s="22" t="s">
        <v>49</v>
      </c>
      <c r="Y36" s="29" t="s">
        <v>293</v>
      </c>
    </row>
    <row r="37" hidden="1">
      <c r="A37" s="23">
        <v>35.0</v>
      </c>
      <c r="B37" s="34">
        <v>46240.0</v>
      </c>
      <c r="C37" s="28" t="s">
        <v>294</v>
      </c>
      <c r="D37" s="29" t="s">
        <v>295</v>
      </c>
      <c r="E37" s="28" t="s">
        <v>92</v>
      </c>
      <c r="F37" s="29" t="s">
        <v>296</v>
      </c>
      <c r="G37" s="29" t="s">
        <v>297</v>
      </c>
      <c r="H37" s="30">
        <v>8.238569372E9</v>
      </c>
      <c r="I37" s="35"/>
      <c r="J37" s="52">
        <v>18500.0</v>
      </c>
      <c r="K37" s="31">
        <v>46209.0</v>
      </c>
      <c r="L37" s="28" t="s">
        <v>55</v>
      </c>
      <c r="M37" s="53" t="s">
        <v>33</v>
      </c>
      <c r="N37" s="28" t="s">
        <v>34</v>
      </c>
      <c r="O37" s="28" t="s">
        <v>35</v>
      </c>
      <c r="P37" s="30" t="s">
        <v>298</v>
      </c>
      <c r="Q37" s="30" t="s">
        <v>299</v>
      </c>
      <c r="R37" s="32">
        <v>47158.0</v>
      </c>
      <c r="S37" s="29">
        <v>38109.0</v>
      </c>
      <c r="T37" s="29">
        <v>42851.0</v>
      </c>
      <c r="U37" s="33">
        <v>38500.0</v>
      </c>
      <c r="V37" s="26">
        <f t="shared" si="1"/>
        <v>4351</v>
      </c>
      <c r="W37" s="30" t="s">
        <v>36</v>
      </c>
      <c r="X37" s="22" t="s">
        <v>49</v>
      </c>
      <c r="Y37" s="29" t="s">
        <v>300</v>
      </c>
    </row>
    <row r="38" hidden="1">
      <c r="A38" s="8">
        <v>36.0</v>
      </c>
      <c r="B38" s="34">
        <v>46240.0</v>
      </c>
      <c r="C38" s="28" t="s">
        <v>301</v>
      </c>
      <c r="D38" s="29" t="s">
        <v>302</v>
      </c>
      <c r="E38" s="28" t="s">
        <v>63</v>
      </c>
      <c r="F38" s="29" t="s">
        <v>64</v>
      </c>
      <c r="G38" s="29" t="s">
        <v>303</v>
      </c>
      <c r="H38" s="30">
        <v>8.1558695E9</v>
      </c>
      <c r="I38" s="30">
        <v>7.096520661E9</v>
      </c>
      <c r="J38" s="28">
        <v>236.0</v>
      </c>
      <c r="K38" s="31">
        <v>46362.0</v>
      </c>
      <c r="L38" s="28" t="s">
        <v>55</v>
      </c>
      <c r="M38" s="53" t="s">
        <v>33</v>
      </c>
      <c r="N38" s="28" t="s">
        <v>34</v>
      </c>
      <c r="O38" s="28" t="s">
        <v>35</v>
      </c>
      <c r="P38" s="30" t="s">
        <v>304</v>
      </c>
      <c r="Q38" s="30" t="s">
        <v>305</v>
      </c>
      <c r="R38" s="30" t="s">
        <v>306</v>
      </c>
      <c r="S38" s="29">
        <v>6360.0</v>
      </c>
      <c r="T38" s="29">
        <v>7505.0</v>
      </c>
      <c r="U38" s="33">
        <v>6500.0</v>
      </c>
      <c r="V38" s="26">
        <f t="shared" si="1"/>
        <v>1005</v>
      </c>
      <c r="W38" s="30" t="s">
        <v>36</v>
      </c>
      <c r="X38" s="22" t="s">
        <v>307</v>
      </c>
      <c r="Y38" s="29" t="s">
        <v>308</v>
      </c>
    </row>
    <row r="39" hidden="1">
      <c r="A39" s="8">
        <v>37.0</v>
      </c>
      <c r="B39" s="34">
        <v>46240.0</v>
      </c>
      <c r="C39" s="28" t="s">
        <v>309</v>
      </c>
      <c r="D39" s="29" t="s">
        <v>310</v>
      </c>
      <c r="E39" s="28" t="s">
        <v>28</v>
      </c>
      <c r="F39" s="29" t="s">
        <v>53</v>
      </c>
      <c r="G39" s="29" t="s">
        <v>311</v>
      </c>
      <c r="H39" s="30">
        <v>9.913678562E9</v>
      </c>
      <c r="I39" s="35"/>
      <c r="J39" s="28">
        <v>1600.0</v>
      </c>
      <c r="K39" s="31">
        <v>46209.0</v>
      </c>
      <c r="L39" s="28" t="s">
        <v>55</v>
      </c>
      <c r="M39" s="53" t="s">
        <v>33</v>
      </c>
      <c r="N39" s="28" t="s">
        <v>34</v>
      </c>
      <c r="O39" s="28" t="s">
        <v>35</v>
      </c>
      <c r="P39" s="30" t="s">
        <v>312</v>
      </c>
      <c r="Q39" s="32">
        <v>46240.0</v>
      </c>
      <c r="R39" s="30" t="s">
        <v>25</v>
      </c>
      <c r="S39" s="29">
        <v>19331.0</v>
      </c>
      <c r="T39" s="29">
        <v>21848.0</v>
      </c>
      <c r="U39" s="33">
        <v>15500.0</v>
      </c>
      <c r="V39" s="26">
        <f t="shared" si="1"/>
        <v>6348</v>
      </c>
      <c r="W39" s="30" t="s">
        <v>36</v>
      </c>
      <c r="X39" s="22" t="s">
        <v>37</v>
      </c>
      <c r="Y39" s="29" t="s">
        <v>313</v>
      </c>
    </row>
    <row r="40" hidden="1">
      <c r="A40" s="23">
        <v>38.0</v>
      </c>
      <c r="B40" s="34">
        <v>46271.0</v>
      </c>
      <c r="C40" s="28" t="s">
        <v>314</v>
      </c>
      <c r="D40" s="29" t="s">
        <v>315</v>
      </c>
      <c r="E40" s="28" t="s">
        <v>157</v>
      </c>
      <c r="F40" s="29" t="s">
        <v>316</v>
      </c>
      <c r="G40" s="29" t="s">
        <v>317</v>
      </c>
      <c r="H40" s="30" t="s">
        <v>318</v>
      </c>
      <c r="I40" s="35"/>
      <c r="J40" s="28">
        <v>1197.0</v>
      </c>
      <c r="K40" s="31">
        <v>46240.0</v>
      </c>
      <c r="L40" s="28" t="s">
        <v>193</v>
      </c>
      <c r="M40" s="53" t="s">
        <v>33</v>
      </c>
      <c r="N40" s="28" t="s">
        <v>34</v>
      </c>
      <c r="O40" s="28" t="s">
        <v>35</v>
      </c>
      <c r="P40" s="32">
        <v>49312.0</v>
      </c>
      <c r="Q40" s="30" t="s">
        <v>319</v>
      </c>
      <c r="R40" s="30" t="s">
        <v>25</v>
      </c>
      <c r="S40" s="29">
        <v>12938.95</v>
      </c>
      <c r="T40" s="29">
        <v>15268.0</v>
      </c>
      <c r="U40" s="33">
        <v>13600.0</v>
      </c>
      <c r="V40" s="26">
        <f t="shared" si="1"/>
        <v>1668</v>
      </c>
      <c r="W40" s="30" t="s">
        <v>36</v>
      </c>
      <c r="X40" s="55"/>
      <c r="Y40" s="29" t="s">
        <v>320</v>
      </c>
    </row>
    <row r="41" hidden="1">
      <c r="A41" s="56">
        <v>39.0</v>
      </c>
      <c r="B41" s="43">
        <v>46271.0</v>
      </c>
      <c r="C41" s="44" t="s">
        <v>321</v>
      </c>
      <c r="D41" s="45" t="s">
        <v>322</v>
      </c>
      <c r="E41" s="44" t="s">
        <v>92</v>
      </c>
      <c r="F41" s="45" t="s">
        <v>323</v>
      </c>
      <c r="G41" s="45" t="s">
        <v>324</v>
      </c>
      <c r="H41" s="46" t="s">
        <v>325</v>
      </c>
      <c r="I41" s="47"/>
      <c r="J41" s="44">
        <v>47500.0</v>
      </c>
      <c r="K41" s="57" t="s">
        <v>326</v>
      </c>
      <c r="L41" s="44" t="s">
        <v>55</v>
      </c>
      <c r="M41" s="49" t="s">
        <v>33</v>
      </c>
      <c r="N41" s="44" t="s">
        <v>209</v>
      </c>
      <c r="O41" s="44" t="s">
        <v>35</v>
      </c>
      <c r="P41" s="58">
        <v>46119.0</v>
      </c>
      <c r="Q41" s="58">
        <v>46054.0</v>
      </c>
      <c r="R41" s="58">
        <v>46514.0</v>
      </c>
      <c r="S41" s="45">
        <v>73017.0</v>
      </c>
      <c r="T41" s="45">
        <v>83507.0</v>
      </c>
      <c r="U41" s="50">
        <v>70000.0</v>
      </c>
      <c r="V41" s="26">
        <f t="shared" si="1"/>
        <v>13507</v>
      </c>
      <c r="W41" s="46" t="s">
        <v>327</v>
      </c>
      <c r="X41" s="59"/>
      <c r="Y41" s="45" t="s">
        <v>328</v>
      </c>
      <c r="Z41" s="51"/>
      <c r="AA41" s="51"/>
      <c r="AB41" s="51"/>
      <c r="AC41" s="51"/>
      <c r="AD41" s="51"/>
      <c r="AE41" s="51"/>
      <c r="AF41" s="51"/>
      <c r="AG41" s="51"/>
      <c r="AH41" s="51"/>
      <c r="AI41" s="51"/>
    </row>
    <row r="42" hidden="1">
      <c r="A42" s="56">
        <v>40.0</v>
      </c>
      <c r="B42" s="43">
        <v>46271.0</v>
      </c>
      <c r="C42" s="44" t="s">
        <v>329</v>
      </c>
      <c r="D42" s="45" t="s">
        <v>330</v>
      </c>
      <c r="E42" s="44" t="s">
        <v>92</v>
      </c>
      <c r="F42" s="45" t="s">
        <v>323</v>
      </c>
      <c r="G42" s="45" t="s">
        <v>324</v>
      </c>
      <c r="H42" s="46" t="s">
        <v>325</v>
      </c>
      <c r="I42" s="47"/>
      <c r="J42" s="44">
        <v>47500.0</v>
      </c>
      <c r="K42" s="57" t="s">
        <v>326</v>
      </c>
      <c r="L42" s="44" t="s">
        <v>55</v>
      </c>
      <c r="M42" s="49" t="s">
        <v>33</v>
      </c>
      <c r="N42" s="44" t="s">
        <v>209</v>
      </c>
      <c r="O42" s="44" t="s">
        <v>35</v>
      </c>
      <c r="P42" s="46" t="s">
        <v>331</v>
      </c>
      <c r="Q42" s="58">
        <v>46054.0</v>
      </c>
      <c r="R42" s="46" t="s">
        <v>332</v>
      </c>
      <c r="S42" s="45">
        <v>73017.0</v>
      </c>
      <c r="T42" s="45">
        <v>83507.0</v>
      </c>
      <c r="U42" s="50">
        <v>70000.0</v>
      </c>
      <c r="V42" s="26">
        <f t="shared" si="1"/>
        <v>13507</v>
      </c>
      <c r="W42" s="46" t="s">
        <v>327</v>
      </c>
      <c r="X42" s="59"/>
      <c r="Y42" s="45" t="s">
        <v>328</v>
      </c>
      <c r="Z42" s="51"/>
      <c r="AA42" s="51"/>
      <c r="AB42" s="51"/>
      <c r="AC42" s="51"/>
      <c r="AD42" s="51"/>
      <c r="AE42" s="51"/>
      <c r="AF42" s="51"/>
      <c r="AG42" s="51"/>
      <c r="AH42" s="51"/>
      <c r="AI42" s="51"/>
    </row>
    <row r="43" hidden="1">
      <c r="A43" s="56">
        <v>41.0</v>
      </c>
      <c r="B43" s="43">
        <v>46271.0</v>
      </c>
      <c r="C43" s="44" t="s">
        <v>333</v>
      </c>
      <c r="D43" s="45" t="s">
        <v>334</v>
      </c>
      <c r="E43" s="44" t="s">
        <v>92</v>
      </c>
      <c r="F43" s="45" t="s">
        <v>335</v>
      </c>
      <c r="G43" s="45" t="s">
        <v>324</v>
      </c>
      <c r="H43" s="46" t="s">
        <v>325</v>
      </c>
      <c r="I43" s="47"/>
      <c r="J43" s="44">
        <v>47500.0</v>
      </c>
      <c r="K43" s="60">
        <v>46301.0</v>
      </c>
      <c r="L43" s="44" t="s">
        <v>55</v>
      </c>
      <c r="M43" s="49" t="s">
        <v>33</v>
      </c>
      <c r="N43" s="44" t="s">
        <v>209</v>
      </c>
      <c r="O43" s="44" t="s">
        <v>35</v>
      </c>
      <c r="P43" s="46" t="s">
        <v>336</v>
      </c>
      <c r="Q43" s="58">
        <v>46054.0</v>
      </c>
      <c r="R43" s="46" t="s">
        <v>337</v>
      </c>
      <c r="S43" s="45">
        <v>73017.0</v>
      </c>
      <c r="T43" s="45">
        <v>83507.0</v>
      </c>
      <c r="U43" s="50">
        <v>70000.0</v>
      </c>
      <c r="V43" s="26">
        <f t="shared" si="1"/>
        <v>13507</v>
      </c>
      <c r="W43" s="46" t="s">
        <v>36</v>
      </c>
      <c r="X43" s="59"/>
      <c r="Y43" s="45" t="s">
        <v>328</v>
      </c>
      <c r="Z43" s="51"/>
      <c r="AA43" s="51"/>
      <c r="AB43" s="51"/>
      <c r="AC43" s="51"/>
      <c r="AD43" s="51"/>
      <c r="AE43" s="51"/>
      <c r="AF43" s="51"/>
      <c r="AG43" s="51"/>
      <c r="AH43" s="51"/>
      <c r="AI43" s="51"/>
    </row>
    <row r="44" hidden="1">
      <c r="A44" s="56">
        <v>42.0</v>
      </c>
      <c r="B44" s="43">
        <v>46271.0</v>
      </c>
      <c r="C44" s="44" t="s">
        <v>338</v>
      </c>
      <c r="D44" s="45" t="s">
        <v>339</v>
      </c>
      <c r="E44" s="44" t="s">
        <v>92</v>
      </c>
      <c r="F44" s="45" t="s">
        <v>335</v>
      </c>
      <c r="G44" s="45" t="s">
        <v>324</v>
      </c>
      <c r="H44" s="46" t="s">
        <v>325</v>
      </c>
      <c r="I44" s="47"/>
      <c r="J44" s="44">
        <v>47500.0</v>
      </c>
      <c r="K44" s="60">
        <v>46301.0</v>
      </c>
      <c r="L44" s="44" t="s">
        <v>55</v>
      </c>
      <c r="M44" s="49" t="s">
        <v>33</v>
      </c>
      <c r="N44" s="44" t="s">
        <v>209</v>
      </c>
      <c r="O44" s="44" t="s">
        <v>35</v>
      </c>
      <c r="P44" s="46" t="s">
        <v>340</v>
      </c>
      <c r="Q44" s="46" t="s">
        <v>341</v>
      </c>
      <c r="R44" s="58">
        <v>46054.0</v>
      </c>
      <c r="S44" s="45">
        <v>76471.0</v>
      </c>
      <c r="T44" s="45">
        <v>87583.0</v>
      </c>
      <c r="U44" s="50">
        <v>70000.0</v>
      </c>
      <c r="V44" s="26">
        <f t="shared" si="1"/>
        <v>17583</v>
      </c>
      <c r="W44" s="46" t="s">
        <v>36</v>
      </c>
      <c r="X44" s="59"/>
      <c r="Y44" s="45" t="s">
        <v>328</v>
      </c>
      <c r="Z44" s="51"/>
      <c r="AA44" s="51"/>
      <c r="AB44" s="51"/>
      <c r="AC44" s="51"/>
      <c r="AD44" s="51"/>
      <c r="AE44" s="51"/>
      <c r="AF44" s="51"/>
      <c r="AG44" s="51"/>
      <c r="AH44" s="51"/>
      <c r="AI44" s="51"/>
    </row>
    <row r="45" hidden="1">
      <c r="A45" s="8">
        <v>43.0</v>
      </c>
      <c r="B45" s="34">
        <v>45936.0</v>
      </c>
      <c r="C45" s="28" t="s">
        <v>342</v>
      </c>
      <c r="D45" s="29" t="s">
        <v>343</v>
      </c>
      <c r="E45" s="28" t="s">
        <v>28</v>
      </c>
      <c r="F45" s="29" t="s">
        <v>198</v>
      </c>
      <c r="G45" s="29" t="s">
        <v>344</v>
      </c>
      <c r="H45" s="29">
        <v>7.874328096E9</v>
      </c>
      <c r="I45" s="30" t="s">
        <v>345</v>
      </c>
      <c r="J45" s="28">
        <v>3460.0</v>
      </c>
      <c r="K45" s="31">
        <v>46240.0</v>
      </c>
      <c r="L45" s="28" t="s">
        <v>133</v>
      </c>
      <c r="M45" s="53" t="s">
        <v>33</v>
      </c>
      <c r="N45" s="28" t="s">
        <v>346</v>
      </c>
      <c r="O45" s="28" t="s">
        <v>35</v>
      </c>
      <c r="P45" s="30" t="s">
        <v>223</v>
      </c>
      <c r="Q45" s="30" t="s">
        <v>347</v>
      </c>
      <c r="R45" s="30" t="s">
        <v>348</v>
      </c>
      <c r="S45" s="36">
        <v>22351.0</v>
      </c>
      <c r="T45" s="36">
        <v>25406.0</v>
      </c>
      <c r="U45" s="33">
        <v>19500.0</v>
      </c>
      <c r="V45" s="20">
        <f t="shared" si="1"/>
        <v>5906</v>
      </c>
      <c r="W45" s="30" t="s">
        <v>36</v>
      </c>
      <c r="X45" s="13"/>
      <c r="Y45" s="29" t="s">
        <v>349</v>
      </c>
    </row>
    <row r="46" hidden="1">
      <c r="A46" s="23">
        <v>44.0</v>
      </c>
      <c r="B46" s="34">
        <v>45936.0</v>
      </c>
      <c r="C46" s="28" t="s">
        <v>350</v>
      </c>
      <c r="D46" s="29" t="s">
        <v>351</v>
      </c>
      <c r="E46" s="28" t="s">
        <v>190</v>
      </c>
      <c r="F46" s="29" t="s">
        <v>352</v>
      </c>
      <c r="G46" s="29" t="s">
        <v>353</v>
      </c>
      <c r="H46" s="30">
        <v>8.780104711E9</v>
      </c>
      <c r="I46" s="30">
        <v>9.574912246E9</v>
      </c>
      <c r="J46" s="28">
        <v>990.0</v>
      </c>
      <c r="K46" s="31">
        <v>46271.0</v>
      </c>
      <c r="L46" s="28" t="s">
        <v>193</v>
      </c>
      <c r="M46" s="53" t="s">
        <v>33</v>
      </c>
      <c r="N46" s="28" t="s">
        <v>66</v>
      </c>
      <c r="O46" s="28" t="s">
        <v>35</v>
      </c>
      <c r="P46" s="32">
        <v>46119.0</v>
      </c>
      <c r="Q46" s="32">
        <v>45697.0</v>
      </c>
      <c r="R46" s="30" t="s">
        <v>25</v>
      </c>
      <c r="S46" s="36">
        <v>5065.39</v>
      </c>
      <c r="T46" s="36">
        <v>5708.0</v>
      </c>
      <c r="U46" s="33">
        <v>5500.0</v>
      </c>
      <c r="V46" s="20">
        <f t="shared" si="1"/>
        <v>208</v>
      </c>
      <c r="W46" s="30" t="s">
        <v>36</v>
      </c>
      <c r="X46" s="13"/>
      <c r="Y46" s="29" t="s">
        <v>354</v>
      </c>
    </row>
    <row r="47" hidden="1">
      <c r="A47" s="23">
        <v>45.0</v>
      </c>
      <c r="B47" s="34">
        <v>45936.0</v>
      </c>
      <c r="C47" s="28" t="s">
        <v>355</v>
      </c>
      <c r="D47" s="29" t="s">
        <v>356</v>
      </c>
      <c r="E47" s="28" t="s">
        <v>157</v>
      </c>
      <c r="F47" s="29" t="s">
        <v>357</v>
      </c>
      <c r="G47" s="29" t="s">
        <v>358</v>
      </c>
      <c r="H47" s="35"/>
      <c r="I47" s="35"/>
      <c r="J47" s="28">
        <v>1196.0</v>
      </c>
      <c r="K47" s="31">
        <v>46271.0</v>
      </c>
      <c r="L47" s="28" t="s">
        <v>359</v>
      </c>
      <c r="M47" s="53" t="s">
        <v>33</v>
      </c>
      <c r="N47" s="28" t="s">
        <v>34</v>
      </c>
      <c r="O47" s="28" t="s">
        <v>360</v>
      </c>
      <c r="P47" s="32">
        <v>49956.0</v>
      </c>
      <c r="Q47" s="30" t="s">
        <v>361</v>
      </c>
      <c r="R47" s="30" t="s">
        <v>25</v>
      </c>
      <c r="S47" s="29">
        <v>9389.0</v>
      </c>
      <c r="T47" s="29">
        <v>11079.0</v>
      </c>
      <c r="U47" s="33">
        <v>11079.0</v>
      </c>
      <c r="V47" s="26">
        <f t="shared" si="1"/>
        <v>0</v>
      </c>
      <c r="W47" s="30" t="s">
        <v>36</v>
      </c>
      <c r="X47" s="13"/>
      <c r="Y47" s="29" t="s">
        <v>362</v>
      </c>
    </row>
    <row r="48" hidden="1">
      <c r="A48" s="61">
        <v>46.0</v>
      </c>
      <c r="B48" s="34">
        <v>45936.0</v>
      </c>
      <c r="C48" s="28" t="s">
        <v>363</v>
      </c>
      <c r="D48" s="29" t="s">
        <v>364</v>
      </c>
      <c r="E48" s="28" t="s">
        <v>28</v>
      </c>
      <c r="F48" s="29" t="s">
        <v>365</v>
      </c>
      <c r="G48" s="29" t="s">
        <v>366</v>
      </c>
      <c r="H48" s="30">
        <v>9.773198081E9</v>
      </c>
      <c r="I48" s="30">
        <v>7.35992541E9</v>
      </c>
      <c r="J48" s="28">
        <v>1600.0</v>
      </c>
      <c r="K48" s="31">
        <v>46271.0</v>
      </c>
      <c r="L48" s="28" t="s">
        <v>193</v>
      </c>
      <c r="M48" s="53" t="s">
        <v>33</v>
      </c>
      <c r="N48" s="28" t="s">
        <v>152</v>
      </c>
      <c r="O48" s="28" t="s">
        <v>35</v>
      </c>
      <c r="P48" s="32">
        <v>46666.0</v>
      </c>
      <c r="Q48" s="30" t="s">
        <v>367</v>
      </c>
      <c r="R48" s="30" t="s">
        <v>25</v>
      </c>
      <c r="S48" s="36">
        <v>17898.85</v>
      </c>
      <c r="T48" s="36">
        <v>20158.0</v>
      </c>
      <c r="U48" s="33">
        <v>14000.0</v>
      </c>
      <c r="V48" s="20">
        <f t="shared" si="1"/>
        <v>6158</v>
      </c>
      <c r="W48" s="30" t="s">
        <v>36</v>
      </c>
      <c r="X48" s="13"/>
      <c r="Y48" s="29" t="s">
        <v>368</v>
      </c>
    </row>
    <row r="49" hidden="1">
      <c r="A49" s="23">
        <v>47.0</v>
      </c>
      <c r="B49" s="34">
        <v>45967.0</v>
      </c>
      <c r="C49" s="28" t="s">
        <v>369</v>
      </c>
      <c r="D49" s="29" t="s">
        <v>370</v>
      </c>
      <c r="E49" s="28" t="s">
        <v>157</v>
      </c>
      <c r="F49" s="29" t="s">
        <v>371</v>
      </c>
      <c r="G49" s="29" t="s">
        <v>372</v>
      </c>
      <c r="H49" s="30">
        <v>9.714521271E9</v>
      </c>
      <c r="I49" s="35"/>
      <c r="J49" s="28">
        <v>796.0</v>
      </c>
      <c r="K49" s="62" t="s">
        <v>373</v>
      </c>
      <c r="L49" s="28" t="s">
        <v>193</v>
      </c>
      <c r="M49" s="53" t="s">
        <v>45</v>
      </c>
      <c r="N49" s="28" t="s">
        <v>34</v>
      </c>
      <c r="O49" s="28" t="s">
        <v>360</v>
      </c>
      <c r="P49" s="30" t="s">
        <v>374</v>
      </c>
      <c r="Q49" s="32">
        <v>45912.0</v>
      </c>
      <c r="R49" s="30" t="s">
        <v>25</v>
      </c>
      <c r="S49" s="29">
        <v>2479.0</v>
      </c>
      <c r="T49" s="29">
        <v>2925.0</v>
      </c>
      <c r="U49" s="33">
        <v>2800.0</v>
      </c>
      <c r="V49" s="26">
        <f t="shared" si="1"/>
        <v>125</v>
      </c>
      <c r="W49" s="30" t="s">
        <v>327</v>
      </c>
      <c r="X49" s="13"/>
      <c r="Y49" s="29" t="s">
        <v>375</v>
      </c>
    </row>
    <row r="50" hidden="1">
      <c r="A50" s="8">
        <v>48.0</v>
      </c>
      <c r="B50" s="34">
        <v>45967.0</v>
      </c>
      <c r="C50" s="28" t="s">
        <v>376</v>
      </c>
      <c r="D50" s="29" t="s">
        <v>377</v>
      </c>
      <c r="E50" s="28" t="s">
        <v>157</v>
      </c>
      <c r="F50" s="29" t="s">
        <v>378</v>
      </c>
      <c r="G50" s="29" t="s">
        <v>379</v>
      </c>
      <c r="H50" s="30">
        <v>9.979070866E9</v>
      </c>
      <c r="I50" s="35"/>
      <c r="J50" s="28">
        <v>1197.0</v>
      </c>
      <c r="K50" s="31">
        <v>46301.0</v>
      </c>
      <c r="L50" s="28" t="s">
        <v>193</v>
      </c>
      <c r="M50" s="53" t="s">
        <v>45</v>
      </c>
      <c r="N50" s="28" t="s">
        <v>34</v>
      </c>
      <c r="O50" s="28" t="s">
        <v>35</v>
      </c>
      <c r="P50" s="32">
        <v>47697.0</v>
      </c>
      <c r="Q50" s="30" t="s">
        <v>380</v>
      </c>
      <c r="R50" s="30" t="s">
        <v>25</v>
      </c>
      <c r="S50" s="29">
        <v>3466.0</v>
      </c>
      <c r="T50" s="29">
        <v>4090.0</v>
      </c>
      <c r="U50" s="33">
        <v>4000.0</v>
      </c>
      <c r="V50" s="26">
        <f t="shared" si="1"/>
        <v>90</v>
      </c>
      <c r="W50" s="30" t="s">
        <v>36</v>
      </c>
      <c r="X50" s="13"/>
      <c r="Y50" s="29" t="s">
        <v>381</v>
      </c>
    </row>
    <row r="51" hidden="1">
      <c r="A51" s="8">
        <v>49.0</v>
      </c>
      <c r="B51" s="34">
        <v>45967.0</v>
      </c>
      <c r="C51" s="28" t="s">
        <v>382</v>
      </c>
      <c r="D51" s="29" t="s">
        <v>383</v>
      </c>
      <c r="E51" s="28" t="s">
        <v>122</v>
      </c>
      <c r="F51" s="29" t="s">
        <v>384</v>
      </c>
      <c r="G51" s="29" t="s">
        <v>385</v>
      </c>
      <c r="H51" s="30">
        <v>9.904358582E9</v>
      </c>
      <c r="I51" s="35"/>
      <c r="J51" s="28">
        <v>100.0</v>
      </c>
      <c r="K51" s="39">
        <v>46332.0</v>
      </c>
      <c r="L51" s="28" t="s">
        <v>44</v>
      </c>
      <c r="M51" s="53" t="s">
        <v>45</v>
      </c>
      <c r="N51" s="28" t="s">
        <v>209</v>
      </c>
      <c r="O51" s="28" t="s">
        <v>47</v>
      </c>
      <c r="P51" s="32">
        <v>47373.0</v>
      </c>
      <c r="Q51" s="30" t="s">
        <v>25</v>
      </c>
      <c r="R51" s="30" t="s">
        <v>25</v>
      </c>
      <c r="S51" s="29">
        <v>714.0</v>
      </c>
      <c r="T51" s="29">
        <v>842.0</v>
      </c>
      <c r="U51" s="33">
        <v>850.0</v>
      </c>
      <c r="V51" s="26">
        <f t="shared" si="1"/>
        <v>-8</v>
      </c>
      <c r="W51" s="30" t="s">
        <v>36</v>
      </c>
      <c r="X51" s="13"/>
      <c r="Y51" s="29" t="s">
        <v>386</v>
      </c>
    </row>
    <row r="52" hidden="1">
      <c r="A52" s="23">
        <v>50.0</v>
      </c>
      <c r="B52" s="34">
        <v>45967.0</v>
      </c>
      <c r="C52" s="28" t="s">
        <v>387</v>
      </c>
      <c r="D52" s="29" t="s">
        <v>388</v>
      </c>
      <c r="E52" s="28" t="s">
        <v>122</v>
      </c>
      <c r="F52" s="29" t="s">
        <v>389</v>
      </c>
      <c r="G52" s="29" t="s">
        <v>390</v>
      </c>
      <c r="H52" s="30">
        <v>8.780055169E9</v>
      </c>
      <c r="I52" s="35"/>
      <c r="J52" s="28">
        <v>155.0</v>
      </c>
      <c r="K52" s="39">
        <v>46332.0</v>
      </c>
      <c r="L52" s="28" t="s">
        <v>44</v>
      </c>
      <c r="M52" s="53" t="s">
        <v>45</v>
      </c>
      <c r="N52" s="28" t="s">
        <v>46</v>
      </c>
      <c r="O52" s="28" t="s">
        <v>47</v>
      </c>
      <c r="P52" s="30" t="s">
        <v>391</v>
      </c>
      <c r="Q52" s="32">
        <v>46118.0</v>
      </c>
      <c r="R52" s="30" t="s">
        <v>25</v>
      </c>
      <c r="S52" s="29">
        <v>1366.0</v>
      </c>
      <c r="T52" s="29">
        <v>1612.0</v>
      </c>
      <c r="U52" s="33">
        <v>1600.0</v>
      </c>
      <c r="V52" s="26">
        <f t="shared" si="1"/>
        <v>12</v>
      </c>
      <c r="W52" s="30" t="s">
        <v>36</v>
      </c>
      <c r="X52" s="13"/>
      <c r="Y52" s="29" t="s">
        <v>392</v>
      </c>
    </row>
    <row r="53" hidden="1">
      <c r="A53" s="8">
        <v>51.0</v>
      </c>
      <c r="B53" s="34">
        <v>45967.0</v>
      </c>
      <c r="C53" s="28" t="s">
        <v>393</v>
      </c>
      <c r="D53" s="29" t="s">
        <v>394</v>
      </c>
      <c r="E53" s="28" t="s">
        <v>122</v>
      </c>
      <c r="F53" s="29" t="s">
        <v>395</v>
      </c>
      <c r="G53" s="29" t="s">
        <v>396</v>
      </c>
      <c r="H53" s="30">
        <v>9.898321556E9</v>
      </c>
      <c r="I53" s="30">
        <v>9.427236237E9</v>
      </c>
      <c r="J53" s="28">
        <v>125.0</v>
      </c>
      <c r="K53" s="39">
        <v>46332.0</v>
      </c>
      <c r="L53" s="28" t="s">
        <v>44</v>
      </c>
      <c r="M53" s="53" t="s">
        <v>45</v>
      </c>
      <c r="N53" s="28" t="s">
        <v>34</v>
      </c>
      <c r="O53" s="28" t="s">
        <v>47</v>
      </c>
      <c r="P53" s="30" t="s">
        <v>397</v>
      </c>
      <c r="Q53" s="30" t="s">
        <v>25</v>
      </c>
      <c r="R53" s="30" t="s">
        <v>25</v>
      </c>
      <c r="S53" s="29">
        <v>714.0</v>
      </c>
      <c r="T53" s="29">
        <v>842.0</v>
      </c>
      <c r="U53" s="33">
        <v>850.0</v>
      </c>
      <c r="V53" s="26">
        <f t="shared" si="1"/>
        <v>-8</v>
      </c>
      <c r="W53" s="30" t="s">
        <v>36</v>
      </c>
      <c r="X53" s="13"/>
      <c r="Y53" s="29" t="s">
        <v>398</v>
      </c>
    </row>
    <row r="54" hidden="1">
      <c r="A54" s="8">
        <v>52.0</v>
      </c>
      <c r="B54" s="34">
        <v>45967.0</v>
      </c>
      <c r="C54" s="28" t="s">
        <v>399</v>
      </c>
      <c r="D54" s="29" t="s">
        <v>400</v>
      </c>
      <c r="E54" s="28" t="s">
        <v>122</v>
      </c>
      <c r="F54" s="29" t="s">
        <v>401</v>
      </c>
      <c r="G54" s="29" t="s">
        <v>402</v>
      </c>
      <c r="H54" s="30">
        <v>9.824356775E9</v>
      </c>
      <c r="I54" s="30">
        <v>9.825349352E9</v>
      </c>
      <c r="J54" s="28">
        <v>102.0</v>
      </c>
      <c r="K54" s="39">
        <v>46332.0</v>
      </c>
      <c r="L54" s="28" t="s">
        <v>44</v>
      </c>
      <c r="M54" s="53" t="s">
        <v>45</v>
      </c>
      <c r="N54" s="28" t="s">
        <v>46</v>
      </c>
      <c r="O54" s="28" t="s">
        <v>47</v>
      </c>
      <c r="P54" s="41">
        <v>47068.0</v>
      </c>
      <c r="Q54" s="32">
        <v>45881.0</v>
      </c>
      <c r="R54" s="30" t="s">
        <v>25</v>
      </c>
      <c r="S54" s="29">
        <v>714.0</v>
      </c>
      <c r="T54" s="29">
        <v>842.0</v>
      </c>
      <c r="U54" s="33">
        <v>2500.0</v>
      </c>
      <c r="V54" s="26">
        <f t="shared" si="1"/>
        <v>-1658</v>
      </c>
      <c r="W54" s="30" t="s">
        <v>36</v>
      </c>
      <c r="X54" s="13"/>
      <c r="Y54" s="29" t="s">
        <v>403</v>
      </c>
    </row>
    <row r="55" hidden="1">
      <c r="A55" s="23">
        <v>53.0</v>
      </c>
      <c r="B55" s="34">
        <v>45967.0</v>
      </c>
      <c r="C55" s="28" t="s">
        <v>404</v>
      </c>
      <c r="D55" s="29" t="s">
        <v>405</v>
      </c>
      <c r="E55" s="28" t="s">
        <v>63</v>
      </c>
      <c r="F55" s="29" t="s">
        <v>64</v>
      </c>
      <c r="G55" s="29" t="s">
        <v>406</v>
      </c>
      <c r="H55" s="30">
        <v>8.200085644E9</v>
      </c>
      <c r="I55" s="35"/>
      <c r="J55" s="28">
        <v>236.0</v>
      </c>
      <c r="K55" s="31">
        <v>46271.0</v>
      </c>
      <c r="L55" s="28" t="s">
        <v>55</v>
      </c>
      <c r="M55" s="53" t="s">
        <v>33</v>
      </c>
      <c r="N55" s="28" t="s">
        <v>209</v>
      </c>
      <c r="O55" s="28" t="s">
        <v>35</v>
      </c>
      <c r="P55" s="30" t="s">
        <v>407</v>
      </c>
      <c r="Q55" s="32">
        <v>46362.0</v>
      </c>
      <c r="R55" s="32">
        <v>46852.0</v>
      </c>
      <c r="S55" s="29">
        <v>6436.0</v>
      </c>
      <c r="T55" s="29">
        <v>7594.0</v>
      </c>
      <c r="U55" s="33">
        <v>6500.0</v>
      </c>
      <c r="V55" s="26">
        <f t="shared" si="1"/>
        <v>1094</v>
      </c>
      <c r="W55" s="30" t="s">
        <v>36</v>
      </c>
      <c r="X55" s="13"/>
      <c r="Y55" s="29" t="s">
        <v>408</v>
      </c>
    </row>
    <row r="56" hidden="1">
      <c r="A56" s="8">
        <v>54.0</v>
      </c>
      <c r="B56" s="34">
        <v>45967.0</v>
      </c>
      <c r="C56" s="28" t="s">
        <v>409</v>
      </c>
      <c r="D56" s="29" t="s">
        <v>410</v>
      </c>
      <c r="E56" s="28" t="s">
        <v>63</v>
      </c>
      <c r="F56" s="29" t="s">
        <v>411</v>
      </c>
      <c r="G56" s="29" t="s">
        <v>412</v>
      </c>
      <c r="H56" s="35">
        <f>9725995940</f>
        <v>9725995940</v>
      </c>
      <c r="I56" s="30" t="s">
        <v>413</v>
      </c>
      <c r="J56" s="28">
        <v>205.0</v>
      </c>
      <c r="K56" s="31">
        <v>46271.0</v>
      </c>
      <c r="L56" s="28" t="s">
        <v>55</v>
      </c>
      <c r="M56" s="53" t="s">
        <v>33</v>
      </c>
      <c r="N56" s="28" t="s">
        <v>140</v>
      </c>
      <c r="O56" s="28" t="s">
        <v>35</v>
      </c>
      <c r="P56" s="32">
        <v>46059.0</v>
      </c>
      <c r="Q56" s="32">
        <v>46240.0</v>
      </c>
      <c r="R56" s="32">
        <v>46753.0</v>
      </c>
      <c r="S56" s="29">
        <v>6244.0</v>
      </c>
      <c r="T56" s="29">
        <v>7368.0</v>
      </c>
      <c r="U56" s="33">
        <v>6500.0</v>
      </c>
      <c r="V56" s="26">
        <f t="shared" si="1"/>
        <v>868</v>
      </c>
      <c r="W56" s="30" t="s">
        <v>36</v>
      </c>
      <c r="X56" s="14" t="s">
        <v>414</v>
      </c>
      <c r="Y56" s="29" t="s">
        <v>415</v>
      </c>
    </row>
    <row r="57" hidden="1">
      <c r="A57" s="8">
        <v>55.0</v>
      </c>
      <c r="B57" s="34">
        <v>45967.0</v>
      </c>
      <c r="C57" s="28" t="s">
        <v>416</v>
      </c>
      <c r="D57" s="29" t="s">
        <v>417</v>
      </c>
      <c r="E57" s="28" t="s">
        <v>147</v>
      </c>
      <c r="F57" s="29" t="s">
        <v>418</v>
      </c>
      <c r="G57" s="29" t="s">
        <v>419</v>
      </c>
      <c r="H57" s="30">
        <v>7.990581079E9</v>
      </c>
      <c r="I57" s="35"/>
      <c r="J57" s="28">
        <v>0.0</v>
      </c>
      <c r="K57" s="31">
        <v>46301.0</v>
      </c>
      <c r="L57" s="28" t="s">
        <v>55</v>
      </c>
      <c r="M57" s="63" t="s">
        <v>45</v>
      </c>
      <c r="N57" s="28" t="s">
        <v>200</v>
      </c>
      <c r="O57" s="28" t="s">
        <v>35</v>
      </c>
      <c r="P57" s="30" t="s">
        <v>420</v>
      </c>
      <c r="Q57" s="30" t="s">
        <v>25</v>
      </c>
      <c r="R57" s="30" t="s">
        <v>25</v>
      </c>
      <c r="S57" s="29">
        <v>7317.0</v>
      </c>
      <c r="T57" s="29">
        <v>8635.0</v>
      </c>
      <c r="U57" s="33">
        <v>8200.0</v>
      </c>
      <c r="V57" s="26">
        <f t="shared" si="1"/>
        <v>435</v>
      </c>
      <c r="W57" s="30" t="s">
        <v>36</v>
      </c>
      <c r="X57" s="13"/>
      <c r="Y57" s="29" t="s">
        <v>421</v>
      </c>
    </row>
    <row r="58" hidden="1">
      <c r="A58" s="23">
        <v>56.0</v>
      </c>
      <c r="B58" s="34">
        <v>45967.0</v>
      </c>
      <c r="C58" s="28" t="s">
        <v>422</v>
      </c>
      <c r="D58" s="29" t="s">
        <v>423</v>
      </c>
      <c r="E58" s="28" t="s">
        <v>157</v>
      </c>
      <c r="F58" s="29" t="s">
        <v>424</v>
      </c>
      <c r="G58" s="29" t="s">
        <v>425</v>
      </c>
      <c r="H58" s="30" t="s">
        <v>426</v>
      </c>
      <c r="I58" s="30" t="s">
        <v>427</v>
      </c>
      <c r="J58" s="28">
        <v>1197.0</v>
      </c>
      <c r="K58" s="31">
        <v>46301.0</v>
      </c>
      <c r="L58" s="28" t="s">
        <v>428</v>
      </c>
      <c r="M58" s="53" t="s">
        <v>33</v>
      </c>
      <c r="N58" s="28" t="s">
        <v>97</v>
      </c>
      <c r="O58" s="28" t="s">
        <v>360</v>
      </c>
      <c r="P58" s="30" t="s">
        <v>429</v>
      </c>
      <c r="Q58" s="32">
        <v>45969.0</v>
      </c>
      <c r="R58" s="30" t="s">
        <v>25</v>
      </c>
      <c r="S58" s="29">
        <v>9212.0</v>
      </c>
      <c r="T58" s="29">
        <v>10870.0</v>
      </c>
      <c r="U58" s="33">
        <v>10911.0</v>
      </c>
      <c r="V58" s="26">
        <f t="shared" si="1"/>
        <v>-41</v>
      </c>
      <c r="W58" s="30" t="s">
        <v>36</v>
      </c>
      <c r="X58" s="14" t="s">
        <v>414</v>
      </c>
      <c r="Y58" s="29" t="s">
        <v>430</v>
      </c>
    </row>
    <row r="59" hidden="1">
      <c r="A59" s="8">
        <v>57.0</v>
      </c>
      <c r="B59" s="34">
        <v>45967.0</v>
      </c>
      <c r="C59" s="28" t="s">
        <v>431</v>
      </c>
      <c r="D59" s="29" t="s">
        <v>432</v>
      </c>
      <c r="E59" s="28" t="s">
        <v>28</v>
      </c>
      <c r="F59" s="29" t="s">
        <v>53</v>
      </c>
      <c r="G59" s="29" t="s">
        <v>433</v>
      </c>
      <c r="H59" s="30" t="s">
        <v>434</v>
      </c>
      <c r="I59" s="30" t="s">
        <v>435</v>
      </c>
      <c r="J59" s="28">
        <v>1600.0</v>
      </c>
      <c r="K59" s="31">
        <v>46362.0</v>
      </c>
      <c r="L59" s="28" t="s">
        <v>55</v>
      </c>
      <c r="M59" s="53" t="s">
        <v>33</v>
      </c>
      <c r="N59" s="28" t="s">
        <v>436</v>
      </c>
      <c r="O59" s="28" t="s">
        <v>35</v>
      </c>
      <c r="P59" s="30" t="s">
        <v>437</v>
      </c>
      <c r="Q59" s="32">
        <v>46332.0</v>
      </c>
      <c r="R59" s="30" t="s">
        <v>25</v>
      </c>
      <c r="S59" s="29">
        <v>19708.0</v>
      </c>
      <c r="T59" s="29">
        <v>22293.0</v>
      </c>
      <c r="U59" s="33">
        <v>16000.0</v>
      </c>
      <c r="V59" s="26">
        <f t="shared" si="1"/>
        <v>6293</v>
      </c>
      <c r="W59" s="30" t="s">
        <v>36</v>
      </c>
      <c r="X59" s="14" t="s">
        <v>37</v>
      </c>
      <c r="Y59" s="29" t="s">
        <v>438</v>
      </c>
    </row>
    <row r="60" hidden="1">
      <c r="A60" s="8">
        <v>58.0</v>
      </c>
      <c r="B60" s="34">
        <v>45967.0</v>
      </c>
      <c r="C60" s="28" t="s">
        <v>439</v>
      </c>
      <c r="D60" s="29" t="s">
        <v>440</v>
      </c>
      <c r="E60" s="28" t="s">
        <v>28</v>
      </c>
      <c r="F60" s="29" t="s">
        <v>53</v>
      </c>
      <c r="G60" s="29" t="s">
        <v>441</v>
      </c>
      <c r="H60" s="30">
        <v>7.567596797E9</v>
      </c>
      <c r="I60" s="35"/>
      <c r="J60" s="28">
        <v>1600.0</v>
      </c>
      <c r="K60" s="31">
        <v>46301.0</v>
      </c>
      <c r="L60" s="28" t="s">
        <v>55</v>
      </c>
      <c r="M60" s="53" t="s">
        <v>33</v>
      </c>
      <c r="N60" s="28" t="s">
        <v>116</v>
      </c>
      <c r="O60" s="28" t="s">
        <v>35</v>
      </c>
      <c r="P60" s="32">
        <v>46301.0</v>
      </c>
      <c r="Q60" s="32">
        <v>45936.0</v>
      </c>
      <c r="R60" s="30" t="s">
        <v>25</v>
      </c>
      <c r="S60" s="29">
        <v>20186.0</v>
      </c>
      <c r="T60" s="29">
        <v>22857.0</v>
      </c>
      <c r="U60" s="33">
        <v>16500.0</v>
      </c>
      <c r="V60" s="26">
        <f t="shared" si="1"/>
        <v>6357</v>
      </c>
      <c r="W60" s="30" t="s">
        <v>36</v>
      </c>
      <c r="X60" s="14" t="s">
        <v>216</v>
      </c>
      <c r="Y60" s="29" t="s">
        <v>442</v>
      </c>
    </row>
    <row r="61" hidden="1">
      <c r="A61" s="23">
        <v>59.0</v>
      </c>
      <c r="B61" s="34">
        <v>45967.0</v>
      </c>
      <c r="C61" s="28" t="s">
        <v>443</v>
      </c>
      <c r="D61" s="29" t="s">
        <v>444</v>
      </c>
      <c r="E61" s="28" t="s">
        <v>157</v>
      </c>
      <c r="F61" s="29" t="s">
        <v>445</v>
      </c>
      <c r="G61" s="29" t="s">
        <v>446</v>
      </c>
      <c r="H61" s="30">
        <v>8.23808888E9</v>
      </c>
      <c r="I61" s="30">
        <v>9.773452337E9</v>
      </c>
      <c r="J61" s="28">
        <v>1248.0</v>
      </c>
      <c r="K61" s="31">
        <v>46362.0</v>
      </c>
      <c r="L61" s="28" t="s">
        <v>447</v>
      </c>
      <c r="M61" s="53" t="s">
        <v>45</v>
      </c>
      <c r="N61" s="28" t="s">
        <v>97</v>
      </c>
      <c r="O61" s="28" t="s">
        <v>360</v>
      </c>
      <c r="P61" s="32">
        <v>47819.0</v>
      </c>
      <c r="Q61" s="32">
        <v>45937.0</v>
      </c>
      <c r="R61" s="30" t="s">
        <v>25</v>
      </c>
      <c r="S61" s="36">
        <v>3466.0</v>
      </c>
      <c r="T61" s="36">
        <v>4090.0</v>
      </c>
      <c r="U61" s="33">
        <v>4000.0</v>
      </c>
      <c r="V61" s="20">
        <f t="shared" si="1"/>
        <v>90</v>
      </c>
      <c r="W61" s="30" t="s">
        <v>36</v>
      </c>
      <c r="X61" s="13"/>
      <c r="Y61" s="29" t="s">
        <v>448</v>
      </c>
    </row>
    <row r="62" hidden="1">
      <c r="A62" s="8">
        <v>60.0</v>
      </c>
      <c r="B62" s="34">
        <v>45967.0</v>
      </c>
      <c r="C62" s="28" t="s">
        <v>449</v>
      </c>
      <c r="D62" s="29" t="s">
        <v>450</v>
      </c>
      <c r="E62" s="28" t="s">
        <v>92</v>
      </c>
      <c r="F62" s="29" t="s">
        <v>451</v>
      </c>
      <c r="G62" s="29" t="s">
        <v>452</v>
      </c>
      <c r="H62" s="30" t="s">
        <v>453</v>
      </c>
      <c r="I62" s="30">
        <v>9.978183983E9</v>
      </c>
      <c r="J62" s="28">
        <v>28000.0</v>
      </c>
      <c r="K62" s="31">
        <v>46240.0</v>
      </c>
      <c r="L62" s="28" t="s">
        <v>55</v>
      </c>
      <c r="M62" s="53" t="s">
        <v>33</v>
      </c>
      <c r="N62" s="28" t="s">
        <v>346</v>
      </c>
      <c r="O62" s="28" t="s">
        <v>35</v>
      </c>
      <c r="P62" s="30" t="s">
        <v>454</v>
      </c>
      <c r="Q62" s="32">
        <v>45939.0</v>
      </c>
      <c r="R62" s="30" t="s">
        <v>455</v>
      </c>
      <c r="S62" s="29">
        <v>45702.0</v>
      </c>
      <c r="T62" s="29">
        <v>51292.0</v>
      </c>
      <c r="U62" s="33">
        <v>47500.0</v>
      </c>
      <c r="V62" s="26">
        <f t="shared" si="1"/>
        <v>3792</v>
      </c>
      <c r="W62" s="30" t="s">
        <v>36</v>
      </c>
      <c r="X62" s="13"/>
      <c r="Y62" s="29" t="s">
        <v>456</v>
      </c>
    </row>
    <row r="63" hidden="1">
      <c r="A63" s="8">
        <v>61.0</v>
      </c>
      <c r="B63" s="34">
        <v>45967.0</v>
      </c>
      <c r="C63" s="28" t="s">
        <v>457</v>
      </c>
      <c r="D63" s="29" t="s">
        <v>458</v>
      </c>
      <c r="E63" s="28" t="s">
        <v>28</v>
      </c>
      <c r="F63" s="29" t="s">
        <v>459</v>
      </c>
      <c r="G63" s="29" t="s">
        <v>460</v>
      </c>
      <c r="H63" s="30">
        <v>9.825962657E9</v>
      </c>
      <c r="I63" s="30">
        <v>8.238305547E9</v>
      </c>
      <c r="J63" s="28">
        <v>2805.0</v>
      </c>
      <c r="K63" s="31">
        <v>46301.0</v>
      </c>
      <c r="L63" s="28" t="s">
        <v>193</v>
      </c>
      <c r="M63" s="53" t="s">
        <v>33</v>
      </c>
      <c r="N63" s="28" t="s">
        <v>140</v>
      </c>
      <c r="O63" s="28" t="s">
        <v>35</v>
      </c>
      <c r="P63" s="30" t="s">
        <v>305</v>
      </c>
      <c r="Q63" s="32">
        <v>45936.0</v>
      </c>
      <c r="R63" s="30" t="s">
        <v>25</v>
      </c>
      <c r="S63" s="36">
        <v>17786.54</v>
      </c>
      <c r="T63" s="36">
        <v>20025.0</v>
      </c>
      <c r="U63" s="33">
        <v>15000.0</v>
      </c>
      <c r="V63" s="20">
        <f t="shared" si="1"/>
        <v>5025</v>
      </c>
      <c r="W63" s="30" t="s">
        <v>36</v>
      </c>
      <c r="X63" s="13"/>
      <c r="Y63" s="29" t="s">
        <v>461</v>
      </c>
    </row>
    <row r="64" hidden="1">
      <c r="A64" s="23">
        <v>62.0</v>
      </c>
      <c r="B64" s="34">
        <v>45967.0</v>
      </c>
      <c r="C64" s="28" t="s">
        <v>462</v>
      </c>
      <c r="D64" s="29" t="s">
        <v>463</v>
      </c>
      <c r="E64" s="28" t="s">
        <v>92</v>
      </c>
      <c r="F64" s="29" t="s">
        <v>464</v>
      </c>
      <c r="G64" s="29" t="s">
        <v>465</v>
      </c>
      <c r="H64" s="30" t="s">
        <v>466</v>
      </c>
      <c r="I64" s="30" t="s">
        <v>467</v>
      </c>
      <c r="J64" s="28">
        <v>17750.0</v>
      </c>
      <c r="K64" s="31">
        <v>46301.0</v>
      </c>
      <c r="L64" s="28" t="s">
        <v>55</v>
      </c>
      <c r="M64" s="53" t="s">
        <v>33</v>
      </c>
      <c r="N64" s="28" t="s">
        <v>209</v>
      </c>
      <c r="O64" s="28" t="s">
        <v>35</v>
      </c>
      <c r="P64" s="32">
        <v>45668.0</v>
      </c>
      <c r="Q64" s="32">
        <v>45302.0</v>
      </c>
      <c r="R64" s="35"/>
      <c r="S64" s="29">
        <v>50345.0</v>
      </c>
      <c r="T64" s="29">
        <v>57289.0</v>
      </c>
      <c r="U64" s="33">
        <v>53500.0</v>
      </c>
      <c r="V64" s="26">
        <f t="shared" si="1"/>
        <v>3789</v>
      </c>
      <c r="W64" s="30" t="s">
        <v>36</v>
      </c>
      <c r="X64" s="13"/>
      <c r="Y64" s="29" t="s">
        <v>468</v>
      </c>
    </row>
    <row r="65" hidden="1">
      <c r="A65" s="8">
        <v>63.0</v>
      </c>
      <c r="B65" s="34">
        <v>45967.0</v>
      </c>
      <c r="C65" s="28" t="s">
        <v>469</v>
      </c>
      <c r="D65" s="29" t="s">
        <v>470</v>
      </c>
      <c r="E65" s="28" t="s">
        <v>28</v>
      </c>
      <c r="F65" s="29" t="s">
        <v>198</v>
      </c>
      <c r="G65" s="29" t="s">
        <v>471</v>
      </c>
      <c r="H65" s="30" t="s">
        <v>472</v>
      </c>
      <c r="I65" s="35"/>
      <c r="J65" s="28">
        <v>3460.0</v>
      </c>
      <c r="K65" s="31">
        <v>46301.0</v>
      </c>
      <c r="L65" s="28" t="s">
        <v>133</v>
      </c>
      <c r="M65" s="53" t="s">
        <v>33</v>
      </c>
      <c r="N65" s="28" t="s">
        <v>56</v>
      </c>
      <c r="O65" s="28" t="s">
        <v>35</v>
      </c>
      <c r="P65" s="30" t="s">
        <v>454</v>
      </c>
      <c r="Q65" s="32">
        <v>46271.0</v>
      </c>
      <c r="R65" s="30" t="s">
        <v>473</v>
      </c>
      <c r="S65" s="36">
        <v>22961.0</v>
      </c>
      <c r="T65" s="36">
        <v>26127.0</v>
      </c>
      <c r="U65" s="33">
        <v>19500.0</v>
      </c>
      <c r="V65" s="20">
        <f t="shared" si="1"/>
        <v>6627</v>
      </c>
      <c r="W65" s="30" t="s">
        <v>36</v>
      </c>
      <c r="X65" s="13"/>
      <c r="Y65" s="29" t="s">
        <v>474</v>
      </c>
    </row>
    <row r="66" hidden="1">
      <c r="A66" s="8">
        <v>64.0</v>
      </c>
      <c r="B66" s="34">
        <v>45967.0</v>
      </c>
      <c r="C66" s="28" t="s">
        <v>475</v>
      </c>
      <c r="D66" s="29" t="s">
        <v>476</v>
      </c>
      <c r="E66" s="28" t="s">
        <v>157</v>
      </c>
      <c r="F66" s="29" t="s">
        <v>477</v>
      </c>
      <c r="G66" s="29" t="s">
        <v>478</v>
      </c>
      <c r="H66" s="30" t="s">
        <v>479</v>
      </c>
      <c r="I66" s="30" t="s">
        <v>480</v>
      </c>
      <c r="J66" s="28">
        <v>1462.0</v>
      </c>
      <c r="K66" s="31">
        <v>46301.0</v>
      </c>
      <c r="L66" s="28" t="s">
        <v>193</v>
      </c>
      <c r="M66" s="53" t="s">
        <v>33</v>
      </c>
      <c r="N66" s="28" t="s">
        <v>97</v>
      </c>
      <c r="O66" s="28" t="s">
        <v>35</v>
      </c>
      <c r="P66" s="30" t="s">
        <v>481</v>
      </c>
      <c r="Q66" s="30" t="s">
        <v>482</v>
      </c>
      <c r="R66" s="30" t="s">
        <v>25</v>
      </c>
      <c r="S66" s="29">
        <v>14241.0</v>
      </c>
      <c r="T66" s="29">
        <v>16804.0</v>
      </c>
      <c r="U66" s="33">
        <v>16918.0</v>
      </c>
      <c r="V66" s="26">
        <f t="shared" si="1"/>
        <v>-114</v>
      </c>
      <c r="W66" s="30" t="s">
        <v>36</v>
      </c>
      <c r="X66" s="13"/>
      <c r="Y66" s="29" t="s">
        <v>483</v>
      </c>
    </row>
    <row r="67" hidden="1">
      <c r="A67" s="23">
        <v>65.0</v>
      </c>
      <c r="B67" s="34">
        <v>45997.0</v>
      </c>
      <c r="C67" s="28" t="s">
        <v>484</v>
      </c>
      <c r="D67" s="29" t="s">
        <v>485</v>
      </c>
      <c r="E67" s="28" t="s">
        <v>92</v>
      </c>
      <c r="F67" s="29" t="s">
        <v>486</v>
      </c>
      <c r="G67" s="29" t="s">
        <v>487</v>
      </c>
      <c r="H67" s="30">
        <v>9.58679648E9</v>
      </c>
      <c r="I67" s="35"/>
      <c r="J67" s="28">
        <v>11990.0</v>
      </c>
      <c r="K67" s="31">
        <v>46301.0</v>
      </c>
      <c r="L67" s="28" t="s">
        <v>55</v>
      </c>
      <c r="M67" s="53" t="s">
        <v>33</v>
      </c>
      <c r="N67" s="28" t="s">
        <v>34</v>
      </c>
      <c r="O67" s="28" t="s">
        <v>35</v>
      </c>
      <c r="P67" s="32">
        <v>46207.0</v>
      </c>
      <c r="Q67" s="30" t="s">
        <v>488</v>
      </c>
      <c r="R67" s="30" t="s">
        <v>489</v>
      </c>
      <c r="S67" s="29">
        <v>30039.0</v>
      </c>
      <c r="T67" s="29">
        <v>33815.0</v>
      </c>
      <c r="U67" s="33">
        <v>31000.0</v>
      </c>
      <c r="V67" s="26">
        <f t="shared" si="1"/>
        <v>2815</v>
      </c>
      <c r="W67" s="30" t="s">
        <v>36</v>
      </c>
      <c r="X67" s="13"/>
      <c r="Y67" s="29" t="s">
        <v>490</v>
      </c>
    </row>
    <row r="68" hidden="1">
      <c r="A68" s="8">
        <v>66.0</v>
      </c>
      <c r="B68" s="34">
        <v>45997.0</v>
      </c>
      <c r="C68" s="28" t="s">
        <v>491</v>
      </c>
      <c r="D68" s="29" t="s">
        <v>492</v>
      </c>
      <c r="E68" s="28" t="s">
        <v>157</v>
      </c>
      <c r="F68" s="29" t="s">
        <v>493</v>
      </c>
      <c r="G68" s="29" t="s">
        <v>494</v>
      </c>
      <c r="H68" s="30">
        <v>8.9805495E9</v>
      </c>
      <c r="I68" s="35"/>
      <c r="J68" s="28">
        <v>1197.0</v>
      </c>
      <c r="K68" s="31">
        <v>46332.0</v>
      </c>
      <c r="L68" s="28" t="s">
        <v>193</v>
      </c>
      <c r="M68" s="53" t="s">
        <v>45</v>
      </c>
      <c r="N68" s="28" t="s">
        <v>209</v>
      </c>
      <c r="O68" s="28" t="s">
        <v>35</v>
      </c>
      <c r="P68" s="30" t="s">
        <v>495</v>
      </c>
      <c r="Q68" s="32">
        <v>46271.0</v>
      </c>
      <c r="R68" s="30" t="s">
        <v>25</v>
      </c>
      <c r="S68" s="29">
        <v>3466.0</v>
      </c>
      <c r="T68" s="29">
        <v>4090.0</v>
      </c>
      <c r="U68" s="33">
        <v>4000.0</v>
      </c>
      <c r="V68" s="26">
        <f t="shared" si="1"/>
        <v>90</v>
      </c>
      <c r="W68" s="30" t="s">
        <v>36</v>
      </c>
      <c r="X68" s="13"/>
      <c r="Y68" s="29" t="s">
        <v>496</v>
      </c>
    </row>
    <row r="69" hidden="1">
      <c r="A69" s="8">
        <v>67.0</v>
      </c>
      <c r="B69" s="34">
        <v>45997.0</v>
      </c>
      <c r="C69" s="28" t="s">
        <v>497</v>
      </c>
      <c r="D69" s="29" t="s">
        <v>498</v>
      </c>
      <c r="E69" s="28" t="s">
        <v>63</v>
      </c>
      <c r="F69" s="29" t="s">
        <v>64</v>
      </c>
      <c r="G69" s="29" t="s">
        <v>499</v>
      </c>
      <c r="H69" s="30">
        <v>9.825227145E9</v>
      </c>
      <c r="I69" s="35"/>
      <c r="J69" s="28">
        <v>236.0</v>
      </c>
      <c r="K69" s="31">
        <v>46301.0</v>
      </c>
      <c r="L69" s="28" t="s">
        <v>55</v>
      </c>
      <c r="M69" s="53" t="s">
        <v>33</v>
      </c>
      <c r="N69" s="28" t="s">
        <v>209</v>
      </c>
      <c r="O69" s="28" t="s">
        <v>35</v>
      </c>
      <c r="P69" s="32">
        <v>46727.0</v>
      </c>
      <c r="Q69" s="32">
        <v>46362.0</v>
      </c>
      <c r="R69" s="30" t="s">
        <v>25</v>
      </c>
      <c r="S69" s="29">
        <v>6355.0</v>
      </c>
      <c r="T69" s="29">
        <v>7499.0</v>
      </c>
      <c r="U69" s="33">
        <v>6500.0</v>
      </c>
      <c r="V69" s="26">
        <f t="shared" si="1"/>
        <v>999</v>
      </c>
      <c r="W69" s="30" t="s">
        <v>36</v>
      </c>
      <c r="X69" s="13"/>
      <c r="Y69" s="29" t="s">
        <v>500</v>
      </c>
    </row>
    <row r="70" hidden="1">
      <c r="A70" s="23">
        <v>68.0</v>
      </c>
      <c r="B70" s="34">
        <v>45997.0</v>
      </c>
      <c r="C70" s="28" t="s">
        <v>501</v>
      </c>
      <c r="D70" s="29" t="s">
        <v>502</v>
      </c>
      <c r="E70" s="28" t="s">
        <v>28</v>
      </c>
      <c r="F70" s="29" t="s">
        <v>503</v>
      </c>
      <c r="G70" s="29" t="s">
        <v>504</v>
      </c>
      <c r="H70" s="30">
        <v>8.735047E9</v>
      </c>
      <c r="I70" s="30" t="s">
        <v>505</v>
      </c>
      <c r="J70" s="28">
        <v>2750.0</v>
      </c>
      <c r="K70" s="31">
        <v>46332.0</v>
      </c>
      <c r="L70" s="28" t="s">
        <v>506</v>
      </c>
      <c r="M70" s="53" t="s">
        <v>33</v>
      </c>
      <c r="N70" s="28" t="s">
        <v>209</v>
      </c>
      <c r="O70" s="28" t="s">
        <v>47</v>
      </c>
      <c r="P70" s="30" t="s">
        <v>304</v>
      </c>
      <c r="Q70" s="35"/>
      <c r="R70" s="30" t="s">
        <v>507</v>
      </c>
      <c r="S70" s="29">
        <v>17133.0</v>
      </c>
      <c r="T70" s="29">
        <v>19255.0</v>
      </c>
      <c r="U70" s="33">
        <v>15500.0</v>
      </c>
      <c r="V70" s="26">
        <f t="shared" si="1"/>
        <v>3755</v>
      </c>
      <c r="W70" s="30" t="s">
        <v>36</v>
      </c>
      <c r="X70" s="13"/>
      <c r="Y70" s="29" t="s">
        <v>508</v>
      </c>
    </row>
    <row r="71" hidden="1">
      <c r="A71" s="8">
        <v>69.0</v>
      </c>
      <c r="B71" s="34">
        <v>45997.0</v>
      </c>
      <c r="C71" s="28" t="s">
        <v>509</v>
      </c>
      <c r="D71" s="29" t="s">
        <v>510</v>
      </c>
      <c r="E71" s="28" t="s">
        <v>122</v>
      </c>
      <c r="F71" s="29" t="s">
        <v>511</v>
      </c>
      <c r="G71" s="29" t="s">
        <v>512</v>
      </c>
      <c r="H71" s="30">
        <v>9.879498738E9</v>
      </c>
      <c r="I71" s="35"/>
      <c r="J71" s="28">
        <v>350.0</v>
      </c>
      <c r="K71" s="39">
        <v>46362.0</v>
      </c>
      <c r="L71" s="28" t="s">
        <v>44</v>
      </c>
      <c r="M71" s="53" t="s">
        <v>45</v>
      </c>
      <c r="N71" s="28" t="s">
        <v>34</v>
      </c>
      <c r="O71" s="28" t="s">
        <v>47</v>
      </c>
      <c r="P71" s="30" t="s">
        <v>513</v>
      </c>
      <c r="Q71" s="30" t="s">
        <v>25</v>
      </c>
      <c r="R71" s="30" t="s">
        <v>25</v>
      </c>
      <c r="S71" s="29">
        <v>1366.0</v>
      </c>
      <c r="T71" s="29">
        <v>1612.0</v>
      </c>
      <c r="U71" s="33">
        <v>1600.0</v>
      </c>
      <c r="V71" s="26">
        <f t="shared" si="1"/>
        <v>12</v>
      </c>
      <c r="W71" s="30" t="s">
        <v>36</v>
      </c>
      <c r="X71" s="13"/>
      <c r="Y71" s="29" t="s">
        <v>514</v>
      </c>
    </row>
    <row r="72" hidden="1">
      <c r="A72" s="8">
        <v>70.0</v>
      </c>
      <c r="B72" s="34">
        <v>45997.0</v>
      </c>
      <c r="C72" s="28" t="s">
        <v>515</v>
      </c>
      <c r="D72" s="29" t="s">
        <v>516</v>
      </c>
      <c r="E72" s="28" t="s">
        <v>517</v>
      </c>
      <c r="F72" s="29" t="s">
        <v>518</v>
      </c>
      <c r="G72" s="29" t="s">
        <v>519</v>
      </c>
      <c r="H72" s="30">
        <v>8.980805252E9</v>
      </c>
      <c r="I72" s="35"/>
      <c r="J72" s="28">
        <v>0.0</v>
      </c>
      <c r="K72" s="31">
        <v>46332.0</v>
      </c>
      <c r="L72" s="28" t="s">
        <v>428</v>
      </c>
      <c r="M72" s="53" t="s">
        <v>45</v>
      </c>
      <c r="N72" s="28" t="s">
        <v>209</v>
      </c>
      <c r="O72" s="28" t="s">
        <v>35</v>
      </c>
      <c r="P72" s="30" t="s">
        <v>520</v>
      </c>
      <c r="Q72" s="30" t="s">
        <v>521</v>
      </c>
      <c r="R72" s="35"/>
      <c r="S72" s="36">
        <v>7317.0</v>
      </c>
      <c r="T72" s="36">
        <v>8634.0</v>
      </c>
      <c r="U72" s="33">
        <v>8500.0</v>
      </c>
      <c r="V72" s="20">
        <f t="shared" si="1"/>
        <v>134</v>
      </c>
      <c r="W72" s="30" t="s">
        <v>327</v>
      </c>
      <c r="X72" s="14" t="s">
        <v>226</v>
      </c>
      <c r="Y72" s="29" t="s">
        <v>522</v>
      </c>
    </row>
    <row r="73" hidden="1">
      <c r="A73" s="23">
        <v>71.0</v>
      </c>
      <c r="B73" s="64" t="s">
        <v>523</v>
      </c>
      <c r="C73" s="28" t="s">
        <v>524</v>
      </c>
      <c r="D73" s="29" t="s">
        <v>525</v>
      </c>
      <c r="E73" s="28" t="s">
        <v>28</v>
      </c>
      <c r="F73" s="29" t="s">
        <v>526</v>
      </c>
      <c r="G73" s="29" t="s">
        <v>527</v>
      </c>
      <c r="H73" s="30">
        <v>9.265378868E9</v>
      </c>
      <c r="I73" s="35"/>
      <c r="J73" s="28">
        <v>3425.0</v>
      </c>
      <c r="K73" s="31">
        <v>46332.0</v>
      </c>
      <c r="L73" s="28" t="s">
        <v>32</v>
      </c>
      <c r="M73" s="53" t="s">
        <v>33</v>
      </c>
      <c r="N73" s="28" t="s">
        <v>209</v>
      </c>
      <c r="O73" s="28" t="s">
        <v>35</v>
      </c>
      <c r="P73" s="32">
        <v>46029.0</v>
      </c>
      <c r="Q73" s="30" t="s">
        <v>528</v>
      </c>
      <c r="R73" s="30" t="s">
        <v>341</v>
      </c>
      <c r="S73" s="36">
        <v>21035.0</v>
      </c>
      <c r="T73" s="36">
        <v>23852.0</v>
      </c>
      <c r="U73" s="33">
        <v>17500.0</v>
      </c>
      <c r="V73" s="20">
        <f t="shared" si="1"/>
        <v>6352</v>
      </c>
      <c r="W73" s="30" t="s">
        <v>36</v>
      </c>
      <c r="X73" s="14" t="s">
        <v>37</v>
      </c>
      <c r="Y73" s="29" t="s">
        <v>529</v>
      </c>
    </row>
    <row r="74" hidden="1">
      <c r="A74" s="8">
        <v>72.0</v>
      </c>
      <c r="B74" s="64" t="s">
        <v>523</v>
      </c>
      <c r="C74" s="28" t="s">
        <v>530</v>
      </c>
      <c r="D74" s="29" t="s">
        <v>531</v>
      </c>
      <c r="E74" s="28" t="s">
        <v>63</v>
      </c>
      <c r="F74" s="29" t="s">
        <v>64</v>
      </c>
      <c r="G74" s="29" t="s">
        <v>532</v>
      </c>
      <c r="H74" s="30">
        <v>6.354311749E9</v>
      </c>
      <c r="I74" s="30">
        <v>9.106730012E9</v>
      </c>
      <c r="J74" s="28">
        <v>236.0</v>
      </c>
      <c r="K74" s="62" t="s">
        <v>533</v>
      </c>
      <c r="L74" s="28" t="s">
        <v>55</v>
      </c>
      <c r="M74" s="53" t="s">
        <v>33</v>
      </c>
      <c r="N74" s="28" t="s">
        <v>73</v>
      </c>
      <c r="O74" s="28" t="s">
        <v>35</v>
      </c>
      <c r="P74" s="30" t="s">
        <v>534</v>
      </c>
      <c r="Q74" s="30" t="s">
        <v>535</v>
      </c>
      <c r="R74" s="30" t="s">
        <v>25</v>
      </c>
      <c r="S74" s="29">
        <v>6375.0</v>
      </c>
      <c r="T74" s="29">
        <v>7523.0</v>
      </c>
      <c r="U74" s="33">
        <v>6300.0</v>
      </c>
      <c r="V74" s="26">
        <f t="shared" si="1"/>
        <v>1223</v>
      </c>
      <c r="W74" s="30" t="s">
        <v>36</v>
      </c>
      <c r="X74" s="14" t="s">
        <v>37</v>
      </c>
      <c r="Y74" s="29" t="s">
        <v>536</v>
      </c>
    </row>
    <row r="75" hidden="1">
      <c r="A75" s="8">
        <v>73.0</v>
      </c>
      <c r="B75" s="64" t="s">
        <v>523</v>
      </c>
      <c r="C75" s="28" t="s">
        <v>537</v>
      </c>
      <c r="D75" s="29" t="s">
        <v>538</v>
      </c>
      <c r="E75" s="28" t="s">
        <v>63</v>
      </c>
      <c r="F75" s="29" t="s">
        <v>64</v>
      </c>
      <c r="G75" s="29" t="s">
        <v>539</v>
      </c>
      <c r="H75" s="30">
        <v>6.353521968E9</v>
      </c>
      <c r="I75" s="30">
        <v>6.35500799E9</v>
      </c>
      <c r="J75" s="28">
        <v>236.0</v>
      </c>
      <c r="K75" s="31">
        <v>46332.0</v>
      </c>
      <c r="L75" s="28" t="s">
        <v>55</v>
      </c>
      <c r="M75" s="53" t="s">
        <v>33</v>
      </c>
      <c r="N75" s="28" t="s">
        <v>140</v>
      </c>
      <c r="O75" s="28" t="s">
        <v>35</v>
      </c>
      <c r="P75" s="32">
        <v>46332.0</v>
      </c>
      <c r="Q75" s="30" t="s">
        <v>540</v>
      </c>
      <c r="R75" s="30" t="s">
        <v>541</v>
      </c>
      <c r="S75" s="29">
        <v>6448.0</v>
      </c>
      <c r="T75" s="29">
        <v>7609.0</v>
      </c>
      <c r="U75" s="33">
        <v>6200.0</v>
      </c>
      <c r="V75" s="26">
        <f t="shared" si="1"/>
        <v>1409</v>
      </c>
      <c r="W75" s="30" t="s">
        <v>36</v>
      </c>
      <c r="X75" s="14" t="s">
        <v>37</v>
      </c>
      <c r="Y75" s="29" t="s">
        <v>542</v>
      </c>
    </row>
    <row r="76" hidden="1">
      <c r="A76" s="23">
        <v>74.0</v>
      </c>
      <c r="B76" s="64" t="s">
        <v>523</v>
      </c>
      <c r="C76" s="28" t="s">
        <v>543</v>
      </c>
      <c r="D76" s="29" t="s">
        <v>544</v>
      </c>
      <c r="E76" s="28" t="s">
        <v>545</v>
      </c>
      <c r="F76" s="29" t="s">
        <v>546</v>
      </c>
      <c r="G76" s="29" t="s">
        <v>547</v>
      </c>
      <c r="H76" s="30">
        <v>9.638204711E9</v>
      </c>
      <c r="I76" s="35"/>
      <c r="J76" s="28">
        <v>1196.0</v>
      </c>
      <c r="K76" s="31">
        <v>46362.0</v>
      </c>
      <c r="L76" s="28" t="s">
        <v>55</v>
      </c>
      <c r="M76" s="53" t="s">
        <v>33</v>
      </c>
      <c r="N76" s="28" t="s">
        <v>34</v>
      </c>
      <c r="O76" s="28" t="s">
        <v>35</v>
      </c>
      <c r="P76" s="32">
        <v>46544.0</v>
      </c>
      <c r="Q76" s="30" t="s">
        <v>548</v>
      </c>
      <c r="R76" s="30" t="s">
        <v>549</v>
      </c>
      <c r="S76" s="29">
        <v>14627.0</v>
      </c>
      <c r="T76" s="29">
        <v>17260.0</v>
      </c>
      <c r="U76" s="33">
        <v>17200.0</v>
      </c>
      <c r="V76" s="26">
        <f t="shared" si="1"/>
        <v>60</v>
      </c>
      <c r="W76" s="30" t="s">
        <v>36</v>
      </c>
      <c r="X76" s="14" t="s">
        <v>37</v>
      </c>
      <c r="Y76" s="29" t="s">
        <v>550</v>
      </c>
    </row>
    <row r="77" hidden="1">
      <c r="A77" s="8">
        <v>75.0</v>
      </c>
      <c r="B77" s="64" t="s">
        <v>523</v>
      </c>
      <c r="C77" s="28" t="s">
        <v>551</v>
      </c>
      <c r="D77" s="29" t="s">
        <v>552</v>
      </c>
      <c r="E77" s="28" t="s">
        <v>157</v>
      </c>
      <c r="F77" s="29" t="s">
        <v>553</v>
      </c>
      <c r="G77" s="29" t="s">
        <v>554</v>
      </c>
      <c r="H77" s="30">
        <v>9.825920576E9</v>
      </c>
      <c r="I77" s="35"/>
      <c r="J77" s="28">
        <v>1968.0</v>
      </c>
      <c r="K77" s="31">
        <v>46362.0</v>
      </c>
      <c r="L77" s="28" t="s">
        <v>193</v>
      </c>
      <c r="M77" s="53" t="s">
        <v>45</v>
      </c>
      <c r="N77" s="28" t="s">
        <v>209</v>
      </c>
      <c r="O77" s="28" t="s">
        <v>35</v>
      </c>
      <c r="P77" s="30" t="s">
        <v>555</v>
      </c>
      <c r="Q77" s="32">
        <v>46362.0</v>
      </c>
      <c r="R77" s="30" t="s">
        <v>25</v>
      </c>
      <c r="S77" s="29">
        <v>8522.0</v>
      </c>
      <c r="T77" s="29">
        <v>10056.0</v>
      </c>
      <c r="U77" s="33">
        <v>10200.0</v>
      </c>
      <c r="V77" s="26">
        <f t="shared" si="1"/>
        <v>-144</v>
      </c>
      <c r="W77" s="30" t="s">
        <v>36</v>
      </c>
      <c r="X77" s="14" t="s">
        <v>37</v>
      </c>
      <c r="Y77" s="29" t="s">
        <v>556</v>
      </c>
    </row>
    <row r="78" hidden="1">
      <c r="A78" s="8">
        <v>76.0</v>
      </c>
      <c r="B78" s="64" t="s">
        <v>523</v>
      </c>
      <c r="C78" s="28" t="s">
        <v>557</v>
      </c>
      <c r="D78" s="29" t="s">
        <v>558</v>
      </c>
      <c r="E78" s="28" t="s">
        <v>28</v>
      </c>
      <c r="F78" s="29" t="s">
        <v>559</v>
      </c>
      <c r="G78" s="29" t="s">
        <v>560</v>
      </c>
      <c r="H78" s="30">
        <v>9.879316515E9</v>
      </c>
      <c r="I78" s="30">
        <v>7.574081435E9</v>
      </c>
      <c r="J78" s="28">
        <v>2620.0</v>
      </c>
      <c r="K78" s="31">
        <v>46332.0</v>
      </c>
      <c r="L78" s="28" t="s">
        <v>55</v>
      </c>
      <c r="M78" s="53" t="s">
        <v>33</v>
      </c>
      <c r="N78" s="28" t="s">
        <v>97</v>
      </c>
      <c r="O78" s="28" t="s">
        <v>35</v>
      </c>
      <c r="P78" s="30" t="s">
        <v>561</v>
      </c>
      <c r="Q78" s="30" t="s">
        <v>25</v>
      </c>
      <c r="R78" s="30" t="s">
        <v>25</v>
      </c>
      <c r="S78" s="29">
        <v>18900.0</v>
      </c>
      <c r="T78" s="29">
        <v>21340.0</v>
      </c>
      <c r="U78" s="33">
        <v>15500.0</v>
      </c>
      <c r="V78" s="26">
        <f t="shared" si="1"/>
        <v>5840</v>
      </c>
      <c r="W78" s="30" t="s">
        <v>36</v>
      </c>
      <c r="X78" s="14" t="s">
        <v>37</v>
      </c>
      <c r="Y78" s="29" t="s">
        <v>562</v>
      </c>
    </row>
    <row r="79" hidden="1">
      <c r="A79" s="23">
        <v>77.0</v>
      </c>
      <c r="B79" s="64" t="s">
        <v>523</v>
      </c>
      <c r="C79" s="28" t="s">
        <v>563</v>
      </c>
      <c r="D79" s="29" t="s">
        <v>564</v>
      </c>
      <c r="E79" s="65" t="s">
        <v>190</v>
      </c>
      <c r="F79" s="29" t="s">
        <v>191</v>
      </c>
      <c r="G79" s="29" t="s">
        <v>565</v>
      </c>
      <c r="H79" s="30">
        <v>9.662264598E9</v>
      </c>
      <c r="I79" s="35"/>
      <c r="J79" s="28">
        <v>995.0</v>
      </c>
      <c r="K79" s="31">
        <v>46362.0</v>
      </c>
      <c r="L79" s="28" t="s">
        <v>193</v>
      </c>
      <c r="M79" s="53" t="s">
        <v>33</v>
      </c>
      <c r="N79" s="28" t="s">
        <v>209</v>
      </c>
      <c r="O79" s="28" t="s">
        <v>35</v>
      </c>
      <c r="P79" s="30" t="s">
        <v>566</v>
      </c>
      <c r="Q79" s="32">
        <v>45660.0</v>
      </c>
      <c r="R79" s="30" t="s">
        <v>25</v>
      </c>
      <c r="S79" s="36">
        <v>5592.15</v>
      </c>
      <c r="T79" s="36">
        <v>6329.0</v>
      </c>
      <c r="U79" s="33">
        <v>5500.0</v>
      </c>
      <c r="V79" s="20">
        <f t="shared" si="1"/>
        <v>829</v>
      </c>
      <c r="W79" s="30" t="s">
        <v>36</v>
      </c>
      <c r="X79" s="14" t="s">
        <v>37</v>
      </c>
      <c r="Y79" s="29" t="s">
        <v>567</v>
      </c>
    </row>
    <row r="80" hidden="1">
      <c r="A80" s="8">
        <v>78.0</v>
      </c>
      <c r="B80" s="64" t="s">
        <v>523</v>
      </c>
      <c r="C80" s="28" t="s">
        <v>568</v>
      </c>
      <c r="D80" s="29" t="s">
        <v>569</v>
      </c>
      <c r="E80" s="28" t="s">
        <v>92</v>
      </c>
      <c r="F80" s="29" t="s">
        <v>464</v>
      </c>
      <c r="G80" s="29" t="s">
        <v>570</v>
      </c>
      <c r="H80" s="30">
        <v>9.879354607E9</v>
      </c>
      <c r="I80" s="30">
        <v>9.904626126E9</v>
      </c>
      <c r="J80" s="28">
        <v>17750.0</v>
      </c>
      <c r="K80" s="31">
        <v>46362.0</v>
      </c>
      <c r="L80" s="28" t="s">
        <v>55</v>
      </c>
      <c r="M80" s="53" t="s">
        <v>33</v>
      </c>
      <c r="N80" s="28" t="s">
        <v>152</v>
      </c>
      <c r="O80" s="28" t="s">
        <v>35</v>
      </c>
      <c r="P80" s="30" t="s">
        <v>134</v>
      </c>
      <c r="Q80" s="32">
        <v>46084.0</v>
      </c>
      <c r="R80" s="30" t="s">
        <v>571</v>
      </c>
      <c r="S80" s="29">
        <v>48770.0</v>
      </c>
      <c r="T80" s="29">
        <v>55430.0</v>
      </c>
      <c r="U80" s="33">
        <v>48000.0</v>
      </c>
      <c r="V80" s="26">
        <f t="shared" si="1"/>
        <v>7430</v>
      </c>
      <c r="W80" s="30" t="s">
        <v>36</v>
      </c>
      <c r="X80" s="14" t="s">
        <v>37</v>
      </c>
      <c r="Y80" s="29" t="s">
        <v>572</v>
      </c>
    </row>
    <row r="81" hidden="1">
      <c r="A81" s="8">
        <v>79.0</v>
      </c>
      <c r="B81" s="64" t="s">
        <v>523</v>
      </c>
      <c r="C81" s="28" t="s">
        <v>218</v>
      </c>
      <c r="D81" s="29" t="s">
        <v>573</v>
      </c>
      <c r="E81" s="28" t="s">
        <v>92</v>
      </c>
      <c r="F81" s="29" t="s">
        <v>574</v>
      </c>
      <c r="G81" s="29" t="s">
        <v>575</v>
      </c>
      <c r="H81" s="30">
        <v>6.352100183E9</v>
      </c>
      <c r="I81" s="35"/>
      <c r="J81" s="28">
        <v>25000.0</v>
      </c>
      <c r="K81" s="31">
        <v>46332.0</v>
      </c>
      <c r="L81" s="28" t="s">
        <v>55</v>
      </c>
      <c r="M81" s="53" t="s">
        <v>33</v>
      </c>
      <c r="N81" s="28" t="s">
        <v>34</v>
      </c>
      <c r="O81" s="28" t="s">
        <v>35</v>
      </c>
      <c r="P81" s="30" t="s">
        <v>223</v>
      </c>
      <c r="Q81" s="30" t="s">
        <v>224</v>
      </c>
      <c r="R81" s="30" t="s">
        <v>225</v>
      </c>
      <c r="S81" s="29">
        <v>46962.0</v>
      </c>
      <c r="T81" s="29">
        <v>52778.0</v>
      </c>
      <c r="U81" s="33">
        <v>46000.0</v>
      </c>
      <c r="V81" s="26">
        <f t="shared" si="1"/>
        <v>6778</v>
      </c>
      <c r="W81" s="30" t="s">
        <v>36</v>
      </c>
      <c r="X81" s="14" t="s">
        <v>226</v>
      </c>
      <c r="Y81" s="29" t="s">
        <v>576</v>
      </c>
    </row>
    <row r="82" hidden="1">
      <c r="A82" s="61">
        <v>80.0</v>
      </c>
      <c r="B82" s="64" t="s">
        <v>523</v>
      </c>
      <c r="C82" s="28" t="s">
        <v>577</v>
      </c>
      <c r="D82" s="29" t="s">
        <v>578</v>
      </c>
      <c r="E82" s="28" t="s">
        <v>92</v>
      </c>
      <c r="F82" s="29" t="s">
        <v>579</v>
      </c>
      <c r="G82" s="29" t="s">
        <v>580</v>
      </c>
      <c r="H82" s="30" t="s">
        <v>581</v>
      </c>
      <c r="I82" s="30">
        <v>9.727632562E9</v>
      </c>
      <c r="J82" s="28">
        <v>28000.0</v>
      </c>
      <c r="K82" s="31">
        <v>46362.0</v>
      </c>
      <c r="L82" s="28" t="s">
        <v>193</v>
      </c>
      <c r="M82" s="53" t="s">
        <v>33</v>
      </c>
      <c r="N82" s="28" t="s">
        <v>436</v>
      </c>
      <c r="O82" s="28" t="s">
        <v>35</v>
      </c>
      <c r="P82" s="30" t="s">
        <v>582</v>
      </c>
      <c r="Q82" s="41">
        <v>45973.0</v>
      </c>
      <c r="R82" s="30" t="s">
        <v>583</v>
      </c>
      <c r="S82" s="36">
        <v>46747.22</v>
      </c>
      <c r="T82" s="36">
        <v>52525.0</v>
      </c>
      <c r="U82" s="33">
        <v>44500.0</v>
      </c>
      <c r="V82" s="20">
        <f t="shared" si="1"/>
        <v>8025</v>
      </c>
      <c r="W82" s="30" t="s">
        <v>36</v>
      </c>
      <c r="X82" s="14" t="s">
        <v>37</v>
      </c>
      <c r="Y82" s="29" t="s">
        <v>584</v>
      </c>
    </row>
    <row r="83" hidden="1">
      <c r="A83" s="8">
        <v>81.0</v>
      </c>
      <c r="B83" s="64" t="s">
        <v>585</v>
      </c>
      <c r="C83" s="28" t="s">
        <v>586</v>
      </c>
      <c r="D83" s="29" t="s">
        <v>587</v>
      </c>
      <c r="E83" s="28" t="s">
        <v>92</v>
      </c>
      <c r="F83" s="29" t="s">
        <v>588</v>
      </c>
      <c r="G83" s="29" t="s">
        <v>589</v>
      </c>
      <c r="H83" s="30">
        <v>9.904815894E9</v>
      </c>
      <c r="I83" s="30">
        <v>9.57414678E9</v>
      </c>
      <c r="J83" s="28">
        <v>35000.0</v>
      </c>
      <c r="K83" s="62" t="s">
        <v>590</v>
      </c>
      <c r="L83" s="28" t="s">
        <v>55</v>
      </c>
      <c r="M83" s="53" t="s">
        <v>33</v>
      </c>
      <c r="N83" s="28" t="s">
        <v>73</v>
      </c>
      <c r="O83" s="28" t="s">
        <v>35</v>
      </c>
      <c r="P83" s="30" t="s">
        <v>185</v>
      </c>
      <c r="Q83" s="32">
        <v>46362.0</v>
      </c>
      <c r="R83" s="30" t="s">
        <v>591</v>
      </c>
      <c r="S83" s="29">
        <v>74822.0</v>
      </c>
      <c r="T83" s="29">
        <v>85653.0</v>
      </c>
      <c r="U83" s="33">
        <v>71500.0</v>
      </c>
      <c r="V83" s="26">
        <f t="shared" si="1"/>
        <v>14153</v>
      </c>
      <c r="W83" s="30" t="s">
        <v>36</v>
      </c>
      <c r="X83" s="14" t="s">
        <v>216</v>
      </c>
      <c r="Y83" s="29" t="s">
        <v>592</v>
      </c>
    </row>
    <row r="84" hidden="1">
      <c r="A84" s="8">
        <v>82.0</v>
      </c>
      <c r="B84" s="64" t="s">
        <v>585</v>
      </c>
      <c r="C84" s="28" t="s">
        <v>593</v>
      </c>
      <c r="D84" s="29" t="s">
        <v>594</v>
      </c>
      <c r="E84" s="28" t="s">
        <v>28</v>
      </c>
      <c r="F84" s="29" t="s">
        <v>595</v>
      </c>
      <c r="G84" s="29" t="s">
        <v>596</v>
      </c>
      <c r="H84" s="30">
        <v>8.999977877E9</v>
      </c>
      <c r="I84" s="35"/>
      <c r="J84" s="28">
        <v>3490.0</v>
      </c>
      <c r="K84" s="62" t="s">
        <v>590</v>
      </c>
      <c r="L84" s="28" t="s">
        <v>428</v>
      </c>
      <c r="M84" s="53" t="s">
        <v>33</v>
      </c>
      <c r="N84" s="28" t="s">
        <v>34</v>
      </c>
      <c r="O84" s="28" t="s">
        <v>35</v>
      </c>
      <c r="P84" s="30" t="s">
        <v>597</v>
      </c>
      <c r="Q84" s="32">
        <v>45999.0</v>
      </c>
      <c r="R84" s="30" t="s">
        <v>598</v>
      </c>
      <c r="S84" s="36">
        <v>21531.0</v>
      </c>
      <c r="T84" s="36">
        <v>24444.0</v>
      </c>
      <c r="U84" s="33">
        <v>18000.0</v>
      </c>
      <c r="V84" s="20">
        <f t="shared" si="1"/>
        <v>6444</v>
      </c>
      <c r="W84" s="30" t="s">
        <v>327</v>
      </c>
      <c r="X84" s="14" t="s">
        <v>173</v>
      </c>
      <c r="Y84" s="29" t="s">
        <v>599</v>
      </c>
    </row>
    <row r="85" hidden="1">
      <c r="A85" s="23">
        <v>83.0</v>
      </c>
      <c r="B85" s="64" t="s">
        <v>585</v>
      </c>
      <c r="C85" s="28" t="s">
        <v>600</v>
      </c>
      <c r="D85" s="29" t="s">
        <v>601</v>
      </c>
      <c r="E85" s="28" t="s">
        <v>92</v>
      </c>
      <c r="F85" s="29" t="s">
        <v>602</v>
      </c>
      <c r="G85" s="29" t="s">
        <v>603</v>
      </c>
      <c r="H85" s="30">
        <v>6.353806324E9</v>
      </c>
      <c r="I85" s="35"/>
      <c r="J85" s="28">
        <v>11990.0</v>
      </c>
      <c r="K85" s="62" t="s">
        <v>590</v>
      </c>
      <c r="L85" s="28" t="s">
        <v>55</v>
      </c>
      <c r="M85" s="53" t="s">
        <v>33</v>
      </c>
      <c r="N85" s="28" t="s">
        <v>140</v>
      </c>
      <c r="O85" s="28" t="s">
        <v>35</v>
      </c>
      <c r="P85" s="30" t="s">
        <v>534</v>
      </c>
      <c r="Q85" s="30" t="s">
        <v>604</v>
      </c>
      <c r="R85" s="30" t="s">
        <v>605</v>
      </c>
      <c r="S85" s="29">
        <v>39424.0</v>
      </c>
      <c r="T85" s="29">
        <v>44889.0</v>
      </c>
      <c r="U85" s="33">
        <v>40229.0</v>
      </c>
      <c r="V85" s="26">
        <f t="shared" si="1"/>
        <v>4660</v>
      </c>
      <c r="W85" s="30" t="s">
        <v>36</v>
      </c>
      <c r="X85" s="14" t="s">
        <v>606</v>
      </c>
      <c r="Y85" s="29" t="s">
        <v>607</v>
      </c>
    </row>
    <row r="86" hidden="1">
      <c r="A86" s="8">
        <v>84.0</v>
      </c>
      <c r="B86" s="64" t="s">
        <v>585</v>
      </c>
      <c r="C86" s="28" t="s">
        <v>608</v>
      </c>
      <c r="D86" s="29" t="s">
        <v>609</v>
      </c>
      <c r="E86" s="28" t="s">
        <v>92</v>
      </c>
      <c r="F86" s="29" t="s">
        <v>610</v>
      </c>
      <c r="G86" s="29" t="s">
        <v>611</v>
      </c>
      <c r="H86" s="30">
        <v>9.510544813E9</v>
      </c>
      <c r="I86" s="30">
        <v>6.351125337E9</v>
      </c>
      <c r="J86" s="28">
        <v>3895.0</v>
      </c>
      <c r="K86" s="62" t="s">
        <v>590</v>
      </c>
      <c r="L86" s="28" t="s">
        <v>428</v>
      </c>
      <c r="M86" s="53" t="s">
        <v>33</v>
      </c>
      <c r="N86" s="28" t="s">
        <v>46</v>
      </c>
      <c r="O86" s="28" t="s">
        <v>35</v>
      </c>
      <c r="P86" s="30" t="s">
        <v>306</v>
      </c>
      <c r="Q86" s="30" t="s">
        <v>604</v>
      </c>
      <c r="R86" s="30" t="s">
        <v>541</v>
      </c>
      <c r="S86" s="36">
        <v>22811.0</v>
      </c>
      <c r="T86" s="36">
        <v>25954.0</v>
      </c>
      <c r="U86" s="33">
        <v>21000.0</v>
      </c>
      <c r="V86" s="20">
        <f t="shared" si="1"/>
        <v>4954</v>
      </c>
      <c r="W86" s="30" t="s">
        <v>327</v>
      </c>
      <c r="X86" s="14" t="s">
        <v>49</v>
      </c>
      <c r="Y86" s="29" t="s">
        <v>612</v>
      </c>
    </row>
    <row r="87" hidden="1">
      <c r="A87" s="8">
        <v>85.0</v>
      </c>
      <c r="B87" s="64" t="s">
        <v>585</v>
      </c>
      <c r="C87" s="28" t="s">
        <v>613</v>
      </c>
      <c r="D87" s="66">
        <v>6.104480822E9</v>
      </c>
      <c r="E87" s="28" t="s">
        <v>122</v>
      </c>
      <c r="F87" s="29" t="s">
        <v>123</v>
      </c>
      <c r="G87" s="29" t="s">
        <v>614</v>
      </c>
      <c r="H87" s="30" t="s">
        <v>615</v>
      </c>
      <c r="I87" s="35"/>
      <c r="J87" s="28">
        <v>110.0</v>
      </c>
      <c r="K87" s="62" t="s">
        <v>616</v>
      </c>
      <c r="L87" s="28" t="s">
        <v>506</v>
      </c>
      <c r="M87" s="53" t="s">
        <v>33</v>
      </c>
      <c r="N87" s="28" t="s">
        <v>34</v>
      </c>
      <c r="O87" s="28" t="s">
        <v>47</v>
      </c>
      <c r="P87" s="30" t="s">
        <v>617</v>
      </c>
      <c r="Q87" s="30" t="s">
        <v>618</v>
      </c>
      <c r="R87" s="30" t="s">
        <v>25</v>
      </c>
      <c r="S87" s="29">
        <v>804.0</v>
      </c>
      <c r="T87" s="29">
        <v>948.0</v>
      </c>
      <c r="U87" s="33">
        <v>950.0</v>
      </c>
      <c r="V87" s="26">
        <f t="shared" si="1"/>
        <v>-2</v>
      </c>
      <c r="W87" s="30" t="s">
        <v>36</v>
      </c>
      <c r="X87" s="13"/>
      <c r="Y87" s="29" t="s">
        <v>619</v>
      </c>
    </row>
    <row r="88" hidden="1">
      <c r="A88" s="23">
        <v>86.0</v>
      </c>
      <c r="B88" s="64" t="s">
        <v>585</v>
      </c>
      <c r="C88" s="28" t="s">
        <v>620</v>
      </c>
      <c r="D88" s="29" t="s">
        <v>621</v>
      </c>
      <c r="E88" s="28" t="s">
        <v>28</v>
      </c>
      <c r="F88" s="29" t="s">
        <v>198</v>
      </c>
      <c r="G88" s="29" t="s">
        <v>622</v>
      </c>
      <c r="H88" s="30">
        <v>9.909967789E9</v>
      </c>
      <c r="I88" s="30">
        <v>8.849429083E9</v>
      </c>
      <c r="J88" s="28">
        <v>3460.0</v>
      </c>
      <c r="K88" s="62" t="s">
        <v>326</v>
      </c>
      <c r="L88" s="28" t="s">
        <v>32</v>
      </c>
      <c r="M88" s="53" t="s">
        <v>33</v>
      </c>
      <c r="N88" s="28" t="s">
        <v>140</v>
      </c>
      <c r="O88" s="28" t="s">
        <v>35</v>
      </c>
      <c r="P88" s="32">
        <v>45937.0</v>
      </c>
      <c r="Q88" s="30" t="s">
        <v>298</v>
      </c>
      <c r="R88" s="30" t="s">
        <v>623</v>
      </c>
      <c r="S88" s="36">
        <v>21317.0</v>
      </c>
      <c r="T88" s="36">
        <v>24185.0</v>
      </c>
      <c r="U88" s="33">
        <v>18700.0</v>
      </c>
      <c r="V88" s="20">
        <f t="shared" si="1"/>
        <v>5485</v>
      </c>
      <c r="W88" s="35"/>
      <c r="X88" s="14" t="s">
        <v>49</v>
      </c>
      <c r="Y88" s="29" t="s">
        <v>624</v>
      </c>
    </row>
    <row r="89" hidden="1">
      <c r="A89" s="8">
        <v>87.0</v>
      </c>
      <c r="B89" s="64" t="s">
        <v>585</v>
      </c>
      <c r="C89" s="28" t="s">
        <v>625</v>
      </c>
      <c r="D89" s="29">
        <v>9.008577E8</v>
      </c>
      <c r="E89" s="28" t="s">
        <v>157</v>
      </c>
      <c r="F89" s="29" t="s">
        <v>626</v>
      </c>
      <c r="G89" s="29" t="s">
        <v>627</v>
      </c>
      <c r="H89" s="30" t="s">
        <v>628</v>
      </c>
      <c r="I89" s="35"/>
      <c r="J89" s="28">
        <v>796.0</v>
      </c>
      <c r="K89" s="62" t="s">
        <v>590</v>
      </c>
      <c r="L89" s="28" t="s">
        <v>629</v>
      </c>
      <c r="M89" s="53" t="s">
        <v>33</v>
      </c>
      <c r="N89" s="28" t="s">
        <v>209</v>
      </c>
      <c r="O89" s="28" t="s">
        <v>360</v>
      </c>
      <c r="P89" s="32">
        <v>47825.0</v>
      </c>
      <c r="Q89" s="30" t="s">
        <v>630</v>
      </c>
      <c r="R89" s="30" t="s">
        <v>25</v>
      </c>
      <c r="S89" s="37">
        <v>4328.07</v>
      </c>
      <c r="T89" s="29">
        <v>5107.0</v>
      </c>
      <c r="U89" s="33">
        <v>7000.0</v>
      </c>
      <c r="V89" s="26">
        <f t="shared" si="1"/>
        <v>-1893</v>
      </c>
      <c r="W89" s="30" t="s">
        <v>36</v>
      </c>
      <c r="X89" s="14" t="s">
        <v>49</v>
      </c>
      <c r="Y89" s="29" t="s">
        <v>631</v>
      </c>
    </row>
    <row r="90" hidden="1">
      <c r="A90" s="8">
        <v>88.0</v>
      </c>
      <c r="B90" s="64" t="s">
        <v>632</v>
      </c>
      <c r="C90" s="28" t="s">
        <v>633</v>
      </c>
      <c r="D90" s="29" t="s">
        <v>634</v>
      </c>
      <c r="E90" s="28" t="s">
        <v>147</v>
      </c>
      <c r="F90" s="29" t="s">
        <v>635</v>
      </c>
      <c r="G90" s="29" t="s">
        <v>636</v>
      </c>
      <c r="H90" s="30">
        <v>9.586649497E9</v>
      </c>
      <c r="I90" s="30">
        <v>7.600845486E9</v>
      </c>
      <c r="J90" s="28">
        <v>0.0</v>
      </c>
      <c r="K90" s="62" t="s">
        <v>326</v>
      </c>
      <c r="L90" s="28" t="s">
        <v>428</v>
      </c>
      <c r="M90" s="53" t="s">
        <v>45</v>
      </c>
      <c r="N90" s="28" t="s">
        <v>97</v>
      </c>
      <c r="O90" s="28" t="s">
        <v>35</v>
      </c>
      <c r="P90" s="32">
        <v>45391.0</v>
      </c>
      <c r="Q90" s="30" t="s">
        <v>637</v>
      </c>
      <c r="R90" s="30" t="s">
        <v>25</v>
      </c>
      <c r="S90" s="36">
        <v>7317.0</v>
      </c>
      <c r="T90" s="36">
        <v>8634.0</v>
      </c>
      <c r="U90" s="33">
        <v>8500.0</v>
      </c>
      <c r="V90" s="20">
        <f t="shared" si="1"/>
        <v>134</v>
      </c>
      <c r="W90" s="30" t="s">
        <v>36</v>
      </c>
      <c r="X90" s="14" t="s">
        <v>49</v>
      </c>
      <c r="Y90" s="29" t="s">
        <v>638</v>
      </c>
    </row>
    <row r="91">
      <c r="A91" s="56">
        <v>89.0</v>
      </c>
      <c r="B91" s="67" t="s">
        <v>632</v>
      </c>
      <c r="C91" s="44" t="s">
        <v>639</v>
      </c>
      <c r="D91" s="44" t="s">
        <v>640</v>
      </c>
      <c r="E91" s="44" t="s">
        <v>92</v>
      </c>
      <c r="F91" s="44" t="s">
        <v>641</v>
      </c>
      <c r="G91" s="44" t="s">
        <v>642</v>
      </c>
      <c r="H91" s="46">
        <v>9.87999169E9</v>
      </c>
      <c r="I91" s="46">
        <v>7.096633649E9</v>
      </c>
      <c r="J91" s="44">
        <v>42000.0</v>
      </c>
      <c r="K91" s="57" t="s">
        <v>326</v>
      </c>
      <c r="L91" s="44" t="s">
        <v>222</v>
      </c>
      <c r="M91" s="49" t="s">
        <v>33</v>
      </c>
      <c r="N91" s="44" t="s">
        <v>152</v>
      </c>
      <c r="O91" s="44" t="s">
        <v>47</v>
      </c>
      <c r="P91" s="58">
        <v>45726.0</v>
      </c>
      <c r="Q91" s="58">
        <v>45881.0</v>
      </c>
      <c r="R91" s="46" t="s">
        <v>643</v>
      </c>
      <c r="S91" s="44">
        <v>48129.0</v>
      </c>
      <c r="T91" s="44">
        <v>54138.0</v>
      </c>
      <c r="U91" s="50">
        <v>47500.0</v>
      </c>
      <c r="V91" s="26">
        <f t="shared" si="1"/>
        <v>6638</v>
      </c>
      <c r="W91" s="46" t="s">
        <v>36</v>
      </c>
      <c r="X91" s="14" t="s">
        <v>49</v>
      </c>
      <c r="Y91" s="44" t="s">
        <v>644</v>
      </c>
      <c r="Z91" s="51"/>
      <c r="AA91" s="51"/>
      <c r="AB91" s="51"/>
      <c r="AC91" s="51"/>
      <c r="AD91" s="51"/>
      <c r="AE91" s="51"/>
      <c r="AF91" s="51"/>
      <c r="AG91" s="51"/>
      <c r="AH91" s="51"/>
      <c r="AI91" s="51"/>
    </row>
    <row r="92" hidden="1">
      <c r="A92" s="8">
        <v>90.0</v>
      </c>
      <c r="B92" s="64" t="s">
        <v>632</v>
      </c>
      <c r="C92" s="28" t="s">
        <v>645</v>
      </c>
      <c r="D92" s="29" t="s">
        <v>646</v>
      </c>
      <c r="E92" s="28" t="s">
        <v>92</v>
      </c>
      <c r="F92" s="29" t="s">
        <v>464</v>
      </c>
      <c r="G92" s="29" t="s">
        <v>647</v>
      </c>
      <c r="H92" s="30">
        <v>7.485903974E9</v>
      </c>
      <c r="I92" s="30">
        <v>8.866857044E9</v>
      </c>
      <c r="J92" s="28">
        <v>17750.0</v>
      </c>
      <c r="K92" s="62" t="s">
        <v>590</v>
      </c>
      <c r="L92" s="28" t="s">
        <v>55</v>
      </c>
      <c r="M92" s="53" t="s">
        <v>33</v>
      </c>
      <c r="N92" s="28" t="s">
        <v>209</v>
      </c>
      <c r="O92" s="28" t="s">
        <v>35</v>
      </c>
      <c r="P92" s="30" t="s">
        <v>455</v>
      </c>
      <c r="Q92" s="30" t="s">
        <v>648</v>
      </c>
      <c r="R92" s="30" t="s">
        <v>649</v>
      </c>
      <c r="S92" s="29">
        <v>49566.0</v>
      </c>
      <c r="T92" s="29">
        <v>56370.0</v>
      </c>
      <c r="U92" s="33">
        <v>48000.0</v>
      </c>
      <c r="V92" s="26">
        <f t="shared" si="1"/>
        <v>8370</v>
      </c>
      <c r="W92" s="30" t="s">
        <v>36</v>
      </c>
      <c r="X92" s="14" t="s">
        <v>650</v>
      </c>
      <c r="Y92" s="29" t="s">
        <v>651</v>
      </c>
    </row>
    <row r="93" hidden="1">
      <c r="A93" s="8">
        <v>91.0</v>
      </c>
      <c r="B93" s="64" t="s">
        <v>632</v>
      </c>
      <c r="C93" s="28" t="s">
        <v>652</v>
      </c>
      <c r="D93" s="29" t="s">
        <v>653</v>
      </c>
      <c r="E93" s="28" t="s">
        <v>28</v>
      </c>
      <c r="F93" s="29" t="s">
        <v>654</v>
      </c>
      <c r="G93" s="29" t="s">
        <v>655</v>
      </c>
      <c r="H93" s="30" t="s">
        <v>656</v>
      </c>
      <c r="I93" s="35"/>
      <c r="J93" s="28">
        <v>3225.0</v>
      </c>
      <c r="K93" s="62" t="s">
        <v>590</v>
      </c>
      <c r="L93" s="28" t="s">
        <v>193</v>
      </c>
      <c r="M93" s="53" t="s">
        <v>33</v>
      </c>
      <c r="N93" s="28" t="s">
        <v>34</v>
      </c>
      <c r="O93" s="28" t="s">
        <v>35</v>
      </c>
      <c r="P93" s="30" t="s">
        <v>657</v>
      </c>
      <c r="Q93" s="30" t="s">
        <v>658</v>
      </c>
      <c r="R93" s="30" t="s">
        <v>659</v>
      </c>
      <c r="S93" s="36">
        <v>16861.43</v>
      </c>
      <c r="T93" s="36">
        <v>18934.0</v>
      </c>
      <c r="U93" s="33">
        <v>14000.0</v>
      </c>
      <c r="V93" s="20">
        <f t="shared" si="1"/>
        <v>4934</v>
      </c>
      <c r="W93" s="30" t="s">
        <v>36</v>
      </c>
      <c r="X93" s="14" t="s">
        <v>37</v>
      </c>
      <c r="Y93" s="29" t="s">
        <v>660</v>
      </c>
    </row>
    <row r="94" hidden="1">
      <c r="A94" s="23">
        <v>92.0</v>
      </c>
      <c r="B94" s="64" t="s">
        <v>632</v>
      </c>
      <c r="C94" s="28" t="s">
        <v>661</v>
      </c>
      <c r="D94" s="29" t="s">
        <v>662</v>
      </c>
      <c r="E94" s="28" t="s">
        <v>92</v>
      </c>
      <c r="F94" s="29" t="s">
        <v>663</v>
      </c>
      <c r="G94" s="29" t="s">
        <v>664</v>
      </c>
      <c r="H94" s="30">
        <v>9.879457882E9</v>
      </c>
      <c r="I94" s="35"/>
      <c r="J94" s="28">
        <v>12990.0</v>
      </c>
      <c r="K94" s="62" t="s">
        <v>590</v>
      </c>
      <c r="L94" s="28" t="s">
        <v>193</v>
      </c>
      <c r="M94" s="53" t="s">
        <v>33</v>
      </c>
      <c r="N94" s="28" t="s">
        <v>209</v>
      </c>
      <c r="O94" s="28" t="s">
        <v>35</v>
      </c>
      <c r="P94" s="32">
        <v>46023.0</v>
      </c>
      <c r="Q94" s="32">
        <v>45664.0</v>
      </c>
      <c r="R94" s="32">
        <v>46700.0</v>
      </c>
      <c r="S94" s="36">
        <v>37019.02</v>
      </c>
      <c r="T94" s="36">
        <v>41564.0</v>
      </c>
      <c r="U94" s="33">
        <v>36500.0</v>
      </c>
      <c r="V94" s="20">
        <f t="shared" si="1"/>
        <v>5064</v>
      </c>
      <c r="W94" s="30" t="s">
        <v>36</v>
      </c>
      <c r="X94" s="14" t="s">
        <v>37</v>
      </c>
      <c r="Y94" s="29" t="s">
        <v>665</v>
      </c>
    </row>
    <row r="95" hidden="1">
      <c r="A95" s="8">
        <v>93.0</v>
      </c>
      <c r="B95" s="64" t="s">
        <v>666</v>
      </c>
      <c r="C95" s="28" t="s">
        <v>667</v>
      </c>
      <c r="D95" s="28" t="s">
        <v>668</v>
      </c>
      <c r="E95" s="28" t="s">
        <v>28</v>
      </c>
      <c r="F95" s="28" t="s">
        <v>669</v>
      </c>
      <c r="G95" s="28" t="s">
        <v>670</v>
      </c>
      <c r="H95" s="30">
        <v>9.265108847E9</v>
      </c>
      <c r="I95" s="35"/>
      <c r="J95" s="28">
        <v>2523.0</v>
      </c>
      <c r="K95" s="62" t="s">
        <v>671</v>
      </c>
      <c r="L95" s="28" t="s">
        <v>672</v>
      </c>
      <c r="M95" s="53" t="s">
        <v>33</v>
      </c>
      <c r="N95" s="28" t="s">
        <v>46</v>
      </c>
      <c r="O95" s="28" t="s">
        <v>47</v>
      </c>
      <c r="P95" s="32">
        <v>46694.0</v>
      </c>
      <c r="Q95" s="32">
        <v>46362.0</v>
      </c>
      <c r="R95" s="30" t="s">
        <v>25</v>
      </c>
      <c r="S95" s="28">
        <v>17727.0</v>
      </c>
      <c r="T95" s="28">
        <v>19955.0</v>
      </c>
      <c r="U95" s="33">
        <v>16500.0</v>
      </c>
      <c r="V95" s="26">
        <f t="shared" si="1"/>
        <v>3455</v>
      </c>
      <c r="W95" s="30" t="s">
        <v>36</v>
      </c>
      <c r="X95" s="14" t="s">
        <v>37</v>
      </c>
      <c r="Y95" s="28" t="s">
        <v>673</v>
      </c>
    </row>
    <row r="96" hidden="1">
      <c r="A96" s="8">
        <v>94.0</v>
      </c>
      <c r="B96" s="64" t="s">
        <v>666</v>
      </c>
      <c r="C96" s="28" t="s">
        <v>674</v>
      </c>
      <c r="D96" s="29" t="s">
        <v>675</v>
      </c>
      <c r="E96" s="28" t="s">
        <v>157</v>
      </c>
      <c r="F96" s="29" t="s">
        <v>676</v>
      </c>
      <c r="G96" s="29" t="s">
        <v>677</v>
      </c>
      <c r="H96" s="30" t="s">
        <v>678</v>
      </c>
      <c r="I96" s="35"/>
      <c r="J96" s="28">
        <v>1498.0</v>
      </c>
      <c r="K96" s="62" t="s">
        <v>616</v>
      </c>
      <c r="L96" s="28" t="s">
        <v>193</v>
      </c>
      <c r="M96" s="53" t="s">
        <v>33</v>
      </c>
      <c r="N96" s="28" t="s">
        <v>209</v>
      </c>
      <c r="O96" s="28" t="s">
        <v>35</v>
      </c>
      <c r="P96" s="32">
        <v>48982.0</v>
      </c>
      <c r="Q96" s="30" t="s">
        <v>679</v>
      </c>
      <c r="R96" s="30" t="s">
        <v>25</v>
      </c>
      <c r="S96" s="29">
        <v>22444.39</v>
      </c>
      <c r="T96" s="29">
        <v>26484.0</v>
      </c>
      <c r="U96" s="33">
        <v>26500.0</v>
      </c>
      <c r="V96" s="26">
        <f t="shared" si="1"/>
        <v>-16</v>
      </c>
      <c r="W96" s="30" t="s">
        <v>36</v>
      </c>
      <c r="X96" s="14" t="s">
        <v>37</v>
      </c>
      <c r="Y96" s="29" t="s">
        <v>680</v>
      </c>
    </row>
    <row r="97" hidden="1">
      <c r="A97" s="61">
        <v>95.0</v>
      </c>
      <c r="B97" s="64" t="s">
        <v>666</v>
      </c>
      <c r="C97" s="28" t="s">
        <v>681</v>
      </c>
      <c r="D97" s="29" t="s">
        <v>682</v>
      </c>
      <c r="E97" s="28" t="s">
        <v>122</v>
      </c>
      <c r="F97" s="29" t="s">
        <v>683</v>
      </c>
      <c r="G97" s="29" t="s">
        <v>684</v>
      </c>
      <c r="H97" s="30">
        <v>9.87941223E9</v>
      </c>
      <c r="I97" s="35"/>
      <c r="J97" s="28">
        <v>150.0</v>
      </c>
      <c r="K97" s="62" t="s">
        <v>533</v>
      </c>
      <c r="L97" s="28" t="s">
        <v>44</v>
      </c>
      <c r="M97" s="53" t="s">
        <v>45</v>
      </c>
      <c r="N97" s="28" t="s">
        <v>34</v>
      </c>
      <c r="O97" s="28" t="s">
        <v>360</v>
      </c>
      <c r="P97" s="30" t="s">
        <v>437</v>
      </c>
      <c r="Q97" s="30" t="s">
        <v>25</v>
      </c>
      <c r="R97" s="30" t="s">
        <v>25</v>
      </c>
      <c r="S97" s="29">
        <v>714.0</v>
      </c>
      <c r="T97" s="29">
        <v>843.0</v>
      </c>
      <c r="U97" s="33">
        <v>850.0</v>
      </c>
      <c r="V97" s="26">
        <f t="shared" si="1"/>
        <v>-7</v>
      </c>
      <c r="W97" s="30" t="s">
        <v>36</v>
      </c>
      <c r="X97" s="14" t="s">
        <v>37</v>
      </c>
      <c r="Y97" s="29" t="s">
        <v>685</v>
      </c>
    </row>
    <row r="98" hidden="1">
      <c r="A98" s="8">
        <v>96.0</v>
      </c>
      <c r="B98" s="64" t="s">
        <v>686</v>
      </c>
      <c r="C98" s="28" t="s">
        <v>687</v>
      </c>
      <c r="D98" s="29" t="s">
        <v>688</v>
      </c>
      <c r="E98" s="28" t="s">
        <v>63</v>
      </c>
      <c r="F98" s="29" t="s">
        <v>689</v>
      </c>
      <c r="G98" s="29" t="s">
        <v>690</v>
      </c>
      <c r="H98" s="30">
        <v>9.327935093E9</v>
      </c>
      <c r="I98" s="35"/>
      <c r="J98" s="28">
        <v>198.0</v>
      </c>
      <c r="K98" s="62" t="s">
        <v>616</v>
      </c>
      <c r="L98" s="28" t="s">
        <v>55</v>
      </c>
      <c r="M98" s="53" t="s">
        <v>33</v>
      </c>
      <c r="N98" s="28" t="s">
        <v>209</v>
      </c>
      <c r="O98" s="28" t="s">
        <v>35</v>
      </c>
      <c r="P98" s="30" t="s">
        <v>691</v>
      </c>
      <c r="Q98" s="30" t="s">
        <v>692</v>
      </c>
      <c r="R98" s="30" t="s">
        <v>25</v>
      </c>
      <c r="S98" s="29">
        <v>6324.0</v>
      </c>
      <c r="T98" s="29">
        <v>7462.0</v>
      </c>
      <c r="U98" s="33">
        <v>6500.0</v>
      </c>
      <c r="V98" s="26">
        <f t="shared" si="1"/>
        <v>962</v>
      </c>
      <c r="W98" s="30" t="s">
        <v>36</v>
      </c>
      <c r="X98" s="14" t="s">
        <v>37</v>
      </c>
      <c r="Y98" s="29" t="s">
        <v>693</v>
      </c>
    </row>
    <row r="99" hidden="1">
      <c r="A99" s="8">
        <v>97.0</v>
      </c>
      <c r="B99" s="64" t="s">
        <v>686</v>
      </c>
      <c r="C99" s="28" t="s">
        <v>694</v>
      </c>
      <c r="D99" s="29" t="s">
        <v>695</v>
      </c>
      <c r="E99" s="28" t="s">
        <v>696</v>
      </c>
      <c r="F99" s="29" t="s">
        <v>697</v>
      </c>
      <c r="G99" s="29" t="s">
        <v>698</v>
      </c>
      <c r="H99" s="30" t="s">
        <v>699</v>
      </c>
      <c r="I99" s="35"/>
      <c r="J99" s="28">
        <v>1197.0</v>
      </c>
      <c r="K99" s="62" t="s">
        <v>616</v>
      </c>
      <c r="L99" s="28" t="s">
        <v>55</v>
      </c>
      <c r="M99" s="53" t="s">
        <v>33</v>
      </c>
      <c r="N99" s="28" t="s">
        <v>209</v>
      </c>
      <c r="O99" s="28" t="s">
        <v>35</v>
      </c>
      <c r="P99" s="30" t="s">
        <v>700</v>
      </c>
      <c r="Q99" s="32">
        <v>45908.0</v>
      </c>
      <c r="R99" s="30" t="s">
        <v>25</v>
      </c>
      <c r="S99" s="29">
        <v>17555.0</v>
      </c>
      <c r="T99" s="29">
        <v>20715.0</v>
      </c>
      <c r="U99" s="33">
        <v>20000.0</v>
      </c>
      <c r="V99" s="26">
        <f t="shared" si="1"/>
        <v>715</v>
      </c>
      <c r="W99" s="30" t="s">
        <v>36</v>
      </c>
      <c r="X99" s="14" t="s">
        <v>701</v>
      </c>
      <c r="Y99" s="29" t="s">
        <v>702</v>
      </c>
    </row>
    <row r="100" hidden="1">
      <c r="A100" s="23">
        <v>98.0</v>
      </c>
      <c r="B100" s="64" t="s">
        <v>686</v>
      </c>
      <c r="C100" s="28" t="s">
        <v>703</v>
      </c>
      <c r="D100" s="29" t="s">
        <v>704</v>
      </c>
      <c r="E100" s="28" t="s">
        <v>63</v>
      </c>
      <c r="F100" s="29" t="s">
        <v>411</v>
      </c>
      <c r="G100" s="29" t="s">
        <v>705</v>
      </c>
      <c r="H100" s="30">
        <v>9.824186986E9</v>
      </c>
      <c r="I100" s="35"/>
      <c r="J100" s="28">
        <v>205.0</v>
      </c>
      <c r="K100" s="62" t="s">
        <v>671</v>
      </c>
      <c r="L100" s="28" t="s">
        <v>55</v>
      </c>
      <c r="M100" s="53" t="s">
        <v>33</v>
      </c>
      <c r="N100" s="28" t="s">
        <v>34</v>
      </c>
      <c r="O100" s="28" t="s">
        <v>35</v>
      </c>
      <c r="P100" s="30" t="s">
        <v>185</v>
      </c>
      <c r="Q100" s="30" t="s">
        <v>298</v>
      </c>
      <c r="R100" s="30" t="s">
        <v>706</v>
      </c>
      <c r="S100" s="29">
        <v>5998.0</v>
      </c>
      <c r="T100" s="29">
        <v>7078.0</v>
      </c>
      <c r="U100" s="29">
        <v>5500.0</v>
      </c>
      <c r="V100" s="26">
        <f t="shared" si="1"/>
        <v>1578</v>
      </c>
      <c r="W100" s="30" t="s">
        <v>36</v>
      </c>
      <c r="X100" s="14" t="s">
        <v>707</v>
      </c>
      <c r="Y100" s="29" t="s">
        <v>708</v>
      </c>
    </row>
    <row r="101" hidden="1">
      <c r="A101" s="8">
        <v>99.0</v>
      </c>
      <c r="B101" s="64" t="s">
        <v>686</v>
      </c>
      <c r="C101" s="28" t="s">
        <v>709</v>
      </c>
      <c r="D101" s="29" t="s">
        <v>710</v>
      </c>
      <c r="E101" s="28" t="s">
        <v>157</v>
      </c>
      <c r="F101" s="29" t="s">
        <v>711</v>
      </c>
      <c r="G101" s="29" t="s">
        <v>712</v>
      </c>
      <c r="H101" s="29" t="s">
        <v>713</v>
      </c>
      <c r="I101" s="35"/>
      <c r="J101" s="28">
        <v>796.0</v>
      </c>
      <c r="K101" s="62" t="s">
        <v>533</v>
      </c>
      <c r="L101" s="28" t="s">
        <v>714</v>
      </c>
      <c r="M101" s="53" t="s">
        <v>45</v>
      </c>
      <c r="N101" s="28" t="s">
        <v>34</v>
      </c>
      <c r="O101" s="28" t="s">
        <v>360</v>
      </c>
      <c r="P101" s="30" t="s">
        <v>715</v>
      </c>
      <c r="Q101" s="32">
        <v>45881.0</v>
      </c>
      <c r="R101" s="30" t="s">
        <v>25</v>
      </c>
      <c r="S101" s="29">
        <v>2154.0</v>
      </c>
      <c r="T101" s="29">
        <v>2541.72</v>
      </c>
      <c r="U101" s="33">
        <v>2500.0</v>
      </c>
      <c r="V101" s="26">
        <f t="shared" si="1"/>
        <v>41.72</v>
      </c>
      <c r="W101" s="30" t="s">
        <v>36</v>
      </c>
      <c r="X101" s="14" t="s">
        <v>143</v>
      </c>
      <c r="Y101" s="29" t="s">
        <v>716</v>
      </c>
    </row>
    <row r="102" hidden="1">
      <c r="A102" s="8">
        <v>100.0</v>
      </c>
      <c r="B102" s="64" t="s">
        <v>686</v>
      </c>
      <c r="C102" s="28" t="s">
        <v>717</v>
      </c>
      <c r="D102" s="29" t="s">
        <v>718</v>
      </c>
      <c r="E102" s="28" t="s">
        <v>63</v>
      </c>
      <c r="F102" s="29" t="s">
        <v>64</v>
      </c>
      <c r="G102" s="29" t="s">
        <v>719</v>
      </c>
      <c r="H102" s="30" t="s">
        <v>720</v>
      </c>
      <c r="I102" s="30">
        <v>8.200208466E9</v>
      </c>
      <c r="J102" s="28">
        <v>236.0</v>
      </c>
      <c r="K102" s="62" t="s">
        <v>616</v>
      </c>
      <c r="L102" s="28" t="s">
        <v>55</v>
      </c>
      <c r="M102" s="53" t="s">
        <v>33</v>
      </c>
      <c r="N102" s="28" t="s">
        <v>346</v>
      </c>
      <c r="O102" s="28" t="s">
        <v>35</v>
      </c>
      <c r="P102" s="32">
        <v>46329.0</v>
      </c>
      <c r="Q102" s="32">
        <v>45964.0</v>
      </c>
      <c r="R102" s="32">
        <v>47397.0</v>
      </c>
      <c r="S102" s="29">
        <v>6620.0</v>
      </c>
      <c r="T102" s="29">
        <v>7812.0</v>
      </c>
      <c r="U102" s="33">
        <v>6500.0</v>
      </c>
      <c r="V102" s="26">
        <f t="shared" si="1"/>
        <v>1312</v>
      </c>
      <c r="W102" s="30" t="s">
        <v>36</v>
      </c>
      <c r="X102" s="14" t="s">
        <v>37</v>
      </c>
      <c r="Y102" s="29" t="s">
        <v>721</v>
      </c>
    </row>
    <row r="103" hidden="1">
      <c r="A103" s="23">
        <v>101.0</v>
      </c>
      <c r="B103" s="64" t="s">
        <v>686</v>
      </c>
      <c r="C103" s="28" t="s">
        <v>722</v>
      </c>
      <c r="D103" s="29" t="s">
        <v>723</v>
      </c>
      <c r="E103" s="28" t="s">
        <v>157</v>
      </c>
      <c r="F103" s="29" t="s">
        <v>724</v>
      </c>
      <c r="G103" s="29" t="s">
        <v>725</v>
      </c>
      <c r="H103" s="30">
        <v>9.909340415E9</v>
      </c>
      <c r="I103" s="35"/>
      <c r="J103" s="28">
        <v>1197.0</v>
      </c>
      <c r="K103" s="62" t="s">
        <v>185</v>
      </c>
      <c r="L103" s="28" t="s">
        <v>726</v>
      </c>
      <c r="M103" s="53" t="s">
        <v>45</v>
      </c>
      <c r="N103" s="28" t="s">
        <v>34</v>
      </c>
      <c r="O103" s="28" t="s">
        <v>166</v>
      </c>
      <c r="P103" s="41">
        <v>49594.0</v>
      </c>
      <c r="Q103" s="32">
        <v>46085.0</v>
      </c>
      <c r="R103" s="30" t="s">
        <v>25</v>
      </c>
      <c r="S103" s="29">
        <v>3466.0</v>
      </c>
      <c r="T103" s="29">
        <v>4090.0</v>
      </c>
      <c r="U103" s="33">
        <v>4000.0</v>
      </c>
      <c r="V103" s="26">
        <f t="shared" si="1"/>
        <v>90</v>
      </c>
      <c r="W103" s="30" t="s">
        <v>36</v>
      </c>
      <c r="X103" s="14" t="s">
        <v>37</v>
      </c>
      <c r="Y103" s="29" t="s">
        <v>727</v>
      </c>
    </row>
    <row r="104" hidden="1">
      <c r="A104" s="8">
        <v>102.0</v>
      </c>
      <c r="B104" s="64" t="s">
        <v>686</v>
      </c>
      <c r="C104" s="28" t="s">
        <v>728</v>
      </c>
      <c r="D104" s="29" t="s">
        <v>729</v>
      </c>
      <c r="E104" s="28" t="s">
        <v>92</v>
      </c>
      <c r="F104" s="29" t="s">
        <v>730</v>
      </c>
      <c r="G104" s="29" t="s">
        <v>731</v>
      </c>
      <c r="H104" s="30" t="s">
        <v>732</v>
      </c>
      <c r="I104" s="30">
        <v>6.351876116E9</v>
      </c>
      <c r="J104" s="28">
        <v>35000.0</v>
      </c>
      <c r="K104" s="62" t="s">
        <v>671</v>
      </c>
      <c r="L104" s="28" t="s">
        <v>55</v>
      </c>
      <c r="M104" s="53" t="s">
        <v>33</v>
      </c>
      <c r="N104" s="28" t="s">
        <v>346</v>
      </c>
      <c r="O104" s="28" t="s">
        <v>35</v>
      </c>
      <c r="P104" s="30" t="s">
        <v>185</v>
      </c>
      <c r="Q104" s="30" t="s">
        <v>521</v>
      </c>
      <c r="R104" s="32">
        <v>47125.0</v>
      </c>
      <c r="S104" s="29">
        <v>53511.0</v>
      </c>
      <c r="T104" s="29">
        <v>60506.0</v>
      </c>
      <c r="U104" s="33">
        <v>52500.0</v>
      </c>
      <c r="V104" s="26">
        <f t="shared" si="1"/>
        <v>8006</v>
      </c>
      <c r="W104" s="30" t="s">
        <v>36</v>
      </c>
      <c r="X104" s="14" t="s">
        <v>143</v>
      </c>
      <c r="Y104" s="29" t="s">
        <v>733</v>
      </c>
    </row>
    <row r="105" hidden="1">
      <c r="A105" s="8">
        <v>103.0</v>
      </c>
      <c r="B105" s="64" t="s">
        <v>686</v>
      </c>
      <c r="C105" s="28" t="s">
        <v>734</v>
      </c>
      <c r="D105" s="29" t="s">
        <v>735</v>
      </c>
      <c r="E105" s="28" t="s">
        <v>92</v>
      </c>
      <c r="F105" s="29" t="s">
        <v>736</v>
      </c>
      <c r="G105" s="29" t="s">
        <v>737</v>
      </c>
      <c r="H105" s="30" t="s">
        <v>581</v>
      </c>
      <c r="I105" s="30">
        <v>9.727632562E9</v>
      </c>
      <c r="J105" s="28">
        <v>28000.0</v>
      </c>
      <c r="K105" s="62" t="s">
        <v>671</v>
      </c>
      <c r="L105" s="28" t="s">
        <v>55</v>
      </c>
      <c r="M105" s="53" t="s">
        <v>33</v>
      </c>
      <c r="N105" s="28" t="s">
        <v>436</v>
      </c>
      <c r="O105" s="28" t="s">
        <v>35</v>
      </c>
      <c r="P105" s="30" t="s">
        <v>87</v>
      </c>
      <c r="Q105" s="32">
        <v>45910.0</v>
      </c>
      <c r="R105" s="30" t="s">
        <v>738</v>
      </c>
      <c r="S105" s="29">
        <v>45591.0</v>
      </c>
      <c r="T105" s="29">
        <v>51161.0</v>
      </c>
      <c r="U105" s="33">
        <v>45000.0</v>
      </c>
      <c r="V105" s="26">
        <f t="shared" si="1"/>
        <v>6161</v>
      </c>
      <c r="W105" s="30" t="s">
        <v>36</v>
      </c>
      <c r="X105" s="14" t="s">
        <v>37</v>
      </c>
      <c r="Y105" s="29" t="s">
        <v>739</v>
      </c>
    </row>
    <row r="106" hidden="1">
      <c r="A106" s="23">
        <v>104.0</v>
      </c>
      <c r="B106" s="64" t="s">
        <v>686</v>
      </c>
      <c r="C106" s="28" t="s">
        <v>740</v>
      </c>
      <c r="D106" s="29" t="s">
        <v>741</v>
      </c>
      <c r="E106" s="28" t="s">
        <v>157</v>
      </c>
      <c r="F106" s="29" t="s">
        <v>742</v>
      </c>
      <c r="G106" s="29" t="s">
        <v>743</v>
      </c>
      <c r="H106" s="30">
        <v>9.099815623E9</v>
      </c>
      <c r="I106" s="30" t="s">
        <v>744</v>
      </c>
      <c r="J106" s="28">
        <v>1462.0</v>
      </c>
      <c r="K106" s="62" t="s">
        <v>671</v>
      </c>
      <c r="L106" s="28" t="s">
        <v>151</v>
      </c>
      <c r="M106" s="53" t="s">
        <v>33</v>
      </c>
      <c r="N106" s="28" t="s">
        <v>97</v>
      </c>
      <c r="O106" s="28" t="s">
        <v>166</v>
      </c>
      <c r="P106" s="30" t="s">
        <v>745</v>
      </c>
      <c r="Q106" s="30" t="s">
        <v>746</v>
      </c>
      <c r="R106" s="30" t="s">
        <v>25</v>
      </c>
      <c r="S106" s="36">
        <v>12487.0</v>
      </c>
      <c r="T106" s="36">
        <v>14735.0</v>
      </c>
      <c r="U106" s="33">
        <v>14735.0</v>
      </c>
      <c r="V106" s="20">
        <f t="shared" si="1"/>
        <v>0</v>
      </c>
      <c r="W106" s="30" t="s">
        <v>36</v>
      </c>
      <c r="X106" s="14" t="s">
        <v>747</v>
      </c>
      <c r="Y106" s="29" t="s">
        <v>748</v>
      </c>
    </row>
    <row r="107" hidden="1">
      <c r="A107" s="8">
        <v>105.0</v>
      </c>
      <c r="B107" s="64" t="s">
        <v>686</v>
      </c>
      <c r="C107" s="28" t="s">
        <v>749</v>
      </c>
      <c r="D107" s="29" t="s">
        <v>750</v>
      </c>
      <c r="E107" s="28" t="s">
        <v>190</v>
      </c>
      <c r="F107" s="29" t="s">
        <v>751</v>
      </c>
      <c r="G107" s="29" t="s">
        <v>752</v>
      </c>
      <c r="H107" s="30">
        <v>9.825621953E9</v>
      </c>
      <c r="I107" s="35"/>
      <c r="J107" s="28">
        <v>995.0</v>
      </c>
      <c r="K107" s="62" t="s">
        <v>671</v>
      </c>
      <c r="L107" s="28" t="s">
        <v>193</v>
      </c>
      <c r="M107" s="53" t="s">
        <v>33</v>
      </c>
      <c r="N107" s="28" t="s">
        <v>209</v>
      </c>
      <c r="O107" s="28" t="s">
        <v>35</v>
      </c>
      <c r="P107" s="30" t="s">
        <v>753</v>
      </c>
      <c r="Q107" s="30" t="s">
        <v>25</v>
      </c>
      <c r="R107" s="30" t="s">
        <v>25</v>
      </c>
      <c r="S107" s="36">
        <v>4858.85</v>
      </c>
      <c r="T107" s="36">
        <v>5464.0</v>
      </c>
      <c r="U107" s="33">
        <v>5500.0</v>
      </c>
      <c r="V107" s="20">
        <f t="shared" si="1"/>
        <v>-36</v>
      </c>
      <c r="W107" s="30" t="s">
        <v>36</v>
      </c>
      <c r="X107" s="14" t="s">
        <v>143</v>
      </c>
      <c r="Y107" s="29" t="s">
        <v>754</v>
      </c>
    </row>
    <row r="108" hidden="1">
      <c r="A108" s="8">
        <v>106.0</v>
      </c>
      <c r="B108" s="64" t="s">
        <v>686</v>
      </c>
      <c r="C108" s="28" t="s">
        <v>755</v>
      </c>
      <c r="D108" s="28" t="s">
        <v>756</v>
      </c>
      <c r="E108" s="28" t="s">
        <v>122</v>
      </c>
      <c r="F108" s="28" t="s">
        <v>757</v>
      </c>
      <c r="G108" s="28" t="s">
        <v>758</v>
      </c>
      <c r="H108" s="30" t="s">
        <v>759</v>
      </c>
      <c r="I108" s="35"/>
      <c r="J108" s="28">
        <v>110.0</v>
      </c>
      <c r="K108" s="62" t="s">
        <v>671</v>
      </c>
      <c r="L108" s="28" t="s">
        <v>151</v>
      </c>
      <c r="M108" s="53" t="s">
        <v>45</v>
      </c>
      <c r="N108" s="28" t="s">
        <v>34</v>
      </c>
      <c r="O108" s="28" t="s">
        <v>360</v>
      </c>
      <c r="P108" s="30" t="s">
        <v>760</v>
      </c>
      <c r="Q108" s="30" t="s">
        <v>25</v>
      </c>
      <c r="R108" s="30" t="s">
        <v>25</v>
      </c>
      <c r="S108" s="28">
        <v>714.0</v>
      </c>
      <c r="T108" s="28">
        <v>843.0</v>
      </c>
      <c r="U108" s="33">
        <v>850.0</v>
      </c>
      <c r="V108" s="26">
        <f t="shared" si="1"/>
        <v>-7</v>
      </c>
      <c r="W108" s="30" t="s">
        <v>36</v>
      </c>
      <c r="X108" s="14" t="s">
        <v>37</v>
      </c>
      <c r="Y108" s="28" t="s">
        <v>761</v>
      </c>
    </row>
    <row r="109" hidden="1">
      <c r="A109" s="23">
        <v>107.0</v>
      </c>
      <c r="B109" s="64" t="s">
        <v>686</v>
      </c>
      <c r="C109" s="28" t="s">
        <v>762</v>
      </c>
      <c r="D109" s="29" t="s">
        <v>763</v>
      </c>
      <c r="E109" s="28" t="s">
        <v>92</v>
      </c>
      <c r="F109" s="29" t="s">
        <v>764</v>
      </c>
      <c r="G109" s="29" t="s">
        <v>765</v>
      </c>
      <c r="H109" s="30">
        <v>9.879354607E9</v>
      </c>
      <c r="I109" s="35"/>
      <c r="J109" s="28">
        <v>16140.0</v>
      </c>
      <c r="K109" s="62" t="s">
        <v>671</v>
      </c>
      <c r="L109" s="28" t="s">
        <v>55</v>
      </c>
      <c r="M109" s="53" t="s">
        <v>33</v>
      </c>
      <c r="N109" s="28" t="s">
        <v>209</v>
      </c>
      <c r="O109" s="28" t="s">
        <v>35</v>
      </c>
      <c r="P109" s="30" t="s">
        <v>766</v>
      </c>
      <c r="Q109" s="30" t="s">
        <v>767</v>
      </c>
      <c r="R109" s="30" t="s">
        <v>649</v>
      </c>
      <c r="S109" s="29">
        <v>49427.0</v>
      </c>
      <c r="T109" s="29">
        <v>56206.0</v>
      </c>
      <c r="U109" s="33">
        <v>50000.0</v>
      </c>
      <c r="V109" s="26">
        <f t="shared" si="1"/>
        <v>6206</v>
      </c>
      <c r="W109" s="30" t="s">
        <v>36</v>
      </c>
      <c r="X109" s="14" t="s">
        <v>143</v>
      </c>
      <c r="Y109" s="29" t="s">
        <v>768</v>
      </c>
    </row>
    <row r="110" hidden="1">
      <c r="A110" s="8">
        <v>108.0</v>
      </c>
      <c r="B110" s="64" t="s">
        <v>769</v>
      </c>
      <c r="C110" s="28" t="s">
        <v>770</v>
      </c>
      <c r="D110" s="29" t="s">
        <v>771</v>
      </c>
      <c r="E110" s="28" t="s">
        <v>28</v>
      </c>
      <c r="F110" s="29" t="s">
        <v>772</v>
      </c>
      <c r="G110" s="29" t="s">
        <v>773</v>
      </c>
      <c r="H110" s="30" t="s">
        <v>774</v>
      </c>
      <c r="I110" s="35"/>
      <c r="J110" s="28">
        <v>2120.0</v>
      </c>
      <c r="K110" s="62" t="s">
        <v>700</v>
      </c>
      <c r="L110" s="28" t="s">
        <v>726</v>
      </c>
      <c r="M110" s="53" t="s">
        <v>45</v>
      </c>
      <c r="N110" s="28" t="s">
        <v>34</v>
      </c>
      <c r="O110" s="28" t="s">
        <v>166</v>
      </c>
      <c r="P110" s="30" t="s">
        <v>185</v>
      </c>
      <c r="Q110" s="30" t="s">
        <v>700</v>
      </c>
      <c r="R110" s="30" t="s">
        <v>25</v>
      </c>
      <c r="S110" s="29">
        <v>16099.0</v>
      </c>
      <c r="T110" s="29">
        <v>18035.0</v>
      </c>
      <c r="U110" s="33">
        <v>12500.0</v>
      </c>
      <c r="V110" s="26">
        <f t="shared" si="1"/>
        <v>5535</v>
      </c>
      <c r="W110" s="30" t="s">
        <v>36</v>
      </c>
      <c r="X110" s="14" t="s">
        <v>37</v>
      </c>
      <c r="Y110" s="29" t="s">
        <v>775</v>
      </c>
    </row>
    <row r="111" hidden="1">
      <c r="A111" s="8">
        <v>109.0</v>
      </c>
      <c r="B111" s="64" t="s">
        <v>769</v>
      </c>
      <c r="C111" s="28" t="s">
        <v>776</v>
      </c>
      <c r="D111" s="29" t="s">
        <v>777</v>
      </c>
      <c r="E111" s="28" t="s">
        <v>92</v>
      </c>
      <c r="F111" s="29" t="s">
        <v>778</v>
      </c>
      <c r="G111" s="29" t="s">
        <v>779</v>
      </c>
      <c r="H111" s="30">
        <v>9.58679648E9</v>
      </c>
      <c r="I111" s="35"/>
      <c r="J111" s="28">
        <v>11990.0</v>
      </c>
      <c r="K111" s="62" t="s">
        <v>671</v>
      </c>
      <c r="L111" s="28" t="s">
        <v>55</v>
      </c>
      <c r="M111" s="53" t="s">
        <v>33</v>
      </c>
      <c r="N111" s="28" t="s">
        <v>34</v>
      </c>
      <c r="O111" s="28" t="s">
        <v>35</v>
      </c>
      <c r="P111" s="32">
        <v>46542.0</v>
      </c>
      <c r="Q111" s="30" t="s">
        <v>780</v>
      </c>
      <c r="R111" s="30" t="s">
        <v>489</v>
      </c>
      <c r="S111" s="29">
        <v>29718.0</v>
      </c>
      <c r="T111" s="29">
        <v>33436.0</v>
      </c>
      <c r="U111" s="33">
        <v>31500.0</v>
      </c>
      <c r="V111" s="26">
        <f t="shared" si="1"/>
        <v>1936</v>
      </c>
      <c r="W111" s="30" t="s">
        <v>36</v>
      </c>
      <c r="X111" s="14" t="s">
        <v>781</v>
      </c>
      <c r="Y111" s="29" t="s">
        <v>782</v>
      </c>
    </row>
    <row r="112" hidden="1">
      <c r="A112" s="23">
        <v>110.0</v>
      </c>
      <c r="B112" s="64" t="s">
        <v>769</v>
      </c>
      <c r="C112" s="28" t="s">
        <v>783</v>
      </c>
      <c r="D112" s="29" t="s">
        <v>784</v>
      </c>
      <c r="E112" s="28" t="s">
        <v>157</v>
      </c>
      <c r="F112" s="29" t="s">
        <v>785</v>
      </c>
      <c r="G112" s="29" t="s">
        <v>786</v>
      </c>
      <c r="H112" s="30">
        <v>8.849809781E9</v>
      </c>
      <c r="I112" s="30">
        <v>9.427200886E9</v>
      </c>
      <c r="J112" s="28">
        <v>1199.0</v>
      </c>
      <c r="K112" s="62" t="s">
        <v>787</v>
      </c>
      <c r="L112" s="28" t="s">
        <v>193</v>
      </c>
      <c r="M112" s="53" t="s">
        <v>33</v>
      </c>
      <c r="N112" s="28" t="s">
        <v>73</v>
      </c>
      <c r="O112" s="28" t="s">
        <v>35</v>
      </c>
      <c r="P112" s="30" t="s">
        <v>788</v>
      </c>
      <c r="Q112" s="30" t="s">
        <v>789</v>
      </c>
      <c r="R112" s="30" t="s">
        <v>25</v>
      </c>
      <c r="S112" s="29">
        <v>7299.64</v>
      </c>
      <c r="T112" s="29">
        <v>8614.0</v>
      </c>
      <c r="U112" s="33">
        <v>9000.0</v>
      </c>
      <c r="V112" s="26">
        <f t="shared" si="1"/>
        <v>-386</v>
      </c>
      <c r="W112" s="30" t="s">
        <v>36</v>
      </c>
      <c r="X112" s="14" t="s">
        <v>790</v>
      </c>
      <c r="Y112" s="29" t="s">
        <v>791</v>
      </c>
    </row>
    <row r="113" hidden="1">
      <c r="A113" s="8">
        <v>111.0</v>
      </c>
      <c r="B113" s="64" t="s">
        <v>769</v>
      </c>
      <c r="C113" s="28" t="s">
        <v>792</v>
      </c>
      <c r="D113" s="28" t="s">
        <v>793</v>
      </c>
      <c r="E113" s="28" t="s">
        <v>28</v>
      </c>
      <c r="F113" s="28" t="s">
        <v>794</v>
      </c>
      <c r="G113" s="28" t="s">
        <v>795</v>
      </c>
      <c r="H113" s="30" t="s">
        <v>796</v>
      </c>
      <c r="I113" s="30" t="s">
        <v>797</v>
      </c>
      <c r="J113" s="65">
        <v>3460.0</v>
      </c>
      <c r="K113" s="62" t="s">
        <v>533</v>
      </c>
      <c r="L113" s="28" t="s">
        <v>133</v>
      </c>
      <c r="M113" s="53" t="s">
        <v>33</v>
      </c>
      <c r="N113" s="28" t="s">
        <v>346</v>
      </c>
      <c r="O113" s="28" t="s">
        <v>35</v>
      </c>
      <c r="P113" s="30" t="s">
        <v>700</v>
      </c>
      <c r="Q113" s="30" t="s">
        <v>305</v>
      </c>
      <c r="R113" s="32">
        <v>47215.0</v>
      </c>
      <c r="S113" s="28">
        <v>21858.0</v>
      </c>
      <c r="T113" s="28">
        <v>24824.0</v>
      </c>
      <c r="U113" s="33">
        <v>19000.0</v>
      </c>
      <c r="V113" s="26">
        <f t="shared" si="1"/>
        <v>5824</v>
      </c>
      <c r="W113" s="30" t="s">
        <v>327</v>
      </c>
      <c r="X113" s="14" t="s">
        <v>37</v>
      </c>
      <c r="Y113" s="28" t="s">
        <v>798</v>
      </c>
    </row>
    <row r="114" hidden="1">
      <c r="A114" s="8">
        <v>112.0</v>
      </c>
      <c r="B114" s="64" t="s">
        <v>769</v>
      </c>
      <c r="C114" s="28" t="s">
        <v>799</v>
      </c>
      <c r="D114" s="29" t="s">
        <v>800</v>
      </c>
      <c r="E114" s="28" t="s">
        <v>157</v>
      </c>
      <c r="F114" s="29" t="s">
        <v>801</v>
      </c>
      <c r="G114" s="28" t="s">
        <v>802</v>
      </c>
      <c r="H114" s="30" t="s">
        <v>803</v>
      </c>
      <c r="I114" s="35"/>
      <c r="J114" s="28">
        <v>1591.0</v>
      </c>
      <c r="K114" s="62" t="s">
        <v>804</v>
      </c>
      <c r="L114" s="28" t="s">
        <v>193</v>
      </c>
      <c r="M114" s="53" t="s">
        <v>45</v>
      </c>
      <c r="N114" s="28" t="s">
        <v>209</v>
      </c>
      <c r="O114" s="28" t="s">
        <v>360</v>
      </c>
      <c r="P114" s="30" t="s">
        <v>805</v>
      </c>
      <c r="Q114" s="30" t="s">
        <v>185</v>
      </c>
      <c r="R114" s="30" t="s">
        <v>25</v>
      </c>
      <c r="S114" s="29">
        <v>8332.0</v>
      </c>
      <c r="T114" s="29">
        <v>9832.0</v>
      </c>
      <c r="U114" s="33">
        <v>9800.0</v>
      </c>
      <c r="V114" s="26">
        <f t="shared" si="1"/>
        <v>32</v>
      </c>
      <c r="W114" s="30" t="s">
        <v>36</v>
      </c>
      <c r="X114" s="14" t="s">
        <v>49</v>
      </c>
      <c r="Y114" s="29" t="s">
        <v>806</v>
      </c>
    </row>
    <row r="115" hidden="1">
      <c r="A115" s="23">
        <v>113.0</v>
      </c>
      <c r="B115" s="64" t="s">
        <v>807</v>
      </c>
      <c r="C115" s="28" t="s">
        <v>808</v>
      </c>
      <c r="D115" s="29" t="s">
        <v>809</v>
      </c>
      <c r="E115" s="28" t="s">
        <v>157</v>
      </c>
      <c r="F115" s="29" t="s">
        <v>810</v>
      </c>
      <c r="G115" s="29" t="s">
        <v>811</v>
      </c>
      <c r="H115" s="30">
        <v>9.898219091E9</v>
      </c>
      <c r="I115" s="35"/>
      <c r="J115" s="28">
        <v>796.0</v>
      </c>
      <c r="K115" s="62" t="s">
        <v>373</v>
      </c>
      <c r="L115" s="28" t="s">
        <v>672</v>
      </c>
      <c r="M115" s="53" t="s">
        <v>45</v>
      </c>
      <c r="N115" s="28" t="s">
        <v>34</v>
      </c>
      <c r="O115" s="28" t="s">
        <v>360</v>
      </c>
      <c r="P115" s="32">
        <v>46083.0</v>
      </c>
      <c r="Q115" s="30" t="s">
        <v>812</v>
      </c>
      <c r="R115" s="30" t="s">
        <v>25</v>
      </c>
      <c r="S115" s="36">
        <v>2429.0</v>
      </c>
      <c r="T115" s="36">
        <v>2867.0</v>
      </c>
      <c r="U115" s="33">
        <v>2800.0</v>
      </c>
      <c r="V115" s="20">
        <f t="shared" si="1"/>
        <v>67</v>
      </c>
      <c r="W115" s="30" t="s">
        <v>327</v>
      </c>
      <c r="X115" s="14" t="s">
        <v>813</v>
      </c>
      <c r="Y115" s="29" t="s">
        <v>814</v>
      </c>
    </row>
    <row r="116" hidden="1">
      <c r="A116" s="8">
        <v>114.0</v>
      </c>
      <c r="B116" s="64" t="s">
        <v>807</v>
      </c>
      <c r="C116" s="28" t="s">
        <v>815</v>
      </c>
      <c r="D116" s="29" t="s">
        <v>816</v>
      </c>
      <c r="E116" s="65" t="s">
        <v>92</v>
      </c>
      <c r="F116" s="29" t="s">
        <v>817</v>
      </c>
      <c r="G116" s="29" t="s">
        <v>818</v>
      </c>
      <c r="H116" s="30">
        <v>9.87984388E9</v>
      </c>
      <c r="I116" s="30" t="s">
        <v>819</v>
      </c>
      <c r="J116" s="65">
        <v>28000.0</v>
      </c>
      <c r="K116" s="62" t="s">
        <v>87</v>
      </c>
      <c r="L116" s="28" t="s">
        <v>726</v>
      </c>
      <c r="M116" s="53" t="s">
        <v>45</v>
      </c>
      <c r="N116" s="28" t="s">
        <v>116</v>
      </c>
      <c r="O116" s="28" t="s">
        <v>47</v>
      </c>
      <c r="P116" s="30" t="s">
        <v>820</v>
      </c>
      <c r="Q116" s="30" t="s">
        <v>821</v>
      </c>
      <c r="R116" s="30" t="s">
        <v>25</v>
      </c>
      <c r="S116" s="29">
        <v>44050.0</v>
      </c>
      <c r="T116" s="29">
        <v>49342.0</v>
      </c>
      <c r="U116" s="33">
        <v>33500.0</v>
      </c>
      <c r="V116" s="26">
        <f t="shared" si="1"/>
        <v>15842</v>
      </c>
      <c r="W116" s="30" t="s">
        <v>327</v>
      </c>
      <c r="X116" s="14" t="s">
        <v>226</v>
      </c>
      <c r="Y116" s="29" t="s">
        <v>822</v>
      </c>
    </row>
    <row r="117" hidden="1">
      <c r="A117" s="8">
        <v>115.0</v>
      </c>
      <c r="B117" s="64" t="s">
        <v>807</v>
      </c>
      <c r="C117" s="28" t="s">
        <v>823</v>
      </c>
      <c r="D117" s="29" t="s">
        <v>824</v>
      </c>
      <c r="E117" s="28" t="s">
        <v>157</v>
      </c>
      <c r="F117" s="29" t="s">
        <v>825</v>
      </c>
      <c r="G117" s="29" t="s">
        <v>826</v>
      </c>
      <c r="H117" s="35"/>
      <c r="I117" s="35"/>
      <c r="J117" s="28">
        <v>1497.0</v>
      </c>
      <c r="K117" s="62" t="s">
        <v>804</v>
      </c>
      <c r="L117" s="28" t="s">
        <v>193</v>
      </c>
      <c r="M117" s="53" t="s">
        <v>45</v>
      </c>
      <c r="N117" s="28" t="s">
        <v>209</v>
      </c>
      <c r="O117" s="28" t="s">
        <v>360</v>
      </c>
      <c r="P117" s="30" t="s">
        <v>827</v>
      </c>
      <c r="Q117" s="32">
        <v>45911.0</v>
      </c>
      <c r="R117" s="30" t="s">
        <v>25</v>
      </c>
      <c r="S117" s="29">
        <v>3476.0</v>
      </c>
      <c r="T117" s="29">
        <v>4102.0</v>
      </c>
      <c r="U117" s="33">
        <v>4000.0</v>
      </c>
      <c r="V117" s="26">
        <f t="shared" si="1"/>
        <v>102</v>
      </c>
      <c r="W117" s="30" t="s">
        <v>36</v>
      </c>
      <c r="X117" s="13"/>
      <c r="Y117" s="29" t="s">
        <v>828</v>
      </c>
    </row>
    <row r="118" hidden="1">
      <c r="A118" s="23">
        <v>116.0</v>
      </c>
      <c r="B118" s="64" t="s">
        <v>807</v>
      </c>
      <c r="C118" s="28" t="s">
        <v>829</v>
      </c>
      <c r="D118" s="29" t="s">
        <v>830</v>
      </c>
      <c r="E118" s="28" t="s">
        <v>63</v>
      </c>
      <c r="F118" s="29" t="s">
        <v>411</v>
      </c>
      <c r="G118" s="29" t="s">
        <v>831</v>
      </c>
      <c r="H118" s="30">
        <v>9.825335675E9</v>
      </c>
      <c r="I118" s="35"/>
      <c r="J118" s="28">
        <v>205.0</v>
      </c>
      <c r="K118" s="62" t="s">
        <v>373</v>
      </c>
      <c r="L118" s="28" t="s">
        <v>55</v>
      </c>
      <c r="M118" s="53" t="s">
        <v>33</v>
      </c>
      <c r="N118" s="28" t="s">
        <v>34</v>
      </c>
      <c r="O118" s="28" t="s">
        <v>35</v>
      </c>
      <c r="P118" s="32">
        <v>45695.0</v>
      </c>
      <c r="Q118" s="32">
        <v>45329.0</v>
      </c>
      <c r="R118" s="30" t="s">
        <v>832</v>
      </c>
      <c r="S118" s="29">
        <v>6077.0</v>
      </c>
      <c r="T118" s="29">
        <v>7171.0</v>
      </c>
      <c r="U118" s="33">
        <v>6000.0</v>
      </c>
      <c r="V118" s="26">
        <f t="shared" si="1"/>
        <v>1171</v>
      </c>
      <c r="W118" s="30" t="s">
        <v>327</v>
      </c>
      <c r="X118" s="14" t="s">
        <v>781</v>
      </c>
      <c r="Y118" s="29" t="s">
        <v>833</v>
      </c>
    </row>
    <row r="119" hidden="1">
      <c r="A119" s="8">
        <v>117.0</v>
      </c>
      <c r="B119" s="64" t="s">
        <v>807</v>
      </c>
      <c r="C119" s="28" t="s">
        <v>834</v>
      </c>
      <c r="D119" s="29" t="s">
        <v>835</v>
      </c>
      <c r="E119" s="28" t="s">
        <v>28</v>
      </c>
      <c r="F119" s="30" t="s">
        <v>25</v>
      </c>
      <c r="G119" s="29" t="s">
        <v>836</v>
      </c>
      <c r="H119" s="30" t="s">
        <v>837</v>
      </c>
      <c r="I119" s="35"/>
      <c r="J119" s="30" t="s">
        <v>25</v>
      </c>
      <c r="K119" s="62" t="s">
        <v>804</v>
      </c>
      <c r="L119" s="29" t="s">
        <v>838</v>
      </c>
      <c r="M119" s="53" t="s">
        <v>33</v>
      </c>
      <c r="N119" s="28" t="s">
        <v>34</v>
      </c>
      <c r="O119" s="28" t="s">
        <v>47</v>
      </c>
      <c r="P119" s="32">
        <v>45355.0</v>
      </c>
      <c r="Q119" s="32">
        <v>44989.0</v>
      </c>
      <c r="R119" s="30" t="s">
        <v>25</v>
      </c>
      <c r="S119" s="36">
        <v>8746.0</v>
      </c>
      <c r="T119" s="36">
        <v>10320.0</v>
      </c>
      <c r="U119" s="33">
        <v>14000.0</v>
      </c>
      <c r="V119" s="20">
        <f t="shared" si="1"/>
        <v>-3680</v>
      </c>
      <c r="W119" s="30" t="s">
        <v>327</v>
      </c>
      <c r="X119" s="14" t="s">
        <v>790</v>
      </c>
      <c r="Y119" s="29" t="s">
        <v>839</v>
      </c>
    </row>
    <row r="120" hidden="1">
      <c r="A120" s="8">
        <v>118.0</v>
      </c>
      <c r="B120" s="64" t="s">
        <v>807</v>
      </c>
      <c r="C120" s="28" t="s">
        <v>840</v>
      </c>
      <c r="D120" s="29" t="s">
        <v>841</v>
      </c>
      <c r="E120" s="28" t="s">
        <v>157</v>
      </c>
      <c r="F120" s="29" t="s">
        <v>842</v>
      </c>
      <c r="G120" s="29" t="s">
        <v>843</v>
      </c>
      <c r="H120" s="30">
        <v>9.913441029E9</v>
      </c>
      <c r="I120" s="35"/>
      <c r="J120" s="28">
        <v>1197.0</v>
      </c>
      <c r="K120" s="62" t="s">
        <v>373</v>
      </c>
      <c r="L120" s="28" t="s">
        <v>193</v>
      </c>
      <c r="M120" s="53" t="s">
        <v>45</v>
      </c>
      <c r="N120" s="28" t="s">
        <v>209</v>
      </c>
      <c r="O120" s="28" t="s">
        <v>360</v>
      </c>
      <c r="P120" s="30" t="s">
        <v>844</v>
      </c>
      <c r="Q120" s="38" t="s">
        <v>845</v>
      </c>
      <c r="R120" s="30" t="s">
        <v>25</v>
      </c>
      <c r="S120" s="29">
        <v>3476.0</v>
      </c>
      <c r="T120" s="29">
        <v>4102.0</v>
      </c>
      <c r="U120" s="33">
        <v>4000.0</v>
      </c>
      <c r="V120" s="26">
        <f t="shared" si="1"/>
        <v>102</v>
      </c>
      <c r="W120" s="30" t="s">
        <v>36</v>
      </c>
      <c r="X120" s="13"/>
      <c r="Y120" s="29" t="s">
        <v>846</v>
      </c>
    </row>
    <row r="121" hidden="1">
      <c r="A121" s="23">
        <v>119.0</v>
      </c>
      <c r="B121" s="64" t="s">
        <v>807</v>
      </c>
      <c r="C121" s="28" t="s">
        <v>847</v>
      </c>
      <c r="D121" s="29" t="s">
        <v>848</v>
      </c>
      <c r="E121" s="28" t="s">
        <v>92</v>
      </c>
      <c r="F121" s="29" t="s">
        <v>849</v>
      </c>
      <c r="G121" s="29" t="s">
        <v>850</v>
      </c>
      <c r="H121" s="30">
        <v>9.898900043E9</v>
      </c>
      <c r="I121" s="30">
        <v>7.698803404E9</v>
      </c>
      <c r="J121" s="28">
        <v>35000.0</v>
      </c>
      <c r="K121" s="62" t="s">
        <v>804</v>
      </c>
      <c r="L121" s="28" t="s">
        <v>851</v>
      </c>
      <c r="M121" s="53" t="s">
        <v>33</v>
      </c>
      <c r="N121" s="28" t="s">
        <v>209</v>
      </c>
      <c r="O121" s="28" t="s">
        <v>47</v>
      </c>
      <c r="P121" s="30" t="s">
        <v>852</v>
      </c>
      <c r="Q121" s="30" t="s">
        <v>700</v>
      </c>
      <c r="R121" s="30" t="s">
        <v>853</v>
      </c>
      <c r="S121" s="29">
        <v>50965.74</v>
      </c>
      <c r="T121" s="29">
        <v>57502.58</v>
      </c>
      <c r="U121" s="33">
        <v>52500.0</v>
      </c>
      <c r="V121" s="26">
        <f t="shared" si="1"/>
        <v>5002.58</v>
      </c>
      <c r="W121" s="30" t="s">
        <v>36</v>
      </c>
      <c r="X121" s="13"/>
      <c r="Y121" s="29" t="s">
        <v>854</v>
      </c>
    </row>
    <row r="122">
      <c r="A122" s="8">
        <v>120.0</v>
      </c>
      <c r="B122" s="64" t="s">
        <v>855</v>
      </c>
      <c r="C122" s="28" t="s">
        <v>856</v>
      </c>
      <c r="D122" s="65" t="s">
        <v>857</v>
      </c>
      <c r="E122" s="28" t="s">
        <v>92</v>
      </c>
      <c r="F122" s="28" t="s">
        <v>858</v>
      </c>
      <c r="G122" s="28" t="s">
        <v>859</v>
      </c>
      <c r="H122" s="30">
        <v>9.106626733E9</v>
      </c>
      <c r="I122" s="30">
        <v>7.567554682E9</v>
      </c>
      <c r="J122" s="28">
        <v>35000.0</v>
      </c>
      <c r="K122" s="62" t="s">
        <v>373</v>
      </c>
      <c r="L122" s="28" t="s">
        <v>222</v>
      </c>
      <c r="M122" s="53" t="s">
        <v>33</v>
      </c>
      <c r="N122" s="28" t="s">
        <v>56</v>
      </c>
      <c r="O122" s="28" t="s">
        <v>47</v>
      </c>
      <c r="P122" s="30" t="s">
        <v>746</v>
      </c>
      <c r="Q122" s="32">
        <v>46087.0</v>
      </c>
      <c r="R122" s="30" t="s">
        <v>860</v>
      </c>
      <c r="S122" s="28">
        <v>52693.0</v>
      </c>
      <c r="T122" s="28">
        <v>59541.0</v>
      </c>
      <c r="U122" s="33">
        <v>53000.0</v>
      </c>
      <c r="V122" s="26">
        <f t="shared" si="1"/>
        <v>6541</v>
      </c>
      <c r="W122" s="30" t="s">
        <v>36</v>
      </c>
      <c r="X122" s="13"/>
      <c r="Y122" s="28" t="s">
        <v>861</v>
      </c>
    </row>
    <row r="123" hidden="1">
      <c r="A123" s="8">
        <v>121.0</v>
      </c>
      <c r="B123" s="64" t="s">
        <v>855</v>
      </c>
      <c r="C123" s="28" t="s">
        <v>862</v>
      </c>
      <c r="D123" s="29" t="s">
        <v>863</v>
      </c>
      <c r="E123" s="28" t="s">
        <v>157</v>
      </c>
      <c r="F123" s="29" t="s">
        <v>864</v>
      </c>
      <c r="G123" s="29" t="s">
        <v>865</v>
      </c>
      <c r="H123" s="30">
        <v>8.140411111E9</v>
      </c>
      <c r="I123" s="35"/>
      <c r="J123" s="28">
        <v>1493.0</v>
      </c>
      <c r="K123" s="62" t="s">
        <v>866</v>
      </c>
      <c r="L123" s="28" t="s">
        <v>428</v>
      </c>
      <c r="M123" s="53" t="s">
        <v>33</v>
      </c>
      <c r="N123" s="28" t="s">
        <v>34</v>
      </c>
      <c r="O123" s="28" t="s">
        <v>360</v>
      </c>
      <c r="P123" s="30" t="s">
        <v>867</v>
      </c>
      <c r="Q123" s="30" t="s">
        <v>868</v>
      </c>
      <c r="R123" s="30" t="s">
        <v>25</v>
      </c>
      <c r="S123" s="37">
        <v>14715.0</v>
      </c>
      <c r="T123" s="29">
        <v>15314.0</v>
      </c>
      <c r="U123" s="33">
        <v>15100.0</v>
      </c>
      <c r="V123" s="26">
        <f t="shared" si="1"/>
        <v>214</v>
      </c>
      <c r="W123" s="30" t="s">
        <v>36</v>
      </c>
      <c r="X123" s="13"/>
      <c r="Y123" s="29" t="s">
        <v>869</v>
      </c>
    </row>
    <row r="124" hidden="1">
      <c r="A124" s="23">
        <v>122.0</v>
      </c>
      <c r="B124" s="64" t="s">
        <v>855</v>
      </c>
      <c r="C124" s="28" t="s">
        <v>870</v>
      </c>
      <c r="D124" s="29" t="s">
        <v>871</v>
      </c>
      <c r="E124" s="28" t="s">
        <v>92</v>
      </c>
      <c r="F124" s="29" t="s">
        <v>872</v>
      </c>
      <c r="G124" s="29" t="s">
        <v>873</v>
      </c>
      <c r="H124" s="30">
        <v>9.427222549E9</v>
      </c>
      <c r="I124" s="35"/>
      <c r="J124" s="28">
        <v>35000.0</v>
      </c>
      <c r="K124" s="62" t="s">
        <v>373</v>
      </c>
      <c r="L124" s="28" t="s">
        <v>55</v>
      </c>
      <c r="M124" s="53" t="s">
        <v>33</v>
      </c>
      <c r="N124" s="28" t="s">
        <v>34</v>
      </c>
      <c r="O124" s="28" t="s">
        <v>35</v>
      </c>
      <c r="P124" s="30" t="s">
        <v>874</v>
      </c>
      <c r="Q124" s="41">
        <v>45942.0</v>
      </c>
      <c r="R124" s="30" t="s">
        <v>875</v>
      </c>
      <c r="S124" s="29">
        <v>45992.0</v>
      </c>
      <c r="T124" s="29">
        <v>51634.0</v>
      </c>
      <c r="U124" s="33">
        <v>46500.0</v>
      </c>
      <c r="V124" s="26">
        <f t="shared" si="1"/>
        <v>5134</v>
      </c>
      <c r="W124" s="30" t="s">
        <v>36</v>
      </c>
      <c r="X124" s="13"/>
      <c r="Y124" s="29" t="s">
        <v>876</v>
      </c>
    </row>
    <row r="125" hidden="1">
      <c r="A125" s="8">
        <v>123.0</v>
      </c>
      <c r="B125" s="64" t="s">
        <v>855</v>
      </c>
      <c r="C125" s="28" t="s">
        <v>877</v>
      </c>
      <c r="D125" s="29" t="s">
        <v>878</v>
      </c>
      <c r="E125" s="28" t="s">
        <v>122</v>
      </c>
      <c r="F125" s="29" t="s">
        <v>879</v>
      </c>
      <c r="G125" s="29" t="s">
        <v>880</v>
      </c>
      <c r="H125" s="30">
        <v>7.096633649E9</v>
      </c>
      <c r="I125" s="35"/>
      <c r="J125" s="28">
        <v>125.0</v>
      </c>
      <c r="K125" s="62" t="s">
        <v>881</v>
      </c>
      <c r="L125" s="28" t="s">
        <v>726</v>
      </c>
      <c r="M125" s="53" t="s">
        <v>45</v>
      </c>
      <c r="N125" s="28" t="s">
        <v>209</v>
      </c>
      <c r="O125" s="28" t="s">
        <v>360</v>
      </c>
      <c r="P125" s="30" t="s">
        <v>691</v>
      </c>
      <c r="Q125" s="32">
        <v>45749.0</v>
      </c>
      <c r="R125" s="30" t="s">
        <v>25</v>
      </c>
      <c r="S125" s="29">
        <v>714.0</v>
      </c>
      <c r="T125" s="29">
        <v>843.0</v>
      </c>
      <c r="U125" s="33">
        <v>850.0</v>
      </c>
      <c r="V125" s="26">
        <f t="shared" si="1"/>
        <v>-7</v>
      </c>
      <c r="W125" s="30" t="s">
        <v>36</v>
      </c>
      <c r="X125" s="13"/>
      <c r="Y125" s="29" t="s">
        <v>882</v>
      </c>
    </row>
    <row r="126" hidden="1">
      <c r="A126" s="8">
        <v>124.0</v>
      </c>
      <c r="B126" s="64" t="s">
        <v>855</v>
      </c>
      <c r="C126" s="28" t="s">
        <v>883</v>
      </c>
      <c r="D126" s="29" t="s">
        <v>884</v>
      </c>
      <c r="E126" s="28" t="s">
        <v>147</v>
      </c>
      <c r="F126" s="29" t="s">
        <v>885</v>
      </c>
      <c r="G126" s="29" t="s">
        <v>886</v>
      </c>
      <c r="H126" s="30">
        <v>9.586562025E9</v>
      </c>
      <c r="I126" s="35"/>
      <c r="J126" s="28">
        <v>0.0</v>
      </c>
      <c r="K126" s="62" t="s">
        <v>373</v>
      </c>
      <c r="L126" s="28" t="s">
        <v>506</v>
      </c>
      <c r="M126" s="53" t="s">
        <v>33</v>
      </c>
      <c r="N126" s="28" t="s">
        <v>46</v>
      </c>
      <c r="O126" s="28" t="s">
        <v>47</v>
      </c>
      <c r="P126" s="30" t="s">
        <v>887</v>
      </c>
      <c r="Q126" s="30" t="s">
        <v>25</v>
      </c>
      <c r="R126" s="30" t="s">
        <v>25</v>
      </c>
      <c r="S126" s="29">
        <v>12800.0</v>
      </c>
      <c r="T126" s="29">
        <v>15104.0</v>
      </c>
      <c r="U126" s="33">
        <v>15100.0</v>
      </c>
      <c r="V126" s="26">
        <f t="shared" si="1"/>
        <v>4</v>
      </c>
      <c r="W126" s="30" t="s">
        <v>36</v>
      </c>
      <c r="X126" s="13"/>
      <c r="Y126" s="29" t="s">
        <v>888</v>
      </c>
    </row>
    <row r="127" hidden="1">
      <c r="A127" s="23">
        <v>125.0</v>
      </c>
      <c r="B127" s="64" t="s">
        <v>889</v>
      </c>
      <c r="C127" s="28" t="s">
        <v>890</v>
      </c>
      <c r="D127" s="28" t="s">
        <v>891</v>
      </c>
      <c r="E127" s="28" t="s">
        <v>28</v>
      </c>
      <c r="F127" s="28" t="s">
        <v>892</v>
      </c>
      <c r="G127" s="28" t="s">
        <v>893</v>
      </c>
      <c r="H127" s="30">
        <v>6.353480705E9</v>
      </c>
      <c r="I127" s="30">
        <v>9.998314744E9</v>
      </c>
      <c r="J127" s="28">
        <v>3490.0</v>
      </c>
      <c r="K127" s="62" t="s">
        <v>373</v>
      </c>
      <c r="L127" s="28" t="s">
        <v>133</v>
      </c>
      <c r="M127" s="53" t="s">
        <v>33</v>
      </c>
      <c r="N127" s="28" t="s">
        <v>894</v>
      </c>
      <c r="O127" s="28" t="s">
        <v>35</v>
      </c>
      <c r="P127" s="32">
        <v>46179.0</v>
      </c>
      <c r="Q127" s="32">
        <v>45814.0</v>
      </c>
      <c r="R127" s="30" t="s">
        <v>895</v>
      </c>
      <c r="S127" s="28">
        <v>22703.0</v>
      </c>
      <c r="T127" s="28">
        <v>25820.0</v>
      </c>
      <c r="U127" s="33">
        <v>19500.0</v>
      </c>
      <c r="V127" s="26">
        <f t="shared" si="1"/>
        <v>6320</v>
      </c>
      <c r="W127" s="30" t="s">
        <v>36</v>
      </c>
      <c r="X127" s="13"/>
      <c r="Y127" s="28" t="s">
        <v>896</v>
      </c>
    </row>
    <row r="128" hidden="1">
      <c r="A128" s="8">
        <v>126.0</v>
      </c>
      <c r="B128" s="64" t="s">
        <v>889</v>
      </c>
      <c r="C128" s="28" t="s">
        <v>897</v>
      </c>
      <c r="D128" s="29" t="s">
        <v>898</v>
      </c>
      <c r="E128" s="65" t="s">
        <v>92</v>
      </c>
      <c r="F128" s="29" t="s">
        <v>899</v>
      </c>
      <c r="G128" s="29" t="s">
        <v>900</v>
      </c>
      <c r="H128" s="30" t="s">
        <v>901</v>
      </c>
      <c r="I128" s="30">
        <v>9.909533412E9</v>
      </c>
      <c r="J128" s="28">
        <v>3895.0</v>
      </c>
      <c r="K128" s="62" t="s">
        <v>902</v>
      </c>
      <c r="L128" s="28" t="s">
        <v>428</v>
      </c>
      <c r="M128" s="53" t="s">
        <v>33</v>
      </c>
      <c r="N128" s="28" t="s">
        <v>56</v>
      </c>
      <c r="O128" s="28" t="s">
        <v>47</v>
      </c>
      <c r="P128" s="30" t="s">
        <v>903</v>
      </c>
      <c r="Q128" s="30" t="s">
        <v>904</v>
      </c>
      <c r="R128" s="32">
        <v>47125.0</v>
      </c>
      <c r="S128" s="36">
        <v>23595.0</v>
      </c>
      <c r="T128" s="36">
        <v>26879.0</v>
      </c>
      <c r="U128" s="33">
        <v>21500.0</v>
      </c>
      <c r="V128" s="20">
        <f t="shared" si="1"/>
        <v>5379</v>
      </c>
      <c r="W128" s="30" t="s">
        <v>327</v>
      </c>
      <c r="X128" s="13"/>
      <c r="Y128" s="29" t="s">
        <v>905</v>
      </c>
    </row>
    <row r="129" hidden="1">
      <c r="A129" s="8">
        <v>127.0</v>
      </c>
      <c r="B129" s="64" t="s">
        <v>889</v>
      </c>
      <c r="C129" s="28" t="s">
        <v>906</v>
      </c>
      <c r="D129" s="29" t="s">
        <v>907</v>
      </c>
      <c r="E129" s="28" t="s">
        <v>28</v>
      </c>
      <c r="F129" s="29" t="s">
        <v>908</v>
      </c>
      <c r="G129" s="29" t="s">
        <v>909</v>
      </c>
      <c r="H129" s="30" t="s">
        <v>910</v>
      </c>
      <c r="I129" s="30">
        <v>9.925481419E9</v>
      </c>
      <c r="J129" s="28">
        <v>3460.0</v>
      </c>
      <c r="K129" s="62" t="s">
        <v>911</v>
      </c>
      <c r="L129" s="28" t="s">
        <v>428</v>
      </c>
      <c r="M129" s="53" t="s">
        <v>33</v>
      </c>
      <c r="N129" s="28" t="s">
        <v>56</v>
      </c>
      <c r="O129" s="28" t="s">
        <v>35</v>
      </c>
      <c r="P129" s="30" t="s">
        <v>912</v>
      </c>
      <c r="Q129" s="30" t="s">
        <v>913</v>
      </c>
      <c r="R129" s="32">
        <v>47335.0</v>
      </c>
      <c r="S129" s="68">
        <v>19289.0</v>
      </c>
      <c r="T129" s="36">
        <v>21798.0</v>
      </c>
      <c r="U129" s="33">
        <v>16500.0</v>
      </c>
      <c r="V129" s="20">
        <f t="shared" si="1"/>
        <v>5298</v>
      </c>
      <c r="W129" s="30" t="s">
        <v>327</v>
      </c>
      <c r="X129" s="13"/>
      <c r="Y129" s="29" t="s">
        <v>914</v>
      </c>
    </row>
    <row r="130" hidden="1">
      <c r="A130" s="23">
        <v>128.0</v>
      </c>
      <c r="B130" s="64" t="s">
        <v>889</v>
      </c>
      <c r="C130" s="28" t="s">
        <v>915</v>
      </c>
      <c r="D130" s="29" t="s">
        <v>916</v>
      </c>
      <c r="E130" s="28" t="s">
        <v>157</v>
      </c>
      <c r="F130" s="29" t="s">
        <v>917</v>
      </c>
      <c r="G130" s="29" t="s">
        <v>918</v>
      </c>
      <c r="H130" s="30" t="s">
        <v>919</v>
      </c>
      <c r="I130" s="35"/>
      <c r="J130" s="28">
        <v>1197.0</v>
      </c>
      <c r="K130" s="62" t="s">
        <v>787</v>
      </c>
      <c r="L130" s="28" t="s">
        <v>160</v>
      </c>
      <c r="M130" s="53" t="s">
        <v>33</v>
      </c>
      <c r="N130" s="28" t="s">
        <v>34</v>
      </c>
      <c r="O130" s="28" t="s">
        <v>360</v>
      </c>
      <c r="P130" s="30" t="s">
        <v>920</v>
      </c>
      <c r="Q130" s="30" t="s">
        <v>921</v>
      </c>
      <c r="R130" s="30" t="s">
        <v>25</v>
      </c>
      <c r="S130" s="29">
        <v>10303.39</v>
      </c>
      <c r="T130" s="29">
        <v>12157.99</v>
      </c>
      <c r="U130" s="33">
        <v>12150.0</v>
      </c>
      <c r="V130" s="26">
        <f t="shared" si="1"/>
        <v>7.99</v>
      </c>
      <c r="W130" s="30" t="s">
        <v>327</v>
      </c>
      <c r="X130" s="13"/>
      <c r="Y130" s="29" t="s">
        <v>922</v>
      </c>
    </row>
    <row r="131" hidden="1">
      <c r="A131" s="8">
        <v>129.0</v>
      </c>
      <c r="B131" s="64" t="s">
        <v>889</v>
      </c>
      <c r="C131" s="28" t="s">
        <v>923</v>
      </c>
      <c r="D131" s="69" t="s">
        <v>924</v>
      </c>
      <c r="E131" s="28" t="s">
        <v>122</v>
      </c>
      <c r="F131" s="29" t="s">
        <v>925</v>
      </c>
      <c r="G131" s="29" t="s">
        <v>926</v>
      </c>
      <c r="H131" s="30" t="s">
        <v>927</v>
      </c>
      <c r="I131" s="30" t="s">
        <v>928</v>
      </c>
      <c r="J131" s="28">
        <v>102.0</v>
      </c>
      <c r="K131" s="62" t="s">
        <v>881</v>
      </c>
      <c r="L131" s="28" t="s">
        <v>726</v>
      </c>
      <c r="M131" s="53" t="s">
        <v>45</v>
      </c>
      <c r="N131" s="28" t="s">
        <v>209</v>
      </c>
      <c r="O131" s="28" t="s">
        <v>360</v>
      </c>
      <c r="P131" s="30" t="s">
        <v>929</v>
      </c>
      <c r="Q131" s="30" t="s">
        <v>930</v>
      </c>
      <c r="R131" s="35"/>
      <c r="S131" s="29">
        <v>714.0</v>
      </c>
      <c r="T131" s="29">
        <v>843.0</v>
      </c>
      <c r="U131" s="33">
        <v>850.0</v>
      </c>
      <c r="V131" s="26">
        <f t="shared" si="1"/>
        <v>-7</v>
      </c>
      <c r="W131" s="30" t="s">
        <v>36</v>
      </c>
      <c r="X131" s="13"/>
      <c r="Y131" s="29" t="s">
        <v>931</v>
      </c>
    </row>
    <row r="132" hidden="1">
      <c r="A132" s="8">
        <v>130.0</v>
      </c>
      <c r="B132" s="64" t="s">
        <v>889</v>
      </c>
      <c r="C132" s="28" t="s">
        <v>932</v>
      </c>
      <c r="D132" s="29" t="s">
        <v>933</v>
      </c>
      <c r="E132" s="28" t="s">
        <v>122</v>
      </c>
      <c r="F132" s="29" t="s">
        <v>934</v>
      </c>
      <c r="G132" s="29" t="s">
        <v>935</v>
      </c>
      <c r="H132" s="30">
        <v>9.624802686E9</v>
      </c>
      <c r="I132" s="35"/>
      <c r="J132" s="28">
        <v>109.0</v>
      </c>
      <c r="K132" s="62" t="s">
        <v>866</v>
      </c>
      <c r="L132" s="28" t="s">
        <v>160</v>
      </c>
      <c r="M132" s="53" t="s">
        <v>45</v>
      </c>
      <c r="N132" s="28" t="s">
        <v>209</v>
      </c>
      <c r="O132" s="28" t="s">
        <v>360</v>
      </c>
      <c r="P132" s="30" t="s">
        <v>936</v>
      </c>
      <c r="Q132" s="30" t="s">
        <v>937</v>
      </c>
      <c r="R132" s="30" t="s">
        <v>25</v>
      </c>
      <c r="S132" s="29">
        <v>714.0</v>
      </c>
      <c r="T132" s="29">
        <v>842.0</v>
      </c>
      <c r="U132" s="33">
        <v>842.0</v>
      </c>
      <c r="V132" s="26">
        <f t="shared" si="1"/>
        <v>0</v>
      </c>
      <c r="W132" s="30" t="s">
        <v>36</v>
      </c>
      <c r="X132" s="13"/>
      <c r="Y132" s="29" t="s">
        <v>938</v>
      </c>
    </row>
    <row r="133" hidden="1">
      <c r="A133" s="23">
        <v>131.0</v>
      </c>
      <c r="B133" s="64" t="s">
        <v>889</v>
      </c>
      <c r="C133" s="28" t="s">
        <v>939</v>
      </c>
      <c r="D133" s="29" t="s">
        <v>940</v>
      </c>
      <c r="E133" s="28" t="s">
        <v>63</v>
      </c>
      <c r="F133" s="29" t="s">
        <v>64</v>
      </c>
      <c r="G133" s="29" t="s">
        <v>941</v>
      </c>
      <c r="H133" s="30">
        <v>9.601430581E9</v>
      </c>
      <c r="I133" s="35"/>
      <c r="J133" s="28">
        <v>236.0</v>
      </c>
      <c r="K133" s="62" t="s">
        <v>373</v>
      </c>
      <c r="L133" s="28" t="s">
        <v>55</v>
      </c>
      <c r="M133" s="53" t="s">
        <v>33</v>
      </c>
      <c r="N133" s="28" t="s">
        <v>209</v>
      </c>
      <c r="O133" s="28" t="s">
        <v>35</v>
      </c>
      <c r="P133" s="30" t="s">
        <v>942</v>
      </c>
      <c r="Q133" s="30" t="s">
        <v>943</v>
      </c>
      <c r="R133" s="30" t="s">
        <v>944</v>
      </c>
      <c r="S133" s="29">
        <v>6497.0</v>
      </c>
      <c r="T133" s="29">
        <v>7667.0</v>
      </c>
      <c r="U133" s="33">
        <v>6500.0</v>
      </c>
      <c r="V133" s="26">
        <f t="shared" si="1"/>
        <v>1167</v>
      </c>
      <c r="W133" s="30" t="s">
        <v>36</v>
      </c>
      <c r="X133" s="13"/>
      <c r="Y133" s="29" t="s">
        <v>945</v>
      </c>
    </row>
    <row r="134" hidden="1">
      <c r="A134" s="8">
        <v>132.0</v>
      </c>
      <c r="B134" s="64" t="s">
        <v>889</v>
      </c>
      <c r="C134" s="28" t="s">
        <v>946</v>
      </c>
      <c r="D134" s="29" t="s">
        <v>947</v>
      </c>
      <c r="E134" s="28" t="s">
        <v>122</v>
      </c>
      <c r="F134" s="29" t="s">
        <v>948</v>
      </c>
      <c r="G134" s="29" t="s">
        <v>949</v>
      </c>
      <c r="H134" s="30">
        <v>9.825234837E9</v>
      </c>
      <c r="I134" s="35"/>
      <c r="J134" s="28">
        <v>110.0</v>
      </c>
      <c r="K134" s="62" t="s">
        <v>881</v>
      </c>
      <c r="L134" s="28" t="s">
        <v>726</v>
      </c>
      <c r="M134" s="53" t="s">
        <v>45</v>
      </c>
      <c r="N134" s="28" t="s">
        <v>34</v>
      </c>
      <c r="O134" s="28" t="s">
        <v>360</v>
      </c>
      <c r="P134" s="30" t="s">
        <v>950</v>
      </c>
      <c r="Q134" s="30" t="s">
        <v>951</v>
      </c>
      <c r="R134" s="30" t="s">
        <v>25</v>
      </c>
      <c r="S134" s="29">
        <v>714.0</v>
      </c>
      <c r="T134" s="29">
        <v>843.0</v>
      </c>
      <c r="U134" s="33">
        <v>850.0</v>
      </c>
      <c r="V134" s="26">
        <f t="shared" si="1"/>
        <v>-7</v>
      </c>
      <c r="W134" s="30" t="s">
        <v>36</v>
      </c>
      <c r="X134" s="13"/>
      <c r="Y134" s="29" t="s">
        <v>952</v>
      </c>
    </row>
    <row r="135" hidden="1">
      <c r="A135" s="8">
        <v>133.0</v>
      </c>
      <c r="B135" s="64" t="s">
        <v>889</v>
      </c>
      <c r="C135" s="28" t="s">
        <v>953</v>
      </c>
      <c r="D135" s="29" t="s">
        <v>954</v>
      </c>
      <c r="E135" s="28" t="s">
        <v>122</v>
      </c>
      <c r="F135" s="29" t="s">
        <v>955</v>
      </c>
      <c r="G135" s="29" t="s">
        <v>956</v>
      </c>
      <c r="H135" s="30">
        <v>9.825855126E9</v>
      </c>
      <c r="I135" s="35"/>
      <c r="J135" s="28">
        <v>150.0</v>
      </c>
      <c r="K135" s="62" t="s">
        <v>340</v>
      </c>
      <c r="L135" s="28" t="s">
        <v>726</v>
      </c>
      <c r="M135" s="53" t="s">
        <v>45</v>
      </c>
      <c r="N135" s="28" t="s">
        <v>209</v>
      </c>
      <c r="O135" s="28" t="s">
        <v>360</v>
      </c>
      <c r="P135" s="30" t="s">
        <v>957</v>
      </c>
      <c r="Q135" s="30" t="s">
        <v>958</v>
      </c>
      <c r="R135" s="30" t="s">
        <v>25</v>
      </c>
      <c r="S135" s="29">
        <v>714.0</v>
      </c>
      <c r="T135" s="29">
        <v>842.0</v>
      </c>
      <c r="U135" s="33">
        <v>850.0</v>
      </c>
      <c r="V135" s="26">
        <f t="shared" si="1"/>
        <v>-8</v>
      </c>
      <c r="W135" s="30" t="s">
        <v>36</v>
      </c>
      <c r="X135" s="13"/>
      <c r="Y135" s="29" t="s">
        <v>959</v>
      </c>
    </row>
    <row r="136" hidden="1">
      <c r="A136" s="61">
        <v>134.0</v>
      </c>
      <c r="B136" s="64" t="s">
        <v>889</v>
      </c>
      <c r="C136" s="28" t="s">
        <v>960</v>
      </c>
      <c r="D136" s="29" t="s">
        <v>961</v>
      </c>
      <c r="E136" s="28" t="s">
        <v>157</v>
      </c>
      <c r="F136" s="29" t="s">
        <v>962</v>
      </c>
      <c r="G136" s="29" t="s">
        <v>963</v>
      </c>
      <c r="H136" s="30">
        <v>8.238569372E9</v>
      </c>
      <c r="I136" s="35"/>
      <c r="J136" s="28">
        <v>1248.0</v>
      </c>
      <c r="K136" s="62" t="s">
        <v>373</v>
      </c>
      <c r="L136" s="28" t="s">
        <v>238</v>
      </c>
      <c r="M136" s="53" t="s">
        <v>45</v>
      </c>
      <c r="N136" s="28" t="s">
        <v>209</v>
      </c>
      <c r="O136" s="28" t="s">
        <v>360</v>
      </c>
      <c r="P136" s="30" t="s">
        <v>964</v>
      </c>
      <c r="Q136" s="32">
        <v>45969.0</v>
      </c>
      <c r="R136" s="30" t="s">
        <v>25</v>
      </c>
      <c r="S136" s="36">
        <v>3691.0</v>
      </c>
      <c r="T136" s="36">
        <v>4355.0</v>
      </c>
      <c r="U136" s="33">
        <v>4500.0</v>
      </c>
      <c r="V136" s="20">
        <f t="shared" si="1"/>
        <v>-145</v>
      </c>
      <c r="W136" s="30" t="s">
        <v>36</v>
      </c>
      <c r="X136" s="13"/>
      <c r="Y136" s="29" t="s">
        <v>965</v>
      </c>
    </row>
    <row r="137" hidden="1">
      <c r="A137" s="8">
        <v>135.0</v>
      </c>
      <c r="B137" s="64" t="s">
        <v>889</v>
      </c>
      <c r="C137" s="28" t="s">
        <v>966</v>
      </c>
      <c r="D137" s="29" t="s">
        <v>967</v>
      </c>
      <c r="E137" s="28" t="s">
        <v>147</v>
      </c>
      <c r="F137" s="29" t="s">
        <v>968</v>
      </c>
      <c r="G137" s="29" t="s">
        <v>969</v>
      </c>
      <c r="H137" s="30">
        <v>7.567979531E9</v>
      </c>
      <c r="I137" s="35"/>
      <c r="J137" s="28">
        <v>0.0</v>
      </c>
      <c r="K137" s="62" t="s">
        <v>866</v>
      </c>
      <c r="L137" s="28" t="s">
        <v>193</v>
      </c>
      <c r="M137" s="53" t="s">
        <v>33</v>
      </c>
      <c r="N137" s="28" t="s">
        <v>46</v>
      </c>
      <c r="O137" s="28" t="s">
        <v>47</v>
      </c>
      <c r="P137" s="30" t="s">
        <v>970</v>
      </c>
      <c r="Q137" s="30" t="s">
        <v>971</v>
      </c>
      <c r="R137" s="35"/>
      <c r="S137" s="36">
        <v>8326.25</v>
      </c>
      <c r="T137" s="36">
        <v>9825.0</v>
      </c>
      <c r="U137" s="33">
        <v>9800.0</v>
      </c>
      <c r="V137" s="20">
        <f t="shared" si="1"/>
        <v>25</v>
      </c>
      <c r="W137" s="30" t="s">
        <v>36</v>
      </c>
      <c r="X137" s="13"/>
      <c r="Y137" s="29" t="s">
        <v>972</v>
      </c>
    </row>
    <row r="138">
      <c r="A138" s="8">
        <v>136.0</v>
      </c>
      <c r="B138" s="64" t="s">
        <v>889</v>
      </c>
      <c r="C138" s="28" t="s">
        <v>973</v>
      </c>
      <c r="D138" s="28" t="s">
        <v>974</v>
      </c>
      <c r="E138" s="28" t="s">
        <v>157</v>
      </c>
      <c r="F138" s="28" t="s">
        <v>975</v>
      </c>
      <c r="G138" s="28" t="s">
        <v>976</v>
      </c>
      <c r="H138" s="30" t="s">
        <v>977</v>
      </c>
      <c r="I138" s="35"/>
      <c r="J138" s="28">
        <v>1396.0</v>
      </c>
      <c r="K138" s="62" t="s">
        <v>978</v>
      </c>
      <c r="L138" s="28" t="s">
        <v>222</v>
      </c>
      <c r="M138" s="53" t="s">
        <v>45</v>
      </c>
      <c r="N138" s="28" t="s">
        <v>209</v>
      </c>
      <c r="O138" s="28" t="s">
        <v>979</v>
      </c>
      <c r="P138" s="30" t="s">
        <v>980</v>
      </c>
      <c r="Q138" s="32">
        <v>45905.0</v>
      </c>
      <c r="R138" s="30" t="s">
        <v>25</v>
      </c>
      <c r="S138" s="28">
        <v>3866.0</v>
      </c>
      <c r="T138" s="28">
        <v>4562.0</v>
      </c>
      <c r="U138" s="33">
        <v>4500.0</v>
      </c>
      <c r="V138" s="26">
        <f t="shared" si="1"/>
        <v>62</v>
      </c>
      <c r="W138" s="30" t="s">
        <v>327</v>
      </c>
      <c r="X138" s="13"/>
      <c r="Y138" s="28" t="s">
        <v>981</v>
      </c>
    </row>
    <row r="139" hidden="1">
      <c r="A139" s="23">
        <v>137.0</v>
      </c>
      <c r="B139" s="64" t="s">
        <v>889</v>
      </c>
      <c r="C139" s="28" t="s">
        <v>982</v>
      </c>
      <c r="D139" s="29" t="s">
        <v>983</v>
      </c>
      <c r="E139" s="28" t="s">
        <v>92</v>
      </c>
      <c r="F139" s="29" t="s">
        <v>984</v>
      </c>
      <c r="G139" s="29" t="s">
        <v>985</v>
      </c>
      <c r="H139" s="30">
        <v>8.238699831E9</v>
      </c>
      <c r="I139" s="70">
        <v>8.980862444E9</v>
      </c>
      <c r="J139" s="28">
        <v>35000.0</v>
      </c>
      <c r="K139" s="62" t="s">
        <v>866</v>
      </c>
      <c r="L139" s="28" t="s">
        <v>55</v>
      </c>
      <c r="M139" s="53" t="s">
        <v>33</v>
      </c>
      <c r="N139" s="28" t="s">
        <v>56</v>
      </c>
      <c r="O139" s="28" t="s">
        <v>35</v>
      </c>
      <c r="P139" s="30" t="s">
        <v>437</v>
      </c>
      <c r="Q139" s="30" t="s">
        <v>520</v>
      </c>
      <c r="R139" s="30" t="s">
        <v>986</v>
      </c>
      <c r="S139" s="29">
        <v>49262.0</v>
      </c>
      <c r="T139" s="29">
        <v>55492.0</v>
      </c>
      <c r="U139" s="33">
        <v>48500.0</v>
      </c>
      <c r="V139" s="26">
        <f t="shared" si="1"/>
        <v>6992</v>
      </c>
      <c r="W139" s="30" t="s">
        <v>36</v>
      </c>
      <c r="X139" s="13"/>
      <c r="Y139" s="29" t="s">
        <v>987</v>
      </c>
    </row>
    <row r="140" hidden="1">
      <c r="A140" s="8">
        <v>138.0</v>
      </c>
      <c r="B140" s="64" t="s">
        <v>889</v>
      </c>
      <c r="C140" s="28" t="s">
        <v>988</v>
      </c>
      <c r="D140" s="29" t="s">
        <v>989</v>
      </c>
      <c r="E140" s="28" t="s">
        <v>28</v>
      </c>
      <c r="F140" s="29" t="s">
        <v>103</v>
      </c>
      <c r="G140" s="29" t="s">
        <v>990</v>
      </c>
      <c r="H140" s="30">
        <v>9.727873373E9</v>
      </c>
      <c r="I140" s="30">
        <v>9.898087502E9</v>
      </c>
      <c r="J140" s="28">
        <v>2735.0</v>
      </c>
      <c r="K140" s="62" t="s">
        <v>991</v>
      </c>
      <c r="L140" s="28" t="s">
        <v>55</v>
      </c>
      <c r="M140" s="53" t="s">
        <v>33</v>
      </c>
      <c r="N140" s="28" t="s">
        <v>73</v>
      </c>
      <c r="O140" s="28" t="s">
        <v>35</v>
      </c>
      <c r="P140" s="30" t="s">
        <v>992</v>
      </c>
      <c r="Q140" s="30" t="s">
        <v>520</v>
      </c>
      <c r="R140" s="35"/>
      <c r="S140" s="29">
        <v>21525.0</v>
      </c>
      <c r="T140" s="29">
        <v>24437.0</v>
      </c>
      <c r="U140" s="33">
        <v>16500.0</v>
      </c>
      <c r="V140" s="26">
        <f t="shared" si="1"/>
        <v>7937</v>
      </c>
      <c r="W140" s="30" t="s">
        <v>327</v>
      </c>
      <c r="X140" s="13"/>
      <c r="Y140" s="29" t="s">
        <v>993</v>
      </c>
    </row>
    <row r="141" hidden="1">
      <c r="A141" s="8">
        <v>139.0</v>
      </c>
      <c r="B141" s="64" t="s">
        <v>994</v>
      </c>
      <c r="C141" s="28" t="s">
        <v>995</v>
      </c>
      <c r="D141" s="29" t="s">
        <v>996</v>
      </c>
      <c r="E141" s="28" t="s">
        <v>28</v>
      </c>
      <c r="F141" s="29" t="s">
        <v>997</v>
      </c>
      <c r="G141" s="29" t="s">
        <v>998</v>
      </c>
      <c r="H141" s="30">
        <v>8.849845627E9</v>
      </c>
      <c r="I141" s="35"/>
      <c r="J141" s="28">
        <v>3490.0</v>
      </c>
      <c r="K141" s="62" t="s">
        <v>866</v>
      </c>
      <c r="L141" s="28" t="s">
        <v>133</v>
      </c>
      <c r="M141" s="53" t="s">
        <v>33</v>
      </c>
      <c r="N141" s="28" t="s">
        <v>34</v>
      </c>
      <c r="O141" s="28" t="s">
        <v>35</v>
      </c>
      <c r="P141" s="32">
        <v>46541.0</v>
      </c>
      <c r="Q141" s="30" t="s">
        <v>336</v>
      </c>
      <c r="R141" s="30" t="s">
        <v>999</v>
      </c>
      <c r="S141" s="36">
        <v>21619.0</v>
      </c>
      <c r="T141" s="36">
        <v>24543.0</v>
      </c>
      <c r="U141" s="33">
        <v>18300.0</v>
      </c>
      <c r="V141" s="20">
        <f t="shared" si="1"/>
        <v>6243</v>
      </c>
      <c r="W141" s="30" t="s">
        <v>36</v>
      </c>
      <c r="X141" s="13"/>
      <c r="Y141" s="29" t="s">
        <v>1000</v>
      </c>
    </row>
    <row r="142" hidden="1">
      <c r="A142" s="23">
        <v>140.0</v>
      </c>
      <c r="B142" s="64" t="s">
        <v>994</v>
      </c>
      <c r="C142" s="28" t="s">
        <v>1001</v>
      </c>
      <c r="D142" s="29" t="s">
        <v>1002</v>
      </c>
      <c r="E142" s="28" t="s">
        <v>92</v>
      </c>
      <c r="F142" s="29" t="s">
        <v>1003</v>
      </c>
      <c r="G142" s="29" t="s">
        <v>1004</v>
      </c>
      <c r="H142" s="30">
        <v>9.979130611E9</v>
      </c>
      <c r="I142" s="30">
        <v>9.712212656E9</v>
      </c>
      <c r="J142" s="28">
        <v>35000.0</v>
      </c>
      <c r="K142" s="62" t="s">
        <v>911</v>
      </c>
      <c r="L142" s="28" t="s">
        <v>55</v>
      </c>
      <c r="M142" s="53" t="s">
        <v>33</v>
      </c>
      <c r="N142" s="28" t="s">
        <v>66</v>
      </c>
      <c r="O142" s="28" t="s">
        <v>35</v>
      </c>
      <c r="P142" s="32">
        <v>45998.0</v>
      </c>
      <c r="Q142" s="32">
        <v>46117.0</v>
      </c>
      <c r="R142" s="30" t="s">
        <v>1005</v>
      </c>
      <c r="S142" s="29">
        <v>51129.0</v>
      </c>
      <c r="T142" s="29">
        <v>57695.0</v>
      </c>
      <c r="U142" s="33">
        <v>50000.0</v>
      </c>
      <c r="V142" s="26">
        <f t="shared" si="1"/>
        <v>7695</v>
      </c>
      <c r="W142" s="30" t="s">
        <v>327</v>
      </c>
      <c r="X142" s="13"/>
      <c r="Y142" s="29" t="s">
        <v>1006</v>
      </c>
    </row>
    <row r="143" hidden="1">
      <c r="A143" s="8">
        <v>141.0</v>
      </c>
      <c r="B143" s="64" t="s">
        <v>994</v>
      </c>
      <c r="C143" s="28" t="s">
        <v>1007</v>
      </c>
      <c r="D143" s="29" t="s">
        <v>1008</v>
      </c>
      <c r="E143" s="28" t="s">
        <v>28</v>
      </c>
      <c r="F143" s="29" t="s">
        <v>103</v>
      </c>
      <c r="G143" s="29" t="s">
        <v>1009</v>
      </c>
      <c r="H143" s="30">
        <v>9.723051547E9</v>
      </c>
      <c r="I143" s="35"/>
      <c r="J143" s="28">
        <v>2735.0</v>
      </c>
      <c r="K143" s="62" t="s">
        <v>866</v>
      </c>
      <c r="L143" s="28" t="s">
        <v>55</v>
      </c>
      <c r="M143" s="53" t="s">
        <v>33</v>
      </c>
      <c r="N143" s="28" t="s">
        <v>34</v>
      </c>
      <c r="O143" s="28" t="s">
        <v>35</v>
      </c>
      <c r="P143" s="30" t="s">
        <v>1010</v>
      </c>
      <c r="Q143" s="30" t="s">
        <v>1011</v>
      </c>
      <c r="R143" s="30" t="s">
        <v>25</v>
      </c>
      <c r="S143" s="29">
        <v>21357.0</v>
      </c>
      <c r="T143" s="29">
        <v>24239.0</v>
      </c>
      <c r="U143" s="33">
        <v>18000.0</v>
      </c>
      <c r="V143" s="26">
        <f t="shared" si="1"/>
        <v>6239</v>
      </c>
      <c r="W143" s="30" t="s">
        <v>36</v>
      </c>
      <c r="X143" s="13"/>
      <c r="Y143" s="29" t="s">
        <v>1012</v>
      </c>
    </row>
    <row r="144" hidden="1">
      <c r="A144" s="8">
        <v>142.0</v>
      </c>
      <c r="B144" s="64" t="s">
        <v>994</v>
      </c>
      <c r="C144" s="28" t="s">
        <v>1013</v>
      </c>
      <c r="D144" s="29" t="s">
        <v>1014</v>
      </c>
      <c r="E144" s="28" t="s">
        <v>122</v>
      </c>
      <c r="F144" s="29" t="s">
        <v>1015</v>
      </c>
      <c r="G144" s="29" t="s">
        <v>1016</v>
      </c>
      <c r="H144" s="30" t="s">
        <v>927</v>
      </c>
      <c r="I144" s="30" t="s">
        <v>1017</v>
      </c>
      <c r="J144" s="28">
        <v>97.0</v>
      </c>
      <c r="K144" s="62" t="s">
        <v>881</v>
      </c>
      <c r="L144" s="28" t="s">
        <v>160</v>
      </c>
      <c r="M144" s="53" t="s">
        <v>45</v>
      </c>
      <c r="N144" s="28" t="s">
        <v>209</v>
      </c>
      <c r="O144" s="28" t="s">
        <v>360</v>
      </c>
      <c r="P144" s="35"/>
      <c r="Q144" s="35"/>
      <c r="R144" s="35"/>
      <c r="S144" s="29">
        <v>714.0</v>
      </c>
      <c r="T144" s="29">
        <v>842.0</v>
      </c>
      <c r="U144" s="33">
        <v>850.0</v>
      </c>
      <c r="V144" s="26">
        <f t="shared" si="1"/>
        <v>-8</v>
      </c>
      <c r="W144" s="35"/>
      <c r="X144" s="13"/>
      <c r="Y144" s="29" t="s">
        <v>1018</v>
      </c>
    </row>
    <row r="145" hidden="1">
      <c r="A145" s="23">
        <v>143.0</v>
      </c>
      <c r="B145" s="64" t="s">
        <v>994</v>
      </c>
      <c r="C145" s="28" t="s">
        <v>1019</v>
      </c>
      <c r="D145" s="29" t="s">
        <v>1020</v>
      </c>
      <c r="E145" s="28" t="s">
        <v>92</v>
      </c>
      <c r="F145" s="29" t="s">
        <v>1021</v>
      </c>
      <c r="G145" s="29" t="s">
        <v>1022</v>
      </c>
      <c r="H145" s="30">
        <v>9.773043831E9</v>
      </c>
      <c r="I145" s="35"/>
      <c r="J145" s="28">
        <v>16140.0</v>
      </c>
      <c r="K145" s="62" t="s">
        <v>866</v>
      </c>
      <c r="L145" s="28" t="s">
        <v>55</v>
      </c>
      <c r="M145" s="53" t="s">
        <v>33</v>
      </c>
      <c r="N145" s="28" t="s">
        <v>209</v>
      </c>
      <c r="O145" s="28" t="s">
        <v>35</v>
      </c>
      <c r="P145" s="41">
        <v>46338.0</v>
      </c>
      <c r="Q145" s="30" t="s">
        <v>566</v>
      </c>
      <c r="R145" s="71" t="s">
        <v>1023</v>
      </c>
      <c r="S145" s="29">
        <v>39513.0</v>
      </c>
      <c r="T145" s="29">
        <v>44507.0</v>
      </c>
      <c r="U145" s="33">
        <v>39000.0</v>
      </c>
      <c r="V145" s="26">
        <f t="shared" si="1"/>
        <v>5507</v>
      </c>
      <c r="W145" s="30" t="s">
        <v>36</v>
      </c>
      <c r="X145" s="13"/>
      <c r="Y145" s="29" t="s">
        <v>1024</v>
      </c>
    </row>
    <row r="146">
      <c r="A146" s="8">
        <v>144.0</v>
      </c>
      <c r="B146" s="64" t="s">
        <v>994</v>
      </c>
      <c r="C146" s="28" t="s">
        <v>1025</v>
      </c>
      <c r="D146" s="28" t="s">
        <v>1026</v>
      </c>
      <c r="E146" s="28" t="s">
        <v>92</v>
      </c>
      <c r="F146" s="28" t="s">
        <v>1027</v>
      </c>
      <c r="G146" s="28" t="s">
        <v>1028</v>
      </c>
      <c r="H146" s="30">
        <v>9.879929707E9</v>
      </c>
      <c r="I146" s="30" t="s">
        <v>1029</v>
      </c>
      <c r="J146" s="28">
        <v>35000.0</v>
      </c>
      <c r="K146" s="62" t="s">
        <v>866</v>
      </c>
      <c r="L146" s="28" t="s">
        <v>222</v>
      </c>
      <c r="M146" s="53" t="s">
        <v>33</v>
      </c>
      <c r="N146" s="28" t="s">
        <v>152</v>
      </c>
      <c r="O146" s="28" t="s">
        <v>47</v>
      </c>
      <c r="P146" s="30" t="s">
        <v>1030</v>
      </c>
      <c r="Q146" s="30" t="s">
        <v>1031</v>
      </c>
      <c r="R146" s="30" t="s">
        <v>1032</v>
      </c>
      <c r="S146" s="28">
        <v>48147.0</v>
      </c>
      <c r="T146" s="28">
        <v>54176.0</v>
      </c>
      <c r="U146" s="33">
        <v>47500.0</v>
      </c>
      <c r="V146" s="26">
        <f t="shared" si="1"/>
        <v>6676</v>
      </c>
      <c r="W146" s="30" t="s">
        <v>36</v>
      </c>
      <c r="X146" s="13"/>
      <c r="Y146" s="28" t="s">
        <v>1033</v>
      </c>
    </row>
    <row r="147" hidden="1">
      <c r="A147" s="8">
        <v>145.0</v>
      </c>
      <c r="B147" s="64" t="s">
        <v>994</v>
      </c>
      <c r="C147" s="28" t="s">
        <v>1034</v>
      </c>
      <c r="D147" s="29" t="s">
        <v>1035</v>
      </c>
      <c r="E147" s="28" t="s">
        <v>92</v>
      </c>
      <c r="F147" s="29" t="s">
        <v>1036</v>
      </c>
      <c r="G147" s="29" t="s">
        <v>1037</v>
      </c>
      <c r="H147" s="30">
        <v>9.825765417E9</v>
      </c>
      <c r="I147" s="35"/>
      <c r="J147" s="28">
        <v>28000.0</v>
      </c>
      <c r="K147" s="62" t="s">
        <v>1038</v>
      </c>
      <c r="L147" s="28" t="s">
        <v>726</v>
      </c>
      <c r="M147" s="53" t="s">
        <v>45</v>
      </c>
      <c r="N147" s="28" t="s">
        <v>34</v>
      </c>
      <c r="O147" s="28" t="s">
        <v>47</v>
      </c>
      <c r="P147" s="30" t="s">
        <v>507</v>
      </c>
      <c r="Q147" s="30" t="s">
        <v>245</v>
      </c>
      <c r="R147" s="32">
        <v>47178.0</v>
      </c>
      <c r="S147" s="29">
        <v>44050.0</v>
      </c>
      <c r="T147" s="29">
        <v>49342.0</v>
      </c>
      <c r="U147" s="33">
        <v>33500.0</v>
      </c>
      <c r="V147" s="26">
        <f t="shared" si="1"/>
        <v>15842</v>
      </c>
      <c r="W147" s="30" t="s">
        <v>327</v>
      </c>
      <c r="X147" s="13"/>
      <c r="Y147" s="29" t="s">
        <v>1039</v>
      </c>
    </row>
    <row r="148" hidden="1">
      <c r="A148" s="23">
        <v>146.0</v>
      </c>
      <c r="B148" s="64" t="s">
        <v>1040</v>
      </c>
      <c r="C148" s="28" t="s">
        <v>1041</v>
      </c>
      <c r="D148" s="29" t="s">
        <v>1042</v>
      </c>
      <c r="E148" s="28" t="s">
        <v>157</v>
      </c>
      <c r="F148" s="29" t="s">
        <v>1043</v>
      </c>
      <c r="G148" s="29" t="s">
        <v>1044</v>
      </c>
      <c r="H148" s="30">
        <v>9.429572935E9</v>
      </c>
      <c r="I148" s="30">
        <v>8.849964682E9</v>
      </c>
      <c r="J148" s="28">
        <v>1086.0</v>
      </c>
      <c r="K148" s="62" t="s">
        <v>902</v>
      </c>
      <c r="L148" s="28" t="s">
        <v>193</v>
      </c>
      <c r="M148" s="53" t="s">
        <v>45</v>
      </c>
      <c r="N148" s="28" t="s">
        <v>140</v>
      </c>
      <c r="O148" s="28" t="s">
        <v>360</v>
      </c>
      <c r="P148" s="32">
        <v>47270.0</v>
      </c>
      <c r="Q148" s="30" t="s">
        <v>1045</v>
      </c>
      <c r="R148" s="30" t="s">
        <v>25</v>
      </c>
      <c r="S148" s="29">
        <v>3476.0</v>
      </c>
      <c r="T148" s="29">
        <v>4102.0</v>
      </c>
      <c r="U148" s="33">
        <v>4000.0</v>
      </c>
      <c r="V148" s="26">
        <f t="shared" si="1"/>
        <v>102</v>
      </c>
      <c r="W148" s="30" t="s">
        <v>327</v>
      </c>
      <c r="X148" s="13"/>
      <c r="Y148" s="29" t="s">
        <v>1046</v>
      </c>
    </row>
    <row r="149" hidden="1">
      <c r="A149" s="8">
        <v>147.0</v>
      </c>
      <c r="B149" s="64" t="s">
        <v>1040</v>
      </c>
      <c r="C149" s="28" t="s">
        <v>1047</v>
      </c>
      <c r="D149" s="29" t="s">
        <v>1048</v>
      </c>
      <c r="E149" s="28" t="s">
        <v>92</v>
      </c>
      <c r="F149" s="29" t="s">
        <v>1049</v>
      </c>
      <c r="G149" s="29" t="s">
        <v>1050</v>
      </c>
      <c r="H149" s="30" t="s">
        <v>1051</v>
      </c>
      <c r="I149" s="35"/>
      <c r="J149" s="28">
        <v>35000.0</v>
      </c>
      <c r="K149" s="62" t="s">
        <v>866</v>
      </c>
      <c r="L149" s="28" t="s">
        <v>193</v>
      </c>
      <c r="M149" s="53" t="s">
        <v>33</v>
      </c>
      <c r="N149" s="28" t="s">
        <v>209</v>
      </c>
      <c r="O149" s="28" t="s">
        <v>166</v>
      </c>
      <c r="P149" s="32">
        <v>46300.0</v>
      </c>
      <c r="Q149" s="30" t="s">
        <v>1052</v>
      </c>
      <c r="R149" s="32">
        <v>46696.0</v>
      </c>
      <c r="S149" s="36">
        <v>49160.15</v>
      </c>
      <c r="T149" s="36">
        <v>55372.0</v>
      </c>
      <c r="U149" s="33">
        <v>46500.0</v>
      </c>
      <c r="V149" s="20">
        <f t="shared" si="1"/>
        <v>8872</v>
      </c>
      <c r="W149" s="30" t="s">
        <v>36</v>
      </c>
      <c r="X149" s="13"/>
      <c r="Y149" s="29" t="s">
        <v>1053</v>
      </c>
    </row>
    <row r="150" hidden="1">
      <c r="A150" s="8">
        <v>148.0</v>
      </c>
      <c r="B150" s="64" t="s">
        <v>1040</v>
      </c>
      <c r="C150" s="28" t="s">
        <v>1054</v>
      </c>
      <c r="D150" s="29" t="s">
        <v>1055</v>
      </c>
      <c r="E150" s="28" t="s">
        <v>28</v>
      </c>
      <c r="F150" s="29" t="s">
        <v>1056</v>
      </c>
      <c r="G150" s="29" t="s">
        <v>1057</v>
      </c>
      <c r="H150" s="30">
        <v>9.898558319E9</v>
      </c>
      <c r="I150" s="35"/>
      <c r="J150" s="28">
        <v>3490.0</v>
      </c>
      <c r="K150" s="62" t="s">
        <v>1058</v>
      </c>
      <c r="L150" s="28" t="s">
        <v>193</v>
      </c>
      <c r="M150" s="53" t="s">
        <v>33</v>
      </c>
      <c r="N150" s="28" t="s">
        <v>34</v>
      </c>
      <c r="O150" s="28" t="s">
        <v>47</v>
      </c>
      <c r="P150" s="30" t="s">
        <v>657</v>
      </c>
      <c r="Q150" s="30" t="s">
        <v>1030</v>
      </c>
      <c r="R150" s="30" t="s">
        <v>1059</v>
      </c>
      <c r="S150" s="36">
        <v>18213.3</v>
      </c>
      <c r="T150" s="36">
        <v>20529.0</v>
      </c>
      <c r="U150" s="33">
        <v>15500.0</v>
      </c>
      <c r="V150" s="20">
        <f t="shared" si="1"/>
        <v>5029</v>
      </c>
      <c r="W150" s="30" t="s">
        <v>327</v>
      </c>
      <c r="X150" s="13"/>
      <c r="Y150" s="29" t="s">
        <v>1060</v>
      </c>
    </row>
    <row r="151" hidden="1">
      <c r="A151" s="23">
        <v>149.0</v>
      </c>
      <c r="B151" s="64" t="s">
        <v>1040</v>
      </c>
      <c r="C151" s="28" t="s">
        <v>1061</v>
      </c>
      <c r="D151" s="29" t="s">
        <v>1062</v>
      </c>
      <c r="E151" s="28" t="s">
        <v>92</v>
      </c>
      <c r="F151" s="29" t="s">
        <v>1049</v>
      </c>
      <c r="G151" s="29" t="s">
        <v>1063</v>
      </c>
      <c r="H151" s="30" t="s">
        <v>1051</v>
      </c>
      <c r="I151" s="35"/>
      <c r="J151" s="28">
        <v>35000.0</v>
      </c>
      <c r="K151" s="62" t="s">
        <v>866</v>
      </c>
      <c r="L151" s="28" t="s">
        <v>193</v>
      </c>
      <c r="M151" s="53" t="s">
        <v>33</v>
      </c>
      <c r="N151" s="28" t="s">
        <v>209</v>
      </c>
      <c r="O151" s="28" t="s">
        <v>47</v>
      </c>
      <c r="P151" s="32">
        <v>46239.0</v>
      </c>
      <c r="Q151" s="30" t="s">
        <v>1064</v>
      </c>
      <c r="R151" s="30" t="s">
        <v>1065</v>
      </c>
      <c r="S151" s="36">
        <v>49160.15</v>
      </c>
      <c r="T151" s="36">
        <v>55372.0</v>
      </c>
      <c r="U151" s="33">
        <v>46500.0</v>
      </c>
      <c r="V151" s="20">
        <f t="shared" si="1"/>
        <v>8872</v>
      </c>
      <c r="W151" s="30" t="s">
        <v>36</v>
      </c>
      <c r="X151" s="13"/>
      <c r="Y151" s="29" t="s">
        <v>1066</v>
      </c>
    </row>
    <row r="152" hidden="1">
      <c r="A152" s="8">
        <v>150.0</v>
      </c>
      <c r="B152" s="64" t="s">
        <v>1040</v>
      </c>
      <c r="C152" s="28" t="s">
        <v>1067</v>
      </c>
      <c r="D152" s="29" t="s">
        <v>1068</v>
      </c>
      <c r="E152" s="28" t="s">
        <v>28</v>
      </c>
      <c r="F152" s="29" t="s">
        <v>1069</v>
      </c>
      <c r="G152" s="29" t="s">
        <v>1070</v>
      </c>
      <c r="H152" s="30" t="s">
        <v>1071</v>
      </c>
      <c r="I152" s="35"/>
      <c r="J152" s="28">
        <v>2670.0</v>
      </c>
      <c r="K152" s="62" t="s">
        <v>1072</v>
      </c>
      <c r="L152" s="28" t="s">
        <v>428</v>
      </c>
      <c r="M152" s="53" t="s">
        <v>33</v>
      </c>
      <c r="N152" s="28" t="s">
        <v>34</v>
      </c>
      <c r="O152" s="28" t="s">
        <v>35</v>
      </c>
      <c r="P152" s="32">
        <v>46093.0</v>
      </c>
      <c r="Q152" s="30" t="s">
        <v>1073</v>
      </c>
      <c r="R152" s="30" t="s">
        <v>25</v>
      </c>
      <c r="S152" s="36">
        <v>20667.0</v>
      </c>
      <c r="T152" s="36">
        <v>23424.0</v>
      </c>
      <c r="U152" s="33">
        <v>18000.0</v>
      </c>
      <c r="V152" s="20">
        <f t="shared" si="1"/>
        <v>5424</v>
      </c>
      <c r="W152" s="30" t="s">
        <v>327</v>
      </c>
      <c r="X152" s="13"/>
      <c r="Y152" s="29" t="s">
        <v>1074</v>
      </c>
    </row>
    <row r="153" hidden="1">
      <c r="A153" s="8">
        <v>151.0</v>
      </c>
      <c r="B153" s="64" t="s">
        <v>1040</v>
      </c>
      <c r="C153" s="28" t="s">
        <v>1075</v>
      </c>
      <c r="D153" s="29" t="s">
        <v>1076</v>
      </c>
      <c r="E153" s="28" t="s">
        <v>157</v>
      </c>
      <c r="F153" s="29" t="s">
        <v>1077</v>
      </c>
      <c r="G153" s="29" t="s">
        <v>1078</v>
      </c>
      <c r="H153" s="30" t="s">
        <v>1079</v>
      </c>
      <c r="I153" s="30" t="s">
        <v>1080</v>
      </c>
      <c r="J153" s="28">
        <v>1196.0</v>
      </c>
      <c r="K153" s="62" t="s">
        <v>1072</v>
      </c>
      <c r="L153" s="28" t="s">
        <v>238</v>
      </c>
      <c r="M153" s="53" t="s">
        <v>45</v>
      </c>
      <c r="N153" s="28" t="s">
        <v>56</v>
      </c>
      <c r="O153" s="28" t="s">
        <v>360</v>
      </c>
      <c r="P153" s="32">
        <v>49737.0</v>
      </c>
      <c r="Q153" s="30" t="s">
        <v>1081</v>
      </c>
      <c r="R153" s="35"/>
      <c r="S153" s="36">
        <v>3751.0</v>
      </c>
      <c r="T153" s="36">
        <v>4427.0</v>
      </c>
      <c r="U153" s="33">
        <v>4500.0</v>
      </c>
      <c r="V153" s="20">
        <f t="shared" si="1"/>
        <v>-73</v>
      </c>
      <c r="W153" s="30" t="s">
        <v>327</v>
      </c>
      <c r="X153" s="13"/>
      <c r="Y153" s="29" t="s">
        <v>1082</v>
      </c>
    </row>
    <row r="154" hidden="1">
      <c r="A154" s="23">
        <v>152.0</v>
      </c>
      <c r="B154" s="64" t="s">
        <v>1040</v>
      </c>
      <c r="C154" s="28" t="s">
        <v>1083</v>
      </c>
      <c r="D154" s="29" t="s">
        <v>1084</v>
      </c>
      <c r="E154" s="28" t="s">
        <v>92</v>
      </c>
      <c r="F154" s="29" t="s">
        <v>1085</v>
      </c>
      <c r="G154" s="29" t="s">
        <v>1086</v>
      </c>
      <c r="H154" s="30">
        <v>9.90997217E9</v>
      </c>
      <c r="I154" s="35"/>
      <c r="J154" s="28">
        <v>12990.0</v>
      </c>
      <c r="K154" s="62" t="s">
        <v>787</v>
      </c>
      <c r="L154" s="28" t="s">
        <v>193</v>
      </c>
      <c r="M154" s="53" t="s">
        <v>33</v>
      </c>
      <c r="N154" s="28" t="s">
        <v>140</v>
      </c>
      <c r="O154" s="28" t="s">
        <v>166</v>
      </c>
      <c r="P154" s="32">
        <v>45937.0</v>
      </c>
      <c r="Q154" s="30" t="s">
        <v>1087</v>
      </c>
      <c r="R154" s="30" t="s">
        <v>1088</v>
      </c>
      <c r="S154" s="36">
        <v>36686.33</v>
      </c>
      <c r="T154" s="36">
        <v>41171.0</v>
      </c>
      <c r="U154" s="33">
        <v>36000.0</v>
      </c>
      <c r="V154" s="20">
        <f t="shared" si="1"/>
        <v>5171</v>
      </c>
      <c r="W154" s="30" t="s">
        <v>327</v>
      </c>
      <c r="X154" s="13"/>
      <c r="Y154" s="29" t="s">
        <v>1089</v>
      </c>
    </row>
    <row r="155" hidden="1">
      <c r="A155" s="8">
        <v>153.0</v>
      </c>
      <c r="B155" s="64" t="s">
        <v>1090</v>
      </c>
      <c r="C155" s="28" t="s">
        <v>1091</v>
      </c>
      <c r="D155" s="29" t="s">
        <v>1092</v>
      </c>
      <c r="E155" s="28" t="s">
        <v>1093</v>
      </c>
      <c r="F155" s="29" t="s">
        <v>1094</v>
      </c>
      <c r="G155" s="29" t="s">
        <v>1095</v>
      </c>
      <c r="H155" s="30" t="s">
        <v>1096</v>
      </c>
      <c r="I155" s="30" t="s">
        <v>1097</v>
      </c>
      <c r="J155" s="28">
        <v>9600.0</v>
      </c>
      <c r="K155" s="62" t="s">
        <v>787</v>
      </c>
      <c r="L155" s="28" t="s">
        <v>55</v>
      </c>
      <c r="M155" s="53" t="s">
        <v>33</v>
      </c>
      <c r="N155" s="28" t="s">
        <v>346</v>
      </c>
      <c r="O155" s="28" t="s">
        <v>35</v>
      </c>
      <c r="P155" s="30" t="s">
        <v>1098</v>
      </c>
      <c r="Q155" s="30" t="s">
        <v>1099</v>
      </c>
      <c r="R155" s="30" t="s">
        <v>25</v>
      </c>
      <c r="S155" s="29">
        <v>28435.0</v>
      </c>
      <c r="T155" s="29">
        <v>31922.0</v>
      </c>
      <c r="U155" s="33">
        <v>30000.0</v>
      </c>
      <c r="V155" s="26">
        <f t="shared" si="1"/>
        <v>1922</v>
      </c>
      <c r="W155" s="30" t="s">
        <v>327</v>
      </c>
      <c r="X155" s="13"/>
      <c r="Y155" s="29" t="s">
        <v>1100</v>
      </c>
    </row>
    <row r="156" hidden="1">
      <c r="A156" s="8">
        <v>154.0</v>
      </c>
      <c r="B156" s="64" t="s">
        <v>1090</v>
      </c>
      <c r="C156" s="28" t="s">
        <v>1101</v>
      </c>
      <c r="D156" s="29" t="s">
        <v>1102</v>
      </c>
      <c r="E156" s="28" t="s">
        <v>157</v>
      </c>
      <c r="F156" s="29" t="s">
        <v>1103</v>
      </c>
      <c r="G156" s="29" t="s">
        <v>1104</v>
      </c>
      <c r="H156" s="35"/>
      <c r="I156" s="35"/>
      <c r="J156" s="28">
        <v>1086.0</v>
      </c>
      <c r="K156" s="62" t="s">
        <v>787</v>
      </c>
      <c r="L156" s="28" t="s">
        <v>1105</v>
      </c>
      <c r="M156" s="53" t="s">
        <v>45</v>
      </c>
      <c r="N156" s="28" t="s">
        <v>209</v>
      </c>
      <c r="O156" s="28" t="s">
        <v>360</v>
      </c>
      <c r="P156" s="30" t="s">
        <v>1106</v>
      </c>
      <c r="Q156" s="30" t="s">
        <v>971</v>
      </c>
      <c r="R156" s="30" t="s">
        <v>25</v>
      </c>
      <c r="S156" s="29">
        <v>3476.0</v>
      </c>
      <c r="T156" s="29">
        <v>4102.0</v>
      </c>
      <c r="U156" s="33">
        <v>4000.0</v>
      </c>
      <c r="V156" s="26">
        <f t="shared" si="1"/>
        <v>102</v>
      </c>
      <c r="W156" s="30" t="s">
        <v>36</v>
      </c>
      <c r="X156" s="13"/>
      <c r="Y156" s="29" t="s">
        <v>1107</v>
      </c>
    </row>
    <row r="157" hidden="1">
      <c r="A157" s="23">
        <v>155.0</v>
      </c>
      <c r="B157" s="64" t="s">
        <v>1090</v>
      </c>
      <c r="C157" s="28" t="s">
        <v>1108</v>
      </c>
      <c r="D157" s="29" t="s">
        <v>1109</v>
      </c>
      <c r="E157" s="28" t="s">
        <v>28</v>
      </c>
      <c r="F157" s="29" t="s">
        <v>1110</v>
      </c>
      <c r="G157" s="29" t="s">
        <v>1111</v>
      </c>
      <c r="H157" s="30" t="s">
        <v>1112</v>
      </c>
      <c r="I157" s="30">
        <v>9.924998504E9</v>
      </c>
      <c r="J157" s="28">
        <v>3460.0</v>
      </c>
      <c r="K157" s="62" t="s">
        <v>787</v>
      </c>
      <c r="L157" s="28" t="s">
        <v>428</v>
      </c>
      <c r="M157" s="53" t="s">
        <v>33</v>
      </c>
      <c r="N157" s="28" t="s">
        <v>1113</v>
      </c>
      <c r="O157" s="28" t="s">
        <v>35</v>
      </c>
      <c r="P157" s="30" t="s">
        <v>1114</v>
      </c>
      <c r="Q157" s="30" t="s">
        <v>1115</v>
      </c>
      <c r="R157" s="30" t="s">
        <v>1116</v>
      </c>
      <c r="S157" s="36">
        <v>22358.0</v>
      </c>
      <c r="T157" s="36">
        <v>25420.0</v>
      </c>
      <c r="U157" s="33">
        <v>19000.0</v>
      </c>
      <c r="V157" s="20">
        <f t="shared" si="1"/>
        <v>6420</v>
      </c>
      <c r="W157" s="30" t="s">
        <v>327</v>
      </c>
      <c r="X157" s="13"/>
      <c r="Y157" s="29" t="s">
        <v>1117</v>
      </c>
    </row>
    <row r="158" hidden="1">
      <c r="A158" s="8">
        <v>156.0</v>
      </c>
      <c r="B158" s="64" t="s">
        <v>1090</v>
      </c>
      <c r="C158" s="28" t="s">
        <v>1118</v>
      </c>
      <c r="D158" s="29" t="s">
        <v>1119</v>
      </c>
      <c r="E158" s="28" t="s">
        <v>122</v>
      </c>
      <c r="F158" s="29" t="s">
        <v>1120</v>
      </c>
      <c r="G158" s="29" t="s">
        <v>1121</v>
      </c>
      <c r="H158" s="30">
        <v>9.825735651E9</v>
      </c>
      <c r="I158" s="35"/>
      <c r="J158" s="28">
        <v>110.0</v>
      </c>
      <c r="K158" s="62" t="s">
        <v>911</v>
      </c>
      <c r="L158" s="28" t="s">
        <v>160</v>
      </c>
      <c r="M158" s="53" t="s">
        <v>33</v>
      </c>
      <c r="N158" s="28" t="s">
        <v>34</v>
      </c>
      <c r="O158" s="28" t="s">
        <v>360</v>
      </c>
      <c r="P158" s="32">
        <v>48187.0</v>
      </c>
      <c r="Q158" s="30" t="s">
        <v>913</v>
      </c>
      <c r="R158" s="30" t="s">
        <v>25</v>
      </c>
      <c r="S158" s="29">
        <v>1105.0</v>
      </c>
      <c r="T158" s="29">
        <v>1304.0</v>
      </c>
      <c r="U158" s="33">
        <v>1304.0</v>
      </c>
      <c r="V158" s="26">
        <f t="shared" si="1"/>
        <v>0</v>
      </c>
      <c r="W158" s="30" t="s">
        <v>327</v>
      </c>
      <c r="X158" s="13"/>
      <c r="Y158" s="29" t="s">
        <v>1122</v>
      </c>
    </row>
    <row r="159" hidden="1">
      <c r="A159" s="8">
        <v>157.0</v>
      </c>
      <c r="B159" s="64" t="s">
        <v>1090</v>
      </c>
      <c r="C159" s="28" t="s">
        <v>1123</v>
      </c>
      <c r="D159" s="29" t="s">
        <v>1124</v>
      </c>
      <c r="E159" s="28" t="s">
        <v>63</v>
      </c>
      <c r="F159" s="29" t="s">
        <v>64</v>
      </c>
      <c r="G159" s="29" t="s">
        <v>1125</v>
      </c>
      <c r="H159" s="30">
        <v>9.913330688E9</v>
      </c>
      <c r="I159" s="35"/>
      <c r="J159" s="28">
        <v>236.0</v>
      </c>
      <c r="K159" s="62" t="s">
        <v>1126</v>
      </c>
      <c r="L159" s="28" t="s">
        <v>55</v>
      </c>
      <c r="M159" s="53" t="s">
        <v>33</v>
      </c>
      <c r="N159" s="28" t="s">
        <v>140</v>
      </c>
      <c r="O159" s="28" t="s">
        <v>35</v>
      </c>
      <c r="P159" s="32">
        <v>46029.0</v>
      </c>
      <c r="Q159" s="32">
        <v>45664.0</v>
      </c>
      <c r="R159" s="32">
        <v>47368.0</v>
      </c>
      <c r="S159" s="29">
        <v>6424.0</v>
      </c>
      <c r="T159" s="29">
        <v>7580.0</v>
      </c>
      <c r="U159" s="33">
        <v>6500.0</v>
      </c>
      <c r="V159" s="26">
        <f t="shared" si="1"/>
        <v>1080</v>
      </c>
      <c r="W159" s="30" t="s">
        <v>327</v>
      </c>
      <c r="X159" s="13"/>
      <c r="Y159" s="29" t="s">
        <v>1127</v>
      </c>
    </row>
    <row r="160" hidden="1">
      <c r="A160" s="23">
        <v>158.0</v>
      </c>
      <c r="B160" s="64" t="s">
        <v>1090</v>
      </c>
      <c r="C160" s="28" t="s">
        <v>1128</v>
      </c>
      <c r="D160" s="29" t="s">
        <v>1129</v>
      </c>
      <c r="E160" s="28" t="s">
        <v>190</v>
      </c>
      <c r="F160" s="29" t="s">
        <v>1130</v>
      </c>
      <c r="G160" s="29" t="s">
        <v>1131</v>
      </c>
      <c r="H160" s="30" t="s">
        <v>1080</v>
      </c>
      <c r="I160" s="35"/>
      <c r="J160" s="28">
        <v>975.0</v>
      </c>
      <c r="K160" s="62" t="s">
        <v>911</v>
      </c>
      <c r="L160" s="28" t="s">
        <v>126</v>
      </c>
      <c r="M160" s="53" t="s">
        <v>33</v>
      </c>
      <c r="N160" s="28" t="s">
        <v>56</v>
      </c>
      <c r="O160" s="28" t="s">
        <v>166</v>
      </c>
      <c r="P160" s="30" t="s">
        <v>1132</v>
      </c>
      <c r="Q160" s="30" t="s">
        <v>25</v>
      </c>
      <c r="R160" s="30" t="s">
        <v>25</v>
      </c>
      <c r="S160" s="29">
        <v>4938.0</v>
      </c>
      <c r="T160" s="29">
        <v>5560.0</v>
      </c>
      <c r="U160" s="33">
        <v>5500.0</v>
      </c>
      <c r="V160" s="26">
        <f t="shared" si="1"/>
        <v>60</v>
      </c>
      <c r="W160" s="30" t="s">
        <v>327</v>
      </c>
      <c r="X160" s="13"/>
      <c r="Y160" s="29" t="s">
        <v>1133</v>
      </c>
    </row>
    <row r="161" hidden="1">
      <c r="A161" s="8">
        <v>159.0</v>
      </c>
      <c r="B161" s="64" t="s">
        <v>1134</v>
      </c>
      <c r="C161" s="28" t="s">
        <v>1135</v>
      </c>
      <c r="D161" s="29" t="s">
        <v>1136</v>
      </c>
      <c r="E161" s="28" t="s">
        <v>122</v>
      </c>
      <c r="F161" s="29" t="s">
        <v>289</v>
      </c>
      <c r="G161" s="29" t="s">
        <v>1137</v>
      </c>
      <c r="H161" s="30">
        <v>9.909151599E9</v>
      </c>
      <c r="I161" s="30">
        <v>9.106012504E9</v>
      </c>
      <c r="J161" s="28">
        <v>100.0</v>
      </c>
      <c r="K161" s="62" t="s">
        <v>1114</v>
      </c>
      <c r="L161" s="28" t="s">
        <v>726</v>
      </c>
      <c r="M161" s="53" t="s">
        <v>45</v>
      </c>
      <c r="N161" s="28" t="s">
        <v>46</v>
      </c>
      <c r="O161" s="28" t="s">
        <v>360</v>
      </c>
      <c r="P161" s="30" t="s">
        <v>1138</v>
      </c>
      <c r="Q161" s="30" t="s">
        <v>25</v>
      </c>
      <c r="R161" s="30" t="s">
        <v>25</v>
      </c>
      <c r="S161" s="29">
        <v>714.0</v>
      </c>
      <c r="T161" s="29">
        <v>842.0</v>
      </c>
      <c r="U161" s="33">
        <v>850.0</v>
      </c>
      <c r="V161" s="26">
        <f t="shared" si="1"/>
        <v>-8</v>
      </c>
      <c r="W161" s="30" t="s">
        <v>36</v>
      </c>
      <c r="X161" s="13"/>
      <c r="Y161" s="29" t="s">
        <v>1139</v>
      </c>
    </row>
    <row r="162" hidden="1">
      <c r="A162" s="8">
        <v>160.0</v>
      </c>
      <c r="B162" s="64" t="s">
        <v>1134</v>
      </c>
      <c r="C162" s="28" t="s">
        <v>1140</v>
      </c>
      <c r="D162" s="29" t="s">
        <v>1141</v>
      </c>
      <c r="E162" s="28" t="s">
        <v>157</v>
      </c>
      <c r="F162" s="29" t="s">
        <v>1142</v>
      </c>
      <c r="G162" s="29" t="s">
        <v>1143</v>
      </c>
      <c r="H162" s="30" t="s">
        <v>1144</v>
      </c>
      <c r="I162" s="30" t="s">
        <v>1145</v>
      </c>
      <c r="J162" s="28">
        <v>1197.0</v>
      </c>
      <c r="K162" s="62" t="s">
        <v>787</v>
      </c>
      <c r="L162" s="28" t="s">
        <v>193</v>
      </c>
      <c r="M162" s="53" t="s">
        <v>45</v>
      </c>
      <c r="N162" s="28" t="s">
        <v>209</v>
      </c>
      <c r="O162" s="28" t="s">
        <v>360</v>
      </c>
      <c r="P162" s="30" t="s">
        <v>1146</v>
      </c>
      <c r="Q162" s="30" t="s">
        <v>25</v>
      </c>
      <c r="R162" s="30" t="s">
        <v>25</v>
      </c>
      <c r="S162" s="29">
        <v>10051.65</v>
      </c>
      <c r="T162" s="29">
        <v>11861.0</v>
      </c>
      <c r="U162" s="33">
        <v>11850.0</v>
      </c>
      <c r="V162" s="26">
        <f t="shared" si="1"/>
        <v>11</v>
      </c>
      <c r="W162" s="30" t="s">
        <v>36</v>
      </c>
      <c r="X162" s="13"/>
      <c r="Y162" s="29" t="s">
        <v>1147</v>
      </c>
    </row>
    <row r="163" hidden="1">
      <c r="A163" s="23">
        <v>161.0</v>
      </c>
      <c r="B163" s="64" t="s">
        <v>1134</v>
      </c>
      <c r="C163" s="28" t="s">
        <v>1148</v>
      </c>
      <c r="D163" s="29" t="s">
        <v>1149</v>
      </c>
      <c r="E163" s="28" t="s">
        <v>28</v>
      </c>
      <c r="F163" s="29" t="s">
        <v>1150</v>
      </c>
      <c r="G163" s="29" t="s">
        <v>1151</v>
      </c>
      <c r="H163" s="30" t="s">
        <v>1152</v>
      </c>
      <c r="I163" s="30">
        <v>9.97854516E9</v>
      </c>
      <c r="J163" s="28">
        <v>2750.0</v>
      </c>
      <c r="K163" s="62" t="s">
        <v>1114</v>
      </c>
      <c r="L163" s="28" t="s">
        <v>428</v>
      </c>
      <c r="M163" s="53" t="s">
        <v>33</v>
      </c>
      <c r="N163" s="28" t="s">
        <v>56</v>
      </c>
      <c r="O163" s="28" t="s">
        <v>35</v>
      </c>
      <c r="P163" s="30" t="s">
        <v>1153</v>
      </c>
      <c r="Q163" s="30" t="s">
        <v>25</v>
      </c>
      <c r="R163" s="30" t="s">
        <v>25</v>
      </c>
      <c r="S163" s="36">
        <v>18044.0</v>
      </c>
      <c r="T163" s="36">
        <v>20329.0</v>
      </c>
      <c r="U163" s="33">
        <v>16000.0</v>
      </c>
      <c r="V163" s="20">
        <f t="shared" si="1"/>
        <v>4329</v>
      </c>
      <c r="W163" s="30" t="s">
        <v>36</v>
      </c>
      <c r="X163" s="13"/>
      <c r="Y163" s="29" t="s">
        <v>1154</v>
      </c>
    </row>
    <row r="164" hidden="1">
      <c r="A164" s="8">
        <v>162.0</v>
      </c>
      <c r="B164" s="64" t="s">
        <v>1134</v>
      </c>
      <c r="C164" s="28" t="s">
        <v>1155</v>
      </c>
      <c r="D164" s="29" t="s">
        <v>1156</v>
      </c>
      <c r="E164" s="28" t="s">
        <v>63</v>
      </c>
      <c r="F164" s="29" t="s">
        <v>64</v>
      </c>
      <c r="G164" s="29" t="s">
        <v>1157</v>
      </c>
      <c r="H164" s="30">
        <v>6.351279291E9</v>
      </c>
      <c r="I164" s="35"/>
      <c r="J164" s="28">
        <v>236.0</v>
      </c>
      <c r="K164" s="31">
        <v>46029.0</v>
      </c>
      <c r="L164" s="28" t="s">
        <v>55</v>
      </c>
      <c r="M164" s="53" t="s">
        <v>33</v>
      </c>
      <c r="N164" s="28" t="s">
        <v>200</v>
      </c>
      <c r="O164" s="28" t="s">
        <v>35</v>
      </c>
      <c r="P164" s="32">
        <v>46060.0</v>
      </c>
      <c r="Q164" s="32">
        <v>45695.0</v>
      </c>
      <c r="R164" s="32">
        <v>47398.0</v>
      </c>
      <c r="S164" s="29">
        <v>6448.0</v>
      </c>
      <c r="T164" s="29">
        <v>7609.0</v>
      </c>
      <c r="U164" s="33">
        <v>6500.0</v>
      </c>
      <c r="V164" s="26">
        <f t="shared" si="1"/>
        <v>1109</v>
      </c>
      <c r="W164" s="30" t="s">
        <v>36</v>
      </c>
      <c r="X164" s="13"/>
      <c r="Y164" s="29" t="s">
        <v>1158</v>
      </c>
    </row>
    <row r="165" hidden="1">
      <c r="A165" s="8">
        <v>163.0</v>
      </c>
      <c r="B165" s="64" t="s">
        <v>1134</v>
      </c>
      <c r="C165" s="28" t="s">
        <v>1159</v>
      </c>
      <c r="D165" s="29" t="s">
        <v>1160</v>
      </c>
      <c r="E165" s="28" t="s">
        <v>63</v>
      </c>
      <c r="F165" s="29" t="s">
        <v>64</v>
      </c>
      <c r="G165" s="29" t="s">
        <v>1161</v>
      </c>
      <c r="H165" s="30" t="s">
        <v>1162</v>
      </c>
      <c r="I165" s="30">
        <v>7.98452188E9</v>
      </c>
      <c r="J165" s="28">
        <v>236.0</v>
      </c>
      <c r="K165" s="62" t="s">
        <v>902</v>
      </c>
      <c r="L165" s="28" t="s">
        <v>55</v>
      </c>
      <c r="M165" s="53" t="s">
        <v>33</v>
      </c>
      <c r="N165" s="28" t="s">
        <v>346</v>
      </c>
      <c r="O165" s="28" t="s">
        <v>35</v>
      </c>
      <c r="P165" s="32">
        <v>46029.0</v>
      </c>
      <c r="Q165" s="30" t="s">
        <v>1114</v>
      </c>
      <c r="R165" s="32">
        <v>47337.0</v>
      </c>
      <c r="S165" s="29">
        <v>6424.0</v>
      </c>
      <c r="T165" s="29">
        <v>7580.0</v>
      </c>
      <c r="U165" s="33">
        <v>6500.0</v>
      </c>
      <c r="V165" s="26">
        <f t="shared" si="1"/>
        <v>1080</v>
      </c>
      <c r="W165" s="30" t="s">
        <v>327</v>
      </c>
      <c r="X165" s="13"/>
      <c r="Y165" s="29" t="s">
        <v>1163</v>
      </c>
    </row>
    <row r="166" hidden="1">
      <c r="A166" s="23">
        <v>164.0</v>
      </c>
      <c r="B166" s="64" t="s">
        <v>1164</v>
      </c>
      <c r="C166" s="28" t="s">
        <v>1165</v>
      </c>
      <c r="D166" s="29" t="s">
        <v>1166</v>
      </c>
      <c r="E166" s="28" t="s">
        <v>41</v>
      </c>
      <c r="F166" s="29" t="s">
        <v>1167</v>
      </c>
      <c r="G166" s="29" t="s">
        <v>1168</v>
      </c>
      <c r="H166" s="30" t="s">
        <v>1169</v>
      </c>
      <c r="I166" s="30" t="s">
        <v>1170</v>
      </c>
      <c r="J166" s="28">
        <v>97.0</v>
      </c>
      <c r="K166" s="62" t="s">
        <v>991</v>
      </c>
      <c r="L166" s="28" t="s">
        <v>428</v>
      </c>
      <c r="M166" s="53" t="s">
        <v>33</v>
      </c>
      <c r="N166" s="28" t="s">
        <v>209</v>
      </c>
      <c r="O166" s="28" t="s">
        <v>360</v>
      </c>
      <c r="P166" s="30" t="s">
        <v>1171</v>
      </c>
      <c r="Q166" s="30" t="s">
        <v>25</v>
      </c>
      <c r="R166" s="30" t="s">
        <v>25</v>
      </c>
      <c r="S166" s="29">
        <v>714.0</v>
      </c>
      <c r="T166" s="36">
        <v>1003.0</v>
      </c>
      <c r="U166" s="33">
        <v>1000.0</v>
      </c>
      <c r="V166" s="20">
        <f t="shared" si="1"/>
        <v>3</v>
      </c>
      <c r="W166" s="30" t="s">
        <v>36</v>
      </c>
      <c r="X166" s="13"/>
      <c r="Y166" s="29" t="s">
        <v>1172</v>
      </c>
    </row>
    <row r="167" hidden="1">
      <c r="A167" s="8">
        <v>165.0</v>
      </c>
      <c r="B167" s="64" t="s">
        <v>1164</v>
      </c>
      <c r="C167" s="28" t="s">
        <v>1173</v>
      </c>
      <c r="D167" s="29" t="s">
        <v>1174</v>
      </c>
      <c r="E167" s="28" t="s">
        <v>157</v>
      </c>
      <c r="F167" s="29" t="s">
        <v>1175</v>
      </c>
      <c r="G167" s="29" t="s">
        <v>1176</v>
      </c>
      <c r="H167" s="30">
        <v>9.106920618E9</v>
      </c>
      <c r="I167" s="35"/>
      <c r="J167" s="28">
        <v>799.0</v>
      </c>
      <c r="K167" s="62" t="s">
        <v>991</v>
      </c>
      <c r="L167" s="28" t="s">
        <v>193</v>
      </c>
      <c r="M167" s="53" t="s">
        <v>45</v>
      </c>
      <c r="N167" s="28" t="s">
        <v>34</v>
      </c>
      <c r="O167" s="28" t="s">
        <v>360</v>
      </c>
      <c r="P167" s="32">
        <v>47940.0</v>
      </c>
      <c r="Q167" s="30" t="s">
        <v>1177</v>
      </c>
      <c r="R167" s="30" t="s">
        <v>25</v>
      </c>
      <c r="S167" s="29">
        <v>2779.0</v>
      </c>
      <c r="T167" s="29">
        <v>3279.0</v>
      </c>
      <c r="U167" s="33">
        <v>3200.0</v>
      </c>
      <c r="V167" s="26">
        <f t="shared" si="1"/>
        <v>79</v>
      </c>
      <c r="W167" s="30" t="s">
        <v>36</v>
      </c>
      <c r="X167" s="13"/>
      <c r="Y167" s="29" t="s">
        <v>1178</v>
      </c>
    </row>
    <row r="168" hidden="1">
      <c r="A168" s="8">
        <v>166.0</v>
      </c>
      <c r="B168" s="64" t="s">
        <v>1164</v>
      </c>
      <c r="C168" s="28" t="s">
        <v>1179</v>
      </c>
      <c r="D168" s="29" t="s">
        <v>1180</v>
      </c>
      <c r="E168" s="28" t="s">
        <v>157</v>
      </c>
      <c r="F168" s="29" t="s">
        <v>1181</v>
      </c>
      <c r="G168" s="29" t="s">
        <v>1182</v>
      </c>
      <c r="H168" s="30">
        <v>9.2284053E9</v>
      </c>
      <c r="I168" s="35"/>
      <c r="J168" s="28">
        <v>1248.0</v>
      </c>
      <c r="K168" s="62" t="s">
        <v>1058</v>
      </c>
      <c r="L168" s="28" t="s">
        <v>238</v>
      </c>
      <c r="M168" s="53" t="s">
        <v>45</v>
      </c>
      <c r="N168" s="28" t="s">
        <v>34</v>
      </c>
      <c r="O168" s="28" t="s">
        <v>360</v>
      </c>
      <c r="P168" s="30" t="s">
        <v>1183</v>
      </c>
      <c r="Q168" s="32">
        <v>45817.0</v>
      </c>
      <c r="R168" s="30" t="s">
        <v>25</v>
      </c>
      <c r="S168" s="36">
        <v>3416.0</v>
      </c>
      <c r="T168" s="36">
        <v>4030.0</v>
      </c>
      <c r="U168" s="33">
        <v>4000.0</v>
      </c>
      <c r="V168" s="20">
        <f t="shared" si="1"/>
        <v>30</v>
      </c>
      <c r="W168" s="30" t="s">
        <v>327</v>
      </c>
      <c r="X168" s="13"/>
      <c r="Y168" s="29" t="s">
        <v>1184</v>
      </c>
    </row>
    <row r="169" hidden="1">
      <c r="A169" s="23">
        <v>167.0</v>
      </c>
      <c r="B169" s="64" t="s">
        <v>1164</v>
      </c>
      <c r="C169" s="28" t="s">
        <v>1185</v>
      </c>
      <c r="D169" s="29" t="s">
        <v>1186</v>
      </c>
      <c r="E169" s="28" t="s">
        <v>122</v>
      </c>
      <c r="F169" s="29" t="s">
        <v>1187</v>
      </c>
      <c r="G169" s="29" t="s">
        <v>1188</v>
      </c>
      <c r="H169" s="30" t="s">
        <v>1189</v>
      </c>
      <c r="I169" s="35"/>
      <c r="J169" s="28">
        <v>110.0</v>
      </c>
      <c r="K169" s="62" t="s">
        <v>992</v>
      </c>
      <c r="L169" s="28" t="s">
        <v>44</v>
      </c>
      <c r="M169" s="53" t="s">
        <v>45</v>
      </c>
      <c r="N169" s="28" t="s">
        <v>209</v>
      </c>
      <c r="O169" s="28" t="s">
        <v>360</v>
      </c>
      <c r="P169" s="30" t="s">
        <v>1183</v>
      </c>
      <c r="Q169" s="35"/>
      <c r="R169" s="35"/>
      <c r="S169" s="29">
        <v>714.0</v>
      </c>
      <c r="T169" s="29">
        <v>842.0</v>
      </c>
      <c r="U169" s="33">
        <v>580.0</v>
      </c>
      <c r="V169" s="26">
        <f t="shared" si="1"/>
        <v>262</v>
      </c>
      <c r="W169" s="30" t="s">
        <v>36</v>
      </c>
      <c r="X169" s="13"/>
      <c r="Y169" s="29" t="s">
        <v>1190</v>
      </c>
    </row>
    <row r="170" hidden="1">
      <c r="A170" s="8">
        <v>168.0</v>
      </c>
      <c r="B170" s="64" t="s">
        <v>1164</v>
      </c>
      <c r="C170" s="28" t="s">
        <v>1191</v>
      </c>
      <c r="D170" s="29" t="s">
        <v>1192</v>
      </c>
      <c r="E170" s="28" t="s">
        <v>63</v>
      </c>
      <c r="F170" s="29" t="s">
        <v>1193</v>
      </c>
      <c r="G170" s="29" t="s">
        <v>1194</v>
      </c>
      <c r="H170" s="30">
        <v>9.979311899E9</v>
      </c>
      <c r="I170" s="30">
        <v>9.825912268E9</v>
      </c>
      <c r="J170" s="28">
        <v>236.0</v>
      </c>
      <c r="K170" s="62" t="s">
        <v>991</v>
      </c>
      <c r="L170" s="28" t="s">
        <v>55</v>
      </c>
      <c r="M170" s="53" t="s">
        <v>33</v>
      </c>
      <c r="N170" s="28" t="s">
        <v>66</v>
      </c>
      <c r="O170" s="28" t="s">
        <v>35</v>
      </c>
      <c r="P170" s="30" t="s">
        <v>1195</v>
      </c>
      <c r="Q170" s="30" t="s">
        <v>534</v>
      </c>
      <c r="R170" s="32">
        <v>47184.0</v>
      </c>
      <c r="S170" s="29">
        <v>6424.0</v>
      </c>
      <c r="T170" s="29">
        <v>7580.0</v>
      </c>
      <c r="U170" s="33">
        <v>6500.0</v>
      </c>
      <c r="V170" s="26">
        <f t="shared" si="1"/>
        <v>1080</v>
      </c>
      <c r="W170" s="30" t="s">
        <v>36</v>
      </c>
      <c r="X170" s="35"/>
      <c r="Y170" s="29" t="s">
        <v>1196</v>
      </c>
    </row>
    <row r="171" hidden="1">
      <c r="A171" s="8">
        <v>169.0</v>
      </c>
      <c r="B171" s="64" t="s">
        <v>1164</v>
      </c>
      <c r="C171" s="28" t="s">
        <v>1197</v>
      </c>
      <c r="D171" s="29" t="s">
        <v>1198</v>
      </c>
      <c r="E171" s="28" t="s">
        <v>545</v>
      </c>
      <c r="F171" s="29" t="s">
        <v>1199</v>
      </c>
      <c r="G171" s="72"/>
      <c r="H171" s="30">
        <v>6.353654697E9</v>
      </c>
      <c r="I171" s="30">
        <v>8.300812165E9</v>
      </c>
      <c r="J171" s="28">
        <v>1493.0</v>
      </c>
      <c r="K171" s="62" t="s">
        <v>902</v>
      </c>
      <c r="L171" s="28" t="s">
        <v>55</v>
      </c>
      <c r="M171" s="53" t="s">
        <v>33</v>
      </c>
      <c r="N171" s="28" t="s">
        <v>116</v>
      </c>
      <c r="O171" s="28" t="s">
        <v>35</v>
      </c>
      <c r="P171" s="30" t="s">
        <v>1195</v>
      </c>
      <c r="Q171" s="30" t="s">
        <v>534</v>
      </c>
      <c r="R171" s="32">
        <v>47184.0</v>
      </c>
      <c r="S171" s="29">
        <v>17885.0</v>
      </c>
      <c r="T171" s="29">
        <v>21105.0</v>
      </c>
      <c r="U171" s="33">
        <v>20200.0</v>
      </c>
      <c r="V171" s="26">
        <f t="shared" si="1"/>
        <v>905</v>
      </c>
      <c r="W171" s="30" t="s">
        <v>36</v>
      </c>
      <c r="X171" s="35"/>
      <c r="Y171" s="29" t="s">
        <v>1200</v>
      </c>
    </row>
    <row r="172" hidden="1">
      <c r="A172" s="23">
        <v>170.0</v>
      </c>
      <c r="B172" s="64" t="s">
        <v>1164</v>
      </c>
      <c r="C172" s="28" t="s">
        <v>1201</v>
      </c>
      <c r="D172" s="29" t="s">
        <v>1202</v>
      </c>
      <c r="E172" s="28" t="s">
        <v>122</v>
      </c>
      <c r="F172" s="29" t="s">
        <v>1203</v>
      </c>
      <c r="G172" s="29" t="s">
        <v>1204</v>
      </c>
      <c r="H172" s="30">
        <v>8.20001614E9</v>
      </c>
      <c r="I172" s="35"/>
      <c r="J172" s="28">
        <v>8500.0</v>
      </c>
      <c r="K172" s="62" t="s">
        <v>991</v>
      </c>
      <c r="L172" s="28" t="s">
        <v>151</v>
      </c>
      <c r="M172" s="53" t="s">
        <v>33</v>
      </c>
      <c r="N172" s="28" t="s">
        <v>34</v>
      </c>
      <c r="O172" s="28" t="s">
        <v>360</v>
      </c>
      <c r="P172" s="30" t="s">
        <v>1205</v>
      </c>
      <c r="Q172" s="30" t="s">
        <v>25</v>
      </c>
      <c r="R172" s="30" t="s">
        <v>25</v>
      </c>
      <c r="S172" s="36">
        <v>3450.0</v>
      </c>
      <c r="T172" s="36">
        <v>4071.0</v>
      </c>
      <c r="U172" s="33">
        <v>4000.0</v>
      </c>
      <c r="V172" s="20">
        <f t="shared" si="1"/>
        <v>71</v>
      </c>
      <c r="W172" s="30" t="s">
        <v>36</v>
      </c>
      <c r="X172" s="35"/>
      <c r="Y172" s="29" t="s">
        <v>1206</v>
      </c>
    </row>
    <row r="173" hidden="1">
      <c r="A173" s="8">
        <v>171.0</v>
      </c>
      <c r="B173" s="64" t="s">
        <v>1164</v>
      </c>
      <c r="C173" s="28" t="s">
        <v>1207</v>
      </c>
      <c r="D173" s="29" t="s">
        <v>1208</v>
      </c>
      <c r="E173" s="28" t="s">
        <v>63</v>
      </c>
      <c r="F173" s="29" t="s">
        <v>64</v>
      </c>
      <c r="G173" s="29" t="s">
        <v>1209</v>
      </c>
      <c r="H173" s="30">
        <v>9.998181304E9</v>
      </c>
      <c r="I173" s="35"/>
      <c r="J173" s="28">
        <v>236.0</v>
      </c>
      <c r="K173" s="62" t="s">
        <v>991</v>
      </c>
      <c r="L173" s="28" t="s">
        <v>55</v>
      </c>
      <c r="M173" s="53" t="s">
        <v>33</v>
      </c>
      <c r="N173" s="28" t="s">
        <v>97</v>
      </c>
      <c r="O173" s="28" t="s">
        <v>35</v>
      </c>
      <c r="P173" s="30" t="s">
        <v>1210</v>
      </c>
      <c r="Q173" s="30" t="s">
        <v>992</v>
      </c>
      <c r="R173" s="32">
        <v>47337.0</v>
      </c>
      <c r="S173" s="29">
        <v>6424.0</v>
      </c>
      <c r="T173" s="29">
        <v>7580.0</v>
      </c>
      <c r="U173" s="33">
        <v>6500.0</v>
      </c>
      <c r="V173" s="26">
        <f t="shared" si="1"/>
        <v>1080</v>
      </c>
      <c r="W173" s="30" t="s">
        <v>36</v>
      </c>
      <c r="X173" s="35"/>
      <c r="Y173" s="29" t="s">
        <v>1211</v>
      </c>
    </row>
    <row r="174" hidden="1">
      <c r="A174" s="8">
        <v>172.0</v>
      </c>
      <c r="B174" s="64" t="s">
        <v>1164</v>
      </c>
      <c r="C174" s="28" t="s">
        <v>1212</v>
      </c>
      <c r="D174" s="29" t="s">
        <v>1213</v>
      </c>
      <c r="E174" s="28" t="s">
        <v>190</v>
      </c>
      <c r="F174" s="29" t="s">
        <v>191</v>
      </c>
      <c r="G174" s="29" t="s">
        <v>1214</v>
      </c>
      <c r="H174" s="30">
        <v>8.866339648E9</v>
      </c>
      <c r="I174" s="30">
        <v>9.879092036E9</v>
      </c>
      <c r="J174" s="28">
        <v>995.0</v>
      </c>
      <c r="K174" s="62" t="s">
        <v>991</v>
      </c>
      <c r="L174" s="28" t="s">
        <v>193</v>
      </c>
      <c r="M174" s="53" t="s">
        <v>33</v>
      </c>
      <c r="N174" s="28" t="s">
        <v>1113</v>
      </c>
      <c r="O174" s="28" t="s">
        <v>166</v>
      </c>
      <c r="P174" s="30" t="s">
        <v>992</v>
      </c>
      <c r="Q174" s="30" t="s">
        <v>520</v>
      </c>
      <c r="R174" s="30" t="s">
        <v>25</v>
      </c>
      <c r="S174" s="36">
        <v>5362.44</v>
      </c>
      <c r="T174" s="36">
        <v>6058.0</v>
      </c>
      <c r="U174" s="33">
        <v>5500.0</v>
      </c>
      <c r="V174" s="20">
        <f t="shared" si="1"/>
        <v>558</v>
      </c>
      <c r="W174" s="30" t="s">
        <v>36</v>
      </c>
      <c r="X174" s="35"/>
      <c r="Y174" s="29" t="s">
        <v>1215</v>
      </c>
    </row>
    <row r="175" hidden="1">
      <c r="A175" s="23">
        <v>173.0</v>
      </c>
      <c r="B175" s="64" t="s">
        <v>1164</v>
      </c>
      <c r="C175" s="28" t="s">
        <v>1216</v>
      </c>
      <c r="D175" s="29" t="s">
        <v>1217</v>
      </c>
      <c r="E175" s="28" t="s">
        <v>28</v>
      </c>
      <c r="F175" s="29" t="s">
        <v>595</v>
      </c>
      <c r="G175" s="29" t="s">
        <v>1218</v>
      </c>
      <c r="H175" s="30">
        <v>9.925076222E9</v>
      </c>
      <c r="I175" s="35"/>
      <c r="J175" s="28">
        <v>3490.0</v>
      </c>
      <c r="K175" s="62" t="s">
        <v>1058</v>
      </c>
      <c r="L175" s="28" t="s">
        <v>428</v>
      </c>
      <c r="M175" s="53" t="s">
        <v>33</v>
      </c>
      <c r="N175" s="28" t="s">
        <v>34</v>
      </c>
      <c r="O175" s="28" t="s">
        <v>35</v>
      </c>
      <c r="P175" s="32">
        <v>45723.0</v>
      </c>
      <c r="Q175" s="30" t="s">
        <v>904</v>
      </c>
      <c r="R175" s="32">
        <v>46029.0</v>
      </c>
      <c r="S175" s="36">
        <v>22169.0</v>
      </c>
      <c r="T175" s="73">
        <v>25196.0</v>
      </c>
      <c r="U175" s="33">
        <v>19000.0</v>
      </c>
      <c r="V175" s="20">
        <f t="shared" si="1"/>
        <v>6196</v>
      </c>
      <c r="W175" s="30" t="s">
        <v>327</v>
      </c>
      <c r="X175" s="35"/>
      <c r="Y175" s="29" t="s">
        <v>1219</v>
      </c>
    </row>
    <row r="176" hidden="1">
      <c r="A176" s="56">
        <v>174.0</v>
      </c>
      <c r="B176" s="67" t="s">
        <v>1164</v>
      </c>
      <c r="C176" s="44" t="s">
        <v>1220</v>
      </c>
      <c r="D176" s="45" t="s">
        <v>1221</v>
      </c>
      <c r="E176" s="44" t="s">
        <v>147</v>
      </c>
      <c r="F176" s="45" t="s">
        <v>1222</v>
      </c>
      <c r="G176" s="45" t="s">
        <v>1223</v>
      </c>
      <c r="H176" s="46" t="s">
        <v>1224</v>
      </c>
      <c r="I176" s="47"/>
      <c r="J176" s="44">
        <v>0.0</v>
      </c>
      <c r="K176" s="57" t="s">
        <v>1058</v>
      </c>
      <c r="L176" s="44" t="s">
        <v>126</v>
      </c>
      <c r="M176" s="49" t="s">
        <v>33</v>
      </c>
      <c r="N176" s="44" t="s">
        <v>209</v>
      </c>
      <c r="O176" s="44" t="s">
        <v>47</v>
      </c>
      <c r="P176" s="58">
        <v>46088.0</v>
      </c>
      <c r="Q176" s="46" t="s">
        <v>1225</v>
      </c>
      <c r="R176" s="46" t="s">
        <v>25</v>
      </c>
      <c r="S176" s="45">
        <v>15232.0</v>
      </c>
      <c r="T176" s="45">
        <v>17974.0</v>
      </c>
      <c r="U176" s="50">
        <v>17974.0</v>
      </c>
      <c r="V176" s="74">
        <f t="shared" si="1"/>
        <v>0</v>
      </c>
      <c r="W176" s="46" t="s">
        <v>327</v>
      </c>
      <c r="X176" s="47"/>
      <c r="Y176" s="45" t="s">
        <v>1226</v>
      </c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</row>
    <row r="177" hidden="1">
      <c r="A177" s="56">
        <v>175.0</v>
      </c>
      <c r="B177" s="67" t="s">
        <v>1164</v>
      </c>
      <c r="C177" s="44" t="s">
        <v>1227</v>
      </c>
      <c r="D177" s="45" t="s">
        <v>1228</v>
      </c>
      <c r="E177" s="44" t="s">
        <v>147</v>
      </c>
      <c r="F177" s="45" t="s">
        <v>1222</v>
      </c>
      <c r="G177" s="45" t="s">
        <v>1222</v>
      </c>
      <c r="H177" s="46" t="s">
        <v>1224</v>
      </c>
      <c r="I177" s="47"/>
      <c r="J177" s="44">
        <v>0.0</v>
      </c>
      <c r="K177" s="57" t="s">
        <v>1058</v>
      </c>
      <c r="L177" s="44" t="s">
        <v>126</v>
      </c>
      <c r="M177" s="49" t="s">
        <v>33</v>
      </c>
      <c r="N177" s="44" t="s">
        <v>209</v>
      </c>
      <c r="O177" s="44" t="s">
        <v>47</v>
      </c>
      <c r="P177" s="58">
        <v>46088.0</v>
      </c>
      <c r="Q177" s="46" t="s">
        <v>1225</v>
      </c>
      <c r="R177" s="46" t="s">
        <v>25</v>
      </c>
      <c r="S177" s="45">
        <v>15232.0</v>
      </c>
      <c r="T177" s="45">
        <v>17974.0</v>
      </c>
      <c r="U177" s="50">
        <v>17974.0</v>
      </c>
      <c r="V177" s="74">
        <f t="shared" si="1"/>
        <v>0</v>
      </c>
      <c r="W177" s="46" t="s">
        <v>327</v>
      </c>
      <c r="X177" s="47"/>
      <c r="Y177" s="45" t="s">
        <v>1226</v>
      </c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</row>
    <row r="178" hidden="1">
      <c r="A178" s="23">
        <v>176.0</v>
      </c>
      <c r="B178" s="64" t="s">
        <v>1229</v>
      </c>
      <c r="C178" s="28" t="s">
        <v>1230</v>
      </c>
      <c r="D178" s="29" t="s">
        <v>1231</v>
      </c>
      <c r="E178" s="28" t="s">
        <v>92</v>
      </c>
      <c r="F178" s="29" t="s">
        <v>1232</v>
      </c>
      <c r="G178" s="29" t="s">
        <v>1233</v>
      </c>
      <c r="H178" s="30">
        <v>9.664861257E9</v>
      </c>
      <c r="I178" s="35"/>
      <c r="J178" s="28">
        <v>35000.0</v>
      </c>
      <c r="K178" s="62" t="s">
        <v>1234</v>
      </c>
      <c r="L178" s="28" t="s">
        <v>55</v>
      </c>
      <c r="M178" s="53" t="s">
        <v>33</v>
      </c>
      <c r="N178" s="28" t="s">
        <v>34</v>
      </c>
      <c r="O178" s="28" t="s">
        <v>35</v>
      </c>
      <c r="P178" s="30" t="s">
        <v>1235</v>
      </c>
      <c r="Q178" s="32">
        <v>45084.0</v>
      </c>
      <c r="R178" s="32">
        <v>46545.0</v>
      </c>
      <c r="S178" s="29">
        <v>79323.0</v>
      </c>
      <c r="T178" s="29">
        <v>90965.0</v>
      </c>
      <c r="U178" s="33">
        <v>75500.0</v>
      </c>
      <c r="V178" s="26">
        <f t="shared" si="1"/>
        <v>15465</v>
      </c>
      <c r="W178" s="30" t="s">
        <v>327</v>
      </c>
      <c r="X178" s="35"/>
      <c r="Y178" s="29" t="s">
        <v>1236</v>
      </c>
    </row>
    <row r="179" hidden="1">
      <c r="A179" s="8">
        <v>177.0</v>
      </c>
      <c r="B179" s="64" t="s">
        <v>1229</v>
      </c>
      <c r="C179" s="28" t="s">
        <v>1237</v>
      </c>
      <c r="D179" s="29" t="s">
        <v>1238</v>
      </c>
      <c r="E179" s="28" t="s">
        <v>63</v>
      </c>
      <c r="F179" s="29" t="s">
        <v>64</v>
      </c>
      <c r="G179" s="29" t="s">
        <v>1239</v>
      </c>
      <c r="H179" s="30" t="s">
        <v>1240</v>
      </c>
      <c r="I179" s="30">
        <v>9.726267566E9</v>
      </c>
      <c r="J179" s="28">
        <v>236.0</v>
      </c>
      <c r="K179" s="31">
        <v>46088.0</v>
      </c>
      <c r="L179" s="28" t="s">
        <v>55</v>
      </c>
      <c r="M179" s="53" t="s">
        <v>33</v>
      </c>
      <c r="N179" s="28" t="s">
        <v>346</v>
      </c>
      <c r="O179" s="28" t="s">
        <v>35</v>
      </c>
      <c r="P179" s="32">
        <v>46119.0</v>
      </c>
      <c r="Q179" s="32">
        <v>45754.0</v>
      </c>
      <c r="R179" s="32">
        <v>47398.0</v>
      </c>
      <c r="S179" s="29">
        <v>6448.0</v>
      </c>
      <c r="T179" s="29">
        <v>7609.0</v>
      </c>
      <c r="U179" s="33">
        <v>6500.0</v>
      </c>
      <c r="V179" s="26">
        <f t="shared" si="1"/>
        <v>1109</v>
      </c>
      <c r="W179" s="30" t="s">
        <v>327</v>
      </c>
      <c r="X179" s="35"/>
      <c r="Y179" s="29" t="s">
        <v>1241</v>
      </c>
    </row>
    <row r="180" hidden="1">
      <c r="A180" s="8">
        <v>178.0</v>
      </c>
      <c r="B180" s="64" t="s">
        <v>1229</v>
      </c>
      <c r="C180" s="28" t="s">
        <v>1242</v>
      </c>
      <c r="D180" s="28" t="s">
        <v>1243</v>
      </c>
      <c r="E180" s="28" t="s">
        <v>63</v>
      </c>
      <c r="F180" s="29" t="s">
        <v>64</v>
      </c>
      <c r="G180" s="29" t="s">
        <v>1244</v>
      </c>
      <c r="H180" s="30">
        <v>9.662322546E9</v>
      </c>
      <c r="I180" s="35"/>
      <c r="J180" s="28">
        <v>236.0</v>
      </c>
      <c r="K180" s="62" t="s">
        <v>991</v>
      </c>
      <c r="L180" s="28" t="s">
        <v>55</v>
      </c>
      <c r="M180" s="53" t="s">
        <v>33</v>
      </c>
      <c r="N180" s="28" t="s">
        <v>209</v>
      </c>
      <c r="O180" s="28" t="s">
        <v>35</v>
      </c>
      <c r="P180" s="30" t="s">
        <v>1245</v>
      </c>
      <c r="Q180" s="30" t="s">
        <v>992</v>
      </c>
      <c r="R180" s="30" t="s">
        <v>1246</v>
      </c>
      <c r="S180" s="29">
        <v>6559.0</v>
      </c>
      <c r="T180" s="29">
        <v>7740.0</v>
      </c>
      <c r="U180" s="33">
        <v>6500.0</v>
      </c>
      <c r="V180" s="26">
        <f t="shared" si="1"/>
        <v>1240</v>
      </c>
      <c r="W180" s="30" t="s">
        <v>1247</v>
      </c>
      <c r="X180" s="35"/>
      <c r="Y180" s="29" t="s">
        <v>1248</v>
      </c>
    </row>
    <row r="181" hidden="1">
      <c r="A181" s="23">
        <v>179.0</v>
      </c>
      <c r="B181" s="64" t="s">
        <v>1229</v>
      </c>
      <c r="C181" s="28" t="s">
        <v>1249</v>
      </c>
      <c r="D181" s="29" t="s">
        <v>1250</v>
      </c>
      <c r="E181" s="28" t="s">
        <v>28</v>
      </c>
      <c r="F181" s="29" t="s">
        <v>1251</v>
      </c>
      <c r="G181" s="29" t="s">
        <v>1252</v>
      </c>
      <c r="H181" s="30">
        <v>8.780202697E9</v>
      </c>
      <c r="I181" s="30">
        <v>9.913946027E9</v>
      </c>
      <c r="J181" s="28">
        <v>2960.0</v>
      </c>
      <c r="K181" s="62" t="s">
        <v>1234</v>
      </c>
      <c r="L181" s="28" t="s">
        <v>428</v>
      </c>
      <c r="M181" s="53" t="s">
        <v>33</v>
      </c>
      <c r="N181" s="28" t="s">
        <v>209</v>
      </c>
      <c r="O181" s="28" t="s">
        <v>35</v>
      </c>
      <c r="P181" s="32">
        <v>45181.0</v>
      </c>
      <c r="Q181" s="30" t="s">
        <v>1253</v>
      </c>
      <c r="R181" s="30" t="s">
        <v>25</v>
      </c>
      <c r="S181" s="36">
        <v>19010.0</v>
      </c>
      <c r="T181" s="36">
        <v>21469.0</v>
      </c>
      <c r="U181" s="33">
        <v>16500.0</v>
      </c>
      <c r="V181" s="20">
        <f t="shared" si="1"/>
        <v>4969</v>
      </c>
      <c r="W181" s="30" t="s">
        <v>327</v>
      </c>
      <c r="X181" s="35"/>
      <c r="Y181" s="29" t="s">
        <v>1254</v>
      </c>
    </row>
    <row r="182" hidden="1">
      <c r="A182" s="8">
        <v>180.0</v>
      </c>
      <c r="B182" s="64" t="s">
        <v>1255</v>
      </c>
      <c r="C182" s="28" t="s">
        <v>1256</v>
      </c>
      <c r="D182" s="29" t="s">
        <v>1257</v>
      </c>
      <c r="E182" s="28" t="s">
        <v>157</v>
      </c>
      <c r="F182" s="29" t="s">
        <v>1258</v>
      </c>
      <c r="G182" s="29" t="s">
        <v>1259</v>
      </c>
      <c r="H182" s="30">
        <v>9.727701211E9</v>
      </c>
      <c r="I182" s="30">
        <v>8.140121172E9</v>
      </c>
      <c r="J182" s="28">
        <v>1199.0</v>
      </c>
      <c r="K182" s="62" t="s">
        <v>1058</v>
      </c>
      <c r="L182" s="28" t="s">
        <v>428</v>
      </c>
      <c r="M182" s="53" t="s">
        <v>33</v>
      </c>
      <c r="N182" s="28" t="s">
        <v>97</v>
      </c>
      <c r="O182" s="28" t="s">
        <v>360</v>
      </c>
      <c r="P182" s="32">
        <v>50502.0</v>
      </c>
      <c r="Q182" s="30" t="s">
        <v>1260</v>
      </c>
      <c r="R182" s="35"/>
      <c r="S182" s="29">
        <v>9824.0</v>
      </c>
      <c r="T182" s="29">
        <v>10547.0</v>
      </c>
      <c r="U182" s="33">
        <v>10673.0</v>
      </c>
      <c r="V182" s="26">
        <f t="shared" si="1"/>
        <v>-126</v>
      </c>
      <c r="W182" s="30" t="s">
        <v>36</v>
      </c>
      <c r="X182" s="35"/>
      <c r="Y182" s="29" t="s">
        <v>1261</v>
      </c>
    </row>
    <row r="183" hidden="1">
      <c r="A183" s="8">
        <v>181.0</v>
      </c>
      <c r="B183" s="64" t="s">
        <v>1255</v>
      </c>
      <c r="C183" s="28" t="s">
        <v>1262</v>
      </c>
      <c r="D183" s="29" t="s">
        <v>1263</v>
      </c>
      <c r="E183" s="28" t="s">
        <v>122</v>
      </c>
      <c r="F183" s="29" t="s">
        <v>1264</v>
      </c>
      <c r="G183" s="29" t="s">
        <v>1265</v>
      </c>
      <c r="H183" s="30">
        <v>9.825300933E9</v>
      </c>
      <c r="I183" s="35"/>
      <c r="J183" s="28">
        <v>109.0</v>
      </c>
      <c r="K183" s="62" t="s">
        <v>1195</v>
      </c>
      <c r="L183" s="28" t="s">
        <v>726</v>
      </c>
      <c r="M183" s="53" t="s">
        <v>45</v>
      </c>
      <c r="N183" s="28" t="s">
        <v>209</v>
      </c>
      <c r="O183" s="28" t="s">
        <v>360</v>
      </c>
      <c r="P183" s="32">
        <v>46422.0</v>
      </c>
      <c r="Q183" s="30" t="s">
        <v>1266</v>
      </c>
      <c r="R183" s="35"/>
      <c r="S183" s="29">
        <v>714.0</v>
      </c>
      <c r="T183" s="29">
        <v>842.0</v>
      </c>
      <c r="U183" s="33">
        <v>850.0</v>
      </c>
      <c r="V183" s="26">
        <f t="shared" si="1"/>
        <v>-8</v>
      </c>
      <c r="W183" s="30" t="s">
        <v>36</v>
      </c>
      <c r="X183" s="35"/>
      <c r="Y183" s="29" t="s">
        <v>1267</v>
      </c>
    </row>
    <row r="184" hidden="1">
      <c r="A184" s="23">
        <v>182.0</v>
      </c>
      <c r="B184" s="64" t="s">
        <v>1255</v>
      </c>
      <c r="C184" s="28" t="s">
        <v>1268</v>
      </c>
      <c r="D184" s="29" t="s">
        <v>1269</v>
      </c>
      <c r="E184" s="28" t="s">
        <v>545</v>
      </c>
      <c r="F184" s="29" t="s">
        <v>1270</v>
      </c>
      <c r="G184" s="29" t="s">
        <v>1271</v>
      </c>
      <c r="H184" s="30">
        <v>9.725331367E9</v>
      </c>
      <c r="I184" s="35"/>
      <c r="J184" s="28">
        <v>1197.0</v>
      </c>
      <c r="K184" s="62" t="s">
        <v>1058</v>
      </c>
      <c r="L184" s="28" t="s">
        <v>55</v>
      </c>
      <c r="M184" s="53" t="s">
        <v>33</v>
      </c>
      <c r="N184" s="28" t="s">
        <v>56</v>
      </c>
      <c r="O184" s="28" t="s">
        <v>35</v>
      </c>
      <c r="P184" s="32">
        <v>46029.0</v>
      </c>
      <c r="Q184" s="32">
        <v>45664.0</v>
      </c>
      <c r="R184" s="32">
        <v>47398.0</v>
      </c>
      <c r="S184" s="29">
        <v>23291.0</v>
      </c>
      <c r="T184" s="29">
        <v>27483.0</v>
      </c>
      <c r="U184" s="33">
        <v>25000.0</v>
      </c>
      <c r="V184" s="26">
        <f t="shared" si="1"/>
        <v>2483</v>
      </c>
      <c r="W184" s="30" t="s">
        <v>327</v>
      </c>
      <c r="X184" s="35"/>
      <c r="Y184" s="29" t="s">
        <v>1272</v>
      </c>
    </row>
    <row r="185" hidden="1">
      <c r="A185" s="8">
        <v>183.0</v>
      </c>
      <c r="B185" s="64" t="s">
        <v>1255</v>
      </c>
      <c r="C185" s="28" t="s">
        <v>1273</v>
      </c>
      <c r="D185" s="29" t="s">
        <v>1274</v>
      </c>
      <c r="E185" s="28" t="s">
        <v>92</v>
      </c>
      <c r="F185" s="29" t="s">
        <v>1275</v>
      </c>
      <c r="G185" s="29" t="s">
        <v>1276</v>
      </c>
      <c r="H185" s="30" t="s">
        <v>1277</v>
      </c>
      <c r="I185" s="35"/>
      <c r="J185" s="28">
        <v>18500.0</v>
      </c>
      <c r="K185" s="62" t="s">
        <v>902</v>
      </c>
      <c r="L185" s="28" t="s">
        <v>55</v>
      </c>
      <c r="M185" s="53" t="s">
        <v>33</v>
      </c>
      <c r="N185" s="28" t="s">
        <v>34</v>
      </c>
      <c r="O185" s="28" t="s">
        <v>35</v>
      </c>
      <c r="P185" s="30" t="s">
        <v>1278</v>
      </c>
      <c r="Q185" s="30" t="s">
        <v>1279</v>
      </c>
      <c r="R185" s="32">
        <v>46790.0</v>
      </c>
      <c r="S185" s="29">
        <v>38007.0</v>
      </c>
      <c r="T185" s="29">
        <v>42730.0</v>
      </c>
      <c r="U185" s="33">
        <v>36000.0</v>
      </c>
      <c r="V185" s="26">
        <f t="shared" si="1"/>
        <v>6730</v>
      </c>
      <c r="W185" s="30" t="s">
        <v>36</v>
      </c>
      <c r="X185" s="35"/>
      <c r="Y185" s="29" t="s">
        <v>1280</v>
      </c>
    </row>
    <row r="186" hidden="1">
      <c r="A186" s="8">
        <v>184.0</v>
      </c>
      <c r="B186" s="64" t="s">
        <v>1255</v>
      </c>
      <c r="C186" s="28" t="s">
        <v>1281</v>
      </c>
      <c r="D186" s="29" t="s">
        <v>1282</v>
      </c>
      <c r="E186" s="28" t="s">
        <v>28</v>
      </c>
      <c r="F186" s="29" t="s">
        <v>1283</v>
      </c>
      <c r="G186" s="29" t="s">
        <v>1284</v>
      </c>
      <c r="H186" s="30" t="s">
        <v>1285</v>
      </c>
      <c r="I186" s="30" t="s">
        <v>1286</v>
      </c>
      <c r="J186" s="28">
        <v>3490.0</v>
      </c>
      <c r="K186" s="62" t="s">
        <v>902</v>
      </c>
      <c r="L186" s="28" t="s">
        <v>133</v>
      </c>
      <c r="M186" s="53" t="s">
        <v>33</v>
      </c>
      <c r="N186" s="28" t="s">
        <v>209</v>
      </c>
      <c r="O186" s="28" t="s">
        <v>35</v>
      </c>
      <c r="P186" s="30" t="s">
        <v>903</v>
      </c>
      <c r="Q186" s="30" t="s">
        <v>992</v>
      </c>
      <c r="R186" s="30" t="s">
        <v>895</v>
      </c>
      <c r="S186" s="36">
        <v>21012.0</v>
      </c>
      <c r="T186" s="36">
        <v>23826.0</v>
      </c>
      <c r="U186" s="33">
        <v>19000.0</v>
      </c>
      <c r="V186" s="20">
        <f t="shared" si="1"/>
        <v>4826</v>
      </c>
      <c r="W186" s="30" t="s">
        <v>1247</v>
      </c>
      <c r="X186" s="35"/>
      <c r="Y186" s="29" t="s">
        <v>1287</v>
      </c>
    </row>
    <row r="187" hidden="1">
      <c r="A187" s="23">
        <v>185.0</v>
      </c>
      <c r="B187" s="64" t="s">
        <v>1255</v>
      </c>
      <c r="C187" s="28" t="s">
        <v>1288</v>
      </c>
      <c r="D187" s="29" t="s">
        <v>1289</v>
      </c>
      <c r="E187" s="28" t="s">
        <v>122</v>
      </c>
      <c r="F187" s="29" t="s">
        <v>1290</v>
      </c>
      <c r="G187" s="29" t="s">
        <v>1291</v>
      </c>
      <c r="H187" s="30">
        <v>9.624479143E9</v>
      </c>
      <c r="I187" s="35"/>
      <c r="J187" s="28">
        <v>110.0</v>
      </c>
      <c r="K187" s="62" t="s">
        <v>1195</v>
      </c>
      <c r="L187" s="28" t="s">
        <v>726</v>
      </c>
      <c r="M187" s="53" t="s">
        <v>45</v>
      </c>
      <c r="N187" s="28" t="s">
        <v>46</v>
      </c>
      <c r="O187" s="28" t="s">
        <v>360</v>
      </c>
      <c r="P187" s="32">
        <v>49223.0</v>
      </c>
      <c r="Q187" s="30" t="s">
        <v>1195</v>
      </c>
      <c r="R187" s="35"/>
      <c r="S187" s="29">
        <v>714.0</v>
      </c>
      <c r="T187" s="29">
        <v>842.0</v>
      </c>
      <c r="U187" s="33">
        <v>850.0</v>
      </c>
      <c r="V187" s="26">
        <f t="shared" si="1"/>
        <v>-8</v>
      </c>
      <c r="W187" s="30" t="s">
        <v>1247</v>
      </c>
      <c r="X187" s="35"/>
      <c r="Y187" s="29" t="s">
        <v>1292</v>
      </c>
    </row>
    <row r="188" hidden="1">
      <c r="A188" s="8">
        <v>186.0</v>
      </c>
      <c r="B188" s="64" t="s">
        <v>1255</v>
      </c>
      <c r="C188" s="28" t="s">
        <v>1293</v>
      </c>
      <c r="D188" s="29" t="s">
        <v>1294</v>
      </c>
      <c r="E188" s="28" t="s">
        <v>157</v>
      </c>
      <c r="F188" s="29" t="s">
        <v>1295</v>
      </c>
      <c r="G188" s="29" t="s">
        <v>1296</v>
      </c>
      <c r="H188" s="30" t="s">
        <v>759</v>
      </c>
      <c r="I188" s="30" t="s">
        <v>1297</v>
      </c>
      <c r="J188" s="28">
        <v>1493.0</v>
      </c>
      <c r="K188" s="62" t="s">
        <v>1298</v>
      </c>
      <c r="L188" s="28" t="s">
        <v>506</v>
      </c>
      <c r="M188" s="53" t="s">
        <v>33</v>
      </c>
      <c r="N188" s="28" t="s">
        <v>46</v>
      </c>
      <c r="O188" s="28" t="s">
        <v>35</v>
      </c>
      <c r="P188" s="32">
        <v>50443.0</v>
      </c>
      <c r="Q188" s="30" t="s">
        <v>1038</v>
      </c>
      <c r="R188" s="30" t="s">
        <v>25</v>
      </c>
      <c r="S188" s="36">
        <v>14507.0</v>
      </c>
      <c r="T188" s="36">
        <v>17119.0</v>
      </c>
      <c r="U188" s="33">
        <v>18600.0</v>
      </c>
      <c r="V188" s="20">
        <f t="shared" si="1"/>
        <v>-1481</v>
      </c>
      <c r="W188" s="30" t="s">
        <v>36</v>
      </c>
      <c r="X188" s="35"/>
      <c r="Y188" s="29" t="s">
        <v>1299</v>
      </c>
    </row>
    <row r="189" hidden="1">
      <c r="A189" s="8">
        <v>187.0</v>
      </c>
      <c r="B189" s="64" t="s">
        <v>1255</v>
      </c>
      <c r="C189" s="28" t="s">
        <v>1300</v>
      </c>
      <c r="D189" s="29" t="s">
        <v>1301</v>
      </c>
      <c r="E189" s="28" t="s">
        <v>122</v>
      </c>
      <c r="F189" s="29" t="s">
        <v>384</v>
      </c>
      <c r="G189" s="29" t="s">
        <v>1302</v>
      </c>
      <c r="H189" s="30">
        <v>8.401278376E9</v>
      </c>
      <c r="I189" s="35"/>
      <c r="J189" s="28">
        <v>100.0</v>
      </c>
      <c r="K189" s="62" t="s">
        <v>1195</v>
      </c>
      <c r="L189" s="28" t="s">
        <v>726</v>
      </c>
      <c r="M189" s="53" t="s">
        <v>45</v>
      </c>
      <c r="N189" s="28" t="s">
        <v>209</v>
      </c>
      <c r="O189" s="28" t="s">
        <v>360</v>
      </c>
      <c r="P189" s="30" t="s">
        <v>1303</v>
      </c>
      <c r="Q189" s="30" t="s">
        <v>992</v>
      </c>
      <c r="R189" s="35"/>
      <c r="S189" s="29">
        <v>714.0</v>
      </c>
      <c r="T189" s="29">
        <v>842.0</v>
      </c>
      <c r="U189" s="33">
        <v>842.0</v>
      </c>
      <c r="V189" s="26">
        <f t="shared" si="1"/>
        <v>0</v>
      </c>
      <c r="W189" s="30" t="s">
        <v>36</v>
      </c>
      <c r="X189" s="35"/>
      <c r="Y189" s="29" t="s">
        <v>1304</v>
      </c>
    </row>
    <row r="190" hidden="1">
      <c r="A190" s="23">
        <v>188.0</v>
      </c>
      <c r="B190" s="64" t="s">
        <v>1255</v>
      </c>
      <c r="C190" s="28" t="s">
        <v>1305</v>
      </c>
      <c r="D190" s="29" t="s">
        <v>1306</v>
      </c>
      <c r="E190" s="28" t="s">
        <v>190</v>
      </c>
      <c r="F190" s="29" t="s">
        <v>1307</v>
      </c>
      <c r="G190" s="29" t="s">
        <v>1308</v>
      </c>
      <c r="H190" s="30">
        <v>9.316970841E9</v>
      </c>
      <c r="I190" s="30">
        <v>9.316970841E9</v>
      </c>
      <c r="J190" s="28">
        <v>694.0</v>
      </c>
      <c r="K190" s="62" t="s">
        <v>1126</v>
      </c>
      <c r="L190" s="28" t="s">
        <v>193</v>
      </c>
      <c r="M190" s="53" t="s">
        <v>33</v>
      </c>
      <c r="N190" s="28" t="s">
        <v>97</v>
      </c>
      <c r="O190" s="28" t="s">
        <v>47</v>
      </c>
      <c r="P190" s="30" t="s">
        <v>1309</v>
      </c>
      <c r="Q190" s="30" t="s">
        <v>25</v>
      </c>
      <c r="R190" s="30" t="s">
        <v>25</v>
      </c>
      <c r="S190" s="36">
        <v>3986.46</v>
      </c>
      <c r="T190" s="36">
        <v>4516.0</v>
      </c>
      <c r="U190" s="33">
        <v>5500.0</v>
      </c>
      <c r="V190" s="20">
        <f t="shared" si="1"/>
        <v>-984</v>
      </c>
      <c r="W190" s="30" t="s">
        <v>327</v>
      </c>
      <c r="X190" s="35"/>
      <c r="Y190" s="29" t="s">
        <v>1310</v>
      </c>
    </row>
    <row r="191" hidden="1">
      <c r="A191" s="8">
        <v>189.0</v>
      </c>
      <c r="B191" s="64" t="s">
        <v>1255</v>
      </c>
      <c r="C191" s="28" t="s">
        <v>1311</v>
      </c>
      <c r="D191" s="29" t="s">
        <v>1312</v>
      </c>
      <c r="E191" s="28" t="s">
        <v>92</v>
      </c>
      <c r="F191" s="29" t="s">
        <v>1313</v>
      </c>
      <c r="G191" s="29" t="s">
        <v>1314</v>
      </c>
      <c r="H191" s="30">
        <v>8.849285752E9</v>
      </c>
      <c r="I191" s="35"/>
      <c r="J191" s="28">
        <v>35000.0</v>
      </c>
      <c r="K191" s="62" t="s">
        <v>902</v>
      </c>
      <c r="L191" s="28" t="s">
        <v>193</v>
      </c>
      <c r="M191" s="53" t="s">
        <v>33</v>
      </c>
      <c r="N191" s="28" t="s">
        <v>34</v>
      </c>
      <c r="O191" s="28" t="s">
        <v>166</v>
      </c>
      <c r="P191" s="30" t="s">
        <v>1315</v>
      </c>
      <c r="Q191" s="30" t="s">
        <v>1316</v>
      </c>
      <c r="R191" s="41">
        <v>47038.0</v>
      </c>
      <c r="S191" s="36">
        <v>47288.58</v>
      </c>
      <c r="T191" s="36">
        <v>53164.0</v>
      </c>
      <c r="U191" s="33">
        <v>45500.0</v>
      </c>
      <c r="V191" s="20">
        <f t="shared" si="1"/>
        <v>7664</v>
      </c>
      <c r="W191" s="30" t="s">
        <v>36</v>
      </c>
      <c r="X191" s="35"/>
      <c r="Y191" s="29" t="s">
        <v>1317</v>
      </c>
    </row>
    <row r="192" hidden="1">
      <c r="A192" s="8">
        <v>190.0</v>
      </c>
      <c r="B192" s="64" t="s">
        <v>1255</v>
      </c>
      <c r="C192" s="28" t="s">
        <v>1318</v>
      </c>
      <c r="D192" s="29" t="s">
        <v>1319</v>
      </c>
      <c r="E192" s="28" t="s">
        <v>157</v>
      </c>
      <c r="F192" s="29" t="s">
        <v>1320</v>
      </c>
      <c r="G192" s="29" t="s">
        <v>1321</v>
      </c>
      <c r="H192" s="30">
        <v>8.32033693E9</v>
      </c>
      <c r="I192" s="35"/>
      <c r="J192" s="28">
        <v>1493.0</v>
      </c>
      <c r="K192" s="62" t="s">
        <v>902</v>
      </c>
      <c r="L192" s="28" t="s">
        <v>151</v>
      </c>
      <c r="M192" s="53" t="s">
        <v>33</v>
      </c>
      <c r="N192" s="28" t="s">
        <v>34</v>
      </c>
      <c r="O192" s="28" t="s">
        <v>360</v>
      </c>
      <c r="P192" s="32">
        <v>50532.0</v>
      </c>
      <c r="Q192" s="32">
        <v>45419.0</v>
      </c>
      <c r="R192" s="35"/>
      <c r="S192" s="36">
        <v>5138.0</v>
      </c>
      <c r="T192" s="36">
        <v>6063.0</v>
      </c>
      <c r="U192" s="33">
        <v>6000.0</v>
      </c>
      <c r="V192" s="20">
        <f t="shared" si="1"/>
        <v>63</v>
      </c>
      <c r="W192" s="30" t="s">
        <v>36</v>
      </c>
      <c r="X192" s="35"/>
      <c r="Y192" s="29" t="s">
        <v>1322</v>
      </c>
    </row>
    <row r="193" hidden="1">
      <c r="A193" s="23">
        <v>191.0</v>
      </c>
      <c r="B193" s="64" t="s">
        <v>1323</v>
      </c>
      <c r="C193" s="28" t="s">
        <v>1324</v>
      </c>
      <c r="D193" s="29" t="s">
        <v>1325</v>
      </c>
      <c r="E193" s="28" t="s">
        <v>28</v>
      </c>
      <c r="F193" s="29" t="s">
        <v>53</v>
      </c>
      <c r="G193" s="29" t="s">
        <v>1326</v>
      </c>
      <c r="H193" s="30">
        <v>9.624857457E9</v>
      </c>
      <c r="I193" s="35"/>
      <c r="J193" s="28">
        <v>1600.0</v>
      </c>
      <c r="K193" s="62" t="s">
        <v>1298</v>
      </c>
      <c r="L193" s="28" t="s">
        <v>55</v>
      </c>
      <c r="M193" s="53" t="s">
        <v>33</v>
      </c>
      <c r="N193" s="28" t="s">
        <v>56</v>
      </c>
      <c r="O193" s="28" t="s">
        <v>35</v>
      </c>
      <c r="P193" s="30" t="s">
        <v>1327</v>
      </c>
      <c r="Q193" s="30" t="s">
        <v>1328</v>
      </c>
      <c r="R193" s="30" t="s">
        <v>25</v>
      </c>
      <c r="S193" s="29">
        <v>18648.0</v>
      </c>
      <c r="T193" s="29">
        <v>21042.0</v>
      </c>
      <c r="U193" s="33">
        <v>16000.0</v>
      </c>
      <c r="V193" s="26">
        <f t="shared" si="1"/>
        <v>5042</v>
      </c>
      <c r="W193" s="30" t="s">
        <v>1247</v>
      </c>
      <c r="X193" s="35"/>
      <c r="Y193" s="29" t="s">
        <v>1329</v>
      </c>
    </row>
    <row r="194" hidden="1">
      <c r="A194" s="8">
        <v>192.0</v>
      </c>
      <c r="B194" s="64" t="s">
        <v>1323</v>
      </c>
      <c r="C194" s="28" t="s">
        <v>1330</v>
      </c>
      <c r="D194" s="29" t="s">
        <v>1331</v>
      </c>
      <c r="E194" s="28" t="s">
        <v>122</v>
      </c>
      <c r="F194" s="29" t="s">
        <v>1332</v>
      </c>
      <c r="G194" s="29" t="s">
        <v>1333</v>
      </c>
      <c r="H194" s="30">
        <v>9.824045196E9</v>
      </c>
      <c r="I194" s="30">
        <v>8.000085911E9</v>
      </c>
      <c r="J194" s="28">
        <v>102.0</v>
      </c>
      <c r="K194" s="31">
        <v>46575.0</v>
      </c>
      <c r="L194" s="28" t="s">
        <v>1334</v>
      </c>
      <c r="M194" s="53" t="s">
        <v>45</v>
      </c>
      <c r="N194" s="28" t="s">
        <v>34</v>
      </c>
      <c r="O194" s="28" t="s">
        <v>360</v>
      </c>
      <c r="P194" s="30" t="s">
        <v>1335</v>
      </c>
      <c r="Q194" s="30" t="s">
        <v>25</v>
      </c>
      <c r="R194" s="30" t="s">
        <v>25</v>
      </c>
      <c r="S194" s="29">
        <v>714.0</v>
      </c>
      <c r="T194" s="29">
        <v>843.0</v>
      </c>
      <c r="U194" s="33">
        <v>850.0</v>
      </c>
      <c r="V194" s="26">
        <f t="shared" si="1"/>
        <v>-7</v>
      </c>
      <c r="W194" s="30" t="s">
        <v>327</v>
      </c>
      <c r="X194" s="35"/>
      <c r="Y194" s="29" t="s">
        <v>1336</v>
      </c>
    </row>
    <row r="195" hidden="1">
      <c r="A195" s="8">
        <v>193.0</v>
      </c>
      <c r="B195" s="64" t="s">
        <v>1323</v>
      </c>
      <c r="C195" s="28" t="s">
        <v>1337</v>
      </c>
      <c r="D195" s="29" t="s">
        <v>1338</v>
      </c>
      <c r="E195" s="28" t="s">
        <v>122</v>
      </c>
      <c r="F195" s="29" t="s">
        <v>1339</v>
      </c>
      <c r="G195" s="29" t="s">
        <v>1340</v>
      </c>
      <c r="H195" s="30">
        <v>9.824045196E9</v>
      </c>
      <c r="I195" s="30">
        <v>8.000085911E9</v>
      </c>
      <c r="J195" s="28">
        <v>100.0</v>
      </c>
      <c r="K195" s="62" t="s">
        <v>1058</v>
      </c>
      <c r="L195" s="28" t="s">
        <v>851</v>
      </c>
      <c r="M195" s="53" t="s">
        <v>45</v>
      </c>
      <c r="N195" s="28" t="s">
        <v>34</v>
      </c>
      <c r="O195" s="28" t="s">
        <v>360</v>
      </c>
      <c r="P195" s="30" t="s">
        <v>1341</v>
      </c>
      <c r="Q195" s="32">
        <v>45931.0</v>
      </c>
      <c r="R195" s="30" t="s">
        <v>25</v>
      </c>
      <c r="S195" s="29">
        <v>714.0</v>
      </c>
      <c r="T195" s="29">
        <v>842.0</v>
      </c>
      <c r="U195" s="33">
        <v>850.0</v>
      </c>
      <c r="V195" s="26">
        <f t="shared" si="1"/>
        <v>-8</v>
      </c>
      <c r="W195" s="30" t="s">
        <v>1247</v>
      </c>
      <c r="X195" s="35"/>
      <c r="Y195" s="29" t="s">
        <v>1342</v>
      </c>
    </row>
    <row r="196" hidden="1">
      <c r="A196" s="23">
        <v>194.0</v>
      </c>
      <c r="B196" s="64" t="s">
        <v>1323</v>
      </c>
      <c r="C196" s="28" t="s">
        <v>1343</v>
      </c>
      <c r="D196" s="29" t="s">
        <v>1344</v>
      </c>
      <c r="E196" s="29" t="s">
        <v>28</v>
      </c>
      <c r="F196" s="29" t="s">
        <v>53</v>
      </c>
      <c r="G196" s="29" t="s">
        <v>1345</v>
      </c>
      <c r="H196" s="30">
        <v>8.128110812E9</v>
      </c>
      <c r="I196" s="30">
        <v>9.724860034E9</v>
      </c>
      <c r="J196" s="28">
        <v>1600.0</v>
      </c>
      <c r="K196" s="62" t="s">
        <v>1058</v>
      </c>
      <c r="L196" s="28" t="s">
        <v>55</v>
      </c>
      <c r="M196" s="53" t="s">
        <v>33</v>
      </c>
      <c r="N196" s="28" t="s">
        <v>66</v>
      </c>
      <c r="O196" s="28" t="s">
        <v>35</v>
      </c>
      <c r="P196" s="30" t="s">
        <v>1309</v>
      </c>
      <c r="Q196" s="30" t="s">
        <v>1346</v>
      </c>
      <c r="R196" s="30" t="s">
        <v>25</v>
      </c>
      <c r="S196" s="29">
        <v>19361.0</v>
      </c>
      <c r="T196" s="29">
        <v>21883.0</v>
      </c>
      <c r="U196" s="33">
        <v>16500.0</v>
      </c>
      <c r="V196" s="26">
        <f t="shared" si="1"/>
        <v>5383</v>
      </c>
      <c r="W196" s="30" t="s">
        <v>1247</v>
      </c>
      <c r="X196" s="35"/>
      <c r="Y196" s="29" t="s">
        <v>1347</v>
      </c>
    </row>
    <row r="197" hidden="1">
      <c r="A197" s="8">
        <v>195.0</v>
      </c>
      <c r="B197" s="64" t="s">
        <v>1323</v>
      </c>
      <c r="C197" s="28" t="s">
        <v>1348</v>
      </c>
      <c r="D197" s="29" t="s">
        <v>1349</v>
      </c>
      <c r="E197" s="28" t="s">
        <v>157</v>
      </c>
      <c r="F197" s="29" t="s">
        <v>1350</v>
      </c>
      <c r="G197" s="29" t="s">
        <v>1351</v>
      </c>
      <c r="H197" s="30">
        <v>9.714917542E9</v>
      </c>
      <c r="I197" s="35"/>
      <c r="J197" s="28">
        <v>1196.0</v>
      </c>
      <c r="K197" s="62" t="s">
        <v>902</v>
      </c>
      <c r="L197" s="28" t="s">
        <v>238</v>
      </c>
      <c r="M197" s="53" t="s">
        <v>45</v>
      </c>
      <c r="N197" s="28" t="s">
        <v>34</v>
      </c>
      <c r="O197" s="28" t="s">
        <v>360</v>
      </c>
      <c r="P197" s="30" t="s">
        <v>1352</v>
      </c>
      <c r="Q197" s="32">
        <v>45843.0</v>
      </c>
      <c r="R197" s="30" t="s">
        <v>25</v>
      </c>
      <c r="S197" s="36">
        <v>3476.0</v>
      </c>
      <c r="T197" s="36">
        <v>4102.0</v>
      </c>
      <c r="U197" s="33">
        <v>4000.0</v>
      </c>
      <c r="V197" s="20">
        <f t="shared" si="1"/>
        <v>102</v>
      </c>
      <c r="W197" s="30" t="s">
        <v>1247</v>
      </c>
      <c r="X197" s="35"/>
      <c r="Y197" s="29" t="s">
        <v>1353</v>
      </c>
    </row>
    <row r="198" hidden="1">
      <c r="A198" s="23">
        <v>196.0</v>
      </c>
      <c r="B198" s="64" t="s">
        <v>1354</v>
      </c>
      <c r="C198" s="28" t="s">
        <v>1355</v>
      </c>
      <c r="D198" s="29" t="s">
        <v>1356</v>
      </c>
      <c r="E198" s="28" t="s">
        <v>92</v>
      </c>
      <c r="F198" s="29" t="s">
        <v>1357</v>
      </c>
      <c r="G198" s="29" t="s">
        <v>1358</v>
      </c>
      <c r="H198" s="30">
        <v>7.016395724E9</v>
      </c>
      <c r="I198" s="30">
        <v>9.510779527E9</v>
      </c>
      <c r="J198" s="28">
        <v>35000.0</v>
      </c>
      <c r="K198" s="62" t="s">
        <v>1298</v>
      </c>
      <c r="L198" s="28" t="s">
        <v>193</v>
      </c>
      <c r="M198" s="53" t="s">
        <v>33</v>
      </c>
      <c r="N198" s="28" t="s">
        <v>140</v>
      </c>
      <c r="O198" s="28" t="s">
        <v>47</v>
      </c>
      <c r="P198" s="30" t="s">
        <v>1195</v>
      </c>
      <c r="Q198" s="30" t="s">
        <v>1359</v>
      </c>
      <c r="R198" s="30" t="s">
        <v>1360</v>
      </c>
      <c r="S198" s="36">
        <v>48288.81</v>
      </c>
      <c r="T198" s="36">
        <v>54344.0</v>
      </c>
      <c r="U198" s="33">
        <v>46000.0</v>
      </c>
      <c r="V198" s="20">
        <f t="shared" si="1"/>
        <v>8344</v>
      </c>
      <c r="W198" s="30" t="s">
        <v>1247</v>
      </c>
      <c r="X198" s="35"/>
      <c r="Y198" s="29" t="s">
        <v>1361</v>
      </c>
    </row>
    <row r="199" hidden="1">
      <c r="A199" s="8">
        <v>197.0</v>
      </c>
      <c r="B199" s="64" t="s">
        <v>1354</v>
      </c>
      <c r="C199" s="28" t="s">
        <v>1362</v>
      </c>
      <c r="D199" s="29" t="s">
        <v>1363</v>
      </c>
      <c r="E199" s="28" t="s">
        <v>92</v>
      </c>
      <c r="F199" s="29" t="s">
        <v>1364</v>
      </c>
      <c r="G199" s="29" t="s">
        <v>1276</v>
      </c>
      <c r="H199" s="30" t="s">
        <v>1365</v>
      </c>
      <c r="I199" s="35"/>
      <c r="J199" s="28">
        <v>18500.0</v>
      </c>
      <c r="K199" s="62" t="s">
        <v>1058</v>
      </c>
      <c r="L199" s="28" t="s">
        <v>193</v>
      </c>
      <c r="M199" s="53" t="s">
        <v>33</v>
      </c>
      <c r="N199" s="28" t="s">
        <v>34</v>
      </c>
      <c r="O199" s="28" t="s">
        <v>47</v>
      </c>
      <c r="P199" s="32">
        <v>46208.0</v>
      </c>
      <c r="Q199" s="30" t="s">
        <v>488</v>
      </c>
      <c r="R199" s="32">
        <v>47094.0</v>
      </c>
      <c r="S199" s="36">
        <v>37243.66</v>
      </c>
      <c r="T199" s="36">
        <v>41829.0</v>
      </c>
      <c r="U199" s="33">
        <v>36000.0</v>
      </c>
      <c r="V199" s="20">
        <f t="shared" si="1"/>
        <v>5829</v>
      </c>
      <c r="W199" s="30" t="s">
        <v>1247</v>
      </c>
      <c r="X199" s="35"/>
      <c r="Y199" s="29" t="s">
        <v>1366</v>
      </c>
    </row>
    <row r="200" hidden="1">
      <c r="A200" s="23">
        <v>198.0</v>
      </c>
      <c r="B200" s="64" t="s">
        <v>1354</v>
      </c>
      <c r="C200" s="28" t="s">
        <v>1367</v>
      </c>
      <c r="D200" s="29" t="s">
        <v>1368</v>
      </c>
      <c r="E200" s="28" t="s">
        <v>92</v>
      </c>
      <c r="F200" s="29" t="s">
        <v>1364</v>
      </c>
      <c r="G200" s="29" t="s">
        <v>1369</v>
      </c>
      <c r="H200" s="30" t="s">
        <v>1277</v>
      </c>
      <c r="I200" s="35"/>
      <c r="J200" s="28">
        <v>18500.0</v>
      </c>
      <c r="K200" s="62" t="s">
        <v>1058</v>
      </c>
      <c r="L200" s="28" t="s">
        <v>193</v>
      </c>
      <c r="M200" s="53" t="s">
        <v>33</v>
      </c>
      <c r="N200" s="28" t="s">
        <v>34</v>
      </c>
      <c r="O200" s="28" t="s">
        <v>166</v>
      </c>
      <c r="P200" s="32">
        <v>45819.0</v>
      </c>
      <c r="Q200" s="30" t="s">
        <v>980</v>
      </c>
      <c r="R200" s="30" t="s">
        <v>1370</v>
      </c>
      <c r="S200" s="36">
        <v>36735.21</v>
      </c>
      <c r="T200" s="36">
        <v>41229.0</v>
      </c>
      <c r="U200" s="33">
        <v>36000.0</v>
      </c>
      <c r="V200" s="20">
        <f t="shared" si="1"/>
        <v>5229</v>
      </c>
      <c r="W200" s="30" t="s">
        <v>1247</v>
      </c>
      <c r="X200" s="35"/>
      <c r="Y200" s="29" t="s">
        <v>1371</v>
      </c>
    </row>
    <row r="201" hidden="1">
      <c r="A201" s="8">
        <v>199.0</v>
      </c>
      <c r="B201" s="64" t="s">
        <v>1354</v>
      </c>
      <c r="C201" s="28" t="s">
        <v>1372</v>
      </c>
      <c r="D201" s="29" t="s">
        <v>1373</v>
      </c>
      <c r="E201" s="28" t="s">
        <v>157</v>
      </c>
      <c r="F201" s="29" t="s">
        <v>1374</v>
      </c>
      <c r="G201" s="29" t="s">
        <v>1375</v>
      </c>
      <c r="H201" s="30">
        <v>9.825700227E9</v>
      </c>
      <c r="I201" s="30">
        <v>9.825284114E9</v>
      </c>
      <c r="J201" s="28">
        <v>1493.0</v>
      </c>
      <c r="K201" s="62" t="s">
        <v>1126</v>
      </c>
      <c r="L201" s="28" t="s">
        <v>160</v>
      </c>
      <c r="M201" s="53" t="s">
        <v>33</v>
      </c>
      <c r="N201" s="28" t="s">
        <v>209</v>
      </c>
      <c r="O201" s="28" t="s">
        <v>360</v>
      </c>
      <c r="P201" s="32">
        <v>50686.0</v>
      </c>
      <c r="Q201" s="30" t="s">
        <v>1376</v>
      </c>
      <c r="R201" s="30" t="s">
        <v>25</v>
      </c>
      <c r="S201" s="29">
        <v>17373.66</v>
      </c>
      <c r="T201" s="29">
        <v>20500.92</v>
      </c>
      <c r="U201" s="33">
        <v>21000.0</v>
      </c>
      <c r="V201" s="26">
        <f t="shared" si="1"/>
        <v>-499.08</v>
      </c>
      <c r="W201" s="30" t="s">
        <v>1247</v>
      </c>
      <c r="X201" s="35"/>
      <c r="Y201" s="29" t="s">
        <v>1377</v>
      </c>
    </row>
    <row r="202" hidden="1">
      <c r="A202" s="8">
        <v>200.0</v>
      </c>
      <c r="B202" s="34">
        <v>45664.0</v>
      </c>
      <c r="C202" s="28" t="s">
        <v>1378</v>
      </c>
      <c r="D202" s="29" t="s">
        <v>1379</v>
      </c>
      <c r="E202" s="28" t="s">
        <v>92</v>
      </c>
      <c r="F202" s="29" t="s">
        <v>1380</v>
      </c>
      <c r="G202" s="29" t="s">
        <v>1381</v>
      </c>
      <c r="H202" s="30">
        <v>9.723042872E9</v>
      </c>
      <c r="I202" s="30">
        <v>8.128963192E9</v>
      </c>
      <c r="J202" s="28">
        <v>35000.0</v>
      </c>
      <c r="K202" s="39">
        <v>46029.0</v>
      </c>
      <c r="L202" s="28" t="s">
        <v>726</v>
      </c>
      <c r="M202" s="53" t="s">
        <v>45</v>
      </c>
      <c r="N202" s="28" t="s">
        <v>140</v>
      </c>
      <c r="O202" s="28" t="s">
        <v>47</v>
      </c>
      <c r="P202" s="32">
        <v>46029.0</v>
      </c>
      <c r="Q202" s="32">
        <v>46029.0</v>
      </c>
      <c r="R202" s="30" t="s">
        <v>1382</v>
      </c>
      <c r="S202" s="29">
        <v>44050.0</v>
      </c>
      <c r="T202" s="29">
        <v>49342.0</v>
      </c>
      <c r="U202" s="33">
        <v>34000.0</v>
      </c>
      <c r="V202" s="26">
        <f t="shared" si="1"/>
        <v>15342</v>
      </c>
      <c r="W202" s="30" t="s">
        <v>1247</v>
      </c>
      <c r="X202" s="35"/>
      <c r="Y202" s="29" t="s">
        <v>1383</v>
      </c>
    </row>
    <row r="203" hidden="1">
      <c r="A203" s="23">
        <v>201.0</v>
      </c>
      <c r="B203" s="34">
        <v>45664.0</v>
      </c>
      <c r="C203" s="28" t="s">
        <v>1384</v>
      </c>
      <c r="D203" s="29" t="s">
        <v>1385</v>
      </c>
      <c r="E203" s="28" t="s">
        <v>157</v>
      </c>
      <c r="F203" s="29" t="s">
        <v>1386</v>
      </c>
      <c r="G203" s="29" t="s">
        <v>1387</v>
      </c>
      <c r="H203" s="30">
        <v>9.725331367E9</v>
      </c>
      <c r="I203" s="35"/>
      <c r="J203" s="28">
        <v>796.0</v>
      </c>
      <c r="K203" s="62" t="s">
        <v>1126</v>
      </c>
      <c r="L203" s="28" t="s">
        <v>193</v>
      </c>
      <c r="M203" s="53" t="s">
        <v>45</v>
      </c>
      <c r="N203" s="28" t="s">
        <v>56</v>
      </c>
      <c r="O203" s="28" t="s">
        <v>360</v>
      </c>
      <c r="P203" s="30" t="s">
        <v>1388</v>
      </c>
      <c r="Q203" s="30" t="s">
        <v>1389</v>
      </c>
      <c r="R203" s="30" t="s">
        <v>25</v>
      </c>
      <c r="S203" s="29">
        <v>2094.0</v>
      </c>
      <c r="T203" s="29">
        <v>2471.0</v>
      </c>
      <c r="U203" s="33">
        <v>2500.0</v>
      </c>
      <c r="V203" s="26">
        <f t="shared" si="1"/>
        <v>-29</v>
      </c>
      <c r="W203" s="30" t="s">
        <v>1247</v>
      </c>
      <c r="X203" s="35"/>
      <c r="Y203" s="29" t="s">
        <v>1390</v>
      </c>
    </row>
    <row r="204" hidden="1">
      <c r="A204" s="8">
        <v>202.0</v>
      </c>
      <c r="B204" s="34">
        <v>45664.0</v>
      </c>
      <c r="C204" s="28" t="s">
        <v>1391</v>
      </c>
      <c r="D204" s="29" t="s">
        <v>1392</v>
      </c>
      <c r="E204" s="28" t="s">
        <v>63</v>
      </c>
      <c r="F204" s="29" t="s">
        <v>411</v>
      </c>
      <c r="G204" s="29" t="s">
        <v>1393</v>
      </c>
      <c r="H204" s="30">
        <v>9.979715524E9</v>
      </c>
      <c r="I204" s="30">
        <v>9.925642207E9</v>
      </c>
      <c r="J204" s="28">
        <v>205.0</v>
      </c>
      <c r="K204" s="62" t="s">
        <v>1298</v>
      </c>
      <c r="L204" s="28" t="s">
        <v>55</v>
      </c>
      <c r="M204" s="53" t="s">
        <v>33</v>
      </c>
      <c r="N204" s="28" t="s">
        <v>140</v>
      </c>
      <c r="O204" s="28" t="s">
        <v>35</v>
      </c>
      <c r="P204" s="30" t="s">
        <v>1394</v>
      </c>
      <c r="Q204" s="30" t="s">
        <v>1309</v>
      </c>
      <c r="R204" s="30" t="s">
        <v>1395</v>
      </c>
      <c r="S204" s="29">
        <v>6089.0</v>
      </c>
      <c r="T204" s="29">
        <v>7186.0</v>
      </c>
      <c r="U204" s="33">
        <v>6000.0</v>
      </c>
      <c r="V204" s="26">
        <f t="shared" si="1"/>
        <v>1186</v>
      </c>
      <c r="W204" s="30" t="s">
        <v>1247</v>
      </c>
      <c r="X204" s="35"/>
      <c r="Y204" s="29" t="s">
        <v>1396</v>
      </c>
    </row>
    <row r="205" hidden="1">
      <c r="A205" s="8">
        <v>203.0</v>
      </c>
      <c r="B205" s="34">
        <v>45664.0</v>
      </c>
      <c r="C205" s="28" t="s">
        <v>1397</v>
      </c>
      <c r="D205" s="29" t="s">
        <v>1398</v>
      </c>
      <c r="E205" s="28" t="s">
        <v>63</v>
      </c>
      <c r="F205" s="29" t="s">
        <v>64</v>
      </c>
      <c r="G205" s="29" t="s">
        <v>1399</v>
      </c>
      <c r="H205" s="30">
        <v>9.925644239E9</v>
      </c>
      <c r="I205" s="30">
        <v>9.913777709E9</v>
      </c>
      <c r="J205" s="28">
        <v>236.0</v>
      </c>
      <c r="K205" s="31">
        <v>46029.0</v>
      </c>
      <c r="L205" s="28" t="s">
        <v>55</v>
      </c>
      <c r="M205" s="53" t="s">
        <v>33</v>
      </c>
      <c r="N205" s="28" t="s">
        <v>73</v>
      </c>
      <c r="O205" s="28" t="s">
        <v>35</v>
      </c>
      <c r="P205" s="32">
        <v>46060.0</v>
      </c>
      <c r="Q205" s="32">
        <v>46029.0</v>
      </c>
      <c r="R205" s="32">
        <v>47216.0</v>
      </c>
      <c r="S205" s="29">
        <v>6424.0</v>
      </c>
      <c r="T205" s="29">
        <v>7580.0</v>
      </c>
      <c r="U205" s="33">
        <v>6500.0</v>
      </c>
      <c r="V205" s="26">
        <f t="shared" si="1"/>
        <v>1080</v>
      </c>
      <c r="W205" s="30" t="s">
        <v>1247</v>
      </c>
      <c r="X205" s="35"/>
      <c r="Y205" s="29" t="s">
        <v>1400</v>
      </c>
    </row>
    <row r="206" hidden="1">
      <c r="A206" s="23">
        <v>204.0</v>
      </c>
      <c r="B206" s="34">
        <v>45664.0</v>
      </c>
      <c r="C206" s="28" t="s">
        <v>1401</v>
      </c>
      <c r="D206" s="29" t="s">
        <v>1402</v>
      </c>
      <c r="E206" s="28" t="s">
        <v>63</v>
      </c>
      <c r="F206" s="29" t="s">
        <v>411</v>
      </c>
      <c r="G206" s="29" t="s">
        <v>1403</v>
      </c>
      <c r="H206" s="30">
        <v>9.824186986E9</v>
      </c>
      <c r="I206" s="35"/>
      <c r="J206" s="28">
        <v>205.0</v>
      </c>
      <c r="K206" s="62" t="s">
        <v>1298</v>
      </c>
      <c r="L206" s="28" t="s">
        <v>55</v>
      </c>
      <c r="M206" s="53" t="s">
        <v>33</v>
      </c>
      <c r="N206" s="28" t="s">
        <v>34</v>
      </c>
      <c r="O206" s="28" t="s">
        <v>35</v>
      </c>
      <c r="P206" s="32">
        <v>46393.0</v>
      </c>
      <c r="Q206" s="32">
        <v>46332.0</v>
      </c>
      <c r="R206" s="30" t="s">
        <v>1404</v>
      </c>
      <c r="S206" s="29">
        <v>6086.0</v>
      </c>
      <c r="T206" s="29">
        <v>7182.0</v>
      </c>
      <c r="U206" s="33">
        <v>7000.0</v>
      </c>
      <c r="V206" s="26">
        <f t="shared" si="1"/>
        <v>182</v>
      </c>
      <c r="W206" s="30" t="s">
        <v>1247</v>
      </c>
      <c r="X206" s="35"/>
      <c r="Y206" s="29" t="s">
        <v>1405</v>
      </c>
    </row>
    <row r="207" hidden="1">
      <c r="A207" s="8">
        <v>205.0</v>
      </c>
      <c r="B207" s="34">
        <v>45664.0</v>
      </c>
      <c r="C207" s="28" t="s">
        <v>1406</v>
      </c>
      <c r="D207" s="29" t="s">
        <v>1407</v>
      </c>
      <c r="E207" s="28" t="s">
        <v>63</v>
      </c>
      <c r="F207" s="29" t="s">
        <v>64</v>
      </c>
      <c r="G207" s="29" t="s">
        <v>1408</v>
      </c>
      <c r="H207" s="29" t="s">
        <v>1409</v>
      </c>
      <c r="I207" s="30">
        <v>8.469039944E9</v>
      </c>
      <c r="J207" s="28">
        <v>236.0</v>
      </c>
      <c r="K207" s="31">
        <v>46060.0</v>
      </c>
      <c r="L207" s="28" t="s">
        <v>55</v>
      </c>
      <c r="M207" s="53" t="s">
        <v>33</v>
      </c>
      <c r="N207" s="28" t="s">
        <v>346</v>
      </c>
      <c r="O207" s="28" t="s">
        <v>35</v>
      </c>
      <c r="P207" s="32">
        <v>46088.0</v>
      </c>
      <c r="Q207" s="30" t="s">
        <v>1410</v>
      </c>
      <c r="R207" s="30" t="s">
        <v>895</v>
      </c>
      <c r="S207" s="29">
        <v>6473.0</v>
      </c>
      <c r="T207" s="29">
        <v>7639.0</v>
      </c>
      <c r="U207" s="33">
        <v>6500.0</v>
      </c>
      <c r="V207" s="26">
        <f t="shared" si="1"/>
        <v>1139</v>
      </c>
      <c r="W207" s="30" t="s">
        <v>1247</v>
      </c>
      <c r="X207" s="35"/>
      <c r="Y207" s="29" t="s">
        <v>1411</v>
      </c>
    </row>
    <row r="208" hidden="1">
      <c r="A208" s="8">
        <v>206.0</v>
      </c>
      <c r="B208" s="34">
        <v>45664.0</v>
      </c>
      <c r="C208" s="28" t="s">
        <v>1412</v>
      </c>
      <c r="D208" s="29" t="s">
        <v>1413</v>
      </c>
      <c r="E208" s="28" t="s">
        <v>147</v>
      </c>
      <c r="F208" s="29" t="s">
        <v>1414</v>
      </c>
      <c r="G208" s="29" t="s">
        <v>1415</v>
      </c>
      <c r="H208" s="30">
        <v>9.8790161E9</v>
      </c>
      <c r="I208" s="35"/>
      <c r="J208" s="28">
        <v>0.0</v>
      </c>
      <c r="K208" s="62" t="s">
        <v>1126</v>
      </c>
      <c r="L208" s="28" t="s">
        <v>55</v>
      </c>
      <c r="M208" s="53" t="s">
        <v>45</v>
      </c>
      <c r="N208" s="28" t="s">
        <v>73</v>
      </c>
      <c r="O208" s="28" t="s">
        <v>35</v>
      </c>
      <c r="P208" s="32">
        <v>45937.0</v>
      </c>
      <c r="Q208" s="30" t="s">
        <v>25</v>
      </c>
      <c r="R208" s="30" t="s">
        <v>25</v>
      </c>
      <c r="S208" s="29">
        <v>7317.0</v>
      </c>
      <c r="T208" s="29">
        <v>8635.0</v>
      </c>
      <c r="U208" s="33">
        <v>8500.0</v>
      </c>
      <c r="V208" s="26">
        <f t="shared" si="1"/>
        <v>135</v>
      </c>
      <c r="W208" s="30" t="s">
        <v>1247</v>
      </c>
      <c r="X208" s="35"/>
      <c r="Y208" s="29" t="s">
        <v>1416</v>
      </c>
    </row>
    <row r="209" hidden="1">
      <c r="A209" s="23">
        <v>207.0</v>
      </c>
      <c r="B209" s="34">
        <v>45664.0</v>
      </c>
      <c r="C209" s="29" t="s">
        <v>1417</v>
      </c>
      <c r="D209" s="29" t="s">
        <v>1418</v>
      </c>
      <c r="E209" s="28" t="s">
        <v>157</v>
      </c>
      <c r="F209" s="29" t="s">
        <v>1419</v>
      </c>
      <c r="G209" s="29" t="s">
        <v>1420</v>
      </c>
      <c r="H209" s="30">
        <v>9.898429786E9</v>
      </c>
      <c r="I209" s="35"/>
      <c r="J209" s="29">
        <v>2498.0</v>
      </c>
      <c r="K209" s="66" t="s">
        <v>1126</v>
      </c>
      <c r="L209" s="28" t="s">
        <v>193</v>
      </c>
      <c r="M209" s="53" t="s">
        <v>45</v>
      </c>
      <c r="N209" s="28" t="s">
        <v>46</v>
      </c>
      <c r="O209" s="28" t="s">
        <v>360</v>
      </c>
      <c r="P209" s="30" t="s">
        <v>1421</v>
      </c>
      <c r="Q209" s="30" t="s">
        <v>597</v>
      </c>
      <c r="R209" s="30" t="s">
        <v>25</v>
      </c>
      <c r="S209" s="29">
        <v>7897.0</v>
      </c>
      <c r="T209" s="29">
        <v>9318.0</v>
      </c>
      <c r="U209" s="33">
        <v>9300.0</v>
      </c>
      <c r="V209" s="26">
        <f t="shared" si="1"/>
        <v>18</v>
      </c>
      <c r="W209" s="30" t="s">
        <v>1247</v>
      </c>
      <c r="X209" s="35"/>
      <c r="Y209" s="29" t="s">
        <v>1422</v>
      </c>
    </row>
    <row r="210" hidden="1">
      <c r="A210" s="8">
        <v>208.0</v>
      </c>
      <c r="B210" s="34">
        <v>45664.0</v>
      </c>
      <c r="C210" s="29" t="s">
        <v>1423</v>
      </c>
      <c r="D210" s="29" t="s">
        <v>1424</v>
      </c>
      <c r="E210" s="28" t="s">
        <v>28</v>
      </c>
      <c r="F210" s="29" t="s">
        <v>1425</v>
      </c>
      <c r="G210" s="29" t="s">
        <v>1426</v>
      </c>
      <c r="H210" s="30">
        <v>9.265825704E9</v>
      </c>
      <c r="I210" s="30">
        <v>9.87944112E9</v>
      </c>
      <c r="J210" s="29">
        <v>2700.0</v>
      </c>
      <c r="K210" s="66" t="s">
        <v>1126</v>
      </c>
      <c r="L210" s="28" t="s">
        <v>55</v>
      </c>
      <c r="M210" s="53" t="s">
        <v>33</v>
      </c>
      <c r="N210" s="28" t="s">
        <v>346</v>
      </c>
      <c r="O210" s="28" t="s">
        <v>35</v>
      </c>
      <c r="P210" s="30" t="s">
        <v>1427</v>
      </c>
      <c r="Q210" s="30" t="s">
        <v>1428</v>
      </c>
      <c r="R210" s="30" t="s">
        <v>25</v>
      </c>
      <c r="S210" s="29">
        <v>21167.0</v>
      </c>
      <c r="T210" s="29">
        <v>24015.0</v>
      </c>
      <c r="U210" s="33">
        <v>17000.0</v>
      </c>
      <c r="V210" s="26">
        <f t="shared" si="1"/>
        <v>7015</v>
      </c>
      <c r="W210" s="30" t="s">
        <v>1247</v>
      </c>
      <c r="X210" s="35"/>
      <c r="Y210" s="29" t="s">
        <v>1429</v>
      </c>
    </row>
    <row r="211" hidden="1">
      <c r="A211" s="8">
        <v>209.0</v>
      </c>
      <c r="B211" s="34">
        <v>45664.0</v>
      </c>
      <c r="C211" s="29" t="s">
        <v>1430</v>
      </c>
      <c r="D211" s="29" t="s">
        <v>1431</v>
      </c>
      <c r="E211" s="28" t="s">
        <v>157</v>
      </c>
      <c r="F211" s="29" t="s">
        <v>1295</v>
      </c>
      <c r="G211" s="29" t="s">
        <v>1432</v>
      </c>
      <c r="H211" s="30">
        <v>9.825997975E9</v>
      </c>
      <c r="I211" s="30">
        <v>9.825627074E9</v>
      </c>
      <c r="J211" s="29">
        <v>1582.0</v>
      </c>
      <c r="K211" s="66" t="s">
        <v>1298</v>
      </c>
      <c r="L211" s="28" t="s">
        <v>126</v>
      </c>
      <c r="M211" s="53" t="s">
        <v>33</v>
      </c>
      <c r="N211" s="28" t="s">
        <v>346</v>
      </c>
      <c r="O211" s="28" t="s">
        <v>35</v>
      </c>
      <c r="P211" s="30" t="s">
        <v>1433</v>
      </c>
      <c r="Q211" s="30" t="s">
        <v>1434</v>
      </c>
      <c r="R211" s="30" t="s">
        <v>25</v>
      </c>
      <c r="S211" s="36">
        <v>20596.0</v>
      </c>
      <c r="T211" s="36">
        <v>24304.0</v>
      </c>
      <c r="U211" s="33">
        <v>23000.0</v>
      </c>
      <c r="V211" s="20">
        <f t="shared" si="1"/>
        <v>1304</v>
      </c>
      <c r="W211" s="30" t="s">
        <v>1247</v>
      </c>
      <c r="X211" s="35"/>
      <c r="Y211" s="29" t="s">
        <v>1435</v>
      </c>
    </row>
    <row r="212" hidden="1">
      <c r="A212" s="23">
        <v>210.0</v>
      </c>
      <c r="B212" s="34">
        <v>45664.0</v>
      </c>
      <c r="C212" s="29" t="s">
        <v>1436</v>
      </c>
      <c r="D212" s="29" t="s">
        <v>1437</v>
      </c>
      <c r="E212" s="28" t="s">
        <v>28</v>
      </c>
      <c r="F212" s="29" t="s">
        <v>1150</v>
      </c>
      <c r="G212" s="29" t="s">
        <v>1438</v>
      </c>
      <c r="H212" s="30">
        <v>9.624857457E9</v>
      </c>
      <c r="I212" s="35"/>
      <c r="J212" s="29">
        <v>2750.0</v>
      </c>
      <c r="K212" s="66" t="s">
        <v>1126</v>
      </c>
      <c r="L212" s="28" t="s">
        <v>428</v>
      </c>
      <c r="M212" s="53" t="s">
        <v>33</v>
      </c>
      <c r="N212" s="28" t="s">
        <v>56</v>
      </c>
      <c r="O212" s="28" t="s">
        <v>166</v>
      </c>
      <c r="P212" s="32">
        <v>45145.0</v>
      </c>
      <c r="Q212" s="30" t="s">
        <v>25</v>
      </c>
      <c r="R212" s="30" t="s">
        <v>25</v>
      </c>
      <c r="S212" s="36">
        <v>18458.0</v>
      </c>
      <c r="T212" s="36">
        <v>20818.0</v>
      </c>
      <c r="U212" s="33">
        <v>16000.0</v>
      </c>
      <c r="V212" s="20">
        <f t="shared" si="1"/>
        <v>4818</v>
      </c>
      <c r="W212" s="30" t="s">
        <v>1247</v>
      </c>
      <c r="X212" s="35"/>
      <c r="Y212" s="29" t="s">
        <v>1439</v>
      </c>
    </row>
    <row r="213" hidden="1">
      <c r="A213" s="8">
        <v>211.0</v>
      </c>
      <c r="B213" s="34">
        <v>45664.0</v>
      </c>
      <c r="C213" s="29" t="s">
        <v>1440</v>
      </c>
      <c r="D213" s="29" t="s">
        <v>1441</v>
      </c>
      <c r="E213" s="28" t="s">
        <v>92</v>
      </c>
      <c r="F213" s="29" t="s">
        <v>1442</v>
      </c>
      <c r="G213" s="29" t="s">
        <v>1443</v>
      </c>
      <c r="H213" s="30">
        <v>9.925153551E9</v>
      </c>
      <c r="I213" s="30">
        <v>9.726920399E9</v>
      </c>
      <c r="J213" s="29">
        <v>11990.0</v>
      </c>
      <c r="K213" s="75">
        <v>46029.0</v>
      </c>
      <c r="L213" s="28" t="s">
        <v>55</v>
      </c>
      <c r="M213" s="53" t="s">
        <v>33</v>
      </c>
      <c r="N213" s="28" t="s">
        <v>346</v>
      </c>
      <c r="O213" s="28" t="s">
        <v>35</v>
      </c>
      <c r="P213" s="32">
        <v>46453.0</v>
      </c>
      <c r="Q213" s="30" t="s">
        <v>1098</v>
      </c>
      <c r="R213" s="32">
        <v>46819.0</v>
      </c>
      <c r="S213" s="29">
        <v>40383.0</v>
      </c>
      <c r="T213" s="29">
        <v>46021.0</v>
      </c>
      <c r="U213" s="33">
        <v>41000.0</v>
      </c>
      <c r="V213" s="26">
        <f t="shared" si="1"/>
        <v>5021</v>
      </c>
      <c r="W213" s="30" t="s">
        <v>1247</v>
      </c>
      <c r="X213" s="35"/>
      <c r="Y213" s="29" t="s">
        <v>1444</v>
      </c>
    </row>
    <row r="214" hidden="1">
      <c r="A214" s="8">
        <v>212.0</v>
      </c>
      <c r="B214" s="34">
        <v>45664.0</v>
      </c>
      <c r="C214" s="28" t="s">
        <v>1445</v>
      </c>
      <c r="D214" s="28" t="s">
        <v>1446</v>
      </c>
      <c r="E214" s="28" t="s">
        <v>28</v>
      </c>
      <c r="F214" s="28" t="s">
        <v>1447</v>
      </c>
      <c r="G214" s="28" t="s">
        <v>1448</v>
      </c>
      <c r="H214" s="30">
        <v>9.825405901E9</v>
      </c>
      <c r="I214" s="35"/>
      <c r="J214" s="28">
        <v>3490.0</v>
      </c>
      <c r="K214" s="62" t="s">
        <v>1298</v>
      </c>
      <c r="L214" s="28" t="s">
        <v>32</v>
      </c>
      <c r="M214" s="53" t="s">
        <v>33</v>
      </c>
      <c r="N214" s="28" t="s">
        <v>152</v>
      </c>
      <c r="O214" s="28" t="s">
        <v>35</v>
      </c>
      <c r="P214" s="32">
        <v>45751.0</v>
      </c>
      <c r="Q214" s="32">
        <v>46059.0</v>
      </c>
      <c r="R214" s="30" t="s">
        <v>25</v>
      </c>
      <c r="S214" s="28">
        <v>18632.0</v>
      </c>
      <c r="T214" s="28">
        <v>21018.0</v>
      </c>
      <c r="U214" s="33">
        <v>16500.0</v>
      </c>
      <c r="V214" s="26">
        <f t="shared" si="1"/>
        <v>4518</v>
      </c>
      <c r="W214" s="30" t="s">
        <v>1247</v>
      </c>
      <c r="X214" s="35"/>
      <c r="Y214" s="28" t="s">
        <v>1449</v>
      </c>
    </row>
    <row r="215" hidden="1">
      <c r="A215" s="23">
        <v>213.0</v>
      </c>
      <c r="B215" s="34">
        <v>45664.0</v>
      </c>
      <c r="C215" s="29" t="s">
        <v>1450</v>
      </c>
      <c r="D215" s="29" t="s">
        <v>1451</v>
      </c>
      <c r="E215" s="28" t="s">
        <v>28</v>
      </c>
      <c r="F215" s="29" t="s">
        <v>1452</v>
      </c>
      <c r="G215" s="29" t="s">
        <v>1453</v>
      </c>
      <c r="H215" s="30">
        <v>9.106214767E9</v>
      </c>
      <c r="I215" s="30">
        <v>9.714325406E9</v>
      </c>
      <c r="J215" s="29">
        <v>2275.0</v>
      </c>
      <c r="K215" s="75">
        <v>46363.0</v>
      </c>
      <c r="L215" s="28" t="s">
        <v>55</v>
      </c>
      <c r="M215" s="53" t="s">
        <v>33</v>
      </c>
      <c r="N215" s="28" t="s">
        <v>209</v>
      </c>
      <c r="O215" s="28" t="s">
        <v>35</v>
      </c>
      <c r="P215" s="32">
        <v>46363.0</v>
      </c>
      <c r="Q215" s="30" t="s">
        <v>1454</v>
      </c>
      <c r="R215" s="30" t="s">
        <v>25</v>
      </c>
      <c r="S215" s="29">
        <v>20454.0</v>
      </c>
      <c r="T215" s="29">
        <v>23173.0</v>
      </c>
      <c r="U215" s="33">
        <v>16000.0</v>
      </c>
      <c r="V215" s="26">
        <f t="shared" si="1"/>
        <v>7173</v>
      </c>
      <c r="W215" s="30" t="s">
        <v>327</v>
      </c>
      <c r="X215" s="35"/>
      <c r="Y215" s="29" t="s">
        <v>1455</v>
      </c>
    </row>
    <row r="216" hidden="1">
      <c r="A216" s="8">
        <v>214.0</v>
      </c>
      <c r="B216" s="34">
        <v>45664.0</v>
      </c>
      <c r="C216" s="29" t="s">
        <v>1456</v>
      </c>
      <c r="D216" s="29" t="s">
        <v>1457</v>
      </c>
      <c r="E216" s="28" t="s">
        <v>28</v>
      </c>
      <c r="F216" s="29" t="s">
        <v>1458</v>
      </c>
      <c r="G216" s="29" t="s">
        <v>1459</v>
      </c>
      <c r="H216" s="30">
        <v>9.265340866E9</v>
      </c>
      <c r="I216" s="35"/>
      <c r="J216" s="29">
        <v>1495.0</v>
      </c>
      <c r="K216" s="66" t="s">
        <v>1126</v>
      </c>
      <c r="L216" s="28" t="s">
        <v>151</v>
      </c>
      <c r="M216" s="53" t="s">
        <v>33</v>
      </c>
      <c r="N216" s="28" t="s">
        <v>46</v>
      </c>
      <c r="O216" s="28" t="s">
        <v>47</v>
      </c>
      <c r="P216" s="32">
        <v>46425.0</v>
      </c>
      <c r="Q216" s="32">
        <v>46029.0</v>
      </c>
      <c r="R216" s="30" t="s">
        <v>25</v>
      </c>
      <c r="S216" s="36">
        <v>17418.0</v>
      </c>
      <c r="T216" s="36">
        <v>19590.0</v>
      </c>
      <c r="U216" s="33">
        <v>14000.0</v>
      </c>
      <c r="V216" s="20">
        <f t="shared" si="1"/>
        <v>5590</v>
      </c>
      <c r="W216" s="30" t="s">
        <v>1247</v>
      </c>
      <c r="X216" s="35"/>
      <c r="Y216" s="29" t="s">
        <v>1460</v>
      </c>
    </row>
    <row r="217" hidden="1">
      <c r="A217" s="8">
        <v>215.0</v>
      </c>
      <c r="B217" s="34">
        <v>45664.0</v>
      </c>
      <c r="C217" s="29" t="s">
        <v>1461</v>
      </c>
      <c r="D217" s="29" t="s">
        <v>1462</v>
      </c>
      <c r="E217" s="28" t="s">
        <v>92</v>
      </c>
      <c r="F217" s="29" t="s">
        <v>1463</v>
      </c>
      <c r="G217" s="29" t="s">
        <v>1464</v>
      </c>
      <c r="H217" s="30">
        <v>9.925351346E9</v>
      </c>
      <c r="I217" s="35"/>
      <c r="J217" s="29">
        <v>39500.0</v>
      </c>
      <c r="K217" s="66" t="s">
        <v>1126</v>
      </c>
      <c r="L217" s="28" t="s">
        <v>55</v>
      </c>
      <c r="M217" s="53" t="s">
        <v>33</v>
      </c>
      <c r="N217" s="28" t="s">
        <v>34</v>
      </c>
      <c r="O217" s="28" t="s">
        <v>35</v>
      </c>
      <c r="P217" s="30" t="s">
        <v>1465</v>
      </c>
      <c r="Q217" s="32">
        <v>45754.0</v>
      </c>
      <c r="R217" s="32">
        <v>46545.0</v>
      </c>
      <c r="S217" s="29">
        <v>64175.0</v>
      </c>
      <c r="T217" s="29">
        <v>73090.0</v>
      </c>
      <c r="U217" s="33">
        <v>60500.0</v>
      </c>
      <c r="V217" s="26">
        <f t="shared" si="1"/>
        <v>12590</v>
      </c>
      <c r="W217" s="30" t="s">
        <v>1247</v>
      </c>
      <c r="X217" s="35"/>
      <c r="Y217" s="29" t="s">
        <v>1466</v>
      </c>
    </row>
    <row r="218" hidden="1">
      <c r="A218" s="23">
        <v>216.0</v>
      </c>
      <c r="B218" s="34">
        <v>45664.0</v>
      </c>
      <c r="C218" s="29" t="s">
        <v>1467</v>
      </c>
      <c r="D218" s="29" t="s">
        <v>1468</v>
      </c>
      <c r="E218" s="28" t="s">
        <v>92</v>
      </c>
      <c r="F218" s="29" t="s">
        <v>1463</v>
      </c>
      <c r="G218" s="29" t="s">
        <v>1464</v>
      </c>
      <c r="H218" s="30">
        <v>9.925351346E9</v>
      </c>
      <c r="I218" s="35"/>
      <c r="J218" s="29">
        <v>39500.0</v>
      </c>
      <c r="K218" s="66" t="s">
        <v>1126</v>
      </c>
      <c r="L218" s="28" t="s">
        <v>55</v>
      </c>
      <c r="M218" s="53" t="s">
        <v>33</v>
      </c>
      <c r="N218" s="28" t="s">
        <v>34</v>
      </c>
      <c r="O218" s="28" t="s">
        <v>35</v>
      </c>
      <c r="P218" s="30" t="s">
        <v>1465</v>
      </c>
      <c r="Q218" s="32">
        <v>45754.0</v>
      </c>
      <c r="R218" s="32">
        <v>46545.0</v>
      </c>
      <c r="S218" s="29">
        <v>65166.0</v>
      </c>
      <c r="T218" s="29">
        <v>74259.0</v>
      </c>
      <c r="U218" s="33">
        <v>60500.0</v>
      </c>
      <c r="V218" s="26">
        <f t="shared" si="1"/>
        <v>13759</v>
      </c>
      <c r="W218" s="30" t="s">
        <v>1247</v>
      </c>
      <c r="X218" s="35"/>
      <c r="Y218" s="29" t="s">
        <v>1469</v>
      </c>
    </row>
    <row r="219" hidden="1">
      <c r="A219" s="8">
        <v>217.0</v>
      </c>
      <c r="B219" s="34">
        <v>45664.0</v>
      </c>
      <c r="C219" s="29" t="s">
        <v>1470</v>
      </c>
      <c r="D219" s="29" t="s">
        <v>1471</v>
      </c>
      <c r="E219" s="28" t="s">
        <v>92</v>
      </c>
      <c r="F219" s="29" t="s">
        <v>1463</v>
      </c>
      <c r="G219" s="29" t="s">
        <v>1464</v>
      </c>
      <c r="H219" s="30">
        <v>9.925351346E9</v>
      </c>
      <c r="I219" s="35"/>
      <c r="J219" s="29">
        <v>39500.0</v>
      </c>
      <c r="K219" s="66" t="s">
        <v>1126</v>
      </c>
      <c r="L219" s="28" t="s">
        <v>55</v>
      </c>
      <c r="M219" s="53" t="s">
        <v>33</v>
      </c>
      <c r="N219" s="28" t="s">
        <v>34</v>
      </c>
      <c r="O219" s="28" t="s">
        <v>35</v>
      </c>
      <c r="P219" s="30" t="s">
        <v>1472</v>
      </c>
      <c r="Q219" s="32">
        <v>45754.0</v>
      </c>
      <c r="R219" s="32">
        <v>46545.0</v>
      </c>
      <c r="S219" s="29">
        <v>65662.0</v>
      </c>
      <c r="T219" s="29">
        <v>74844.0</v>
      </c>
      <c r="U219" s="33">
        <v>60500.0</v>
      </c>
      <c r="V219" s="26">
        <f t="shared" si="1"/>
        <v>14344</v>
      </c>
      <c r="W219" s="30" t="s">
        <v>1247</v>
      </c>
      <c r="X219" s="35"/>
      <c r="Y219" s="29" t="s">
        <v>1473</v>
      </c>
    </row>
    <row r="220" hidden="1">
      <c r="A220" s="8">
        <v>218.0</v>
      </c>
      <c r="B220" s="34">
        <v>45664.0</v>
      </c>
      <c r="C220" s="29" t="s">
        <v>1474</v>
      </c>
      <c r="D220" s="29" t="s">
        <v>1475</v>
      </c>
      <c r="E220" s="28" t="s">
        <v>92</v>
      </c>
      <c r="F220" s="29" t="s">
        <v>1463</v>
      </c>
      <c r="G220" s="29" t="s">
        <v>1464</v>
      </c>
      <c r="H220" s="30">
        <v>9.925351346E9</v>
      </c>
      <c r="I220" s="35"/>
      <c r="J220" s="29">
        <v>39500.0</v>
      </c>
      <c r="K220" s="66" t="s">
        <v>1126</v>
      </c>
      <c r="L220" s="28" t="s">
        <v>55</v>
      </c>
      <c r="M220" s="53" t="s">
        <v>33</v>
      </c>
      <c r="N220" s="28" t="s">
        <v>34</v>
      </c>
      <c r="O220" s="28" t="s">
        <v>35</v>
      </c>
      <c r="P220" s="30" t="s">
        <v>1465</v>
      </c>
      <c r="Q220" s="32">
        <v>45754.0</v>
      </c>
      <c r="R220" s="32">
        <v>46545.0</v>
      </c>
      <c r="S220" s="29">
        <v>67645.0</v>
      </c>
      <c r="T220" s="29">
        <v>77185.0</v>
      </c>
      <c r="U220" s="33">
        <v>64500.0</v>
      </c>
      <c r="V220" s="26">
        <f t="shared" si="1"/>
        <v>12685</v>
      </c>
      <c r="W220" s="30" t="s">
        <v>1247</v>
      </c>
      <c r="X220" s="35"/>
      <c r="Y220" s="29" t="s">
        <v>1466</v>
      </c>
    </row>
    <row r="221">
      <c r="A221" s="23">
        <v>219.0</v>
      </c>
      <c r="B221" s="34">
        <v>45664.0</v>
      </c>
      <c r="C221" s="28" t="s">
        <v>1476</v>
      </c>
      <c r="D221" s="28" t="s">
        <v>1477</v>
      </c>
      <c r="E221" s="28" t="s">
        <v>157</v>
      </c>
      <c r="F221" s="28" t="s">
        <v>1478</v>
      </c>
      <c r="G221" s="28" t="s">
        <v>1479</v>
      </c>
      <c r="H221" s="30">
        <v>9.825484598E9</v>
      </c>
      <c r="I221" s="35"/>
      <c r="J221" s="28">
        <v>1248.0</v>
      </c>
      <c r="K221" s="31">
        <v>46060.0</v>
      </c>
      <c r="L221" s="28" t="s">
        <v>222</v>
      </c>
      <c r="M221" s="53" t="s">
        <v>33</v>
      </c>
      <c r="N221" s="28" t="s">
        <v>34</v>
      </c>
      <c r="O221" s="28" t="s">
        <v>166</v>
      </c>
      <c r="P221" s="30" t="s">
        <v>860</v>
      </c>
      <c r="Q221" s="30" t="s">
        <v>1073</v>
      </c>
      <c r="R221" s="30" t="s">
        <v>25</v>
      </c>
      <c r="S221" s="28">
        <v>5076.0</v>
      </c>
      <c r="T221" s="28">
        <v>5990.0</v>
      </c>
      <c r="U221" s="33">
        <v>7000.0</v>
      </c>
      <c r="V221" s="26">
        <f t="shared" si="1"/>
        <v>-1010</v>
      </c>
      <c r="W221" s="30" t="s">
        <v>1247</v>
      </c>
      <c r="X221" s="35"/>
      <c r="Y221" s="28" t="s">
        <v>1480</v>
      </c>
    </row>
    <row r="222" hidden="1">
      <c r="A222" s="8">
        <v>220.0</v>
      </c>
      <c r="B222" s="34">
        <v>45664.0</v>
      </c>
      <c r="C222" s="29" t="s">
        <v>1481</v>
      </c>
      <c r="D222" s="29" t="s">
        <v>1482</v>
      </c>
      <c r="E222" s="28" t="s">
        <v>92</v>
      </c>
      <c r="F222" s="29" t="s">
        <v>1483</v>
      </c>
      <c r="G222" s="29" t="s">
        <v>1484</v>
      </c>
      <c r="H222" s="30">
        <v>9.913049575E9</v>
      </c>
      <c r="I222" s="35"/>
      <c r="J222" s="29">
        <v>35000.0</v>
      </c>
      <c r="K222" s="66" t="s">
        <v>1126</v>
      </c>
      <c r="L222" s="28" t="s">
        <v>193</v>
      </c>
      <c r="M222" s="53" t="s">
        <v>33</v>
      </c>
      <c r="N222" s="28" t="s">
        <v>34</v>
      </c>
      <c r="O222" s="28" t="s">
        <v>47</v>
      </c>
      <c r="P222" s="32">
        <v>45845.0</v>
      </c>
      <c r="Q222" s="30" t="s">
        <v>821</v>
      </c>
      <c r="R222" s="32">
        <v>46243.0</v>
      </c>
      <c r="S222" s="36">
        <v>46773.6</v>
      </c>
      <c r="T222" s="36">
        <v>52556.0</v>
      </c>
      <c r="U222" s="33">
        <v>44500.0</v>
      </c>
      <c r="V222" s="20">
        <f t="shared" si="1"/>
        <v>8056</v>
      </c>
      <c r="W222" s="30" t="s">
        <v>1247</v>
      </c>
      <c r="X222" s="35"/>
      <c r="Y222" s="29" t="s">
        <v>1485</v>
      </c>
    </row>
    <row r="223" hidden="1">
      <c r="A223" s="8">
        <v>221.0</v>
      </c>
      <c r="B223" s="34">
        <v>45664.0</v>
      </c>
      <c r="C223" s="29" t="s">
        <v>1486</v>
      </c>
      <c r="D223" s="29" t="s">
        <v>1487</v>
      </c>
      <c r="E223" s="28" t="s">
        <v>1488</v>
      </c>
      <c r="F223" s="29" t="s">
        <v>1489</v>
      </c>
      <c r="G223" s="29" t="s">
        <v>1490</v>
      </c>
      <c r="H223" s="30">
        <v>9.638890291E9</v>
      </c>
      <c r="I223" s="30">
        <v>7.990752501E9</v>
      </c>
      <c r="J223" s="29">
        <v>1600.0</v>
      </c>
      <c r="K223" s="75">
        <v>46241.0</v>
      </c>
      <c r="L223" s="28" t="s">
        <v>193</v>
      </c>
      <c r="M223" s="53" t="s">
        <v>33</v>
      </c>
      <c r="N223" s="28" t="s">
        <v>56</v>
      </c>
      <c r="O223" s="28" t="s">
        <v>47</v>
      </c>
      <c r="P223" s="30" t="s">
        <v>1491</v>
      </c>
      <c r="Q223" s="30" t="s">
        <v>1492</v>
      </c>
      <c r="R223" s="30" t="s">
        <v>25</v>
      </c>
      <c r="S223" s="36">
        <v>17534.39</v>
      </c>
      <c r="T223" s="36">
        <v>19728.0</v>
      </c>
      <c r="U223" s="33">
        <v>14000.0</v>
      </c>
      <c r="V223" s="20">
        <f t="shared" si="1"/>
        <v>5728</v>
      </c>
      <c r="W223" s="30" t="s">
        <v>327</v>
      </c>
      <c r="X223" s="35"/>
      <c r="Y223" s="29" t="s">
        <v>1493</v>
      </c>
    </row>
    <row r="224" hidden="1">
      <c r="A224" s="23">
        <v>222.0</v>
      </c>
      <c r="B224" s="34">
        <v>45664.0</v>
      </c>
      <c r="C224" s="29" t="s">
        <v>1494</v>
      </c>
      <c r="D224" s="29" t="s">
        <v>1495</v>
      </c>
      <c r="E224" s="28" t="s">
        <v>1496</v>
      </c>
      <c r="F224" s="29" t="s">
        <v>1497</v>
      </c>
      <c r="G224" s="29" t="s">
        <v>1498</v>
      </c>
      <c r="H224" s="30">
        <v>9.979605726E9</v>
      </c>
      <c r="I224" s="30">
        <v>7.041522258E9</v>
      </c>
      <c r="J224" s="29">
        <v>995.0</v>
      </c>
      <c r="K224" s="75">
        <v>46088.0</v>
      </c>
      <c r="L224" s="28" t="s">
        <v>193</v>
      </c>
      <c r="M224" s="53" t="s">
        <v>33</v>
      </c>
      <c r="N224" s="28" t="s">
        <v>66</v>
      </c>
      <c r="O224" s="28" t="s">
        <v>47</v>
      </c>
      <c r="P224" s="32">
        <v>44415.0</v>
      </c>
      <c r="Q224" s="32">
        <v>46358.0</v>
      </c>
      <c r="R224" s="30" t="s">
        <v>25</v>
      </c>
      <c r="S224" s="36">
        <v>4804.65</v>
      </c>
      <c r="T224" s="36">
        <v>5400.0</v>
      </c>
      <c r="U224" s="33">
        <v>5500.0</v>
      </c>
      <c r="V224" s="20">
        <f t="shared" si="1"/>
        <v>-100</v>
      </c>
      <c r="W224" s="30" t="s">
        <v>327</v>
      </c>
      <c r="X224" s="35"/>
      <c r="Y224" s="29" t="s">
        <v>1499</v>
      </c>
    </row>
    <row r="225" hidden="1">
      <c r="A225" s="8">
        <v>223.0</v>
      </c>
      <c r="B225" s="34">
        <v>45664.0</v>
      </c>
      <c r="C225" s="29" t="s">
        <v>1500</v>
      </c>
      <c r="D225" s="29" t="s">
        <v>1501</v>
      </c>
      <c r="E225" s="28" t="s">
        <v>545</v>
      </c>
      <c r="F225" s="29" t="s">
        <v>1502</v>
      </c>
      <c r="G225" s="29" t="s">
        <v>1503</v>
      </c>
      <c r="H225" s="30">
        <v>9.664516929E9</v>
      </c>
      <c r="I225" s="35"/>
      <c r="J225" s="72"/>
      <c r="K225" s="75">
        <v>46088.0</v>
      </c>
      <c r="L225" s="28" t="s">
        <v>726</v>
      </c>
      <c r="M225" s="53" t="s">
        <v>33</v>
      </c>
      <c r="N225" s="28" t="s">
        <v>34</v>
      </c>
      <c r="O225" s="28" t="s">
        <v>47</v>
      </c>
      <c r="P225" s="30" t="s">
        <v>67</v>
      </c>
      <c r="Q225" s="30" t="s">
        <v>68</v>
      </c>
      <c r="R225" s="30" t="s">
        <v>1504</v>
      </c>
      <c r="S225" s="36">
        <v>39440.0</v>
      </c>
      <c r="T225" s="36">
        <v>46540.0</v>
      </c>
      <c r="U225" s="33">
        <v>33000.0</v>
      </c>
      <c r="V225" s="20">
        <f t="shared" si="1"/>
        <v>13540</v>
      </c>
      <c r="W225" s="30" t="s">
        <v>327</v>
      </c>
      <c r="X225" s="35"/>
      <c r="Y225" s="29" t="s">
        <v>1505</v>
      </c>
    </row>
    <row r="226">
      <c r="A226" s="76">
        <v>224.0</v>
      </c>
      <c r="B226" s="77">
        <v>45664.0</v>
      </c>
      <c r="C226" s="65" t="s">
        <v>1506</v>
      </c>
      <c r="D226" s="65" t="s">
        <v>1507</v>
      </c>
      <c r="E226" s="65" t="s">
        <v>92</v>
      </c>
      <c r="F226" s="65" t="s">
        <v>1508</v>
      </c>
      <c r="G226" s="65" t="s">
        <v>1509</v>
      </c>
      <c r="H226" s="78">
        <v>9.825997975E9</v>
      </c>
      <c r="I226" s="78">
        <v>9.825627074E9</v>
      </c>
      <c r="J226" s="65">
        <v>31000.0</v>
      </c>
      <c r="K226" s="60">
        <v>46119.0</v>
      </c>
      <c r="L226" s="65" t="s">
        <v>222</v>
      </c>
      <c r="M226" s="63" t="s">
        <v>33</v>
      </c>
      <c r="N226" s="65" t="s">
        <v>346</v>
      </c>
      <c r="O226" s="65" t="s">
        <v>47</v>
      </c>
      <c r="P226" s="78" t="s">
        <v>1510</v>
      </c>
      <c r="Q226" s="78" t="s">
        <v>1038</v>
      </c>
      <c r="R226" s="79">
        <v>47064.0</v>
      </c>
      <c r="S226" s="65">
        <v>47099.0</v>
      </c>
      <c r="T226" s="65">
        <v>52940.0</v>
      </c>
      <c r="U226" s="80">
        <v>45000.0</v>
      </c>
      <c r="V226" s="81">
        <f t="shared" si="1"/>
        <v>7940</v>
      </c>
      <c r="W226" s="78" t="s">
        <v>327</v>
      </c>
      <c r="X226" s="82"/>
      <c r="Y226" s="65" t="s">
        <v>1511</v>
      </c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</row>
    <row r="227">
      <c r="A227" s="76">
        <v>225.0</v>
      </c>
      <c r="B227" s="77">
        <v>45664.0</v>
      </c>
      <c r="C227" s="65" t="s">
        <v>1512</v>
      </c>
      <c r="D227" s="65" t="s">
        <v>1513</v>
      </c>
      <c r="E227" s="65" t="s">
        <v>92</v>
      </c>
      <c r="F227" s="65" t="s">
        <v>1508</v>
      </c>
      <c r="G227" s="65" t="s">
        <v>1509</v>
      </c>
      <c r="H227" s="78">
        <v>9.825997975E9</v>
      </c>
      <c r="I227" s="78">
        <v>9.825627074E9</v>
      </c>
      <c r="J227" s="65">
        <v>31000.0</v>
      </c>
      <c r="K227" s="60">
        <v>46119.0</v>
      </c>
      <c r="L227" s="65" t="s">
        <v>222</v>
      </c>
      <c r="M227" s="63" t="s">
        <v>33</v>
      </c>
      <c r="N227" s="65" t="s">
        <v>346</v>
      </c>
      <c r="O227" s="65" t="s">
        <v>47</v>
      </c>
      <c r="P227" s="79">
        <v>46363.0</v>
      </c>
      <c r="Q227" s="78" t="s">
        <v>1038</v>
      </c>
      <c r="R227" s="79">
        <v>47064.0</v>
      </c>
      <c r="S227" s="65">
        <v>47099.0</v>
      </c>
      <c r="T227" s="65">
        <v>52940.0</v>
      </c>
      <c r="U227" s="80">
        <v>45000.0</v>
      </c>
      <c r="V227" s="81">
        <f t="shared" si="1"/>
        <v>7940</v>
      </c>
      <c r="W227" s="78" t="s">
        <v>327</v>
      </c>
      <c r="X227" s="82"/>
      <c r="Y227" s="65" t="s">
        <v>1511</v>
      </c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</row>
    <row r="228" hidden="1">
      <c r="A228" s="8">
        <v>226.0</v>
      </c>
      <c r="B228" s="84">
        <v>45695.0</v>
      </c>
      <c r="C228" s="13" t="s">
        <v>1514</v>
      </c>
      <c r="D228" s="13" t="s">
        <v>1515</v>
      </c>
      <c r="E228" s="13" t="s">
        <v>28</v>
      </c>
      <c r="F228" s="13" t="s">
        <v>1516</v>
      </c>
      <c r="G228" s="13" t="s">
        <v>1517</v>
      </c>
      <c r="H228" s="15">
        <v>8.758777865E9</v>
      </c>
      <c r="I228" s="13"/>
      <c r="J228" s="15">
        <v>3490.0</v>
      </c>
      <c r="K228" s="12">
        <v>46029.0</v>
      </c>
      <c r="L228" s="13" t="s">
        <v>126</v>
      </c>
      <c r="M228" s="85" t="s">
        <v>33</v>
      </c>
      <c r="N228" s="13" t="s">
        <v>34</v>
      </c>
      <c r="O228" s="13" t="s">
        <v>166</v>
      </c>
      <c r="P228" s="13"/>
      <c r="Q228" s="13"/>
      <c r="R228" s="13"/>
      <c r="S228" s="15">
        <v>24290.0</v>
      </c>
      <c r="T228" s="15">
        <v>27700.0</v>
      </c>
      <c r="U228" s="15">
        <v>20000.0</v>
      </c>
      <c r="V228" s="15">
        <f t="shared" si="1"/>
        <v>7700</v>
      </c>
      <c r="W228" s="13"/>
      <c r="X228" s="13"/>
      <c r="Y228" s="13" t="s">
        <v>1518</v>
      </c>
    </row>
    <row r="229" hidden="1">
      <c r="A229" s="23">
        <v>227.0</v>
      </c>
      <c r="B229" s="84">
        <v>45695.0</v>
      </c>
      <c r="C229" s="13" t="s">
        <v>1519</v>
      </c>
      <c r="D229" s="13" t="s">
        <v>1520</v>
      </c>
      <c r="E229" s="13" t="s">
        <v>28</v>
      </c>
      <c r="F229" s="13" t="s">
        <v>1521</v>
      </c>
      <c r="G229" s="13" t="s">
        <v>1522</v>
      </c>
      <c r="H229" s="15">
        <v>9.92584595E9</v>
      </c>
      <c r="I229" s="15">
        <v>7.990301588E9</v>
      </c>
      <c r="J229" s="15">
        <v>3490.0</v>
      </c>
      <c r="K229" s="12">
        <v>46088.0</v>
      </c>
      <c r="L229" s="13" t="s">
        <v>32</v>
      </c>
      <c r="M229" s="85" t="s">
        <v>33</v>
      </c>
      <c r="N229" s="13" t="s">
        <v>346</v>
      </c>
      <c r="O229" s="13" t="s">
        <v>35</v>
      </c>
      <c r="P229" s="13"/>
      <c r="Q229" s="13"/>
      <c r="R229" s="13"/>
      <c r="S229" s="86">
        <v>21462.0</v>
      </c>
      <c r="T229" s="86">
        <v>24358.0</v>
      </c>
      <c r="U229" s="15">
        <v>19000.0</v>
      </c>
      <c r="V229" s="86">
        <f t="shared" si="1"/>
        <v>5358</v>
      </c>
      <c r="W229" s="13"/>
      <c r="X229" s="13"/>
      <c r="Y229" s="13" t="s">
        <v>1523</v>
      </c>
    </row>
    <row r="230" hidden="1">
      <c r="A230" s="8">
        <v>228.0</v>
      </c>
      <c r="B230" s="84">
        <v>45695.0</v>
      </c>
      <c r="C230" s="13" t="s">
        <v>1524</v>
      </c>
      <c r="D230" s="13" t="s">
        <v>1525</v>
      </c>
      <c r="E230" s="13" t="s">
        <v>92</v>
      </c>
      <c r="F230" s="13" t="s">
        <v>1526</v>
      </c>
      <c r="G230" s="13" t="s">
        <v>1527</v>
      </c>
      <c r="H230" s="15">
        <v>9.82502478E9</v>
      </c>
      <c r="I230" s="13"/>
      <c r="J230" s="15">
        <v>12500.0</v>
      </c>
      <c r="K230" s="15" t="s">
        <v>1126</v>
      </c>
      <c r="L230" s="13" t="s">
        <v>193</v>
      </c>
      <c r="M230" s="85" t="s">
        <v>33</v>
      </c>
      <c r="N230" s="13" t="s">
        <v>140</v>
      </c>
      <c r="O230" s="13" t="s">
        <v>166</v>
      </c>
      <c r="P230" s="13"/>
      <c r="Q230" s="13"/>
      <c r="R230" s="13"/>
      <c r="S230" s="86">
        <v>36887.19</v>
      </c>
      <c r="T230" s="86">
        <v>41408.0</v>
      </c>
      <c r="U230" s="15">
        <v>35500.0</v>
      </c>
      <c r="V230" s="86">
        <f t="shared" si="1"/>
        <v>5908</v>
      </c>
      <c r="W230" s="13"/>
      <c r="X230" s="13"/>
      <c r="Y230" s="13" t="s">
        <v>1528</v>
      </c>
    </row>
    <row r="231" hidden="1">
      <c r="A231" s="8">
        <v>229.0</v>
      </c>
      <c r="B231" s="84">
        <v>45695.0</v>
      </c>
      <c r="C231" s="13" t="s">
        <v>1529</v>
      </c>
      <c r="D231" s="13" t="s">
        <v>1530</v>
      </c>
      <c r="E231" s="13" t="s">
        <v>28</v>
      </c>
      <c r="F231" s="13" t="s">
        <v>1531</v>
      </c>
      <c r="G231" s="13" t="s">
        <v>1532</v>
      </c>
      <c r="H231" s="15">
        <v>9.825699562E9</v>
      </c>
      <c r="I231" s="13"/>
      <c r="J231" s="15">
        <v>2750.0</v>
      </c>
      <c r="K231" s="12">
        <v>46060.0</v>
      </c>
      <c r="L231" s="13" t="s">
        <v>1533</v>
      </c>
      <c r="M231" s="85" t="s">
        <v>33</v>
      </c>
      <c r="N231" s="13" t="s">
        <v>34</v>
      </c>
      <c r="O231" s="13" t="s">
        <v>35</v>
      </c>
      <c r="P231" s="13"/>
      <c r="Q231" s="13"/>
      <c r="R231" s="13"/>
      <c r="S231" s="15">
        <v>17045.0</v>
      </c>
      <c r="T231" s="15">
        <v>19151.0</v>
      </c>
      <c r="U231" s="15">
        <v>13500.0</v>
      </c>
      <c r="V231" s="15">
        <f t="shared" si="1"/>
        <v>5651</v>
      </c>
      <c r="W231" s="13"/>
      <c r="X231" s="13"/>
      <c r="Y231" s="13" t="s">
        <v>1534</v>
      </c>
    </row>
    <row r="232" hidden="1">
      <c r="A232" s="23">
        <v>230.0</v>
      </c>
      <c r="B232" s="84">
        <v>45695.0</v>
      </c>
      <c r="C232" s="13" t="s">
        <v>1535</v>
      </c>
      <c r="D232" s="13">
        <v>7.10002141E8</v>
      </c>
      <c r="E232" s="13" t="s">
        <v>157</v>
      </c>
      <c r="F232" s="13" t="s">
        <v>1536</v>
      </c>
      <c r="G232" s="13" t="s">
        <v>1537</v>
      </c>
      <c r="H232" s="15">
        <v>7.778047447E9</v>
      </c>
      <c r="I232" s="13"/>
      <c r="J232" s="87">
        <v>1462.0</v>
      </c>
      <c r="K232" s="15" t="s">
        <v>1126</v>
      </c>
      <c r="L232" s="13" t="s">
        <v>629</v>
      </c>
      <c r="M232" s="85" t="s">
        <v>33</v>
      </c>
      <c r="N232" s="13" t="s">
        <v>152</v>
      </c>
      <c r="O232" s="13" t="s">
        <v>360</v>
      </c>
      <c r="P232" s="13"/>
      <c r="Q232" s="13"/>
      <c r="R232" s="13"/>
      <c r="S232" s="86">
        <v>17441.04</v>
      </c>
      <c r="T232" s="86">
        <v>20580.43</v>
      </c>
      <c r="U232" s="15">
        <v>20600.0</v>
      </c>
      <c r="V232" s="86">
        <f t="shared" si="1"/>
        <v>-19.57</v>
      </c>
      <c r="W232" s="13"/>
      <c r="X232" s="13"/>
      <c r="Y232" s="13" t="s">
        <v>1538</v>
      </c>
    </row>
    <row r="233" hidden="1">
      <c r="A233" s="8">
        <v>231.0</v>
      </c>
      <c r="B233" s="84">
        <v>45695.0</v>
      </c>
      <c r="C233" s="13" t="s">
        <v>1539</v>
      </c>
      <c r="D233" s="13" t="s">
        <v>1540</v>
      </c>
      <c r="E233" s="13" t="s">
        <v>28</v>
      </c>
      <c r="F233" s="13" t="s">
        <v>1531</v>
      </c>
      <c r="G233" s="13" t="s">
        <v>1541</v>
      </c>
      <c r="H233" s="15">
        <v>9.825238101E9</v>
      </c>
      <c r="I233" s="13"/>
      <c r="J233" s="15">
        <v>2700.0</v>
      </c>
      <c r="K233" s="12">
        <v>46060.0</v>
      </c>
      <c r="L233" s="13" t="s">
        <v>1533</v>
      </c>
      <c r="M233" s="85" t="s">
        <v>33</v>
      </c>
      <c r="N233" s="13" t="s">
        <v>34</v>
      </c>
      <c r="O233" s="13" t="s">
        <v>35</v>
      </c>
      <c r="P233" s="13"/>
      <c r="Q233" s="13"/>
      <c r="R233" s="13"/>
      <c r="S233" s="15">
        <v>17826.0</v>
      </c>
      <c r="T233" s="15">
        <v>20072.0</v>
      </c>
      <c r="U233" s="15">
        <v>14000.0</v>
      </c>
      <c r="V233" s="15">
        <f t="shared" si="1"/>
        <v>6072</v>
      </c>
      <c r="W233" s="13"/>
      <c r="X233" s="13"/>
      <c r="Y233" s="13" t="s">
        <v>1542</v>
      </c>
    </row>
    <row r="234" hidden="1">
      <c r="A234" s="23">
        <v>232.0</v>
      </c>
      <c r="B234" s="84">
        <v>45695.0</v>
      </c>
      <c r="C234" s="13" t="s">
        <v>1543</v>
      </c>
      <c r="D234" s="13" t="s">
        <v>1544</v>
      </c>
      <c r="E234" s="13" t="s">
        <v>63</v>
      </c>
      <c r="F234" s="13" t="s">
        <v>64</v>
      </c>
      <c r="G234" s="13" t="s">
        <v>1545</v>
      </c>
      <c r="H234" s="15">
        <v>9.825282292E9</v>
      </c>
      <c r="I234" s="13"/>
      <c r="J234" s="15">
        <v>236.0</v>
      </c>
      <c r="K234" s="15" t="s">
        <v>1126</v>
      </c>
      <c r="L234" s="13" t="s">
        <v>1533</v>
      </c>
      <c r="M234" s="85" t="s">
        <v>33</v>
      </c>
      <c r="N234" s="13" t="s">
        <v>56</v>
      </c>
      <c r="O234" s="13" t="s">
        <v>35</v>
      </c>
      <c r="P234" s="13"/>
      <c r="Q234" s="13"/>
      <c r="R234" s="13"/>
      <c r="S234" s="15">
        <v>6497.0</v>
      </c>
      <c r="T234" s="15">
        <v>7667.0</v>
      </c>
      <c r="U234" s="15">
        <v>6500.0</v>
      </c>
      <c r="V234" s="15">
        <f t="shared" si="1"/>
        <v>1167</v>
      </c>
      <c r="W234" s="13"/>
      <c r="X234" s="13"/>
      <c r="Y234" s="13" t="s">
        <v>1546</v>
      </c>
    </row>
    <row r="235" hidden="1">
      <c r="A235" s="8">
        <v>233.0</v>
      </c>
      <c r="B235" s="84">
        <v>45695.0</v>
      </c>
      <c r="C235" s="13" t="s">
        <v>1547</v>
      </c>
      <c r="D235" s="13" t="s">
        <v>1548</v>
      </c>
      <c r="E235" s="13" t="s">
        <v>28</v>
      </c>
      <c r="F235" s="13" t="s">
        <v>53</v>
      </c>
      <c r="G235" s="13" t="s">
        <v>1549</v>
      </c>
      <c r="H235" s="15">
        <v>9.913441227E9</v>
      </c>
      <c r="I235" s="15">
        <v>9.913341227E9</v>
      </c>
      <c r="J235" s="15">
        <v>1600.0</v>
      </c>
      <c r="K235" s="12">
        <v>46333.0</v>
      </c>
      <c r="L235" s="13" t="s">
        <v>1533</v>
      </c>
      <c r="M235" s="85" t="s">
        <v>33</v>
      </c>
      <c r="N235" s="13" t="s">
        <v>1113</v>
      </c>
      <c r="O235" s="13" t="s">
        <v>35</v>
      </c>
      <c r="P235" s="13"/>
      <c r="Q235" s="13"/>
      <c r="R235" s="13"/>
      <c r="S235" s="15">
        <v>19361.0</v>
      </c>
      <c r="T235" s="15">
        <v>21883.0</v>
      </c>
      <c r="U235" s="15">
        <v>16000.0</v>
      </c>
      <c r="V235" s="15">
        <f t="shared" si="1"/>
        <v>5883</v>
      </c>
      <c r="W235" s="13"/>
      <c r="X235" s="13"/>
      <c r="Y235" s="13" t="s">
        <v>1550</v>
      </c>
    </row>
    <row r="236" hidden="1">
      <c r="A236" s="8">
        <v>234.0</v>
      </c>
      <c r="B236" s="84">
        <v>45695.0</v>
      </c>
      <c r="C236" s="13" t="s">
        <v>1551</v>
      </c>
      <c r="D236" s="13" t="s">
        <v>1552</v>
      </c>
      <c r="E236" s="13" t="s">
        <v>157</v>
      </c>
      <c r="F236" s="13" t="s">
        <v>1553</v>
      </c>
      <c r="G236" s="13" t="s">
        <v>1554</v>
      </c>
      <c r="H236" s="15">
        <v>8.84998448E9</v>
      </c>
      <c r="I236" s="15">
        <v>6.354616342E9</v>
      </c>
      <c r="J236" s="15">
        <v>1493.0</v>
      </c>
      <c r="K236" s="15" t="s">
        <v>1126</v>
      </c>
      <c r="L236" s="13" t="s">
        <v>126</v>
      </c>
      <c r="M236" s="85" t="s">
        <v>33</v>
      </c>
      <c r="N236" s="13" t="s">
        <v>152</v>
      </c>
      <c r="O236" s="13" t="s">
        <v>35</v>
      </c>
      <c r="P236" s="13"/>
      <c r="Q236" s="13"/>
      <c r="R236" s="13"/>
      <c r="S236" s="86">
        <v>16964.0</v>
      </c>
      <c r="T236" s="86">
        <v>20018.0</v>
      </c>
      <c r="U236" s="15">
        <v>20350.0</v>
      </c>
      <c r="V236" s="86">
        <f t="shared" si="1"/>
        <v>-332</v>
      </c>
      <c r="W236" s="13"/>
      <c r="X236" s="13"/>
      <c r="Y236" s="13" t="s">
        <v>1555</v>
      </c>
    </row>
    <row r="237" hidden="1">
      <c r="A237" s="23">
        <v>235.0</v>
      </c>
      <c r="B237" s="84">
        <v>45695.0</v>
      </c>
      <c r="C237" s="13" t="s">
        <v>1556</v>
      </c>
      <c r="D237" s="13" t="s">
        <v>1557</v>
      </c>
      <c r="E237" s="13" t="s">
        <v>92</v>
      </c>
      <c r="F237" s="13" t="s">
        <v>1558</v>
      </c>
      <c r="G237" s="13" t="s">
        <v>1559</v>
      </c>
      <c r="H237" s="15">
        <v>9.824407837E9</v>
      </c>
      <c r="I237" s="13"/>
      <c r="J237" s="87">
        <v>28000.0</v>
      </c>
      <c r="K237" s="12">
        <v>46060.0</v>
      </c>
      <c r="L237" s="13" t="s">
        <v>1560</v>
      </c>
      <c r="M237" s="85" t="s">
        <v>45</v>
      </c>
      <c r="N237" s="13" t="s">
        <v>209</v>
      </c>
      <c r="O237" s="13" t="s">
        <v>166</v>
      </c>
      <c r="P237" s="13"/>
      <c r="Q237" s="13"/>
      <c r="R237" s="13"/>
      <c r="S237" s="86">
        <v>44050.0</v>
      </c>
      <c r="T237" s="86">
        <v>49342.0</v>
      </c>
      <c r="U237" s="15">
        <v>33000.0</v>
      </c>
      <c r="V237" s="86">
        <f t="shared" si="1"/>
        <v>16342</v>
      </c>
      <c r="W237" s="13"/>
      <c r="X237" s="13"/>
      <c r="Y237" s="13" t="s">
        <v>1561</v>
      </c>
    </row>
    <row r="238" hidden="1">
      <c r="A238" s="8">
        <v>236.0</v>
      </c>
      <c r="B238" s="84">
        <v>45723.0</v>
      </c>
      <c r="C238" s="13" t="s">
        <v>1562</v>
      </c>
      <c r="D238" s="13" t="s">
        <v>1563</v>
      </c>
      <c r="E238" s="13" t="s">
        <v>92</v>
      </c>
      <c r="F238" s="13" t="s">
        <v>1463</v>
      </c>
      <c r="G238" s="13" t="s">
        <v>1464</v>
      </c>
      <c r="H238" s="15">
        <v>9.925351346E9</v>
      </c>
      <c r="I238" s="13"/>
      <c r="J238" s="15">
        <v>39500.0</v>
      </c>
      <c r="K238" s="12">
        <v>46029.0</v>
      </c>
      <c r="L238" s="13" t="s">
        <v>1533</v>
      </c>
      <c r="M238" s="85" t="s">
        <v>33</v>
      </c>
      <c r="N238" s="13" t="s">
        <v>34</v>
      </c>
      <c r="O238" s="13" t="s">
        <v>35</v>
      </c>
      <c r="P238" s="13"/>
      <c r="Q238" s="13"/>
      <c r="R238" s="13"/>
      <c r="S238" s="15">
        <v>64175.0</v>
      </c>
      <c r="T238" s="15">
        <v>73090.0</v>
      </c>
      <c r="U238" s="88">
        <v>61763.0</v>
      </c>
      <c r="V238" s="15">
        <f t="shared" si="1"/>
        <v>11327</v>
      </c>
      <c r="W238" s="13"/>
      <c r="X238" s="13"/>
      <c r="Y238" s="13" t="s">
        <v>1564</v>
      </c>
    </row>
    <row r="239" hidden="1">
      <c r="A239" s="23">
        <v>237.0</v>
      </c>
      <c r="B239" s="89">
        <v>45723.0</v>
      </c>
      <c r="C239" s="90" t="s">
        <v>1565</v>
      </c>
      <c r="D239" s="90" t="s">
        <v>1566</v>
      </c>
      <c r="E239" s="90" t="s">
        <v>92</v>
      </c>
      <c r="F239" s="90" t="s">
        <v>574</v>
      </c>
      <c r="G239" s="90" t="s">
        <v>1567</v>
      </c>
      <c r="H239" s="91" t="s">
        <v>1568</v>
      </c>
      <c r="I239" s="90"/>
      <c r="J239" s="91">
        <v>28000.0</v>
      </c>
      <c r="K239" s="92">
        <v>46029.0</v>
      </c>
      <c r="L239" s="90" t="s">
        <v>1533</v>
      </c>
      <c r="M239" s="93" t="s">
        <v>33</v>
      </c>
      <c r="N239" s="90" t="s">
        <v>209</v>
      </c>
      <c r="O239" s="90" t="s">
        <v>35</v>
      </c>
      <c r="P239" s="90"/>
      <c r="Q239" s="90"/>
      <c r="R239" s="90"/>
      <c r="S239" s="91">
        <v>47152.0</v>
      </c>
      <c r="T239" s="91">
        <v>53002.0</v>
      </c>
      <c r="U239" s="91">
        <v>44500.0</v>
      </c>
      <c r="V239" s="15">
        <f t="shared" si="1"/>
        <v>8502</v>
      </c>
      <c r="W239" s="90"/>
      <c r="X239" s="90"/>
      <c r="Y239" s="90" t="s">
        <v>1569</v>
      </c>
    </row>
    <row r="240" hidden="1">
      <c r="A240" s="8">
        <v>238.0</v>
      </c>
      <c r="B240" s="89">
        <v>45723.0</v>
      </c>
      <c r="C240" s="90" t="s">
        <v>1570</v>
      </c>
      <c r="D240" s="90" t="s">
        <v>1571</v>
      </c>
      <c r="E240" s="90" t="s">
        <v>147</v>
      </c>
      <c r="F240" s="90" t="s">
        <v>1572</v>
      </c>
      <c r="G240" s="90" t="s">
        <v>1223</v>
      </c>
      <c r="H240" s="91" t="s">
        <v>1568</v>
      </c>
      <c r="I240" s="90"/>
      <c r="J240" s="91">
        <v>5700.0</v>
      </c>
      <c r="K240" s="91" t="s">
        <v>1058</v>
      </c>
      <c r="L240" s="90" t="s">
        <v>126</v>
      </c>
      <c r="M240" s="93" t="s">
        <v>33</v>
      </c>
      <c r="N240" s="90" t="s">
        <v>209</v>
      </c>
      <c r="O240" s="90" t="s">
        <v>166</v>
      </c>
      <c r="P240" s="90"/>
      <c r="Q240" s="90"/>
      <c r="R240" s="90"/>
      <c r="S240" s="91">
        <v>15232.0</v>
      </c>
      <c r="T240" s="91">
        <v>17974.0</v>
      </c>
      <c r="U240" s="91">
        <v>17974.0</v>
      </c>
      <c r="V240" s="15">
        <f t="shared" si="1"/>
        <v>0</v>
      </c>
      <c r="W240" s="90"/>
      <c r="X240" s="90"/>
      <c r="Y240" s="90" t="s">
        <v>1226</v>
      </c>
    </row>
    <row r="241" hidden="1">
      <c r="A241" s="8">
        <v>239.0</v>
      </c>
      <c r="B241" s="84">
        <v>45723.0</v>
      </c>
      <c r="C241" s="13" t="s">
        <v>1573</v>
      </c>
      <c r="D241" s="13" t="s">
        <v>1574</v>
      </c>
      <c r="E241" s="13" t="s">
        <v>92</v>
      </c>
      <c r="F241" s="13" t="s">
        <v>1575</v>
      </c>
      <c r="G241" s="13" t="s">
        <v>1576</v>
      </c>
      <c r="H241" s="15">
        <v>9.222200008E9</v>
      </c>
      <c r="I241" s="13"/>
      <c r="J241" s="15">
        <v>42000.0</v>
      </c>
      <c r="K241" s="12">
        <v>46029.0</v>
      </c>
      <c r="L241" s="13" t="s">
        <v>1533</v>
      </c>
      <c r="M241" s="85" t="s">
        <v>33</v>
      </c>
      <c r="N241" s="13" t="s">
        <v>209</v>
      </c>
      <c r="O241" s="13" t="s">
        <v>35</v>
      </c>
      <c r="P241" s="13"/>
      <c r="Q241" s="13"/>
      <c r="R241" s="13"/>
      <c r="S241" s="15">
        <v>49647.0</v>
      </c>
      <c r="T241" s="15">
        <v>55929.0</v>
      </c>
      <c r="U241" s="15">
        <v>51000.0</v>
      </c>
      <c r="V241" s="15">
        <f t="shared" si="1"/>
        <v>4929</v>
      </c>
      <c r="W241" s="13"/>
      <c r="X241" s="13"/>
      <c r="Y241" s="13" t="s">
        <v>1577</v>
      </c>
    </row>
    <row r="242" hidden="1">
      <c r="A242" s="23">
        <v>240.0</v>
      </c>
      <c r="B242" s="84">
        <v>45723.0</v>
      </c>
      <c r="C242" s="13" t="s">
        <v>1578</v>
      </c>
      <c r="D242" s="13" t="s">
        <v>1579</v>
      </c>
      <c r="E242" s="13" t="s">
        <v>157</v>
      </c>
      <c r="F242" s="13" t="s">
        <v>1580</v>
      </c>
      <c r="G242" s="13" t="s">
        <v>1581</v>
      </c>
      <c r="H242" s="15">
        <v>6.353141831E9</v>
      </c>
      <c r="I242" s="13"/>
      <c r="J242" s="15">
        <v>2596.0</v>
      </c>
      <c r="K242" s="12">
        <v>46060.0</v>
      </c>
      <c r="L242" s="13" t="s">
        <v>1582</v>
      </c>
      <c r="M242" s="85" t="s">
        <v>45</v>
      </c>
      <c r="N242" s="13" t="s">
        <v>209</v>
      </c>
      <c r="O242" s="13" t="s">
        <v>360</v>
      </c>
      <c r="P242" s="13"/>
      <c r="Q242" s="13"/>
      <c r="R242" s="13"/>
      <c r="S242" s="87">
        <v>7897.0</v>
      </c>
      <c r="T242" s="86">
        <v>9319.0</v>
      </c>
      <c r="U242" s="13"/>
      <c r="V242" s="86">
        <f t="shared" si="1"/>
        <v>9319</v>
      </c>
      <c r="W242" s="13"/>
      <c r="X242" s="13"/>
      <c r="Y242" s="13" t="s">
        <v>1583</v>
      </c>
    </row>
    <row r="243" hidden="1">
      <c r="A243" s="8">
        <v>241.0</v>
      </c>
      <c r="B243" s="84">
        <v>45754.0</v>
      </c>
      <c r="C243" s="13" t="s">
        <v>1584</v>
      </c>
      <c r="D243" s="13" t="s">
        <v>1585</v>
      </c>
      <c r="E243" s="13" t="s">
        <v>28</v>
      </c>
      <c r="F243" s="13" t="s">
        <v>1586</v>
      </c>
      <c r="G243" s="11" t="s">
        <v>1587</v>
      </c>
      <c r="H243" s="15" t="s">
        <v>1588</v>
      </c>
      <c r="I243" s="13" t="s">
        <v>1589</v>
      </c>
      <c r="J243" s="24">
        <v>3490.0</v>
      </c>
      <c r="K243" s="94">
        <v>46060.0</v>
      </c>
      <c r="L243" s="13" t="s">
        <v>193</v>
      </c>
      <c r="M243" s="85" t="s">
        <v>33</v>
      </c>
      <c r="N243" s="13" t="s">
        <v>346</v>
      </c>
      <c r="O243" s="13" t="s">
        <v>166</v>
      </c>
      <c r="P243" s="13"/>
      <c r="Q243" s="13"/>
      <c r="R243" s="13"/>
      <c r="S243" s="18">
        <v>18633.57</v>
      </c>
      <c r="T243" s="18">
        <v>21025.0</v>
      </c>
      <c r="U243" s="15">
        <v>15000.0</v>
      </c>
      <c r="V243" s="86">
        <f t="shared" si="1"/>
        <v>6025</v>
      </c>
      <c r="W243" s="13"/>
      <c r="X243" s="13"/>
      <c r="Y243" s="11" t="s">
        <v>1590</v>
      </c>
    </row>
    <row r="244" hidden="1">
      <c r="A244" s="23">
        <v>242.0</v>
      </c>
      <c r="B244" s="84">
        <v>45754.0</v>
      </c>
      <c r="C244" s="13" t="s">
        <v>1591</v>
      </c>
      <c r="D244" s="13" t="s">
        <v>1592</v>
      </c>
      <c r="E244" s="13" t="s">
        <v>157</v>
      </c>
      <c r="F244" s="13" t="s">
        <v>1593</v>
      </c>
      <c r="G244" s="11" t="s">
        <v>1594</v>
      </c>
      <c r="H244" s="15">
        <v>9.586649497E9</v>
      </c>
      <c r="I244" s="15">
        <v>8.160015001E9</v>
      </c>
      <c r="J244" s="24">
        <v>1197.0</v>
      </c>
      <c r="K244" s="12">
        <v>46060.0</v>
      </c>
      <c r="L244" s="13" t="s">
        <v>1595</v>
      </c>
      <c r="M244" s="85" t="s">
        <v>33</v>
      </c>
      <c r="N244" s="13" t="s">
        <v>97</v>
      </c>
      <c r="O244" s="13" t="s">
        <v>360</v>
      </c>
      <c r="P244" s="13"/>
      <c r="Q244" s="13"/>
      <c r="R244" s="13"/>
      <c r="S244" s="24">
        <v>7989.55</v>
      </c>
      <c r="T244" s="24">
        <v>9427.67</v>
      </c>
      <c r="U244" s="15">
        <v>9427.0</v>
      </c>
      <c r="V244" s="15">
        <f t="shared" si="1"/>
        <v>0.67</v>
      </c>
      <c r="W244" s="13"/>
      <c r="X244" s="13"/>
      <c r="Y244" s="11" t="s">
        <v>1596</v>
      </c>
    </row>
    <row r="245" hidden="1">
      <c r="A245" s="8">
        <v>243.0</v>
      </c>
      <c r="B245" s="84">
        <v>45754.0</v>
      </c>
      <c r="C245" s="13" t="s">
        <v>1597</v>
      </c>
      <c r="D245" s="13" t="s">
        <v>1598</v>
      </c>
      <c r="E245" s="13" t="s">
        <v>28</v>
      </c>
      <c r="F245" s="13" t="s">
        <v>1489</v>
      </c>
      <c r="G245" s="13" t="s">
        <v>1599</v>
      </c>
      <c r="H245" s="15">
        <v>9.316413591E9</v>
      </c>
      <c r="I245" s="13"/>
      <c r="J245" s="15">
        <v>1600.0</v>
      </c>
      <c r="K245" s="12">
        <v>46119.0</v>
      </c>
      <c r="L245" s="13" t="s">
        <v>193</v>
      </c>
      <c r="M245" s="85" t="s">
        <v>33</v>
      </c>
      <c r="N245" s="13" t="s">
        <v>56</v>
      </c>
      <c r="O245" s="13" t="s">
        <v>166</v>
      </c>
      <c r="P245" s="13"/>
      <c r="Q245" s="13"/>
      <c r="R245" s="13"/>
      <c r="S245" s="18">
        <v>18201.32</v>
      </c>
      <c r="T245" s="18">
        <v>20515.0</v>
      </c>
      <c r="U245" s="15">
        <v>14000.0</v>
      </c>
      <c r="V245" s="86">
        <f t="shared" si="1"/>
        <v>6515</v>
      </c>
      <c r="W245" s="13"/>
      <c r="X245" s="13"/>
      <c r="Y245" s="11" t="s">
        <v>1600</v>
      </c>
    </row>
    <row r="246" hidden="1">
      <c r="A246" s="8">
        <v>244.0</v>
      </c>
      <c r="B246" s="84">
        <v>45784.0</v>
      </c>
      <c r="C246" s="13" t="s">
        <v>1601</v>
      </c>
      <c r="D246" s="13" t="s">
        <v>1602</v>
      </c>
      <c r="E246" s="13" t="s">
        <v>28</v>
      </c>
      <c r="F246" s="13" t="s">
        <v>1603</v>
      </c>
      <c r="G246" s="13" t="s">
        <v>1604</v>
      </c>
      <c r="H246" s="15">
        <v>9.624857457E9</v>
      </c>
      <c r="I246" s="13"/>
      <c r="J246" s="15">
        <v>2825.0</v>
      </c>
      <c r="K246" s="95">
        <v>46088.0</v>
      </c>
      <c r="L246" s="13" t="s">
        <v>428</v>
      </c>
      <c r="M246" s="85" t="s">
        <v>33</v>
      </c>
      <c r="N246" s="13" t="s">
        <v>56</v>
      </c>
      <c r="O246" s="13" t="s">
        <v>166</v>
      </c>
      <c r="P246" s="13"/>
      <c r="Q246" s="13"/>
      <c r="R246" s="13"/>
      <c r="S246" s="18">
        <v>18515.0</v>
      </c>
      <c r="T246" s="18">
        <v>20885.0</v>
      </c>
      <c r="U246" s="15">
        <v>16500.0</v>
      </c>
      <c r="V246" s="86">
        <f t="shared" si="1"/>
        <v>4385</v>
      </c>
      <c r="W246" s="13"/>
      <c r="X246" s="13"/>
      <c r="Y246" s="11" t="s">
        <v>1605</v>
      </c>
    </row>
    <row r="247" hidden="1">
      <c r="A247" s="23">
        <v>245.0</v>
      </c>
      <c r="B247" s="84">
        <v>45815.0</v>
      </c>
      <c r="C247" s="13" t="s">
        <v>1606</v>
      </c>
      <c r="D247" s="13" t="s">
        <v>1607</v>
      </c>
      <c r="E247" s="13" t="s">
        <v>92</v>
      </c>
      <c r="F247" s="13" t="s">
        <v>1608</v>
      </c>
      <c r="G247" s="13" t="s">
        <v>1609</v>
      </c>
      <c r="H247" s="15" t="s">
        <v>1610</v>
      </c>
      <c r="I247" s="15">
        <v>9.72524903E9</v>
      </c>
      <c r="J247" s="15">
        <v>47500.0</v>
      </c>
      <c r="K247" s="12">
        <v>46149.0</v>
      </c>
      <c r="L247" s="13" t="s">
        <v>1533</v>
      </c>
      <c r="M247" s="85" t="s">
        <v>33</v>
      </c>
      <c r="N247" s="13" t="s">
        <v>346</v>
      </c>
      <c r="O247" s="13" t="s">
        <v>35</v>
      </c>
      <c r="P247" s="13"/>
      <c r="Q247" s="13"/>
      <c r="R247" s="13"/>
      <c r="S247" s="24">
        <v>77004.0</v>
      </c>
      <c r="T247" s="24">
        <v>88212.0</v>
      </c>
      <c r="U247" s="15">
        <v>76000.0</v>
      </c>
      <c r="V247" s="15">
        <f t="shared" si="1"/>
        <v>12212</v>
      </c>
      <c r="W247" s="13"/>
      <c r="X247" s="13"/>
      <c r="Y247" s="11" t="s">
        <v>1611</v>
      </c>
    </row>
    <row r="248" hidden="1">
      <c r="A248" s="8">
        <v>246.0</v>
      </c>
      <c r="B248" s="84">
        <v>45815.0</v>
      </c>
      <c r="C248" s="13" t="s">
        <v>1612</v>
      </c>
      <c r="D248" s="13" t="s">
        <v>1613</v>
      </c>
      <c r="E248" s="13" t="s">
        <v>92</v>
      </c>
      <c r="F248" s="13" t="s">
        <v>1614</v>
      </c>
      <c r="G248" s="13" t="s">
        <v>1615</v>
      </c>
      <c r="H248" s="15" t="s">
        <v>1616</v>
      </c>
      <c r="I248" s="13"/>
      <c r="J248" s="15">
        <v>5700.0</v>
      </c>
      <c r="K248" s="12">
        <v>46149.0</v>
      </c>
      <c r="L248" s="13" t="s">
        <v>428</v>
      </c>
      <c r="M248" s="85" t="s">
        <v>33</v>
      </c>
      <c r="N248" s="13" t="s">
        <v>209</v>
      </c>
      <c r="O248" s="13" t="s">
        <v>166</v>
      </c>
      <c r="P248" s="13"/>
      <c r="Q248" s="13"/>
      <c r="R248" s="13"/>
      <c r="S248" s="18">
        <v>20165.0</v>
      </c>
      <c r="T248" s="18">
        <v>22832.0</v>
      </c>
      <c r="U248" s="15">
        <v>20000.0</v>
      </c>
      <c r="V248" s="86">
        <f t="shared" si="1"/>
        <v>2832</v>
      </c>
      <c r="W248" s="13"/>
      <c r="X248" s="13"/>
      <c r="Y248" s="11" t="s">
        <v>1617</v>
      </c>
    </row>
    <row r="249">
      <c r="H249" s="96"/>
      <c r="I249" s="96"/>
      <c r="K249" s="97"/>
      <c r="P249" s="35"/>
      <c r="Q249" s="35"/>
      <c r="R249" s="35"/>
      <c r="U249" s="98"/>
      <c r="V249" s="98"/>
      <c r="W249" s="96"/>
      <c r="X249" s="96"/>
    </row>
    <row r="250">
      <c r="H250" s="96"/>
      <c r="I250" s="96"/>
      <c r="K250" s="97"/>
      <c r="P250" s="35"/>
      <c r="Q250" s="35"/>
      <c r="R250" s="35"/>
      <c r="U250" s="98"/>
      <c r="V250" s="98"/>
      <c r="W250" s="96"/>
      <c r="X250" s="96"/>
    </row>
    <row r="251">
      <c r="H251" s="96"/>
      <c r="I251" s="96"/>
      <c r="K251" s="97"/>
      <c r="P251" s="35"/>
      <c r="Q251" s="35"/>
      <c r="R251" s="35"/>
      <c r="U251" s="98"/>
      <c r="V251" s="98"/>
      <c r="W251" s="96"/>
      <c r="X251" s="96"/>
    </row>
    <row r="252">
      <c r="H252" s="96"/>
      <c r="I252" s="96"/>
      <c r="K252" s="97"/>
      <c r="P252" s="35"/>
      <c r="Q252" s="35"/>
      <c r="R252" s="35"/>
      <c r="U252" s="98"/>
      <c r="V252" s="98"/>
      <c r="W252" s="96"/>
      <c r="X252" s="96"/>
    </row>
    <row r="253">
      <c r="H253" s="96"/>
      <c r="I253" s="96"/>
      <c r="K253" s="97"/>
      <c r="P253" s="35"/>
      <c r="Q253" s="35"/>
      <c r="R253" s="35"/>
      <c r="U253" s="98"/>
      <c r="V253" s="98"/>
      <c r="W253" s="96"/>
      <c r="X253" s="96"/>
    </row>
    <row r="254">
      <c r="H254" s="96"/>
      <c r="I254" s="96"/>
      <c r="K254" s="97"/>
      <c r="P254" s="35"/>
      <c r="Q254" s="35"/>
      <c r="R254" s="35"/>
      <c r="U254" s="98"/>
      <c r="V254" s="98"/>
      <c r="W254" s="96"/>
      <c r="X254" s="96"/>
    </row>
    <row r="255">
      <c r="H255" s="96"/>
      <c r="I255" s="96"/>
      <c r="K255" s="97"/>
      <c r="P255" s="35"/>
      <c r="Q255" s="35"/>
      <c r="R255" s="35"/>
      <c r="U255" s="98"/>
      <c r="V255" s="98"/>
      <c r="W255" s="96"/>
      <c r="X255" s="96"/>
    </row>
    <row r="256">
      <c r="H256" s="96"/>
      <c r="I256" s="96"/>
      <c r="K256" s="97"/>
      <c r="P256" s="35"/>
      <c r="Q256" s="35"/>
      <c r="R256" s="35"/>
      <c r="U256" s="98"/>
      <c r="V256" s="98"/>
      <c r="W256" s="96"/>
      <c r="X256" s="96"/>
    </row>
    <row r="257">
      <c r="H257" s="96"/>
      <c r="I257" s="96"/>
      <c r="K257" s="97"/>
      <c r="P257" s="35"/>
      <c r="Q257" s="35"/>
      <c r="R257" s="35"/>
      <c r="U257" s="98"/>
      <c r="V257" s="98"/>
      <c r="W257" s="96"/>
      <c r="X257" s="96"/>
    </row>
    <row r="258">
      <c r="H258" s="96"/>
      <c r="I258" s="96"/>
      <c r="K258" s="97"/>
      <c r="P258" s="35"/>
      <c r="Q258" s="35"/>
      <c r="R258" s="35"/>
      <c r="U258" s="98"/>
      <c r="V258" s="98"/>
      <c r="W258" s="96"/>
      <c r="X258" s="96"/>
    </row>
    <row r="259">
      <c r="H259" s="96"/>
      <c r="I259" s="96"/>
      <c r="K259" s="97"/>
      <c r="P259" s="35"/>
      <c r="Q259" s="35"/>
      <c r="R259" s="35"/>
      <c r="U259" s="98"/>
      <c r="V259" s="98"/>
      <c r="W259" s="96"/>
      <c r="X259" s="96"/>
    </row>
    <row r="260">
      <c r="H260" s="96"/>
      <c r="I260" s="96"/>
      <c r="K260" s="97"/>
      <c r="P260" s="35"/>
      <c r="Q260" s="35"/>
      <c r="R260" s="35"/>
      <c r="U260" s="98"/>
      <c r="V260" s="98"/>
      <c r="W260" s="96"/>
      <c r="X260" s="96"/>
    </row>
    <row r="261">
      <c r="H261" s="96"/>
      <c r="I261" s="96"/>
      <c r="K261" s="97"/>
      <c r="P261" s="35"/>
      <c r="Q261" s="35"/>
      <c r="R261" s="35"/>
      <c r="U261" s="98"/>
      <c r="V261" s="98"/>
      <c r="W261" s="96"/>
      <c r="X261" s="96"/>
    </row>
    <row r="262">
      <c r="H262" s="96"/>
      <c r="I262" s="96"/>
      <c r="K262" s="97"/>
      <c r="P262" s="35"/>
      <c r="Q262" s="35"/>
      <c r="R262" s="35"/>
      <c r="U262" s="98"/>
      <c r="V262" s="98"/>
      <c r="W262" s="96"/>
      <c r="X262" s="96"/>
    </row>
    <row r="263">
      <c r="H263" s="96"/>
      <c r="I263" s="96"/>
      <c r="K263" s="97"/>
      <c r="P263" s="35"/>
      <c r="Q263" s="35"/>
      <c r="R263" s="35"/>
      <c r="U263" s="98"/>
      <c r="V263" s="98"/>
      <c r="W263" s="96"/>
      <c r="X263" s="96"/>
    </row>
    <row r="264">
      <c r="H264" s="96"/>
      <c r="I264" s="96"/>
      <c r="K264" s="97"/>
      <c r="P264" s="35"/>
      <c r="Q264" s="35"/>
      <c r="R264" s="35"/>
      <c r="U264" s="98"/>
      <c r="V264" s="98"/>
      <c r="W264" s="96"/>
      <c r="X264" s="96"/>
    </row>
    <row r="265">
      <c r="H265" s="96"/>
      <c r="I265" s="96"/>
      <c r="K265" s="97"/>
      <c r="P265" s="35"/>
      <c r="Q265" s="35"/>
      <c r="R265" s="35"/>
      <c r="U265" s="98"/>
      <c r="V265" s="98"/>
      <c r="W265" s="96"/>
      <c r="X265" s="96"/>
    </row>
    <row r="266">
      <c r="H266" s="96"/>
      <c r="I266" s="96"/>
      <c r="K266" s="97"/>
      <c r="P266" s="35"/>
      <c r="Q266" s="35"/>
      <c r="R266" s="35"/>
      <c r="U266" s="98"/>
      <c r="V266" s="98"/>
      <c r="W266" s="96"/>
      <c r="X266" s="96"/>
    </row>
    <row r="267">
      <c r="H267" s="96"/>
      <c r="I267" s="96"/>
      <c r="K267" s="97"/>
      <c r="P267" s="35"/>
      <c r="Q267" s="35"/>
      <c r="R267" s="35"/>
      <c r="U267" s="98"/>
      <c r="V267" s="98"/>
      <c r="W267" s="96"/>
      <c r="X267" s="96"/>
    </row>
    <row r="268">
      <c r="H268" s="96"/>
      <c r="I268" s="96"/>
      <c r="K268" s="97"/>
      <c r="P268" s="35"/>
      <c r="Q268" s="35"/>
      <c r="R268" s="35"/>
      <c r="U268" s="98"/>
      <c r="V268" s="98"/>
      <c r="W268" s="96"/>
      <c r="X268" s="96"/>
    </row>
    <row r="269">
      <c r="H269" s="96"/>
      <c r="I269" s="96"/>
      <c r="K269" s="97"/>
      <c r="P269" s="35"/>
      <c r="Q269" s="35"/>
      <c r="R269" s="35"/>
      <c r="U269" s="98"/>
      <c r="V269" s="98"/>
      <c r="W269" s="96"/>
      <c r="X269" s="96"/>
    </row>
    <row r="270">
      <c r="H270" s="96"/>
      <c r="I270" s="96"/>
      <c r="K270" s="97"/>
      <c r="P270" s="35"/>
      <c r="Q270" s="35"/>
      <c r="R270" s="35"/>
      <c r="U270" s="98"/>
      <c r="V270" s="98"/>
      <c r="W270" s="96"/>
      <c r="X270" s="96"/>
    </row>
    <row r="271">
      <c r="H271" s="96"/>
      <c r="I271" s="96"/>
      <c r="K271" s="97"/>
      <c r="P271" s="35"/>
      <c r="Q271" s="35"/>
      <c r="R271" s="35"/>
      <c r="U271" s="98"/>
      <c r="V271" s="98"/>
      <c r="W271" s="96"/>
      <c r="X271" s="96"/>
    </row>
    <row r="272">
      <c r="H272" s="96"/>
      <c r="I272" s="96"/>
      <c r="K272" s="97"/>
      <c r="P272" s="35"/>
      <c r="Q272" s="35"/>
      <c r="R272" s="35"/>
      <c r="U272" s="98"/>
      <c r="V272" s="98"/>
      <c r="W272" s="96"/>
      <c r="X272" s="96"/>
    </row>
    <row r="273">
      <c r="H273" s="96"/>
      <c r="I273" s="96"/>
      <c r="K273" s="97"/>
      <c r="P273" s="35"/>
      <c r="Q273" s="35"/>
      <c r="R273" s="35"/>
      <c r="U273" s="98"/>
      <c r="V273" s="98"/>
      <c r="W273" s="96"/>
      <c r="X273" s="96"/>
    </row>
    <row r="274">
      <c r="H274" s="96"/>
      <c r="I274" s="96"/>
      <c r="K274" s="97"/>
      <c r="P274" s="35"/>
      <c r="Q274" s="35"/>
      <c r="R274" s="35"/>
      <c r="U274" s="98"/>
      <c r="V274" s="98"/>
      <c r="W274" s="96"/>
      <c r="X274" s="96"/>
    </row>
    <row r="275">
      <c r="H275" s="96"/>
      <c r="I275" s="96"/>
      <c r="K275" s="97"/>
      <c r="P275" s="35"/>
      <c r="Q275" s="35"/>
      <c r="R275" s="35"/>
      <c r="U275" s="98"/>
      <c r="V275" s="98"/>
      <c r="W275" s="96"/>
      <c r="X275" s="96"/>
    </row>
    <row r="276">
      <c r="H276" s="96"/>
      <c r="I276" s="96"/>
      <c r="K276" s="97"/>
      <c r="P276" s="35"/>
      <c r="Q276" s="35"/>
      <c r="R276" s="35"/>
      <c r="U276" s="98"/>
      <c r="V276" s="98"/>
      <c r="W276" s="96"/>
      <c r="X276" s="96"/>
    </row>
    <row r="277">
      <c r="H277" s="96"/>
      <c r="I277" s="96"/>
      <c r="K277" s="97"/>
      <c r="P277" s="35"/>
      <c r="Q277" s="35"/>
      <c r="R277" s="35"/>
      <c r="U277" s="98"/>
      <c r="V277" s="98"/>
      <c r="W277" s="96"/>
      <c r="X277" s="96"/>
    </row>
    <row r="278">
      <c r="H278" s="96"/>
      <c r="I278" s="96"/>
      <c r="K278" s="97"/>
      <c r="P278" s="35"/>
      <c r="Q278" s="35"/>
      <c r="R278" s="35"/>
      <c r="U278" s="98"/>
      <c r="V278" s="98"/>
      <c r="W278" s="96"/>
      <c r="X278" s="96"/>
    </row>
    <row r="279">
      <c r="H279" s="96"/>
      <c r="I279" s="96"/>
      <c r="K279" s="97"/>
      <c r="P279" s="35"/>
      <c r="Q279" s="35"/>
      <c r="R279" s="35"/>
      <c r="U279" s="98"/>
      <c r="V279" s="98"/>
      <c r="W279" s="96"/>
      <c r="X279" s="96"/>
    </row>
    <row r="280">
      <c r="H280" s="96"/>
      <c r="I280" s="96"/>
      <c r="K280" s="97"/>
      <c r="P280" s="35"/>
      <c r="Q280" s="35"/>
      <c r="R280" s="35"/>
      <c r="U280" s="98"/>
      <c r="V280" s="98"/>
      <c r="W280" s="96"/>
      <c r="X280" s="96"/>
    </row>
    <row r="281">
      <c r="H281" s="96"/>
      <c r="I281" s="96"/>
      <c r="K281" s="97"/>
      <c r="P281" s="35"/>
      <c r="Q281" s="35"/>
      <c r="R281" s="35"/>
      <c r="U281" s="98"/>
      <c r="V281" s="98"/>
      <c r="W281" s="96"/>
      <c r="X281" s="96"/>
    </row>
    <row r="282">
      <c r="H282" s="96"/>
      <c r="I282" s="96"/>
      <c r="K282" s="97"/>
      <c r="P282" s="35"/>
      <c r="Q282" s="35"/>
      <c r="R282" s="35"/>
      <c r="U282" s="98"/>
      <c r="V282" s="98"/>
      <c r="W282" s="96"/>
      <c r="X282" s="96"/>
    </row>
    <row r="283">
      <c r="H283" s="96"/>
      <c r="I283" s="96"/>
      <c r="K283" s="97"/>
      <c r="P283" s="35"/>
      <c r="Q283" s="35"/>
      <c r="R283" s="35"/>
      <c r="U283" s="98"/>
      <c r="V283" s="98"/>
      <c r="W283" s="96"/>
      <c r="X283" s="96"/>
    </row>
    <row r="284">
      <c r="H284" s="96"/>
      <c r="I284" s="96"/>
      <c r="K284" s="97"/>
      <c r="P284" s="35"/>
      <c r="Q284" s="35"/>
      <c r="R284" s="35"/>
      <c r="U284" s="98"/>
      <c r="V284" s="98"/>
      <c r="W284" s="96"/>
      <c r="X284" s="96"/>
    </row>
    <row r="285">
      <c r="H285" s="96"/>
      <c r="I285" s="96"/>
      <c r="K285" s="97"/>
      <c r="P285" s="35"/>
      <c r="Q285" s="35"/>
      <c r="R285" s="35"/>
      <c r="U285" s="98"/>
      <c r="V285" s="98"/>
      <c r="W285" s="96"/>
      <c r="X285" s="96"/>
    </row>
    <row r="286">
      <c r="H286" s="96"/>
      <c r="I286" s="96"/>
      <c r="K286" s="97"/>
      <c r="P286" s="35"/>
      <c r="Q286" s="35"/>
      <c r="R286" s="35"/>
      <c r="U286" s="98"/>
      <c r="V286" s="98"/>
      <c r="W286" s="96"/>
      <c r="X286" s="96"/>
    </row>
    <row r="287">
      <c r="H287" s="96"/>
      <c r="I287" s="96"/>
      <c r="K287" s="97"/>
      <c r="P287" s="35"/>
      <c r="Q287" s="35"/>
      <c r="R287" s="35"/>
      <c r="U287" s="98"/>
      <c r="V287" s="98"/>
      <c r="W287" s="96"/>
      <c r="X287" s="96"/>
    </row>
    <row r="288">
      <c r="H288" s="96"/>
      <c r="I288" s="96"/>
      <c r="K288" s="97"/>
      <c r="P288" s="35"/>
      <c r="Q288" s="35"/>
      <c r="R288" s="35"/>
      <c r="U288" s="98"/>
      <c r="V288" s="98"/>
      <c r="W288" s="96"/>
      <c r="X288" s="96"/>
    </row>
    <row r="289">
      <c r="H289" s="96"/>
      <c r="I289" s="96"/>
      <c r="K289" s="97"/>
      <c r="P289" s="35"/>
      <c r="Q289" s="35"/>
      <c r="R289" s="35"/>
      <c r="U289" s="98"/>
      <c r="V289" s="98"/>
      <c r="W289" s="96"/>
      <c r="X289" s="96"/>
    </row>
    <row r="290">
      <c r="H290" s="96"/>
      <c r="I290" s="96"/>
      <c r="K290" s="97"/>
      <c r="P290" s="35"/>
      <c r="Q290" s="35"/>
      <c r="R290" s="35"/>
      <c r="U290" s="98"/>
      <c r="V290" s="98"/>
      <c r="W290" s="96"/>
      <c r="X290" s="96"/>
    </row>
    <row r="291">
      <c r="H291" s="96"/>
      <c r="I291" s="96"/>
      <c r="K291" s="97"/>
      <c r="P291" s="35"/>
      <c r="Q291" s="35"/>
      <c r="R291" s="35"/>
      <c r="U291" s="98"/>
      <c r="V291" s="98"/>
      <c r="W291" s="96"/>
      <c r="X291" s="96"/>
    </row>
    <row r="292">
      <c r="H292" s="96"/>
      <c r="I292" s="96"/>
      <c r="K292" s="97"/>
      <c r="P292" s="35"/>
      <c r="Q292" s="35"/>
      <c r="R292" s="35"/>
      <c r="U292" s="98"/>
      <c r="V292" s="98"/>
      <c r="W292" s="96"/>
      <c r="X292" s="96"/>
    </row>
    <row r="293">
      <c r="H293" s="96"/>
      <c r="I293" s="96"/>
      <c r="K293" s="97"/>
      <c r="P293" s="35"/>
      <c r="Q293" s="35"/>
      <c r="R293" s="35"/>
      <c r="U293" s="98"/>
      <c r="V293" s="98"/>
      <c r="W293" s="96"/>
      <c r="X293" s="96"/>
    </row>
    <row r="294">
      <c r="H294" s="96"/>
      <c r="I294" s="96"/>
      <c r="K294" s="97"/>
      <c r="P294" s="35"/>
      <c r="Q294" s="35"/>
      <c r="R294" s="35"/>
      <c r="U294" s="98"/>
      <c r="V294" s="98"/>
      <c r="W294" s="96"/>
      <c r="X294" s="96"/>
    </row>
    <row r="295">
      <c r="H295" s="96"/>
      <c r="I295" s="96"/>
      <c r="K295" s="97"/>
      <c r="P295" s="35"/>
      <c r="Q295" s="35"/>
      <c r="R295" s="35"/>
      <c r="U295" s="98"/>
      <c r="V295" s="98"/>
      <c r="W295" s="96"/>
      <c r="X295" s="96"/>
    </row>
    <row r="296">
      <c r="H296" s="96"/>
      <c r="I296" s="96"/>
      <c r="K296" s="97"/>
      <c r="P296" s="35"/>
      <c r="Q296" s="35"/>
      <c r="R296" s="35"/>
      <c r="U296" s="98"/>
      <c r="V296" s="98"/>
      <c r="W296" s="96"/>
      <c r="X296" s="96"/>
    </row>
    <row r="297">
      <c r="H297" s="96"/>
      <c r="I297" s="96"/>
      <c r="K297" s="97"/>
      <c r="P297" s="35"/>
      <c r="Q297" s="35"/>
      <c r="R297" s="35"/>
      <c r="U297" s="98"/>
      <c r="V297" s="98"/>
      <c r="W297" s="96"/>
      <c r="X297" s="96"/>
    </row>
    <row r="298">
      <c r="H298" s="96"/>
      <c r="I298" s="96"/>
      <c r="K298" s="97"/>
      <c r="P298" s="35"/>
      <c r="Q298" s="35"/>
      <c r="R298" s="35"/>
      <c r="U298" s="98"/>
      <c r="V298" s="98"/>
      <c r="W298" s="96"/>
      <c r="X298" s="96"/>
    </row>
    <row r="299">
      <c r="H299" s="96"/>
      <c r="I299" s="96"/>
      <c r="K299" s="97"/>
      <c r="P299" s="35"/>
      <c r="Q299" s="35"/>
      <c r="R299" s="35"/>
      <c r="U299" s="98"/>
      <c r="V299" s="98"/>
      <c r="W299" s="96"/>
      <c r="X299" s="96"/>
    </row>
    <row r="300">
      <c r="H300" s="96"/>
      <c r="I300" s="96"/>
      <c r="K300" s="97"/>
      <c r="P300" s="35"/>
      <c r="Q300" s="35"/>
      <c r="R300" s="35"/>
      <c r="U300" s="98"/>
      <c r="V300" s="98"/>
      <c r="W300" s="96"/>
      <c r="X300" s="96"/>
    </row>
    <row r="301">
      <c r="H301" s="96"/>
      <c r="I301" s="96"/>
      <c r="K301" s="97"/>
      <c r="P301" s="35"/>
      <c r="Q301" s="35"/>
      <c r="R301" s="35"/>
      <c r="U301" s="98"/>
      <c r="V301" s="98"/>
      <c r="W301" s="96"/>
      <c r="X301" s="96"/>
    </row>
    <row r="302">
      <c r="H302" s="96"/>
      <c r="I302" s="96"/>
      <c r="K302" s="97"/>
      <c r="P302" s="35"/>
      <c r="Q302" s="35"/>
      <c r="R302" s="35"/>
      <c r="U302" s="98"/>
      <c r="V302" s="98"/>
      <c r="W302" s="96"/>
      <c r="X302" s="96"/>
    </row>
    <row r="303">
      <c r="H303" s="96"/>
      <c r="I303" s="96"/>
      <c r="K303" s="97"/>
      <c r="P303" s="35"/>
      <c r="Q303" s="35"/>
      <c r="R303" s="35"/>
      <c r="U303" s="98"/>
      <c r="V303" s="98"/>
      <c r="W303" s="96"/>
      <c r="X303" s="96"/>
    </row>
    <row r="304">
      <c r="H304" s="96"/>
      <c r="I304" s="96"/>
      <c r="K304" s="97"/>
      <c r="P304" s="35"/>
      <c r="Q304" s="35"/>
      <c r="R304" s="35"/>
      <c r="U304" s="98"/>
      <c r="V304" s="98"/>
      <c r="W304" s="96"/>
      <c r="X304" s="96"/>
    </row>
    <row r="305">
      <c r="H305" s="96"/>
      <c r="I305" s="96"/>
      <c r="K305" s="97"/>
      <c r="P305" s="35"/>
      <c r="Q305" s="35"/>
      <c r="R305" s="35"/>
      <c r="U305" s="98"/>
      <c r="V305" s="98"/>
      <c r="W305" s="96"/>
      <c r="X305" s="96"/>
    </row>
    <row r="306">
      <c r="H306" s="96"/>
      <c r="I306" s="96"/>
      <c r="K306" s="97"/>
      <c r="P306" s="35"/>
      <c r="Q306" s="35"/>
      <c r="R306" s="35"/>
      <c r="U306" s="98"/>
      <c r="V306" s="98"/>
      <c r="W306" s="96"/>
      <c r="X306" s="96"/>
    </row>
    <row r="307">
      <c r="H307" s="96"/>
      <c r="I307" s="96"/>
      <c r="K307" s="97"/>
      <c r="P307" s="35"/>
      <c r="Q307" s="35"/>
      <c r="R307" s="35"/>
      <c r="U307" s="98"/>
      <c r="V307" s="98"/>
      <c r="W307" s="96"/>
      <c r="X307" s="96"/>
    </row>
    <row r="308">
      <c r="H308" s="96"/>
      <c r="I308" s="96"/>
      <c r="K308" s="97"/>
      <c r="P308" s="35"/>
      <c r="Q308" s="35"/>
      <c r="R308" s="35"/>
      <c r="U308" s="98"/>
      <c r="V308" s="98"/>
      <c r="W308" s="96"/>
      <c r="X308" s="96"/>
    </row>
    <row r="309">
      <c r="H309" s="96"/>
      <c r="I309" s="96"/>
      <c r="K309" s="97"/>
      <c r="P309" s="35"/>
      <c r="Q309" s="35"/>
      <c r="R309" s="35"/>
      <c r="U309" s="98"/>
      <c r="V309" s="98"/>
      <c r="W309" s="96"/>
      <c r="X309" s="96"/>
    </row>
    <row r="310">
      <c r="H310" s="96"/>
      <c r="I310" s="96"/>
      <c r="K310" s="97"/>
      <c r="P310" s="35"/>
      <c r="Q310" s="35"/>
      <c r="R310" s="35"/>
      <c r="U310" s="98"/>
      <c r="V310" s="98"/>
      <c r="W310" s="96"/>
      <c r="X310" s="96"/>
    </row>
    <row r="311">
      <c r="H311" s="96"/>
      <c r="I311" s="96"/>
      <c r="K311" s="97"/>
      <c r="P311" s="35"/>
      <c r="Q311" s="35"/>
      <c r="R311" s="35"/>
      <c r="U311" s="98"/>
      <c r="V311" s="98"/>
      <c r="W311" s="96"/>
      <c r="X311" s="96"/>
    </row>
    <row r="312">
      <c r="H312" s="96"/>
      <c r="I312" s="96"/>
      <c r="K312" s="97"/>
      <c r="P312" s="35"/>
      <c r="Q312" s="35"/>
      <c r="R312" s="35"/>
      <c r="U312" s="98"/>
      <c r="V312" s="98"/>
      <c r="W312" s="96"/>
      <c r="X312" s="96"/>
    </row>
    <row r="313">
      <c r="H313" s="96"/>
      <c r="I313" s="96"/>
      <c r="K313" s="97"/>
      <c r="P313" s="35"/>
      <c r="Q313" s="35"/>
      <c r="R313" s="35"/>
      <c r="U313" s="98"/>
      <c r="V313" s="98"/>
      <c r="W313" s="96"/>
      <c r="X313" s="96"/>
    </row>
    <row r="314">
      <c r="H314" s="96"/>
      <c r="I314" s="96"/>
      <c r="K314" s="97"/>
      <c r="P314" s="35"/>
      <c r="Q314" s="35"/>
      <c r="R314" s="35"/>
      <c r="U314" s="98"/>
      <c r="V314" s="98"/>
      <c r="W314" s="96"/>
      <c r="X314" s="96"/>
    </row>
    <row r="315">
      <c r="H315" s="96"/>
      <c r="I315" s="96"/>
      <c r="K315" s="97"/>
      <c r="P315" s="35"/>
      <c r="Q315" s="35"/>
      <c r="R315" s="35"/>
      <c r="U315" s="98"/>
      <c r="V315" s="98"/>
      <c r="W315" s="96"/>
      <c r="X315" s="96"/>
    </row>
    <row r="316">
      <c r="H316" s="96"/>
      <c r="I316" s="96"/>
      <c r="K316" s="97"/>
      <c r="P316" s="35"/>
      <c r="Q316" s="35"/>
      <c r="R316" s="35"/>
      <c r="U316" s="98"/>
      <c r="V316" s="98"/>
      <c r="W316" s="96"/>
      <c r="X316" s="96"/>
    </row>
    <row r="317">
      <c r="H317" s="96"/>
      <c r="I317" s="96"/>
      <c r="K317" s="97"/>
      <c r="P317" s="35"/>
      <c r="Q317" s="35"/>
      <c r="R317" s="35"/>
      <c r="U317" s="98"/>
      <c r="V317" s="98"/>
      <c r="W317" s="96"/>
      <c r="X317" s="96"/>
    </row>
    <row r="318">
      <c r="H318" s="96"/>
      <c r="I318" s="96"/>
      <c r="K318" s="97"/>
      <c r="P318" s="35"/>
      <c r="Q318" s="35"/>
      <c r="R318" s="35"/>
      <c r="U318" s="98"/>
      <c r="V318" s="98"/>
      <c r="W318" s="96"/>
      <c r="X318" s="96"/>
    </row>
    <row r="319">
      <c r="H319" s="96"/>
      <c r="I319" s="96"/>
      <c r="K319" s="97"/>
      <c r="P319" s="35"/>
      <c r="Q319" s="35"/>
      <c r="R319" s="35"/>
      <c r="U319" s="98"/>
      <c r="V319" s="98"/>
      <c r="W319" s="96"/>
      <c r="X319" s="96"/>
    </row>
    <row r="320">
      <c r="H320" s="96"/>
      <c r="I320" s="96"/>
      <c r="K320" s="97"/>
      <c r="P320" s="35"/>
      <c r="Q320" s="35"/>
      <c r="R320" s="35"/>
      <c r="U320" s="98"/>
      <c r="V320" s="98"/>
      <c r="W320" s="96"/>
      <c r="X320" s="96"/>
    </row>
    <row r="321">
      <c r="H321" s="96"/>
      <c r="I321" s="96"/>
      <c r="K321" s="97"/>
      <c r="P321" s="35"/>
      <c r="Q321" s="35"/>
      <c r="R321" s="35"/>
      <c r="U321" s="98"/>
      <c r="V321" s="98"/>
      <c r="W321" s="96"/>
      <c r="X321" s="96"/>
    </row>
    <row r="322">
      <c r="H322" s="96"/>
      <c r="I322" s="96"/>
      <c r="K322" s="97"/>
      <c r="P322" s="35"/>
      <c r="Q322" s="35"/>
      <c r="R322" s="35"/>
      <c r="U322" s="98"/>
      <c r="V322" s="98"/>
      <c r="W322" s="96"/>
      <c r="X322" s="96"/>
    </row>
    <row r="323">
      <c r="H323" s="96"/>
      <c r="I323" s="96"/>
      <c r="K323" s="97"/>
      <c r="P323" s="35"/>
      <c r="Q323" s="35"/>
      <c r="R323" s="35"/>
      <c r="U323" s="98"/>
      <c r="V323" s="98"/>
      <c r="W323" s="96"/>
      <c r="X323" s="96"/>
    </row>
    <row r="324">
      <c r="H324" s="96"/>
      <c r="I324" s="96"/>
      <c r="K324" s="97"/>
      <c r="P324" s="35"/>
      <c r="Q324" s="35"/>
      <c r="R324" s="35"/>
      <c r="U324" s="98"/>
      <c r="V324" s="98"/>
      <c r="W324" s="96"/>
      <c r="X324" s="96"/>
    </row>
    <row r="325">
      <c r="H325" s="96"/>
      <c r="I325" s="96"/>
      <c r="K325" s="97"/>
      <c r="P325" s="35"/>
      <c r="Q325" s="35"/>
      <c r="R325" s="35"/>
      <c r="U325" s="98"/>
      <c r="V325" s="98"/>
      <c r="W325" s="96"/>
      <c r="X325" s="96"/>
    </row>
    <row r="326">
      <c r="H326" s="96"/>
      <c r="I326" s="96"/>
      <c r="K326" s="97"/>
      <c r="P326" s="35"/>
      <c r="Q326" s="35"/>
      <c r="R326" s="35"/>
      <c r="U326" s="98"/>
      <c r="V326" s="98"/>
      <c r="W326" s="96"/>
      <c r="X326" s="96"/>
    </row>
    <row r="327">
      <c r="H327" s="96"/>
      <c r="I327" s="96"/>
      <c r="K327" s="97"/>
      <c r="P327" s="35"/>
      <c r="Q327" s="35"/>
      <c r="R327" s="35"/>
      <c r="U327" s="98"/>
      <c r="V327" s="98"/>
      <c r="W327" s="96"/>
      <c r="X327" s="96"/>
    </row>
    <row r="328">
      <c r="H328" s="96"/>
      <c r="I328" s="96"/>
      <c r="K328" s="97"/>
      <c r="P328" s="35"/>
      <c r="Q328" s="35"/>
      <c r="R328" s="35"/>
      <c r="U328" s="98"/>
      <c r="V328" s="98"/>
      <c r="W328" s="96"/>
      <c r="X328" s="96"/>
    </row>
    <row r="329">
      <c r="H329" s="96"/>
      <c r="I329" s="96"/>
      <c r="K329" s="97"/>
      <c r="P329" s="35"/>
      <c r="Q329" s="35"/>
      <c r="R329" s="35"/>
      <c r="U329" s="98"/>
      <c r="V329" s="98"/>
      <c r="W329" s="96"/>
      <c r="X329" s="96"/>
    </row>
    <row r="330">
      <c r="H330" s="96"/>
      <c r="I330" s="96"/>
      <c r="K330" s="97"/>
      <c r="P330" s="35"/>
      <c r="Q330" s="35"/>
      <c r="R330" s="35"/>
      <c r="U330" s="98"/>
      <c r="V330" s="98"/>
      <c r="W330" s="96"/>
      <c r="X330" s="96"/>
    </row>
    <row r="331">
      <c r="H331" s="96"/>
      <c r="I331" s="96"/>
      <c r="K331" s="97"/>
      <c r="P331" s="35"/>
      <c r="Q331" s="35"/>
      <c r="R331" s="35"/>
      <c r="U331" s="98"/>
      <c r="V331" s="98"/>
      <c r="W331" s="96"/>
      <c r="X331" s="96"/>
    </row>
    <row r="332">
      <c r="H332" s="96"/>
      <c r="I332" s="96"/>
      <c r="K332" s="97"/>
      <c r="P332" s="35"/>
      <c r="Q332" s="35"/>
      <c r="R332" s="35"/>
      <c r="U332" s="98"/>
      <c r="V332" s="98"/>
      <c r="W332" s="96"/>
      <c r="X332" s="96"/>
    </row>
    <row r="333">
      <c r="H333" s="96"/>
      <c r="I333" s="96"/>
      <c r="K333" s="97"/>
      <c r="P333" s="35"/>
      <c r="Q333" s="35"/>
      <c r="R333" s="35"/>
      <c r="U333" s="98"/>
      <c r="V333" s="98"/>
      <c r="W333" s="96"/>
      <c r="X333" s="96"/>
    </row>
    <row r="334">
      <c r="H334" s="96"/>
      <c r="I334" s="96"/>
      <c r="K334" s="97"/>
      <c r="P334" s="35"/>
      <c r="Q334" s="35"/>
      <c r="R334" s="35"/>
      <c r="U334" s="98"/>
      <c r="V334" s="98"/>
      <c r="W334" s="96"/>
      <c r="X334" s="96"/>
    </row>
    <row r="335">
      <c r="H335" s="96"/>
      <c r="I335" s="96"/>
      <c r="K335" s="97"/>
      <c r="P335" s="35"/>
      <c r="Q335" s="35"/>
      <c r="R335" s="35"/>
      <c r="U335" s="98"/>
      <c r="V335" s="98"/>
      <c r="W335" s="96"/>
      <c r="X335" s="96"/>
    </row>
    <row r="336">
      <c r="H336" s="96"/>
      <c r="I336" s="96"/>
      <c r="K336" s="97"/>
      <c r="P336" s="35"/>
      <c r="Q336" s="35"/>
      <c r="R336" s="35"/>
      <c r="U336" s="98"/>
      <c r="V336" s="98"/>
      <c r="W336" s="96"/>
      <c r="X336" s="96"/>
    </row>
    <row r="337">
      <c r="H337" s="96"/>
      <c r="I337" s="96"/>
      <c r="K337" s="97"/>
      <c r="P337" s="35"/>
      <c r="Q337" s="35"/>
      <c r="R337" s="35"/>
      <c r="U337" s="98"/>
      <c r="V337" s="98"/>
      <c r="W337" s="96"/>
      <c r="X337" s="96"/>
    </row>
    <row r="338">
      <c r="H338" s="96"/>
      <c r="I338" s="96"/>
      <c r="K338" s="97"/>
      <c r="P338" s="35"/>
      <c r="Q338" s="35"/>
      <c r="R338" s="35"/>
      <c r="U338" s="98"/>
      <c r="V338" s="98"/>
      <c r="W338" s="96"/>
      <c r="X338" s="96"/>
    </row>
    <row r="339">
      <c r="H339" s="96"/>
      <c r="I339" s="96"/>
      <c r="K339" s="97"/>
      <c r="P339" s="35"/>
      <c r="Q339" s="35"/>
      <c r="R339" s="35"/>
      <c r="U339" s="98"/>
      <c r="V339" s="98"/>
      <c r="W339" s="96"/>
      <c r="X339" s="96"/>
    </row>
    <row r="340">
      <c r="H340" s="96"/>
      <c r="I340" s="96"/>
      <c r="K340" s="97"/>
      <c r="P340" s="35"/>
      <c r="Q340" s="35"/>
      <c r="R340" s="35"/>
      <c r="U340" s="98"/>
      <c r="V340" s="98"/>
      <c r="W340" s="96"/>
      <c r="X340" s="96"/>
    </row>
    <row r="341">
      <c r="H341" s="96"/>
      <c r="I341" s="96"/>
      <c r="K341" s="97"/>
      <c r="P341" s="35"/>
      <c r="Q341" s="35"/>
      <c r="R341" s="35"/>
      <c r="U341" s="98"/>
      <c r="V341" s="98"/>
      <c r="W341" s="96"/>
      <c r="X341" s="96"/>
    </row>
    <row r="342">
      <c r="H342" s="96"/>
      <c r="I342" s="96"/>
      <c r="K342" s="97"/>
      <c r="P342" s="35"/>
      <c r="Q342" s="35"/>
      <c r="R342" s="35"/>
      <c r="U342" s="98"/>
      <c r="V342" s="98"/>
      <c r="W342" s="96"/>
      <c r="X342" s="96"/>
    </row>
    <row r="343">
      <c r="H343" s="96"/>
      <c r="I343" s="96"/>
      <c r="K343" s="97"/>
      <c r="P343" s="35"/>
      <c r="Q343" s="35"/>
      <c r="R343" s="35"/>
      <c r="U343" s="98"/>
      <c r="V343" s="98"/>
      <c r="W343" s="96"/>
      <c r="X343" s="96"/>
    </row>
    <row r="344">
      <c r="H344" s="96"/>
      <c r="I344" s="96"/>
      <c r="K344" s="97"/>
      <c r="P344" s="35"/>
      <c r="Q344" s="35"/>
      <c r="R344" s="35"/>
      <c r="U344" s="98"/>
      <c r="V344" s="98"/>
      <c r="W344" s="96"/>
      <c r="X344" s="96"/>
    </row>
    <row r="345">
      <c r="H345" s="96"/>
      <c r="I345" s="96"/>
      <c r="K345" s="97"/>
      <c r="P345" s="35"/>
      <c r="Q345" s="35"/>
      <c r="R345" s="35"/>
      <c r="U345" s="98"/>
      <c r="V345" s="98"/>
      <c r="W345" s="96"/>
      <c r="X345" s="96"/>
    </row>
    <row r="346">
      <c r="H346" s="96"/>
      <c r="I346" s="96"/>
      <c r="K346" s="97"/>
      <c r="P346" s="35"/>
      <c r="Q346" s="35"/>
      <c r="R346" s="35"/>
      <c r="U346" s="98"/>
      <c r="V346" s="98"/>
      <c r="W346" s="96"/>
      <c r="X346" s="96"/>
    </row>
    <row r="347">
      <c r="H347" s="96"/>
      <c r="I347" s="96"/>
      <c r="K347" s="97"/>
      <c r="P347" s="35"/>
      <c r="Q347" s="35"/>
      <c r="R347" s="35"/>
      <c r="U347" s="98"/>
      <c r="V347" s="98"/>
      <c r="W347" s="96"/>
      <c r="X347" s="96"/>
    </row>
    <row r="348">
      <c r="H348" s="96"/>
      <c r="I348" s="96"/>
      <c r="K348" s="97"/>
      <c r="P348" s="35"/>
      <c r="Q348" s="35"/>
      <c r="R348" s="35"/>
      <c r="U348" s="98"/>
      <c r="V348" s="98"/>
      <c r="W348" s="96"/>
      <c r="X348" s="96"/>
    </row>
    <row r="349">
      <c r="H349" s="96"/>
      <c r="I349" s="96"/>
      <c r="K349" s="97"/>
      <c r="P349" s="35"/>
      <c r="Q349" s="35"/>
      <c r="R349" s="35"/>
      <c r="U349" s="98"/>
      <c r="V349" s="98"/>
      <c r="W349" s="96"/>
      <c r="X349" s="96"/>
    </row>
    <row r="350">
      <c r="H350" s="96"/>
      <c r="I350" s="96"/>
      <c r="K350" s="97"/>
      <c r="P350" s="35"/>
      <c r="Q350" s="35"/>
      <c r="R350" s="35"/>
      <c r="U350" s="98"/>
      <c r="V350" s="98"/>
      <c r="W350" s="96"/>
      <c r="X350" s="96"/>
    </row>
    <row r="351">
      <c r="H351" s="96"/>
      <c r="I351" s="96"/>
      <c r="K351" s="97"/>
      <c r="P351" s="35"/>
      <c r="Q351" s="35"/>
      <c r="R351" s="35"/>
      <c r="U351" s="98"/>
      <c r="V351" s="98"/>
      <c r="W351" s="96"/>
      <c r="X351" s="96"/>
    </row>
    <row r="352">
      <c r="H352" s="96"/>
      <c r="I352" s="96"/>
      <c r="K352" s="97"/>
      <c r="P352" s="35"/>
      <c r="Q352" s="35"/>
      <c r="R352" s="35"/>
      <c r="U352" s="98"/>
      <c r="V352" s="98"/>
      <c r="W352" s="96"/>
      <c r="X352" s="96"/>
    </row>
    <row r="353">
      <c r="H353" s="96"/>
      <c r="I353" s="96"/>
      <c r="K353" s="97"/>
      <c r="P353" s="35"/>
      <c r="Q353" s="35"/>
      <c r="R353" s="35"/>
      <c r="U353" s="98"/>
      <c r="V353" s="98"/>
      <c r="W353" s="96"/>
      <c r="X353" s="96"/>
    </row>
    <row r="354">
      <c r="H354" s="96"/>
      <c r="I354" s="96"/>
      <c r="K354" s="97"/>
      <c r="P354" s="35"/>
      <c r="Q354" s="35"/>
      <c r="R354" s="35"/>
      <c r="U354" s="98"/>
      <c r="V354" s="98"/>
      <c r="W354" s="96"/>
      <c r="X354" s="96"/>
    </row>
    <row r="355">
      <c r="H355" s="96"/>
      <c r="I355" s="96"/>
      <c r="K355" s="97"/>
      <c r="P355" s="35"/>
      <c r="Q355" s="35"/>
      <c r="R355" s="35"/>
      <c r="U355" s="98"/>
      <c r="V355" s="98"/>
      <c r="W355" s="96"/>
      <c r="X355" s="96"/>
    </row>
    <row r="356">
      <c r="H356" s="96"/>
      <c r="I356" s="96"/>
      <c r="K356" s="97"/>
      <c r="P356" s="35"/>
      <c r="Q356" s="35"/>
      <c r="R356" s="35"/>
      <c r="U356" s="98"/>
      <c r="V356" s="98"/>
      <c r="W356" s="96"/>
      <c r="X356" s="96"/>
    </row>
    <row r="357">
      <c r="H357" s="96"/>
      <c r="I357" s="96"/>
      <c r="K357" s="97"/>
      <c r="P357" s="35"/>
      <c r="Q357" s="35"/>
      <c r="R357" s="35"/>
      <c r="U357" s="98"/>
      <c r="V357" s="98"/>
      <c r="W357" s="96"/>
      <c r="X357" s="96"/>
    </row>
    <row r="358">
      <c r="H358" s="96"/>
      <c r="I358" s="96"/>
      <c r="K358" s="97"/>
      <c r="P358" s="35"/>
      <c r="Q358" s="35"/>
      <c r="R358" s="35"/>
      <c r="U358" s="98"/>
      <c r="V358" s="98"/>
      <c r="W358" s="96"/>
      <c r="X358" s="96"/>
    </row>
    <row r="359">
      <c r="H359" s="96"/>
      <c r="I359" s="96"/>
      <c r="K359" s="97"/>
      <c r="P359" s="35"/>
      <c r="Q359" s="35"/>
      <c r="R359" s="35"/>
      <c r="U359" s="98"/>
      <c r="V359" s="98"/>
      <c r="W359" s="96"/>
      <c r="X359" s="96"/>
    </row>
    <row r="360">
      <c r="H360" s="96"/>
      <c r="I360" s="96"/>
      <c r="K360" s="97"/>
      <c r="P360" s="35"/>
      <c r="Q360" s="35"/>
      <c r="R360" s="35"/>
      <c r="U360" s="98"/>
      <c r="V360" s="98"/>
      <c r="W360" s="96"/>
      <c r="X360" s="96"/>
    </row>
    <row r="361">
      <c r="H361" s="96"/>
      <c r="I361" s="96"/>
      <c r="K361" s="97"/>
      <c r="P361" s="35"/>
      <c r="Q361" s="35"/>
      <c r="R361" s="35"/>
      <c r="U361" s="98"/>
      <c r="V361" s="98"/>
      <c r="W361" s="96"/>
      <c r="X361" s="96"/>
    </row>
    <row r="362">
      <c r="H362" s="96"/>
      <c r="I362" s="96"/>
      <c r="K362" s="97"/>
      <c r="P362" s="35"/>
      <c r="Q362" s="35"/>
      <c r="R362" s="35"/>
      <c r="U362" s="98"/>
      <c r="V362" s="98"/>
      <c r="W362" s="96"/>
      <c r="X362" s="96"/>
    </row>
    <row r="363">
      <c r="H363" s="96"/>
      <c r="I363" s="96"/>
      <c r="K363" s="97"/>
      <c r="P363" s="35"/>
      <c r="Q363" s="35"/>
      <c r="R363" s="35"/>
      <c r="U363" s="98"/>
      <c r="V363" s="98"/>
      <c r="W363" s="96"/>
      <c r="X363" s="96"/>
    </row>
    <row r="364">
      <c r="H364" s="96"/>
      <c r="I364" s="96"/>
      <c r="K364" s="97"/>
      <c r="P364" s="35"/>
      <c r="Q364" s="35"/>
      <c r="R364" s="35"/>
      <c r="U364" s="98"/>
      <c r="V364" s="98"/>
      <c r="W364" s="96"/>
      <c r="X364" s="96"/>
    </row>
    <row r="365">
      <c r="H365" s="96"/>
      <c r="I365" s="96"/>
      <c r="K365" s="97"/>
      <c r="P365" s="35"/>
      <c r="Q365" s="35"/>
      <c r="R365" s="35"/>
      <c r="U365" s="98"/>
      <c r="V365" s="98"/>
      <c r="W365" s="96"/>
      <c r="X365" s="96"/>
    </row>
    <row r="366">
      <c r="H366" s="96"/>
      <c r="I366" s="96"/>
      <c r="K366" s="97"/>
      <c r="P366" s="35"/>
      <c r="Q366" s="35"/>
      <c r="R366" s="35"/>
      <c r="U366" s="98"/>
      <c r="V366" s="98"/>
      <c r="W366" s="96"/>
      <c r="X366" s="96"/>
    </row>
    <row r="367">
      <c r="H367" s="96"/>
      <c r="I367" s="96"/>
      <c r="K367" s="97"/>
      <c r="P367" s="35"/>
      <c r="Q367" s="35"/>
      <c r="R367" s="35"/>
      <c r="U367" s="98"/>
      <c r="V367" s="98"/>
      <c r="W367" s="96"/>
      <c r="X367" s="96"/>
    </row>
    <row r="368">
      <c r="H368" s="96"/>
      <c r="I368" s="96"/>
      <c r="K368" s="97"/>
      <c r="P368" s="35"/>
      <c r="Q368" s="35"/>
      <c r="R368" s="35"/>
      <c r="U368" s="98"/>
      <c r="V368" s="98"/>
      <c r="W368" s="96"/>
      <c r="X368" s="96"/>
    </row>
    <row r="369">
      <c r="H369" s="96"/>
      <c r="I369" s="96"/>
      <c r="K369" s="97"/>
      <c r="P369" s="35"/>
      <c r="Q369" s="35"/>
      <c r="R369" s="35"/>
      <c r="U369" s="98"/>
      <c r="V369" s="98"/>
      <c r="W369" s="96"/>
      <c r="X369" s="96"/>
    </row>
    <row r="370">
      <c r="H370" s="96"/>
      <c r="I370" s="96"/>
      <c r="K370" s="97"/>
      <c r="P370" s="35"/>
      <c r="Q370" s="35"/>
      <c r="R370" s="35"/>
      <c r="U370" s="98"/>
      <c r="V370" s="98"/>
      <c r="W370" s="96"/>
      <c r="X370" s="96"/>
    </row>
    <row r="371">
      <c r="H371" s="96"/>
      <c r="I371" s="96"/>
      <c r="K371" s="97"/>
      <c r="P371" s="35"/>
      <c r="Q371" s="35"/>
      <c r="R371" s="35"/>
      <c r="U371" s="98"/>
      <c r="V371" s="98"/>
      <c r="W371" s="96"/>
      <c r="X371" s="96"/>
    </row>
    <row r="372">
      <c r="H372" s="96"/>
      <c r="I372" s="96"/>
      <c r="K372" s="97"/>
      <c r="P372" s="35"/>
      <c r="Q372" s="35"/>
      <c r="R372" s="35"/>
      <c r="U372" s="98"/>
      <c r="V372" s="98"/>
      <c r="W372" s="96"/>
      <c r="X372" s="96"/>
    </row>
    <row r="373">
      <c r="H373" s="96"/>
      <c r="I373" s="96"/>
      <c r="K373" s="97"/>
      <c r="P373" s="35"/>
      <c r="Q373" s="35"/>
      <c r="R373" s="35"/>
      <c r="U373" s="98"/>
      <c r="V373" s="98"/>
      <c r="W373" s="96"/>
      <c r="X373" s="96"/>
    </row>
    <row r="374">
      <c r="H374" s="96"/>
      <c r="I374" s="96"/>
      <c r="K374" s="97"/>
      <c r="P374" s="35"/>
      <c r="Q374" s="35"/>
      <c r="R374" s="35"/>
      <c r="U374" s="98"/>
      <c r="V374" s="98"/>
      <c r="W374" s="96"/>
      <c r="X374" s="96"/>
    </row>
    <row r="375">
      <c r="H375" s="96"/>
      <c r="I375" s="96"/>
      <c r="K375" s="97"/>
      <c r="P375" s="35"/>
      <c r="Q375" s="35"/>
      <c r="R375" s="35"/>
      <c r="U375" s="98"/>
      <c r="V375" s="98"/>
      <c r="W375" s="96"/>
      <c r="X375" s="96"/>
    </row>
    <row r="376">
      <c r="H376" s="96"/>
      <c r="I376" s="96"/>
      <c r="K376" s="97"/>
      <c r="P376" s="35"/>
      <c r="Q376" s="35"/>
      <c r="R376" s="35"/>
      <c r="U376" s="98"/>
      <c r="V376" s="98"/>
      <c r="W376" s="96"/>
      <c r="X376" s="96"/>
    </row>
    <row r="377">
      <c r="H377" s="96"/>
      <c r="I377" s="96"/>
      <c r="K377" s="97"/>
      <c r="P377" s="35"/>
      <c r="Q377" s="35"/>
      <c r="R377" s="35"/>
      <c r="U377" s="98"/>
      <c r="V377" s="98"/>
      <c r="W377" s="96"/>
      <c r="X377" s="96"/>
    </row>
    <row r="378">
      <c r="H378" s="96"/>
      <c r="I378" s="96"/>
      <c r="K378" s="97"/>
      <c r="P378" s="35"/>
      <c r="Q378" s="35"/>
      <c r="R378" s="35"/>
      <c r="U378" s="98"/>
      <c r="V378" s="98"/>
      <c r="W378" s="96"/>
      <c r="X378" s="96"/>
    </row>
    <row r="379">
      <c r="H379" s="96"/>
      <c r="I379" s="96"/>
      <c r="K379" s="97"/>
      <c r="P379" s="35"/>
      <c r="Q379" s="35"/>
      <c r="R379" s="35"/>
      <c r="U379" s="98"/>
      <c r="V379" s="98"/>
      <c r="W379" s="96"/>
      <c r="X379" s="96"/>
    </row>
    <row r="380">
      <c r="H380" s="96"/>
      <c r="I380" s="96"/>
      <c r="K380" s="97"/>
      <c r="P380" s="35"/>
      <c r="Q380" s="35"/>
      <c r="R380" s="35"/>
      <c r="U380" s="98"/>
      <c r="V380" s="98"/>
      <c r="W380" s="96"/>
      <c r="X380" s="96"/>
    </row>
    <row r="381">
      <c r="H381" s="96"/>
      <c r="I381" s="96"/>
      <c r="K381" s="97"/>
      <c r="P381" s="35"/>
      <c r="Q381" s="35"/>
      <c r="R381" s="35"/>
      <c r="U381" s="98"/>
      <c r="V381" s="98"/>
      <c r="W381" s="96"/>
      <c r="X381" s="96"/>
    </row>
    <row r="382">
      <c r="H382" s="96"/>
      <c r="I382" s="96"/>
      <c r="K382" s="97"/>
      <c r="P382" s="35"/>
      <c r="Q382" s="35"/>
      <c r="R382" s="35"/>
      <c r="U382" s="98"/>
      <c r="V382" s="98"/>
      <c r="W382" s="96"/>
      <c r="X382" s="96"/>
    </row>
    <row r="383">
      <c r="H383" s="96"/>
      <c r="I383" s="96"/>
      <c r="K383" s="97"/>
      <c r="P383" s="35"/>
      <c r="Q383" s="35"/>
      <c r="R383" s="35"/>
      <c r="U383" s="98"/>
      <c r="V383" s="98"/>
      <c r="W383" s="96"/>
      <c r="X383" s="96"/>
    </row>
    <row r="384">
      <c r="H384" s="96"/>
      <c r="I384" s="96"/>
      <c r="K384" s="97"/>
      <c r="P384" s="35"/>
      <c r="Q384" s="35"/>
      <c r="R384" s="35"/>
      <c r="U384" s="98"/>
      <c r="V384" s="98"/>
      <c r="W384" s="96"/>
      <c r="X384" s="96"/>
    </row>
    <row r="385">
      <c r="H385" s="96"/>
      <c r="I385" s="96"/>
      <c r="K385" s="97"/>
      <c r="P385" s="35"/>
      <c r="Q385" s="35"/>
      <c r="R385" s="35"/>
      <c r="U385" s="98"/>
      <c r="V385" s="98"/>
      <c r="W385" s="96"/>
      <c r="X385" s="96"/>
    </row>
    <row r="386">
      <c r="H386" s="96"/>
      <c r="I386" s="96"/>
      <c r="K386" s="97"/>
      <c r="P386" s="35"/>
      <c r="Q386" s="35"/>
      <c r="R386" s="35"/>
      <c r="U386" s="98"/>
      <c r="V386" s="98"/>
      <c r="W386" s="96"/>
      <c r="X386" s="96"/>
    </row>
    <row r="387">
      <c r="H387" s="96"/>
      <c r="I387" s="96"/>
      <c r="K387" s="97"/>
      <c r="P387" s="35"/>
      <c r="Q387" s="35"/>
      <c r="R387" s="35"/>
      <c r="U387" s="98"/>
      <c r="V387" s="98"/>
      <c r="W387" s="96"/>
      <c r="X387" s="96"/>
    </row>
    <row r="388">
      <c r="H388" s="96"/>
      <c r="I388" s="96"/>
      <c r="K388" s="97"/>
      <c r="P388" s="35"/>
      <c r="Q388" s="35"/>
      <c r="R388" s="35"/>
      <c r="U388" s="98"/>
      <c r="V388" s="98"/>
      <c r="W388" s="96"/>
      <c r="X388" s="96"/>
    </row>
    <row r="389">
      <c r="H389" s="96"/>
      <c r="I389" s="96"/>
      <c r="K389" s="97"/>
      <c r="P389" s="35"/>
      <c r="Q389" s="35"/>
      <c r="R389" s="35"/>
      <c r="U389" s="98"/>
      <c r="V389" s="98"/>
      <c r="W389" s="96"/>
      <c r="X389" s="96"/>
    </row>
    <row r="390">
      <c r="H390" s="96"/>
      <c r="I390" s="96"/>
      <c r="K390" s="97"/>
      <c r="P390" s="35"/>
      <c r="Q390" s="35"/>
      <c r="R390" s="35"/>
      <c r="U390" s="98"/>
      <c r="V390" s="98"/>
      <c r="W390" s="96"/>
      <c r="X390" s="96"/>
    </row>
    <row r="391">
      <c r="H391" s="96"/>
      <c r="I391" s="96"/>
      <c r="K391" s="97"/>
      <c r="P391" s="35"/>
      <c r="Q391" s="35"/>
      <c r="R391" s="35"/>
      <c r="U391" s="98"/>
      <c r="V391" s="98"/>
      <c r="W391" s="96"/>
      <c r="X391" s="96"/>
    </row>
    <row r="392">
      <c r="H392" s="96"/>
      <c r="I392" s="96"/>
      <c r="K392" s="97"/>
      <c r="P392" s="35"/>
      <c r="Q392" s="35"/>
      <c r="R392" s="35"/>
      <c r="U392" s="98"/>
      <c r="V392" s="98"/>
      <c r="W392" s="96"/>
      <c r="X392" s="96"/>
    </row>
    <row r="393">
      <c r="H393" s="96"/>
      <c r="I393" s="96"/>
      <c r="K393" s="97"/>
      <c r="P393" s="35"/>
      <c r="Q393" s="35"/>
      <c r="R393" s="35"/>
      <c r="U393" s="98"/>
      <c r="V393" s="98"/>
      <c r="W393" s="96"/>
      <c r="X393" s="96"/>
    </row>
    <row r="394">
      <c r="H394" s="96"/>
      <c r="I394" s="96"/>
      <c r="K394" s="97"/>
      <c r="P394" s="35"/>
      <c r="Q394" s="35"/>
      <c r="R394" s="35"/>
      <c r="U394" s="98"/>
      <c r="V394" s="98"/>
      <c r="W394" s="96"/>
      <c r="X394" s="96"/>
    </row>
    <row r="395">
      <c r="H395" s="96"/>
      <c r="I395" s="96"/>
      <c r="K395" s="97"/>
      <c r="P395" s="35"/>
      <c r="Q395" s="35"/>
      <c r="R395" s="35"/>
      <c r="U395" s="98"/>
      <c r="V395" s="98"/>
      <c r="W395" s="96"/>
      <c r="X395" s="96"/>
    </row>
    <row r="396">
      <c r="H396" s="96"/>
      <c r="I396" s="96"/>
      <c r="K396" s="97"/>
      <c r="P396" s="35"/>
      <c r="Q396" s="35"/>
      <c r="R396" s="35"/>
      <c r="U396" s="98"/>
      <c r="V396" s="98"/>
      <c r="W396" s="96"/>
      <c r="X396" s="96"/>
    </row>
    <row r="397">
      <c r="H397" s="96"/>
      <c r="I397" s="96"/>
      <c r="K397" s="97"/>
      <c r="P397" s="35"/>
      <c r="Q397" s="35"/>
      <c r="R397" s="35"/>
      <c r="U397" s="98"/>
      <c r="V397" s="98"/>
      <c r="W397" s="96"/>
      <c r="X397" s="96"/>
    </row>
    <row r="398">
      <c r="H398" s="96"/>
      <c r="I398" s="96"/>
      <c r="K398" s="97"/>
      <c r="P398" s="35"/>
      <c r="Q398" s="35"/>
      <c r="R398" s="35"/>
      <c r="U398" s="98"/>
      <c r="V398" s="98"/>
      <c r="W398" s="96"/>
      <c r="X398" s="96"/>
    </row>
    <row r="399">
      <c r="H399" s="96"/>
      <c r="I399" s="96"/>
      <c r="K399" s="97"/>
      <c r="P399" s="35"/>
      <c r="Q399" s="35"/>
      <c r="R399" s="35"/>
      <c r="U399" s="98"/>
      <c r="V399" s="98"/>
      <c r="W399" s="96"/>
      <c r="X399" s="96"/>
    </row>
    <row r="400">
      <c r="H400" s="96"/>
      <c r="I400" s="96"/>
      <c r="K400" s="97"/>
      <c r="P400" s="35"/>
      <c r="Q400" s="35"/>
      <c r="R400" s="35"/>
      <c r="U400" s="98"/>
      <c r="V400" s="98"/>
      <c r="W400" s="96"/>
      <c r="X400" s="96"/>
    </row>
    <row r="401">
      <c r="H401" s="96"/>
      <c r="I401" s="96"/>
      <c r="K401" s="97"/>
      <c r="P401" s="35"/>
      <c r="Q401" s="35"/>
      <c r="R401" s="35"/>
      <c r="U401" s="98"/>
      <c r="V401" s="98"/>
      <c r="W401" s="96"/>
      <c r="X401" s="96"/>
    </row>
    <row r="402">
      <c r="H402" s="96"/>
      <c r="I402" s="96"/>
      <c r="K402" s="97"/>
      <c r="P402" s="35"/>
      <c r="Q402" s="35"/>
      <c r="R402" s="35"/>
      <c r="U402" s="98"/>
      <c r="V402" s="98"/>
      <c r="W402" s="96"/>
      <c r="X402" s="96"/>
    </row>
    <row r="403">
      <c r="H403" s="96"/>
      <c r="I403" s="96"/>
      <c r="K403" s="97"/>
      <c r="P403" s="35"/>
      <c r="Q403" s="35"/>
      <c r="R403" s="35"/>
      <c r="U403" s="98"/>
      <c r="V403" s="98"/>
      <c r="W403" s="96"/>
      <c r="X403" s="96"/>
    </row>
    <row r="404">
      <c r="H404" s="96"/>
      <c r="I404" s="96"/>
      <c r="K404" s="97"/>
      <c r="P404" s="35"/>
      <c r="Q404" s="35"/>
      <c r="R404" s="35"/>
      <c r="U404" s="98"/>
      <c r="V404" s="98"/>
      <c r="W404" s="96"/>
      <c r="X404" s="96"/>
    </row>
    <row r="405">
      <c r="H405" s="96"/>
      <c r="I405" s="96"/>
      <c r="K405" s="97"/>
      <c r="P405" s="35"/>
      <c r="Q405" s="35"/>
      <c r="R405" s="35"/>
      <c r="U405" s="98"/>
      <c r="V405" s="98"/>
      <c r="W405" s="96"/>
      <c r="X405" s="96"/>
    </row>
    <row r="406">
      <c r="H406" s="96"/>
      <c r="I406" s="96"/>
      <c r="K406" s="97"/>
      <c r="P406" s="35"/>
      <c r="Q406" s="35"/>
      <c r="R406" s="35"/>
      <c r="U406" s="98"/>
      <c r="V406" s="98"/>
      <c r="W406" s="96"/>
      <c r="X406" s="96"/>
    </row>
    <row r="407">
      <c r="H407" s="96"/>
      <c r="I407" s="96"/>
      <c r="K407" s="97"/>
      <c r="P407" s="35"/>
      <c r="Q407" s="35"/>
      <c r="R407" s="35"/>
      <c r="U407" s="98"/>
      <c r="V407" s="98"/>
      <c r="W407" s="96"/>
      <c r="X407" s="96"/>
    </row>
    <row r="408">
      <c r="H408" s="96"/>
      <c r="I408" s="96"/>
      <c r="K408" s="97"/>
      <c r="P408" s="35"/>
      <c r="Q408" s="35"/>
      <c r="R408" s="35"/>
      <c r="U408" s="98"/>
      <c r="V408" s="98"/>
      <c r="W408" s="96"/>
      <c r="X408" s="96"/>
    </row>
    <row r="409">
      <c r="H409" s="96"/>
      <c r="I409" s="96"/>
      <c r="K409" s="97"/>
      <c r="P409" s="35"/>
      <c r="Q409" s="35"/>
      <c r="R409" s="35"/>
      <c r="U409" s="98"/>
      <c r="V409" s="98"/>
      <c r="W409" s="96"/>
      <c r="X409" s="96"/>
    </row>
    <row r="410">
      <c r="H410" s="96"/>
      <c r="I410" s="96"/>
      <c r="K410" s="97"/>
      <c r="P410" s="35"/>
      <c r="Q410" s="35"/>
      <c r="R410" s="35"/>
      <c r="U410" s="98"/>
      <c r="V410" s="98"/>
      <c r="W410" s="96"/>
      <c r="X410" s="96"/>
    </row>
    <row r="411">
      <c r="H411" s="96"/>
      <c r="I411" s="96"/>
      <c r="K411" s="97"/>
      <c r="P411" s="35"/>
      <c r="Q411" s="35"/>
      <c r="R411" s="35"/>
      <c r="U411" s="98"/>
      <c r="V411" s="98"/>
      <c r="W411" s="96"/>
      <c r="X411" s="96"/>
    </row>
    <row r="412">
      <c r="H412" s="96"/>
      <c r="I412" s="96"/>
      <c r="K412" s="97"/>
      <c r="P412" s="35"/>
      <c r="Q412" s="35"/>
      <c r="R412" s="35"/>
      <c r="U412" s="98"/>
      <c r="V412" s="98"/>
      <c r="W412" s="96"/>
      <c r="X412" s="96"/>
    </row>
    <row r="413">
      <c r="H413" s="96"/>
      <c r="I413" s="96"/>
      <c r="K413" s="97"/>
      <c r="P413" s="35"/>
      <c r="Q413" s="35"/>
      <c r="R413" s="35"/>
      <c r="U413" s="98"/>
      <c r="V413" s="98"/>
      <c r="W413" s="96"/>
      <c r="X413" s="96"/>
    </row>
    <row r="414">
      <c r="H414" s="96"/>
      <c r="I414" s="96"/>
      <c r="K414" s="97"/>
      <c r="P414" s="35"/>
      <c r="Q414" s="35"/>
      <c r="R414" s="35"/>
      <c r="U414" s="98"/>
      <c r="V414" s="98"/>
      <c r="W414" s="96"/>
      <c r="X414" s="96"/>
    </row>
    <row r="415">
      <c r="H415" s="96"/>
      <c r="I415" s="96"/>
      <c r="K415" s="97"/>
      <c r="P415" s="35"/>
      <c r="Q415" s="35"/>
      <c r="R415" s="35"/>
      <c r="U415" s="98"/>
      <c r="V415" s="98"/>
      <c r="W415" s="96"/>
      <c r="X415" s="96"/>
    </row>
    <row r="416">
      <c r="H416" s="96"/>
      <c r="I416" s="96"/>
      <c r="K416" s="97"/>
      <c r="P416" s="35"/>
      <c r="Q416" s="35"/>
      <c r="R416" s="35"/>
      <c r="U416" s="98"/>
      <c r="V416" s="98"/>
      <c r="W416" s="96"/>
      <c r="X416" s="96"/>
    </row>
    <row r="417">
      <c r="H417" s="96"/>
      <c r="I417" s="96"/>
      <c r="K417" s="97"/>
      <c r="P417" s="35"/>
      <c r="Q417" s="35"/>
      <c r="R417" s="35"/>
      <c r="U417" s="98"/>
      <c r="V417" s="98"/>
      <c r="W417" s="96"/>
      <c r="X417" s="96"/>
    </row>
    <row r="418">
      <c r="H418" s="96"/>
      <c r="I418" s="96"/>
      <c r="K418" s="97"/>
      <c r="P418" s="35"/>
      <c r="Q418" s="35"/>
      <c r="R418" s="35"/>
      <c r="U418" s="98"/>
      <c r="V418" s="98"/>
      <c r="W418" s="96"/>
      <c r="X418" s="96"/>
    </row>
    <row r="419">
      <c r="H419" s="96"/>
      <c r="I419" s="96"/>
      <c r="K419" s="97"/>
      <c r="P419" s="35"/>
      <c r="Q419" s="35"/>
      <c r="R419" s="35"/>
      <c r="U419" s="98"/>
      <c r="V419" s="98"/>
      <c r="W419" s="96"/>
      <c r="X419" s="96"/>
    </row>
    <row r="420">
      <c r="H420" s="96"/>
      <c r="I420" s="96"/>
      <c r="K420" s="97"/>
      <c r="P420" s="35"/>
      <c r="Q420" s="35"/>
      <c r="R420" s="35"/>
      <c r="U420" s="98"/>
      <c r="V420" s="98"/>
      <c r="W420" s="96"/>
      <c r="X420" s="96"/>
    </row>
    <row r="421">
      <c r="H421" s="96"/>
      <c r="I421" s="96"/>
      <c r="K421" s="97"/>
      <c r="P421" s="35"/>
      <c r="Q421" s="35"/>
      <c r="R421" s="35"/>
      <c r="U421" s="98"/>
      <c r="V421" s="98"/>
      <c r="W421" s="96"/>
      <c r="X421" s="96"/>
    </row>
    <row r="422">
      <c r="H422" s="96"/>
      <c r="I422" s="96"/>
      <c r="K422" s="97"/>
      <c r="P422" s="35"/>
      <c r="Q422" s="35"/>
      <c r="R422" s="35"/>
      <c r="U422" s="98"/>
      <c r="V422" s="98"/>
      <c r="W422" s="96"/>
      <c r="X422" s="96"/>
    </row>
    <row r="423">
      <c r="H423" s="96"/>
      <c r="I423" s="96"/>
      <c r="K423" s="97"/>
      <c r="P423" s="35"/>
      <c r="Q423" s="35"/>
      <c r="R423" s="35"/>
      <c r="U423" s="98"/>
      <c r="V423" s="98"/>
      <c r="W423" s="96"/>
      <c r="X423" s="96"/>
    </row>
    <row r="424">
      <c r="H424" s="96"/>
      <c r="I424" s="96"/>
      <c r="K424" s="97"/>
      <c r="P424" s="35"/>
      <c r="Q424" s="35"/>
      <c r="R424" s="35"/>
      <c r="U424" s="98"/>
      <c r="V424" s="98"/>
      <c r="W424" s="96"/>
      <c r="X424" s="96"/>
    </row>
    <row r="425">
      <c r="H425" s="96"/>
      <c r="I425" s="96"/>
      <c r="K425" s="97"/>
      <c r="P425" s="35"/>
      <c r="Q425" s="35"/>
      <c r="R425" s="35"/>
      <c r="U425" s="98"/>
      <c r="V425" s="98"/>
      <c r="W425" s="96"/>
      <c r="X425" s="96"/>
    </row>
    <row r="426">
      <c r="H426" s="96"/>
      <c r="I426" s="96"/>
      <c r="K426" s="97"/>
      <c r="P426" s="35"/>
      <c r="Q426" s="35"/>
      <c r="R426" s="35"/>
      <c r="U426" s="98"/>
      <c r="V426" s="98"/>
      <c r="W426" s="96"/>
      <c r="X426" s="96"/>
    </row>
    <row r="427">
      <c r="H427" s="96"/>
      <c r="I427" s="96"/>
      <c r="K427" s="97"/>
      <c r="P427" s="35"/>
      <c r="Q427" s="35"/>
      <c r="R427" s="35"/>
      <c r="U427" s="98"/>
      <c r="V427" s="98"/>
      <c r="W427" s="96"/>
      <c r="X427" s="96"/>
    </row>
    <row r="428">
      <c r="H428" s="96"/>
      <c r="I428" s="96"/>
      <c r="K428" s="97"/>
      <c r="P428" s="35"/>
      <c r="Q428" s="35"/>
      <c r="R428" s="35"/>
      <c r="U428" s="98"/>
      <c r="V428" s="98"/>
      <c r="W428" s="96"/>
      <c r="X428" s="96"/>
    </row>
    <row r="429">
      <c r="H429" s="96"/>
      <c r="I429" s="96"/>
      <c r="K429" s="97"/>
      <c r="P429" s="35"/>
      <c r="Q429" s="35"/>
      <c r="R429" s="35"/>
      <c r="U429" s="98"/>
      <c r="V429" s="98"/>
      <c r="W429" s="96"/>
      <c r="X429" s="96"/>
    </row>
    <row r="430">
      <c r="H430" s="96"/>
      <c r="I430" s="96"/>
      <c r="K430" s="97"/>
      <c r="P430" s="35"/>
      <c r="Q430" s="35"/>
      <c r="R430" s="35"/>
      <c r="U430" s="98"/>
      <c r="V430" s="98"/>
      <c r="W430" s="96"/>
      <c r="X430" s="96"/>
    </row>
    <row r="431">
      <c r="H431" s="96"/>
      <c r="I431" s="96"/>
      <c r="K431" s="97"/>
      <c r="P431" s="35"/>
      <c r="Q431" s="35"/>
      <c r="R431" s="35"/>
      <c r="U431" s="98"/>
      <c r="V431" s="98"/>
      <c r="W431" s="96"/>
      <c r="X431" s="96"/>
    </row>
    <row r="432">
      <c r="H432" s="96"/>
      <c r="I432" s="96"/>
      <c r="K432" s="97"/>
      <c r="P432" s="35"/>
      <c r="Q432" s="35"/>
      <c r="R432" s="35"/>
      <c r="U432" s="98"/>
      <c r="V432" s="98"/>
      <c r="W432" s="96"/>
      <c r="X432" s="96"/>
    </row>
    <row r="433">
      <c r="H433" s="96"/>
      <c r="I433" s="96"/>
      <c r="K433" s="97"/>
      <c r="P433" s="35"/>
      <c r="Q433" s="35"/>
      <c r="R433" s="35"/>
      <c r="U433" s="98"/>
      <c r="V433" s="98"/>
      <c r="W433" s="96"/>
      <c r="X433" s="96"/>
    </row>
    <row r="434">
      <c r="H434" s="96"/>
      <c r="I434" s="96"/>
      <c r="K434" s="97"/>
      <c r="P434" s="35"/>
      <c r="Q434" s="35"/>
      <c r="R434" s="35"/>
      <c r="U434" s="98"/>
      <c r="V434" s="98"/>
      <c r="W434" s="96"/>
      <c r="X434" s="96"/>
    </row>
    <row r="435">
      <c r="H435" s="96"/>
      <c r="I435" s="96"/>
      <c r="K435" s="97"/>
      <c r="P435" s="35"/>
      <c r="Q435" s="35"/>
      <c r="R435" s="35"/>
      <c r="U435" s="98"/>
      <c r="V435" s="98"/>
      <c r="W435" s="96"/>
      <c r="X435" s="96"/>
    </row>
    <row r="436">
      <c r="H436" s="96"/>
      <c r="I436" s="96"/>
      <c r="K436" s="97"/>
      <c r="P436" s="35"/>
      <c r="Q436" s="35"/>
      <c r="R436" s="35"/>
      <c r="U436" s="98"/>
      <c r="V436" s="98"/>
      <c r="W436" s="96"/>
      <c r="X436" s="96"/>
    </row>
    <row r="437">
      <c r="H437" s="96"/>
      <c r="I437" s="96"/>
      <c r="K437" s="97"/>
      <c r="P437" s="35"/>
      <c r="Q437" s="35"/>
      <c r="R437" s="35"/>
      <c r="U437" s="98"/>
      <c r="V437" s="98"/>
      <c r="W437" s="96"/>
      <c r="X437" s="96"/>
    </row>
    <row r="438">
      <c r="H438" s="96"/>
      <c r="I438" s="96"/>
      <c r="K438" s="97"/>
      <c r="P438" s="35"/>
      <c r="Q438" s="35"/>
      <c r="R438" s="35"/>
      <c r="U438" s="98"/>
      <c r="V438" s="98"/>
      <c r="W438" s="96"/>
      <c r="X438" s="96"/>
    </row>
    <row r="439">
      <c r="H439" s="96"/>
      <c r="I439" s="96"/>
      <c r="K439" s="97"/>
      <c r="P439" s="35"/>
      <c r="Q439" s="35"/>
      <c r="R439" s="35"/>
      <c r="U439" s="98"/>
      <c r="V439" s="98"/>
      <c r="W439" s="96"/>
      <c r="X439" s="96"/>
    </row>
    <row r="440">
      <c r="H440" s="96"/>
      <c r="I440" s="96"/>
      <c r="K440" s="97"/>
      <c r="P440" s="35"/>
      <c r="Q440" s="35"/>
      <c r="R440" s="35"/>
      <c r="U440" s="98"/>
      <c r="V440" s="98"/>
      <c r="W440" s="96"/>
      <c r="X440" s="96"/>
    </row>
    <row r="441">
      <c r="H441" s="96"/>
      <c r="I441" s="96"/>
      <c r="K441" s="97"/>
      <c r="P441" s="35"/>
      <c r="Q441" s="35"/>
      <c r="R441" s="35"/>
      <c r="U441" s="98"/>
      <c r="V441" s="98"/>
      <c r="W441" s="96"/>
      <c r="X441" s="96"/>
    </row>
    <row r="442">
      <c r="H442" s="96"/>
      <c r="I442" s="96"/>
      <c r="K442" s="97"/>
      <c r="P442" s="35"/>
      <c r="Q442" s="35"/>
      <c r="R442" s="35"/>
      <c r="U442" s="98"/>
      <c r="V442" s="98"/>
      <c r="W442" s="96"/>
      <c r="X442" s="96"/>
    </row>
    <row r="443">
      <c r="H443" s="96"/>
      <c r="I443" s="96"/>
      <c r="K443" s="97"/>
      <c r="P443" s="35"/>
      <c r="Q443" s="35"/>
      <c r="R443" s="35"/>
      <c r="U443" s="98"/>
      <c r="V443" s="98"/>
      <c r="W443" s="96"/>
      <c r="X443" s="96"/>
    </row>
    <row r="444">
      <c r="H444" s="96"/>
      <c r="I444" s="96"/>
      <c r="K444" s="97"/>
      <c r="P444" s="35"/>
      <c r="Q444" s="35"/>
      <c r="R444" s="35"/>
      <c r="U444" s="98"/>
      <c r="V444" s="98"/>
      <c r="W444" s="96"/>
      <c r="X444" s="96"/>
    </row>
    <row r="445">
      <c r="H445" s="96"/>
      <c r="I445" s="96"/>
      <c r="K445" s="97"/>
      <c r="P445" s="35"/>
      <c r="Q445" s="35"/>
      <c r="R445" s="35"/>
      <c r="U445" s="98"/>
      <c r="V445" s="98"/>
      <c r="W445" s="96"/>
      <c r="X445" s="96"/>
    </row>
    <row r="446">
      <c r="H446" s="96"/>
      <c r="I446" s="96"/>
      <c r="K446" s="97"/>
      <c r="P446" s="35"/>
      <c r="Q446" s="35"/>
      <c r="R446" s="35"/>
      <c r="U446" s="98"/>
      <c r="V446" s="98"/>
      <c r="W446" s="96"/>
      <c r="X446" s="96"/>
    </row>
    <row r="447">
      <c r="H447" s="96"/>
      <c r="I447" s="96"/>
      <c r="K447" s="97"/>
      <c r="P447" s="35"/>
      <c r="Q447" s="35"/>
      <c r="R447" s="35"/>
      <c r="U447" s="98"/>
      <c r="V447" s="98"/>
      <c r="W447" s="96"/>
      <c r="X447" s="96"/>
    </row>
    <row r="448">
      <c r="H448" s="96"/>
      <c r="I448" s="96"/>
      <c r="K448" s="97"/>
      <c r="P448" s="35"/>
      <c r="Q448" s="35"/>
      <c r="R448" s="35"/>
      <c r="U448" s="98"/>
      <c r="V448" s="98"/>
      <c r="W448" s="96"/>
      <c r="X448" s="96"/>
    </row>
    <row r="449">
      <c r="H449" s="96"/>
      <c r="I449" s="96"/>
      <c r="K449" s="97"/>
      <c r="P449" s="35"/>
      <c r="Q449" s="35"/>
      <c r="R449" s="35"/>
      <c r="U449" s="98"/>
      <c r="V449" s="98"/>
      <c r="W449" s="96"/>
      <c r="X449" s="96"/>
    </row>
    <row r="450">
      <c r="H450" s="96"/>
      <c r="I450" s="96"/>
      <c r="K450" s="97"/>
      <c r="P450" s="35"/>
      <c r="Q450" s="35"/>
      <c r="R450" s="35"/>
      <c r="U450" s="98"/>
      <c r="V450" s="98"/>
      <c r="W450" s="96"/>
      <c r="X450" s="96"/>
    </row>
    <row r="451">
      <c r="H451" s="96"/>
      <c r="I451" s="96"/>
      <c r="K451" s="97"/>
      <c r="P451" s="35"/>
      <c r="Q451" s="35"/>
      <c r="R451" s="35"/>
      <c r="U451" s="98"/>
      <c r="V451" s="98"/>
      <c r="W451" s="96"/>
      <c r="X451" s="96"/>
    </row>
    <row r="452">
      <c r="H452" s="96"/>
      <c r="I452" s="96"/>
      <c r="K452" s="97"/>
      <c r="P452" s="35"/>
      <c r="Q452" s="35"/>
      <c r="R452" s="35"/>
      <c r="U452" s="98"/>
      <c r="V452" s="98"/>
      <c r="W452" s="96"/>
      <c r="X452" s="96"/>
    </row>
    <row r="453">
      <c r="H453" s="96"/>
      <c r="I453" s="96"/>
      <c r="K453" s="97"/>
      <c r="P453" s="35"/>
      <c r="Q453" s="35"/>
      <c r="R453" s="35"/>
      <c r="U453" s="98"/>
      <c r="V453" s="98"/>
      <c r="W453" s="96"/>
      <c r="X453" s="96"/>
    </row>
    <row r="454">
      <c r="H454" s="96"/>
      <c r="I454" s="96"/>
      <c r="K454" s="97"/>
      <c r="P454" s="35"/>
      <c r="Q454" s="35"/>
      <c r="R454" s="35"/>
      <c r="U454" s="98"/>
      <c r="V454" s="98"/>
      <c r="W454" s="96"/>
      <c r="X454" s="96"/>
    </row>
    <row r="455">
      <c r="H455" s="96"/>
      <c r="I455" s="96"/>
      <c r="K455" s="97"/>
      <c r="P455" s="35"/>
      <c r="Q455" s="35"/>
      <c r="R455" s="35"/>
      <c r="U455" s="98"/>
      <c r="V455" s="98"/>
      <c r="W455" s="96"/>
      <c r="X455" s="96"/>
    </row>
    <row r="456">
      <c r="H456" s="96"/>
      <c r="I456" s="96"/>
      <c r="K456" s="97"/>
      <c r="P456" s="35"/>
      <c r="Q456" s="35"/>
      <c r="R456" s="35"/>
      <c r="U456" s="98"/>
      <c r="V456" s="98"/>
      <c r="W456" s="96"/>
      <c r="X456" s="96"/>
    </row>
    <row r="457">
      <c r="H457" s="96"/>
      <c r="I457" s="96"/>
      <c r="K457" s="97"/>
      <c r="P457" s="35"/>
      <c r="Q457" s="35"/>
      <c r="R457" s="35"/>
      <c r="U457" s="98"/>
      <c r="V457" s="98"/>
      <c r="W457" s="96"/>
      <c r="X457" s="96"/>
    </row>
    <row r="458">
      <c r="H458" s="96"/>
      <c r="I458" s="96"/>
      <c r="K458" s="97"/>
      <c r="P458" s="35"/>
      <c r="Q458" s="35"/>
      <c r="R458" s="35"/>
      <c r="U458" s="98"/>
      <c r="V458" s="98"/>
      <c r="W458" s="96"/>
      <c r="X458" s="96"/>
    </row>
    <row r="459">
      <c r="H459" s="96"/>
      <c r="I459" s="96"/>
      <c r="K459" s="97"/>
      <c r="P459" s="35"/>
      <c r="Q459" s="35"/>
      <c r="R459" s="35"/>
      <c r="U459" s="98"/>
      <c r="V459" s="98"/>
      <c r="W459" s="96"/>
      <c r="X459" s="96"/>
    </row>
    <row r="460">
      <c r="H460" s="96"/>
      <c r="I460" s="96"/>
      <c r="K460" s="97"/>
      <c r="P460" s="35"/>
      <c r="Q460" s="35"/>
      <c r="R460" s="35"/>
      <c r="U460" s="98"/>
      <c r="V460" s="98"/>
      <c r="W460" s="96"/>
      <c r="X460" s="96"/>
    </row>
    <row r="461">
      <c r="H461" s="96"/>
      <c r="I461" s="96"/>
      <c r="K461" s="97"/>
      <c r="P461" s="35"/>
      <c r="Q461" s="35"/>
      <c r="R461" s="35"/>
      <c r="U461" s="98"/>
      <c r="V461" s="98"/>
      <c r="W461" s="96"/>
      <c r="X461" s="96"/>
    </row>
    <row r="462">
      <c r="H462" s="96"/>
      <c r="I462" s="96"/>
      <c r="K462" s="97"/>
      <c r="P462" s="35"/>
      <c r="Q462" s="35"/>
      <c r="R462" s="35"/>
      <c r="U462" s="98"/>
      <c r="V462" s="98"/>
      <c r="W462" s="96"/>
      <c r="X462" s="96"/>
    </row>
    <row r="463">
      <c r="H463" s="96"/>
      <c r="I463" s="96"/>
      <c r="K463" s="97"/>
      <c r="P463" s="35"/>
      <c r="Q463" s="35"/>
      <c r="R463" s="35"/>
      <c r="U463" s="98"/>
      <c r="V463" s="98"/>
      <c r="W463" s="96"/>
      <c r="X463" s="96"/>
    </row>
    <row r="464">
      <c r="H464" s="96"/>
      <c r="I464" s="96"/>
      <c r="K464" s="97"/>
      <c r="P464" s="35"/>
      <c r="Q464" s="35"/>
      <c r="R464" s="35"/>
      <c r="U464" s="98"/>
      <c r="V464" s="98"/>
      <c r="W464" s="96"/>
      <c r="X464" s="96"/>
    </row>
    <row r="465">
      <c r="H465" s="96"/>
      <c r="I465" s="96"/>
      <c r="K465" s="97"/>
      <c r="P465" s="35"/>
      <c r="Q465" s="35"/>
      <c r="R465" s="35"/>
      <c r="U465" s="98"/>
      <c r="V465" s="98"/>
      <c r="W465" s="96"/>
      <c r="X465" s="96"/>
    </row>
    <row r="466">
      <c r="H466" s="96"/>
      <c r="I466" s="96"/>
      <c r="K466" s="97"/>
      <c r="P466" s="35"/>
      <c r="Q466" s="35"/>
      <c r="R466" s="35"/>
      <c r="U466" s="98"/>
      <c r="V466" s="98"/>
      <c r="W466" s="96"/>
      <c r="X466" s="96"/>
    </row>
    <row r="467">
      <c r="H467" s="96"/>
      <c r="I467" s="96"/>
      <c r="K467" s="97"/>
      <c r="P467" s="35"/>
      <c r="Q467" s="35"/>
      <c r="R467" s="35"/>
      <c r="U467" s="98"/>
      <c r="V467" s="98"/>
      <c r="W467" s="96"/>
      <c r="X467" s="96"/>
    </row>
    <row r="468">
      <c r="H468" s="96"/>
      <c r="I468" s="96"/>
      <c r="K468" s="97"/>
      <c r="P468" s="35"/>
      <c r="Q468" s="35"/>
      <c r="R468" s="35"/>
      <c r="U468" s="98"/>
      <c r="V468" s="98"/>
      <c r="W468" s="96"/>
      <c r="X468" s="96"/>
    </row>
    <row r="469">
      <c r="H469" s="96"/>
      <c r="I469" s="96"/>
      <c r="K469" s="97"/>
      <c r="P469" s="35"/>
      <c r="Q469" s="35"/>
      <c r="R469" s="35"/>
      <c r="U469" s="98"/>
      <c r="V469" s="98"/>
      <c r="W469" s="96"/>
      <c r="X469" s="96"/>
    </row>
    <row r="470">
      <c r="H470" s="96"/>
      <c r="I470" s="96"/>
      <c r="K470" s="97"/>
      <c r="P470" s="35"/>
      <c r="Q470" s="35"/>
      <c r="R470" s="35"/>
      <c r="U470" s="98"/>
      <c r="V470" s="98"/>
      <c r="W470" s="96"/>
      <c r="X470" s="96"/>
    </row>
    <row r="471">
      <c r="H471" s="96"/>
      <c r="I471" s="96"/>
      <c r="K471" s="97"/>
      <c r="P471" s="35"/>
      <c r="Q471" s="35"/>
      <c r="R471" s="35"/>
      <c r="U471" s="98"/>
      <c r="V471" s="98"/>
      <c r="W471" s="96"/>
      <c r="X471" s="96"/>
    </row>
    <row r="472">
      <c r="H472" s="96"/>
      <c r="I472" s="96"/>
      <c r="K472" s="97"/>
      <c r="P472" s="35"/>
      <c r="Q472" s="35"/>
      <c r="R472" s="35"/>
      <c r="U472" s="98"/>
      <c r="V472" s="98"/>
      <c r="W472" s="96"/>
      <c r="X472" s="96"/>
    </row>
    <row r="473">
      <c r="H473" s="96"/>
      <c r="I473" s="96"/>
      <c r="K473" s="97"/>
      <c r="P473" s="35"/>
      <c r="Q473" s="35"/>
      <c r="R473" s="35"/>
      <c r="U473" s="98"/>
      <c r="V473" s="98"/>
      <c r="W473" s="96"/>
      <c r="X473" s="96"/>
    </row>
    <row r="474">
      <c r="H474" s="96"/>
      <c r="I474" s="96"/>
      <c r="K474" s="97"/>
      <c r="P474" s="35"/>
      <c r="Q474" s="35"/>
      <c r="R474" s="35"/>
      <c r="U474" s="98"/>
      <c r="V474" s="98"/>
      <c r="W474" s="96"/>
      <c r="X474" s="96"/>
    </row>
    <row r="475">
      <c r="H475" s="96"/>
      <c r="I475" s="96"/>
      <c r="K475" s="97"/>
      <c r="P475" s="35"/>
      <c r="Q475" s="35"/>
      <c r="R475" s="35"/>
      <c r="U475" s="98"/>
      <c r="V475" s="98"/>
      <c r="W475" s="96"/>
      <c r="X475" s="96"/>
    </row>
    <row r="476">
      <c r="H476" s="96"/>
      <c r="I476" s="96"/>
      <c r="K476" s="97"/>
      <c r="P476" s="35"/>
      <c r="Q476" s="35"/>
      <c r="R476" s="35"/>
      <c r="U476" s="98"/>
      <c r="V476" s="98"/>
      <c r="W476" s="96"/>
      <c r="X476" s="96"/>
    </row>
    <row r="477">
      <c r="H477" s="96"/>
      <c r="I477" s="96"/>
      <c r="K477" s="97"/>
      <c r="P477" s="35"/>
      <c r="Q477" s="35"/>
      <c r="R477" s="35"/>
      <c r="U477" s="98"/>
      <c r="V477" s="98"/>
      <c r="W477" s="96"/>
      <c r="X477" s="96"/>
    </row>
    <row r="478">
      <c r="H478" s="96"/>
      <c r="I478" s="96"/>
      <c r="K478" s="97"/>
      <c r="P478" s="35"/>
      <c r="Q478" s="35"/>
      <c r="R478" s="35"/>
      <c r="U478" s="98"/>
      <c r="V478" s="98"/>
      <c r="W478" s="96"/>
      <c r="X478" s="96"/>
    </row>
    <row r="479">
      <c r="H479" s="96"/>
      <c r="I479" s="96"/>
      <c r="K479" s="97"/>
      <c r="P479" s="35"/>
      <c r="Q479" s="35"/>
      <c r="R479" s="35"/>
      <c r="U479" s="98"/>
      <c r="V479" s="98"/>
      <c r="W479" s="96"/>
      <c r="X479" s="96"/>
    </row>
    <row r="480">
      <c r="H480" s="96"/>
      <c r="I480" s="96"/>
      <c r="K480" s="97"/>
      <c r="P480" s="35"/>
      <c r="Q480" s="35"/>
      <c r="R480" s="35"/>
      <c r="U480" s="98"/>
      <c r="V480" s="98"/>
      <c r="W480" s="96"/>
      <c r="X480" s="96"/>
    </row>
    <row r="481">
      <c r="H481" s="96"/>
      <c r="I481" s="96"/>
      <c r="K481" s="97"/>
      <c r="P481" s="35"/>
      <c r="Q481" s="35"/>
      <c r="R481" s="35"/>
      <c r="U481" s="98"/>
      <c r="V481" s="98"/>
      <c r="W481" s="96"/>
      <c r="X481" s="96"/>
    </row>
    <row r="482">
      <c r="H482" s="96"/>
      <c r="I482" s="96"/>
      <c r="K482" s="97"/>
      <c r="P482" s="35"/>
      <c r="Q482" s="35"/>
      <c r="R482" s="35"/>
      <c r="U482" s="98"/>
      <c r="V482" s="98"/>
      <c r="W482" s="96"/>
      <c r="X482" s="96"/>
    </row>
    <row r="483">
      <c r="H483" s="96"/>
      <c r="I483" s="96"/>
      <c r="K483" s="97"/>
      <c r="P483" s="35"/>
      <c r="Q483" s="35"/>
      <c r="R483" s="35"/>
      <c r="U483" s="98"/>
      <c r="V483" s="98"/>
      <c r="W483" s="96"/>
      <c r="X483" s="96"/>
    </row>
    <row r="484">
      <c r="H484" s="96"/>
      <c r="I484" s="96"/>
      <c r="K484" s="97"/>
      <c r="P484" s="35"/>
      <c r="Q484" s="35"/>
      <c r="R484" s="35"/>
      <c r="U484" s="98"/>
      <c r="V484" s="98"/>
      <c r="W484" s="96"/>
      <c r="X484" s="96"/>
    </row>
    <row r="485">
      <c r="H485" s="96"/>
      <c r="I485" s="96"/>
      <c r="K485" s="97"/>
      <c r="P485" s="35"/>
      <c r="Q485" s="35"/>
      <c r="R485" s="35"/>
      <c r="U485" s="98"/>
      <c r="V485" s="98"/>
      <c r="W485" s="96"/>
      <c r="X485" s="96"/>
    </row>
    <row r="486">
      <c r="H486" s="96"/>
      <c r="I486" s="96"/>
      <c r="K486" s="97"/>
      <c r="P486" s="35"/>
      <c r="Q486" s="35"/>
      <c r="R486" s="35"/>
      <c r="U486" s="98"/>
      <c r="V486" s="98"/>
      <c r="W486" s="96"/>
      <c r="X486" s="96"/>
    </row>
    <row r="487">
      <c r="H487" s="96"/>
      <c r="I487" s="96"/>
      <c r="K487" s="97"/>
      <c r="P487" s="35"/>
      <c r="Q487" s="35"/>
      <c r="R487" s="35"/>
      <c r="U487" s="98"/>
      <c r="V487" s="98"/>
      <c r="W487" s="96"/>
      <c r="X487" s="96"/>
    </row>
    <row r="488">
      <c r="H488" s="96"/>
      <c r="I488" s="96"/>
      <c r="K488" s="97"/>
      <c r="P488" s="35"/>
      <c r="Q488" s="35"/>
      <c r="R488" s="35"/>
      <c r="U488" s="98"/>
      <c r="V488" s="98"/>
      <c r="W488" s="96"/>
      <c r="X488" s="96"/>
    </row>
    <row r="489">
      <c r="H489" s="96"/>
      <c r="I489" s="96"/>
      <c r="K489" s="97"/>
      <c r="P489" s="35"/>
      <c r="Q489" s="35"/>
      <c r="R489" s="35"/>
      <c r="U489" s="98"/>
      <c r="V489" s="98"/>
      <c r="W489" s="96"/>
      <c r="X489" s="96"/>
    </row>
    <row r="490">
      <c r="H490" s="96"/>
      <c r="I490" s="96"/>
      <c r="K490" s="97"/>
      <c r="P490" s="35"/>
      <c r="Q490" s="35"/>
      <c r="R490" s="35"/>
      <c r="U490" s="98"/>
      <c r="V490" s="98"/>
      <c r="W490" s="96"/>
      <c r="X490" s="96"/>
    </row>
    <row r="491">
      <c r="H491" s="96"/>
      <c r="I491" s="96"/>
      <c r="K491" s="97"/>
      <c r="P491" s="35"/>
      <c r="Q491" s="35"/>
      <c r="R491" s="35"/>
      <c r="U491" s="98"/>
      <c r="V491" s="98"/>
      <c r="W491" s="96"/>
      <c r="X491" s="96"/>
    </row>
    <row r="492">
      <c r="H492" s="96"/>
      <c r="I492" s="96"/>
      <c r="K492" s="97"/>
      <c r="P492" s="35"/>
      <c r="Q492" s="35"/>
      <c r="R492" s="35"/>
      <c r="U492" s="98"/>
      <c r="V492" s="98"/>
      <c r="W492" s="96"/>
      <c r="X492" s="96"/>
    </row>
    <row r="493">
      <c r="H493" s="96"/>
      <c r="I493" s="96"/>
      <c r="K493" s="97"/>
      <c r="P493" s="35"/>
      <c r="Q493" s="35"/>
      <c r="R493" s="35"/>
      <c r="U493" s="98"/>
      <c r="V493" s="98"/>
      <c r="W493" s="96"/>
      <c r="X493" s="96"/>
    </row>
    <row r="494">
      <c r="H494" s="96"/>
      <c r="I494" s="96"/>
      <c r="K494" s="97"/>
      <c r="P494" s="35"/>
      <c r="Q494" s="35"/>
      <c r="R494" s="35"/>
      <c r="U494" s="98"/>
      <c r="V494" s="98"/>
      <c r="W494" s="96"/>
      <c r="X494" s="96"/>
    </row>
    <row r="495">
      <c r="H495" s="96"/>
      <c r="I495" s="96"/>
      <c r="K495" s="97"/>
      <c r="P495" s="35"/>
      <c r="Q495" s="35"/>
      <c r="R495" s="35"/>
      <c r="U495" s="98"/>
      <c r="V495" s="98"/>
      <c r="W495" s="96"/>
      <c r="X495" s="96"/>
    </row>
    <row r="496">
      <c r="H496" s="96"/>
      <c r="I496" s="96"/>
      <c r="K496" s="97"/>
      <c r="P496" s="35"/>
      <c r="Q496" s="35"/>
      <c r="R496" s="35"/>
      <c r="U496" s="98"/>
      <c r="V496" s="98"/>
      <c r="W496" s="96"/>
      <c r="X496" s="96"/>
    </row>
    <row r="497">
      <c r="H497" s="96"/>
      <c r="I497" s="96"/>
      <c r="K497" s="97"/>
      <c r="P497" s="35"/>
      <c r="Q497" s="35"/>
      <c r="R497" s="35"/>
      <c r="U497" s="98"/>
      <c r="V497" s="98"/>
      <c r="W497" s="96"/>
      <c r="X497" s="96"/>
    </row>
    <row r="498">
      <c r="H498" s="96"/>
      <c r="I498" s="96"/>
      <c r="K498" s="97"/>
      <c r="P498" s="35"/>
      <c r="Q498" s="35"/>
      <c r="R498" s="35"/>
      <c r="U498" s="98"/>
      <c r="V498" s="98"/>
      <c r="W498" s="96"/>
      <c r="X498" s="96"/>
    </row>
    <row r="499">
      <c r="H499" s="96"/>
      <c r="I499" s="96"/>
      <c r="K499" s="97"/>
      <c r="P499" s="35"/>
      <c r="Q499" s="35"/>
      <c r="R499" s="35"/>
      <c r="U499" s="98"/>
      <c r="V499" s="98"/>
      <c r="W499" s="96"/>
      <c r="X499" s="96"/>
    </row>
    <row r="500">
      <c r="H500" s="96"/>
      <c r="I500" s="96"/>
      <c r="K500" s="97"/>
      <c r="P500" s="35"/>
      <c r="Q500" s="35"/>
      <c r="R500" s="35"/>
      <c r="U500" s="98"/>
      <c r="V500" s="98"/>
      <c r="W500" s="96"/>
      <c r="X500" s="96"/>
    </row>
    <row r="501">
      <c r="H501" s="96"/>
      <c r="I501" s="96"/>
      <c r="K501" s="97"/>
      <c r="P501" s="35"/>
      <c r="Q501" s="35"/>
      <c r="R501" s="35"/>
      <c r="U501" s="98"/>
      <c r="V501" s="98"/>
      <c r="W501" s="96"/>
      <c r="X501" s="96"/>
    </row>
    <row r="502">
      <c r="H502" s="96"/>
      <c r="I502" s="96"/>
      <c r="K502" s="97"/>
      <c r="P502" s="35"/>
      <c r="Q502" s="35"/>
      <c r="R502" s="35"/>
      <c r="U502" s="98"/>
      <c r="V502" s="98"/>
      <c r="W502" s="96"/>
      <c r="X502" s="96"/>
    </row>
    <row r="503">
      <c r="H503" s="96"/>
      <c r="I503" s="96"/>
      <c r="K503" s="97"/>
      <c r="P503" s="35"/>
      <c r="Q503" s="35"/>
      <c r="R503" s="35"/>
      <c r="U503" s="98"/>
      <c r="V503" s="98"/>
      <c r="W503" s="96"/>
      <c r="X503" s="96"/>
    </row>
    <row r="504">
      <c r="H504" s="96"/>
      <c r="I504" s="96"/>
      <c r="K504" s="97"/>
      <c r="P504" s="35"/>
      <c r="Q504" s="35"/>
      <c r="R504" s="35"/>
      <c r="U504" s="98"/>
      <c r="V504" s="98"/>
      <c r="W504" s="96"/>
      <c r="X504" s="96"/>
    </row>
    <row r="505">
      <c r="H505" s="96"/>
      <c r="I505" s="96"/>
      <c r="K505" s="97"/>
      <c r="P505" s="35"/>
      <c r="Q505" s="35"/>
      <c r="R505" s="35"/>
      <c r="U505" s="98"/>
      <c r="V505" s="98"/>
      <c r="W505" s="96"/>
      <c r="X505" s="96"/>
    </row>
    <row r="506">
      <c r="H506" s="96"/>
      <c r="I506" s="96"/>
      <c r="K506" s="97"/>
      <c r="P506" s="35"/>
      <c r="Q506" s="35"/>
      <c r="R506" s="35"/>
      <c r="U506" s="98"/>
      <c r="V506" s="98"/>
      <c r="W506" s="96"/>
      <c r="X506" s="96"/>
    </row>
    <row r="507">
      <c r="H507" s="96"/>
      <c r="I507" s="96"/>
      <c r="K507" s="97"/>
      <c r="P507" s="35"/>
      <c r="Q507" s="35"/>
      <c r="R507" s="35"/>
      <c r="U507" s="98"/>
      <c r="V507" s="98"/>
      <c r="W507" s="96"/>
      <c r="X507" s="96"/>
    </row>
    <row r="508">
      <c r="H508" s="96"/>
      <c r="I508" s="96"/>
      <c r="K508" s="97"/>
      <c r="P508" s="35"/>
      <c r="Q508" s="35"/>
      <c r="R508" s="35"/>
      <c r="U508" s="98"/>
      <c r="V508" s="98"/>
      <c r="W508" s="96"/>
      <c r="X508" s="96"/>
    </row>
    <row r="509">
      <c r="H509" s="96"/>
      <c r="I509" s="96"/>
      <c r="K509" s="97"/>
      <c r="P509" s="35"/>
      <c r="Q509" s="35"/>
      <c r="R509" s="35"/>
      <c r="U509" s="98"/>
      <c r="V509" s="98"/>
      <c r="W509" s="96"/>
      <c r="X509" s="96"/>
    </row>
    <row r="510">
      <c r="H510" s="96"/>
      <c r="I510" s="96"/>
      <c r="K510" s="97"/>
      <c r="P510" s="35"/>
      <c r="Q510" s="35"/>
      <c r="R510" s="35"/>
      <c r="U510" s="98"/>
      <c r="V510" s="98"/>
      <c r="W510" s="96"/>
      <c r="X510" s="96"/>
    </row>
    <row r="511">
      <c r="H511" s="96"/>
      <c r="I511" s="96"/>
      <c r="K511" s="97"/>
      <c r="P511" s="35"/>
      <c r="Q511" s="35"/>
      <c r="R511" s="35"/>
      <c r="U511" s="98"/>
      <c r="V511" s="98"/>
      <c r="W511" s="96"/>
      <c r="X511" s="96"/>
    </row>
    <row r="512">
      <c r="H512" s="96"/>
      <c r="I512" s="96"/>
      <c r="K512" s="97"/>
      <c r="P512" s="35"/>
      <c r="Q512" s="35"/>
      <c r="R512" s="35"/>
      <c r="U512" s="98"/>
      <c r="V512" s="98"/>
      <c r="W512" s="96"/>
      <c r="X512" s="96"/>
    </row>
    <row r="513">
      <c r="H513" s="96"/>
      <c r="I513" s="96"/>
      <c r="K513" s="97"/>
      <c r="P513" s="35"/>
      <c r="Q513" s="35"/>
      <c r="R513" s="35"/>
      <c r="U513" s="98"/>
      <c r="V513" s="98"/>
      <c r="W513" s="96"/>
      <c r="X513" s="96"/>
    </row>
    <row r="514">
      <c r="H514" s="96"/>
      <c r="I514" s="96"/>
      <c r="K514" s="97"/>
      <c r="P514" s="35"/>
      <c r="Q514" s="35"/>
      <c r="R514" s="35"/>
      <c r="U514" s="98"/>
      <c r="V514" s="98"/>
      <c r="W514" s="96"/>
      <c r="X514" s="96"/>
    </row>
    <row r="515">
      <c r="H515" s="96"/>
      <c r="I515" s="96"/>
      <c r="K515" s="97"/>
      <c r="P515" s="35"/>
      <c r="Q515" s="35"/>
      <c r="R515" s="35"/>
      <c r="U515" s="98"/>
      <c r="V515" s="98"/>
      <c r="W515" s="96"/>
      <c r="X515" s="96"/>
    </row>
    <row r="516">
      <c r="H516" s="96"/>
      <c r="I516" s="96"/>
      <c r="K516" s="97"/>
      <c r="P516" s="35"/>
      <c r="Q516" s="35"/>
      <c r="R516" s="35"/>
      <c r="U516" s="98"/>
      <c r="V516" s="98"/>
      <c r="W516" s="96"/>
      <c r="X516" s="96"/>
    </row>
    <row r="517">
      <c r="H517" s="96"/>
      <c r="I517" s="96"/>
      <c r="K517" s="97"/>
      <c r="P517" s="35"/>
      <c r="Q517" s="35"/>
      <c r="R517" s="35"/>
      <c r="U517" s="98"/>
      <c r="V517" s="98"/>
      <c r="W517" s="96"/>
      <c r="X517" s="96"/>
    </row>
    <row r="518">
      <c r="H518" s="96"/>
      <c r="I518" s="96"/>
      <c r="K518" s="97"/>
      <c r="P518" s="35"/>
      <c r="Q518" s="35"/>
      <c r="R518" s="35"/>
      <c r="U518" s="98"/>
      <c r="V518" s="98"/>
      <c r="W518" s="96"/>
      <c r="X518" s="96"/>
    </row>
    <row r="519">
      <c r="H519" s="96"/>
      <c r="I519" s="96"/>
      <c r="K519" s="97"/>
      <c r="P519" s="35"/>
      <c r="Q519" s="35"/>
      <c r="R519" s="35"/>
      <c r="U519" s="98"/>
      <c r="V519" s="98"/>
      <c r="W519" s="96"/>
      <c r="X519" s="96"/>
    </row>
    <row r="520">
      <c r="H520" s="96"/>
      <c r="I520" s="96"/>
      <c r="K520" s="97"/>
      <c r="P520" s="35"/>
      <c r="Q520" s="35"/>
      <c r="R520" s="35"/>
      <c r="U520" s="98"/>
      <c r="V520" s="98"/>
      <c r="W520" s="96"/>
      <c r="X520" s="96"/>
    </row>
    <row r="521">
      <c r="H521" s="96"/>
      <c r="I521" s="96"/>
      <c r="K521" s="97"/>
      <c r="P521" s="35"/>
      <c r="Q521" s="35"/>
      <c r="R521" s="35"/>
      <c r="U521" s="98"/>
      <c r="V521" s="98"/>
      <c r="W521" s="96"/>
      <c r="X521" s="96"/>
    </row>
    <row r="522">
      <c r="H522" s="96"/>
      <c r="I522" s="96"/>
      <c r="K522" s="97"/>
      <c r="P522" s="35"/>
      <c r="Q522" s="35"/>
      <c r="R522" s="35"/>
      <c r="U522" s="98"/>
      <c r="V522" s="98"/>
      <c r="W522" s="96"/>
      <c r="X522" s="96"/>
    </row>
    <row r="523">
      <c r="H523" s="96"/>
      <c r="I523" s="96"/>
      <c r="K523" s="97"/>
      <c r="P523" s="35"/>
      <c r="Q523" s="35"/>
      <c r="R523" s="35"/>
      <c r="U523" s="98"/>
      <c r="V523" s="98"/>
      <c r="W523" s="96"/>
      <c r="X523" s="96"/>
    </row>
    <row r="524">
      <c r="H524" s="96"/>
      <c r="I524" s="96"/>
      <c r="K524" s="97"/>
      <c r="P524" s="35"/>
      <c r="Q524" s="35"/>
      <c r="R524" s="35"/>
      <c r="U524" s="98"/>
      <c r="V524" s="98"/>
      <c r="W524" s="96"/>
      <c r="X524" s="96"/>
    </row>
    <row r="525">
      <c r="H525" s="96"/>
      <c r="I525" s="96"/>
      <c r="K525" s="97"/>
      <c r="P525" s="35"/>
      <c r="Q525" s="35"/>
      <c r="R525" s="35"/>
      <c r="U525" s="98"/>
      <c r="V525" s="98"/>
      <c r="W525" s="96"/>
      <c r="X525" s="96"/>
    </row>
    <row r="526">
      <c r="H526" s="96"/>
      <c r="I526" s="96"/>
      <c r="K526" s="97"/>
      <c r="P526" s="35"/>
      <c r="Q526" s="35"/>
      <c r="R526" s="35"/>
      <c r="U526" s="98"/>
      <c r="V526" s="98"/>
      <c r="W526" s="96"/>
      <c r="X526" s="96"/>
    </row>
    <row r="527">
      <c r="H527" s="96"/>
      <c r="I527" s="96"/>
      <c r="K527" s="97"/>
      <c r="P527" s="35"/>
      <c r="Q527" s="35"/>
      <c r="R527" s="35"/>
      <c r="U527" s="98"/>
      <c r="V527" s="98"/>
      <c r="W527" s="96"/>
      <c r="X527" s="96"/>
    </row>
    <row r="528">
      <c r="H528" s="96"/>
      <c r="I528" s="96"/>
      <c r="K528" s="97"/>
      <c r="P528" s="35"/>
      <c r="Q528" s="35"/>
      <c r="R528" s="35"/>
      <c r="U528" s="98"/>
      <c r="V528" s="98"/>
      <c r="W528" s="96"/>
      <c r="X528" s="96"/>
    </row>
    <row r="529">
      <c r="H529" s="96"/>
      <c r="I529" s="96"/>
      <c r="K529" s="97"/>
      <c r="P529" s="35"/>
      <c r="Q529" s="35"/>
      <c r="R529" s="35"/>
      <c r="U529" s="98"/>
      <c r="V529" s="98"/>
      <c r="W529" s="96"/>
      <c r="X529" s="96"/>
    </row>
    <row r="530">
      <c r="H530" s="96"/>
      <c r="I530" s="96"/>
      <c r="K530" s="97"/>
      <c r="P530" s="35"/>
      <c r="Q530" s="35"/>
      <c r="R530" s="35"/>
      <c r="U530" s="98"/>
      <c r="V530" s="98"/>
      <c r="W530" s="96"/>
      <c r="X530" s="96"/>
    </row>
    <row r="531">
      <c r="H531" s="96"/>
      <c r="I531" s="96"/>
      <c r="K531" s="97"/>
      <c r="P531" s="35"/>
      <c r="Q531" s="35"/>
      <c r="R531" s="35"/>
      <c r="U531" s="98"/>
      <c r="V531" s="98"/>
      <c r="W531" s="96"/>
      <c r="X531" s="96"/>
    </row>
    <row r="532">
      <c r="H532" s="96"/>
      <c r="I532" s="96"/>
      <c r="K532" s="97"/>
      <c r="P532" s="35"/>
      <c r="Q532" s="35"/>
      <c r="R532" s="35"/>
      <c r="U532" s="98"/>
      <c r="V532" s="98"/>
      <c r="W532" s="96"/>
      <c r="X532" s="96"/>
    </row>
    <row r="533">
      <c r="H533" s="96"/>
      <c r="I533" s="96"/>
      <c r="K533" s="97"/>
      <c r="P533" s="35"/>
      <c r="Q533" s="35"/>
      <c r="R533" s="35"/>
      <c r="U533" s="98"/>
      <c r="V533" s="98"/>
      <c r="W533" s="96"/>
      <c r="X533" s="96"/>
    </row>
    <row r="534">
      <c r="H534" s="96"/>
      <c r="I534" s="96"/>
      <c r="K534" s="97"/>
      <c r="P534" s="35"/>
      <c r="Q534" s="35"/>
      <c r="R534" s="35"/>
      <c r="U534" s="98"/>
      <c r="V534" s="98"/>
      <c r="W534" s="96"/>
      <c r="X534" s="96"/>
    </row>
    <row r="535">
      <c r="H535" s="96"/>
      <c r="I535" s="96"/>
      <c r="K535" s="97"/>
      <c r="P535" s="35"/>
      <c r="Q535" s="35"/>
      <c r="R535" s="35"/>
      <c r="U535" s="98"/>
      <c r="V535" s="98"/>
      <c r="W535" s="96"/>
      <c r="X535" s="96"/>
    </row>
    <row r="536">
      <c r="H536" s="96"/>
      <c r="I536" s="96"/>
      <c r="K536" s="97"/>
      <c r="P536" s="35"/>
      <c r="Q536" s="35"/>
      <c r="R536" s="35"/>
      <c r="U536" s="98"/>
      <c r="V536" s="98"/>
      <c r="W536" s="96"/>
      <c r="X536" s="96"/>
    </row>
    <row r="537">
      <c r="H537" s="96"/>
      <c r="I537" s="96"/>
      <c r="K537" s="97"/>
      <c r="P537" s="35"/>
      <c r="Q537" s="35"/>
      <c r="R537" s="35"/>
      <c r="U537" s="98"/>
      <c r="V537" s="98"/>
      <c r="W537" s="96"/>
      <c r="X537" s="96"/>
    </row>
    <row r="538">
      <c r="H538" s="96"/>
      <c r="I538" s="96"/>
      <c r="K538" s="97"/>
      <c r="P538" s="35"/>
      <c r="Q538" s="35"/>
      <c r="R538" s="35"/>
      <c r="U538" s="98"/>
      <c r="V538" s="98"/>
      <c r="W538" s="96"/>
      <c r="X538" s="96"/>
    </row>
    <row r="539">
      <c r="H539" s="96"/>
      <c r="I539" s="96"/>
      <c r="K539" s="97"/>
      <c r="P539" s="35"/>
      <c r="Q539" s="35"/>
      <c r="R539" s="35"/>
      <c r="U539" s="98"/>
      <c r="V539" s="98"/>
      <c r="W539" s="96"/>
      <c r="X539" s="96"/>
    </row>
    <row r="540">
      <c r="H540" s="96"/>
      <c r="I540" s="96"/>
      <c r="K540" s="97"/>
      <c r="P540" s="35"/>
      <c r="Q540" s="35"/>
      <c r="R540" s="35"/>
      <c r="U540" s="98"/>
      <c r="V540" s="98"/>
      <c r="W540" s="96"/>
      <c r="X540" s="96"/>
    </row>
    <row r="541">
      <c r="H541" s="96"/>
      <c r="I541" s="96"/>
      <c r="K541" s="97"/>
      <c r="P541" s="35"/>
      <c r="Q541" s="35"/>
      <c r="R541" s="35"/>
      <c r="U541" s="98"/>
      <c r="V541" s="98"/>
      <c r="W541" s="96"/>
      <c r="X541" s="96"/>
    </row>
    <row r="542">
      <c r="H542" s="96"/>
      <c r="I542" s="96"/>
      <c r="K542" s="97"/>
      <c r="P542" s="35"/>
      <c r="Q542" s="35"/>
      <c r="R542" s="35"/>
      <c r="U542" s="98"/>
      <c r="V542" s="98"/>
      <c r="W542" s="96"/>
      <c r="X542" s="96"/>
    </row>
    <row r="543">
      <c r="H543" s="96"/>
      <c r="I543" s="96"/>
      <c r="K543" s="97"/>
      <c r="P543" s="35"/>
      <c r="Q543" s="35"/>
      <c r="R543" s="35"/>
      <c r="U543" s="98"/>
      <c r="V543" s="98"/>
      <c r="W543" s="96"/>
      <c r="X543" s="96"/>
    </row>
    <row r="544">
      <c r="H544" s="96"/>
      <c r="I544" s="96"/>
      <c r="K544" s="97"/>
      <c r="P544" s="35"/>
      <c r="Q544" s="35"/>
      <c r="R544" s="35"/>
      <c r="U544" s="98"/>
      <c r="V544" s="98"/>
      <c r="W544" s="96"/>
      <c r="X544" s="96"/>
    </row>
    <row r="545">
      <c r="H545" s="96"/>
      <c r="I545" s="96"/>
      <c r="K545" s="97"/>
      <c r="P545" s="35"/>
      <c r="Q545" s="35"/>
      <c r="R545" s="35"/>
      <c r="U545" s="98"/>
      <c r="V545" s="98"/>
      <c r="W545" s="96"/>
      <c r="X545" s="96"/>
    </row>
    <row r="546">
      <c r="H546" s="96"/>
      <c r="I546" s="96"/>
      <c r="K546" s="97"/>
      <c r="P546" s="35"/>
      <c r="Q546" s="35"/>
      <c r="R546" s="35"/>
      <c r="U546" s="98"/>
      <c r="V546" s="98"/>
      <c r="W546" s="96"/>
      <c r="X546" s="96"/>
    </row>
    <row r="547">
      <c r="H547" s="96"/>
      <c r="I547" s="96"/>
      <c r="K547" s="97"/>
      <c r="P547" s="35"/>
      <c r="Q547" s="35"/>
      <c r="R547" s="35"/>
      <c r="U547" s="98"/>
      <c r="V547" s="98"/>
      <c r="W547" s="96"/>
      <c r="X547" s="96"/>
    </row>
    <row r="548">
      <c r="H548" s="96"/>
      <c r="I548" s="96"/>
      <c r="K548" s="97"/>
      <c r="P548" s="35"/>
      <c r="Q548" s="35"/>
      <c r="R548" s="35"/>
      <c r="U548" s="98"/>
      <c r="V548" s="98"/>
      <c r="W548" s="96"/>
      <c r="X548" s="96"/>
    </row>
    <row r="549">
      <c r="H549" s="96"/>
      <c r="I549" s="96"/>
      <c r="K549" s="97"/>
      <c r="P549" s="35"/>
      <c r="Q549" s="35"/>
      <c r="R549" s="35"/>
      <c r="U549" s="98"/>
      <c r="V549" s="98"/>
      <c r="W549" s="96"/>
      <c r="X549" s="96"/>
    </row>
    <row r="550">
      <c r="H550" s="96"/>
      <c r="I550" s="96"/>
      <c r="K550" s="97"/>
      <c r="P550" s="35"/>
      <c r="Q550" s="35"/>
      <c r="R550" s="35"/>
      <c r="U550" s="98"/>
      <c r="V550" s="98"/>
      <c r="W550" s="96"/>
      <c r="X550" s="96"/>
    </row>
    <row r="551">
      <c r="H551" s="96"/>
      <c r="I551" s="96"/>
      <c r="K551" s="97"/>
      <c r="P551" s="35"/>
      <c r="Q551" s="35"/>
      <c r="R551" s="35"/>
      <c r="U551" s="98"/>
      <c r="V551" s="98"/>
      <c r="W551" s="96"/>
      <c r="X551" s="96"/>
    </row>
    <row r="552">
      <c r="H552" s="96"/>
      <c r="I552" s="96"/>
      <c r="K552" s="97"/>
      <c r="P552" s="35"/>
      <c r="Q552" s="35"/>
      <c r="R552" s="35"/>
      <c r="U552" s="98"/>
      <c r="V552" s="98"/>
      <c r="W552" s="96"/>
      <c r="X552" s="96"/>
    </row>
    <row r="553">
      <c r="H553" s="96"/>
      <c r="I553" s="96"/>
      <c r="K553" s="97"/>
      <c r="P553" s="35"/>
      <c r="Q553" s="35"/>
      <c r="R553" s="35"/>
      <c r="U553" s="98"/>
      <c r="V553" s="98"/>
      <c r="W553" s="96"/>
      <c r="X553" s="96"/>
    </row>
    <row r="554">
      <c r="H554" s="96"/>
      <c r="I554" s="96"/>
      <c r="K554" s="97"/>
      <c r="P554" s="35"/>
      <c r="Q554" s="35"/>
      <c r="R554" s="35"/>
      <c r="U554" s="98"/>
      <c r="V554" s="98"/>
      <c r="W554" s="96"/>
      <c r="X554" s="96"/>
    </row>
    <row r="555">
      <c r="H555" s="96"/>
      <c r="I555" s="96"/>
      <c r="K555" s="97"/>
      <c r="P555" s="35"/>
      <c r="Q555" s="35"/>
      <c r="R555" s="35"/>
      <c r="U555" s="98"/>
      <c r="V555" s="98"/>
      <c r="W555" s="96"/>
      <c r="X555" s="96"/>
    </row>
    <row r="556">
      <c r="H556" s="96"/>
      <c r="I556" s="96"/>
      <c r="K556" s="97"/>
      <c r="P556" s="35"/>
      <c r="Q556" s="35"/>
      <c r="R556" s="35"/>
      <c r="U556" s="98"/>
      <c r="V556" s="98"/>
      <c r="W556" s="96"/>
      <c r="X556" s="96"/>
    </row>
    <row r="557">
      <c r="H557" s="96"/>
      <c r="I557" s="96"/>
      <c r="K557" s="97"/>
      <c r="P557" s="35"/>
      <c r="Q557" s="35"/>
      <c r="R557" s="35"/>
      <c r="U557" s="98"/>
      <c r="V557" s="98"/>
      <c r="W557" s="96"/>
      <c r="X557" s="96"/>
    </row>
    <row r="558">
      <c r="H558" s="96"/>
      <c r="I558" s="96"/>
      <c r="K558" s="97"/>
      <c r="P558" s="35"/>
      <c r="Q558" s="35"/>
      <c r="R558" s="35"/>
      <c r="U558" s="98"/>
      <c r="V558" s="98"/>
      <c r="W558" s="96"/>
      <c r="X558" s="96"/>
    </row>
    <row r="559">
      <c r="H559" s="96"/>
      <c r="I559" s="96"/>
      <c r="K559" s="97"/>
      <c r="P559" s="35"/>
      <c r="Q559" s="35"/>
      <c r="R559" s="35"/>
      <c r="U559" s="98"/>
      <c r="V559" s="98"/>
      <c r="W559" s="96"/>
      <c r="X559" s="96"/>
    </row>
    <row r="560">
      <c r="H560" s="96"/>
      <c r="I560" s="96"/>
      <c r="K560" s="97"/>
      <c r="P560" s="35"/>
      <c r="Q560" s="35"/>
      <c r="R560" s="35"/>
      <c r="U560" s="98"/>
      <c r="V560" s="98"/>
      <c r="W560" s="96"/>
      <c r="X560" s="96"/>
    </row>
    <row r="561">
      <c r="H561" s="96"/>
      <c r="I561" s="96"/>
      <c r="K561" s="97"/>
      <c r="P561" s="35"/>
      <c r="Q561" s="35"/>
      <c r="R561" s="35"/>
      <c r="U561" s="98"/>
      <c r="V561" s="98"/>
      <c r="W561" s="96"/>
      <c r="X561" s="96"/>
    </row>
    <row r="562">
      <c r="H562" s="96"/>
      <c r="I562" s="96"/>
      <c r="K562" s="97"/>
      <c r="P562" s="35"/>
      <c r="Q562" s="35"/>
      <c r="R562" s="35"/>
      <c r="U562" s="98"/>
      <c r="V562" s="98"/>
      <c r="W562" s="96"/>
      <c r="X562" s="96"/>
    </row>
    <row r="563">
      <c r="H563" s="96"/>
      <c r="I563" s="96"/>
      <c r="K563" s="97"/>
      <c r="P563" s="35"/>
      <c r="Q563" s="35"/>
      <c r="R563" s="35"/>
      <c r="U563" s="98"/>
      <c r="V563" s="98"/>
      <c r="W563" s="96"/>
      <c r="X563" s="96"/>
    </row>
    <row r="564">
      <c r="H564" s="96"/>
      <c r="I564" s="96"/>
      <c r="K564" s="97"/>
      <c r="P564" s="35"/>
      <c r="Q564" s="35"/>
      <c r="R564" s="35"/>
      <c r="U564" s="98"/>
      <c r="V564" s="98"/>
      <c r="W564" s="96"/>
      <c r="X564" s="96"/>
    </row>
    <row r="565">
      <c r="H565" s="96"/>
      <c r="I565" s="96"/>
      <c r="K565" s="97"/>
      <c r="P565" s="35"/>
      <c r="Q565" s="35"/>
      <c r="R565" s="35"/>
      <c r="U565" s="98"/>
      <c r="V565" s="98"/>
      <c r="W565" s="96"/>
      <c r="X565" s="96"/>
    </row>
    <row r="566">
      <c r="H566" s="96"/>
      <c r="I566" s="96"/>
      <c r="K566" s="97"/>
      <c r="P566" s="35"/>
      <c r="Q566" s="35"/>
      <c r="R566" s="35"/>
      <c r="U566" s="98"/>
      <c r="V566" s="98"/>
      <c r="W566" s="96"/>
      <c r="X566" s="96"/>
    </row>
    <row r="567">
      <c r="H567" s="96"/>
      <c r="I567" s="96"/>
      <c r="K567" s="97"/>
      <c r="P567" s="35"/>
      <c r="Q567" s="35"/>
      <c r="R567" s="35"/>
      <c r="U567" s="98"/>
      <c r="V567" s="98"/>
      <c r="W567" s="96"/>
      <c r="X567" s="96"/>
    </row>
    <row r="568">
      <c r="H568" s="96"/>
      <c r="I568" s="96"/>
      <c r="K568" s="97"/>
      <c r="P568" s="35"/>
      <c r="Q568" s="35"/>
      <c r="R568" s="35"/>
      <c r="U568" s="98"/>
      <c r="V568" s="98"/>
      <c r="W568" s="96"/>
      <c r="X568" s="96"/>
    </row>
    <row r="569">
      <c r="H569" s="96"/>
      <c r="I569" s="96"/>
      <c r="K569" s="97"/>
      <c r="P569" s="35"/>
      <c r="Q569" s="35"/>
      <c r="R569" s="35"/>
      <c r="U569" s="98"/>
      <c r="V569" s="98"/>
      <c r="W569" s="96"/>
      <c r="X569" s="96"/>
    </row>
    <row r="570">
      <c r="H570" s="96"/>
      <c r="I570" s="96"/>
      <c r="K570" s="97"/>
      <c r="P570" s="35"/>
      <c r="Q570" s="35"/>
      <c r="R570" s="35"/>
      <c r="U570" s="98"/>
      <c r="V570" s="98"/>
      <c r="W570" s="96"/>
      <c r="X570" s="96"/>
    </row>
    <row r="571">
      <c r="H571" s="96"/>
      <c r="I571" s="96"/>
      <c r="K571" s="97"/>
      <c r="P571" s="35"/>
      <c r="Q571" s="35"/>
      <c r="R571" s="35"/>
      <c r="U571" s="98"/>
      <c r="V571" s="98"/>
      <c r="W571" s="96"/>
      <c r="X571" s="96"/>
    </row>
    <row r="572">
      <c r="H572" s="96"/>
      <c r="I572" s="96"/>
      <c r="K572" s="97"/>
      <c r="P572" s="35"/>
      <c r="Q572" s="35"/>
      <c r="R572" s="35"/>
      <c r="U572" s="98"/>
      <c r="V572" s="98"/>
      <c r="W572" s="96"/>
      <c r="X572" s="96"/>
    </row>
    <row r="573">
      <c r="H573" s="96"/>
      <c r="I573" s="96"/>
      <c r="K573" s="97"/>
      <c r="P573" s="35"/>
      <c r="Q573" s="35"/>
      <c r="R573" s="35"/>
      <c r="U573" s="98"/>
      <c r="V573" s="98"/>
      <c r="W573" s="96"/>
      <c r="X573" s="96"/>
    </row>
    <row r="574">
      <c r="H574" s="96"/>
      <c r="I574" s="96"/>
      <c r="K574" s="97"/>
      <c r="P574" s="35"/>
      <c r="Q574" s="35"/>
      <c r="R574" s="35"/>
      <c r="U574" s="98"/>
      <c r="V574" s="98"/>
      <c r="W574" s="96"/>
      <c r="X574" s="96"/>
    </row>
    <row r="575">
      <c r="H575" s="96"/>
      <c r="I575" s="96"/>
      <c r="K575" s="97"/>
      <c r="P575" s="35"/>
      <c r="Q575" s="35"/>
      <c r="R575" s="35"/>
      <c r="U575" s="98"/>
      <c r="V575" s="98"/>
      <c r="W575" s="96"/>
      <c r="X575" s="96"/>
    </row>
    <row r="576">
      <c r="H576" s="96"/>
      <c r="I576" s="96"/>
      <c r="K576" s="97"/>
      <c r="P576" s="35"/>
      <c r="Q576" s="35"/>
      <c r="R576" s="35"/>
      <c r="U576" s="98"/>
      <c r="V576" s="98"/>
      <c r="W576" s="96"/>
      <c r="X576" s="96"/>
    </row>
    <row r="577">
      <c r="H577" s="96"/>
      <c r="I577" s="96"/>
      <c r="K577" s="97"/>
      <c r="P577" s="35"/>
      <c r="Q577" s="35"/>
      <c r="R577" s="35"/>
      <c r="U577" s="98"/>
      <c r="V577" s="98"/>
      <c r="W577" s="96"/>
      <c r="X577" s="96"/>
    </row>
    <row r="578">
      <c r="H578" s="96"/>
      <c r="I578" s="96"/>
      <c r="K578" s="97"/>
      <c r="P578" s="35"/>
      <c r="Q578" s="35"/>
      <c r="R578" s="35"/>
      <c r="U578" s="98"/>
      <c r="V578" s="98"/>
      <c r="W578" s="96"/>
      <c r="X578" s="96"/>
    </row>
    <row r="579">
      <c r="H579" s="96"/>
      <c r="I579" s="96"/>
      <c r="K579" s="97"/>
      <c r="P579" s="35"/>
      <c r="Q579" s="35"/>
      <c r="R579" s="35"/>
      <c r="U579" s="98"/>
      <c r="V579" s="98"/>
      <c r="W579" s="96"/>
      <c r="X579" s="96"/>
    </row>
    <row r="580">
      <c r="H580" s="96"/>
      <c r="I580" s="96"/>
      <c r="K580" s="97"/>
      <c r="P580" s="35"/>
      <c r="Q580" s="35"/>
      <c r="R580" s="35"/>
      <c r="U580" s="98"/>
      <c r="V580" s="98"/>
      <c r="W580" s="96"/>
      <c r="X580" s="96"/>
    </row>
    <row r="581">
      <c r="H581" s="96"/>
      <c r="I581" s="96"/>
      <c r="K581" s="97"/>
      <c r="P581" s="35"/>
      <c r="Q581" s="35"/>
      <c r="R581" s="35"/>
      <c r="U581" s="98"/>
      <c r="V581" s="98"/>
      <c r="W581" s="96"/>
      <c r="X581" s="96"/>
    </row>
    <row r="582">
      <c r="H582" s="96"/>
      <c r="I582" s="96"/>
      <c r="K582" s="97"/>
      <c r="P582" s="35"/>
      <c r="Q582" s="35"/>
      <c r="R582" s="35"/>
      <c r="U582" s="98"/>
      <c r="V582" s="98"/>
      <c r="W582" s="96"/>
      <c r="X582" s="96"/>
    </row>
    <row r="583">
      <c r="H583" s="96"/>
      <c r="I583" s="96"/>
      <c r="K583" s="97"/>
      <c r="P583" s="35"/>
      <c r="Q583" s="35"/>
      <c r="R583" s="35"/>
      <c r="U583" s="98"/>
      <c r="V583" s="98"/>
      <c r="W583" s="96"/>
      <c r="X583" s="96"/>
    </row>
    <row r="584">
      <c r="H584" s="96"/>
      <c r="I584" s="96"/>
      <c r="K584" s="97"/>
      <c r="P584" s="35"/>
      <c r="Q584" s="35"/>
      <c r="R584" s="35"/>
      <c r="U584" s="98"/>
      <c r="V584" s="98"/>
      <c r="W584" s="96"/>
      <c r="X584" s="96"/>
    </row>
    <row r="585">
      <c r="H585" s="96"/>
      <c r="I585" s="96"/>
      <c r="K585" s="97"/>
      <c r="P585" s="35"/>
      <c r="Q585" s="35"/>
      <c r="R585" s="35"/>
      <c r="U585" s="98"/>
      <c r="V585" s="98"/>
      <c r="W585" s="96"/>
      <c r="X585" s="96"/>
    </row>
    <row r="586">
      <c r="H586" s="96"/>
      <c r="I586" s="96"/>
      <c r="K586" s="97"/>
      <c r="P586" s="35"/>
      <c r="Q586" s="35"/>
      <c r="R586" s="35"/>
      <c r="U586" s="98"/>
      <c r="V586" s="98"/>
      <c r="W586" s="96"/>
      <c r="X586" s="96"/>
    </row>
    <row r="587">
      <c r="H587" s="96"/>
      <c r="I587" s="96"/>
      <c r="K587" s="97"/>
      <c r="P587" s="35"/>
      <c r="Q587" s="35"/>
      <c r="R587" s="35"/>
      <c r="U587" s="98"/>
      <c r="V587" s="98"/>
      <c r="W587" s="96"/>
      <c r="X587" s="96"/>
    </row>
    <row r="588">
      <c r="H588" s="96"/>
      <c r="I588" s="96"/>
      <c r="K588" s="97"/>
      <c r="P588" s="35"/>
      <c r="Q588" s="35"/>
      <c r="R588" s="35"/>
      <c r="U588" s="98"/>
      <c r="V588" s="98"/>
      <c r="W588" s="96"/>
      <c r="X588" s="96"/>
    </row>
    <row r="589">
      <c r="H589" s="96"/>
      <c r="I589" s="96"/>
      <c r="K589" s="97"/>
      <c r="P589" s="35"/>
      <c r="Q589" s="35"/>
      <c r="R589" s="35"/>
      <c r="U589" s="98"/>
      <c r="V589" s="98"/>
      <c r="W589" s="96"/>
      <c r="X589" s="96"/>
    </row>
    <row r="590">
      <c r="H590" s="96"/>
      <c r="I590" s="96"/>
      <c r="K590" s="97"/>
      <c r="P590" s="35"/>
      <c r="Q590" s="35"/>
      <c r="R590" s="35"/>
      <c r="U590" s="98"/>
      <c r="V590" s="98"/>
      <c r="W590" s="96"/>
      <c r="X590" s="96"/>
    </row>
    <row r="591">
      <c r="H591" s="96"/>
      <c r="I591" s="96"/>
      <c r="K591" s="97"/>
      <c r="P591" s="35"/>
      <c r="Q591" s="35"/>
      <c r="R591" s="35"/>
      <c r="U591" s="98"/>
      <c r="V591" s="98"/>
      <c r="W591" s="96"/>
      <c r="X591" s="96"/>
    </row>
    <row r="592">
      <c r="H592" s="96"/>
      <c r="I592" s="96"/>
      <c r="K592" s="97"/>
      <c r="P592" s="35"/>
      <c r="Q592" s="35"/>
      <c r="R592" s="35"/>
      <c r="U592" s="98"/>
      <c r="V592" s="98"/>
      <c r="W592" s="96"/>
      <c r="X592" s="96"/>
    </row>
    <row r="593">
      <c r="H593" s="96"/>
      <c r="I593" s="96"/>
      <c r="K593" s="97"/>
      <c r="P593" s="35"/>
      <c r="Q593" s="35"/>
      <c r="R593" s="35"/>
      <c r="U593" s="98"/>
      <c r="V593" s="98"/>
      <c r="W593" s="96"/>
      <c r="X593" s="96"/>
    </row>
    <row r="594">
      <c r="H594" s="96"/>
      <c r="I594" s="96"/>
      <c r="K594" s="97"/>
      <c r="P594" s="35"/>
      <c r="Q594" s="35"/>
      <c r="R594" s="35"/>
      <c r="U594" s="98"/>
      <c r="V594" s="98"/>
      <c r="W594" s="96"/>
      <c r="X594" s="96"/>
    </row>
    <row r="595">
      <c r="H595" s="96"/>
      <c r="I595" s="96"/>
      <c r="K595" s="97"/>
      <c r="P595" s="35"/>
      <c r="Q595" s="35"/>
      <c r="R595" s="35"/>
      <c r="U595" s="98"/>
      <c r="V595" s="98"/>
      <c r="W595" s="96"/>
      <c r="X595" s="96"/>
    </row>
    <row r="596">
      <c r="H596" s="96"/>
      <c r="I596" s="96"/>
      <c r="K596" s="97"/>
      <c r="P596" s="35"/>
      <c r="Q596" s="35"/>
      <c r="R596" s="35"/>
      <c r="U596" s="98"/>
      <c r="V596" s="98"/>
      <c r="W596" s="96"/>
      <c r="X596" s="96"/>
    </row>
    <row r="597">
      <c r="H597" s="96"/>
      <c r="I597" s="96"/>
      <c r="K597" s="97"/>
      <c r="P597" s="35"/>
      <c r="Q597" s="35"/>
      <c r="R597" s="35"/>
      <c r="U597" s="98"/>
      <c r="V597" s="98"/>
      <c r="W597" s="96"/>
      <c r="X597" s="96"/>
    </row>
    <row r="598">
      <c r="H598" s="96"/>
      <c r="I598" s="96"/>
      <c r="K598" s="97"/>
      <c r="P598" s="35"/>
      <c r="Q598" s="35"/>
      <c r="R598" s="35"/>
      <c r="U598" s="98"/>
      <c r="V598" s="98"/>
      <c r="W598" s="96"/>
      <c r="X598" s="96"/>
    </row>
    <row r="599">
      <c r="H599" s="96"/>
      <c r="I599" s="96"/>
      <c r="K599" s="97"/>
      <c r="P599" s="35"/>
      <c r="Q599" s="35"/>
      <c r="R599" s="35"/>
      <c r="U599" s="98"/>
      <c r="V599" s="98"/>
      <c r="W599" s="96"/>
      <c r="X599" s="96"/>
    </row>
    <row r="600">
      <c r="H600" s="96"/>
      <c r="I600" s="96"/>
      <c r="K600" s="97"/>
      <c r="P600" s="35"/>
      <c r="Q600" s="35"/>
      <c r="R600" s="35"/>
      <c r="U600" s="98"/>
      <c r="V600" s="98"/>
      <c r="W600" s="96"/>
      <c r="X600" s="96"/>
    </row>
    <row r="601">
      <c r="H601" s="96"/>
      <c r="I601" s="96"/>
      <c r="K601" s="97"/>
      <c r="P601" s="35"/>
      <c r="Q601" s="35"/>
      <c r="R601" s="35"/>
      <c r="U601" s="98"/>
      <c r="V601" s="98"/>
      <c r="W601" s="96"/>
      <c r="X601" s="96"/>
    </row>
    <row r="602">
      <c r="H602" s="96"/>
      <c r="I602" s="96"/>
      <c r="K602" s="97"/>
      <c r="P602" s="35"/>
      <c r="Q602" s="35"/>
      <c r="R602" s="35"/>
      <c r="U602" s="98"/>
      <c r="V602" s="98"/>
      <c r="W602" s="96"/>
      <c r="X602" s="96"/>
    </row>
    <row r="603">
      <c r="H603" s="96"/>
      <c r="I603" s="96"/>
      <c r="K603" s="97"/>
      <c r="P603" s="35"/>
      <c r="Q603" s="35"/>
      <c r="R603" s="35"/>
      <c r="U603" s="98"/>
      <c r="V603" s="98"/>
      <c r="W603" s="96"/>
      <c r="X603" s="96"/>
    </row>
    <row r="604">
      <c r="H604" s="96"/>
      <c r="I604" s="96"/>
      <c r="K604" s="97"/>
      <c r="P604" s="35"/>
      <c r="Q604" s="35"/>
      <c r="R604" s="35"/>
      <c r="U604" s="98"/>
      <c r="V604" s="98"/>
      <c r="W604" s="96"/>
      <c r="X604" s="96"/>
    </row>
    <row r="605">
      <c r="H605" s="96"/>
      <c r="I605" s="96"/>
      <c r="K605" s="97"/>
      <c r="P605" s="35"/>
      <c r="Q605" s="35"/>
      <c r="R605" s="35"/>
      <c r="U605" s="98"/>
      <c r="V605" s="98"/>
      <c r="W605" s="96"/>
      <c r="X605" s="96"/>
    </row>
    <row r="606">
      <c r="H606" s="96"/>
      <c r="I606" s="96"/>
      <c r="K606" s="97"/>
      <c r="P606" s="35"/>
      <c r="Q606" s="35"/>
      <c r="R606" s="35"/>
      <c r="U606" s="98"/>
      <c r="V606" s="98"/>
      <c r="W606" s="96"/>
      <c r="X606" s="96"/>
    </row>
    <row r="607">
      <c r="H607" s="96"/>
      <c r="I607" s="96"/>
      <c r="K607" s="97"/>
      <c r="P607" s="35"/>
      <c r="Q607" s="35"/>
      <c r="R607" s="35"/>
      <c r="U607" s="98"/>
      <c r="V607" s="98"/>
      <c r="W607" s="96"/>
      <c r="X607" s="96"/>
    </row>
    <row r="608">
      <c r="H608" s="96"/>
      <c r="I608" s="96"/>
      <c r="K608" s="97"/>
      <c r="P608" s="35"/>
      <c r="Q608" s="35"/>
      <c r="R608" s="35"/>
      <c r="U608" s="98"/>
      <c r="V608" s="98"/>
      <c r="W608" s="96"/>
      <c r="X608" s="96"/>
    </row>
    <row r="609">
      <c r="H609" s="96"/>
      <c r="I609" s="96"/>
      <c r="K609" s="97"/>
      <c r="P609" s="35"/>
      <c r="Q609" s="35"/>
      <c r="R609" s="35"/>
      <c r="U609" s="98"/>
      <c r="V609" s="98"/>
      <c r="W609" s="96"/>
      <c r="X609" s="96"/>
    </row>
    <row r="610">
      <c r="H610" s="96"/>
      <c r="I610" s="96"/>
      <c r="K610" s="97"/>
      <c r="P610" s="35"/>
      <c r="Q610" s="35"/>
      <c r="R610" s="35"/>
      <c r="U610" s="98"/>
      <c r="V610" s="98"/>
      <c r="W610" s="96"/>
      <c r="X610" s="96"/>
    </row>
    <row r="611">
      <c r="H611" s="96"/>
      <c r="I611" s="96"/>
      <c r="K611" s="97"/>
      <c r="P611" s="35"/>
      <c r="Q611" s="35"/>
      <c r="R611" s="35"/>
      <c r="U611" s="98"/>
      <c r="V611" s="98"/>
      <c r="W611" s="96"/>
      <c r="X611" s="96"/>
    </row>
    <row r="612">
      <c r="H612" s="96"/>
      <c r="I612" s="96"/>
      <c r="K612" s="97"/>
      <c r="P612" s="35"/>
      <c r="Q612" s="35"/>
      <c r="R612" s="35"/>
      <c r="U612" s="98"/>
      <c r="V612" s="98"/>
      <c r="W612" s="96"/>
      <c r="X612" s="96"/>
    </row>
    <row r="613">
      <c r="H613" s="96"/>
      <c r="I613" s="96"/>
      <c r="K613" s="97"/>
      <c r="P613" s="35"/>
      <c r="Q613" s="35"/>
      <c r="R613" s="35"/>
      <c r="U613" s="98"/>
      <c r="V613" s="98"/>
      <c r="W613" s="96"/>
      <c r="X613" s="96"/>
    </row>
    <row r="614">
      <c r="H614" s="96"/>
      <c r="I614" s="96"/>
      <c r="K614" s="97"/>
      <c r="P614" s="35"/>
      <c r="Q614" s="35"/>
      <c r="R614" s="35"/>
      <c r="U614" s="98"/>
      <c r="V614" s="98"/>
      <c r="W614" s="96"/>
      <c r="X614" s="96"/>
    </row>
    <row r="615">
      <c r="H615" s="96"/>
      <c r="I615" s="96"/>
      <c r="K615" s="97"/>
      <c r="P615" s="35"/>
      <c r="Q615" s="35"/>
      <c r="R615" s="35"/>
      <c r="U615" s="98"/>
      <c r="V615" s="98"/>
      <c r="W615" s="96"/>
      <c r="X615" s="96"/>
    </row>
    <row r="616">
      <c r="H616" s="96"/>
      <c r="I616" s="96"/>
      <c r="K616" s="97"/>
      <c r="P616" s="35"/>
      <c r="Q616" s="35"/>
      <c r="R616" s="35"/>
      <c r="U616" s="98"/>
      <c r="V616" s="98"/>
      <c r="W616" s="96"/>
      <c r="X616" s="96"/>
    </row>
    <row r="617">
      <c r="H617" s="96"/>
      <c r="I617" s="96"/>
      <c r="K617" s="97"/>
      <c r="P617" s="35"/>
      <c r="Q617" s="35"/>
      <c r="R617" s="35"/>
      <c r="U617" s="98"/>
      <c r="V617" s="98"/>
      <c r="W617" s="96"/>
      <c r="X617" s="96"/>
    </row>
    <row r="618">
      <c r="H618" s="96"/>
      <c r="I618" s="96"/>
      <c r="K618" s="97"/>
      <c r="P618" s="35"/>
      <c r="Q618" s="35"/>
      <c r="R618" s="35"/>
      <c r="U618" s="98"/>
      <c r="V618" s="98"/>
      <c r="W618" s="96"/>
      <c r="X618" s="96"/>
    </row>
    <row r="619">
      <c r="H619" s="96"/>
      <c r="I619" s="96"/>
      <c r="K619" s="97"/>
      <c r="P619" s="35"/>
      <c r="Q619" s="35"/>
      <c r="R619" s="35"/>
      <c r="U619" s="98"/>
      <c r="V619" s="98"/>
      <c r="W619" s="96"/>
      <c r="X619" s="96"/>
    </row>
    <row r="620">
      <c r="H620" s="96"/>
      <c r="I620" s="96"/>
      <c r="K620" s="97"/>
      <c r="P620" s="35"/>
      <c r="Q620" s="35"/>
      <c r="R620" s="35"/>
      <c r="U620" s="98"/>
      <c r="V620" s="98"/>
      <c r="W620" s="96"/>
      <c r="X620" s="96"/>
    </row>
    <row r="621">
      <c r="H621" s="96"/>
      <c r="I621" s="96"/>
      <c r="K621" s="97"/>
      <c r="P621" s="35"/>
      <c r="Q621" s="35"/>
      <c r="R621" s="35"/>
      <c r="U621" s="98"/>
      <c r="V621" s="98"/>
      <c r="W621" s="96"/>
      <c r="X621" s="96"/>
    </row>
    <row r="622">
      <c r="H622" s="96"/>
      <c r="I622" s="96"/>
      <c r="K622" s="97"/>
      <c r="P622" s="35"/>
      <c r="Q622" s="35"/>
      <c r="R622" s="35"/>
      <c r="U622" s="98"/>
      <c r="V622" s="98"/>
      <c r="W622" s="96"/>
      <c r="X622" s="96"/>
    </row>
    <row r="623">
      <c r="H623" s="96"/>
      <c r="I623" s="96"/>
      <c r="K623" s="97"/>
      <c r="P623" s="35"/>
      <c r="Q623" s="35"/>
      <c r="R623" s="35"/>
      <c r="U623" s="98"/>
      <c r="V623" s="98"/>
      <c r="W623" s="96"/>
      <c r="X623" s="96"/>
    </row>
    <row r="624">
      <c r="H624" s="96"/>
      <c r="I624" s="96"/>
      <c r="K624" s="97"/>
      <c r="P624" s="35"/>
      <c r="Q624" s="35"/>
      <c r="R624" s="35"/>
      <c r="U624" s="98"/>
      <c r="V624" s="98"/>
      <c r="W624" s="96"/>
      <c r="X624" s="96"/>
    </row>
    <row r="625">
      <c r="H625" s="96"/>
      <c r="I625" s="96"/>
      <c r="K625" s="97"/>
      <c r="P625" s="35"/>
      <c r="Q625" s="35"/>
      <c r="R625" s="35"/>
      <c r="U625" s="98"/>
      <c r="V625" s="98"/>
      <c r="W625" s="96"/>
      <c r="X625" s="96"/>
    </row>
    <row r="626">
      <c r="H626" s="96"/>
      <c r="I626" s="96"/>
      <c r="K626" s="97"/>
      <c r="P626" s="35"/>
      <c r="Q626" s="35"/>
      <c r="R626" s="35"/>
      <c r="U626" s="98"/>
      <c r="V626" s="98"/>
      <c r="W626" s="96"/>
      <c r="X626" s="96"/>
    </row>
    <row r="627">
      <c r="H627" s="96"/>
      <c r="I627" s="96"/>
      <c r="K627" s="97"/>
      <c r="P627" s="35"/>
      <c r="Q627" s="35"/>
      <c r="R627" s="35"/>
      <c r="U627" s="98"/>
      <c r="V627" s="98"/>
      <c r="W627" s="96"/>
      <c r="X627" s="96"/>
    </row>
    <row r="628">
      <c r="H628" s="96"/>
      <c r="I628" s="96"/>
      <c r="K628" s="97"/>
      <c r="P628" s="35"/>
      <c r="Q628" s="35"/>
      <c r="R628" s="35"/>
      <c r="U628" s="98"/>
      <c r="V628" s="98"/>
      <c r="W628" s="96"/>
      <c r="X628" s="96"/>
    </row>
    <row r="629">
      <c r="H629" s="96"/>
      <c r="I629" s="96"/>
      <c r="K629" s="97"/>
      <c r="P629" s="35"/>
      <c r="Q629" s="35"/>
      <c r="R629" s="35"/>
      <c r="U629" s="98"/>
      <c r="V629" s="98"/>
      <c r="W629" s="96"/>
      <c r="X629" s="96"/>
    </row>
    <row r="630">
      <c r="H630" s="96"/>
      <c r="I630" s="96"/>
      <c r="K630" s="97"/>
      <c r="P630" s="35"/>
      <c r="Q630" s="35"/>
      <c r="R630" s="35"/>
      <c r="U630" s="98"/>
      <c r="V630" s="98"/>
      <c r="W630" s="96"/>
      <c r="X630" s="96"/>
    </row>
    <row r="631">
      <c r="H631" s="96"/>
      <c r="I631" s="96"/>
      <c r="K631" s="97"/>
      <c r="P631" s="35"/>
      <c r="Q631" s="35"/>
      <c r="R631" s="35"/>
      <c r="U631" s="98"/>
      <c r="V631" s="98"/>
      <c r="W631" s="96"/>
      <c r="X631" s="96"/>
    </row>
    <row r="632">
      <c r="H632" s="96"/>
      <c r="I632" s="96"/>
      <c r="K632" s="97"/>
      <c r="P632" s="35"/>
      <c r="Q632" s="35"/>
      <c r="R632" s="35"/>
      <c r="U632" s="98"/>
      <c r="V632" s="98"/>
      <c r="W632" s="96"/>
      <c r="X632" s="96"/>
    </row>
    <row r="633">
      <c r="H633" s="96"/>
      <c r="I633" s="96"/>
      <c r="K633" s="97"/>
      <c r="P633" s="35"/>
      <c r="Q633" s="35"/>
      <c r="R633" s="35"/>
      <c r="U633" s="98"/>
      <c r="V633" s="98"/>
      <c r="W633" s="96"/>
      <c r="X633" s="96"/>
    </row>
    <row r="634">
      <c r="H634" s="96"/>
      <c r="I634" s="96"/>
      <c r="K634" s="97"/>
      <c r="P634" s="35"/>
      <c r="Q634" s="35"/>
      <c r="R634" s="35"/>
      <c r="U634" s="98"/>
      <c r="V634" s="98"/>
      <c r="W634" s="96"/>
      <c r="X634" s="96"/>
    </row>
    <row r="635">
      <c r="H635" s="96"/>
      <c r="I635" s="96"/>
      <c r="K635" s="97"/>
      <c r="P635" s="35"/>
      <c r="Q635" s="35"/>
      <c r="R635" s="35"/>
      <c r="U635" s="98"/>
      <c r="V635" s="98"/>
      <c r="W635" s="96"/>
      <c r="X635" s="96"/>
    </row>
    <row r="636">
      <c r="H636" s="96"/>
      <c r="I636" s="96"/>
      <c r="K636" s="97"/>
      <c r="P636" s="35"/>
      <c r="Q636" s="35"/>
      <c r="R636" s="35"/>
      <c r="U636" s="98"/>
      <c r="V636" s="98"/>
      <c r="W636" s="96"/>
      <c r="X636" s="96"/>
    </row>
    <row r="637">
      <c r="H637" s="96"/>
      <c r="I637" s="96"/>
      <c r="K637" s="97"/>
      <c r="P637" s="35"/>
      <c r="Q637" s="35"/>
      <c r="R637" s="35"/>
      <c r="U637" s="98"/>
      <c r="V637" s="98"/>
      <c r="W637" s="96"/>
      <c r="X637" s="96"/>
    </row>
    <row r="638">
      <c r="H638" s="96"/>
      <c r="I638" s="96"/>
      <c r="K638" s="97"/>
      <c r="P638" s="35"/>
      <c r="Q638" s="35"/>
      <c r="R638" s="35"/>
      <c r="U638" s="98"/>
      <c r="V638" s="98"/>
      <c r="W638" s="96"/>
      <c r="X638" s="96"/>
    </row>
    <row r="639">
      <c r="H639" s="96"/>
      <c r="I639" s="96"/>
      <c r="K639" s="97"/>
      <c r="P639" s="35"/>
      <c r="Q639" s="35"/>
      <c r="R639" s="35"/>
      <c r="U639" s="98"/>
      <c r="V639" s="98"/>
      <c r="W639" s="96"/>
      <c r="X639" s="96"/>
    </row>
    <row r="640">
      <c r="H640" s="96"/>
      <c r="I640" s="96"/>
      <c r="K640" s="97"/>
      <c r="P640" s="35"/>
      <c r="Q640" s="35"/>
      <c r="R640" s="35"/>
      <c r="U640" s="98"/>
      <c r="V640" s="98"/>
      <c r="W640" s="96"/>
      <c r="X640" s="96"/>
    </row>
    <row r="641">
      <c r="H641" s="96"/>
      <c r="I641" s="96"/>
      <c r="K641" s="97"/>
      <c r="P641" s="35"/>
      <c r="Q641" s="35"/>
      <c r="R641" s="35"/>
      <c r="U641" s="98"/>
      <c r="V641" s="98"/>
      <c r="W641" s="96"/>
      <c r="X641" s="96"/>
    </row>
    <row r="642">
      <c r="H642" s="96"/>
      <c r="I642" s="96"/>
      <c r="K642" s="97"/>
      <c r="P642" s="35"/>
      <c r="Q642" s="35"/>
      <c r="R642" s="35"/>
      <c r="U642" s="98"/>
      <c r="V642" s="98"/>
      <c r="W642" s="96"/>
      <c r="X642" s="96"/>
    </row>
    <row r="643">
      <c r="H643" s="96"/>
      <c r="I643" s="96"/>
      <c r="K643" s="97"/>
      <c r="P643" s="35"/>
      <c r="Q643" s="35"/>
      <c r="R643" s="35"/>
      <c r="U643" s="98"/>
      <c r="V643" s="98"/>
      <c r="W643" s="96"/>
      <c r="X643" s="96"/>
    </row>
    <row r="644">
      <c r="H644" s="96"/>
      <c r="I644" s="96"/>
      <c r="K644" s="97"/>
      <c r="P644" s="35"/>
      <c r="Q644" s="35"/>
      <c r="R644" s="35"/>
      <c r="U644" s="98"/>
      <c r="V644" s="98"/>
      <c r="W644" s="96"/>
      <c r="X644" s="96"/>
    </row>
    <row r="645">
      <c r="H645" s="96"/>
      <c r="I645" s="96"/>
      <c r="K645" s="97"/>
      <c r="P645" s="35"/>
      <c r="Q645" s="35"/>
      <c r="R645" s="35"/>
      <c r="U645" s="98"/>
      <c r="V645" s="98"/>
      <c r="W645" s="96"/>
      <c r="X645" s="96"/>
    </row>
    <row r="646">
      <c r="H646" s="96"/>
      <c r="I646" s="96"/>
      <c r="K646" s="97"/>
      <c r="P646" s="35"/>
      <c r="Q646" s="35"/>
      <c r="R646" s="35"/>
      <c r="U646" s="98"/>
      <c r="V646" s="98"/>
      <c r="W646" s="96"/>
      <c r="X646" s="96"/>
    </row>
    <row r="647">
      <c r="H647" s="96"/>
      <c r="I647" s="96"/>
      <c r="K647" s="97"/>
      <c r="P647" s="35"/>
      <c r="Q647" s="35"/>
      <c r="R647" s="35"/>
      <c r="U647" s="98"/>
      <c r="V647" s="98"/>
      <c r="W647" s="96"/>
      <c r="X647" s="96"/>
    </row>
    <row r="648">
      <c r="H648" s="96"/>
      <c r="I648" s="96"/>
      <c r="K648" s="97"/>
      <c r="P648" s="35"/>
      <c r="Q648" s="35"/>
      <c r="R648" s="35"/>
      <c r="U648" s="98"/>
      <c r="V648" s="98"/>
      <c r="W648" s="96"/>
      <c r="X648" s="96"/>
    </row>
    <row r="649">
      <c r="H649" s="96"/>
      <c r="I649" s="96"/>
      <c r="K649" s="97"/>
      <c r="P649" s="35"/>
      <c r="Q649" s="35"/>
      <c r="R649" s="35"/>
      <c r="U649" s="98"/>
      <c r="V649" s="98"/>
      <c r="W649" s="96"/>
      <c r="X649" s="96"/>
    </row>
    <row r="650">
      <c r="H650" s="96"/>
      <c r="I650" s="96"/>
      <c r="K650" s="97"/>
      <c r="P650" s="35"/>
      <c r="Q650" s="35"/>
      <c r="R650" s="35"/>
      <c r="U650" s="98"/>
      <c r="V650" s="98"/>
      <c r="W650" s="96"/>
      <c r="X650" s="96"/>
    </row>
    <row r="651">
      <c r="H651" s="96"/>
      <c r="I651" s="96"/>
      <c r="K651" s="97"/>
      <c r="P651" s="35"/>
      <c r="Q651" s="35"/>
      <c r="R651" s="35"/>
      <c r="U651" s="98"/>
      <c r="V651" s="98"/>
      <c r="W651" s="96"/>
      <c r="X651" s="96"/>
    </row>
    <row r="652">
      <c r="H652" s="96"/>
      <c r="I652" s="96"/>
      <c r="K652" s="97"/>
      <c r="P652" s="35"/>
      <c r="Q652" s="35"/>
      <c r="R652" s="35"/>
      <c r="U652" s="98"/>
      <c r="V652" s="98"/>
      <c r="W652" s="96"/>
      <c r="X652" s="96"/>
    </row>
    <row r="653">
      <c r="H653" s="96"/>
      <c r="I653" s="96"/>
      <c r="K653" s="97"/>
      <c r="P653" s="35"/>
      <c r="Q653" s="35"/>
      <c r="R653" s="35"/>
      <c r="U653" s="98"/>
      <c r="V653" s="98"/>
      <c r="W653" s="96"/>
      <c r="X653" s="96"/>
    </row>
    <row r="654">
      <c r="H654" s="96"/>
      <c r="I654" s="96"/>
      <c r="K654" s="97"/>
      <c r="P654" s="35"/>
      <c r="Q654" s="35"/>
      <c r="R654" s="35"/>
      <c r="U654" s="98"/>
      <c r="V654" s="98"/>
      <c r="W654" s="96"/>
      <c r="X654" s="96"/>
    </row>
    <row r="655">
      <c r="H655" s="96"/>
      <c r="I655" s="96"/>
      <c r="K655" s="97"/>
      <c r="P655" s="35"/>
      <c r="Q655" s="35"/>
      <c r="R655" s="35"/>
      <c r="U655" s="98"/>
      <c r="V655" s="98"/>
      <c r="W655" s="96"/>
      <c r="X655" s="96"/>
    </row>
    <row r="656">
      <c r="H656" s="96"/>
      <c r="I656" s="96"/>
      <c r="K656" s="97"/>
      <c r="P656" s="35"/>
      <c r="Q656" s="35"/>
      <c r="R656" s="35"/>
      <c r="U656" s="98"/>
      <c r="V656" s="98"/>
      <c r="W656" s="96"/>
      <c r="X656" s="96"/>
    </row>
    <row r="657">
      <c r="H657" s="96"/>
      <c r="I657" s="96"/>
      <c r="K657" s="97"/>
      <c r="P657" s="35"/>
      <c r="Q657" s="35"/>
      <c r="R657" s="35"/>
      <c r="U657" s="98"/>
      <c r="V657" s="98"/>
      <c r="W657" s="96"/>
      <c r="X657" s="96"/>
    </row>
    <row r="658">
      <c r="H658" s="96"/>
      <c r="I658" s="96"/>
      <c r="K658" s="97"/>
      <c r="P658" s="35"/>
      <c r="Q658" s="35"/>
      <c r="R658" s="35"/>
      <c r="U658" s="98"/>
      <c r="V658" s="98"/>
      <c r="W658" s="96"/>
      <c r="X658" s="96"/>
    </row>
    <row r="659">
      <c r="H659" s="96"/>
      <c r="I659" s="96"/>
      <c r="K659" s="97"/>
      <c r="P659" s="35"/>
      <c r="Q659" s="35"/>
      <c r="R659" s="35"/>
      <c r="U659" s="98"/>
      <c r="V659" s="98"/>
      <c r="W659" s="96"/>
      <c r="X659" s="96"/>
    </row>
    <row r="660">
      <c r="H660" s="96"/>
      <c r="I660" s="96"/>
      <c r="K660" s="97"/>
      <c r="P660" s="35"/>
      <c r="Q660" s="35"/>
      <c r="R660" s="35"/>
      <c r="U660" s="98"/>
      <c r="V660" s="98"/>
      <c r="W660" s="96"/>
      <c r="X660" s="96"/>
    </row>
    <row r="661">
      <c r="H661" s="96"/>
      <c r="I661" s="96"/>
      <c r="K661" s="97"/>
      <c r="P661" s="35"/>
      <c r="Q661" s="35"/>
      <c r="R661" s="35"/>
      <c r="U661" s="98"/>
      <c r="V661" s="98"/>
      <c r="W661" s="96"/>
      <c r="X661" s="96"/>
    </row>
    <row r="662">
      <c r="H662" s="96"/>
      <c r="I662" s="96"/>
      <c r="K662" s="97"/>
      <c r="P662" s="35"/>
      <c r="Q662" s="35"/>
      <c r="R662" s="35"/>
      <c r="U662" s="98"/>
      <c r="V662" s="98"/>
      <c r="W662" s="96"/>
      <c r="X662" s="96"/>
    </row>
    <row r="663">
      <c r="H663" s="96"/>
      <c r="I663" s="96"/>
      <c r="K663" s="97"/>
      <c r="P663" s="35"/>
      <c r="Q663" s="35"/>
      <c r="R663" s="35"/>
      <c r="U663" s="98"/>
      <c r="V663" s="98"/>
      <c r="W663" s="96"/>
      <c r="X663" s="96"/>
    </row>
    <row r="664">
      <c r="H664" s="96"/>
      <c r="I664" s="96"/>
      <c r="K664" s="97"/>
      <c r="P664" s="35"/>
      <c r="Q664" s="35"/>
      <c r="R664" s="35"/>
      <c r="U664" s="98"/>
      <c r="V664" s="98"/>
      <c r="W664" s="96"/>
      <c r="X664" s="96"/>
    </row>
    <row r="665">
      <c r="H665" s="96"/>
      <c r="I665" s="96"/>
      <c r="K665" s="97"/>
      <c r="P665" s="35"/>
      <c r="Q665" s="35"/>
      <c r="R665" s="35"/>
      <c r="U665" s="98"/>
      <c r="V665" s="98"/>
      <c r="W665" s="96"/>
      <c r="X665" s="96"/>
    </row>
    <row r="666">
      <c r="H666" s="96"/>
      <c r="I666" s="96"/>
      <c r="K666" s="97"/>
      <c r="P666" s="35"/>
      <c r="Q666" s="35"/>
      <c r="R666" s="35"/>
      <c r="U666" s="98"/>
      <c r="V666" s="98"/>
      <c r="W666" s="96"/>
      <c r="X666" s="96"/>
    </row>
    <row r="667">
      <c r="H667" s="96"/>
      <c r="I667" s="96"/>
      <c r="K667" s="97"/>
      <c r="P667" s="35"/>
      <c r="Q667" s="35"/>
      <c r="R667" s="35"/>
      <c r="U667" s="98"/>
      <c r="V667" s="98"/>
      <c r="W667" s="96"/>
      <c r="X667" s="96"/>
    </row>
    <row r="668">
      <c r="H668" s="96"/>
      <c r="I668" s="96"/>
      <c r="K668" s="97"/>
      <c r="P668" s="35"/>
      <c r="Q668" s="35"/>
      <c r="R668" s="35"/>
      <c r="U668" s="98"/>
      <c r="V668" s="98"/>
      <c r="W668" s="96"/>
      <c r="X668" s="96"/>
    </row>
    <row r="669">
      <c r="H669" s="96"/>
      <c r="I669" s="96"/>
      <c r="K669" s="97"/>
      <c r="P669" s="35"/>
      <c r="Q669" s="35"/>
      <c r="R669" s="35"/>
      <c r="U669" s="98"/>
      <c r="V669" s="98"/>
      <c r="W669" s="96"/>
      <c r="X669" s="96"/>
    </row>
    <row r="670">
      <c r="H670" s="96"/>
      <c r="I670" s="96"/>
      <c r="K670" s="97"/>
      <c r="P670" s="35"/>
      <c r="Q670" s="35"/>
      <c r="R670" s="35"/>
      <c r="U670" s="98"/>
      <c r="V670" s="98"/>
      <c r="W670" s="96"/>
      <c r="X670" s="96"/>
    </row>
    <row r="671">
      <c r="H671" s="96"/>
      <c r="I671" s="96"/>
      <c r="K671" s="97"/>
      <c r="P671" s="35"/>
      <c r="Q671" s="35"/>
      <c r="R671" s="35"/>
      <c r="U671" s="98"/>
      <c r="V671" s="98"/>
      <c r="W671" s="96"/>
      <c r="X671" s="96"/>
    </row>
    <row r="672">
      <c r="H672" s="96"/>
      <c r="I672" s="96"/>
      <c r="K672" s="97"/>
      <c r="P672" s="35"/>
      <c r="Q672" s="35"/>
      <c r="R672" s="35"/>
      <c r="U672" s="98"/>
      <c r="V672" s="98"/>
      <c r="W672" s="96"/>
      <c r="X672" s="96"/>
    </row>
    <row r="673">
      <c r="H673" s="96"/>
      <c r="I673" s="96"/>
      <c r="K673" s="97"/>
      <c r="P673" s="35"/>
      <c r="Q673" s="35"/>
      <c r="R673" s="35"/>
      <c r="U673" s="98"/>
      <c r="V673" s="98"/>
      <c r="W673" s="96"/>
      <c r="X673" s="96"/>
    </row>
    <row r="674">
      <c r="H674" s="96"/>
      <c r="I674" s="96"/>
      <c r="K674" s="97"/>
      <c r="P674" s="35"/>
      <c r="Q674" s="35"/>
      <c r="R674" s="35"/>
      <c r="U674" s="98"/>
      <c r="V674" s="98"/>
      <c r="W674" s="96"/>
      <c r="X674" s="96"/>
    </row>
    <row r="675">
      <c r="H675" s="96"/>
      <c r="I675" s="96"/>
      <c r="K675" s="97"/>
      <c r="P675" s="35"/>
      <c r="Q675" s="35"/>
      <c r="R675" s="35"/>
      <c r="U675" s="98"/>
      <c r="V675" s="98"/>
      <c r="W675" s="96"/>
      <c r="X675" s="96"/>
    </row>
    <row r="676">
      <c r="H676" s="96"/>
      <c r="I676" s="96"/>
      <c r="K676" s="97"/>
      <c r="P676" s="35"/>
      <c r="Q676" s="35"/>
      <c r="R676" s="35"/>
      <c r="U676" s="98"/>
      <c r="V676" s="98"/>
      <c r="W676" s="96"/>
      <c r="X676" s="96"/>
    </row>
    <row r="677">
      <c r="H677" s="96"/>
      <c r="I677" s="96"/>
      <c r="K677" s="97"/>
      <c r="P677" s="35"/>
      <c r="Q677" s="35"/>
      <c r="R677" s="35"/>
      <c r="U677" s="98"/>
      <c r="V677" s="98"/>
      <c r="W677" s="96"/>
      <c r="X677" s="96"/>
    </row>
    <row r="678">
      <c r="H678" s="96"/>
      <c r="I678" s="96"/>
      <c r="K678" s="97"/>
      <c r="P678" s="35"/>
      <c r="Q678" s="35"/>
      <c r="R678" s="35"/>
      <c r="U678" s="98"/>
      <c r="V678" s="98"/>
      <c r="W678" s="96"/>
      <c r="X678" s="96"/>
    </row>
    <row r="679">
      <c r="H679" s="96"/>
      <c r="I679" s="96"/>
      <c r="K679" s="97"/>
      <c r="P679" s="35"/>
      <c r="Q679" s="35"/>
      <c r="R679" s="35"/>
      <c r="U679" s="98"/>
      <c r="V679" s="98"/>
      <c r="W679" s="96"/>
      <c r="X679" s="96"/>
    </row>
    <row r="680">
      <c r="H680" s="96"/>
      <c r="I680" s="96"/>
      <c r="K680" s="97"/>
      <c r="P680" s="35"/>
      <c r="Q680" s="35"/>
      <c r="R680" s="35"/>
      <c r="U680" s="98"/>
      <c r="V680" s="98"/>
      <c r="W680" s="96"/>
      <c r="X680" s="96"/>
    </row>
    <row r="681">
      <c r="H681" s="96"/>
      <c r="I681" s="96"/>
      <c r="K681" s="97"/>
      <c r="P681" s="35"/>
      <c r="Q681" s="35"/>
      <c r="R681" s="35"/>
      <c r="U681" s="98"/>
      <c r="V681" s="98"/>
      <c r="W681" s="96"/>
      <c r="X681" s="96"/>
    </row>
    <row r="682">
      <c r="H682" s="96"/>
      <c r="I682" s="96"/>
      <c r="K682" s="97"/>
      <c r="P682" s="35"/>
      <c r="Q682" s="35"/>
      <c r="R682" s="35"/>
      <c r="U682" s="98"/>
      <c r="V682" s="98"/>
      <c r="W682" s="96"/>
      <c r="X682" s="96"/>
    </row>
    <row r="683">
      <c r="H683" s="96"/>
      <c r="I683" s="96"/>
      <c r="K683" s="97"/>
      <c r="P683" s="35"/>
      <c r="Q683" s="35"/>
      <c r="R683" s="35"/>
      <c r="U683" s="98"/>
      <c r="V683" s="98"/>
      <c r="W683" s="96"/>
      <c r="X683" s="96"/>
    </row>
    <row r="684">
      <c r="H684" s="96"/>
      <c r="I684" s="96"/>
      <c r="K684" s="97"/>
      <c r="P684" s="35"/>
      <c r="Q684" s="35"/>
      <c r="R684" s="35"/>
      <c r="U684" s="98"/>
      <c r="V684" s="98"/>
      <c r="W684" s="96"/>
      <c r="X684" s="96"/>
    </row>
    <row r="685">
      <c r="H685" s="96"/>
      <c r="I685" s="96"/>
      <c r="K685" s="97"/>
      <c r="P685" s="35"/>
      <c r="Q685" s="35"/>
      <c r="R685" s="35"/>
      <c r="U685" s="98"/>
      <c r="V685" s="98"/>
      <c r="W685" s="96"/>
      <c r="X685" s="96"/>
    </row>
    <row r="686">
      <c r="H686" s="96"/>
      <c r="I686" s="96"/>
      <c r="K686" s="97"/>
      <c r="P686" s="35"/>
      <c r="Q686" s="35"/>
      <c r="R686" s="35"/>
      <c r="U686" s="98"/>
      <c r="V686" s="98"/>
      <c r="W686" s="96"/>
      <c r="X686" s="96"/>
    </row>
    <row r="687">
      <c r="H687" s="96"/>
      <c r="I687" s="96"/>
      <c r="K687" s="97"/>
      <c r="P687" s="35"/>
      <c r="Q687" s="35"/>
      <c r="R687" s="35"/>
      <c r="U687" s="98"/>
      <c r="V687" s="98"/>
      <c r="W687" s="96"/>
      <c r="X687" s="96"/>
    </row>
    <row r="688">
      <c r="H688" s="96"/>
      <c r="I688" s="96"/>
      <c r="K688" s="97"/>
      <c r="P688" s="35"/>
      <c r="Q688" s="35"/>
      <c r="R688" s="35"/>
      <c r="U688" s="98"/>
      <c r="V688" s="98"/>
      <c r="W688" s="96"/>
      <c r="X688" s="96"/>
    </row>
    <row r="689">
      <c r="H689" s="96"/>
      <c r="I689" s="96"/>
      <c r="K689" s="97"/>
      <c r="P689" s="35"/>
      <c r="Q689" s="35"/>
      <c r="R689" s="35"/>
      <c r="U689" s="98"/>
      <c r="V689" s="98"/>
      <c r="W689" s="96"/>
      <c r="X689" s="96"/>
    </row>
    <row r="690">
      <c r="H690" s="96"/>
      <c r="I690" s="96"/>
      <c r="K690" s="97"/>
      <c r="P690" s="35"/>
      <c r="Q690" s="35"/>
      <c r="R690" s="35"/>
      <c r="U690" s="98"/>
      <c r="V690" s="98"/>
      <c r="W690" s="96"/>
      <c r="X690" s="96"/>
    </row>
    <row r="691">
      <c r="H691" s="96"/>
      <c r="I691" s="96"/>
      <c r="K691" s="97"/>
      <c r="P691" s="35"/>
      <c r="Q691" s="35"/>
      <c r="R691" s="35"/>
      <c r="U691" s="98"/>
      <c r="V691" s="98"/>
      <c r="W691" s="96"/>
      <c r="X691" s="96"/>
    </row>
    <row r="692">
      <c r="H692" s="96"/>
      <c r="I692" s="96"/>
      <c r="K692" s="97"/>
      <c r="P692" s="35"/>
      <c r="Q692" s="35"/>
      <c r="R692" s="35"/>
      <c r="U692" s="98"/>
      <c r="V692" s="98"/>
      <c r="W692" s="96"/>
      <c r="X692" s="96"/>
    </row>
    <row r="693">
      <c r="H693" s="96"/>
      <c r="I693" s="96"/>
      <c r="K693" s="97"/>
      <c r="P693" s="35"/>
      <c r="Q693" s="35"/>
      <c r="R693" s="35"/>
      <c r="U693" s="98"/>
      <c r="V693" s="98"/>
      <c r="W693" s="96"/>
      <c r="X693" s="96"/>
    </row>
    <row r="694">
      <c r="H694" s="96"/>
      <c r="I694" s="96"/>
      <c r="K694" s="97"/>
      <c r="P694" s="35"/>
      <c r="Q694" s="35"/>
      <c r="R694" s="35"/>
      <c r="U694" s="98"/>
      <c r="V694" s="98"/>
      <c r="W694" s="96"/>
      <c r="X694" s="96"/>
    </row>
    <row r="695">
      <c r="H695" s="96"/>
      <c r="I695" s="96"/>
      <c r="K695" s="97"/>
      <c r="P695" s="35"/>
      <c r="Q695" s="35"/>
      <c r="R695" s="35"/>
      <c r="U695" s="98"/>
      <c r="V695" s="98"/>
      <c r="W695" s="96"/>
      <c r="X695" s="96"/>
    </row>
    <row r="696">
      <c r="H696" s="96"/>
      <c r="I696" s="96"/>
      <c r="K696" s="97"/>
      <c r="P696" s="35"/>
      <c r="Q696" s="35"/>
      <c r="R696" s="35"/>
      <c r="U696" s="98"/>
      <c r="V696" s="98"/>
      <c r="W696" s="96"/>
      <c r="X696" s="96"/>
    </row>
    <row r="697">
      <c r="H697" s="96"/>
      <c r="I697" s="96"/>
      <c r="K697" s="97"/>
      <c r="P697" s="35"/>
      <c r="Q697" s="35"/>
      <c r="R697" s="35"/>
      <c r="U697" s="98"/>
      <c r="V697" s="98"/>
      <c r="W697" s="96"/>
      <c r="X697" s="96"/>
    </row>
    <row r="698">
      <c r="H698" s="96"/>
      <c r="I698" s="96"/>
      <c r="K698" s="97"/>
      <c r="P698" s="35"/>
      <c r="Q698" s="35"/>
      <c r="R698" s="35"/>
      <c r="U698" s="98"/>
      <c r="V698" s="98"/>
      <c r="W698" s="96"/>
      <c r="X698" s="96"/>
    </row>
    <row r="699">
      <c r="H699" s="96"/>
      <c r="I699" s="96"/>
      <c r="K699" s="97"/>
      <c r="P699" s="35"/>
      <c r="Q699" s="35"/>
      <c r="R699" s="35"/>
      <c r="U699" s="98"/>
      <c r="V699" s="98"/>
      <c r="W699" s="96"/>
      <c r="X699" s="96"/>
    </row>
    <row r="700">
      <c r="H700" s="96"/>
      <c r="I700" s="96"/>
      <c r="K700" s="97"/>
      <c r="P700" s="35"/>
      <c r="Q700" s="35"/>
      <c r="R700" s="35"/>
      <c r="U700" s="98"/>
      <c r="V700" s="98"/>
      <c r="W700" s="96"/>
      <c r="X700" s="96"/>
    </row>
    <row r="701">
      <c r="H701" s="96"/>
      <c r="I701" s="96"/>
      <c r="K701" s="97"/>
      <c r="P701" s="35"/>
      <c r="Q701" s="35"/>
      <c r="R701" s="35"/>
      <c r="U701" s="98"/>
      <c r="V701" s="98"/>
      <c r="W701" s="96"/>
      <c r="X701" s="96"/>
    </row>
    <row r="702">
      <c r="H702" s="96"/>
      <c r="I702" s="96"/>
      <c r="K702" s="97"/>
      <c r="P702" s="35"/>
      <c r="Q702" s="35"/>
      <c r="R702" s="35"/>
      <c r="U702" s="98"/>
      <c r="V702" s="98"/>
      <c r="W702" s="96"/>
      <c r="X702" s="96"/>
    </row>
    <row r="703">
      <c r="H703" s="96"/>
      <c r="I703" s="96"/>
      <c r="K703" s="97"/>
      <c r="P703" s="35"/>
      <c r="Q703" s="35"/>
      <c r="R703" s="35"/>
      <c r="U703" s="98"/>
      <c r="V703" s="98"/>
      <c r="W703" s="96"/>
      <c r="X703" s="96"/>
    </row>
    <row r="704">
      <c r="H704" s="96"/>
      <c r="I704" s="96"/>
      <c r="K704" s="97"/>
      <c r="P704" s="35"/>
      <c r="Q704" s="35"/>
      <c r="R704" s="35"/>
      <c r="U704" s="98"/>
      <c r="V704" s="98"/>
      <c r="W704" s="96"/>
      <c r="X704" s="96"/>
    </row>
    <row r="705">
      <c r="H705" s="96"/>
      <c r="I705" s="96"/>
      <c r="K705" s="97"/>
      <c r="P705" s="35"/>
      <c r="Q705" s="35"/>
      <c r="R705" s="35"/>
      <c r="U705" s="98"/>
      <c r="V705" s="98"/>
      <c r="W705" s="96"/>
      <c r="X705" s="96"/>
    </row>
    <row r="706">
      <c r="H706" s="96"/>
      <c r="I706" s="96"/>
      <c r="K706" s="97"/>
      <c r="P706" s="35"/>
      <c r="Q706" s="35"/>
      <c r="R706" s="35"/>
      <c r="U706" s="98"/>
      <c r="V706" s="98"/>
      <c r="W706" s="96"/>
      <c r="X706" s="96"/>
    </row>
    <row r="707">
      <c r="H707" s="96"/>
      <c r="I707" s="96"/>
      <c r="K707" s="97"/>
      <c r="P707" s="35"/>
      <c r="Q707" s="35"/>
      <c r="R707" s="35"/>
      <c r="U707" s="98"/>
      <c r="V707" s="98"/>
      <c r="W707" s="96"/>
      <c r="X707" s="96"/>
    </row>
    <row r="708">
      <c r="H708" s="96"/>
      <c r="I708" s="96"/>
      <c r="K708" s="97"/>
      <c r="P708" s="35"/>
      <c r="Q708" s="35"/>
      <c r="R708" s="35"/>
      <c r="U708" s="98"/>
      <c r="V708" s="98"/>
      <c r="W708" s="96"/>
      <c r="X708" s="96"/>
    </row>
    <row r="709">
      <c r="H709" s="96"/>
      <c r="I709" s="96"/>
      <c r="K709" s="97"/>
      <c r="P709" s="35"/>
      <c r="Q709" s="35"/>
      <c r="R709" s="35"/>
      <c r="U709" s="98"/>
      <c r="V709" s="98"/>
      <c r="W709" s="96"/>
      <c r="X709" s="96"/>
    </row>
    <row r="710">
      <c r="H710" s="96"/>
      <c r="I710" s="96"/>
      <c r="K710" s="97"/>
      <c r="P710" s="35"/>
      <c r="Q710" s="35"/>
      <c r="R710" s="35"/>
      <c r="U710" s="98"/>
      <c r="V710" s="98"/>
      <c r="W710" s="96"/>
      <c r="X710" s="96"/>
    </row>
    <row r="711">
      <c r="H711" s="96"/>
      <c r="I711" s="96"/>
      <c r="K711" s="97"/>
      <c r="P711" s="35"/>
      <c r="Q711" s="35"/>
      <c r="R711" s="35"/>
      <c r="U711" s="98"/>
      <c r="V711" s="98"/>
      <c r="W711" s="96"/>
      <c r="X711" s="96"/>
    </row>
    <row r="712">
      <c r="H712" s="96"/>
      <c r="I712" s="96"/>
      <c r="K712" s="97"/>
      <c r="P712" s="35"/>
      <c r="Q712" s="35"/>
      <c r="R712" s="35"/>
      <c r="U712" s="98"/>
      <c r="V712" s="98"/>
      <c r="W712" s="96"/>
      <c r="X712" s="96"/>
    </row>
    <row r="713">
      <c r="H713" s="96"/>
      <c r="I713" s="96"/>
      <c r="K713" s="97"/>
      <c r="P713" s="35"/>
      <c r="Q713" s="35"/>
      <c r="R713" s="35"/>
      <c r="U713" s="98"/>
      <c r="V713" s="98"/>
      <c r="W713" s="96"/>
      <c r="X713" s="96"/>
    </row>
    <row r="714">
      <c r="H714" s="96"/>
      <c r="I714" s="96"/>
      <c r="K714" s="97"/>
      <c r="P714" s="35"/>
      <c r="Q714" s="35"/>
      <c r="R714" s="35"/>
      <c r="U714" s="98"/>
      <c r="V714" s="98"/>
      <c r="W714" s="96"/>
      <c r="X714" s="96"/>
    </row>
    <row r="715">
      <c r="H715" s="96"/>
      <c r="I715" s="96"/>
      <c r="K715" s="97"/>
      <c r="P715" s="35"/>
      <c r="Q715" s="35"/>
      <c r="R715" s="35"/>
      <c r="U715" s="98"/>
      <c r="V715" s="98"/>
      <c r="W715" s="96"/>
      <c r="X715" s="96"/>
    </row>
    <row r="716">
      <c r="H716" s="96"/>
      <c r="I716" s="96"/>
      <c r="K716" s="97"/>
      <c r="P716" s="35"/>
      <c r="Q716" s="35"/>
      <c r="R716" s="35"/>
      <c r="U716" s="98"/>
      <c r="V716" s="98"/>
      <c r="W716" s="96"/>
      <c r="X716" s="96"/>
    </row>
    <row r="717">
      <c r="H717" s="96"/>
      <c r="I717" s="96"/>
      <c r="K717" s="97"/>
      <c r="P717" s="35"/>
      <c r="Q717" s="35"/>
      <c r="R717" s="35"/>
      <c r="U717" s="98"/>
      <c r="V717" s="98"/>
      <c r="W717" s="96"/>
      <c r="X717" s="96"/>
    </row>
    <row r="718">
      <c r="H718" s="96"/>
      <c r="I718" s="96"/>
      <c r="K718" s="97"/>
      <c r="P718" s="35"/>
      <c r="Q718" s="35"/>
      <c r="R718" s="35"/>
      <c r="U718" s="98"/>
      <c r="V718" s="98"/>
      <c r="W718" s="96"/>
      <c r="X718" s="96"/>
    </row>
    <row r="719">
      <c r="H719" s="96"/>
      <c r="I719" s="96"/>
      <c r="K719" s="97"/>
      <c r="P719" s="35"/>
      <c r="Q719" s="35"/>
      <c r="R719" s="35"/>
      <c r="U719" s="98"/>
      <c r="V719" s="98"/>
      <c r="W719" s="96"/>
      <c r="X719" s="96"/>
    </row>
    <row r="720">
      <c r="H720" s="96"/>
      <c r="I720" s="96"/>
      <c r="K720" s="97"/>
      <c r="P720" s="35"/>
      <c r="Q720" s="35"/>
      <c r="R720" s="35"/>
      <c r="U720" s="98"/>
      <c r="V720" s="98"/>
      <c r="W720" s="96"/>
      <c r="X720" s="96"/>
    </row>
    <row r="721">
      <c r="H721" s="96"/>
      <c r="I721" s="96"/>
      <c r="K721" s="97"/>
      <c r="P721" s="35"/>
      <c r="Q721" s="35"/>
      <c r="R721" s="35"/>
      <c r="U721" s="98"/>
      <c r="V721" s="98"/>
      <c r="W721" s="96"/>
      <c r="X721" s="96"/>
    </row>
    <row r="722">
      <c r="H722" s="96"/>
      <c r="I722" s="96"/>
      <c r="K722" s="97"/>
      <c r="P722" s="35"/>
      <c r="Q722" s="35"/>
      <c r="R722" s="35"/>
      <c r="U722" s="98"/>
      <c r="V722" s="98"/>
      <c r="W722" s="96"/>
      <c r="X722" s="96"/>
    </row>
    <row r="723">
      <c r="H723" s="96"/>
      <c r="I723" s="96"/>
      <c r="K723" s="97"/>
      <c r="P723" s="35"/>
      <c r="Q723" s="35"/>
      <c r="R723" s="35"/>
      <c r="U723" s="98"/>
      <c r="V723" s="98"/>
      <c r="W723" s="96"/>
      <c r="X723" s="96"/>
    </row>
    <row r="724">
      <c r="H724" s="96"/>
      <c r="I724" s="96"/>
      <c r="K724" s="97"/>
      <c r="P724" s="35"/>
      <c r="Q724" s="35"/>
      <c r="R724" s="35"/>
      <c r="U724" s="98"/>
      <c r="V724" s="98"/>
      <c r="W724" s="96"/>
      <c r="X724" s="96"/>
    </row>
    <row r="725">
      <c r="H725" s="96"/>
      <c r="I725" s="96"/>
      <c r="K725" s="97"/>
      <c r="P725" s="35"/>
      <c r="Q725" s="35"/>
      <c r="R725" s="35"/>
      <c r="U725" s="98"/>
      <c r="V725" s="98"/>
      <c r="W725" s="96"/>
      <c r="X725" s="96"/>
    </row>
    <row r="726">
      <c r="H726" s="96"/>
      <c r="I726" s="96"/>
      <c r="K726" s="97"/>
      <c r="P726" s="35"/>
      <c r="Q726" s="35"/>
      <c r="R726" s="35"/>
      <c r="U726" s="98"/>
      <c r="V726" s="98"/>
      <c r="W726" s="96"/>
      <c r="X726" s="96"/>
    </row>
    <row r="727">
      <c r="H727" s="96"/>
      <c r="I727" s="96"/>
      <c r="K727" s="97"/>
      <c r="P727" s="35"/>
      <c r="Q727" s="35"/>
      <c r="R727" s="35"/>
      <c r="U727" s="98"/>
      <c r="V727" s="98"/>
      <c r="W727" s="96"/>
      <c r="X727" s="96"/>
    </row>
    <row r="728">
      <c r="H728" s="96"/>
      <c r="I728" s="96"/>
      <c r="K728" s="97"/>
      <c r="P728" s="35"/>
      <c r="Q728" s="35"/>
      <c r="R728" s="35"/>
      <c r="U728" s="98"/>
      <c r="V728" s="98"/>
      <c r="W728" s="96"/>
      <c r="X728" s="96"/>
    </row>
    <row r="729">
      <c r="H729" s="96"/>
      <c r="I729" s="96"/>
      <c r="K729" s="97"/>
      <c r="P729" s="35"/>
      <c r="Q729" s="35"/>
      <c r="R729" s="35"/>
      <c r="U729" s="98"/>
      <c r="V729" s="98"/>
      <c r="W729" s="96"/>
      <c r="X729" s="96"/>
    </row>
    <row r="730">
      <c r="H730" s="96"/>
      <c r="I730" s="96"/>
      <c r="K730" s="97"/>
      <c r="P730" s="35"/>
      <c r="Q730" s="35"/>
      <c r="R730" s="35"/>
      <c r="U730" s="98"/>
      <c r="V730" s="98"/>
      <c r="W730" s="96"/>
      <c r="X730" s="96"/>
    </row>
    <row r="731">
      <c r="H731" s="96"/>
      <c r="I731" s="96"/>
      <c r="K731" s="97"/>
      <c r="P731" s="35"/>
      <c r="Q731" s="35"/>
      <c r="R731" s="35"/>
      <c r="U731" s="98"/>
      <c r="V731" s="98"/>
      <c r="W731" s="96"/>
      <c r="X731" s="96"/>
    </row>
    <row r="732">
      <c r="H732" s="96"/>
      <c r="I732" s="96"/>
      <c r="K732" s="97"/>
      <c r="P732" s="35"/>
      <c r="Q732" s="35"/>
      <c r="R732" s="35"/>
      <c r="U732" s="98"/>
      <c r="V732" s="98"/>
      <c r="W732" s="96"/>
      <c r="X732" s="96"/>
    </row>
    <row r="733">
      <c r="H733" s="96"/>
      <c r="I733" s="96"/>
      <c r="K733" s="97"/>
      <c r="P733" s="35"/>
      <c r="Q733" s="35"/>
      <c r="R733" s="35"/>
      <c r="U733" s="98"/>
      <c r="V733" s="98"/>
      <c r="W733" s="96"/>
      <c r="X733" s="96"/>
    </row>
    <row r="734">
      <c r="H734" s="96"/>
      <c r="I734" s="96"/>
      <c r="K734" s="97"/>
      <c r="P734" s="35"/>
      <c r="Q734" s="35"/>
      <c r="R734" s="35"/>
      <c r="U734" s="98"/>
      <c r="V734" s="98"/>
      <c r="W734" s="96"/>
      <c r="X734" s="96"/>
    </row>
    <row r="735">
      <c r="H735" s="96"/>
      <c r="I735" s="96"/>
      <c r="K735" s="97"/>
      <c r="P735" s="35"/>
      <c r="Q735" s="35"/>
      <c r="R735" s="35"/>
      <c r="U735" s="98"/>
      <c r="V735" s="98"/>
      <c r="W735" s="96"/>
      <c r="X735" s="96"/>
    </row>
    <row r="736">
      <c r="H736" s="96"/>
      <c r="I736" s="96"/>
      <c r="K736" s="97"/>
      <c r="P736" s="35"/>
      <c r="Q736" s="35"/>
      <c r="R736" s="35"/>
      <c r="U736" s="98"/>
      <c r="V736" s="98"/>
      <c r="W736" s="96"/>
      <c r="X736" s="96"/>
    </row>
    <row r="737">
      <c r="H737" s="96"/>
      <c r="I737" s="96"/>
      <c r="K737" s="97"/>
      <c r="P737" s="35"/>
      <c r="Q737" s="35"/>
      <c r="R737" s="35"/>
      <c r="U737" s="98"/>
      <c r="V737" s="98"/>
      <c r="W737" s="96"/>
      <c r="X737" s="96"/>
    </row>
    <row r="738">
      <c r="H738" s="96"/>
      <c r="I738" s="96"/>
      <c r="K738" s="97"/>
      <c r="P738" s="35"/>
      <c r="Q738" s="35"/>
      <c r="R738" s="35"/>
      <c r="U738" s="98"/>
      <c r="V738" s="98"/>
      <c r="W738" s="96"/>
      <c r="X738" s="96"/>
    </row>
    <row r="739">
      <c r="H739" s="96"/>
      <c r="I739" s="96"/>
      <c r="K739" s="97"/>
      <c r="P739" s="35"/>
      <c r="Q739" s="35"/>
      <c r="R739" s="35"/>
      <c r="U739" s="98"/>
      <c r="V739" s="98"/>
      <c r="W739" s="96"/>
      <c r="X739" s="96"/>
    </row>
    <row r="740">
      <c r="H740" s="96"/>
      <c r="I740" s="96"/>
      <c r="K740" s="97"/>
      <c r="P740" s="35"/>
      <c r="Q740" s="35"/>
      <c r="R740" s="35"/>
      <c r="U740" s="98"/>
      <c r="V740" s="98"/>
      <c r="W740" s="96"/>
      <c r="X740" s="96"/>
    </row>
    <row r="741">
      <c r="H741" s="96"/>
      <c r="I741" s="96"/>
      <c r="K741" s="97"/>
      <c r="P741" s="35"/>
      <c r="Q741" s="35"/>
      <c r="R741" s="35"/>
      <c r="U741" s="98"/>
      <c r="V741" s="98"/>
      <c r="W741" s="96"/>
      <c r="X741" s="96"/>
    </row>
    <row r="742">
      <c r="H742" s="96"/>
      <c r="I742" s="96"/>
      <c r="K742" s="97"/>
      <c r="P742" s="35"/>
      <c r="Q742" s="35"/>
      <c r="R742" s="35"/>
      <c r="U742" s="98"/>
      <c r="V742" s="98"/>
      <c r="W742" s="96"/>
      <c r="X742" s="96"/>
    </row>
    <row r="743">
      <c r="H743" s="96"/>
      <c r="I743" s="96"/>
      <c r="K743" s="97"/>
      <c r="P743" s="35"/>
      <c r="Q743" s="35"/>
      <c r="R743" s="35"/>
      <c r="U743" s="98"/>
      <c r="V743" s="98"/>
      <c r="W743" s="96"/>
      <c r="X743" s="96"/>
    </row>
    <row r="744">
      <c r="H744" s="96"/>
      <c r="I744" s="96"/>
      <c r="K744" s="97"/>
      <c r="P744" s="35"/>
      <c r="Q744" s="35"/>
      <c r="R744" s="35"/>
      <c r="U744" s="98"/>
      <c r="V744" s="98"/>
      <c r="W744" s="96"/>
      <c r="X744" s="96"/>
    </row>
    <row r="745">
      <c r="H745" s="96"/>
      <c r="I745" s="96"/>
      <c r="K745" s="97"/>
      <c r="P745" s="35"/>
      <c r="Q745" s="35"/>
      <c r="R745" s="35"/>
      <c r="U745" s="98"/>
      <c r="V745" s="98"/>
      <c r="W745" s="96"/>
      <c r="X745" s="96"/>
    </row>
    <row r="746">
      <c r="H746" s="96"/>
      <c r="I746" s="96"/>
      <c r="K746" s="97"/>
      <c r="P746" s="35"/>
      <c r="Q746" s="35"/>
      <c r="R746" s="35"/>
      <c r="U746" s="98"/>
      <c r="V746" s="98"/>
      <c r="W746" s="96"/>
      <c r="X746" s="96"/>
    </row>
    <row r="747">
      <c r="H747" s="96"/>
      <c r="I747" s="96"/>
      <c r="K747" s="97"/>
      <c r="P747" s="35"/>
      <c r="Q747" s="35"/>
      <c r="R747" s="35"/>
      <c r="U747" s="98"/>
      <c r="V747" s="98"/>
      <c r="W747" s="96"/>
      <c r="X747" s="96"/>
    </row>
    <row r="748">
      <c r="H748" s="96"/>
      <c r="I748" s="96"/>
      <c r="K748" s="97"/>
      <c r="P748" s="35"/>
      <c r="Q748" s="35"/>
      <c r="R748" s="35"/>
      <c r="U748" s="98"/>
      <c r="V748" s="98"/>
      <c r="W748" s="96"/>
      <c r="X748" s="96"/>
    </row>
    <row r="749">
      <c r="H749" s="96"/>
      <c r="I749" s="96"/>
      <c r="K749" s="97"/>
      <c r="P749" s="35"/>
      <c r="Q749" s="35"/>
      <c r="R749" s="35"/>
      <c r="U749" s="98"/>
      <c r="V749" s="98"/>
      <c r="W749" s="96"/>
      <c r="X749" s="96"/>
    </row>
    <row r="750">
      <c r="H750" s="96"/>
      <c r="I750" s="96"/>
      <c r="K750" s="97"/>
      <c r="P750" s="35"/>
      <c r="Q750" s="35"/>
      <c r="R750" s="35"/>
      <c r="U750" s="98"/>
      <c r="V750" s="98"/>
      <c r="W750" s="96"/>
      <c r="X750" s="96"/>
    </row>
    <row r="751">
      <c r="H751" s="96"/>
      <c r="I751" s="96"/>
      <c r="K751" s="97"/>
      <c r="P751" s="35"/>
      <c r="Q751" s="35"/>
      <c r="R751" s="35"/>
      <c r="U751" s="98"/>
      <c r="V751" s="98"/>
      <c r="W751" s="96"/>
      <c r="X751" s="96"/>
    </row>
    <row r="752">
      <c r="H752" s="96"/>
      <c r="I752" s="96"/>
      <c r="K752" s="97"/>
      <c r="P752" s="35"/>
      <c r="Q752" s="35"/>
      <c r="R752" s="35"/>
      <c r="U752" s="98"/>
      <c r="V752" s="98"/>
      <c r="W752" s="96"/>
      <c r="X752" s="96"/>
    </row>
    <row r="753">
      <c r="H753" s="96"/>
      <c r="I753" s="96"/>
      <c r="K753" s="97"/>
      <c r="P753" s="35"/>
      <c r="Q753" s="35"/>
      <c r="R753" s="35"/>
      <c r="U753" s="98"/>
      <c r="V753" s="98"/>
      <c r="W753" s="96"/>
      <c r="X753" s="96"/>
    </row>
    <row r="754">
      <c r="H754" s="96"/>
      <c r="I754" s="96"/>
      <c r="K754" s="97"/>
      <c r="P754" s="35"/>
      <c r="Q754" s="35"/>
      <c r="R754" s="35"/>
      <c r="U754" s="98"/>
      <c r="V754" s="98"/>
      <c r="W754" s="96"/>
      <c r="X754" s="96"/>
    </row>
    <row r="755">
      <c r="H755" s="96"/>
      <c r="I755" s="96"/>
      <c r="K755" s="97"/>
      <c r="P755" s="35"/>
      <c r="Q755" s="35"/>
      <c r="R755" s="35"/>
      <c r="U755" s="98"/>
      <c r="V755" s="98"/>
      <c r="W755" s="96"/>
      <c r="X755" s="96"/>
    </row>
    <row r="756">
      <c r="H756" s="96"/>
      <c r="I756" s="96"/>
      <c r="K756" s="97"/>
      <c r="P756" s="35"/>
      <c r="Q756" s="35"/>
      <c r="R756" s="35"/>
      <c r="U756" s="98"/>
      <c r="V756" s="98"/>
      <c r="W756" s="96"/>
      <c r="X756" s="96"/>
    </row>
    <row r="757">
      <c r="H757" s="96"/>
      <c r="I757" s="96"/>
      <c r="K757" s="97"/>
      <c r="P757" s="35"/>
      <c r="Q757" s="35"/>
      <c r="R757" s="35"/>
      <c r="U757" s="98"/>
      <c r="V757" s="98"/>
      <c r="W757" s="96"/>
      <c r="X757" s="96"/>
    </row>
    <row r="758">
      <c r="H758" s="96"/>
      <c r="I758" s="96"/>
      <c r="K758" s="97"/>
      <c r="P758" s="35"/>
      <c r="Q758" s="35"/>
      <c r="R758" s="35"/>
      <c r="U758" s="98"/>
      <c r="V758" s="98"/>
      <c r="W758" s="96"/>
      <c r="X758" s="96"/>
    </row>
    <row r="759">
      <c r="H759" s="96"/>
      <c r="I759" s="96"/>
      <c r="K759" s="97"/>
      <c r="P759" s="35"/>
      <c r="Q759" s="35"/>
      <c r="R759" s="35"/>
      <c r="U759" s="98"/>
      <c r="V759" s="98"/>
      <c r="W759" s="96"/>
      <c r="X759" s="96"/>
    </row>
    <row r="760">
      <c r="H760" s="96"/>
      <c r="I760" s="96"/>
      <c r="K760" s="97"/>
      <c r="P760" s="35"/>
      <c r="Q760" s="35"/>
      <c r="R760" s="35"/>
      <c r="U760" s="98"/>
      <c r="V760" s="98"/>
      <c r="W760" s="96"/>
      <c r="X760" s="96"/>
    </row>
    <row r="761">
      <c r="H761" s="96"/>
      <c r="I761" s="96"/>
      <c r="K761" s="97"/>
      <c r="P761" s="35"/>
      <c r="Q761" s="35"/>
      <c r="R761" s="35"/>
      <c r="U761" s="98"/>
      <c r="V761" s="98"/>
      <c r="W761" s="96"/>
      <c r="X761" s="96"/>
    </row>
    <row r="762">
      <c r="H762" s="96"/>
      <c r="I762" s="96"/>
      <c r="K762" s="97"/>
      <c r="P762" s="35"/>
      <c r="Q762" s="35"/>
      <c r="R762" s="35"/>
      <c r="U762" s="98"/>
      <c r="V762" s="98"/>
      <c r="W762" s="96"/>
      <c r="X762" s="96"/>
    </row>
    <row r="763">
      <c r="H763" s="96"/>
      <c r="I763" s="96"/>
      <c r="K763" s="97"/>
      <c r="P763" s="35"/>
      <c r="Q763" s="35"/>
      <c r="R763" s="35"/>
      <c r="U763" s="98"/>
      <c r="V763" s="98"/>
      <c r="W763" s="96"/>
      <c r="X763" s="96"/>
    </row>
    <row r="764">
      <c r="H764" s="96"/>
      <c r="I764" s="96"/>
      <c r="K764" s="97"/>
      <c r="P764" s="35"/>
      <c r="Q764" s="35"/>
      <c r="R764" s="35"/>
      <c r="U764" s="98"/>
      <c r="V764" s="98"/>
      <c r="W764" s="96"/>
      <c r="X764" s="96"/>
    </row>
    <row r="765">
      <c r="H765" s="96"/>
      <c r="I765" s="96"/>
      <c r="K765" s="97"/>
      <c r="P765" s="35"/>
      <c r="Q765" s="35"/>
      <c r="R765" s="35"/>
      <c r="U765" s="98"/>
      <c r="V765" s="98"/>
      <c r="W765" s="96"/>
      <c r="X765" s="96"/>
    </row>
    <row r="766">
      <c r="H766" s="96"/>
      <c r="I766" s="96"/>
      <c r="K766" s="97"/>
      <c r="P766" s="35"/>
      <c r="Q766" s="35"/>
      <c r="R766" s="35"/>
      <c r="U766" s="98"/>
      <c r="V766" s="98"/>
      <c r="W766" s="96"/>
      <c r="X766" s="96"/>
    </row>
    <row r="767">
      <c r="H767" s="96"/>
      <c r="I767" s="96"/>
      <c r="K767" s="97"/>
      <c r="P767" s="35"/>
      <c r="Q767" s="35"/>
      <c r="R767" s="35"/>
      <c r="U767" s="98"/>
      <c r="V767" s="98"/>
      <c r="W767" s="96"/>
      <c r="X767" s="96"/>
    </row>
    <row r="768">
      <c r="H768" s="96"/>
      <c r="I768" s="96"/>
      <c r="K768" s="97"/>
      <c r="P768" s="35"/>
      <c r="Q768" s="35"/>
      <c r="R768" s="35"/>
      <c r="U768" s="98"/>
      <c r="V768" s="98"/>
      <c r="W768" s="96"/>
      <c r="X768" s="96"/>
    </row>
    <row r="769">
      <c r="H769" s="96"/>
      <c r="I769" s="96"/>
      <c r="K769" s="97"/>
      <c r="P769" s="35"/>
      <c r="Q769" s="35"/>
      <c r="R769" s="35"/>
      <c r="U769" s="98"/>
      <c r="V769" s="98"/>
      <c r="W769" s="96"/>
      <c r="X769" s="96"/>
    </row>
    <row r="770">
      <c r="H770" s="96"/>
      <c r="I770" s="96"/>
      <c r="K770" s="97"/>
      <c r="P770" s="35"/>
      <c r="Q770" s="35"/>
      <c r="R770" s="35"/>
      <c r="U770" s="98"/>
      <c r="V770" s="98"/>
      <c r="W770" s="96"/>
      <c r="X770" s="96"/>
    </row>
    <row r="771">
      <c r="H771" s="96"/>
      <c r="I771" s="96"/>
      <c r="K771" s="97"/>
      <c r="P771" s="35"/>
      <c r="Q771" s="35"/>
      <c r="R771" s="35"/>
      <c r="U771" s="98"/>
      <c r="V771" s="98"/>
      <c r="W771" s="96"/>
      <c r="X771" s="96"/>
    </row>
    <row r="772">
      <c r="H772" s="96"/>
      <c r="I772" s="96"/>
      <c r="K772" s="97"/>
      <c r="P772" s="35"/>
      <c r="Q772" s="35"/>
      <c r="R772" s="35"/>
      <c r="U772" s="98"/>
      <c r="V772" s="98"/>
      <c r="W772" s="96"/>
      <c r="X772" s="96"/>
    </row>
    <row r="773">
      <c r="H773" s="96"/>
      <c r="I773" s="96"/>
      <c r="K773" s="97"/>
      <c r="P773" s="35"/>
      <c r="Q773" s="35"/>
      <c r="R773" s="35"/>
      <c r="U773" s="98"/>
      <c r="V773" s="98"/>
      <c r="W773" s="96"/>
      <c r="X773" s="96"/>
    </row>
    <row r="774">
      <c r="H774" s="96"/>
      <c r="I774" s="96"/>
      <c r="K774" s="97"/>
      <c r="P774" s="35"/>
      <c r="Q774" s="35"/>
      <c r="R774" s="35"/>
      <c r="U774" s="98"/>
      <c r="V774" s="98"/>
      <c r="W774" s="96"/>
      <c r="X774" s="96"/>
    </row>
    <row r="775">
      <c r="H775" s="96"/>
      <c r="I775" s="96"/>
      <c r="K775" s="97"/>
      <c r="P775" s="35"/>
      <c r="Q775" s="35"/>
      <c r="R775" s="35"/>
      <c r="U775" s="98"/>
      <c r="V775" s="98"/>
      <c r="W775" s="96"/>
      <c r="X775" s="96"/>
    </row>
    <row r="776">
      <c r="H776" s="96"/>
      <c r="I776" s="96"/>
      <c r="K776" s="97"/>
      <c r="P776" s="35"/>
      <c r="Q776" s="35"/>
      <c r="R776" s="35"/>
      <c r="U776" s="98"/>
      <c r="V776" s="98"/>
      <c r="W776" s="96"/>
      <c r="X776" s="96"/>
    </row>
    <row r="777">
      <c r="H777" s="96"/>
      <c r="I777" s="96"/>
      <c r="K777" s="97"/>
      <c r="P777" s="35"/>
      <c r="Q777" s="35"/>
      <c r="R777" s="35"/>
      <c r="U777" s="98"/>
      <c r="V777" s="98"/>
      <c r="W777" s="96"/>
      <c r="X777" s="96"/>
    </row>
    <row r="778">
      <c r="H778" s="96"/>
      <c r="I778" s="96"/>
      <c r="K778" s="97"/>
      <c r="P778" s="35"/>
      <c r="Q778" s="35"/>
      <c r="R778" s="35"/>
      <c r="U778" s="98"/>
      <c r="V778" s="98"/>
      <c r="W778" s="96"/>
      <c r="X778" s="96"/>
    </row>
    <row r="779">
      <c r="H779" s="96"/>
      <c r="I779" s="96"/>
      <c r="K779" s="97"/>
      <c r="P779" s="35"/>
      <c r="Q779" s="35"/>
      <c r="R779" s="35"/>
      <c r="U779" s="98"/>
      <c r="V779" s="98"/>
      <c r="W779" s="96"/>
      <c r="X779" s="96"/>
    </row>
    <row r="780">
      <c r="H780" s="96"/>
      <c r="I780" s="96"/>
      <c r="K780" s="97"/>
      <c r="P780" s="35"/>
      <c r="Q780" s="35"/>
      <c r="R780" s="35"/>
      <c r="U780" s="98"/>
      <c r="V780" s="98"/>
      <c r="W780" s="96"/>
      <c r="X780" s="96"/>
    </row>
    <row r="781">
      <c r="H781" s="96"/>
      <c r="I781" s="96"/>
      <c r="K781" s="97"/>
      <c r="P781" s="35"/>
      <c r="Q781" s="35"/>
      <c r="R781" s="35"/>
      <c r="U781" s="98"/>
      <c r="V781" s="98"/>
      <c r="W781" s="96"/>
      <c r="X781" s="96"/>
    </row>
    <row r="782">
      <c r="H782" s="96"/>
      <c r="I782" s="96"/>
      <c r="K782" s="97"/>
      <c r="P782" s="35"/>
      <c r="Q782" s="35"/>
      <c r="R782" s="35"/>
      <c r="U782" s="98"/>
      <c r="V782" s="98"/>
      <c r="W782" s="96"/>
      <c r="X782" s="96"/>
    </row>
    <row r="783">
      <c r="H783" s="96"/>
      <c r="I783" s="96"/>
      <c r="K783" s="97"/>
      <c r="P783" s="35"/>
      <c r="Q783" s="35"/>
      <c r="R783" s="35"/>
      <c r="U783" s="98"/>
      <c r="V783" s="98"/>
      <c r="W783" s="96"/>
      <c r="X783" s="96"/>
    </row>
    <row r="784">
      <c r="H784" s="96"/>
      <c r="I784" s="96"/>
      <c r="K784" s="97"/>
      <c r="P784" s="35"/>
      <c r="Q784" s="35"/>
      <c r="R784" s="35"/>
      <c r="U784" s="98"/>
      <c r="V784" s="98"/>
      <c r="W784" s="96"/>
      <c r="X784" s="96"/>
    </row>
    <row r="785">
      <c r="H785" s="96"/>
      <c r="I785" s="96"/>
      <c r="K785" s="97"/>
      <c r="P785" s="35"/>
      <c r="Q785" s="35"/>
      <c r="R785" s="35"/>
      <c r="U785" s="98"/>
      <c r="V785" s="98"/>
      <c r="W785" s="96"/>
      <c r="X785" s="96"/>
    </row>
    <row r="786">
      <c r="H786" s="96"/>
      <c r="I786" s="96"/>
      <c r="K786" s="97"/>
      <c r="P786" s="35"/>
      <c r="Q786" s="35"/>
      <c r="R786" s="35"/>
      <c r="U786" s="98"/>
      <c r="V786" s="98"/>
      <c r="W786" s="96"/>
      <c r="X786" s="96"/>
    </row>
    <row r="787">
      <c r="H787" s="96"/>
      <c r="I787" s="96"/>
      <c r="K787" s="97"/>
      <c r="P787" s="35"/>
      <c r="Q787" s="35"/>
      <c r="R787" s="35"/>
      <c r="U787" s="98"/>
      <c r="V787" s="98"/>
      <c r="W787" s="96"/>
      <c r="X787" s="96"/>
    </row>
    <row r="788">
      <c r="H788" s="96"/>
      <c r="I788" s="96"/>
      <c r="K788" s="97"/>
      <c r="P788" s="35"/>
      <c r="Q788" s="35"/>
      <c r="R788" s="35"/>
      <c r="U788" s="98"/>
      <c r="V788" s="98"/>
      <c r="W788" s="96"/>
      <c r="X788" s="96"/>
    </row>
    <row r="789">
      <c r="H789" s="96"/>
      <c r="I789" s="96"/>
      <c r="K789" s="97"/>
      <c r="P789" s="35"/>
      <c r="Q789" s="35"/>
      <c r="R789" s="35"/>
      <c r="U789" s="98"/>
      <c r="V789" s="98"/>
      <c r="W789" s="96"/>
      <c r="X789" s="96"/>
    </row>
    <row r="790">
      <c r="H790" s="96"/>
      <c r="I790" s="96"/>
      <c r="K790" s="97"/>
      <c r="P790" s="35"/>
      <c r="Q790" s="35"/>
      <c r="R790" s="35"/>
      <c r="U790" s="98"/>
      <c r="V790" s="98"/>
      <c r="W790" s="96"/>
      <c r="X790" s="96"/>
    </row>
    <row r="791">
      <c r="H791" s="96"/>
      <c r="I791" s="96"/>
      <c r="K791" s="97"/>
      <c r="P791" s="35"/>
      <c r="Q791" s="35"/>
      <c r="R791" s="35"/>
      <c r="U791" s="98"/>
      <c r="V791" s="98"/>
      <c r="W791" s="96"/>
      <c r="X791" s="96"/>
    </row>
    <row r="792">
      <c r="H792" s="96"/>
      <c r="I792" s="96"/>
      <c r="K792" s="97"/>
      <c r="P792" s="35"/>
      <c r="Q792" s="35"/>
      <c r="R792" s="35"/>
      <c r="U792" s="98"/>
      <c r="V792" s="98"/>
      <c r="W792" s="96"/>
      <c r="X792" s="96"/>
    </row>
    <row r="793">
      <c r="H793" s="96"/>
      <c r="I793" s="96"/>
      <c r="K793" s="97"/>
      <c r="P793" s="35"/>
      <c r="Q793" s="35"/>
      <c r="R793" s="35"/>
      <c r="U793" s="98"/>
      <c r="V793" s="98"/>
      <c r="W793" s="96"/>
      <c r="X793" s="96"/>
    </row>
    <row r="794">
      <c r="H794" s="96"/>
      <c r="I794" s="96"/>
      <c r="K794" s="97"/>
      <c r="P794" s="35"/>
      <c r="Q794" s="35"/>
      <c r="R794" s="35"/>
      <c r="U794" s="98"/>
      <c r="V794" s="98"/>
      <c r="W794" s="96"/>
      <c r="X794" s="96"/>
    </row>
    <row r="795">
      <c r="H795" s="96"/>
      <c r="I795" s="96"/>
      <c r="K795" s="97"/>
      <c r="P795" s="35"/>
      <c r="Q795" s="35"/>
      <c r="R795" s="35"/>
      <c r="U795" s="98"/>
      <c r="V795" s="98"/>
      <c r="W795" s="96"/>
      <c r="X795" s="96"/>
    </row>
    <row r="796">
      <c r="H796" s="96"/>
      <c r="I796" s="96"/>
      <c r="K796" s="97"/>
      <c r="P796" s="35"/>
      <c r="Q796" s="35"/>
      <c r="R796" s="35"/>
      <c r="U796" s="98"/>
      <c r="V796" s="98"/>
      <c r="W796" s="96"/>
      <c r="X796" s="96"/>
    </row>
    <row r="797">
      <c r="H797" s="96"/>
      <c r="I797" s="96"/>
      <c r="K797" s="97"/>
      <c r="P797" s="35"/>
      <c r="Q797" s="35"/>
      <c r="R797" s="35"/>
      <c r="U797" s="98"/>
      <c r="V797" s="98"/>
      <c r="W797" s="96"/>
      <c r="X797" s="96"/>
    </row>
    <row r="798">
      <c r="H798" s="96"/>
      <c r="I798" s="96"/>
      <c r="K798" s="97"/>
      <c r="P798" s="35"/>
      <c r="Q798" s="35"/>
      <c r="R798" s="35"/>
      <c r="U798" s="98"/>
      <c r="V798" s="98"/>
      <c r="W798" s="96"/>
      <c r="X798" s="96"/>
    </row>
    <row r="799">
      <c r="H799" s="96"/>
      <c r="I799" s="96"/>
      <c r="K799" s="97"/>
      <c r="P799" s="35"/>
      <c r="Q799" s="35"/>
      <c r="R799" s="35"/>
      <c r="U799" s="98"/>
      <c r="V799" s="98"/>
      <c r="W799" s="96"/>
      <c r="X799" s="96"/>
    </row>
    <row r="800">
      <c r="H800" s="96"/>
      <c r="I800" s="96"/>
      <c r="K800" s="97"/>
      <c r="P800" s="35"/>
      <c r="Q800" s="35"/>
      <c r="R800" s="35"/>
      <c r="U800" s="98"/>
      <c r="V800" s="98"/>
      <c r="W800" s="96"/>
      <c r="X800" s="96"/>
    </row>
    <row r="801">
      <c r="H801" s="96"/>
      <c r="I801" s="96"/>
      <c r="K801" s="97"/>
      <c r="P801" s="35"/>
      <c r="Q801" s="35"/>
      <c r="R801" s="35"/>
      <c r="U801" s="98"/>
      <c r="V801" s="98"/>
      <c r="W801" s="96"/>
      <c r="X801" s="96"/>
    </row>
    <row r="802">
      <c r="H802" s="96"/>
      <c r="I802" s="96"/>
      <c r="K802" s="97"/>
      <c r="P802" s="35"/>
      <c r="Q802" s="35"/>
      <c r="R802" s="35"/>
      <c r="U802" s="98"/>
      <c r="V802" s="98"/>
      <c r="W802" s="96"/>
      <c r="X802" s="96"/>
    </row>
    <row r="803">
      <c r="H803" s="96"/>
      <c r="I803" s="96"/>
      <c r="K803" s="97"/>
      <c r="P803" s="35"/>
      <c r="Q803" s="35"/>
      <c r="R803" s="35"/>
      <c r="U803" s="98"/>
      <c r="V803" s="98"/>
      <c r="W803" s="96"/>
      <c r="X803" s="96"/>
    </row>
    <row r="804">
      <c r="H804" s="96"/>
      <c r="I804" s="96"/>
      <c r="K804" s="97"/>
      <c r="P804" s="35"/>
      <c r="Q804" s="35"/>
      <c r="R804" s="35"/>
      <c r="U804" s="98"/>
      <c r="V804" s="98"/>
      <c r="W804" s="96"/>
      <c r="X804" s="96"/>
    </row>
    <row r="805">
      <c r="H805" s="96"/>
      <c r="I805" s="96"/>
      <c r="K805" s="97"/>
      <c r="P805" s="35"/>
      <c r="Q805" s="35"/>
      <c r="R805" s="35"/>
      <c r="U805" s="98"/>
      <c r="V805" s="98"/>
      <c r="W805" s="96"/>
      <c r="X805" s="96"/>
    </row>
    <row r="806">
      <c r="H806" s="96"/>
      <c r="I806" s="96"/>
      <c r="K806" s="97"/>
      <c r="P806" s="35"/>
      <c r="Q806" s="35"/>
      <c r="R806" s="35"/>
      <c r="U806" s="98"/>
      <c r="V806" s="98"/>
      <c r="W806" s="96"/>
      <c r="X806" s="96"/>
    </row>
    <row r="807">
      <c r="H807" s="96"/>
      <c r="I807" s="96"/>
      <c r="K807" s="97"/>
      <c r="P807" s="35"/>
      <c r="Q807" s="35"/>
      <c r="R807" s="35"/>
      <c r="U807" s="98"/>
      <c r="V807" s="98"/>
      <c r="W807" s="96"/>
      <c r="X807" s="96"/>
    </row>
    <row r="808">
      <c r="H808" s="96"/>
      <c r="I808" s="96"/>
      <c r="K808" s="97"/>
      <c r="P808" s="35"/>
      <c r="Q808" s="35"/>
      <c r="R808" s="35"/>
      <c r="U808" s="98"/>
      <c r="V808" s="98"/>
      <c r="W808" s="96"/>
      <c r="X808" s="96"/>
    </row>
    <row r="809">
      <c r="H809" s="96"/>
      <c r="I809" s="96"/>
      <c r="K809" s="97"/>
      <c r="P809" s="35"/>
      <c r="Q809" s="35"/>
      <c r="R809" s="35"/>
      <c r="U809" s="98"/>
      <c r="V809" s="98"/>
      <c r="W809" s="96"/>
      <c r="X809" s="96"/>
    </row>
    <row r="810">
      <c r="H810" s="96"/>
      <c r="I810" s="96"/>
      <c r="K810" s="97"/>
      <c r="P810" s="35"/>
      <c r="Q810" s="35"/>
      <c r="R810" s="35"/>
      <c r="U810" s="98"/>
      <c r="V810" s="98"/>
      <c r="W810" s="96"/>
      <c r="X810" s="96"/>
    </row>
    <row r="811">
      <c r="H811" s="96"/>
      <c r="I811" s="96"/>
      <c r="K811" s="97"/>
      <c r="P811" s="35"/>
      <c r="Q811" s="35"/>
      <c r="R811" s="35"/>
      <c r="U811" s="98"/>
      <c r="V811" s="98"/>
      <c r="W811" s="96"/>
      <c r="X811" s="96"/>
    </row>
    <row r="812">
      <c r="H812" s="96"/>
      <c r="I812" s="96"/>
      <c r="K812" s="97"/>
      <c r="P812" s="35"/>
      <c r="Q812" s="35"/>
      <c r="R812" s="35"/>
      <c r="U812" s="98"/>
      <c r="V812" s="98"/>
      <c r="W812" s="96"/>
      <c r="X812" s="96"/>
    </row>
    <row r="813">
      <c r="H813" s="96"/>
      <c r="I813" s="96"/>
      <c r="K813" s="97"/>
      <c r="P813" s="35"/>
      <c r="Q813" s="35"/>
      <c r="R813" s="35"/>
      <c r="U813" s="98"/>
      <c r="V813" s="98"/>
      <c r="W813" s="96"/>
      <c r="X813" s="96"/>
    </row>
    <row r="814">
      <c r="H814" s="96"/>
      <c r="I814" s="96"/>
      <c r="K814" s="97"/>
      <c r="P814" s="35"/>
      <c r="Q814" s="35"/>
      <c r="R814" s="35"/>
      <c r="U814" s="98"/>
      <c r="V814" s="98"/>
      <c r="W814" s="96"/>
      <c r="X814" s="96"/>
    </row>
    <row r="815">
      <c r="H815" s="96"/>
      <c r="I815" s="96"/>
      <c r="K815" s="97"/>
      <c r="P815" s="35"/>
      <c r="Q815" s="35"/>
      <c r="R815" s="35"/>
      <c r="U815" s="98"/>
      <c r="V815" s="98"/>
      <c r="W815" s="96"/>
      <c r="X815" s="96"/>
    </row>
    <row r="816">
      <c r="H816" s="96"/>
      <c r="I816" s="96"/>
      <c r="K816" s="97"/>
      <c r="P816" s="35"/>
      <c r="Q816" s="35"/>
      <c r="R816" s="35"/>
      <c r="U816" s="98"/>
      <c r="V816" s="98"/>
      <c r="W816" s="96"/>
      <c r="X816" s="96"/>
    </row>
    <row r="817">
      <c r="H817" s="96"/>
      <c r="I817" s="96"/>
      <c r="K817" s="97"/>
      <c r="P817" s="35"/>
      <c r="Q817" s="35"/>
      <c r="R817" s="35"/>
      <c r="U817" s="98"/>
      <c r="V817" s="98"/>
      <c r="W817" s="96"/>
      <c r="X817" s="96"/>
    </row>
    <row r="818">
      <c r="H818" s="96"/>
      <c r="I818" s="96"/>
      <c r="K818" s="97"/>
      <c r="P818" s="35"/>
      <c r="Q818" s="35"/>
      <c r="R818" s="35"/>
      <c r="U818" s="98"/>
      <c r="V818" s="98"/>
      <c r="W818" s="96"/>
      <c r="X818" s="96"/>
    </row>
    <row r="819">
      <c r="H819" s="96"/>
      <c r="I819" s="96"/>
      <c r="K819" s="97"/>
      <c r="P819" s="35"/>
      <c r="Q819" s="35"/>
      <c r="R819" s="35"/>
      <c r="U819" s="98"/>
      <c r="V819" s="98"/>
      <c r="W819" s="96"/>
      <c r="X819" s="96"/>
    </row>
    <row r="820">
      <c r="H820" s="96"/>
      <c r="I820" s="96"/>
      <c r="K820" s="97"/>
      <c r="P820" s="35"/>
      <c r="Q820" s="35"/>
      <c r="R820" s="35"/>
      <c r="U820" s="98"/>
      <c r="V820" s="98"/>
      <c r="W820" s="96"/>
      <c r="X820" s="96"/>
    </row>
    <row r="821">
      <c r="H821" s="96"/>
      <c r="I821" s="96"/>
      <c r="K821" s="97"/>
      <c r="P821" s="35"/>
      <c r="Q821" s="35"/>
      <c r="R821" s="35"/>
      <c r="U821" s="98"/>
      <c r="V821" s="98"/>
      <c r="W821" s="96"/>
      <c r="X821" s="96"/>
    </row>
    <row r="822">
      <c r="H822" s="96"/>
      <c r="I822" s="96"/>
      <c r="K822" s="97"/>
      <c r="P822" s="35"/>
      <c r="Q822" s="35"/>
      <c r="R822" s="35"/>
      <c r="U822" s="98"/>
      <c r="V822" s="98"/>
      <c r="W822" s="96"/>
      <c r="X822" s="96"/>
    </row>
    <row r="823">
      <c r="H823" s="96"/>
      <c r="I823" s="96"/>
      <c r="K823" s="97"/>
      <c r="P823" s="35"/>
      <c r="Q823" s="35"/>
      <c r="R823" s="35"/>
      <c r="U823" s="98"/>
      <c r="V823" s="98"/>
      <c r="W823" s="96"/>
      <c r="X823" s="96"/>
    </row>
    <row r="824">
      <c r="H824" s="96"/>
      <c r="I824" s="96"/>
      <c r="K824" s="97"/>
      <c r="P824" s="35"/>
      <c r="Q824" s="35"/>
      <c r="R824" s="35"/>
      <c r="U824" s="98"/>
      <c r="V824" s="98"/>
      <c r="W824" s="96"/>
      <c r="X824" s="96"/>
    </row>
    <row r="825">
      <c r="H825" s="96"/>
      <c r="I825" s="96"/>
      <c r="K825" s="97"/>
      <c r="P825" s="35"/>
      <c r="Q825" s="35"/>
      <c r="R825" s="35"/>
      <c r="U825" s="98"/>
      <c r="V825" s="98"/>
      <c r="W825" s="96"/>
      <c r="X825" s="96"/>
    </row>
    <row r="826">
      <c r="H826" s="96"/>
      <c r="I826" s="96"/>
      <c r="K826" s="97"/>
      <c r="P826" s="35"/>
      <c r="Q826" s="35"/>
      <c r="R826" s="35"/>
      <c r="U826" s="98"/>
      <c r="V826" s="98"/>
      <c r="W826" s="96"/>
      <c r="X826" s="96"/>
    </row>
    <row r="827">
      <c r="H827" s="96"/>
      <c r="I827" s="96"/>
      <c r="K827" s="97"/>
      <c r="P827" s="35"/>
      <c r="Q827" s="35"/>
      <c r="R827" s="35"/>
      <c r="U827" s="98"/>
      <c r="V827" s="98"/>
      <c r="W827" s="96"/>
      <c r="X827" s="96"/>
    </row>
    <row r="828">
      <c r="H828" s="96"/>
      <c r="I828" s="96"/>
      <c r="K828" s="97"/>
      <c r="P828" s="35"/>
      <c r="Q828" s="35"/>
      <c r="R828" s="35"/>
      <c r="U828" s="98"/>
      <c r="V828" s="98"/>
      <c r="W828" s="96"/>
      <c r="X828" s="96"/>
    </row>
    <row r="829">
      <c r="H829" s="96"/>
      <c r="I829" s="96"/>
      <c r="K829" s="97"/>
      <c r="P829" s="35"/>
      <c r="Q829" s="35"/>
      <c r="R829" s="35"/>
      <c r="U829" s="98"/>
      <c r="V829" s="98"/>
      <c r="W829" s="96"/>
      <c r="X829" s="96"/>
    </row>
    <row r="830">
      <c r="H830" s="96"/>
      <c r="I830" s="96"/>
      <c r="K830" s="97"/>
      <c r="P830" s="35"/>
      <c r="Q830" s="35"/>
      <c r="R830" s="35"/>
      <c r="U830" s="98"/>
      <c r="V830" s="98"/>
      <c r="W830" s="96"/>
      <c r="X830" s="96"/>
    </row>
    <row r="831">
      <c r="H831" s="96"/>
      <c r="I831" s="96"/>
      <c r="K831" s="97"/>
      <c r="P831" s="35"/>
      <c r="Q831" s="35"/>
      <c r="R831" s="35"/>
      <c r="U831" s="98"/>
      <c r="V831" s="98"/>
      <c r="W831" s="96"/>
      <c r="X831" s="96"/>
    </row>
    <row r="832">
      <c r="H832" s="96"/>
      <c r="I832" s="96"/>
      <c r="K832" s="97"/>
      <c r="P832" s="35"/>
      <c r="Q832" s="35"/>
      <c r="R832" s="35"/>
      <c r="U832" s="98"/>
      <c r="V832" s="98"/>
      <c r="W832" s="96"/>
      <c r="X832" s="96"/>
    </row>
    <row r="833">
      <c r="H833" s="96"/>
      <c r="I833" s="96"/>
      <c r="K833" s="97"/>
      <c r="P833" s="35"/>
      <c r="Q833" s="35"/>
      <c r="R833" s="35"/>
      <c r="U833" s="98"/>
      <c r="V833" s="98"/>
      <c r="W833" s="96"/>
      <c r="X833" s="96"/>
    </row>
    <row r="834">
      <c r="H834" s="96"/>
      <c r="I834" s="96"/>
      <c r="K834" s="97"/>
      <c r="P834" s="35"/>
      <c r="Q834" s="35"/>
      <c r="R834" s="35"/>
      <c r="U834" s="98"/>
      <c r="V834" s="98"/>
      <c r="W834" s="96"/>
      <c r="X834" s="96"/>
    </row>
    <row r="835">
      <c r="H835" s="96"/>
      <c r="I835" s="96"/>
      <c r="K835" s="97"/>
      <c r="P835" s="35"/>
      <c r="Q835" s="35"/>
      <c r="R835" s="35"/>
      <c r="U835" s="98"/>
      <c r="V835" s="98"/>
      <c r="W835" s="96"/>
      <c r="X835" s="96"/>
    </row>
    <row r="836">
      <c r="H836" s="96"/>
      <c r="I836" s="96"/>
      <c r="K836" s="97"/>
      <c r="P836" s="35"/>
      <c r="Q836" s="35"/>
      <c r="R836" s="35"/>
      <c r="U836" s="98"/>
      <c r="V836" s="98"/>
      <c r="W836" s="96"/>
      <c r="X836" s="96"/>
    </row>
    <row r="837">
      <c r="H837" s="96"/>
      <c r="I837" s="96"/>
      <c r="K837" s="97"/>
      <c r="P837" s="35"/>
      <c r="Q837" s="35"/>
      <c r="R837" s="35"/>
      <c r="U837" s="98"/>
      <c r="V837" s="98"/>
      <c r="W837" s="96"/>
      <c r="X837" s="96"/>
    </row>
    <row r="838">
      <c r="H838" s="96"/>
      <c r="I838" s="96"/>
      <c r="K838" s="97"/>
      <c r="P838" s="35"/>
      <c r="Q838" s="35"/>
      <c r="R838" s="35"/>
      <c r="U838" s="98"/>
      <c r="V838" s="98"/>
      <c r="W838" s="96"/>
      <c r="X838" s="96"/>
    </row>
    <row r="839">
      <c r="H839" s="96"/>
      <c r="I839" s="96"/>
      <c r="K839" s="97"/>
      <c r="P839" s="35"/>
      <c r="Q839" s="35"/>
      <c r="R839" s="35"/>
      <c r="U839" s="98"/>
      <c r="V839" s="98"/>
      <c r="W839" s="96"/>
      <c r="X839" s="96"/>
    </row>
    <row r="840">
      <c r="H840" s="96"/>
      <c r="I840" s="96"/>
      <c r="K840" s="97"/>
      <c r="P840" s="35"/>
      <c r="Q840" s="35"/>
      <c r="R840" s="35"/>
      <c r="U840" s="98"/>
      <c r="V840" s="98"/>
      <c r="W840" s="96"/>
      <c r="X840" s="96"/>
    </row>
    <row r="841">
      <c r="H841" s="96"/>
      <c r="I841" s="96"/>
      <c r="K841" s="97"/>
      <c r="P841" s="35"/>
      <c r="Q841" s="35"/>
      <c r="R841" s="35"/>
      <c r="U841" s="98"/>
      <c r="V841" s="98"/>
      <c r="W841" s="96"/>
      <c r="X841" s="96"/>
    </row>
    <row r="842">
      <c r="H842" s="96"/>
      <c r="I842" s="96"/>
      <c r="K842" s="97"/>
      <c r="P842" s="35"/>
      <c r="Q842" s="35"/>
      <c r="R842" s="35"/>
      <c r="U842" s="98"/>
      <c r="V842" s="98"/>
      <c r="W842" s="96"/>
      <c r="X842" s="96"/>
    </row>
    <row r="843">
      <c r="H843" s="96"/>
      <c r="I843" s="96"/>
      <c r="K843" s="97"/>
      <c r="P843" s="35"/>
      <c r="Q843" s="35"/>
      <c r="R843" s="35"/>
      <c r="U843" s="98"/>
      <c r="V843" s="98"/>
      <c r="W843" s="96"/>
      <c r="X843" s="96"/>
    </row>
    <row r="844">
      <c r="H844" s="96"/>
      <c r="I844" s="96"/>
      <c r="K844" s="97"/>
      <c r="P844" s="35"/>
      <c r="Q844" s="35"/>
      <c r="R844" s="35"/>
      <c r="U844" s="98"/>
      <c r="V844" s="98"/>
      <c r="W844" s="96"/>
      <c r="X844" s="96"/>
    </row>
    <row r="845">
      <c r="H845" s="96"/>
      <c r="I845" s="96"/>
      <c r="K845" s="97"/>
      <c r="P845" s="35"/>
      <c r="Q845" s="35"/>
      <c r="R845" s="35"/>
      <c r="U845" s="98"/>
      <c r="V845" s="98"/>
      <c r="W845" s="96"/>
      <c r="X845" s="96"/>
    </row>
    <row r="846">
      <c r="H846" s="96"/>
      <c r="I846" s="96"/>
      <c r="K846" s="97"/>
      <c r="P846" s="35"/>
      <c r="Q846" s="35"/>
      <c r="R846" s="35"/>
      <c r="U846" s="98"/>
      <c r="V846" s="98"/>
      <c r="W846" s="96"/>
      <c r="X846" s="96"/>
    </row>
    <row r="847">
      <c r="H847" s="96"/>
      <c r="I847" s="96"/>
      <c r="K847" s="97"/>
      <c r="P847" s="35"/>
      <c r="Q847" s="35"/>
      <c r="R847" s="35"/>
      <c r="U847" s="98"/>
      <c r="V847" s="98"/>
      <c r="W847" s="96"/>
      <c r="X847" s="96"/>
    </row>
    <row r="848">
      <c r="H848" s="96"/>
      <c r="I848" s="96"/>
      <c r="K848" s="97"/>
      <c r="P848" s="35"/>
      <c r="Q848" s="35"/>
      <c r="R848" s="35"/>
      <c r="U848" s="98"/>
      <c r="V848" s="98"/>
      <c r="W848" s="96"/>
      <c r="X848" s="96"/>
    </row>
    <row r="849">
      <c r="H849" s="96"/>
      <c r="I849" s="96"/>
      <c r="K849" s="97"/>
      <c r="P849" s="35"/>
      <c r="Q849" s="35"/>
      <c r="R849" s="35"/>
      <c r="U849" s="98"/>
      <c r="V849" s="98"/>
      <c r="W849" s="96"/>
      <c r="X849" s="96"/>
    </row>
    <row r="850">
      <c r="H850" s="96"/>
      <c r="I850" s="96"/>
      <c r="K850" s="97"/>
      <c r="P850" s="35"/>
      <c r="Q850" s="35"/>
      <c r="R850" s="35"/>
      <c r="U850" s="98"/>
      <c r="V850" s="98"/>
      <c r="W850" s="96"/>
      <c r="X850" s="96"/>
    </row>
    <row r="851">
      <c r="H851" s="96"/>
      <c r="I851" s="96"/>
      <c r="K851" s="97"/>
      <c r="P851" s="35"/>
      <c r="Q851" s="35"/>
      <c r="R851" s="35"/>
      <c r="U851" s="98"/>
      <c r="V851" s="98"/>
      <c r="W851" s="96"/>
      <c r="X851" s="96"/>
    </row>
    <row r="852">
      <c r="H852" s="96"/>
      <c r="I852" s="96"/>
      <c r="K852" s="97"/>
      <c r="P852" s="35"/>
      <c r="Q852" s="35"/>
      <c r="R852" s="35"/>
      <c r="U852" s="98"/>
      <c r="V852" s="98"/>
      <c r="W852" s="96"/>
      <c r="X852" s="96"/>
    </row>
    <row r="853">
      <c r="H853" s="96"/>
      <c r="I853" s="96"/>
      <c r="K853" s="97"/>
      <c r="P853" s="35"/>
      <c r="Q853" s="35"/>
      <c r="R853" s="35"/>
      <c r="U853" s="98"/>
      <c r="V853" s="98"/>
      <c r="W853" s="96"/>
      <c r="X853" s="96"/>
    </row>
    <row r="854">
      <c r="H854" s="96"/>
      <c r="I854" s="96"/>
      <c r="K854" s="97"/>
      <c r="P854" s="35"/>
      <c r="Q854" s="35"/>
      <c r="R854" s="35"/>
      <c r="U854" s="98"/>
      <c r="V854" s="98"/>
      <c r="W854" s="96"/>
      <c r="X854" s="96"/>
    </row>
    <row r="855">
      <c r="H855" s="96"/>
      <c r="I855" s="96"/>
      <c r="K855" s="97"/>
      <c r="P855" s="35"/>
      <c r="Q855" s="35"/>
      <c r="R855" s="35"/>
      <c r="U855" s="98"/>
      <c r="V855" s="98"/>
      <c r="W855" s="96"/>
      <c r="X855" s="96"/>
    </row>
    <row r="856">
      <c r="H856" s="96"/>
      <c r="I856" s="96"/>
      <c r="K856" s="97"/>
      <c r="P856" s="35"/>
      <c r="Q856" s="35"/>
      <c r="R856" s="35"/>
      <c r="U856" s="98"/>
      <c r="V856" s="98"/>
      <c r="W856" s="96"/>
      <c r="X856" s="96"/>
    </row>
    <row r="857">
      <c r="H857" s="96"/>
      <c r="I857" s="96"/>
      <c r="K857" s="97"/>
      <c r="P857" s="35"/>
      <c r="Q857" s="35"/>
      <c r="R857" s="35"/>
      <c r="U857" s="98"/>
      <c r="V857" s="98"/>
      <c r="W857" s="96"/>
      <c r="X857" s="96"/>
    </row>
    <row r="858">
      <c r="H858" s="96"/>
      <c r="I858" s="96"/>
      <c r="K858" s="97"/>
      <c r="P858" s="35"/>
      <c r="Q858" s="35"/>
      <c r="R858" s="35"/>
      <c r="U858" s="98"/>
      <c r="V858" s="98"/>
      <c r="W858" s="96"/>
      <c r="X858" s="96"/>
    </row>
    <row r="859">
      <c r="H859" s="96"/>
      <c r="I859" s="96"/>
      <c r="K859" s="97"/>
      <c r="P859" s="35"/>
      <c r="Q859" s="35"/>
      <c r="R859" s="35"/>
      <c r="U859" s="98"/>
      <c r="V859" s="98"/>
      <c r="W859" s="96"/>
      <c r="X859" s="96"/>
    </row>
    <row r="860">
      <c r="H860" s="96"/>
      <c r="I860" s="96"/>
      <c r="K860" s="97"/>
      <c r="P860" s="35"/>
      <c r="Q860" s="35"/>
      <c r="R860" s="35"/>
      <c r="U860" s="98"/>
      <c r="V860" s="98"/>
      <c r="W860" s="96"/>
      <c r="X860" s="96"/>
    </row>
    <row r="861">
      <c r="H861" s="96"/>
      <c r="I861" s="96"/>
      <c r="K861" s="97"/>
      <c r="P861" s="35"/>
      <c r="Q861" s="35"/>
      <c r="R861" s="35"/>
      <c r="U861" s="98"/>
      <c r="V861" s="98"/>
      <c r="W861" s="96"/>
      <c r="X861" s="96"/>
    </row>
    <row r="862">
      <c r="H862" s="96"/>
      <c r="I862" s="96"/>
      <c r="K862" s="97"/>
      <c r="P862" s="35"/>
      <c r="Q862" s="35"/>
      <c r="R862" s="35"/>
      <c r="U862" s="98"/>
      <c r="V862" s="98"/>
      <c r="W862" s="96"/>
      <c r="X862" s="96"/>
    </row>
    <row r="863">
      <c r="H863" s="96"/>
      <c r="I863" s="96"/>
      <c r="K863" s="97"/>
      <c r="P863" s="35"/>
      <c r="Q863" s="35"/>
      <c r="R863" s="35"/>
      <c r="U863" s="98"/>
      <c r="V863" s="98"/>
      <c r="W863" s="96"/>
      <c r="X863" s="96"/>
    </row>
    <row r="864">
      <c r="H864" s="96"/>
      <c r="I864" s="96"/>
      <c r="K864" s="97"/>
      <c r="P864" s="35"/>
      <c r="Q864" s="35"/>
      <c r="R864" s="35"/>
      <c r="U864" s="98"/>
      <c r="V864" s="98"/>
      <c r="W864" s="96"/>
      <c r="X864" s="96"/>
    </row>
    <row r="865">
      <c r="H865" s="96"/>
      <c r="I865" s="96"/>
      <c r="K865" s="97"/>
      <c r="P865" s="35"/>
      <c r="Q865" s="35"/>
      <c r="R865" s="35"/>
      <c r="U865" s="98"/>
      <c r="V865" s="98"/>
      <c r="W865" s="96"/>
      <c r="X865" s="96"/>
    </row>
    <row r="866">
      <c r="H866" s="96"/>
      <c r="I866" s="96"/>
      <c r="K866" s="97"/>
      <c r="P866" s="35"/>
      <c r="Q866" s="35"/>
      <c r="R866" s="35"/>
      <c r="U866" s="98"/>
      <c r="V866" s="98"/>
      <c r="W866" s="96"/>
      <c r="X866" s="96"/>
    </row>
    <row r="867">
      <c r="H867" s="96"/>
      <c r="I867" s="96"/>
      <c r="K867" s="97"/>
      <c r="P867" s="35"/>
      <c r="Q867" s="35"/>
      <c r="R867" s="35"/>
      <c r="U867" s="98"/>
      <c r="V867" s="98"/>
      <c r="W867" s="96"/>
      <c r="X867" s="96"/>
    </row>
    <row r="868">
      <c r="H868" s="96"/>
      <c r="I868" s="96"/>
      <c r="K868" s="97"/>
      <c r="P868" s="35"/>
      <c r="Q868" s="35"/>
      <c r="R868" s="35"/>
      <c r="U868" s="98"/>
      <c r="V868" s="98"/>
      <c r="W868" s="96"/>
      <c r="X868" s="96"/>
    </row>
    <row r="869">
      <c r="H869" s="96"/>
      <c r="I869" s="96"/>
      <c r="K869" s="97"/>
      <c r="P869" s="35"/>
      <c r="Q869" s="35"/>
      <c r="R869" s="35"/>
      <c r="U869" s="98"/>
      <c r="V869" s="98"/>
      <c r="W869" s="96"/>
      <c r="X869" s="96"/>
    </row>
    <row r="870">
      <c r="H870" s="96"/>
      <c r="I870" s="96"/>
      <c r="K870" s="97"/>
      <c r="P870" s="35"/>
      <c r="Q870" s="35"/>
      <c r="R870" s="35"/>
      <c r="U870" s="98"/>
      <c r="V870" s="98"/>
      <c r="W870" s="96"/>
      <c r="X870" s="96"/>
    </row>
    <row r="871">
      <c r="H871" s="96"/>
      <c r="I871" s="96"/>
      <c r="K871" s="97"/>
      <c r="P871" s="35"/>
      <c r="Q871" s="35"/>
      <c r="R871" s="35"/>
      <c r="U871" s="98"/>
      <c r="V871" s="98"/>
      <c r="W871" s="96"/>
      <c r="X871" s="96"/>
    </row>
    <row r="872">
      <c r="H872" s="96"/>
      <c r="I872" s="96"/>
      <c r="K872" s="97"/>
      <c r="P872" s="35"/>
      <c r="Q872" s="35"/>
      <c r="R872" s="35"/>
      <c r="U872" s="98"/>
      <c r="V872" s="98"/>
      <c r="W872" s="96"/>
      <c r="X872" s="96"/>
    </row>
    <row r="873">
      <c r="H873" s="96"/>
      <c r="I873" s="96"/>
      <c r="K873" s="97"/>
      <c r="P873" s="35"/>
      <c r="Q873" s="35"/>
      <c r="R873" s="35"/>
      <c r="U873" s="98"/>
      <c r="V873" s="98"/>
      <c r="W873" s="96"/>
      <c r="X873" s="96"/>
    </row>
    <row r="874">
      <c r="H874" s="96"/>
      <c r="I874" s="96"/>
      <c r="K874" s="97"/>
      <c r="P874" s="35"/>
      <c r="Q874" s="35"/>
      <c r="R874" s="35"/>
      <c r="U874" s="98"/>
      <c r="V874" s="98"/>
      <c r="W874" s="96"/>
      <c r="X874" s="96"/>
    </row>
    <row r="875">
      <c r="H875" s="96"/>
      <c r="I875" s="96"/>
      <c r="K875" s="97"/>
      <c r="P875" s="35"/>
      <c r="Q875" s="35"/>
      <c r="R875" s="35"/>
      <c r="U875" s="98"/>
      <c r="V875" s="98"/>
      <c r="W875" s="96"/>
      <c r="X875" s="96"/>
    </row>
    <row r="876">
      <c r="H876" s="96"/>
      <c r="I876" s="96"/>
      <c r="K876" s="97"/>
      <c r="P876" s="35"/>
      <c r="Q876" s="35"/>
      <c r="R876" s="35"/>
      <c r="U876" s="98"/>
      <c r="V876" s="98"/>
      <c r="W876" s="96"/>
      <c r="X876" s="96"/>
    </row>
    <row r="877">
      <c r="H877" s="96"/>
      <c r="I877" s="96"/>
      <c r="K877" s="97"/>
      <c r="P877" s="35"/>
      <c r="Q877" s="35"/>
      <c r="R877" s="35"/>
      <c r="U877" s="98"/>
      <c r="V877" s="98"/>
      <c r="W877" s="96"/>
      <c r="X877" s="96"/>
    </row>
    <row r="878">
      <c r="H878" s="96"/>
      <c r="I878" s="96"/>
      <c r="K878" s="97"/>
      <c r="P878" s="35"/>
      <c r="Q878" s="35"/>
      <c r="R878" s="35"/>
      <c r="U878" s="98"/>
      <c r="V878" s="98"/>
      <c r="W878" s="96"/>
      <c r="X878" s="96"/>
    </row>
    <row r="879">
      <c r="H879" s="96"/>
      <c r="I879" s="96"/>
      <c r="K879" s="97"/>
      <c r="P879" s="35"/>
      <c r="Q879" s="35"/>
      <c r="R879" s="35"/>
      <c r="U879" s="98"/>
      <c r="V879" s="98"/>
      <c r="W879" s="96"/>
      <c r="X879" s="96"/>
    </row>
    <row r="880">
      <c r="H880" s="96"/>
      <c r="I880" s="96"/>
      <c r="K880" s="97"/>
      <c r="P880" s="35"/>
      <c r="Q880" s="35"/>
      <c r="R880" s="35"/>
      <c r="U880" s="98"/>
      <c r="V880" s="98"/>
      <c r="W880" s="96"/>
      <c r="X880" s="96"/>
    </row>
    <row r="881">
      <c r="H881" s="96"/>
      <c r="I881" s="96"/>
      <c r="K881" s="97"/>
      <c r="P881" s="35"/>
      <c r="Q881" s="35"/>
      <c r="R881" s="35"/>
      <c r="U881" s="98"/>
      <c r="V881" s="98"/>
      <c r="W881" s="96"/>
      <c r="X881" s="96"/>
    </row>
    <row r="882">
      <c r="H882" s="96"/>
      <c r="I882" s="96"/>
      <c r="K882" s="97"/>
      <c r="P882" s="35"/>
      <c r="Q882" s="35"/>
      <c r="R882" s="35"/>
      <c r="U882" s="98"/>
      <c r="V882" s="98"/>
      <c r="W882" s="96"/>
      <c r="X882" s="96"/>
    </row>
    <row r="883">
      <c r="H883" s="96"/>
      <c r="I883" s="96"/>
      <c r="K883" s="97"/>
      <c r="P883" s="35"/>
      <c r="Q883" s="35"/>
      <c r="R883" s="35"/>
      <c r="U883" s="98"/>
      <c r="V883" s="98"/>
      <c r="W883" s="96"/>
      <c r="X883" s="96"/>
    </row>
    <row r="884">
      <c r="H884" s="96"/>
      <c r="I884" s="96"/>
      <c r="K884" s="97"/>
      <c r="P884" s="35"/>
      <c r="Q884" s="35"/>
      <c r="R884" s="35"/>
      <c r="U884" s="98"/>
      <c r="V884" s="98"/>
      <c r="W884" s="96"/>
      <c r="X884" s="96"/>
    </row>
    <row r="885">
      <c r="H885" s="96"/>
      <c r="I885" s="96"/>
      <c r="K885" s="97"/>
      <c r="P885" s="35"/>
      <c r="Q885" s="35"/>
      <c r="R885" s="35"/>
      <c r="U885" s="98"/>
      <c r="V885" s="98"/>
      <c r="W885" s="96"/>
      <c r="X885" s="96"/>
    </row>
    <row r="886">
      <c r="H886" s="96"/>
      <c r="I886" s="96"/>
      <c r="K886" s="97"/>
      <c r="P886" s="35"/>
      <c r="Q886" s="35"/>
      <c r="R886" s="35"/>
      <c r="U886" s="98"/>
      <c r="V886" s="98"/>
      <c r="W886" s="96"/>
      <c r="X886" s="96"/>
    </row>
    <row r="887">
      <c r="H887" s="96"/>
      <c r="I887" s="96"/>
      <c r="K887" s="97"/>
      <c r="P887" s="35"/>
      <c r="Q887" s="35"/>
      <c r="R887" s="35"/>
      <c r="U887" s="98"/>
      <c r="V887" s="98"/>
      <c r="W887" s="96"/>
      <c r="X887" s="96"/>
    </row>
    <row r="888">
      <c r="H888" s="96"/>
      <c r="I888" s="96"/>
      <c r="K888" s="97"/>
      <c r="P888" s="35"/>
      <c r="Q888" s="35"/>
      <c r="R888" s="35"/>
      <c r="U888" s="98"/>
      <c r="V888" s="98"/>
      <c r="W888" s="96"/>
      <c r="X888" s="96"/>
    </row>
    <row r="889">
      <c r="H889" s="96"/>
      <c r="I889" s="96"/>
      <c r="K889" s="97"/>
      <c r="P889" s="35"/>
      <c r="Q889" s="35"/>
      <c r="R889" s="35"/>
      <c r="U889" s="98"/>
      <c r="V889" s="98"/>
      <c r="W889" s="96"/>
      <c r="X889" s="96"/>
    </row>
    <row r="890">
      <c r="H890" s="96"/>
      <c r="I890" s="96"/>
      <c r="K890" s="97"/>
      <c r="P890" s="35"/>
      <c r="Q890" s="35"/>
      <c r="R890" s="35"/>
      <c r="U890" s="98"/>
      <c r="V890" s="98"/>
      <c r="W890" s="96"/>
      <c r="X890" s="96"/>
    </row>
    <row r="891">
      <c r="H891" s="96"/>
      <c r="I891" s="96"/>
      <c r="K891" s="97"/>
      <c r="P891" s="35"/>
      <c r="Q891" s="35"/>
      <c r="R891" s="35"/>
      <c r="U891" s="98"/>
      <c r="V891" s="98"/>
      <c r="W891" s="96"/>
      <c r="X891" s="96"/>
    </row>
    <row r="892">
      <c r="H892" s="96"/>
      <c r="I892" s="96"/>
      <c r="K892" s="97"/>
      <c r="P892" s="35"/>
      <c r="Q892" s="35"/>
      <c r="R892" s="35"/>
      <c r="U892" s="98"/>
      <c r="V892" s="98"/>
      <c r="W892" s="96"/>
      <c r="X892" s="96"/>
    </row>
    <row r="893">
      <c r="H893" s="96"/>
      <c r="I893" s="96"/>
      <c r="K893" s="97"/>
      <c r="P893" s="35"/>
      <c r="Q893" s="35"/>
      <c r="R893" s="35"/>
      <c r="U893" s="98"/>
      <c r="V893" s="98"/>
      <c r="W893" s="96"/>
      <c r="X893" s="96"/>
    </row>
    <row r="894">
      <c r="H894" s="96"/>
      <c r="I894" s="96"/>
      <c r="K894" s="97"/>
      <c r="P894" s="35"/>
      <c r="Q894" s="35"/>
      <c r="R894" s="35"/>
      <c r="U894" s="98"/>
      <c r="V894" s="98"/>
      <c r="W894" s="96"/>
      <c r="X894" s="96"/>
    </row>
    <row r="895">
      <c r="H895" s="96"/>
      <c r="I895" s="96"/>
      <c r="K895" s="97"/>
      <c r="P895" s="35"/>
      <c r="Q895" s="35"/>
      <c r="R895" s="35"/>
      <c r="U895" s="98"/>
      <c r="V895" s="98"/>
      <c r="W895" s="96"/>
      <c r="X895" s="96"/>
    </row>
    <row r="896">
      <c r="H896" s="96"/>
      <c r="I896" s="96"/>
      <c r="K896" s="97"/>
      <c r="P896" s="35"/>
      <c r="Q896" s="35"/>
      <c r="R896" s="35"/>
      <c r="U896" s="98"/>
      <c r="V896" s="98"/>
      <c r="W896" s="96"/>
      <c r="X896" s="96"/>
    </row>
    <row r="897">
      <c r="H897" s="96"/>
      <c r="I897" s="96"/>
      <c r="K897" s="97"/>
      <c r="P897" s="35"/>
      <c r="Q897" s="35"/>
      <c r="R897" s="35"/>
      <c r="U897" s="98"/>
      <c r="V897" s="98"/>
      <c r="W897" s="96"/>
      <c r="X897" s="96"/>
    </row>
    <row r="898">
      <c r="H898" s="96"/>
      <c r="I898" s="96"/>
      <c r="K898" s="97"/>
      <c r="P898" s="35"/>
      <c r="Q898" s="35"/>
      <c r="R898" s="35"/>
      <c r="U898" s="98"/>
      <c r="V898" s="98"/>
      <c r="W898" s="96"/>
      <c r="X898" s="96"/>
    </row>
    <row r="899">
      <c r="H899" s="96"/>
      <c r="I899" s="96"/>
      <c r="K899" s="97"/>
      <c r="P899" s="35"/>
      <c r="Q899" s="35"/>
      <c r="R899" s="35"/>
      <c r="U899" s="98"/>
      <c r="V899" s="98"/>
      <c r="W899" s="96"/>
      <c r="X899" s="96"/>
    </row>
    <row r="900">
      <c r="H900" s="96"/>
      <c r="I900" s="96"/>
      <c r="K900" s="97"/>
      <c r="P900" s="35"/>
      <c r="Q900" s="35"/>
      <c r="R900" s="35"/>
      <c r="U900" s="98"/>
      <c r="V900" s="98"/>
      <c r="W900" s="96"/>
      <c r="X900" s="96"/>
    </row>
    <row r="901">
      <c r="H901" s="96"/>
      <c r="I901" s="96"/>
      <c r="K901" s="97"/>
      <c r="P901" s="35"/>
      <c r="Q901" s="35"/>
      <c r="R901" s="35"/>
      <c r="U901" s="98"/>
      <c r="V901" s="98"/>
      <c r="W901" s="96"/>
      <c r="X901" s="96"/>
    </row>
    <row r="902">
      <c r="H902" s="96"/>
      <c r="I902" s="96"/>
      <c r="K902" s="97"/>
      <c r="P902" s="35"/>
      <c r="Q902" s="35"/>
      <c r="R902" s="35"/>
      <c r="U902" s="98"/>
      <c r="V902" s="98"/>
      <c r="W902" s="96"/>
      <c r="X902" s="96"/>
    </row>
    <row r="903">
      <c r="H903" s="96"/>
      <c r="I903" s="96"/>
      <c r="K903" s="97"/>
      <c r="P903" s="35"/>
      <c r="Q903" s="35"/>
      <c r="R903" s="35"/>
      <c r="U903" s="98"/>
      <c r="V903" s="98"/>
      <c r="W903" s="96"/>
      <c r="X903" s="96"/>
    </row>
    <row r="904">
      <c r="H904" s="96"/>
      <c r="I904" s="96"/>
      <c r="K904" s="97"/>
      <c r="P904" s="35"/>
      <c r="Q904" s="35"/>
      <c r="R904" s="35"/>
      <c r="U904" s="98"/>
      <c r="V904" s="98"/>
      <c r="W904" s="96"/>
      <c r="X904" s="96"/>
    </row>
    <row r="905">
      <c r="H905" s="96"/>
      <c r="I905" s="96"/>
      <c r="K905" s="97"/>
      <c r="P905" s="35"/>
      <c r="Q905" s="35"/>
      <c r="R905" s="35"/>
      <c r="U905" s="98"/>
      <c r="V905" s="98"/>
      <c r="W905" s="96"/>
      <c r="X905" s="96"/>
    </row>
    <row r="906">
      <c r="H906" s="96"/>
      <c r="I906" s="96"/>
      <c r="K906" s="97"/>
      <c r="P906" s="35"/>
      <c r="Q906" s="35"/>
      <c r="R906" s="35"/>
      <c r="U906" s="98"/>
      <c r="V906" s="98"/>
      <c r="W906" s="96"/>
      <c r="X906" s="96"/>
    </row>
    <row r="907">
      <c r="H907" s="96"/>
      <c r="I907" s="96"/>
      <c r="K907" s="97"/>
      <c r="P907" s="35"/>
      <c r="Q907" s="35"/>
      <c r="R907" s="35"/>
      <c r="U907" s="98"/>
      <c r="V907" s="98"/>
      <c r="W907" s="96"/>
      <c r="X907" s="96"/>
    </row>
    <row r="908">
      <c r="H908" s="96"/>
      <c r="I908" s="96"/>
      <c r="K908" s="97"/>
      <c r="P908" s="35"/>
      <c r="Q908" s="35"/>
      <c r="R908" s="35"/>
      <c r="U908" s="98"/>
      <c r="V908" s="98"/>
      <c r="W908" s="96"/>
      <c r="X908" s="96"/>
    </row>
    <row r="909">
      <c r="H909" s="96"/>
      <c r="I909" s="96"/>
      <c r="K909" s="97"/>
      <c r="P909" s="35"/>
      <c r="Q909" s="35"/>
      <c r="R909" s="35"/>
      <c r="U909" s="98"/>
      <c r="V909" s="98"/>
      <c r="W909" s="96"/>
      <c r="X909" s="96"/>
    </row>
  </sheetData>
  <autoFilter ref="$A$2:$AI$248">
    <filterColumn colId="11">
      <filters>
        <filter val="MAGMA"/>
      </filters>
    </filterColumn>
  </autoFilter>
  <dataValidations>
    <dataValidation type="list" allowBlank="1" showErrorMessage="1" sqref="M1 M3:M248">
      <formula1>"TP,FULL,SAOD"</formula1>
    </dataValidation>
  </dataValidations>
  <drawing r:id="rId1"/>
</worksheet>
</file>