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Sheet1!$A$2:$AG$315</definedName>
  </definedNames>
  <calcPr/>
</workbook>
</file>

<file path=xl/sharedStrings.xml><?xml version="1.0" encoding="utf-8"?>
<sst xmlns="http://schemas.openxmlformats.org/spreadsheetml/2006/main" count="4384" uniqueCount="1917">
  <si>
    <t xml:space="preserve"> </t>
  </si>
  <si>
    <t>ISSUE DATE</t>
  </si>
  <si>
    <t>REG NO</t>
  </si>
  <si>
    <t>POLICY NO.</t>
  </si>
  <si>
    <t>CAT</t>
  </si>
  <si>
    <t>MODEL</t>
  </si>
  <si>
    <t>NAME</t>
  </si>
  <si>
    <t>MOBILE NUMBER 1</t>
  </si>
  <si>
    <t>MOBILE NUMBER 2</t>
  </si>
  <si>
    <t>Other Works</t>
  </si>
  <si>
    <t>GVW</t>
  </si>
  <si>
    <t>EXP DATE</t>
  </si>
  <si>
    <t>COMPANY</t>
  </si>
  <si>
    <t>TP/FULL/SAOD</t>
  </si>
  <si>
    <t>VIA</t>
  </si>
  <si>
    <t>FROM</t>
  </si>
  <si>
    <t>ANGEL /
TORQUE</t>
  </si>
  <si>
    <t>CF EXPIRY</t>
  </si>
  <si>
    <t>PUC EXPIRY</t>
  </si>
  <si>
    <t>PERMIT EXPIRY</t>
  </si>
  <si>
    <t>N PERMIT EXPIRY</t>
  </si>
  <si>
    <t>NET PREMIUM</t>
  </si>
  <si>
    <t>TOTAL PREMIUM</t>
  </si>
  <si>
    <t>Rate</t>
  </si>
  <si>
    <t>RS FROM CUSTOMER</t>
  </si>
  <si>
    <t>Difference</t>
  </si>
  <si>
    <t>NET RATE</t>
  </si>
  <si>
    <t>ONLINE UPDATE</t>
  </si>
  <si>
    <t>ADDRESS</t>
  </si>
  <si>
    <t>RUBARU / COURIER / POST</t>
  </si>
  <si>
    <t>Tracking ID</t>
  </si>
  <si>
    <t>RCVD BY CUST</t>
  </si>
  <si>
    <t>GJ36W7240</t>
  </si>
  <si>
    <t>213049/31/26/007493</t>
  </si>
  <si>
    <t>3W PCV</t>
  </si>
  <si>
    <t>BAJAJ AUTO - MAXIMA Z CNG BS 6</t>
  </si>
  <si>
    <t>PRADIP KANTIBHAI ZINZUVADIYA</t>
  </si>
  <si>
    <t>30/09/2026</t>
  </si>
  <si>
    <t>SHRIRAM</t>
  </si>
  <si>
    <t>FULL</t>
  </si>
  <si>
    <t>BR</t>
  </si>
  <si>
    <t>DC</t>
  </si>
  <si>
    <t>YES</t>
  </si>
  <si>
    <t>KHADIVAS VAGHARAVA MANABA,MALIYA MIYANA,,363670 , MALIYA MIYANA , RAJKOT, GUJARAT</t>
  </si>
  <si>
    <t>GJ36W0928</t>
  </si>
  <si>
    <t>213049/31/26/007507</t>
  </si>
  <si>
    <t>MANSUKH GOVINDBHAI KAGTHARA</t>
  </si>
  <si>
    <t>RN</t>
  </si>
  <si>
    <t>DHOLESHWAR ROAD NR MAHAKALI OIL MILL VC PARA , BAGATHALA , RAJKOT, GUJARAT</t>
  </si>
  <si>
    <t>GJ36T7437</t>
  </si>
  <si>
    <t>161522523340012196</t>
  </si>
  <si>
    <t>LCV</t>
  </si>
  <si>
    <t>MARUTI SUZUKI SUPER CARRY &amp; CNG BS6</t>
  </si>
  <si>
    <t>MOHYUDIN ADAMBHAI MAKVANA</t>
  </si>
  <si>
    <t>84600 78682</t>
  </si>
  <si>
    <t>RELIANCE</t>
  </si>
  <si>
    <t>AL</t>
  </si>
  <si>
    <t>IS</t>
  </si>
  <si>
    <t>16-04-2027</t>
  </si>
  <si>
    <t>15-04-2026</t>
  </si>
  <si>
    <t>19-134 ASHIYANA SOCIETY AT-WANKANER,TA-WANKANER MORBI MORBI, GUJARAT, India, 363641.</t>
  </si>
  <si>
    <t>GJ12FE4439</t>
  </si>
  <si>
    <t>161122523090001702</t>
  </si>
  <si>
    <t>LMV</t>
  </si>
  <si>
    <t>MARUTI SUZUKI ERTIGA VXI CNG O</t>
  </si>
  <si>
    <t>RABARI NAGJIBHAI VELABHAI</t>
  </si>
  <si>
    <t>SAOD</t>
  </si>
  <si>
    <t>RB</t>
  </si>
  <si>
    <t>PARMAR VAS KIDIYANAGAR KACHCHH BHACHAU, KACHCHH, GUJARAT, India, 370145</t>
  </si>
  <si>
    <t>20-11-2025</t>
  </si>
  <si>
    <t>GJ03DG8849</t>
  </si>
  <si>
    <t>D228216912 / 01102025</t>
  </si>
  <si>
    <t>ALTO/LXI</t>
  </si>
  <si>
    <t>LORIYA DHARMENDRABHAI MANJIBHAI</t>
  </si>
  <si>
    <t>DIGIT</t>
  </si>
  <si>
    <t>TP</t>
  </si>
  <si>
    <t>OF</t>
  </si>
  <si>
    <t>28-03-2026</t>
  </si>
  <si>
    <t>JIVAPAR CHAKAMPAR MORBI RAJKOT,Morbi363641</t>
  </si>
  <si>
    <t xml:space="preserve">  </t>
  </si>
  <si>
    <t>GJ36H1808</t>
  </si>
  <si>
    <t>D228215416 / 01102025</t>
  </si>
  <si>
    <t>2W</t>
  </si>
  <si>
    <t>SUPER SPLENDOR/ELECTIC ST DRUM BRAKE CAST WHL</t>
  </si>
  <si>
    <t>RATHOD AMRUTLAL ARJANBHAI</t>
  </si>
  <si>
    <t>15-06-2032</t>
  </si>
  <si>
    <t>28-11-2025</t>
  </si>
  <si>
    <t>185 TRIDEV NAGAR OPP VILSON PAPER MILL LILAPAR ROAD,MORBI-363641</t>
  </si>
  <si>
    <t>GJ36W0951</t>
  </si>
  <si>
    <t>0604003125P110559011</t>
  </si>
  <si>
    <t>3W GCV</t>
  </si>
  <si>
    <t>Bajaj Auto Ltd / BAJAJ MAXIMA C-CNG nul</t>
  </si>
  <si>
    <t>MR DALPAUTRA FIROJ HAJIBHAI</t>
  </si>
  <si>
    <t>:01/10/2026</t>
  </si>
  <si>
    <t>UNITED</t>
  </si>
  <si>
    <t>HADMATIYA RAJKOT MORBI</t>
  </si>
  <si>
    <t>GJ36V6311</t>
  </si>
  <si>
    <t>AVO/2315/12270871</t>
  </si>
  <si>
    <t>HGV</t>
  </si>
  <si>
    <t>TATA SIGNA 5530.S BSVI TRUCKS</t>
  </si>
  <si>
    <t>DADA EARTHMOVERS</t>
  </si>
  <si>
    <t>884 928 9727</t>
  </si>
  <si>
    <t>UNIVERSAL</t>
  </si>
  <si>
    <t>28-05-2026</t>
  </si>
  <si>
    <t>FIRST FLOOR, SHOP NO F4, RUSHIKESH COMPLEX, GHOGHA ROAD, NEAR FATIMA SCHOOL Gujarat,Bhavnagar,364001</t>
  </si>
  <si>
    <t>GJ36W0763</t>
  </si>
  <si>
    <t>213049/31/26/007539</t>
  </si>
  <si>
    <t>DIVAKAR VASANTDAS KUBAVAT</t>
  </si>
  <si>
    <t>GHUNTU, MORBI GUJARAT, 363641 , GHUNTU , RAJKOT, GUJARAT</t>
  </si>
  <si>
    <t>GJ03BH1969</t>
  </si>
  <si>
    <t>D228355818 / 02102025</t>
  </si>
  <si>
    <t>SPLENDOR PLUS/STD</t>
  </si>
  <si>
    <t>SAVARIYA HARSH VIKESH</t>
  </si>
  <si>
    <t>13-09-2026</t>
  </si>
  <si>
    <t>RAJPAR PO RAJPAR RAJKOT,MORBI363641</t>
  </si>
  <si>
    <t>GJ03EQ8394</t>
  </si>
  <si>
    <t>D228355274 / 02102025</t>
  </si>
  <si>
    <t>SHINE/ELEC ST DRUM BRAKE AWS</t>
  </si>
  <si>
    <t>PARMAR VRUJLAL</t>
  </si>
  <si>
    <t>18-09-2025</t>
  </si>
  <si>
    <t>AT DHANFULIYA,TA VANTHALI,,JUNAGADH-362205</t>
  </si>
  <si>
    <t>GJ36AJ4693</t>
  </si>
  <si>
    <t>POCMVMI0100279161</t>
  </si>
  <si>
    <t>OTHER</t>
  </si>
  <si>
    <t>Mahindra &amp; Mahindra 275 DI &amp; TU MKM DLX</t>
  </si>
  <si>
    <t>KUMBHARVADIYA KANJIBHAI DAYABHAL</t>
  </si>
  <si>
    <t>SBI</t>
  </si>
  <si>
    <t>MA</t>
  </si>
  <si>
    <t>AT DHUDKOT, TA MORBI, MORBI, , Rajkot, , Gujarat, 363641 India.</t>
  </si>
  <si>
    <t>GJ36W0731</t>
  </si>
  <si>
    <t>0604003125P110595173</t>
  </si>
  <si>
    <t>Bajaj Auto Ltd / BAJAJ MAXIMA CARGO CNG THREE WHEELER(GOODS)</t>
  </si>
  <si>
    <t>MR PARMAR MAYUR</t>
  </si>
  <si>
    <t>30-09-2026</t>
  </si>
  <si>
    <t>NEAR APPU POLYMERS LALPAR MORBI</t>
  </si>
  <si>
    <t>GJ36T8009</t>
  </si>
  <si>
    <t>POCMVGC0100491432</t>
  </si>
  <si>
    <t>Tata Motors,LPK 3118 &amp; CRE 8X4 BS4 - 35000 GVW</t>
  </si>
  <si>
    <t>KHODIYAR ENTERPRISE</t>
  </si>
  <si>
    <t>99799 49994</t>
  </si>
  <si>
    <t>NH</t>
  </si>
  <si>
    <t>26-10-2025</t>
  </si>
  <si>
    <t>14-08-2026</t>
  </si>
  <si>
    <t>SHREENATH PARK BLOCK NO 11 BH,KHODIYAR DAIRY NR RANCHHODDAS,ASHRAM BEDIPARA,Rajkot,Gujarat360003,India</t>
  </si>
  <si>
    <t>GJ36W0883</t>
  </si>
  <si>
    <t>213049/31/26/007553</t>
  </si>
  <si>
    <t>SAHRUKHBHAI BOGHADIYA</t>
  </si>
  <si>
    <t>ASHIYANA SOC PARVEZ PARK, TAL WANKANER, , MORBI, GUJARAT, 363621 , AMARPARA WANKANER , RAJKOT, GUJARAT</t>
  </si>
  <si>
    <t>GJ05RJ0870</t>
  </si>
  <si>
    <t>D228469044 / 03102025</t>
  </si>
  <si>
    <t>BALENO NEW/1.2 ALPHA</t>
  </si>
  <si>
    <t>BHATTI ASIF</t>
  </si>
  <si>
    <t>6354 388 164</t>
  </si>
  <si>
    <t>93,RAILWAY COLONY MALIYA MIYANA,MALIYA MIYANA,MALIYA MIYANA,MORBI,GUJARAT,Morbi-363641</t>
  </si>
  <si>
    <t>GJ36W2120</t>
  </si>
  <si>
    <t>213049/31/26/007590</t>
  </si>
  <si>
    <t>THUKRAL ELECTRIC BIKES - THUKRAL EC1 LI.</t>
  </si>
  <si>
    <t>SANJAYBHAI ISHVARBHAI CHELANIYA</t>
  </si>
  <si>
    <t>96265  02540</t>
  </si>
  <si>
    <t>29-09-2026</t>
  </si>
  <si>
    <t>RAMDEVPIR MANDIR NI SAME,VARIYA NAGAR,SO ORDI,363642 , MORBI PPW , RAJKOT, GUJARAT</t>
  </si>
  <si>
    <t>GJ03BY4703</t>
  </si>
  <si>
    <t>213049/31/26/007580</t>
  </si>
  <si>
    <t>TATA MOTORS - SIGNA 3525 TK 8X4 BS 6</t>
  </si>
  <si>
    <t xml:space="preserve">TEJABHAI MEPABHAI NAGAR </t>
  </si>
  <si>
    <t>JP</t>
  </si>
  <si>
    <t>31-10-2026</t>
  </si>
  <si>
    <t>17-04-2026</t>
  </si>
  <si>
    <t>13-02-2028</t>
  </si>
  <si>
    <t>NEAR LALPAR WAY BRIDGE DHAR VISTAR ,AT LALPAR TA MORBI DISMORBIRAJKOTGUJARAT 363641 , MORBI , RAJKOT, GUJARAT</t>
  </si>
  <si>
    <t>GJ36W3515</t>
  </si>
  <si>
    <t>213049/31/26/007575</t>
  </si>
  <si>
    <t>BHARAT MOHANBHAI CHAVDA</t>
  </si>
  <si>
    <t>63511 30593</t>
  </si>
  <si>
    <t>28-07-2026</t>
  </si>
  <si>
    <t>18-12-2025</t>
  </si>
  <si>
    <t>SAMDHIYALA,WANKANER MORBI,,363621 , SAMADHIYALA , RAJKOT, GUJARAT</t>
  </si>
  <si>
    <t>GJ03BW5990</t>
  </si>
  <si>
    <t>MAHINDRA/BOLERO/M AXI TRUCK PLUS 1.2T P S BS4/OPEN/PICK UP V AN</t>
  </si>
  <si>
    <t>CHAVADA RASIKBHAI DEVSHIBHAI</t>
  </si>
  <si>
    <t>TATA</t>
  </si>
  <si>
    <t>SA</t>
  </si>
  <si>
    <t>19-01-2024</t>
  </si>
  <si>
    <t>PANELI PANELI RAJKOT MORBI, GUJARAT, 3636 42</t>
  </si>
  <si>
    <t>GJ36T4836</t>
  </si>
  <si>
    <t>132/02/17/1026/MTP/1010192766</t>
  </si>
  <si>
    <t>MAHINDRA AND MAHINDRA BOLERO PICK UP FB PS 1.7 T</t>
  </si>
  <si>
    <t>RAMJANBHAI MUSABHAI LAKHA</t>
  </si>
  <si>
    <t>FUTURE</t>
  </si>
  <si>
    <t>19-09-2026</t>
  </si>
  <si>
    <t>PLOT NUMBER 57 SHREE RAM PARK2, VAVDI ROAD, RAJKOT, GUJARAT, INDIA,</t>
  </si>
  <si>
    <t>GJ36AC7725</t>
  </si>
  <si>
    <t>POPMCAR00102009659</t>
  </si>
  <si>
    <t>Maruti Suzuki,New Ertiga - Petrol &amp; VXI CNG</t>
  </si>
  <si>
    <t>MOSAT MAHENDRABHAI SHIVLALBHAI</t>
  </si>
  <si>
    <t>BLOCK NO 502 SHYAM APP GOKULNAGAR, RAVAPAR ROAD, MORBI, Rajkot,</t>
  </si>
  <si>
    <t>GJ36V2272</t>
  </si>
  <si>
    <t>161522523340012243</t>
  </si>
  <si>
    <t>MARUTI SUZUKI SUPER CARRY &amp; STD</t>
  </si>
  <si>
    <t>TOTA KHODIDAS NANJIBHAI</t>
  </si>
  <si>
    <t>KERALA MORBI MORBI, GUJARAT, India, 363641.</t>
  </si>
  <si>
    <t>GJ36U9318</t>
  </si>
  <si>
    <t>213049/31/26/007631</t>
  </si>
  <si>
    <t>JUMA UMARBHAI CHANIA</t>
  </si>
  <si>
    <t>13-12-2024</t>
  </si>
  <si>
    <t>27-12-2027</t>
  </si>
  <si>
    <t>PANCHASAR ROAD,BHARATPARA MDG,,363641, MORBI RAJKOT, GUJARAT</t>
  </si>
  <si>
    <t xml:space="preserve">OFFICE </t>
  </si>
  <si>
    <t>27-11-2025</t>
  </si>
  <si>
    <t xml:space="preserve">DONE </t>
  </si>
  <si>
    <t>GJ36W2463</t>
  </si>
  <si>
    <t>213049/31/26/007630</t>
  </si>
  <si>
    <t>GANESHBHAI NANJIBHAI KHODA</t>
  </si>
  <si>
    <t>VR</t>
  </si>
  <si>
    <t>21-10-2029</t>
  </si>
  <si>
    <t>VIJAYNAGAR-2 NEAR, SUN RISE TILES, , MORBI, GUJARAT, 363641 , MORBI , RAJKOT, GUJARAT</t>
  </si>
  <si>
    <t>GJ03BX3380</t>
  </si>
  <si>
    <t>213049/31/26/007629</t>
  </si>
  <si>
    <t>VAGHELA JITENDRABHAI CHOTHABHAI</t>
  </si>
  <si>
    <t>6355 541 398</t>
  </si>
  <si>
    <t>97730 29603</t>
  </si>
  <si>
    <t>MT</t>
  </si>
  <si>
    <t>SHANTIDHAM 2, VERAVAL SHAPAR, VERAVAL,RAJKOTGUJARAT - 360024 , SHAPAR , RAJKOT, GUJARAT</t>
  </si>
  <si>
    <t>GJ12AU8507</t>
  </si>
  <si>
    <t>3003/A/410857703/00/B00</t>
  </si>
  <si>
    <t>ASHOK LEYLAND TANKER 3116 TANKER</t>
  </si>
  <si>
    <t>SARVAIYA AJAY HIRABHAI</t>
  </si>
  <si>
    <t>70699 99652</t>
  </si>
  <si>
    <t>ICICI</t>
  </si>
  <si>
    <t>17-09-2026</t>
  </si>
  <si>
    <t>17-03-2026</t>
  </si>
  <si>
    <t>LAKADDHAR WANKANER MORBI, RAJKOT, GUJARAT 363621</t>
  </si>
  <si>
    <t>GJ03AW4014</t>
  </si>
  <si>
    <t>12-1831-0008159910-00</t>
  </si>
  <si>
    <t>ASHOK LEYLAND 2516 IL</t>
  </si>
  <si>
    <t>Digvijaysinh Dilavrsinh Jadeja</t>
  </si>
  <si>
    <t>95377 04952</t>
  </si>
  <si>
    <t>BAJAJ</t>
  </si>
  <si>
    <t>17-09-2028</t>
  </si>
  <si>
    <t>Momai Krupa Kayaji Plot 1 Main, Roadmorbi1tamorbi,,Morbi, , ,, Rajkot,, Gujarat</t>
  </si>
  <si>
    <t>GJ36L6602</t>
  </si>
  <si>
    <t>12-1805-0003889259-01</t>
  </si>
  <si>
    <t>MARUTI EECO</t>
  </si>
  <si>
    <t>Chaniya Hanifbhai Ayubbhai</t>
  </si>
  <si>
    <t>Kalika Plot Husheni Chowk Morvi Rajkot Morbi Mdg, , , Morabi,, Rajkot,, Gujarat-363641</t>
  </si>
  <si>
    <t>GJ16AV1557</t>
  </si>
  <si>
    <t>PR</t>
  </si>
  <si>
    <t>PANELI PANELI RAJKOT MORBI, GUJARAT, 3636 41</t>
  </si>
  <si>
    <t>GJ36AJ4450</t>
  </si>
  <si>
    <t>VE207968</t>
  </si>
  <si>
    <t>MAHINDRASCORPIO CLASSICS11 7S CC</t>
  </si>
  <si>
    <t>DIVAN SIKANDAR KASAMSHA</t>
  </si>
  <si>
    <t>79901 30795</t>
  </si>
  <si>
    <t>15-09-2038</t>
  </si>
  <si>
    <t>22-07-2026</t>
  </si>
  <si>
    <t>211 HASANPAR 3 SHAKTIPARA, VILLAGE WANKANER MORBI GUJARAT, 363621, RAJKOT, GUJARAT, 363621</t>
  </si>
  <si>
    <t>GJ03HK7047</t>
  </si>
  <si>
    <t>HYUNDAI CRETA 1.6 SX (O)</t>
  </si>
  <si>
    <t>Bhungar Yunushbhai Jumabhai</t>
  </si>
  <si>
    <t>99796 36464</t>
  </si>
  <si>
    <t>ZUNO</t>
  </si>
  <si>
    <t>26-07-2030</t>
  </si>
  <si>
    <t>SHADHIVAS TANKARA RAJKOT Rajkot 363650, Gujarat</t>
  </si>
  <si>
    <t>GJ36V2172</t>
  </si>
  <si>
    <t>161522523340012432</t>
  </si>
  <si>
    <t>TATA ACE &amp; GOLD+DIESEL BSVI IRISH_CREAM</t>
  </si>
  <si>
    <t>RATHOD HARDEVSINH RAMESHBHAI</t>
  </si>
  <si>
    <t>VISHIPARA WANKANER MORBI WANKANER, MORBI, GUJARAT, India, 363621</t>
  </si>
  <si>
    <t>GJ36W2452</t>
  </si>
  <si>
    <t>213049/31/26/007644</t>
  </si>
  <si>
    <t>VIPUL RAMESHBHAI SARVAIYA</t>
  </si>
  <si>
    <t>16-10-2029</t>
  </si>
  <si>
    <t>KHANPAR, WANKANER,, MORBI-GUJARAT-363621 , WANKANER , RAJKOT, GUJARAT</t>
  </si>
  <si>
    <t>GJ36W4764</t>
  </si>
  <si>
    <t>POCMVGC0100494396</t>
  </si>
  <si>
    <t>Bajaj Auto Limited,Maxima &amp; Cargo CNG DAC</t>
  </si>
  <si>
    <t>KANABAR SACHIN JAGDISHBHAI</t>
  </si>
  <si>
    <t>ARIHANT SOCIETY ,SANALA ROAD,MORBI,Rajkot,Gujarat363641,India</t>
  </si>
  <si>
    <t>GJ12EE6185</t>
  </si>
  <si>
    <t>POPMCAR00102013420</t>
  </si>
  <si>
    <t>Maruti Suzuki,Gypsy &amp; King HT - BS III</t>
  </si>
  <si>
    <t>JAM AYUBBHAI JUSABBHAI</t>
  </si>
  <si>
    <t>98792 71747‬</t>
  </si>
  <si>
    <t>99135 06547</t>
  </si>
  <si>
    <t>29-12-2024</t>
  </si>
  <si>
    <t>13-04-2025</t>
  </si>
  <si>
    <t>GANJA AREA NIMAKNAGAR KUDA DHRANGADHRA, SURENDRANAGAR, Surendra Nagar, Gujarat 363310</t>
  </si>
  <si>
    <t>GJ03BV2079</t>
  </si>
  <si>
    <t>161522523340012461</t>
  </si>
  <si>
    <t>ASHOK LEYLAND 3718 &amp; BS IV</t>
  </si>
  <si>
    <t>RAJESHBHAI ARJANBHAI CHAVDA</t>
  </si>
  <si>
    <t>19-12-2025</t>
  </si>
  <si>
    <t>31-12-2029</t>
  </si>
  <si>
    <t>31-12-2025</t>
  </si>
  <si>
    <t>AT MAHIKA TAL WANKANER MORBI WANKANER, MORBI, GUJARAT, India, 363621.</t>
  </si>
  <si>
    <t>GJ36V3968</t>
  </si>
  <si>
    <t>3003/410959033/00/B00</t>
  </si>
  <si>
    <t>SHOK LEYLAND PICK-UP VANS BADA DOST I4</t>
  </si>
  <si>
    <t>DETROJA CHATRABHUJ DHANJIBHAI</t>
  </si>
  <si>
    <t>90996 67887</t>
  </si>
  <si>
    <t>14-06-2024</t>
  </si>
  <si>
    <t>VANKIYA, SURENDRANAGAR, GUJARAT 363330</t>
  </si>
  <si>
    <t>GJ36W2113</t>
  </si>
  <si>
    <t>213049/31/26/007665</t>
  </si>
  <si>
    <t>ASHVINBHAI KARAMSHIBHAI MAKVANA</t>
  </si>
  <si>
    <t>98242 73242</t>
  </si>
  <si>
    <t>MILPLOT AMARSAR,WANKANER,,363621 , WANKANER , RAJKOT, GUJARAT</t>
  </si>
  <si>
    <t>GJ36V2889</t>
  </si>
  <si>
    <t>213049/31/26/007694</t>
  </si>
  <si>
    <t>TATA MOTORS - LPT 1212 DCR 42 HSD 125B6M5</t>
  </si>
  <si>
    <t>DHRANGIYA RAMESHBHAI GELABHAI</t>
  </si>
  <si>
    <t>AT-LUNASAR,, TAL-WANKANER,, TAL-WANKANER., MORBI- GUJARAT-363330 , LUNSAR , RAJKOT, GUJARAT</t>
  </si>
  <si>
    <t>GJ36V4720</t>
  </si>
  <si>
    <t>213049/31/26/007692</t>
  </si>
  <si>
    <t>MAHINDRA AND MAHINDRA - SUPRO PROFITTRUCK CNG DUO</t>
  </si>
  <si>
    <t>MANSUKH SARVAIYA</t>
  </si>
  <si>
    <t>24-08-2025</t>
  </si>
  <si>
    <t>JODHPUR WANKANER , .-WANKANER , RAJKOT, GUJARAT</t>
  </si>
  <si>
    <t>GJ14AT9419</t>
  </si>
  <si>
    <t>161522523340012525</t>
  </si>
  <si>
    <t>TATA LPT &amp; 1109</t>
  </si>
  <si>
    <t>LOKHIL DHAVAL BHARATBHAI</t>
  </si>
  <si>
    <t>83, MALIYA, Venasar, Rajkot, Gujarat - 363630 Venasar Rajkot Gujarat VAGHPAR MALIYA, RAJKOT, GUJARAT, India, 363630.</t>
  </si>
  <si>
    <t>GJ01CZ0841</t>
  </si>
  <si>
    <t>132/01/17/1026/MTP/1010195469</t>
  </si>
  <si>
    <t>ASHOK LEYLAND DOST LS</t>
  </si>
  <si>
    <t>MR NATHALAL GOVABHAI KUNDHIYA</t>
  </si>
  <si>
    <t>99132 97786</t>
  </si>
  <si>
    <t>18-08-2025</t>
  </si>
  <si>
    <t>DEVIPUJAK VAS TANKARA MORBI, RAJKOT, GUJARAT, INDIA</t>
  </si>
  <si>
    <t>GJ03AZ4635</t>
  </si>
  <si>
    <t>132/02/17/1026/MTP/1010195358</t>
  </si>
  <si>
    <t>MAHINDRA AND MAHINDRA BOLERO PICK UP FB 2WD BSIV</t>
  </si>
  <si>
    <t>MR GHANSHYAMBHAI ISHWARDAS SADHU</t>
  </si>
  <si>
    <t>91062 98548</t>
  </si>
  <si>
    <t>95109 80486</t>
  </si>
  <si>
    <t>24-04-2023</t>
  </si>
  <si>
    <t>THALA THALA TA DHRANGADHRA, SURENDRANAGAR, SURENDRANAGAR, GUJARAT, INDIA,</t>
  </si>
  <si>
    <t>GJ13AT9534</t>
  </si>
  <si>
    <t>132/02/17/1026/MTP/1010195466</t>
  </si>
  <si>
    <t>MAHINDRA AND MAHINDRA BOLERO MAXI TRUCK PLUS 2WD MDI</t>
  </si>
  <si>
    <t>MR RUKHADBHAI KARSHANBHAI GHANGHAL</t>
  </si>
  <si>
    <t>99049 42989</t>
  </si>
  <si>
    <t>BHAGVATI PARK HOUSE NO 1, LALPAR MORBI, RAJKOT, GUJARAT, INDIA, Pincode : 363642</t>
  </si>
  <si>
    <t>GJ13AX9992</t>
  </si>
  <si>
    <t>161122523340009863</t>
  </si>
  <si>
    <t>JANKIDASH BABUBHAI DUDHREJIYA</t>
  </si>
  <si>
    <t>23-02-2026</t>
  </si>
  <si>
    <t>29-05-2029</t>
  </si>
  <si>
    <t>29-05-2026</t>
  </si>
  <si>
    <t>CO 16 Koli Vas Naliyeri Surendra Nagar Naliyeri Gujarat India CHOTILA, SURENDRANAGAR, GUJARAT, India, 363520.</t>
  </si>
  <si>
    <t>GJ14Z9419</t>
  </si>
  <si>
    <t>161522523340012613</t>
  </si>
  <si>
    <t>BHARATBHAI KANGIBHAI LOKHIL</t>
  </si>
  <si>
    <t>31-03-2026</t>
  </si>
  <si>
    <t>19-10-2027</t>
  </si>
  <si>
    <t>KRUSHNANAGAR GUNGAN RAJKOT MORVI, RAJKOT, GUJARAT, India, 363642</t>
  </si>
  <si>
    <t>GJ36W2454</t>
  </si>
  <si>
    <t>213049/31/26/007736</t>
  </si>
  <si>
    <t>AMARSIBHAI MOHANBHAI PARMAR</t>
  </si>
  <si>
    <t>133 RAMDEVNAGAR SO ORADI, MORBIPPW,, ,MORBI PPW, MORBI - 363642 , MORBI PPW , RAJKOT, GUJARAT</t>
  </si>
  <si>
    <t>GJ36W2150</t>
  </si>
  <si>
    <t>213049/31/26/007729</t>
  </si>
  <si>
    <t>MAHINDRA AND MAHINDRA - ZOR GRAND PU</t>
  </si>
  <si>
    <t>AJAYKUMAR MEHTA</t>
  </si>
  <si>
    <t>AT DHARAMPUR , TA MORBI,DIS MORBI, MORBI -363642 , MORBI PPW , RAJKOT, GUJARAT</t>
  </si>
  <si>
    <t>GJ36X4311</t>
  </si>
  <si>
    <t>213049/31/26/007755</t>
  </si>
  <si>
    <t>MAHINDRA AND MAHINDRA - BOLERO CAMPER GOLD ZX 2WD PS</t>
  </si>
  <si>
    <t>NITIN GANESHBHAI KHAKHRIYA</t>
  </si>
  <si>
    <t>AT HADMATIYA,TA TANKARA,DIS MORBI,363642 , MORBI , RAJKOT, GUJARAT</t>
  </si>
  <si>
    <t>GJ13AW0933</t>
  </si>
  <si>
    <t>132/02/17/1026/MTP/1010196430</t>
  </si>
  <si>
    <t>MAHINDRA AND MAHINDRA BOLERO PICK UP FB PS BSIII</t>
  </si>
  <si>
    <t>MR MEHULKUMAR GELABHAI RATADIYA</t>
  </si>
  <si>
    <t>99788 84154</t>
  </si>
  <si>
    <t>CHORASH VAR PLOT, AT VANKADA TAL MORBI, RAJKOT, GUJARAT, INDIA,</t>
  </si>
  <si>
    <t>GJ36W3983</t>
  </si>
  <si>
    <t>213049/31/26/007730</t>
  </si>
  <si>
    <t>HAKESHBHAI BABULAL VADHARKIYA</t>
  </si>
  <si>
    <t>18/10/2026</t>
  </si>
  <si>
    <t>19-10-2026</t>
  </si>
  <si>
    <t>19-10-2025</t>
  </si>
  <si>
    <t>24-10-2029</t>
  </si>
  <si>
    <t>MADHUPUR NAVA NAGDAVAS PO MORBI, MORBI,GUJARAT 363641 , MORBI , RAJKOT, GUJARAT</t>
  </si>
  <si>
    <t>GJ12BX0243</t>
  </si>
  <si>
    <t>MAHINDRA JEETO &amp; X7-16 BSIV</t>
  </si>
  <si>
    <t>JAYESHBHAI SHIVLAL BARASRA</t>
  </si>
  <si>
    <t>25-10-2025</t>
  </si>
  <si>
    <t>NEAR VARIYA MANDIR VARIYA NAGAR SO ORDI MORBI RAJKOT MORBI, RAJKOT, GUJARAT, India, 363642.</t>
  </si>
  <si>
    <t>GJ36V6890</t>
  </si>
  <si>
    <t>3003/411098235/00/B00</t>
  </si>
  <si>
    <t>ASHOK LEYLAND PICK-UP VANS BADA DOST I4</t>
  </si>
  <si>
    <t>FARUK GULAMHUSHEN BLOCH</t>
  </si>
  <si>
    <t>99253 75287</t>
  </si>
  <si>
    <t>22-12-2025</t>
  </si>
  <si>
    <t>15-07-2029</t>
  </si>
  <si>
    <t>MAKRANIVAS NR BRAHMIN BHOJANSHALA, MORBI, MORBI, GUJARAT 363641</t>
  </si>
  <si>
    <t>GJ36T9558</t>
  </si>
  <si>
    <t>LPV</t>
  </si>
  <si>
    <t>MARUTI/EECO/AMBULA NCE WITH AC+HTR/CLO SED/AMBULANCE</t>
  </si>
  <si>
    <t>Ubhadiya Tulshi Karshanbhai</t>
  </si>
  <si>
    <t>25-04-2027</t>
  </si>
  <si>
    <t>23-04-2026</t>
  </si>
  <si>
    <t>Near Ramdhan Ashra m, Mahendranagar Mai n Road, Morvi, Rajkot, MORBI, GUJARAT, 3636 42</t>
  </si>
  <si>
    <t>GJ36V8925</t>
  </si>
  <si>
    <t>POCMVGC0100497522</t>
  </si>
  <si>
    <t>Maruti,Super Carry &amp; CNG STD</t>
  </si>
  <si>
    <t>PATEL RAJESHBHAI GANDUBHAI</t>
  </si>
  <si>
    <t>110 1 SAMALI AKHU GAM VAKIA,AT SAMLI,TA HALVAD,Surendra Nagar,Gujarat363330,India</t>
  </si>
  <si>
    <t>GJ23AT8820</t>
  </si>
  <si>
    <t>775522523340000996</t>
  </si>
  <si>
    <t>IBRAHIMBHAI RASIDBHAI KURESHI</t>
  </si>
  <si>
    <t>98257 39840</t>
  </si>
  <si>
    <t>18-06-2026</t>
  </si>
  <si>
    <t>FL NO 202 HARMONY HEIGHTS PATEL NAGAR GADKHOL ANKLESHWAR BHARUCH ANKLESHWAR, BHARUCH, GUJARAT, India, 393001.</t>
  </si>
  <si>
    <t>GJ03CR6230</t>
  </si>
  <si>
    <t>OG-26-1105-1805-00005201</t>
  </si>
  <si>
    <t>MARUTI LXI (O) (K-SERIES 1.0) WAGON R</t>
  </si>
  <si>
    <t>RAHUL GIRDHARBHAI KHUMAN</t>
  </si>
  <si>
    <t>KHAREDA KHAREDA, , ,, RAJKOT - 360030</t>
  </si>
  <si>
    <t>GJ36V7959</t>
  </si>
  <si>
    <t>3003/411182604/00/000</t>
  </si>
  <si>
    <t>M &amp; M PICK-UP VANS BOLERO MAXX PUP HD 2.0L LX</t>
  </si>
  <si>
    <t>MAJETHIYA BHAVNABEN ASHOKBHAI</t>
  </si>
  <si>
    <t>29-10-2029</t>
  </si>
  <si>
    <t>KAILASH PARK NR BHAGVATI HALL VAVDI ROAD MORBI, MORBI, GUJARAT 363641</t>
  </si>
  <si>
    <t>GJ26A5026</t>
  </si>
  <si>
    <t>12-1805-0008179125-00</t>
  </si>
  <si>
    <t>MARUTI EECO FLEXI 5 SEATER</t>
  </si>
  <si>
    <t>Mayodinbhai Abdulmiya Bukhari</t>
  </si>
  <si>
    <t>Amran Amran Amran, , , Amran,, Jamnagar,, Gujarat363655</t>
  </si>
  <si>
    <t>GJ36T8472</t>
  </si>
  <si>
    <t>666222523340019819</t>
  </si>
  <si>
    <t>MARUTI SUZUKI SUPER CARRY &amp; 1.2 PETROL BSVI</t>
  </si>
  <si>
    <t>JALUBHAI VASTABHAI PANSARA</t>
  </si>
  <si>
    <t>63768 71726</t>
  </si>
  <si>
    <t>63778 89660</t>
  </si>
  <si>
    <t>FQ</t>
  </si>
  <si>
    <t>278 VAGHARIWAS 2 AT MANASAR MORBI MORBI GUJARAT MORBI, GUJARAT, India, 363641</t>
  </si>
  <si>
    <t>GJ36V3285</t>
  </si>
  <si>
    <t>3003/411300481/00/000</t>
  </si>
  <si>
    <t>TATA MOTORS TRUCKS LPT 1112 FULLY BUILT Closed</t>
  </si>
  <si>
    <t>SAMARPAN AUTOPACK LLP</t>
  </si>
  <si>
    <t>22-02-2025</t>
  </si>
  <si>
    <t>23-02-2024</t>
  </si>
  <si>
    <t>OPP TULSI MINERALS SURVEY NUMBER 162 NEAR SEZON PAPER PVT LTD, LAKHDHIRPUR ROAD KALIKANAGAR MORBI, MORBI, GUJARAT 363641</t>
  </si>
  <si>
    <t>GJ36X4314</t>
  </si>
  <si>
    <t>VGC1424455000100</t>
  </si>
  <si>
    <t>1616 LPT SLR53 CBC 160B6M6 BSVI</t>
  </si>
  <si>
    <t>MANVI PELLET PACKING</t>
  </si>
  <si>
    <t>1,61,40</t>
  </si>
  <si>
    <t>ROYAL</t>
  </si>
  <si>
    <t>TM</t>
  </si>
  <si>
    <t>RS NO 37 38 1 38 2 777 INDUSTRIES BHADIYAD INDUSTIES AREA NEAR NAJAR BAG RAILWAY STATION MORBI MORBI GUJARAT</t>
  </si>
  <si>
    <t>GJ10TX2180</t>
  </si>
  <si>
    <t>666222523340019812</t>
  </si>
  <si>
    <t>TATA ACE &amp; GOLD BSIV</t>
  </si>
  <si>
    <t>VIMAL ARVINDBHAI POPAT</t>
  </si>
  <si>
    <t>19 WISHVAKARMA PARK SANALA ROAD MORBI MDG RAJKOT RAJKOT MORBI GUJARAT MORBI, RAJKOT, GUJARAT, India, 363641.</t>
  </si>
  <si>
    <t>GJ36V2900</t>
  </si>
  <si>
    <t>POCMVGC0100499617</t>
  </si>
  <si>
    <t>Tata Motors,Signa &amp; 3525.TK- Tipper</t>
  </si>
  <si>
    <t>PORDIYA SUNILBHAI GHANSHYAMBHAI</t>
  </si>
  <si>
    <t>16-10-2024</t>
  </si>
  <si>
    <t>16-10-2027</t>
  </si>
  <si>
    <t>AT BUTUDA,BUTUDA,HALVAD,Surendra Nagar,Gujarat363330,India</t>
  </si>
  <si>
    <t>GJ13AT9081</t>
  </si>
  <si>
    <t>POCMVGC0100499642</t>
  </si>
  <si>
    <t>Ashok Leyland,3118 &amp; IL XL/1 - 35000 GVW</t>
  </si>
  <si>
    <t>LUOT MAHENDRABHAI UMEDBHAI</t>
  </si>
  <si>
    <t>13-02-2026</t>
  </si>
  <si>
    <t>31-01-2026</t>
  </si>
  <si>
    <t>KASUNDRA STREET,RAVAPAR 2,MORBI,Rajkot,Gujarat363641,India</t>
  </si>
  <si>
    <t>GJ36V1502</t>
  </si>
  <si>
    <t>POCMVGC0100500292</t>
  </si>
  <si>
    <t>Mahindra &amp; Mahindra,Bolero &amp; Pik Up FB PS 1.7 T XL - 3490</t>
  </si>
  <si>
    <t>JANJAVADIYA SANJAY POPATBHAI</t>
  </si>
  <si>
    <t>221 KOLI VAS,JODHPUR NADI,TAL MORBI,Rajkot,Gujarat363650,India</t>
  </si>
  <si>
    <t>GJ36V7911</t>
  </si>
  <si>
    <t>: 3379/04480718/000/00</t>
  </si>
  <si>
    <t>BOL MAXX PUP - 1.7 CITY LX BSVI</t>
  </si>
  <si>
    <t>KHATARIYA MATHUR CHANABHAI</t>
  </si>
  <si>
    <t>81608 45352</t>
  </si>
  <si>
    <t>CHOLA</t>
  </si>
  <si>
    <t>17-12-2029</t>
  </si>
  <si>
    <t>AT SAVDI ,TA TANKARA ,DIS MORBI , MORBI, TANKARA S.O,RAJKOT</t>
  </si>
  <si>
    <t>GJ36T7111</t>
  </si>
  <si>
    <t>132/02/17/1026/MTP/1010199756</t>
  </si>
  <si>
    <t>ISUZU D MAX D-MAX SPACE CAB (ARCHED DECK)</t>
  </si>
  <si>
    <t>MR RAFIKBHAI RAZAKBHAI MANDAVIYA</t>
  </si>
  <si>
    <t>INS ONLY</t>
  </si>
  <si>
    <t>BARSHAKH RAJPUT STREET, KUBERNATH ROAD, RAJKOT, GUJARAT, INDIA,</t>
  </si>
  <si>
    <t>GJ03AT1468</t>
  </si>
  <si>
    <t>12-1831-0008190549-00</t>
  </si>
  <si>
    <t>TATA LPT 2515</t>
  </si>
  <si>
    <t>Firoz G Theba</t>
  </si>
  <si>
    <t>99796 42929</t>
  </si>
  <si>
    <t>INS CF TO</t>
  </si>
  <si>
    <t>27-12-2025</t>
  </si>
  <si>
    <t>15-10-2028</t>
  </si>
  <si>
    <t>Mafatiya Para Beside Kohinoor Close Kalika Plot Morbi, , ,, Rajkot,, Gujarat-363641</t>
  </si>
  <si>
    <t>GJ36A1563</t>
  </si>
  <si>
    <t>D229565215 / 09102025</t>
  </si>
  <si>
    <t>SHINE/DRUM BSV</t>
  </si>
  <si>
    <t>ARANDIYA MAHAMDRAFIK HUSENBHAI</t>
  </si>
  <si>
    <t>INS CF</t>
  </si>
  <si>
    <t>30-09-2030</t>
  </si>
  <si>
    <t>SAVASAR PLOT STREET NO 3 OPP SANGHVI HOSPITAL MORBI RAJKOT,Morbi363641</t>
  </si>
  <si>
    <t>GJ20X3198</t>
  </si>
  <si>
    <t>213049/31/26/007863</t>
  </si>
  <si>
    <t>TATA MOTORS - SIGNA 4825 TK HD 29 CUM BOX FB4 BS 6</t>
  </si>
  <si>
    <t>RATHOD RAMSIBHAI RANCHHODBHAI</t>
  </si>
  <si>
    <t>15-10-2027</t>
  </si>
  <si>
    <t>THORALA THORALA THORALA MORBI RAJKOT MORBI MORBI, GUJARAT, INDIA, 363641 , THORALA , RAJKOT, GUJARAT</t>
  </si>
  <si>
    <t>GJ12BY5507</t>
  </si>
  <si>
    <t>161522523340012813</t>
  </si>
  <si>
    <t>ASHOK LEYLAND 4825 &amp; 66 H CO GP</t>
  </si>
  <si>
    <t>SHREE RAJESHWARKRUPA ROADWAYS</t>
  </si>
  <si>
    <t>99251 12789</t>
  </si>
  <si>
    <t>30-06-2026</t>
  </si>
  <si>
    <t>22-03-2027</t>
  </si>
  <si>
    <t>22-03-2026</t>
  </si>
  <si>
    <t>LAXMI CHAMBERS OFFICE NO 11/A MICO STREET BHUJ-MADHAPAR HIGHWAY BHUJ KACHCHH BHUJ, KACHCHH, GUJARAT, India, 370001.</t>
  </si>
  <si>
    <t>GJ12BY5506</t>
  </si>
  <si>
    <t>161522523340012833</t>
  </si>
  <si>
    <t>31-10-2025</t>
  </si>
  <si>
    <t>23-03-2027</t>
  </si>
  <si>
    <t>23-03-2026</t>
  </si>
  <si>
    <t>Laxmi chambers office no 11 a Micro street bhuj madhapar highways bhuj BHUJ KACHCHH BHUJ, KACHCHH, GUJARAT, India, 370001.</t>
  </si>
  <si>
    <t>GJ01KP1385</t>
  </si>
  <si>
    <t>P0026100023/4190/149951</t>
  </si>
  <si>
    <t>MARUTI/ SWIFT ZDI</t>
  </si>
  <si>
    <t>Mr KORADIYA HANIFBHAI DAUDBHAI</t>
  </si>
  <si>
    <t>MAGMA</t>
  </si>
  <si>
    <t>16-03-2027</t>
  </si>
  <si>
    <t>21-03-2026</t>
  </si>
  <si>
    <t>AT TIKAR TA HALVAD MORBI-363330 MUMBAI GUJARAT 363330</t>
  </si>
  <si>
    <t>GJ10TX9982</t>
  </si>
  <si>
    <t>POCMVGC0100500564</t>
  </si>
  <si>
    <t>Ashok Leyland,3118 &amp; IL 8X2 - 35000 GVW</t>
  </si>
  <si>
    <t>Mr.MANIYAR IRFAN ISMAILBHAI</t>
  </si>
  <si>
    <t>26-09-2025</t>
  </si>
  <si>
    <t>17-01-2026</t>
  </si>
  <si>
    <t>17-10-2028</t>
  </si>
  <si>
    <t>VANJA VAS,GULABNAGAR,RAJKOT HIGHWAY,Jamnagar,Gujarat361007,India</t>
  </si>
  <si>
    <t>GJ36W2184</t>
  </si>
  <si>
    <t>213049/31/26/007887</t>
  </si>
  <si>
    <t>ARVIND GAJUBHAI ZALA</t>
  </si>
  <si>
    <t>ZAVERINI CHALI MILL PLOT, AMARSAR WANKANER,, MORBI GUJARAT-363621 , WANKANER , RAJKOT, GUJARAT</t>
  </si>
  <si>
    <t>GJ36T7133</t>
  </si>
  <si>
    <t>132/02/17/1026/MTP/1010200762</t>
  </si>
  <si>
    <t>MAHINDRA AND MAHINDRA BOLERO MAXITRUCK PLUS 1.2T PS</t>
  </si>
  <si>
    <t>MR JIGNESHBHAI MANILAL SHETH</t>
  </si>
  <si>
    <t>94294 71654</t>
  </si>
  <si>
    <t>98258 56241</t>
  </si>
  <si>
    <t>19-02-2026</t>
  </si>
  <si>
    <t>NEW STREET AT KHAKHRACHI, DI MORBI, RAJKOT, GUJARAT, INDIA,</t>
  </si>
  <si>
    <t>GJ03EC7466</t>
  </si>
  <si>
    <t>MARUTI WAGON R VXI</t>
  </si>
  <si>
    <t>Rameshbhai Madhabhai Parsadiya</t>
  </si>
  <si>
    <t>KOTAK</t>
  </si>
  <si>
    <t>SHREE HARI PARK , VIRPAR , MORBI , GUJARAT363641 363641 BAGATHALA ,MORBI ,RAJKOT ,GUJARAT Morbi - 363641 District: RAJKOT</t>
  </si>
  <si>
    <t>GJ36A6452</t>
  </si>
  <si>
    <t>OG-26-1904-1806-00241962</t>
  </si>
  <si>
    <t>HERO MOTOCORP SUPER SPLENDO R</t>
  </si>
  <si>
    <t>JANJVADIYA HEMUBHAI VANAJIBHAI</t>
  </si>
  <si>
    <t>23-11-2030</t>
  </si>
  <si>
    <t>JODHPAR NADI, JODHPAR NADI EZ, EL GREIT, JODHPUR NADI, ,, RAJKOT - 363642</t>
  </si>
  <si>
    <t>GJ36T5461</t>
  </si>
  <si>
    <t>213049/31/26/007913</t>
  </si>
  <si>
    <t>ASHOK LEYLAND - 3718 10*2 HAULAGE 6600 MM BS 4</t>
  </si>
  <si>
    <t>SAVJIBHAI VAGHAJIBHAI PIPARIYA</t>
  </si>
  <si>
    <t>83207 42734</t>
  </si>
  <si>
    <t>23-10-2026</t>
  </si>
  <si>
    <t>SERI NUM-22,MADHAPAR,MORBI,,MORBI MDG,,MORBI,GUJARAT-363641 , MORBI , RAJKOT, GUJARAT</t>
  </si>
  <si>
    <t>GJ36T6615</t>
  </si>
  <si>
    <t>POCMVGC0100501818</t>
  </si>
  <si>
    <t>Mahindra &amp; Mahindra,Bolero Camper &amp; Gold VX 2WD</t>
  </si>
  <si>
    <t>MUNDHAVA AMITBHAI DEVABHAI</t>
  </si>
  <si>
    <t>13-10-2027</t>
  </si>
  <si>
    <t>ROYALA PIR STREET ,WANKANER DARAVAJA,MORVI RAJKOT,Rajkot,Gujarat363641,India</t>
  </si>
  <si>
    <t>GJ14Z3974</t>
  </si>
  <si>
    <t>POCMVGC0100501752</t>
  </si>
  <si>
    <t>Tata Motors,LPT 1109 &amp; H EX2 42 CR 12.99T AB</t>
  </si>
  <si>
    <t>Mr.PIPAR ALBAZ GAFARBHAI</t>
  </si>
  <si>
    <t>79840 92263</t>
  </si>
  <si>
    <t>25-12-2025</t>
  </si>
  <si>
    <t>26-12-2025</t>
  </si>
  <si>
    <t>MEMANPARA,AT JODIYA,JAMNAGAR,Jamnagar,Gujarat361250,Ind ia</t>
  </si>
  <si>
    <t>GJ10TV6975</t>
  </si>
  <si>
    <t>POCMVGC0100502563</t>
  </si>
  <si>
    <t>Ashok Leyland,3118 &amp; II - 35000 GVW</t>
  </si>
  <si>
    <t>Mr.JADEJA ASHVINSINH JUVANSINH</t>
  </si>
  <si>
    <t>22-09-2026</t>
  </si>
  <si>
    <t>20-08-2029</t>
  </si>
  <si>
    <t>SAPAR,MORBI,MORBI,Rajkot,Gujarat363641,Indi a</t>
  </si>
  <si>
    <t>GJ36X4075</t>
  </si>
  <si>
    <t>3003/411693567/00/000</t>
  </si>
  <si>
    <t>M &amp; M PICK-UP VANS BOLERO MAXX PUP HD 1.7 LX</t>
  </si>
  <si>
    <t>GOSAI RAHULGIRI CHANDRESHGIRI</t>
  </si>
  <si>
    <t>14-01-2026</t>
  </si>
  <si>
    <t>19-12-2028</t>
  </si>
  <si>
    <t>MAYURPURI KERALA , MORBI, MORBI, GUJARAT 363641</t>
  </si>
  <si>
    <t>GJ01HT2554</t>
  </si>
  <si>
    <t>POCMVGC0100502741</t>
  </si>
  <si>
    <t>Tata Motors,LPT 1512 &amp; CRX 42 WB BSIV</t>
  </si>
  <si>
    <t>Mr.BAMBHAVA ARJAN VASABHAI</t>
  </si>
  <si>
    <t>99259 68917</t>
  </si>
  <si>
    <t>21-10-2026</t>
  </si>
  <si>
    <t>13-05-2026</t>
  </si>
  <si>
    <t>16-05-2029</t>
  </si>
  <si>
    <t>ANDARNA,MORVI,.,Rajkot,Gujarat363641,India</t>
  </si>
  <si>
    <t>GJ13AM0716</t>
  </si>
  <si>
    <t>D230068549 / 11102025</t>
  </si>
  <si>
    <t>ALTO K10/VXi</t>
  </si>
  <si>
    <t>VADESA RAJENDRABHAI JAYANTILAL</t>
  </si>
  <si>
    <t>23-04-2034</t>
  </si>
  <si>
    <t>16-08-2026</t>
  </si>
  <si>
    <t>29 C LIC SOCIETY BEHIND VRUNDAVAN PARK HALVAD ROAD DHRANGADHRA SURENDRANAGAR,Surendra Nagar-363310</t>
  </si>
  <si>
    <t>GJ36V5416</t>
  </si>
  <si>
    <t>666222523340019932</t>
  </si>
  <si>
    <t>TAUFIK RAHIMBHAI KADIVAR</t>
  </si>
  <si>
    <t>KHIJADIYA RAJKOT MORBI MORBI GUJARAT WANKANER, MORBI, GUJARAT, India, 363621.</t>
  </si>
  <si>
    <t>GJ36R3604</t>
  </si>
  <si>
    <t>OG-26-1105-1805-00005309'</t>
  </si>
  <si>
    <t>MARUTI VXI PLUS MT ALTO</t>
  </si>
  <si>
    <t>ASHOK BECHARBHAI KALARIYA</t>
  </si>
  <si>
    <t>15-10-2035</t>
  </si>
  <si>
    <t>AT-ROHISALA TA-MALIYA MIYANA 363650, , ,, RAJKOT - 363650</t>
  </si>
  <si>
    <t>GJ03EJ9908</t>
  </si>
  <si>
    <t>201620020125707177500000</t>
  </si>
  <si>
    <t>HERO HONDA/SPLENDOR PLUS/DISC/Solo with Pillion</t>
  </si>
  <si>
    <t>LOKHIL CHANDULAL DEVARAJBHAI</t>
  </si>
  <si>
    <t>LIBERTY</t>
  </si>
  <si>
    <t>23-02-2027</t>
  </si>
  <si>
    <t>AT VENASAR TA MALIYA MIYANA RAJKOT,,,GUJARAT,RAJKOT,LAJAI363641</t>
  </si>
  <si>
    <t>GJ12BZ6038</t>
  </si>
  <si>
    <t>132/02/17/1026/MTP/1010202234</t>
  </si>
  <si>
    <t>MAHINDRA AND MAHINDRA BOLERO PICK UP FB PS 1.7 T XL</t>
  </si>
  <si>
    <t>MR MUSTAQ OSMAN AGARIA</t>
  </si>
  <si>
    <t>80000 09838</t>
  </si>
  <si>
    <t>14-03-2025</t>
  </si>
  <si>
    <t>30-05-2026</t>
  </si>
  <si>
    <t>PLOT NO 191 AGARIA WAS, MATHADA ANJAR KACHCHH, KACHCHH, GUJARAT, INDIA,</t>
  </si>
  <si>
    <t>GJ36V0988</t>
  </si>
  <si>
    <t>3003/411708219/00/000</t>
  </si>
  <si>
    <t>TATA MOTORS TRUCKS SFC GOLD 407 FULLY BUILT Open</t>
  </si>
  <si>
    <t>BHARATBHAI MATRABHAI ZANPADA</t>
  </si>
  <si>
    <t>21-10-2027</t>
  </si>
  <si>
    <t>TAJPAR MORBI, RAJKOT, GUJARAT 363642</t>
  </si>
  <si>
    <t>GJ36V2951</t>
  </si>
  <si>
    <t>3003/411708156/00/B00</t>
  </si>
  <si>
    <t>M &amp; M PICK-UP VANS BOLERO CAMPER GOLD ZX</t>
  </si>
  <si>
    <t>MUNDADIYA JAYESHKUMAR RAMESHBHAI</t>
  </si>
  <si>
    <t>20-11-2026</t>
  </si>
  <si>
    <t>413 PLOT VISTAR AT VIRPAR, MORBI, MORBI, GUJARAT 363641</t>
  </si>
  <si>
    <t>GJ03KP4722</t>
  </si>
  <si>
    <t>HYUNDAI / I20 / ASTA 1.2</t>
  </si>
  <si>
    <t>Rutvik Chaturbhai Solanki</t>
  </si>
  <si>
    <t>75728 78023</t>
  </si>
  <si>
    <t>98790 47313</t>
  </si>
  <si>
    <t>PLOT 14 STREET 3 RATNADIP SOCEITY NR PRASHANT PAN, PEDAK ROAD RAJKOT, RAJKOT-GUJARAT, 360001</t>
  </si>
  <si>
    <t>GJ36AC5258</t>
  </si>
  <si>
    <t>22300031250161054202</t>
  </si>
  <si>
    <t>HYUNDAI ‐ I 20 ‐ ASTA ﴾O﴿ 1.5 MT DIESEL DUAL TONE</t>
  </si>
  <si>
    <t>ABDULRAHIM CHANIYA</t>
  </si>
  <si>
    <t>87581 35117</t>
  </si>
  <si>
    <t>11‐10‐2026</t>
  </si>
  <si>
    <t>PB</t>
  </si>
  <si>
    <t>22-12-2036</t>
  </si>
  <si>
    <t>VPO: BLONO 562 63 RAJIV NAGAR MAIN ROAD NR BAGDAD CHOWK BAWADI JAMNAGAR ROAD RAJKOT</t>
  </si>
  <si>
    <t>GJ18AU7980</t>
  </si>
  <si>
    <t>12-1831-0008204330-00</t>
  </si>
  <si>
    <t>TATA LPK 2518 TC</t>
  </si>
  <si>
    <t>Manek Subham Khamisa</t>
  </si>
  <si>
    <t>15-10-2025</t>
  </si>
  <si>
    <t>18-02-2026</t>
  </si>
  <si>
    <t>Khoja Khana Seri , Maliya , Maliya ,Maliya , Morbi, , ,, Rajkot,, Gujarat-363670</t>
  </si>
  <si>
    <t>GJ06AX9230</t>
  </si>
  <si>
    <t>POCMVGC0100503105</t>
  </si>
  <si>
    <t>Mahindra &amp; Mahindra,Bolero &amp; Pick UP FB 1.5T BSIV PS - 3225</t>
  </si>
  <si>
    <t>Mr.DHANA AGIYA</t>
  </si>
  <si>
    <t>26-02-2026</t>
  </si>
  <si>
    <t>20-08-2026</t>
  </si>
  <si>
    <t>15 SANGADA FALIYU,LILAR,DAHOD,Dahod,Gujarat389154,Indi a</t>
  </si>
  <si>
    <t>GJ36AJ6208</t>
  </si>
  <si>
    <t>SWIFT ZXI AMT</t>
  </si>
  <si>
    <t>Dantaliya Rajkumar Becharbhai</t>
  </si>
  <si>
    <t>16-02-2026</t>
  </si>
  <si>
    <t>1 MAINBAZAR ANDARNA MORBI Rajkot 363641, Gujarat</t>
  </si>
  <si>
    <t>GJ36U7099</t>
  </si>
  <si>
    <t>213049/31/26/007958</t>
  </si>
  <si>
    <t>DHANDHAL JORUBHAI TAPUBHAI</t>
  </si>
  <si>
    <t>MESARIYA , MESARIYA , RAJKOT, GUJARAT</t>
  </si>
  <si>
    <t>GJ36R5019</t>
  </si>
  <si>
    <t>2302 2077 9864 7900 000</t>
  </si>
  <si>
    <t>EECO-5 STR WITH A/C</t>
  </si>
  <si>
    <t>AJAY MANSUKHBHAI INDARIYA</t>
  </si>
  <si>
    <t>95589 30231</t>
  </si>
  <si>
    <t>HDFC</t>
  </si>
  <si>
    <t>26-12-2034</t>
  </si>
  <si>
    <t>MOTA DAHISARA DAHISARA RAJKOT GUJARAT RAJKOT RAJKOT</t>
  </si>
  <si>
    <t>13/10/2025</t>
  </si>
  <si>
    <t>GJ36U4875</t>
  </si>
  <si>
    <t>213049/31/26/007962</t>
  </si>
  <si>
    <t>KISHAN LABHUBHAI BAROT</t>
  </si>
  <si>
    <t>20-02-2029</t>
  </si>
  <si>
    <t>RAMBAI MANDIR PASE SONI SHERI VAVANIYA TA MALIYA MORBI G 363641 , MORBI , RAJKOT, GUJARAT</t>
  </si>
  <si>
    <t>GJ36W2496</t>
  </si>
  <si>
    <t>213049/31/26/007963</t>
  </si>
  <si>
    <t>NARANBHAI CHHAGANBHAI BAMBHAVA</t>
  </si>
  <si>
    <t>NEAR MASJID MITANA, TANKARA,, MORBI-GUJARAT-363650 , MITANA , RAJKOT, GUJARAT</t>
  </si>
  <si>
    <t>GJ36U6840</t>
  </si>
  <si>
    <t>213049/31/26/007964</t>
  </si>
  <si>
    <t>VASIM YUSUFBHAI SOLANKI</t>
  </si>
  <si>
    <t>SANJRI MANJIL, HATHIKHANA STREET NO 6, HATHIKHANA, HATHIKHANA, RAJKOT, RAJKOT,GUJARAT - , RAJKOT , RAJKOT, GUJARAT</t>
  </si>
  <si>
    <t>GJ36U7294</t>
  </si>
  <si>
    <t>213049/31/26/007967</t>
  </si>
  <si>
    <t>MANJIBHAI VINDHANI</t>
  </si>
  <si>
    <t>18-10-2027</t>
  </si>
  <si>
    <t>NILKAMAL SOC LILAPAR ROAD MORBI GUJARAT, , - BAGATHALA , RAJKOT, GUJARAT</t>
  </si>
  <si>
    <t>GJ36U7095</t>
  </si>
  <si>
    <t>213049/31/26/007968</t>
  </si>
  <si>
    <t>ARJUNSINH ZALA</t>
  </si>
  <si>
    <t>24-10-2025</t>
  </si>
  <si>
    <t>27-10-2025</t>
  </si>
  <si>
    <t>25-10-2026</t>
  </si>
  <si>
    <t>MEGHPAR ZALA , MEGHPAR ZALA , RAJKOT, GUJARAT</t>
  </si>
  <si>
    <t>GJ06XX7655</t>
  </si>
  <si>
    <t>201340020725700077300000</t>
  </si>
  <si>
    <t>ASHOK LEYLAND/TAURUS 2516 /2/(Cowl Chassis) OPEN METAL BODY</t>
  </si>
  <si>
    <t>IRFANBHAI ISHABHAI THEBA</t>
  </si>
  <si>
    <t>99796 00037</t>
  </si>
  <si>
    <t>KALIKA PLOT STREET NUMBER - 5, BAJAJ SHOWROOM STREET, RAVAPAR ROAD, MORVI, MORBI MDG, RAJKOT, GUJARAT, 363641 ,,,GUJARAT,MORBI,MORBI-363641</t>
  </si>
  <si>
    <t>GJ36X9298</t>
  </si>
  <si>
    <t>3003/411898709/00/000</t>
  </si>
  <si>
    <t>SATKA SATISHBHAI JETHABHAI</t>
  </si>
  <si>
    <t>14/10/2026</t>
  </si>
  <si>
    <t>16-10-2026</t>
  </si>
  <si>
    <t>16-10-2025</t>
  </si>
  <si>
    <t>18-12-2029</t>
  </si>
  <si>
    <t>KADIYANA SURENDRA NAGAR, SURENDRANAGAR, GUJARAT 363330</t>
  </si>
  <si>
    <t>14/10/2025</t>
  </si>
  <si>
    <t>GJ36V5380</t>
  </si>
  <si>
    <t>161122523340010201</t>
  </si>
  <si>
    <t>MAHINDRA SUPRO &amp; MINI TRUCK VX</t>
  </si>
  <si>
    <t>SUNIL MANUBHAI BAVARAVA</t>
  </si>
  <si>
    <t>91575 21498</t>
  </si>
  <si>
    <t>13/10/2026</t>
  </si>
  <si>
    <t>14-10-2025</t>
  </si>
  <si>
    <t>HADKAI MATAJI VALI SHERI TRAJPAR MORVI, RAJKOT MORVI, RAJKOT, GUJARAT, India, 363642.</t>
  </si>
  <si>
    <t>GJ36T7378</t>
  </si>
  <si>
    <t>161122523340010162</t>
  </si>
  <si>
    <t>MARUTI SUZUKI SUPER CARRY &amp; STD PETROL</t>
  </si>
  <si>
    <t>ISMAIL MAMAD MESANIYA</t>
  </si>
  <si>
    <t>15-12-2026</t>
  </si>
  <si>
    <t>NAVA LUNASARIYA WANKANER WANKANER, RAJKOT, GUJARAT, India, 363621.</t>
  </si>
  <si>
    <t>GJ36V5884</t>
  </si>
  <si>
    <t>161122523340010166</t>
  </si>
  <si>
    <t>SATOLA SUNDARAMKUMAR LAKHMANBHAI</t>
  </si>
  <si>
    <t>23/10/2026</t>
  </si>
  <si>
    <t>23-10-2025</t>
  </si>
  <si>
    <t>23-10-2024</t>
  </si>
  <si>
    <t>NAGDAVAS JUNA NAGDAVAS JUNA NAGDAVAS RAJKOT MALIYA, RAJKOT, GUJARAT, India, 363670.</t>
  </si>
  <si>
    <t>GJ36T3253</t>
  </si>
  <si>
    <t>132/02/17/1026/MTP/1010203990</t>
  </si>
  <si>
    <t>MAHINDRA AND MAHINDRA BOLERO PICK UP FB PS</t>
  </si>
  <si>
    <t>MR RAJESHBHAI MANSANGBHAI SOLANKI</t>
  </si>
  <si>
    <t>96874 75176</t>
  </si>
  <si>
    <t>14-11-2025</t>
  </si>
  <si>
    <t>NAGNATH STREET NAHRU GATE, MAIN ROAD DARBARGADH MORBI, RAJKOT,</t>
  </si>
  <si>
    <t>GJ36W0551</t>
  </si>
  <si>
    <t>213049/31/26/008014</t>
  </si>
  <si>
    <t>MATRABHAI MOTIBHAI RAVA MOTIBHAI</t>
  </si>
  <si>
    <t>19-10-2028</t>
  </si>
  <si>
    <t>JASAPAR MALIYA MALIYA MORBI MALIYA MORBI , MORBI , MORBO, GUJARAT</t>
  </si>
  <si>
    <t>GJ24V6727</t>
  </si>
  <si>
    <t>POCMVGC0100505163</t>
  </si>
  <si>
    <t>Tata Motors,LPT 3118 &amp; TC 56 COWL - 35000 GVW</t>
  </si>
  <si>
    <t>KURESHI KADARBHAI AHEMADBHAI</t>
  </si>
  <si>
    <t>81412 30056</t>
  </si>
  <si>
    <t>AT JAINABAD,TANKI PARU,TAL DASADA,Surendra Nagar,Gujarat382765,India</t>
  </si>
  <si>
    <t>GJ36W9261</t>
  </si>
  <si>
    <t>POCMVGC0100505098</t>
  </si>
  <si>
    <t>Mr.VIJAY GOVINDBHAI RAVA</t>
  </si>
  <si>
    <t>15-07-2026</t>
  </si>
  <si>
    <t>15-07-2025</t>
  </si>
  <si>
    <t>GULABNAGAR JUNA HOUSING,BOARD VISHIPARA,MORBI,Rajkot,Gujarat363641,India</t>
  </si>
  <si>
    <t>GJ10W6713</t>
  </si>
  <si>
    <t>3003/A/411908306/00/B00</t>
  </si>
  <si>
    <t>ASHOK LEYLAND TIPPERS CT 1613 H/1 FBT</t>
  </si>
  <si>
    <t>DEVMURARI SHAILESH RAJARAMBHAI</t>
  </si>
  <si>
    <t>25-04-2029</t>
  </si>
  <si>
    <t>PANCHASAR ROAD DHARM NAGAR WANKANER AMARSAR RAJKOT, RAJKOT, GUJARAT 363621</t>
  </si>
  <si>
    <t>GJ03AW4725</t>
  </si>
  <si>
    <t>201340020725700078000000</t>
  </si>
  <si>
    <t>ASHOK LEYLAND/3116 IL/ (FULLY BUILT) OPEN METAL BODY</t>
  </si>
  <si>
    <t>SALEMANBHAI ABDULBHAI KAIDA</t>
  </si>
  <si>
    <t>18-11-2026</t>
  </si>
  <si>
    <t>20-10-2025</t>
  </si>
  <si>
    <t>VAVADI ROAD LOMJIVAN PARK STREET NO 2, NEAR MASJID,MORBI,,,GUJARAT,MORBI,MORBI363641</t>
  </si>
  <si>
    <t>GJ36A6626</t>
  </si>
  <si>
    <t>OG-26-1105-1806-00020667</t>
  </si>
  <si>
    <t>HERO HONDA CAST DRUM SELF SUPER SPLENDOR</t>
  </si>
  <si>
    <t>MERJA VISHAL NILESH</t>
  </si>
  <si>
    <t>THORALA THORALA THORALA, , ,, RAJKOT - 363641</t>
  </si>
  <si>
    <t>GJ36T8609</t>
  </si>
  <si>
    <t>132/02/17/1026/MTP/1010204081</t>
  </si>
  <si>
    <t>MAHINDRA AND MAHINDRA BOLERO MAXI TRUCK PLUS CBC 1.2 T PS</t>
  </si>
  <si>
    <t>BAHUCHAR ENTERPRISE</t>
  </si>
  <si>
    <t>19-10-2024</t>
  </si>
  <si>
    <t>P NO 4 OPP JAGNATH MAHADEV NR, PRIMARY SCHOOL MORBI, RAJKOT, GUJARAT, INDIA, Pincode : 363641</t>
  </si>
  <si>
    <t>15/10/2025</t>
  </si>
  <si>
    <t>GJ36W2283</t>
  </si>
  <si>
    <t>213049/31/26/008062</t>
  </si>
  <si>
    <t>RANJITBHAI JALABHAI VAKATAR</t>
  </si>
  <si>
    <t>84699 81132</t>
  </si>
  <si>
    <t>13-10-2026</t>
  </si>
  <si>
    <t>13-10-2025</t>
  </si>
  <si>
    <t>SHITLAMA VISTAR,MAHENDRANAGAR PART,,363642 , MAHENDRANAGAR , RAJKOT, GUJARAT</t>
  </si>
  <si>
    <t>GJ36W2016</t>
  </si>
  <si>
    <t>213049/31/26/008063</t>
  </si>
  <si>
    <t>SIKANDAR SULEMANBHAI MANEK</t>
  </si>
  <si>
    <t>15/10/2026</t>
  </si>
  <si>
    <t>FUICHHAB, COLONI V C PARA, ,MORABI, MORBI - 363641 , MORBI , RAJKOT, GUJARAT</t>
  </si>
  <si>
    <t>GJ36U5762</t>
  </si>
  <si>
    <t>213049/31/26/008066</t>
  </si>
  <si>
    <t>BAJAJ AUTO - MAXIMA Z</t>
  </si>
  <si>
    <t>DEVJIBHAI BOCHIYA</t>
  </si>
  <si>
    <t>KHAKHRALA TA MORBI , - BAGATHALA , RAJKOT, GUJARAT</t>
  </si>
  <si>
    <t>GJ36U2640</t>
  </si>
  <si>
    <t>213049/31/26/008069</t>
  </si>
  <si>
    <t>DUDHAREJIYA DEVIDAS DAYARAM</t>
  </si>
  <si>
    <t>14-10-2026</t>
  </si>
  <si>
    <t>NAVAPARA, WANKANER, -, WANKANER, MORBI, WANKANER, GUJARAT, 363621 , WANKANER , RAJKOT, GUJARAT</t>
  </si>
  <si>
    <t>GJ36V2175</t>
  </si>
  <si>
    <t>3003/412024939/00/000</t>
  </si>
  <si>
    <t>SANTOKI VIVEK MANSUKHBHAI</t>
  </si>
  <si>
    <t>30-06-2027</t>
  </si>
  <si>
    <t>29-06-2026</t>
  </si>
  <si>
    <t>20-10-2027</t>
  </si>
  <si>
    <t>AMBA VADI AREA SANALA ROAD, RADHEKRISHNA SCHOOL MORBI, MORBI, GUJARAT 363641</t>
  </si>
  <si>
    <t>GJ36W4102</t>
  </si>
  <si>
    <t>213049/31/26/008067</t>
  </si>
  <si>
    <t>MAHESH BABUBHAI DAVERA</t>
  </si>
  <si>
    <t>20/10/2026</t>
  </si>
  <si>
    <t>20-10-2026</t>
  </si>
  <si>
    <t>NANA KHIJADIYA, TANKARA,, MORBI-GUJARAT-363650 , TANKARA , RAJKOT, GUJARAT</t>
  </si>
  <si>
    <t>GJ36S3104</t>
  </si>
  <si>
    <t>JCB/3DX PLUS/2WD/OP EN/CONSTRUCTION EQ UIPMENTS</t>
  </si>
  <si>
    <t>ASHIF HUSHENBHAI BADI</t>
  </si>
  <si>
    <t>16-12-2026</t>
  </si>
  <si>
    <t>AT 267 LAMBIDHAR MA HIKA TA WANKANER M ORBI, WANKANER, WA NKANER, GUJARAT, 363 621</t>
  </si>
  <si>
    <t>GJ03HA4567</t>
  </si>
  <si>
    <t>MARUTI / SWIFT / ZDI</t>
  </si>
  <si>
    <t>Virendrasinh Ghanshyamsinh Zala</t>
  </si>
  <si>
    <t>31-08-2029</t>
  </si>
  <si>
    <t>PIRBHAI BUILDING ABOVE AMIT TIME, SUBHASH ROA D MORBI, MORBI-GUJARAT, 363641</t>
  </si>
  <si>
    <t>GJ36T7339</t>
  </si>
  <si>
    <t>3379/04485186/000/00</t>
  </si>
  <si>
    <t>BOLERO - PICK UP BS II</t>
  </si>
  <si>
    <t>CHANDRAKANT ARJANBHAI KAVATHIYA</t>
  </si>
  <si>
    <t>96389 05070</t>
  </si>
  <si>
    <t>201 HARI OM APPARTMENT , NILKANTH SOCIETY , KANYA CHHATRALAY ROAD RAJKOT, CHACHAPAR B.O,RAJKOT</t>
  </si>
  <si>
    <t>GJ06VV9498</t>
  </si>
  <si>
    <t>12-1831-0008224994-00</t>
  </si>
  <si>
    <t>TATA LPK 2516 TC</t>
  </si>
  <si>
    <t>Manek Avesh Khamisha</t>
  </si>
  <si>
    <t>14-10-2029</t>
  </si>
  <si>
    <t>Khoja Khana Street At Maliya, , ,, Rajkot,, Gujarat363670</t>
  </si>
  <si>
    <t>GJ36N9436</t>
  </si>
  <si>
    <t>D230703780 / 14102025</t>
  </si>
  <si>
    <t>SPLENDOR PLUS/I3s CAST WHEEL BSVI</t>
  </si>
  <si>
    <t>SALOT KULSAM USMAN</t>
  </si>
  <si>
    <t>18-06-2034</t>
  </si>
  <si>
    <t>WANKANER AMARSAR RAJKOT,RAJKOT363621</t>
  </si>
  <si>
    <t>GJ05CE1720</t>
  </si>
  <si>
    <t>MARUTI ALTO LXI</t>
  </si>
  <si>
    <t>Rasangbhai Shambhubhai Babariya</t>
  </si>
  <si>
    <t>18-10-2025</t>
  </si>
  <si>
    <t>KANTI NAGAR , NR. N.H. HIGIWAY , MORVI , MORBI PPW , RAJKOT Rajkot - 363642 District: RAJKOT</t>
  </si>
  <si>
    <t>GJ02AT0331</t>
  </si>
  <si>
    <t>213049/31/26/008089</t>
  </si>
  <si>
    <t>TATA MOTORS - ACE GOLD BS 6</t>
  </si>
  <si>
    <t>GHANCHI ABDULRASID AASHIFBHAI</t>
  </si>
  <si>
    <t>91049 00786</t>
  </si>
  <si>
    <t>22-08-2024</t>
  </si>
  <si>
    <t>GHANCHI STREET, MAHENDRAPARA ROAD, MORVI, PO:MORBI MDG, DIST:RAJKOT, 8 GUJARAT, 363641 , MORBI , RAJKOT, GUJARAT</t>
  </si>
  <si>
    <t>GJ03AW4099</t>
  </si>
  <si>
    <t>12-1831-0008231034-00'</t>
  </si>
  <si>
    <t>Jaydeep Associates Private Limited</t>
  </si>
  <si>
    <t>JAYDEEP</t>
  </si>
  <si>
    <t>Jaydeep House Sanala Road Morbi, , ,, Rajkot,, Gujarat-363641</t>
  </si>
  <si>
    <t>GJ36T7153</t>
  </si>
  <si>
    <t>12-1831-0008231179-00</t>
  </si>
  <si>
    <t>TATA LPT 2518</t>
  </si>
  <si>
    <t>Jaydeep Enterprise Llp</t>
  </si>
  <si>
    <t>Jaydeep House Sanala Road,Morbi,Morbi, , ,, Rajkot,, Gujarat-363660</t>
  </si>
  <si>
    <t>16/10/2025</t>
  </si>
  <si>
    <t>GJ36W0543</t>
  </si>
  <si>
    <t>213049/31/26/008123</t>
  </si>
  <si>
    <t>MANSUKHBHAI PRABHUBHAI KOLI</t>
  </si>
  <si>
    <t>17/10/2026</t>
  </si>
  <si>
    <t>25-10-2028</t>
  </si>
  <si>
    <t>130 VAGHARIWAS 2 MANSAR,MORBI, , BAGATHALA , RAJKOT, GUJARAT</t>
  </si>
  <si>
    <t>GJ13AV5737</t>
  </si>
  <si>
    <t>213049/31/26/008122</t>
  </si>
  <si>
    <t>KIHALA RAJUBHAI MANUBHAI</t>
  </si>
  <si>
    <t>29-07-2027</t>
  </si>
  <si>
    <t>POPAT PARA RAMAPIR MANDIR SAME , - ANANDPUR BHADLA , SURENDRA NAGAR, GUJARAT</t>
  </si>
  <si>
    <t>GJ36V7926</t>
  </si>
  <si>
    <t>3003/412131691/00/000</t>
  </si>
  <si>
    <t>KASUNDRA ASHOKBHAI RAMJIBHAI</t>
  </si>
  <si>
    <t>15-10-2026</t>
  </si>
  <si>
    <t>19-01-2030</t>
  </si>
  <si>
    <t>BHUMI TOWER-B 601, OPP. KABIR ASHRAM, NANI VAVDI, MORBI, GUJARAT 363641</t>
  </si>
  <si>
    <t>GJ36V0884</t>
  </si>
  <si>
    <t>213049/31/26/008113</t>
  </si>
  <si>
    <t>EICHER - PRO 2114 XP L HSD 22FT. BS 6</t>
  </si>
  <si>
    <t>NONGHABHAI TIDABHAI MUNDHAVA</t>
  </si>
  <si>
    <t>24-10-2027</t>
  </si>
  <si>
    <t>24-10-2026</t>
  </si>
  <si>
    <t>AT ROHISHALA TAL TANKARA DIST MORBI MORBI GUJARAT 363650 , TANKARA , RAJKOT, GUJARAT</t>
  </si>
  <si>
    <t>GJ36B4048</t>
  </si>
  <si>
    <t>MARUTI / SWIFT / VDI D IESEL</t>
  </si>
  <si>
    <t>Mr Ibrahimbhai Ahmedbhai Hargan</t>
  </si>
  <si>
    <t>20-07-2031</t>
  </si>
  <si>
    <t>BHOYVADO STREET, NR.USMANIYA MASJID GANDHI BAZAR, MORBI, MORBI-GUJARAT, 363641</t>
  </si>
  <si>
    <t>GJ36T5255</t>
  </si>
  <si>
    <t>161122523340010338</t>
  </si>
  <si>
    <t>ASHOK LEYLAND 3718 &amp; TANKER</t>
  </si>
  <si>
    <t>MAHMADALTAF HUSHENBHAI PARASARA</t>
  </si>
  <si>
    <t>16/10/2026</t>
  </si>
  <si>
    <t>28-09-2026</t>
  </si>
  <si>
    <t>SINDHAVADAR SINDHAVADAR WANKANER, RAJKOT, GUJARAT, India, 363621.</t>
  </si>
  <si>
    <t>RUBRU</t>
  </si>
  <si>
    <t>25-11-2025</t>
  </si>
  <si>
    <t>17/10/2025</t>
  </si>
  <si>
    <t>GJ36V0301</t>
  </si>
  <si>
    <t>POCMVGC0100510490</t>
  </si>
  <si>
    <t>Mahindra &amp; Mahindra,Supro &amp; Profittruck Mini VX - 1950</t>
  </si>
  <si>
    <t>Mr.MUNGHAVA CHHAGANBHAI SATABHAI</t>
  </si>
  <si>
    <t>AT SARTANPAR,TA WANKANER,DI MORBI,Rajkot,Gujarat363621,India</t>
  </si>
  <si>
    <t>GJ36V2250</t>
  </si>
  <si>
    <t>161122523340010273</t>
  </si>
  <si>
    <t>ASHOK LEYLAND 4825 &amp; GP 6600 WB BS6</t>
  </si>
  <si>
    <t>GULAMMUSTUFA,HAJIBHAI SHERASIYA</t>
  </si>
  <si>
    <t>21-10-2025</t>
  </si>
  <si>
    <t>15-11-2027</t>
  </si>
  <si>
    <t>15-11-2025</t>
  </si>
  <si>
    <t>AT JODHPAR TAL WANKANER DIST RAJKOT WANKANER, RAJKOT, GUJARAT, India, 363621.</t>
  </si>
  <si>
    <t>GJ14AT9199</t>
  </si>
  <si>
    <t>161522523340013133</t>
  </si>
  <si>
    <t>TATA LPT &amp; 1109 H EX2 BS III</t>
  </si>
  <si>
    <t>MR. SAMJIBHAI VIRADA</t>
  </si>
  <si>
    <t>21-07-2026</t>
  </si>
  <si>
    <t>KRUSHNANAGAR MORBI MORBI, GUJARAT, India, 363691.</t>
  </si>
  <si>
    <t>GJ13AW3528</t>
  </si>
  <si>
    <t>161122523340010330</t>
  </si>
  <si>
    <t>ASHOK LEYLAND 3718 &amp; BS IV 2 STR</t>
  </si>
  <si>
    <t>MUNAFBHAI RAHIMBHAI GHONIYA</t>
  </si>
  <si>
    <t>17-10-2026</t>
  </si>
  <si>
    <t>21-11-2029</t>
  </si>
  <si>
    <t>BHATIYA SOCIETY HAVELI VARI SHERI CHANDRAPUR 2 WANKANER CHANDRAPUR WANKANER, RAJKOT, GUJARAT, India, 363621.</t>
  </si>
  <si>
    <t>GJ01KP5320</t>
  </si>
  <si>
    <t>MARUTI / WAGON R / 1. 0 VXI</t>
  </si>
  <si>
    <t>Mr Pathan Habibbhai Ismailbhai</t>
  </si>
  <si>
    <t>98256 71973</t>
  </si>
  <si>
    <t>BHARATPARA PANCHASAR ROAD MORBI, MORBIGUJARAT, 363641</t>
  </si>
  <si>
    <t>GJ36W0973</t>
  </si>
  <si>
    <t>BAJAJ AUTO/MAXIMA/Z CNG/Motorized Ricksha w/AUTO RICKSHAW</t>
  </si>
  <si>
    <t>Mr PATADIYA VIJAY JIVRAJBHAI</t>
  </si>
  <si>
    <t>MORBI, 363621RATIDE VLI RATIDEVLI WANKAN ER , RAJKOT, WANKANE R, GUJARAT, 363621</t>
  </si>
  <si>
    <t>GJ36V7886</t>
  </si>
  <si>
    <t>161522523340013266</t>
  </si>
  <si>
    <t>JAVID HAJIBHAI SHERSIYA</t>
  </si>
  <si>
    <t>25-06-2026</t>
  </si>
  <si>
    <t>AT JODHPAR TAL WANKANER DIST RAJKOT DIST RAJKOT WANKANER, RAJKOT, GUJARAT, India, 363621.</t>
  </si>
  <si>
    <t>GJ36X8010</t>
  </si>
  <si>
    <t>213049/31/26/008205</t>
  </si>
  <si>
    <t>ASHOK LEYLAND - GP 4825 6600 MM H CO BS 6</t>
  </si>
  <si>
    <t>PARASARA MAHMADZAHID HUSHENBHAI</t>
  </si>
  <si>
    <t>31-10-2027</t>
  </si>
  <si>
    <t>SINDHAVADAR, SINDHAVADAR. RAJKOT, GUJARAT, 363621 , SINDHAVADAR , RAJKOT, GUJARAT</t>
  </si>
  <si>
    <t>GJ36S4370</t>
  </si>
  <si>
    <t>3382/00390500/000/00</t>
  </si>
  <si>
    <t>HYDYRAULIC MOBILE CRANE</t>
  </si>
  <si>
    <t>JAY DWARKADHISH EARTHMOVERS</t>
  </si>
  <si>
    <t>21/10/2026</t>
  </si>
  <si>
    <t>28-10-2026</t>
  </si>
  <si>
    <t>29-10-2025</t>
  </si>
  <si>
    <t>SURVEY NO 120 PLOT NO 11 AT VANKDA MORBI, MORBI S.O,RAJKOT GUJARAT,PIN- 363641</t>
  </si>
  <si>
    <t>GJ36S4275</t>
  </si>
  <si>
    <t>3382/00390501/000/00</t>
  </si>
  <si>
    <t>SURVEY NO 120 P PLOT NO 11 P AT VANKDA MORBI, MORBI,MORBI GUJARAT,PIN- 363641</t>
  </si>
  <si>
    <t>18/10/2025</t>
  </si>
  <si>
    <t>GJ07DF0874</t>
  </si>
  <si>
    <t>POPMCAR00102043167</t>
  </si>
  <si>
    <t>Hyundai,Creta &amp; 1.5 CRDi MT E</t>
  </si>
  <si>
    <t>Mr JINGIA ABBASBHAI ZAKUBBHAI</t>
  </si>
  <si>
    <t>20/11/2026</t>
  </si>
  <si>
    <t>16-02-2038</t>
  </si>
  <si>
    <t>16-09-2026</t>
  </si>
  <si>
    <t>NO</t>
  </si>
  <si>
    <t>HOUSE NO 2/132 MASJID NI BAJUMA KHARI ROHAR MITHI ROHAR, GANDHIDHAM, Kachchh, Gujarat 370240</t>
  </si>
  <si>
    <t>GJ36L7226</t>
  </si>
  <si>
    <t>HYUNDAI / CRETA / 1.4 EX DIESEL</t>
  </si>
  <si>
    <t>NILESH JAGJIVANBHAI RATDIYA</t>
  </si>
  <si>
    <t>26/10/2026</t>
  </si>
  <si>
    <t>239-, AT-VANKDA, MORBI, MORBI-2, MORBI, GUJARA T,, MORBI-GUJARAT, 363642</t>
  </si>
  <si>
    <t>GJ36T9268</t>
  </si>
  <si>
    <t>3379/04489662/000/00</t>
  </si>
  <si>
    <t>BOLERO - MAXI TRUCK PLUS 1.2 BS VI</t>
  </si>
  <si>
    <t>ANILKUMAR KESHUBHAI GANGADIYA</t>
  </si>
  <si>
    <t>6355 401 160</t>
  </si>
  <si>
    <t>14-02-2027</t>
  </si>
  <si>
    <t>AT MAKANSAR TA MORBI DI MORBI MORBI GUJARAT,,, MORBI S.O,RAJKOT GUJARAT,PIN- 363641</t>
  </si>
  <si>
    <t>GJ36X1147</t>
  </si>
  <si>
    <t>3379/04489663/000/00</t>
  </si>
  <si>
    <t>BOLERO CAMPER - GOLD ZX 2WD BS VI</t>
  </si>
  <si>
    <t>SHRIF OSAMAN MOVAR</t>
  </si>
  <si>
    <t>17-10-2027</t>
  </si>
  <si>
    <t>NEAR 105 SCHOOL AT KHIRAI , MALIYA MIYANA , RAJKOT, GUJARAT, MALIYA MIYANA S.O,RAJKOT</t>
  </si>
  <si>
    <t>GJ36V0269</t>
  </si>
  <si>
    <t>POCMVGC0100512139</t>
  </si>
  <si>
    <t>MUNGHAVA CHHAGANBHAI SATABHAI</t>
  </si>
  <si>
    <t>99790 42264</t>
  </si>
  <si>
    <t>87581 53293</t>
  </si>
  <si>
    <t>18-10-2026</t>
  </si>
  <si>
    <t>AT SATANPAR,TA WANKANER,DI MORBI,Rajkot,Gujarat363621,India</t>
  </si>
  <si>
    <t>GJ36V4361</t>
  </si>
  <si>
    <t>161122523340010443</t>
  </si>
  <si>
    <t>MR. VIPUL BABUBHAI KUKVA</t>
  </si>
  <si>
    <t>14-05-2027</t>
  </si>
  <si>
    <t>MAHENDRANAGAR RAJKOT MORBI, RAJKOT, GUJARAT, India, 363642.</t>
  </si>
  <si>
    <t>GJ36AJ6475</t>
  </si>
  <si>
    <t>161122523090001943</t>
  </si>
  <si>
    <t>MARUTI SUZUKI EECO 5 STR AC CNG</t>
  </si>
  <si>
    <t>Mr. MOVAR ISMAIL KASAM</t>
  </si>
  <si>
    <t>24/10/2026</t>
  </si>
  <si>
    <t>26-10-2038</t>
  </si>
  <si>
    <t>26-10-2024</t>
  </si>
  <si>
    <t>323 MOWAR NO TILO MALIYA MORBI MORBI, RAJKOT, GUJARAT, India, 363670.+</t>
  </si>
  <si>
    <t>GJ36W5534</t>
  </si>
  <si>
    <t>213049/31/26/008242</t>
  </si>
  <si>
    <t>JAYDEEP JAVERIBHAI RATAN</t>
  </si>
  <si>
    <t>YADUNANDAN 1 BH UMIYA NAGAR, SANALA RD, , MORBI, GUJARAT, 363641 , MORBI , RAJKOT, GUJARAT</t>
  </si>
  <si>
    <t>GJ36U4025</t>
  </si>
  <si>
    <t>213049/31/26/008241</t>
  </si>
  <si>
    <t>PANKAJBHAI DINESHBHAI PARMAR</t>
  </si>
  <si>
    <t>NEAR SENSO GRANITO PVT LTD AT SARTANPAR WANKANER MORBI , - RAJKOT , RAJKOT, GUJARAT</t>
  </si>
  <si>
    <t>GJ36U8787</t>
  </si>
  <si>
    <t>Mr SILANIA RANJITBHAI RAVJIBHAI</t>
  </si>
  <si>
    <t>99252 60113</t>
  </si>
  <si>
    <t>28-11-2026</t>
  </si>
  <si>
    <t>27-08-2030</t>
  </si>
  <si>
    <t>GHUNADA,GHUNADA,S AJANPUR,RAJKOT, MOR BI, GUJARAT, 363641</t>
  </si>
  <si>
    <t>GJ36W0726</t>
  </si>
  <si>
    <t>Mr ANTRESA BHAVESH BHARATBHAI</t>
  </si>
  <si>
    <t>NAMANVATI ELECTRIC STORE NE OVER, BRIDG E TRAJPAR, , MORBI, GU JARAT, , JAMBUDIYA , R AJKOT, MORVI, GUJARA T, 363642</t>
  </si>
  <si>
    <t>NEW</t>
  </si>
  <si>
    <t>213049/31/26/008210</t>
  </si>
  <si>
    <t>ASHOK LEYLAND - GM 4220 6600 MM BS 6</t>
  </si>
  <si>
    <t>RAMKUMAR JENTIBHAI MALAN</t>
  </si>
  <si>
    <t>GHADHVIVAS JAMBUDA, JAMBUDA, JAMBUDA, JAMBUDA JAMNAGAR, GUJARAT, 361120 , JAMBUDA , JAMNAGAR, GUJARAT</t>
  </si>
  <si>
    <t>213049/31/26/008204</t>
  </si>
  <si>
    <t>213049/31/26/008221</t>
  </si>
  <si>
    <t>GJ16AV1955</t>
  </si>
  <si>
    <t>POCMVGC0100513435</t>
  </si>
  <si>
    <t>Ashok Leyland,Ecomet 1415 &amp; 4200 mm WB BSVI</t>
  </si>
  <si>
    <t>Mr.PANJWANI JEMISH JIGARBHAI</t>
  </si>
  <si>
    <t>22/10/2026</t>
  </si>
  <si>
    <t>28-02-2025</t>
  </si>
  <si>
    <t>44 YOGESHWARNAGAR,Ravapar ROAD,Morbi,Rajkot,Gujarat363641,India</t>
  </si>
  <si>
    <t>GJ36AJ4566</t>
  </si>
  <si>
    <t>2302 2078 2601 6100 000</t>
  </si>
  <si>
    <t>EECO-5 STR</t>
  </si>
  <si>
    <t>MR PARMAR BHIMJIBHAI DAMJIBHAI</t>
  </si>
  <si>
    <t>28-09-2038</t>
  </si>
  <si>
    <t>24-02-2026</t>
  </si>
  <si>
    <t>VAJE PAR STREET NO 3 MORVI RAJKOT GUJARAT RAJKOT RAJKOT</t>
  </si>
  <si>
    <t>GJ12BT2888</t>
  </si>
  <si>
    <t>213049/31/26/008276</t>
  </si>
  <si>
    <t>SOLANKI SUKHADEVSINH KANUBHA</t>
  </si>
  <si>
    <t>19-03-2026</t>
  </si>
  <si>
    <t>13-09-2024</t>
  </si>
  <si>
    <t>18 4 SHIVAM BANGLOW AVADH NAGAR , NAGHEDI,JAMNAGAR, JAMNAGAR -361006 , NAVAGAM , JAMNAGAR, GUJARAT</t>
  </si>
  <si>
    <t>19/10/2025</t>
  </si>
  <si>
    <t>GJ36W2317</t>
  </si>
  <si>
    <t>213049/31/26/008295</t>
  </si>
  <si>
    <t>MAHINDRA AND MAHINDRA - TREO PLUS SFT</t>
  </si>
  <si>
    <t>MANSUKHBHAI DHAVANIYA</t>
  </si>
  <si>
    <t>AT NAVI JOGAD KIDI, TA HALVAD, DIS MORBI, MORBI-363351 , KIDI , SURENDRA NAGAR, GUJARAT</t>
  </si>
  <si>
    <t>GJ36V9818</t>
  </si>
  <si>
    <t>3003/412540971/00/000</t>
  </si>
  <si>
    <t>SHEKH KASAMBHAI DAUDBHAI</t>
  </si>
  <si>
    <t>PARSHURAMNAGAR SERI NO 6 7, SOORDI MORBI, MORBI, GUJARAT 363641</t>
  </si>
  <si>
    <t>GJ36S8072</t>
  </si>
  <si>
    <t>213049/31/26/008294</t>
  </si>
  <si>
    <t>AJAX - ARGO 2000 NS E1 R</t>
  </si>
  <si>
    <t>DHARMENDRA VALJIBHAI CHAVDA</t>
  </si>
  <si>
    <t>AT &amp; PO-PANELI,,MORBI,,,363642 , PANELI , RAJKOT, GUJARAT</t>
  </si>
  <si>
    <t>GJ13AV6656</t>
  </si>
  <si>
    <t>213049/31/26/008293</t>
  </si>
  <si>
    <t>MAHESH MOTIBHAI LAMBARIYA</t>
  </si>
  <si>
    <t>DALMILL ROAD SURENDRANAGAR , SURENDRA NAGAR , SURENDRANAGAR, GUJARAT</t>
  </si>
  <si>
    <t>GJ36AF0080</t>
  </si>
  <si>
    <t>3362/04145978/000/00</t>
  </si>
  <si>
    <t>KIA MOTORS</t>
  </si>
  <si>
    <t>SANDIPBHA BHUPATBHA GUDHADA</t>
  </si>
  <si>
    <t>97245 00986</t>
  </si>
  <si>
    <t>74, SONAL SOCIETY RAFALESHWAR JAMBUDIYA,MORBI, RAFALESHWAR B.O,RAJKOT,GUJARAT, PIN - 363642</t>
  </si>
  <si>
    <t>GJ36U9899</t>
  </si>
  <si>
    <t>Mr KIRANBHAI HEMUBHAI SOLANKI</t>
  </si>
  <si>
    <t>30-09-2024</t>
  </si>
  <si>
    <t>4 KAYAJI PLOT OPP MA HESH HOTEL SHANALA ROAD MORVI RAJKOT, MORBI, GUJARAT, 3636 41</t>
  </si>
  <si>
    <t>GJ36V8247</t>
  </si>
  <si>
    <t>3003/412539335/00/000</t>
  </si>
  <si>
    <t>M &amp; M PICK-UP VANS BOLERO MAXX PUP HD 2.0L VXI</t>
  </si>
  <si>
    <t>IMRAN RAYABBHAI JEDA</t>
  </si>
  <si>
    <t>72 72, JEDAVAS, NAVAGAM, RAJKOT, GUJARAT 363670</t>
  </si>
  <si>
    <t>GJ36V7921</t>
  </si>
  <si>
    <t>161122523340010487</t>
  </si>
  <si>
    <t>AMRUTLAL CHHAGANBHAI DETROJA</t>
  </si>
  <si>
    <t>MANEKWADA MANEKWADA RAJKOT MORBI, RAJKOT, GUJARAT, India, 363641.</t>
  </si>
  <si>
    <t>3379/04491103/000/00</t>
  </si>
  <si>
    <t>ASHOK LEYLAND</t>
  </si>
  <si>
    <t>LAKADDHAR PO WANKANER DIST MORBI,,, WANKANER S.O,RAJKOT</t>
  </si>
  <si>
    <t>GJ03DG7840</t>
  </si>
  <si>
    <t>HYUNDAI MOTORS ACCENT GLE</t>
  </si>
  <si>
    <t>Mr. Khureshi Rahimbhai Mushabhai</t>
  </si>
  <si>
    <t>19/10/2026</t>
  </si>
  <si>
    <t>14-03-2026</t>
  </si>
  <si>
    <t>SIPAI STREET , GADHNI RANG , MORVI , RAJKOT Morbi - 363641 District: RAJKOT GUJARAT(24), India</t>
  </si>
  <si>
    <t>GJ09Z1817</t>
  </si>
  <si>
    <t>3379/04491098/000/00</t>
  </si>
  <si>
    <t>BOLERO - MAXITRUCK</t>
  </si>
  <si>
    <t>RANCHHODBHAI DEVSIBHAI RABARI</t>
  </si>
  <si>
    <t>96381 81213</t>
  </si>
  <si>
    <t>97,98,109 SAT HANUMAN SOCIETY OPP MAHAVIR FLATS LILAPUR ROAD MORBI,,, MORBI,RAJKOT</t>
  </si>
  <si>
    <t>GJ36W1349</t>
  </si>
  <si>
    <t>BAJAJ AUTO/RE MAXIM A/Z/Motorized Ricksha w/AUTO RICKSHAW</t>
  </si>
  <si>
    <t>Mr RAJUBHAI SIVABHAI DHAMECHA</t>
  </si>
  <si>
    <t>23-10-2027</t>
  </si>
  <si>
    <t>26-10-2028</t>
  </si>
  <si>
    <t>NEAR MALIYA VADHAR AVA VADHARVA RAJKO T, MALIYA, GUJARAT, 36 3670</t>
  </si>
  <si>
    <t>GJ36AL7402</t>
  </si>
  <si>
    <t>D231609264 / 19102025</t>
  </si>
  <si>
    <t>BALENO NEW/1.2 DELTA AGS BSVI</t>
  </si>
  <si>
    <t>RATADIYA DILIPBHAI JAGDISHBHAI</t>
  </si>
  <si>
    <t>STREET NO-13,PARSHURAM NAGAR SO ORADI,MORBI,GUJARAT,Morbi-363642</t>
  </si>
  <si>
    <t>GJ36V5776</t>
  </si>
  <si>
    <t>3379/04491102/000/00</t>
  </si>
  <si>
    <t>BOLERO MAXX PUP - 1.7 HD LX</t>
  </si>
  <si>
    <t>HARESH KARMANBHAI VAHANIA</t>
  </si>
  <si>
    <t>25-02-2029</t>
  </si>
  <si>
    <t>72 72, JEDAVAS NAVAGAM RAJKOT, VIRVADRKA B.O,RAJKOT</t>
  </si>
  <si>
    <t>GJ36V0563</t>
  </si>
  <si>
    <t>POCMVGC0100513746</t>
  </si>
  <si>
    <t>Tata Motors,LPT 1512 &amp; DCR42DSD 125B6 M5 16020 GVW</t>
  </si>
  <si>
    <t>TAMARIYA VIJAYANNDABHAI</t>
  </si>
  <si>
    <t>27-03-2026</t>
  </si>
  <si>
    <t>17-11-2026</t>
  </si>
  <si>
    <t>Sartanpar,Wankaner,Morbi,RajkotRajkot,Gujarat36 3621,India</t>
  </si>
  <si>
    <t>GJ18CD1855</t>
  </si>
  <si>
    <t>OG-26-1105-1806-00021292</t>
  </si>
  <si>
    <t>HERO HONDA ES PLEASURE</t>
  </si>
  <si>
    <t>JIGNESHKUMAR MANILAL SHETH</t>
  </si>
  <si>
    <t>29-04-2028</t>
  </si>
  <si>
    <t>16-02-2025</t>
  </si>
  <si>
    <t>AT-KHAKHRACHI NAVI STREET, , ,, RAJKOT - 363630</t>
  </si>
  <si>
    <t>GJ01WH3713</t>
  </si>
  <si>
    <t>201140020125701394900000</t>
  </si>
  <si>
    <t>TOYOTA/INNOVA CRYSTA/2.4 V 8 STR/Muv</t>
  </si>
  <si>
    <t>MR SODAGAR MOHSIN ISHAKBHAI</t>
  </si>
  <si>
    <t>18-10-2037</t>
  </si>
  <si>
    <t>G-402, 4 FLOOR CLASSIC HIGHLAND, NEAR NAYARA PETROL PUMP,MAKARBA ROAD, OPP AL BUROOJ,,GUJARAT,AHMEDABAD,JIVRAJ PARK-380051</t>
  </si>
  <si>
    <t>20/10/2025</t>
  </si>
  <si>
    <t>GJ03BZ4829</t>
  </si>
  <si>
    <t>3379/04491502/000/00</t>
  </si>
  <si>
    <t>SUPER CARRY - SUPER CARRY CNG STD</t>
  </si>
  <si>
    <t>KARANBHAI AJAYBHAI NAKUM</t>
  </si>
  <si>
    <t>17-07-2026</t>
  </si>
  <si>
    <t>247 NR BUS STATION AT PADADHARI TA PADADHARI RAJKOT, PADDHARI S.O,RAJKOT</t>
  </si>
  <si>
    <t>GJ03BN6606</t>
  </si>
  <si>
    <t>D231756247 / 19102025</t>
  </si>
  <si>
    <t>SPLENDOR PLUS/CAST SELF DRUM</t>
  </si>
  <si>
    <t>BORSINDHIYA YASHIN KARIMBHAI</t>
  </si>
  <si>
    <t>98253 22471</t>
  </si>
  <si>
    <t>87587 24555</t>
  </si>
  <si>
    <t>138, SAT HANUMAN SOCIETY,LILAPAR ROAD, MORVI, -,Rajkot-363641</t>
  </si>
  <si>
    <t>GJ03FQ6606</t>
  </si>
  <si>
    <t>D231727322 / 19102025</t>
  </si>
  <si>
    <t>ACTIVA/DLX</t>
  </si>
  <si>
    <t>BORSINDHIYA TOFIK KARIMBHAI</t>
  </si>
  <si>
    <t>18-04-2026</t>
  </si>
  <si>
    <t>138 SAT HANUMAN SOCIETY LILAPAR ROAD MORBI RAJKOT,MORBI-363641</t>
  </si>
  <si>
    <t>21/10/2025</t>
  </si>
  <si>
    <t>GJ03BT7596</t>
  </si>
  <si>
    <t>213049/31/26/008318</t>
  </si>
  <si>
    <t>PARMAR SARUKH ARIFBHAI</t>
  </si>
  <si>
    <t>23-11-2025</t>
  </si>
  <si>
    <t>RIYA HAUS RAM PARK 1 VAVDI ROAD MORBI MORBI .. MORBI, GUJARAT, INDIA, 363641. , MORBI , RAJKOT, GUJARAT</t>
  </si>
  <si>
    <t>GJ36AF3625</t>
  </si>
  <si>
    <t>POPMCAR00102050161</t>
  </si>
  <si>
    <t>Maruti Suzuki,S-Presso &amp; VXI</t>
  </si>
  <si>
    <t>Mr MANEK RAFIK KHAMISHA</t>
  </si>
  <si>
    <t>30-07-2025</t>
  </si>
  <si>
    <t>At Maliya Miyana Ta Maliya, Khoja Khana Sheri, Rajkot, Gujarat 363670</t>
  </si>
  <si>
    <t>GJ36AF4063</t>
  </si>
  <si>
    <t>POPMCAR00102050160</t>
  </si>
  <si>
    <t>Maruti Suzuki,Baleno &amp; 1.2 Delta</t>
  </si>
  <si>
    <t>Mr VADAVARIYA MOHSINBHAI DAUDBHAI</t>
  </si>
  <si>
    <t>20-11-2037</t>
  </si>
  <si>
    <t>30-04-2026</t>
  </si>
  <si>
    <t>Mahendrapara 3 Near Madhapar Zapa, Morbi, Rajkot, Gujarat 363641</t>
  </si>
  <si>
    <t>GJ36AC7118</t>
  </si>
  <si>
    <t>POPMCAR00102050158</t>
  </si>
  <si>
    <t>Hyundai,Verna &amp; 1.5 SX CRDi</t>
  </si>
  <si>
    <t>Mr SANTOKI GHANSHYAMBHAI AMRUTBHAI</t>
  </si>
  <si>
    <t>23-03-2036</t>
  </si>
  <si>
    <t>SHRI HARI SETU APRT 601 MARUTI NAGAR, RAVAPAR ROAD, Rajkot, Gujarat 363641</t>
  </si>
  <si>
    <t>GJ36R6930</t>
  </si>
  <si>
    <t>POPMCAR00102049987</t>
  </si>
  <si>
    <t>Maruti Suzuki,Swift &amp; Vxi</t>
  </si>
  <si>
    <t>Mr SHANAVDA DULARBHJI DAYA</t>
  </si>
  <si>
    <t>878 090 3790</t>
  </si>
  <si>
    <t>96640 85323</t>
  </si>
  <si>
    <t>BARVALA ., ., Rajkot, Gujarat 363641</t>
  </si>
  <si>
    <t>GJ36V5894</t>
  </si>
  <si>
    <t>3379/04492110/000/00</t>
  </si>
  <si>
    <t>BOL MAXX PUP - 1.3 CITY LX BSVI</t>
  </si>
  <si>
    <t>RAMESHBHAI GAGJIBHAI SETANIA</t>
  </si>
  <si>
    <t>27/10/2026</t>
  </si>
  <si>
    <t>30-10-2025</t>
  </si>
  <si>
    <t>AT VARDUSAR TA WANKANER DIS MORBI ,,, MORBI,RAJKOT</t>
  </si>
  <si>
    <t>GJ36U7600</t>
  </si>
  <si>
    <t>BAJAJ AUTO/RE/COMPA CT/Motorized Ricksha w/AUTO RICKSHAW</t>
  </si>
  <si>
    <t>Mr SEVANGIYA ZULFER GULAMHUSEN</t>
  </si>
  <si>
    <t>96382 44645</t>
  </si>
  <si>
    <t>19-04-2026</t>
  </si>
  <si>
    <t>16-12-2029</t>
  </si>
  <si>
    <t>WAKANER, DARVAJA, M ORVI RAJKOT, MORBI, G UJARAT, 363641</t>
  </si>
  <si>
    <t>GJ36W1394</t>
  </si>
  <si>
    <t>Mr ROHITBHAI TIKUBHAI PARMAR</t>
  </si>
  <si>
    <t>JUNA MAKANSAR, JUN A, RAJKOT, MORBI, GUJ ARAT, 363642</t>
  </si>
  <si>
    <t>GJ36AC5001</t>
  </si>
  <si>
    <t>MARUTI / SWIFT / VXI</t>
  </si>
  <si>
    <t>VIJAYBHAI MANUBHAI GOGA</t>
  </si>
  <si>
    <t>18-05-2036</t>
  </si>
  <si>
    <t>26-05-2026</t>
  </si>
  <si>
    <t>DHAYDI VISTAR RAVAPAR MORBI, TA MORBI,, MORBI, MORBI-GUJARAT, 363641</t>
  </si>
  <si>
    <t>GJ36V5528</t>
  </si>
  <si>
    <t>3379/04107059/000/01</t>
  </si>
  <si>
    <t>KANZARIYA ASHVINBHAI DHIRUBHAI</t>
  </si>
  <si>
    <t>16-01-2026</t>
  </si>
  <si>
    <t>MIRA PARK 2, VAVDI ROAD, , MORBI , GUJARAT, MORBI,MORBI</t>
  </si>
  <si>
    <t>GJ36T5250</t>
  </si>
  <si>
    <t>132/02/17/1026/MTP/1010212824</t>
  </si>
  <si>
    <t>MAHINDRA AND MAHINDRA BOLERO MAXI TRUCK</t>
  </si>
  <si>
    <t>MR SUBHAN KHAMISHABHAI MANEK</t>
  </si>
  <si>
    <t>94 MALIYA MI 4 TAL MALIYA MI, DI MORBI, RAJKOT, GUJARAT, INDIA, Pincode : 363670</t>
  </si>
  <si>
    <t>GJ10TV7511</t>
  </si>
  <si>
    <t>POCMVGC0100515365</t>
  </si>
  <si>
    <t>Mr.MALAN RAMKUMAR JAYANTIBHAI</t>
  </si>
  <si>
    <t>13-11-2025</t>
  </si>
  <si>
    <t>23-12-2025</t>
  </si>
  <si>
    <t>Gadhvi vas,At Jambuda,Jamnagar,Jamnagar,Gujarat361120,Indi a</t>
  </si>
  <si>
    <t>22/10/2025</t>
  </si>
  <si>
    <t>GJ36W2323</t>
  </si>
  <si>
    <t>Mr GANPATBHAI VAJABHAI SURANI</t>
  </si>
  <si>
    <t>120 BHARVADVAS MAN GALPUR, HALVAD MOR BI, ,MORBI,Gujarat,, HA LVAD, GUJARAT, 36333 0</t>
  </si>
  <si>
    <t>GJ03ML7674</t>
  </si>
  <si>
    <t>MARUTI XL6 ALPHA PLUS AT</t>
  </si>
  <si>
    <t>Mr. Sorathiya Ashvinbhai Rajeshbhai</t>
  </si>
  <si>
    <t>26-03-2026</t>
  </si>
  <si>
    <t>PLOT MAGHARVADA RAJKOT RAJKOT GUJARAT Rajkot - 360023 District: RAJKOT GUJARAT(24), India</t>
  </si>
  <si>
    <t>GJ02XX3018</t>
  </si>
  <si>
    <t>3379/04492659/000/00</t>
  </si>
  <si>
    <t>3118 IL SUPER - BS II</t>
  </si>
  <si>
    <t>WAHAJUDDINKHAN ABDULKADIRKHAN</t>
  </si>
  <si>
    <t>27-05-2029</t>
  </si>
  <si>
    <t>PLOT NO 25 LABH SCOIETY NEAR SATYAM SOCIETY MADHAPAR MORBI,, MORBI,RAJKOT</t>
  </si>
  <si>
    <t>GJ36B1915</t>
  </si>
  <si>
    <t>132/01/11/1026/MTP/1010213394</t>
  </si>
  <si>
    <t>MARUTI SUZUKI ALTO 800 LXI CNG</t>
  </si>
  <si>
    <t>MR PRAKASH RAMESHBHAI GOHEL</t>
  </si>
  <si>
    <t>79845 61322</t>
  </si>
  <si>
    <t>26-01-2031</t>
  </si>
  <si>
    <t>VISHIPARA WANKANER, MORBI, RAJKOT, GUJARAT, INDIA, Pincode : 363621</t>
  </si>
  <si>
    <t>GJ36AF2432</t>
  </si>
  <si>
    <t>OG-26-1105-1805-00005568</t>
  </si>
  <si>
    <t>MARUTI LXI (O) ALTO</t>
  </si>
  <si>
    <t>GAUTAMKUMAR DINESHBHAI GONDALIYA</t>
  </si>
  <si>
    <t>27-09-2037</t>
  </si>
  <si>
    <t>KARELI JAMNAGAR, , ,, JAMNAGAR - 363655</t>
  </si>
  <si>
    <t>GJ12AW4775</t>
  </si>
  <si>
    <t>3379/04492658/000/00</t>
  </si>
  <si>
    <t>3116 IL - 8X2 BSIII</t>
  </si>
  <si>
    <t>LAXMANBHAI DHANJIBHAI PARMAR</t>
  </si>
  <si>
    <t>96013 99137</t>
  </si>
  <si>
    <t>18-08-2026</t>
  </si>
  <si>
    <t>20-12-2025</t>
  </si>
  <si>
    <t>SIDHDHIVINAYAK 3 KALIKA PLOT MORBI, MORBI,,, MORBI,RAJKOT</t>
  </si>
  <si>
    <t>GJ03AZ2366</t>
  </si>
  <si>
    <t>12-1831-0008261267-00'</t>
  </si>
  <si>
    <t>EICHER TERRA-16</t>
  </si>
  <si>
    <t>Varmora Jayantibhai Thobhanbhai</t>
  </si>
  <si>
    <t>17-11-2025</t>
  </si>
  <si>
    <t>28-04-2025</t>
  </si>
  <si>
    <t>13-09-2028</t>
  </si>
  <si>
    <t>Shanti Nagar Soc Vadi Vistar At Nava Pipli, , ,, Rajkot,, Gujarat-363641</t>
  </si>
  <si>
    <t>23/10/2025</t>
  </si>
  <si>
    <t>GJ06HB8177</t>
  </si>
  <si>
    <t>OG-26-1105-1806-00021597</t>
  </si>
  <si>
    <t>HERO MOTOCORP CAST KICK DRUM</t>
  </si>
  <si>
    <t>JADAV VIJAY TAPUBHAI</t>
  </si>
  <si>
    <t xml:space="preserve"> 97242 49049</t>
  </si>
  <si>
    <t>22-09-2028</t>
  </si>
  <si>
    <t>KOTHARIYA SOLVAT OPP TB HOSPITAL RAJKOT BHAKTINAGAR, , ,, RAJKOT - 360002</t>
  </si>
  <si>
    <t>24/10/2025</t>
  </si>
  <si>
    <t>GJ13AM3637</t>
  </si>
  <si>
    <t>D232370038 / 23102025</t>
  </si>
  <si>
    <t>ERTIGA/1.5 ZDI</t>
  </si>
  <si>
    <t>YOGESHBHAI LAKHMANBHAI MAKVANA</t>
  </si>
  <si>
    <t>31-10-2034</t>
  </si>
  <si>
    <t>23-06-2026</t>
  </si>
  <si>
    <t>VAJEPAR STREET NO 21 MORBI,SURENDRA NAGAR-363001</t>
  </si>
  <si>
    <t>GJ03BT0111</t>
  </si>
  <si>
    <t>601722523340003385</t>
  </si>
  <si>
    <t>ASHOK LEYLAND 3718 &amp; IL 3 STR</t>
  </si>
  <si>
    <t>AVESHBHAI KHAMISHA MANEK</t>
  </si>
  <si>
    <t>21-02-2026</t>
  </si>
  <si>
    <t>MALIYA RAJKOT MALIYA MALIYA, RAJKOT, GUJARAT, India, 363670.</t>
  </si>
  <si>
    <t>GJ36T4991</t>
  </si>
  <si>
    <t>3379/04494384/000/00</t>
  </si>
  <si>
    <t>BOLERO - MAXI TRUCK 2WD</t>
  </si>
  <si>
    <t>RAKESH BABUBHAI SAVARIYA</t>
  </si>
  <si>
    <t>VANKARVAS STEET NO 2 NEAR SUB JAIL MORBI RAJKOT, MORBI,MORB</t>
  </si>
  <si>
    <t>GJ12FC7536</t>
  </si>
  <si>
    <t>2302 2078 3565 8000 000</t>
  </si>
  <si>
    <t>BOLERO-CAMPER GOLD ZX 2WD</t>
  </si>
  <si>
    <t>PANCHIA BHAGVANJIBHAI HIRABHAI</t>
  </si>
  <si>
    <t>JUNA JAMBUDIYA JUNA JUNAJAMBUDIYA JAMBUDYA JAMBUOYA RAJKOT GUJARAT 363642 RAJKOT RAJKOT</t>
  </si>
  <si>
    <t>25/10/2025</t>
  </si>
  <si>
    <t>GJ36W2419</t>
  </si>
  <si>
    <t>Mr DETHAREIA MUKESHBHAI CHANDUBHAI</t>
  </si>
  <si>
    <t>INDIRANAGAR,MAHEN DRANAGAR,MORBI, 36 3642, MORBI, GUJARAT 363642</t>
  </si>
  <si>
    <t>GJ12AY3378</t>
  </si>
  <si>
    <t>EICHER MOTORS/PRO 1 110/G HSD/OPEN/TRUC K</t>
  </si>
  <si>
    <t>Mr Lambariya Devabhai Ranchhodbhai</t>
  </si>
  <si>
    <t>29-12-2025</t>
  </si>
  <si>
    <t>Surendranagar, 36300 1, 363001, WADHWAN, GUJARAT, INDIA</t>
  </si>
  <si>
    <t>GJ36W2212</t>
  </si>
  <si>
    <t>Mr BHARATBHAI VIRJIBHAI PARMAR</t>
  </si>
  <si>
    <t>22-10-2026</t>
  </si>
  <si>
    <t>22-10-2025</t>
  </si>
  <si>
    <t>NAHADMATIYA, TA TAN KARA, ,HADMATIYA, M ORBI, MORBI, GUJARAT 363641</t>
  </si>
  <si>
    <t>GJ36W2057</t>
  </si>
  <si>
    <t>Mr KANABHAI RAMESHBHAI PATDIYA</t>
  </si>
  <si>
    <t>25/10/2026</t>
  </si>
  <si>
    <t>NAKHAKHARECHI MALI YA MIYANA, MORBI, ,K HAKHRECHI, MORBI, R AJKOT, GUJARAT, 36363 0</t>
  </si>
  <si>
    <t>GJ36S3785</t>
  </si>
  <si>
    <t>213049/31/26/008368</t>
  </si>
  <si>
    <t>SAMJIBHAI KARSHANBHAI JADAV</t>
  </si>
  <si>
    <t>LAKHDHIRPUR MORBI, RAJKOT GUJARAT 363641 , MORBI , RAJKOT, GUJARAT</t>
  </si>
  <si>
    <t>GJ12BZ2485</t>
  </si>
  <si>
    <t>AVO/2315/12353646</t>
  </si>
  <si>
    <t>ICHER MOTORS EICHER PRO 2114 XP H HSD BS VI</t>
  </si>
  <si>
    <t>BALOTIYA MADAN</t>
  </si>
  <si>
    <t>99259 27336</t>
  </si>
  <si>
    <t>99137 72807</t>
  </si>
  <si>
    <t>S/O. Balotiya Gulab Jetha Plot-129 /Ward/9-A.g. Bharat Nagar, Gandhid ham, Kachchh, Gandhidham, Gujarat, 370201 GANDHIDHAM GUJARAT</t>
  </si>
  <si>
    <t>GJ13NN5180</t>
  </si>
  <si>
    <t>VPT1000470000100</t>
  </si>
  <si>
    <t>i10 Sportz IRDE - 5 Seater</t>
  </si>
  <si>
    <t>BHORANIYA IMTIYAJ ABDULBHAI</t>
  </si>
  <si>
    <t>16-09-2025</t>
  </si>
  <si>
    <t>BHALGAM BHALGAM BHALGAM, ., , , E0- Surendra Nagar, RAJKOT, 363621, GUJARAT</t>
  </si>
  <si>
    <t>GJ36V5902</t>
  </si>
  <si>
    <t>3379/04125526/000/01</t>
  </si>
  <si>
    <t>HAKABHAI TOYATA</t>
  </si>
  <si>
    <t>30-10-2024</t>
  </si>
  <si>
    <t>AT AMRAN , TA MORBI , DI MORBI MORBI GUJARAT,, UNTBET SHAMPAR B.O,JAMNAGAR</t>
  </si>
  <si>
    <t>RJ12CB4569</t>
  </si>
  <si>
    <t>30010031256760001132</t>
  </si>
  <si>
    <t>MARUTI SUZUKI EECO 5 STR AC O</t>
  </si>
  <si>
    <t>PRATAP SINGH</t>
  </si>
  <si>
    <t>NATIONAL</t>
  </si>
  <si>
    <t>112 TALAB FALA VILLAGE POST PUNAWARA TEHSIL SIMALWARA DUNGARPUR , RAJASTHAN ,</t>
  </si>
  <si>
    <t>GJ36T5305</t>
  </si>
  <si>
    <t>: 161122523340010614</t>
  </si>
  <si>
    <t>ASHOK LEYLAND U 3718 &amp; IL 260 WB</t>
  </si>
  <si>
    <t>MR. MAHAMADHUSEN FATEMAHAMAD PARASARA</t>
  </si>
  <si>
    <t>15-11-2026</t>
  </si>
  <si>
    <t>SIDHAVADAR RAJKOT WANKANER, RAJKOT, GUJARAT, India, 363621.</t>
  </si>
  <si>
    <t>GJ36X5433</t>
  </si>
  <si>
    <t>3379/04125518/000/01</t>
  </si>
  <si>
    <t>LGV</t>
  </si>
  <si>
    <t>BOL MAXX PUP - 1.7 HD LX CBC BSVI</t>
  </si>
  <si>
    <t>RATHOD HIREN PRAVINBHAI</t>
  </si>
  <si>
    <t>21-10-2024</t>
  </si>
  <si>
    <t>20-12-2028</t>
  </si>
  <si>
    <t>SURVEY NO. 194 / PLOT NO-21, MAHENDRA NAGAR, OLD GHUNTU ROAD, BEHIND AJANTA CORPORATE, MORBI,, MORBI, GUJARAT</t>
  </si>
  <si>
    <t>GJ06AV1518</t>
  </si>
  <si>
    <t>201340020725700079700000</t>
  </si>
  <si>
    <t>ASHOK LEYLAND/3718 IL CABIN RADIAL/ (Cabin Chassis) OPEN METAL BODY</t>
  </si>
  <si>
    <t>HANSABA KANAKSINH VAGHELA</t>
  </si>
  <si>
    <t>17-12-2024</t>
  </si>
  <si>
    <t>31-10-2024</t>
  </si>
  <si>
    <t>BLOCK NO 1 SHIDHARTH SOCIETY MORBI 2 MORBI RAJKT GUJARAT 363642 ,,,GUJARAT,RAJKOT,MORBI PPW-363642</t>
  </si>
  <si>
    <t>GJ36U5719</t>
  </si>
  <si>
    <t>6303492177 00 00</t>
  </si>
  <si>
    <t>Mr SULTAN SUMAR ADMANI</t>
  </si>
  <si>
    <t>14-03-2024</t>
  </si>
  <si>
    <t>CHANCHAVADARDA,M ALIYA MIYANA,RAJKOT, MALIYA, GUJARAT, 3636 70</t>
  </si>
  <si>
    <t>GJ36W1473</t>
  </si>
  <si>
    <t>6303492157 00 00</t>
  </si>
  <si>
    <t>Mr SUNIL SAVJIBHAI THARESA</t>
  </si>
  <si>
    <t>DHUTARA VADI BEHIN D ROKADIYA HANUMA NJI NAVALAKHI ROAD , RAJKOT, MORBI, MORB I, GUJARAT, 363641</t>
  </si>
  <si>
    <t>GJ03AZ0329</t>
  </si>
  <si>
    <t>3003/413500385/00/B00</t>
  </si>
  <si>
    <t>MGV</t>
  </si>
  <si>
    <t>EICHER MOTOR1</t>
  </si>
  <si>
    <t>PANKA SIDIKBHAI HUSAINBHAI</t>
  </si>
  <si>
    <t>98799 79251</t>
  </si>
  <si>
    <t>17-12-2025</t>
  </si>
  <si>
    <t>24-11-2029</t>
  </si>
  <si>
    <t>MAHENDRANAGAR MAHENDRANAGAR, RAJKOT, RAJKOT, GUJARAT 363642</t>
  </si>
  <si>
    <t>GJ36T4809</t>
  </si>
  <si>
    <t>: 161522523340013455</t>
  </si>
  <si>
    <t>TATA LPT &amp; 1412 CRX</t>
  </si>
  <si>
    <t>MR. MUNDHAVA GOVIND NARUBHAI</t>
  </si>
  <si>
    <t>24-04-2029</t>
  </si>
  <si>
    <t>SAMLI HALVAD MORBI HALVAD HALVAD, SURENDRANAGAR, GUJARAT, India, 363330.</t>
  </si>
  <si>
    <t>26/10/2025</t>
  </si>
  <si>
    <t>GJ36V5789</t>
  </si>
  <si>
    <t>3379/04496891/000/00</t>
  </si>
  <si>
    <t>PETHABHAI SATABHAI BHARVAD</t>
  </si>
  <si>
    <t>AT DUNGARPUR RATABHE TAL HALVADDIST SURENDRA NAGAR , SURENDRA NAGAR , MORVI, HALVAD S.O,SURENDRA NAGAR GUJARAT,PIN- 363330</t>
  </si>
  <si>
    <t>27/10/2025</t>
  </si>
  <si>
    <t>GJ01JT4356</t>
  </si>
  <si>
    <t>132/02/17/1026/MTP/1010217996</t>
  </si>
  <si>
    <t>MR MANSANGBHAI NARSHIBHAI KUNPARA</t>
  </si>
  <si>
    <t>29/10/2026</t>
  </si>
  <si>
    <t>AT RATAVIRDA, TAL WANKANER, RAJKOT, GUJARAT, INDIA, Pincode : 363621</t>
  </si>
  <si>
    <t>GJ36AP5600</t>
  </si>
  <si>
    <t>BALENO</t>
  </si>
  <si>
    <t>: Rathod Dakshaben Rambha</t>
  </si>
  <si>
    <t>JUNA NAGDAVAS NR RAMJI MANDIR MORBI GUJA RAT 363670 Rajkot 363641, Gujarat</t>
  </si>
  <si>
    <t>28/10/2025</t>
  </si>
  <si>
    <t>GJ14AT1994</t>
  </si>
  <si>
    <t>3003/413729781/00/000</t>
  </si>
  <si>
    <t>TATA MOTORS</t>
  </si>
  <si>
    <t>16-07-2026</t>
  </si>
  <si>
    <t>83, MALIYA VENASAR, MALIYA, MORBI, MORBI, GUJARAT 363641</t>
  </si>
  <si>
    <t>GJ01KP1708</t>
  </si>
  <si>
    <t>POPMCAR00102067974</t>
  </si>
  <si>
    <t>Skoda,Rapid &amp; Active 1.6 TDI CR MT</t>
  </si>
  <si>
    <t>Mr GADHAVARA YUNUSH</t>
  </si>
  <si>
    <t>70436 96132</t>
  </si>
  <si>
    <t>14-03-2027</t>
  </si>
  <si>
    <t>0 ARNI TINBA WANKANER ARNITIMBA, ., Rajkot, Gujarat 36362</t>
  </si>
  <si>
    <t>GJ36W2347</t>
  </si>
  <si>
    <t>6303497660 00 00</t>
  </si>
  <si>
    <t>Mr HARJIBHAI ARJANBHAI CHADASANIYA</t>
  </si>
  <si>
    <t>13-11-2029</t>
  </si>
  <si>
    <t>KOLIVAS RAYDHRA,TA HALVADKOLIVAS, RAYD HRA TA HALVAD,MORB I,, ,HALVAD, MORBI -, ,, HALVAD, GUJARAT, 363 330</t>
  </si>
  <si>
    <t>GJ36W1229</t>
  </si>
  <si>
    <t>6302271790 01 00</t>
  </si>
  <si>
    <t>BAJAJ AUTO/MAXIMA/Z 4/Motorized Rickshaw/ AUTO RICKSHAW</t>
  </si>
  <si>
    <t>Mr GAMARA JAYESHBHAI BHAGUBHA</t>
  </si>
  <si>
    <t>DHROLIYA TA TANKARA MORBI GUJARAT 36365 0, TANKARA, GUJARAT, 363650</t>
  </si>
  <si>
    <t>GJ36U6426</t>
  </si>
  <si>
    <t xml:space="preserve">6303497654 00 00
</t>
  </si>
  <si>
    <t>Mr HITESH BHUPATBHAI BAMBHAVA</t>
  </si>
  <si>
    <t>28/10/2026</t>
  </si>
  <si>
    <t>16-11-2026</t>
  </si>
  <si>
    <t>28-11-2027</t>
  </si>
  <si>
    <t>TANKI VALI SHERI,WAN KANER,DIST-MORBI,MO RBI, 363621, WANKANE R, GUJARAT, 363621</t>
  </si>
  <si>
    <t>GJ36W1469</t>
  </si>
  <si>
    <t>6303497653 00 00</t>
  </si>
  <si>
    <t>Mr CHANDU VINZVADIYA</t>
  </si>
  <si>
    <t>27-10-2024</t>
  </si>
  <si>
    <t>231 SARVADIYA SHERY MATEL AMARPARA WA NKANER, RAJKOT, WAN KANER, GUJARAT, 3636 21</t>
  </si>
  <si>
    <t>GJ36F1455</t>
  </si>
  <si>
    <t>D233212651 / 27102025</t>
  </si>
  <si>
    <t>CRETA/1.4 CRDi 6SP EX (MT)</t>
  </si>
  <si>
    <t>PRAVINCHANDRA VAGHJIBHAI KHANDHADIYA</t>
  </si>
  <si>
    <t>GO DIGIT</t>
  </si>
  <si>
    <t>SOMNATH SOCIETY BEHIND SARDAR BAUG MORBI,Morbi-363641</t>
  </si>
  <si>
    <t>GJ12DB5977</t>
  </si>
  <si>
    <t>D233176924 / 27102025</t>
  </si>
  <si>
    <t>CLASSIC/350 DARK GUNMETAL BSVI</t>
  </si>
  <si>
    <t>KHAMBHARA KISHORBHAI MULUBHAI</t>
  </si>
  <si>
    <t>31-08-2031</t>
  </si>
  <si>
    <t>JUNA NAGDAVAS JUNA NAGDAVAS,RAJKOT-363670</t>
  </si>
  <si>
    <t>GJ03BT3208</t>
  </si>
  <si>
    <t>201340020725700080200000</t>
  </si>
  <si>
    <t>MAHINDRA/BOLER O MAXI TRUCK 2WD/(Fully Built) PICKUP</t>
  </si>
  <si>
    <t>SANJAYBHAI BACHUBHAI BOPALIYA</t>
  </si>
  <si>
    <t>GOKUL NAGAR,NAVA MAKANSAR MORBI,,,GUJARAT,RAJKOT,MAKANSAR363642</t>
  </si>
  <si>
    <t>GJ03HJ3491</t>
  </si>
  <si>
    <t>D233173477 / 27102025</t>
  </si>
  <si>
    <t>JUPITER/SMW BSVI</t>
  </si>
  <si>
    <t>MANOJBHAI PARSOTAMBHAI CHAUHAN</t>
  </si>
  <si>
    <t>27/10/1026</t>
  </si>
  <si>
    <t>MOCHI STREET NEAR FULGALI NAKU MORBI MORVI,MORBI-363641</t>
  </si>
  <si>
    <t>GJ36W0581</t>
  </si>
  <si>
    <t>6303496683 00 00</t>
  </si>
  <si>
    <t>Mr MAYUDIN SUBHANBHAI GHANCHI</t>
  </si>
  <si>
    <t>TIKAR SURENDRANAGA R MORBI, HALVAD, GUJ ARAT, 363351</t>
  </si>
  <si>
    <t>28/10/1025</t>
  </si>
  <si>
    <t>GJ36X9783</t>
  </si>
  <si>
    <t>3003/413730478/00/000</t>
  </si>
  <si>
    <t>BOLERO MAXX PUP HD 1.7 LX</t>
  </si>
  <si>
    <t>KAVAR VIPULBHAI PRABHUBHAI</t>
  </si>
  <si>
    <t>29-10-2026</t>
  </si>
  <si>
    <t>VRUNDAVAN PARK B AT NAVI PIPLI, MORBI, MORBI, GUJARAT 363641</t>
  </si>
  <si>
    <t>GJ01DU7200</t>
  </si>
  <si>
    <t>D233354295 / 28102025</t>
  </si>
  <si>
    <t>PATHAN ASIF KARIMKHA</t>
  </si>
  <si>
    <t>24-09-2026</t>
  </si>
  <si>
    <t>16-09-2028</t>
  </si>
  <si>
    <t>KABIR TEKARI,MORBI,MORBI,GUJARAT,363641,Ahmedabad320008</t>
  </si>
  <si>
    <t xml:space="preserve"> GJ36X2559</t>
  </si>
  <si>
    <t>VGC1433777000100</t>
  </si>
  <si>
    <t>Tata Motors Ltd</t>
  </si>
  <si>
    <t>Mr.GOPAL POPATBHAI SIYAR</t>
  </si>
  <si>
    <t>29-10-2027</t>
  </si>
  <si>
    <t>SARDARNAGAR PO KHAKHRECHI KHAKHRECHI RAJKOT MORBI - 363630, GUJARAT</t>
  </si>
  <si>
    <t>29/10/2025</t>
  </si>
  <si>
    <t>GJ03HD9818</t>
  </si>
  <si>
    <t>3005/A/413958189/00/B00</t>
  </si>
  <si>
    <t>ACTIVA</t>
  </si>
  <si>
    <t>KURESHI IKABALBHAI GULABBHAI</t>
  </si>
  <si>
    <t>28/10/1026</t>
  </si>
  <si>
    <t>SO ORADI, MORVI, MORBI PPW, MORBI, GUJARAT 363642</t>
  </si>
  <si>
    <t>GJ36S9333</t>
  </si>
  <si>
    <t>3382/00390764/000/00</t>
  </si>
  <si>
    <t>DEKAVADIYA DILIPBHAI RAMJIBHAI</t>
  </si>
  <si>
    <t>28/11/2026</t>
  </si>
  <si>
    <t>SHIVAM PALACE 203 SANSKAR RESIDENCY VILLAGE RAVAPAR MORBI, MORBI PPW S.O,RAJKOT GUJARAT,PIN- 363642</t>
  </si>
  <si>
    <t>GJ36V7969</t>
  </si>
  <si>
    <t>161122523490000849</t>
  </si>
  <si>
    <t>MAHINDRA/JEETO/CNG BSVI</t>
  </si>
  <si>
    <t>Mr. SAGAR DINESHBHAI RANEVADIYA</t>
  </si>
  <si>
    <t>VAJEPAR STREET NUMBER 23 AT MORBI DIS MORBI MORBI, RAJKOT, GUJARAT, India, 363641.</t>
  </si>
  <si>
    <t>GJ13AW6553</t>
  </si>
  <si>
    <t>161122523340010755</t>
  </si>
  <si>
    <t>MR. MOHMADHANIF HUSENBHAI PAREDI</t>
  </si>
  <si>
    <t>70463 66147</t>
  </si>
  <si>
    <t>99255 66147</t>
  </si>
  <si>
    <t>GANJA AREA NIMAKNAGAR KUDA SURENDRA NAGAR DHRANGADHRA, SURENDRANAGAR, GUJARAT, India, 363310.</t>
  </si>
  <si>
    <t>GJ36T9107</t>
  </si>
  <si>
    <t>161122523340010693</t>
  </si>
  <si>
    <t>MR. GHANSHYAMBHAI GOPALBHAI KERASHIYA</t>
  </si>
  <si>
    <t>28/102026</t>
  </si>
  <si>
    <t>STREET - 2 MORBI MORVI RAJKOT MORBI, RAJKOT, GUJARAT, India, 363641</t>
  </si>
  <si>
    <t>GJ36W1310</t>
  </si>
  <si>
    <t>6303502060 00 00</t>
  </si>
  <si>
    <t>Mr MOVAR ISMAIL IBRAHIMBHAI</t>
  </si>
  <si>
    <t>30-10-2027</t>
  </si>
  <si>
    <t>20-05-2026</t>
  </si>
  <si>
    <t>INDIRANAGAR MAHEN DRANAGAR, RAJKOT, M ORBI, GUJARAT, 363642</t>
  </si>
  <si>
    <t>GJ36U2441</t>
  </si>
  <si>
    <t>6303502059 00 00</t>
  </si>
  <si>
    <t>BAJAJ AUTO/RE/COMPA CT PLUS CNG/Motorize d Rickshaw/AUTO RICK SHAW</t>
  </si>
  <si>
    <t>Mr KATODIYA SANJAY JALABHA</t>
  </si>
  <si>
    <t>16-10-2019</t>
  </si>
  <si>
    <t>24-07-2024</t>
  </si>
  <si>
    <t>KANPAR WANKANER M ORBI, WANKANER, GUJ ARAT, 363621</t>
  </si>
  <si>
    <t>GJ36V5589</t>
  </si>
  <si>
    <t>3003/413957742/00/B00</t>
  </si>
  <si>
    <t>BOLERO MAXX PUP HD 1.7 VXI</t>
  </si>
  <si>
    <t>KATIYA FATEMAMAD SHAFIMAMAD</t>
  </si>
  <si>
    <t>AT NAVAGAM, TA MALIYA MIYANA, MORBI, MORBI, GUJARAT 363641</t>
  </si>
  <si>
    <t>GJ36V7989</t>
  </si>
  <si>
    <t>3379/04134490/000/01</t>
  </si>
  <si>
    <t>BOL MAXX PUP - 1.7 CITY LX BSV</t>
  </si>
  <si>
    <t>VASUDEVBHAI BHAGVANJIBHAI BADRAKHIYA</t>
  </si>
  <si>
    <t>79900 95386</t>
  </si>
  <si>
    <t>96383 36213</t>
  </si>
  <si>
    <t>30/10/2026</t>
  </si>
  <si>
    <t>DHARMSIDHDHI SOCIETY, JAMBUDIYA,, MORBI PPW S.O,RAJKOT GUJARAT,PIN- 363642</t>
  </si>
  <si>
    <t>GJ03AT2347</t>
  </si>
  <si>
    <t>12-1831-0008301774-00</t>
  </si>
  <si>
    <t>Keshavbhai Becharbhai Khadola</t>
  </si>
  <si>
    <t>MM</t>
  </si>
  <si>
    <t>22-04-2025</t>
  </si>
  <si>
    <t>27-03-2030</t>
  </si>
  <si>
    <t>Rotary Nagar Morbi, , ,, Rajkot,, Gujarat-363641</t>
  </si>
  <si>
    <t>GJ13W0545</t>
  </si>
  <si>
    <t>VGC1434014000100</t>
  </si>
  <si>
    <t>Ashok Leyland Ltd</t>
  </si>
  <si>
    <t>Mr.JADEJA KRUSHNASINH BABBHA</t>
  </si>
  <si>
    <t>14-09-2030</t>
  </si>
  <si>
    <t>LILAPAR, LILAPAR MORBI MORBI SURENDRANAGAR - 363641, GUJARAT</t>
  </si>
  <si>
    <t>29/102025</t>
  </si>
  <si>
    <t>GJ13AX2325</t>
  </si>
  <si>
    <t>161122523340010705</t>
  </si>
  <si>
    <t>MR. MEHULBHAI BHANUPRASAD RAMANUJ</t>
  </si>
  <si>
    <t>28-08-2025</t>
  </si>
  <si>
    <t>TIKAR SURENDRANAGAR TIKAR RAN HALVAD, SURENDRANAGAR, GUJARAT, India, 363330</t>
  </si>
  <si>
    <t>GJ36U5217</t>
  </si>
  <si>
    <t>6303501769 00 00</t>
  </si>
  <si>
    <t>Mr NIRMAL AMBABHAI CHAVDA</t>
  </si>
  <si>
    <t>22-06-2027</t>
  </si>
  <si>
    <t>KACHHIYAGALA DALDI, WANKANER MORBI, WA NKANER, GUJARAT, 363 621</t>
  </si>
  <si>
    <t>GJ36U8668</t>
  </si>
  <si>
    <t>6303501756 00 00</t>
  </si>
  <si>
    <t>Mr JENTIBHAI MAGABHAI NAIYA</t>
  </si>
  <si>
    <t>20-11-2027</t>
  </si>
  <si>
    <t>RANGPAR MORBI MOR BI, MORBI, GUJARAT, 36 3641</t>
  </si>
  <si>
    <t>GJ36V7956</t>
  </si>
  <si>
    <t>161122523340010673</t>
  </si>
  <si>
    <t>MARUTI SUZUKI SUPER CARRY &amp; STD.</t>
  </si>
  <si>
    <t>MR. RAJESH DANGAR</t>
  </si>
  <si>
    <t>28-10-2025</t>
  </si>
  <si>
    <t>GAJDI GAJEDI JAMNAGAR KHAMBHALIA, JAMNAGAR, GUJARAT, India, 361220</t>
  </si>
  <si>
    <t>30/10/2025</t>
  </si>
  <si>
    <t>GJ36V7883</t>
  </si>
  <si>
    <t>3379/04501958/000/00</t>
  </si>
  <si>
    <t>BADA DOST - I4 LS FSD BSVI</t>
  </si>
  <si>
    <t>SANJAY BHIMABHAI SATOLA</t>
  </si>
  <si>
    <t>91062 12861</t>
  </si>
  <si>
    <t>JUNA NAGDAVAS MORBI , MORBI, JUNA NAGDAVAS B.O,RAJKOT GUJARAT,PIN- 363670</t>
  </si>
  <si>
    <t>GJ36V2723</t>
  </si>
  <si>
    <t>3379/04501954/000/00</t>
  </si>
  <si>
    <t>BOLERO CAMPER - GOLD ZX 2WD</t>
  </si>
  <si>
    <t>SARLA RAMJI VARSAGBHAI</t>
  </si>
  <si>
    <t>98790 14705</t>
  </si>
  <si>
    <t>16-11-2024</t>
  </si>
  <si>
    <t>AT SARTANPAR TAL WANKANER DIS MORBI MORBI,,,, WANKANER S.O,RAJKOT GUJARAT,PIN- 363621</t>
  </si>
  <si>
    <t>GJ36V7728</t>
  </si>
  <si>
    <t>3379/04501953/000/00</t>
  </si>
  <si>
    <t>SAVASI VINZVADIYA</t>
  </si>
  <si>
    <t>SK</t>
  </si>
  <si>
    <t>30-10-2026</t>
  </si>
  <si>
    <t>111 FISADIYA SHERI AT SARTANAPAR TA WANKANER DIS MORBI, WANKANER S.O,RAJKOT GUJARAT,PIN- 363621</t>
  </si>
  <si>
    <t>GJ03AT2348</t>
  </si>
  <si>
    <t>12-1831-0008307538-00</t>
  </si>
  <si>
    <t>GJ36V5724</t>
  </si>
  <si>
    <t>213049/31/26/008541</t>
  </si>
  <si>
    <t>TATA MOTORS - LPT 1616 DCR 49 HSD PS BS 6</t>
  </si>
  <si>
    <t>MR. DINESHBHAI CHELAIYABHAI KANANI</t>
  </si>
  <si>
    <t>25-10-2024</t>
  </si>
  <si>
    <t>TILAK NAGAR,TANKARA,MORBI,363650 , TANKARA , RAJKOT, GUJARAT - 363650</t>
  </si>
  <si>
    <t>GJ36W1047</t>
  </si>
  <si>
    <t>6303506641 00 00</t>
  </si>
  <si>
    <t>Mr JADAV HARESHKUMAR PRAVINBHAI</t>
  </si>
  <si>
    <t>MORBI, 363330, HALVA D, GUJARAT, 363330</t>
  </si>
  <si>
    <t>GJ03EC8661</t>
  </si>
  <si>
    <t>12-1805-0008308152-00</t>
  </si>
  <si>
    <t>HYUNDAI EON</t>
  </si>
  <si>
    <t>Dineshbhai Haribhai Narania</t>
  </si>
  <si>
    <t>13-03-2027</t>
  </si>
  <si>
    <t>Variya Nagar 1 So Oradi Morbi 2, , , Morbi Ppw,, Rajkot,, Gujarat-363642</t>
  </si>
  <si>
    <t>GJ36U8659</t>
  </si>
  <si>
    <t>6303506638 00 00</t>
  </si>
  <si>
    <t>Mr RATHOD LALAJI PREMJIBHAI</t>
  </si>
  <si>
    <t>MORBI, 363621, WANK ANER, GUJARAT, 36362 1</t>
  </si>
  <si>
    <t>GJ36W1482</t>
  </si>
  <si>
    <t>6303506634 00 00</t>
  </si>
  <si>
    <t>Mr Vaghela Munnabhai Bhanjibhai</t>
  </si>
  <si>
    <t>31/10/2026</t>
  </si>
  <si>
    <t>29-10-2024</t>
  </si>
  <si>
    <t>29-11-2028</t>
  </si>
  <si>
    <t>dhruvnagar, Morbi GUJ ARAT, TANKARA, GUJAR AT, 363650</t>
  </si>
  <si>
    <t>GJ36W1129</t>
  </si>
  <si>
    <t>6303506166 00 00</t>
  </si>
  <si>
    <t>Mr AMIT SALIMBHAI PALEJA</t>
  </si>
  <si>
    <t>VARIYA NAGAR MORBI 2 SO ORDI MORVI RAJK OT, MORBI, GUJARAT, 3 63642</t>
  </si>
  <si>
    <t>GJ36W0844</t>
  </si>
  <si>
    <t>6303506063 00 00</t>
  </si>
  <si>
    <t>Mr MAHEMUD HANIFBHAI SUMARA</t>
  </si>
  <si>
    <t>27-10-2026</t>
  </si>
  <si>
    <t>STREET NO 1 SANRAJ P ARKNEAR VIJAYNAGAR STREET NO 1, SANRAJ P ARK, NEAR VIJAYNAGA R, MORVI, RAJKOT, GUJ ARAT, MORBI, GUJARA T, 363641</t>
  </si>
  <si>
    <t>GJ01FT0609</t>
  </si>
  <si>
    <t>12-1831-0008307492-00</t>
  </si>
  <si>
    <t>ASHOK LEYLAND 2516 (6x2)</t>
  </si>
  <si>
    <t>Piyush Devabhai Dangar</t>
  </si>
  <si>
    <t>29-03-2026</t>
  </si>
  <si>
    <t>At Nava Nagdavas Rampar, , ,, Rajkot,, Gujarat-363641</t>
  </si>
  <si>
    <t>GJ13W0226</t>
  </si>
  <si>
    <t>3003/414138681/00/B00</t>
  </si>
  <si>
    <t>TATA MOTORS TRUCKS LPT 1109H EX2</t>
  </si>
  <si>
    <t>RATDIYA NILESH JAGJIVANBHAI</t>
  </si>
  <si>
    <t>97269 20399</t>
  </si>
  <si>
    <t>28-04-2026</t>
  </si>
  <si>
    <t>26-02-2029</t>
  </si>
  <si>
    <t>VANKADA, RAJKOT, GUJARAT 363641</t>
  </si>
  <si>
    <t>GJ36W1040</t>
  </si>
  <si>
    <t>6303506648 00 00</t>
  </si>
  <si>
    <t>Mr PARMAR SAVJIBHAI VAJABHAI</t>
  </si>
  <si>
    <t>21-11-2028</t>
  </si>
  <si>
    <t>DHRUVNAGAR RAJAVA D RAJKOT, TANKARA, G UJARAT, 363650</t>
  </si>
  <si>
    <t>31/10/2025</t>
  </si>
  <si>
    <t>GJ36AF8838</t>
  </si>
  <si>
    <t>D233861070 / 30102025</t>
  </si>
  <si>
    <t>SCORPIO N/Z8 L AT 2WD Carbon Edtn BSV</t>
  </si>
  <si>
    <t>DANGROCHA ANILBHAI MERABHAI</t>
  </si>
  <si>
    <t>AT VIRPAR TA WANKANER MORBI GUJARAT,Morbi-363641</t>
  </si>
  <si>
    <t>GJ36V2857</t>
  </si>
  <si>
    <t>3379/04503614/000/00</t>
  </si>
  <si>
    <t>BOLERO - PIK UP FB 1.7T PS BS VI</t>
  </si>
  <si>
    <t>DINESHBHAI BHAGVANJIBHAI FEFAR</t>
  </si>
  <si>
    <t>26-11-2025</t>
  </si>
  <si>
    <t>18-12-2027</t>
  </si>
  <si>
    <t>AT HIRAPAR ,JAMNAGAR LATIPAR HIGH WAY HIRAPAR DIST MORBI, MORBI,RAJKOT GUJARAT,PIN- 363641</t>
  </si>
  <si>
    <t>GJ13AX4542</t>
  </si>
  <si>
    <t>3379/04503616/000/00</t>
  </si>
  <si>
    <t>SURESHBHAI NAVGHANBHAI TOLIYA</t>
  </si>
  <si>
    <t>18-11-2029</t>
  </si>
  <si>
    <t>AT VELALA SARA TAL DHRANGADHRA DIST SURENDRANAGAR, DHRANGADHRA, DHRANGADHRA S.O,SURENDRA NAGAR GUJARAT,PIN- 363310</t>
  </si>
  <si>
    <t>GJ03FG8109</t>
  </si>
  <si>
    <t>D233814811 / 30102025</t>
  </si>
  <si>
    <t>DREAM YUGA/KICK ST DRUM BRAKE AWS</t>
  </si>
  <si>
    <t>TOYATA VISHNU CHAKUBHAI</t>
  </si>
  <si>
    <t>PANCHASAR ROAD BHUBHAR NI VADI MORBI,MORBI-363641</t>
  </si>
  <si>
    <t>GJ36U8508</t>
  </si>
  <si>
    <t>6303511365 00 00</t>
  </si>
  <si>
    <t>Mr DEGAMA LALAJIBHAI BHAVESHBHAI</t>
  </si>
  <si>
    <t>27-07-2026</t>
  </si>
  <si>
    <t>14-11-2027</t>
  </si>
  <si>
    <t>193 KOLIVAS HARIJANV AS KHARACHIYA MORB I, JODIYA, GUJARAT, 363 655</t>
  </si>
  <si>
    <t>GJ36W2080</t>
  </si>
  <si>
    <t>6303511362 00 00</t>
  </si>
  <si>
    <t>Mr SARAVADIYA BHAVAN VALJIBHAI</t>
  </si>
  <si>
    <t>27-10-2029</t>
  </si>
  <si>
    <t>MATEL RAJKOT, WANKA NER, GUJARAT, 363621</t>
  </si>
  <si>
    <t>GJ03DG6510</t>
  </si>
  <si>
    <t>D233800775 / 30102025</t>
  </si>
  <si>
    <t>HYUNDAI SANTRO/GLS</t>
  </si>
  <si>
    <t>GAJERA RAJESH DHIRAJLAL</t>
  </si>
  <si>
    <t>Block No 18, Punit Park Street No 1, 150 Feet Ring Road,RAJKOT-360004</t>
  </si>
  <si>
    <t>GJ36P7906</t>
  </si>
  <si>
    <t>OG-26-1105-1806-00022297</t>
  </si>
  <si>
    <t>SPLENDOR PLUS</t>
  </si>
  <si>
    <t>SULTANBHAI RAMJANBHAI CHANIYA</t>
  </si>
  <si>
    <t>97276 91622‬</t>
  </si>
  <si>
    <t>30-08-2034</t>
  </si>
  <si>
    <t>AI KALIKA PLOT INDIA PAN STREET MORBI, , ,, RAJKOT - 363641</t>
  </si>
  <si>
    <t>GJ36W1042</t>
  </si>
  <si>
    <t>0604003125P112257173</t>
  </si>
  <si>
    <t>BAJAJ AUTO LTD / BAJAJ MAXIMA CARGO CNG</t>
  </si>
  <si>
    <t>MR UDHREJA VALJI DHIRUBHAI</t>
  </si>
  <si>
    <t>VIRPAR M TANKARA,RAJKOT,GUJARAT, VIRPAR M,MORBI</t>
  </si>
  <si>
    <t>GJ36W9618</t>
  </si>
  <si>
    <t>6303511356 00 00</t>
  </si>
  <si>
    <t>Mr BAVALIYA RAMESHBHAI KANJIBHAI</t>
  </si>
  <si>
    <t>GOKUL NAGAR MAKAN SAR RAJKOT, MORBI, G UJARAT, 363642</t>
  </si>
  <si>
    <t>GJ27WA2089</t>
  </si>
  <si>
    <t>POCMVGC0100528138</t>
  </si>
  <si>
    <t>Mr.BETWAL MANOJ KISHORBHAI</t>
  </si>
  <si>
    <t>30-09-2025</t>
  </si>
  <si>
    <t>51/52,Maheshwari society ,Geratpur,Ahmedabad,Gujarat382435,India</t>
  </si>
  <si>
    <t>GJ36W1118</t>
  </si>
  <si>
    <t>6303511355 00 00</t>
  </si>
  <si>
    <t>Mr ASHVINBHAI JAGDISHBHAI GANESHIYA</t>
  </si>
  <si>
    <t>26-10-2026</t>
  </si>
  <si>
    <t>BH.VEJITEBLE VADI VIST AR VEJITEBLE ROAD,MO RBI,MORBI, MORBI, GUJ ARAT, 363642</t>
  </si>
  <si>
    <t>GJ13AV8022</t>
  </si>
  <si>
    <t>213049/31/26/008587</t>
  </si>
  <si>
    <t>MR. MUKESHBHAI RAMABHAI VAGHELA</t>
  </si>
  <si>
    <t xml:space="preserve">KHERADI TA CHOTILA SURENDRANAGAR GUJARAT 363520 </t>
  </si>
  <si>
    <t>GJ36V9924</t>
  </si>
  <si>
    <t>3379/04503291/000/00</t>
  </si>
  <si>
    <t>CHAUHAN SURESHBHAI JAYANTILAL</t>
  </si>
  <si>
    <t>RANGPAR BELA,MORBI,MORBI,,,,, MORBI,MORBI GUJARAT,PIN- 363641</t>
  </si>
  <si>
    <t>GJ36V7935</t>
  </si>
  <si>
    <t>161122523340010860</t>
  </si>
  <si>
    <t>MR. KAGATHARA RAKESH NARBHERAMBHAI</t>
  </si>
  <si>
    <t>BLOCK NO 302 SHIV SHAKTI APPARTMENT-2 SARDAR BANGLO RAVAPAR-GHUNDA ROAD MORBI, RAJKOT, GUJARAT, India, 363641</t>
  </si>
  <si>
    <t>GJ36V0945</t>
  </si>
  <si>
    <t>161122523340010864</t>
  </si>
  <si>
    <t>MR. MULJIBHAI NATHUBHAI BAHUKIYA</t>
  </si>
  <si>
    <t>14-09-2026</t>
  </si>
  <si>
    <t>NAVA MAKANSAR BHAKTINAGAR MAKANSAR MAKANSAR MORBI, RAJKOT, GUJARAT, India, 363642</t>
  </si>
  <si>
    <t>GJ36AA2596</t>
  </si>
  <si>
    <t>OG-26-9906-1802-00327370</t>
  </si>
  <si>
    <t>ROYAL ENFIELD - CLASSIC 350</t>
  </si>
  <si>
    <t>GHONIYA AYAZ NAZIRBHAI</t>
  </si>
  <si>
    <t>24-07-2025</t>
  </si>
  <si>
    <t>SARA NEAR GHANCHI JAMATKHANA S, ARA NEAR GHANCHI JAMATKHANA AT SARA TA MULI SURENDRANAGAR GUJARAT , , MORVI, GUJARAT-394250</t>
  </si>
  <si>
    <t>GJ37J5849</t>
  </si>
  <si>
    <t>12-1805-0008323618-00</t>
  </si>
  <si>
    <t>MARUTI BALENO NEW ZETA PETROL</t>
  </si>
  <si>
    <t>Chavada Devji Ghelubhai</t>
  </si>
  <si>
    <t>30-01-2037</t>
  </si>
  <si>
    <t>17-08-2023</t>
  </si>
  <si>
    <t>Nava Naka Ni Andar Ambetakar Road Chamar Vaas Khambhalia, , , Khambhalia,, Jamnagar,, Gujarat-361305</t>
  </si>
  <si>
    <t>GJ36U8845</t>
  </si>
  <si>
    <t>6303515933 00 00</t>
  </si>
  <si>
    <t>Mr VAGHELA AVACHARBHAI KARSHANBHAI</t>
  </si>
  <si>
    <t>90992 65969</t>
  </si>
  <si>
    <t>18-09-2024</t>
  </si>
  <si>
    <t>28-09-2027</t>
  </si>
  <si>
    <t>GJ36L0517</t>
  </si>
  <si>
    <t>DHARMENDRA VIRJIBHAI FEFER</t>
  </si>
  <si>
    <t>26-11-2033</t>
  </si>
  <si>
    <t>GOKUL NAGAR,,MAKANSAR, MORBI, MORBI,,, MORBI-GUJARAT, 363642</t>
  </si>
  <si>
    <t>GJ06EH1132</t>
  </si>
  <si>
    <t>D233970005 / 31102025</t>
  </si>
  <si>
    <t>INDIGO MANZA/Aura Quadrajet</t>
  </si>
  <si>
    <t>MAHMADIRSHAD HUSENBHAI PITHADIYA</t>
  </si>
  <si>
    <t>MAHAMADI MANZIL, EID MASJID ROAD, BEHIND OLD BUS STAND, MORVI MORBI MDG MORVI,MORBI-363641</t>
  </si>
  <si>
    <t>GJ36V5798</t>
  </si>
  <si>
    <t>3379/04138939/000/01</t>
  </si>
  <si>
    <t>MAXX PUP HD - 1.7 VXI BSVI</t>
  </si>
  <si>
    <t>MAHESH LALJIBHAI CHAUHAN</t>
  </si>
  <si>
    <t>74330 03565</t>
  </si>
  <si>
    <t>ROHIDAS PARA , AMBEDKAR COLONY, NR RAILWAY STATION AT MORBI,</t>
  </si>
  <si>
    <t>GJ36X8074</t>
  </si>
  <si>
    <t>3379/04505523/000/00</t>
  </si>
  <si>
    <t>SIGNA 3530.TK - TIPPER BSVI</t>
  </si>
  <si>
    <t>RAJESH ISHAVARABHAI VAGHELIA</t>
  </si>
  <si>
    <t>29-10-2030</t>
  </si>
  <si>
    <t>GALAXY SOCIETY, SHOBHESHWAR ROAD, PO-MORBI, MORBI GUJARAT</t>
  </si>
  <si>
    <t>GJ36V8074</t>
  </si>
  <si>
    <t>3379/04505496/000/00</t>
  </si>
  <si>
    <t>ZALA JAGDISHSINH BHURUBHA</t>
  </si>
  <si>
    <t>VAGHASIYA WANKANER PO-WANKANER WANKANER, MORBI, GUJARAT,</t>
  </si>
  <si>
    <t>GJ01KT0986</t>
  </si>
  <si>
    <t>POCMVGC0100529544</t>
  </si>
  <si>
    <t>Tata Motors,Intra &amp; V30 - 2575 GVW</t>
  </si>
  <si>
    <t>.DN AND SONS</t>
  </si>
  <si>
    <t>FB</t>
  </si>
  <si>
    <t>17-08-2026</t>
  </si>
  <si>
    <t>NO-A205 SWAGAT STATUS, BEHIND EAT PANJAB RESTURANT,NEAR CG ROAD NEAR ONGC CIRCLE MOTERA,Ahmedabad,Gujarat380005,India</t>
  </si>
  <si>
    <t>COURIER</t>
  </si>
  <si>
    <t>GJ36V2484</t>
  </si>
  <si>
    <t>3379/04125461/000/01</t>
  </si>
  <si>
    <t>BADA DOST - I4</t>
  </si>
  <si>
    <t>PURBIYA JAYDIPBHAI JIVABHAI</t>
  </si>
  <si>
    <t>14-11-2026</t>
  </si>
  <si>
    <t>24-06-2026</t>
  </si>
  <si>
    <t>TRAJPAR -4 MORVI , RAJKOT GUJARAT, JAMBUDIYA B.O,RAJKOT</t>
  </si>
  <si>
    <t>GJ36V5948</t>
  </si>
  <si>
    <t>161122523340010857</t>
  </si>
  <si>
    <t>MADEVBHAI LAXMANBHAI BHARVAD</t>
  </si>
  <si>
    <t>12 SARDAR NAGAR KHAKHRECHI MORBI MALIYA, RAJKOT, GUJARAT, India, 363630</t>
  </si>
  <si>
    <t>GJ36V7910</t>
  </si>
  <si>
    <t>3379/04131025/000/01</t>
  </si>
  <si>
    <t>BOL MAXX PUP HD - 2.0 LX BSV</t>
  </si>
  <si>
    <t>HARIBHAI KALUBHAI BHUVA</t>
  </si>
  <si>
    <t>CHUMPANI,, HALVAD S.O,SURENDRA NAGAR</t>
  </si>
  <si>
    <t>GJ36T6941</t>
  </si>
  <si>
    <t>3379/04506402/000/00</t>
  </si>
  <si>
    <t>BOLERO - PICK UP FB PS BS III</t>
  </si>
  <si>
    <t>HARSUKHBHAI HIRAJI HALVADIYA</t>
  </si>
  <si>
    <t>14,16 205 LIONSNAGAR, NEAR SARKARI SCHOOL SHANALA ROAD MORVI RAJKOT,,,,, MORBI S.O,RAJKOT</t>
  </si>
  <si>
    <t>GJ36T6843</t>
  </si>
  <si>
    <t>3003/A/415545831/00/B00</t>
  </si>
  <si>
    <t>SHOK LEYLAND TRUCKS AL ECOMET 1412</t>
  </si>
  <si>
    <t>SIPAI SAHIL FARUKBHAI</t>
  </si>
  <si>
    <t>AMRAN AMRAN MORBI, JAMNAGAR, GUJARAT 363655</t>
  </si>
  <si>
    <t>GJ36T9641</t>
  </si>
  <si>
    <t>213049/31/26/008683</t>
  </si>
  <si>
    <t>MAHINDRA AND MAHINDRA - BOLERO MAXI TRUCK PLUS</t>
  </si>
  <si>
    <t>HARSUKHBHAI HIRJIBHAI HALVADIYA</t>
  </si>
  <si>
    <t>14-16-205, DEVVIPUJAKVAS LIONS AT-MORBI NAGAR-1.BAYPASS ROAD MORBI GJ363641 , MORBI , RAJKOT, GUJARAT</t>
  </si>
  <si>
    <t>GJ36V0812</t>
  </si>
  <si>
    <t>3003/415521559/00/000</t>
  </si>
  <si>
    <t>M &amp; M PICK-UP VANS BOLERO PIK UP FB 1.3T PS AC</t>
  </si>
  <si>
    <t>LENORA VITRIFIED LLP</t>
  </si>
  <si>
    <t>17-11-2023</t>
  </si>
  <si>
    <t>17-11-2022</t>
  </si>
  <si>
    <t>SURVEY NO.425 AND 426 JETPAR ROAD AT RANGPAR DI MORBI, MORBI, GUJARAT 363641</t>
  </si>
  <si>
    <t>GJ03BT9778</t>
  </si>
  <si>
    <t>213049/31/26/008656</t>
  </si>
  <si>
    <t>ASHOK LEYLAND - 3718 IL (260") RADIAL 6600 MM</t>
  </si>
  <si>
    <t>ILMUDINBHAI SHERASIYA</t>
  </si>
  <si>
    <t>AT-KOTHI, TA-WANKANER, DI-MORBI, MO-9427563057, MORBI, GUJARAT, 363621 , KOTHI , RAJKOT, GUJARAT</t>
  </si>
  <si>
    <t>GJ36V7578</t>
  </si>
  <si>
    <t>3003/415523515/00/B00</t>
  </si>
  <si>
    <t>DHARSANDIYA MILANBHAI KANTIBHAI</t>
  </si>
  <si>
    <t>6355 541 751</t>
  </si>
  <si>
    <t>SANKALP PLUS TOWER, BLOCK NO 304 AT GHUNADA, MORBI, MORBI, GUJARAT 363641</t>
  </si>
  <si>
    <t xml:space="preserve">OFFICE AAVINE LAY JA SE </t>
  </si>
  <si>
    <t>GJ13AX2774</t>
  </si>
  <si>
    <t>3379/04135737/000/01</t>
  </si>
  <si>
    <t>MANSUKHLAL LALJIBHAI KOLI</t>
  </si>
  <si>
    <t>183, BRAHAMAN SHERI, RATABHE-1, RATABHE, HALVAD S.O,SURENDRA NAGAR</t>
  </si>
  <si>
    <t>GJ36T2048</t>
  </si>
  <si>
    <t>201340020725700081200000</t>
  </si>
  <si>
    <t>ASHOK LEYLAND/DOST/LS</t>
  </si>
  <si>
    <t>RAJESHBHAI JIVANBHAI PURABIYA</t>
  </si>
  <si>
    <t>28-05-2024</t>
  </si>
  <si>
    <t>2-5-79 MAFATAPARA JANK KALYANNAGAR MORBI,,,GUJARAT,MORBI,MORBI-363641</t>
  </si>
  <si>
    <t>GJ36V7968</t>
  </si>
  <si>
    <t>213049/31/26/008725</t>
  </si>
  <si>
    <t>MARUTI SUZUKI - SUPER CARRY STD BS 6</t>
  </si>
  <si>
    <t>HAIDAR ADAM MOVAR</t>
  </si>
  <si>
    <t>SUMRABHATTI NI DELI BHATTI VAS,AT MALIYA PO MALIYA TA MALIYA,,363670 , MALIYA MIYANA , RAJKOT, GUJARAT</t>
  </si>
  <si>
    <t>GJ03FD5346</t>
  </si>
  <si>
    <t>SWIFT DZIRE VDI</t>
  </si>
  <si>
    <t>Nandeshariya Badal Dilipbhai</t>
  </si>
  <si>
    <t>22-06-2023</t>
  </si>
  <si>
    <t>SAPKADA SURENDRANAGAR 363330, Gujarat</t>
  </si>
  <si>
    <t>GJ36AJ8226</t>
  </si>
  <si>
    <t>2302 2067 2925 7501 000</t>
  </si>
  <si>
    <t>THAR-LX HARD TOP MT 4STR DIESEL</t>
  </si>
  <si>
    <t>BHUPATBHAI JAGABHAI RATADIYA</t>
  </si>
  <si>
    <t>TOVANKDA DISTRAJKOT TMORBI MORBI MORBI PINCODE 363641 RAJKOT RAJKOT</t>
  </si>
  <si>
    <t>GJ36T5569</t>
  </si>
  <si>
    <t>201340020725700081600000</t>
  </si>
  <si>
    <t>TATA MOTORS LTD/ACE/MEGA XL</t>
  </si>
  <si>
    <t>VIJAYBHAI MULJIBHAI RATHOD</t>
  </si>
  <si>
    <t>VAGHARIWAS CHHATRA 1 TAL TANKRA MORBI 363650 ,,,GUJARAT,MORBI,MORBI363641</t>
  </si>
  <si>
    <t>GJ36T6056</t>
  </si>
  <si>
    <t>3379/04514520/000/00</t>
  </si>
  <si>
    <t>BOLERO - MAXI TRUCK PLUS BS IV PS</t>
  </si>
  <si>
    <t>BHARVAD VIPULKUMAR BECHARBHAI</t>
  </si>
  <si>
    <t>MACHHUNAGAR NEAR SARDAR 3 MORBI , MORBI,,, MORBI,MORBI GUJARAT,PIN- 363641</t>
  </si>
  <si>
    <t>24-11-2025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</si>
</sst>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-dd-yyyy"/>
    <numFmt numFmtId="166" formatCode="m-d-yyyy"/>
    <numFmt numFmtId="167" formatCode="m/d/yyyy"/>
  </numFmts>
  <fonts count="7">
    <font>
      <sz val="10.0"/>
      <color rgb="FF000000"/>
      <name val="Arial"/>
      <scheme val="minor"/>
    </font>
    <font>
      <b/>
      <sz val="14.0"/>
      <color rgb="FF351C75"/>
      <name val="Arial"/>
    </font>
    <font>
      <b/>
      <sz val="9.0"/>
      <color rgb="FF351C75"/>
      <name val="Arial"/>
    </font>
    <font>
      <b/>
      <sz val="11.0"/>
      <color rgb="FF351C75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bottom" wrapText="1"/>
    </xf>
    <xf borderId="0" fillId="2" fontId="3" numFmtId="0" xfId="0" applyAlignment="1" applyFont="1">
      <alignment horizontal="center" readingOrder="0" shrinkToFit="0" vertical="bottom" wrapText="1"/>
    </xf>
    <xf borderId="1" fillId="0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1" fillId="0" fontId="4" numFmtId="165" xfId="0" applyAlignment="1" applyBorder="1" applyFont="1" applyNumberFormat="1">
      <alignment horizontal="center" vertical="bottom"/>
    </xf>
    <xf borderId="1" fillId="0" fontId="4" numFmtId="4" xfId="0" applyAlignment="1" applyBorder="1" applyFont="1" applyNumberFormat="1">
      <alignment horizontal="center" vertical="bottom"/>
    </xf>
    <xf borderId="1" fillId="3" fontId="4" numFmtId="4" xfId="0" applyAlignment="1" applyBorder="1" applyFill="1" applyFont="1" applyNumberFormat="1">
      <alignment horizontal="center" vertical="bottom"/>
    </xf>
    <xf borderId="1" fillId="3" fontId="4" numFmtId="3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/>
    </xf>
    <xf borderId="1" fillId="0" fontId="4" numFmtId="166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Border="1" applyFont="1"/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" fillId="3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4" fontId="4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5" numFmtId="165" xfId="0" applyAlignment="1" applyBorder="1" applyFont="1" applyNumberForma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readingOrder="0"/>
    </xf>
    <xf borderId="1" fillId="0" fontId="5" numFmtId="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0" fontId="5" numFmtId="0" xfId="0" applyAlignment="1" applyFont="1">
      <alignment readingOrder="0"/>
    </xf>
    <xf borderId="1" fillId="0" fontId="5" numFmtId="167" xfId="0" applyAlignment="1" applyBorder="1" applyFont="1" applyNumberForma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5" fontId="5" numFmtId="167" xfId="0" applyAlignment="1" applyBorder="1" applyFill="1" applyFont="1" applyNumberFormat="1">
      <alignment horizontal="center" readingOrder="0"/>
    </xf>
    <xf borderId="1" fillId="5" fontId="5" numFmtId="0" xfId="0" applyAlignment="1" applyBorder="1" applyFont="1">
      <alignment readingOrder="0"/>
    </xf>
    <xf borderId="1" fillId="5" fontId="5" numFmtId="0" xfId="0" applyAlignment="1" applyBorder="1" applyFont="1">
      <alignment horizontal="center" readingOrder="0"/>
    </xf>
    <xf borderId="1" fillId="5" fontId="5" numFmtId="164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 shrinkToFit="0" vertical="bottom" wrapText="1"/>
    </xf>
    <xf borderId="1" fillId="5" fontId="5" numFmtId="166" xfId="0" applyAlignment="1" applyBorder="1" applyFont="1" applyNumberFormat="1">
      <alignment horizontal="center" readingOrder="0"/>
    </xf>
    <xf borderId="1" fillId="5" fontId="5" numFmtId="0" xfId="0" applyAlignment="1" applyBorder="1" applyFont="1">
      <alignment horizontal="center"/>
    </xf>
    <xf borderId="1" fillId="5" fontId="5" numFmtId="4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vertical="bottom"/>
    </xf>
    <xf borderId="1" fillId="5" fontId="5" numFmtId="0" xfId="0" applyBorder="1" applyFont="1"/>
    <xf borderId="0" fillId="5" fontId="5" numFmtId="0" xfId="0" applyFont="1"/>
    <xf borderId="1" fillId="5" fontId="5" numFmtId="165" xfId="0" applyAlignment="1" applyBorder="1" applyFont="1" applyNumberFormat="1">
      <alignment horizontal="center" readingOrder="0"/>
    </xf>
    <xf quotePrefix="1"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ont="1">
      <alignment readingOrder="0"/>
    </xf>
    <xf quotePrefix="1" borderId="1" fillId="5" fontId="5" numFmtId="0" xfId="0" applyAlignment="1" applyBorder="1" applyFont="1">
      <alignment readingOrder="0"/>
    </xf>
    <xf borderId="1" fillId="5" fontId="5" numFmtId="0" xfId="0" applyAlignment="1" applyBorder="1" applyFont="1">
      <alignment horizontal="left" readingOrder="0"/>
    </xf>
    <xf borderId="1" fillId="5" fontId="4" numFmtId="4" xfId="0" applyAlignment="1" applyBorder="1" applyFont="1" applyNumberFormat="1">
      <alignment horizontal="center" vertical="bottom"/>
    </xf>
    <xf borderId="0" fillId="5" fontId="5" numFmtId="0" xfId="0" applyAlignment="1" applyFont="1">
      <alignment readingOrder="0"/>
    </xf>
    <xf borderId="1" fillId="5" fontId="5" numFmtId="3" xfId="0" applyAlignment="1" applyBorder="1" applyFont="1" applyNumberFormat="1">
      <alignment horizontal="center" readingOrder="0"/>
    </xf>
    <xf borderId="1" fillId="6" fontId="5" numFmtId="3" xfId="0" applyAlignment="1" applyBorder="1" applyFill="1" applyFont="1" applyNumberFormat="1">
      <alignment horizontal="center" readingOrder="0"/>
    </xf>
    <xf borderId="1" fillId="6" fontId="1" numFmtId="0" xfId="0" applyAlignment="1" applyBorder="1" applyFont="1">
      <alignment horizontal="center" readingOrder="0" shrinkToFit="0" vertical="bottom" wrapText="1"/>
    </xf>
    <xf borderId="1" fillId="6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shrinkToFit="0" vertical="bottom" wrapText="1"/>
    </xf>
    <xf borderId="1" fillId="3" fontId="5" numFmtId="165" xfId="0" applyAlignment="1" applyBorder="1" applyFont="1" applyNumberFormat="1">
      <alignment horizontal="center" readingOrder="0"/>
    </xf>
    <xf borderId="1" fillId="3" fontId="5" numFmtId="0" xfId="0" applyAlignment="1" applyBorder="1" applyFont="1">
      <alignment horizontal="center"/>
    </xf>
    <xf borderId="1" fillId="3" fontId="5" numFmtId="0" xfId="0" applyBorder="1" applyFont="1"/>
    <xf borderId="0" fillId="3" fontId="5" numFmtId="0" xfId="0" applyFont="1"/>
    <xf borderId="1" fillId="0" fontId="1" numFmtId="0" xfId="0" applyAlignment="1" applyBorder="1" applyFont="1">
      <alignment horizontal="center" shrinkToFit="0" vertical="bottom" wrapText="1"/>
    </xf>
    <xf borderId="1" fillId="0" fontId="4" numFmtId="3" xfId="0" applyAlignment="1" applyBorder="1" applyFont="1" applyNumberForma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1" fillId="0" fontId="4" numFmtId="167" xfId="0" applyAlignment="1" applyBorder="1" applyFont="1" applyNumberForma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1" fillId="0" fontId="5" numFmtId="3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5.5"/>
    <col customWidth="1" min="2" max="2" width="14.88"/>
    <col customWidth="1" min="3" max="3" width="13.63"/>
    <col customWidth="1" min="4" max="4" width="26.13"/>
    <col customWidth="1" min="5" max="5" width="8.38"/>
    <col customWidth="1" min="6" max="6" width="41.25"/>
    <col customWidth="1" min="7" max="7" width="37.75"/>
    <col customWidth="1" min="11" max="11" width="6.63"/>
    <col customWidth="1" min="13" max="13" width="12.75"/>
    <col customWidth="1" min="14" max="14" width="15.63"/>
    <col customWidth="1" min="15" max="15" width="4.88"/>
    <col customWidth="1" min="16" max="16" width="7.88"/>
    <col customWidth="1" min="17" max="17" width="9.5"/>
    <col customWidth="1" min="18" max="18" width="11.0"/>
    <col customWidth="1" min="19" max="19" width="10.63"/>
    <col customWidth="1" min="20" max="20" width="11.63"/>
    <col customWidth="1" min="25" max="27" width="14.38"/>
    <col customWidth="1" min="29" max="29" width="115.63"/>
    <col customWidth="1" min="30" max="30" width="38.38"/>
    <col customWidth="1" min="31" max="31" width="25.25"/>
    <col customWidth="1" min="32" max="33" width="13.88"/>
  </cols>
  <sheetData>
    <row r="1" ht="40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5" t="s">
        <v>25</v>
      </c>
      <c r="AA1" s="6" t="s">
        <v>26</v>
      </c>
      <c r="AB1" s="2" t="s">
        <v>27</v>
      </c>
      <c r="AC1" s="2" t="s">
        <v>28</v>
      </c>
      <c r="AD1" s="7" t="s">
        <v>29</v>
      </c>
      <c r="AE1" s="7" t="s">
        <v>30</v>
      </c>
      <c r="AF1" s="8" t="s">
        <v>31</v>
      </c>
      <c r="AG1" s="8"/>
    </row>
    <row r="2">
      <c r="A2" s="9"/>
      <c r="B2" s="10"/>
      <c r="C2" s="11"/>
      <c r="D2" s="11"/>
      <c r="E2" s="12"/>
      <c r="F2" s="11"/>
      <c r="G2" s="11"/>
      <c r="H2" s="12"/>
      <c r="I2" s="12"/>
      <c r="J2" s="12"/>
      <c r="K2" s="12"/>
      <c r="L2" s="10"/>
      <c r="M2" s="12"/>
      <c r="N2" s="13"/>
      <c r="O2" s="12"/>
      <c r="P2" s="12"/>
      <c r="Q2" s="12"/>
      <c r="R2" s="14"/>
      <c r="S2" s="14"/>
      <c r="T2" s="12"/>
      <c r="U2" s="12"/>
      <c r="V2" s="15"/>
      <c r="W2" s="15"/>
      <c r="X2" s="12"/>
      <c r="Y2" s="12"/>
      <c r="Z2" s="16"/>
      <c r="AA2" s="17"/>
      <c r="AB2" s="12"/>
      <c r="AC2" s="11"/>
      <c r="AD2" s="11"/>
      <c r="AE2" s="11"/>
      <c r="AF2" s="18"/>
      <c r="AG2" s="18"/>
    </row>
    <row r="3">
      <c r="A3" s="19">
        <v>1.0</v>
      </c>
      <c r="B3" s="10">
        <v>45667.0</v>
      </c>
      <c r="C3" s="11" t="s">
        <v>32</v>
      </c>
      <c r="D3" s="11" t="s">
        <v>33</v>
      </c>
      <c r="E3" s="12" t="s">
        <v>34</v>
      </c>
      <c r="F3" s="11" t="s">
        <v>35</v>
      </c>
      <c r="G3" s="11" t="s">
        <v>36</v>
      </c>
      <c r="H3" s="12">
        <v>9.106899809E9</v>
      </c>
      <c r="I3" s="12">
        <v>6.353729436E9</v>
      </c>
      <c r="J3" s="12"/>
      <c r="K3" s="12">
        <v>236.0</v>
      </c>
      <c r="L3" s="10" t="s">
        <v>37</v>
      </c>
      <c r="M3" s="12" t="s">
        <v>38</v>
      </c>
      <c r="N3" s="13" t="s">
        <v>39</v>
      </c>
      <c r="O3" s="12" t="s">
        <v>40</v>
      </c>
      <c r="P3" s="12" t="s">
        <v>41</v>
      </c>
      <c r="Q3" s="11"/>
      <c r="R3" s="14">
        <v>46032.0</v>
      </c>
      <c r="S3" s="14">
        <v>45667.0</v>
      </c>
      <c r="T3" s="14">
        <v>47340.0</v>
      </c>
      <c r="U3" s="11"/>
      <c r="V3" s="15">
        <v>6620.0</v>
      </c>
      <c r="W3" s="15">
        <v>7812.0</v>
      </c>
      <c r="X3" s="12">
        <v>6500.0</v>
      </c>
      <c r="Y3" s="12">
        <v>6000.0</v>
      </c>
      <c r="Z3" s="16">
        <f t="shared" ref="Z3:Z315" si="1">W3-Y3</f>
        <v>1812</v>
      </c>
      <c r="AA3" s="17">
        <f t="shared" ref="AA3:AA302" si="2">Y3-X3</f>
        <v>-500</v>
      </c>
      <c r="AB3" s="12" t="s">
        <v>42</v>
      </c>
      <c r="AC3" s="11" t="s">
        <v>43</v>
      </c>
      <c r="AD3" s="20" t="s">
        <v>0</v>
      </c>
      <c r="AE3" s="11"/>
      <c r="AF3" s="18"/>
      <c r="AG3" s="18"/>
    </row>
    <row r="4">
      <c r="A4" s="19">
        <v>2.0</v>
      </c>
      <c r="B4" s="10">
        <v>45667.0</v>
      </c>
      <c r="C4" s="11" t="s">
        <v>44</v>
      </c>
      <c r="D4" s="11" t="s">
        <v>45</v>
      </c>
      <c r="E4" s="12" t="s">
        <v>34</v>
      </c>
      <c r="F4" s="11" t="s">
        <v>35</v>
      </c>
      <c r="G4" s="11" t="s">
        <v>46</v>
      </c>
      <c r="H4" s="12">
        <v>9.099169628E9</v>
      </c>
      <c r="I4" s="12">
        <v>9.913221784E9</v>
      </c>
      <c r="J4" s="12"/>
      <c r="K4" s="12">
        <v>236.0</v>
      </c>
      <c r="L4" s="10">
        <v>46122.0</v>
      </c>
      <c r="M4" s="12" t="s">
        <v>38</v>
      </c>
      <c r="N4" s="13" t="s">
        <v>39</v>
      </c>
      <c r="O4" s="12" t="s">
        <v>47</v>
      </c>
      <c r="P4" s="12" t="s">
        <v>41</v>
      </c>
      <c r="Q4" s="11"/>
      <c r="R4" s="14">
        <v>46517.0</v>
      </c>
      <c r="S4" s="14">
        <v>45879.0</v>
      </c>
      <c r="T4" s="21">
        <v>47067.0</v>
      </c>
      <c r="U4" s="11"/>
      <c r="V4" s="15">
        <v>6332.0</v>
      </c>
      <c r="W4" s="15">
        <v>7472.0</v>
      </c>
      <c r="X4" s="12">
        <v>6500.0</v>
      </c>
      <c r="Y4" s="12">
        <v>6500.0</v>
      </c>
      <c r="Z4" s="16">
        <f t="shared" si="1"/>
        <v>972</v>
      </c>
      <c r="AA4" s="17">
        <f t="shared" si="2"/>
        <v>0</v>
      </c>
      <c r="AB4" s="22" t="s">
        <v>42</v>
      </c>
      <c r="AC4" s="11" t="s">
        <v>48</v>
      </c>
      <c r="AD4" s="23"/>
      <c r="AE4" s="11"/>
      <c r="AF4" s="18"/>
      <c r="AG4" s="18"/>
    </row>
    <row r="5">
      <c r="A5" s="19">
        <v>3.0</v>
      </c>
      <c r="B5" s="10">
        <v>45667.0</v>
      </c>
      <c r="C5" s="11" t="s">
        <v>49</v>
      </c>
      <c r="D5" s="11" t="s">
        <v>50</v>
      </c>
      <c r="E5" s="12" t="s">
        <v>51</v>
      </c>
      <c r="F5" s="11" t="s">
        <v>52</v>
      </c>
      <c r="G5" s="11" t="s">
        <v>53</v>
      </c>
      <c r="H5" s="12" t="s">
        <v>54</v>
      </c>
      <c r="I5" s="12"/>
      <c r="J5" s="12"/>
      <c r="K5" s="12">
        <v>1600.0</v>
      </c>
      <c r="L5" s="10" t="s">
        <v>37</v>
      </c>
      <c r="M5" s="12" t="s">
        <v>55</v>
      </c>
      <c r="N5" s="13" t="s">
        <v>39</v>
      </c>
      <c r="O5" s="12" t="s">
        <v>56</v>
      </c>
      <c r="P5" s="12" t="s">
        <v>57</v>
      </c>
      <c r="Q5" s="12"/>
      <c r="R5" s="14" t="s">
        <v>58</v>
      </c>
      <c r="S5" s="14" t="s">
        <v>59</v>
      </c>
      <c r="T5" s="12"/>
      <c r="U5" s="12"/>
      <c r="V5" s="15">
        <v>17289.0</v>
      </c>
      <c r="W5" s="15">
        <v>18315.0</v>
      </c>
      <c r="X5" s="22">
        <v>12500.0</v>
      </c>
      <c r="Y5" s="22">
        <v>12500.0</v>
      </c>
      <c r="Z5" s="16">
        <f t="shared" si="1"/>
        <v>5815</v>
      </c>
      <c r="AA5" s="17">
        <f t="shared" si="2"/>
        <v>0</v>
      </c>
      <c r="AB5" s="12" t="s">
        <v>42</v>
      </c>
      <c r="AC5" s="11" t="s">
        <v>60</v>
      </c>
      <c r="AD5" s="23"/>
      <c r="AE5" s="11"/>
      <c r="AF5" s="18"/>
      <c r="AG5" s="18"/>
    </row>
    <row r="6">
      <c r="A6" s="19">
        <v>4.0</v>
      </c>
      <c r="B6" s="10">
        <v>45698.0</v>
      </c>
      <c r="C6" s="11" t="s">
        <v>61</v>
      </c>
      <c r="D6" s="11" t="s">
        <v>62</v>
      </c>
      <c r="E6" s="12" t="s">
        <v>63</v>
      </c>
      <c r="F6" s="11" t="s">
        <v>64</v>
      </c>
      <c r="G6" s="11" t="s">
        <v>65</v>
      </c>
      <c r="H6" s="12">
        <v>9.978856157E9</v>
      </c>
      <c r="I6" s="12">
        <v>9.016569206E9</v>
      </c>
      <c r="J6" s="12"/>
      <c r="K6" s="12">
        <v>1462.0</v>
      </c>
      <c r="L6" s="10">
        <v>46032.0</v>
      </c>
      <c r="M6" s="12" t="s">
        <v>55</v>
      </c>
      <c r="N6" s="13" t="s">
        <v>66</v>
      </c>
      <c r="O6" s="12" t="s">
        <v>56</v>
      </c>
      <c r="P6" s="12" t="s">
        <v>67</v>
      </c>
      <c r="Q6" s="12"/>
      <c r="R6" s="14">
        <v>50839.0</v>
      </c>
      <c r="S6" s="14">
        <v>45726.0</v>
      </c>
      <c r="T6" s="12"/>
      <c r="U6" s="12"/>
      <c r="V6" s="15">
        <v>10764.0</v>
      </c>
      <c r="W6" s="15">
        <v>12702.0</v>
      </c>
      <c r="X6" s="12">
        <v>12702.0</v>
      </c>
      <c r="Y6" s="12">
        <v>12700.0</v>
      </c>
      <c r="Z6" s="16">
        <f t="shared" si="1"/>
        <v>2</v>
      </c>
      <c r="AA6" s="17">
        <f t="shared" si="2"/>
        <v>-2</v>
      </c>
      <c r="AB6" s="12" t="s">
        <v>42</v>
      </c>
      <c r="AC6" s="11" t="s">
        <v>68</v>
      </c>
      <c r="AD6" s="24"/>
      <c r="AE6" s="11"/>
      <c r="AF6" s="25" t="s">
        <v>69</v>
      </c>
      <c r="AG6" s="18"/>
    </row>
    <row r="7">
      <c r="A7" s="19">
        <v>5.0</v>
      </c>
      <c r="B7" s="10">
        <v>45698.0</v>
      </c>
      <c r="C7" s="11" t="s">
        <v>70</v>
      </c>
      <c r="D7" s="11" t="s">
        <v>71</v>
      </c>
      <c r="E7" s="12" t="s">
        <v>63</v>
      </c>
      <c r="F7" s="11" t="s">
        <v>72</v>
      </c>
      <c r="G7" s="11" t="s">
        <v>73</v>
      </c>
      <c r="H7" s="12">
        <v>8.780635339E9</v>
      </c>
      <c r="I7" s="12"/>
      <c r="J7" s="12"/>
      <c r="K7" s="12">
        <v>998.0</v>
      </c>
      <c r="L7" s="10">
        <v>46032.0</v>
      </c>
      <c r="M7" s="12" t="s">
        <v>74</v>
      </c>
      <c r="N7" s="13" t="s">
        <v>75</v>
      </c>
      <c r="O7" s="12" t="s">
        <v>76</v>
      </c>
      <c r="P7" s="12" t="s">
        <v>67</v>
      </c>
      <c r="Q7" s="11"/>
      <c r="R7" s="12" t="s">
        <v>77</v>
      </c>
      <c r="S7" s="11"/>
      <c r="T7" s="11"/>
      <c r="U7" s="11"/>
      <c r="V7" s="12">
        <v>2154.0</v>
      </c>
      <c r="W7" s="12">
        <v>2541.72</v>
      </c>
      <c r="X7" s="12">
        <v>2500.0</v>
      </c>
      <c r="Y7" s="12">
        <v>2500.0</v>
      </c>
      <c r="Z7" s="26">
        <f t="shared" si="1"/>
        <v>41.72</v>
      </c>
      <c r="AA7" s="17">
        <f t="shared" si="2"/>
        <v>0</v>
      </c>
      <c r="AB7" s="12" t="s">
        <v>42</v>
      </c>
      <c r="AC7" s="11" t="s">
        <v>78</v>
      </c>
      <c r="AD7" s="24" t="s">
        <v>79</v>
      </c>
      <c r="AE7" s="11"/>
      <c r="AF7" s="18"/>
      <c r="AG7" s="18"/>
    </row>
    <row r="8">
      <c r="A8" s="19">
        <v>6.0</v>
      </c>
      <c r="B8" s="10">
        <v>45698.0</v>
      </c>
      <c r="C8" s="11" t="s">
        <v>80</v>
      </c>
      <c r="D8" s="11" t="s">
        <v>81</v>
      </c>
      <c r="E8" s="12" t="s">
        <v>82</v>
      </c>
      <c r="F8" s="11" t="s">
        <v>83</v>
      </c>
      <c r="G8" s="11" t="s">
        <v>84</v>
      </c>
      <c r="H8" s="12">
        <v>9.77301785E9</v>
      </c>
      <c r="I8" s="12"/>
      <c r="J8" s="12"/>
      <c r="K8" s="12">
        <v>125.0</v>
      </c>
      <c r="L8" s="10">
        <v>46063.0</v>
      </c>
      <c r="M8" s="12" t="s">
        <v>74</v>
      </c>
      <c r="N8" s="13" t="s">
        <v>75</v>
      </c>
      <c r="O8" s="12" t="s">
        <v>47</v>
      </c>
      <c r="P8" s="12" t="s">
        <v>67</v>
      </c>
      <c r="Q8" s="11"/>
      <c r="R8" s="12" t="s">
        <v>85</v>
      </c>
      <c r="S8" s="12" t="s">
        <v>86</v>
      </c>
      <c r="T8" s="11"/>
      <c r="U8" s="11"/>
      <c r="V8" s="12">
        <v>714.0</v>
      </c>
      <c r="W8" s="12">
        <v>842.52</v>
      </c>
      <c r="X8" s="12">
        <v>850.0</v>
      </c>
      <c r="Y8" s="12">
        <v>850.0</v>
      </c>
      <c r="Z8" s="26">
        <f t="shared" si="1"/>
        <v>-7.48</v>
      </c>
      <c r="AA8" s="17">
        <f t="shared" si="2"/>
        <v>0</v>
      </c>
      <c r="AB8" s="22" t="s">
        <v>42</v>
      </c>
      <c r="AC8" s="11" t="s">
        <v>87</v>
      </c>
      <c r="AD8" s="11"/>
      <c r="AE8" s="11"/>
      <c r="AF8" s="18"/>
      <c r="AG8" s="18"/>
    </row>
    <row r="9">
      <c r="A9" s="19">
        <v>7.0</v>
      </c>
      <c r="B9" s="10">
        <v>45698.0</v>
      </c>
      <c r="C9" s="11" t="s">
        <v>88</v>
      </c>
      <c r="D9" s="11" t="s">
        <v>89</v>
      </c>
      <c r="E9" s="12" t="s">
        <v>90</v>
      </c>
      <c r="F9" s="11" t="s">
        <v>91</v>
      </c>
      <c r="G9" s="11" t="s">
        <v>92</v>
      </c>
      <c r="H9" s="12">
        <v>8.141204459E9</v>
      </c>
      <c r="I9" s="12">
        <v>7.990135649E9</v>
      </c>
      <c r="J9" s="12"/>
      <c r="K9" s="12">
        <v>986.0</v>
      </c>
      <c r="L9" s="12" t="s">
        <v>93</v>
      </c>
      <c r="M9" s="12" t="s">
        <v>94</v>
      </c>
      <c r="N9" s="13" t="s">
        <v>39</v>
      </c>
      <c r="O9" s="12" t="s">
        <v>47</v>
      </c>
      <c r="P9" s="12" t="s">
        <v>57</v>
      </c>
      <c r="Q9" s="11"/>
      <c r="R9" s="14">
        <v>45667.0</v>
      </c>
      <c r="S9" s="14">
        <v>45301.0</v>
      </c>
      <c r="T9" s="11"/>
      <c r="U9" s="11"/>
      <c r="V9" s="15">
        <v>5178.0</v>
      </c>
      <c r="W9" s="15">
        <v>5518.0</v>
      </c>
      <c r="X9" s="12">
        <v>5000.0</v>
      </c>
      <c r="Y9" s="12">
        <v>5000.0</v>
      </c>
      <c r="Z9" s="16">
        <f t="shared" si="1"/>
        <v>518</v>
      </c>
      <c r="AA9" s="17">
        <f t="shared" si="2"/>
        <v>0</v>
      </c>
      <c r="AB9" s="12" t="s">
        <v>42</v>
      </c>
      <c r="AC9" s="11" t="s">
        <v>95</v>
      </c>
      <c r="AD9" s="11"/>
      <c r="AE9" s="11"/>
      <c r="AF9" s="18"/>
      <c r="AG9" s="18"/>
    </row>
    <row r="10">
      <c r="A10" s="19">
        <v>8.0</v>
      </c>
      <c r="B10" s="10">
        <v>45698.0</v>
      </c>
      <c r="C10" s="11" t="s">
        <v>96</v>
      </c>
      <c r="D10" s="11" t="s">
        <v>97</v>
      </c>
      <c r="E10" s="12" t="s">
        <v>98</v>
      </c>
      <c r="F10" s="11" t="s">
        <v>99</v>
      </c>
      <c r="G10" s="11" t="s">
        <v>100</v>
      </c>
      <c r="H10" s="12" t="s">
        <v>101</v>
      </c>
      <c r="I10" s="12"/>
      <c r="J10" s="12"/>
      <c r="K10" s="12">
        <v>55000.0</v>
      </c>
      <c r="L10" s="10">
        <v>46063.0</v>
      </c>
      <c r="M10" s="12" t="s">
        <v>102</v>
      </c>
      <c r="N10" s="13" t="s">
        <v>39</v>
      </c>
      <c r="O10" s="12" t="s">
        <v>56</v>
      </c>
      <c r="P10" s="12" t="s">
        <v>57</v>
      </c>
      <c r="Q10" s="12"/>
      <c r="R10" s="27">
        <v>46122.0</v>
      </c>
      <c r="S10" s="22" t="s">
        <v>103</v>
      </c>
      <c r="T10" s="27">
        <v>47279.0</v>
      </c>
      <c r="U10" s="27">
        <v>45818.0</v>
      </c>
      <c r="V10" s="12">
        <v>52000.0</v>
      </c>
      <c r="W10" s="12">
        <v>55609.0</v>
      </c>
      <c r="X10" s="28">
        <v>48600.0</v>
      </c>
      <c r="Y10" s="12">
        <v>49000.0</v>
      </c>
      <c r="Z10" s="26">
        <f t="shared" si="1"/>
        <v>6609</v>
      </c>
      <c r="AA10" s="17">
        <f t="shared" si="2"/>
        <v>400</v>
      </c>
      <c r="AB10" s="29" t="s">
        <v>42</v>
      </c>
      <c r="AC10" s="11" t="s">
        <v>104</v>
      </c>
      <c r="AD10" s="23"/>
      <c r="AE10" s="11"/>
      <c r="AF10" s="18"/>
      <c r="AG10" s="18"/>
    </row>
    <row r="11">
      <c r="A11" s="19">
        <v>9.0</v>
      </c>
      <c r="B11" s="10">
        <v>45698.0</v>
      </c>
      <c r="C11" s="20" t="s">
        <v>105</v>
      </c>
      <c r="D11" s="20" t="s">
        <v>106</v>
      </c>
      <c r="E11" s="30" t="s">
        <v>34</v>
      </c>
      <c r="F11" s="20" t="s">
        <v>35</v>
      </c>
      <c r="G11" s="20" t="s">
        <v>107</v>
      </c>
      <c r="H11" s="30">
        <v>9.687526991E9</v>
      </c>
      <c r="I11" s="30">
        <v>8.128226991E9</v>
      </c>
      <c r="J11" s="30"/>
      <c r="K11" s="30">
        <v>236.0</v>
      </c>
      <c r="L11" s="31">
        <v>46091.0</v>
      </c>
      <c r="M11" s="30" t="s">
        <v>38</v>
      </c>
      <c r="N11" s="32" t="s">
        <v>39</v>
      </c>
      <c r="O11" s="30" t="s">
        <v>47</v>
      </c>
      <c r="P11" s="30" t="s">
        <v>41</v>
      </c>
      <c r="Q11" s="20"/>
      <c r="R11" s="33">
        <v>46487.0</v>
      </c>
      <c r="S11" s="33">
        <v>46120.0</v>
      </c>
      <c r="T11" s="34">
        <v>47067.0</v>
      </c>
      <c r="U11" s="35"/>
      <c r="V11" s="30">
        <v>6332.0</v>
      </c>
      <c r="W11" s="30">
        <v>7472.0</v>
      </c>
      <c r="X11" s="30">
        <v>6500.0</v>
      </c>
      <c r="Y11" s="30">
        <v>6500.0</v>
      </c>
      <c r="Z11" s="26">
        <f t="shared" si="1"/>
        <v>972</v>
      </c>
      <c r="AA11" s="17">
        <f t="shared" si="2"/>
        <v>0</v>
      </c>
      <c r="AB11" s="30" t="s">
        <v>42</v>
      </c>
      <c r="AC11" s="20" t="s">
        <v>108</v>
      </c>
      <c r="AD11" s="23"/>
      <c r="AE11" s="11"/>
      <c r="AF11" s="18"/>
      <c r="AG11" s="18"/>
    </row>
    <row r="12">
      <c r="A12" s="19">
        <v>10.0</v>
      </c>
      <c r="B12" s="36">
        <v>45726.0</v>
      </c>
      <c r="C12" s="20" t="s">
        <v>109</v>
      </c>
      <c r="D12" s="20" t="s">
        <v>110</v>
      </c>
      <c r="E12" s="30" t="s">
        <v>82</v>
      </c>
      <c r="F12" s="20" t="s">
        <v>111</v>
      </c>
      <c r="G12" s="20" t="s">
        <v>112</v>
      </c>
      <c r="H12" s="30">
        <v>9.408040085E9</v>
      </c>
      <c r="I12" s="35"/>
      <c r="J12" s="35"/>
      <c r="K12" s="30">
        <v>100.0</v>
      </c>
      <c r="L12" s="10">
        <v>46063.0</v>
      </c>
      <c r="M12" s="30" t="s">
        <v>74</v>
      </c>
      <c r="N12" s="32" t="s">
        <v>75</v>
      </c>
      <c r="O12" s="30" t="s">
        <v>76</v>
      </c>
      <c r="P12" s="30" t="s">
        <v>67</v>
      </c>
      <c r="Q12" s="20"/>
      <c r="R12" s="30" t="s">
        <v>113</v>
      </c>
      <c r="S12" s="30" t="s">
        <v>77</v>
      </c>
      <c r="T12" s="35"/>
      <c r="U12" s="35"/>
      <c r="V12" s="30">
        <v>714.0</v>
      </c>
      <c r="W12" s="30">
        <v>842.0</v>
      </c>
      <c r="X12" s="30">
        <v>850.0</v>
      </c>
      <c r="Y12" s="30">
        <v>850.0</v>
      </c>
      <c r="Z12" s="26">
        <f t="shared" si="1"/>
        <v>-8</v>
      </c>
      <c r="AA12" s="17">
        <f t="shared" si="2"/>
        <v>0</v>
      </c>
      <c r="AB12" s="30" t="s">
        <v>42</v>
      </c>
      <c r="AC12" s="20" t="s">
        <v>114</v>
      </c>
      <c r="AD12" s="23"/>
      <c r="AE12" s="23"/>
    </row>
    <row r="13">
      <c r="A13" s="19">
        <v>11.0</v>
      </c>
      <c r="B13" s="36">
        <v>45726.0</v>
      </c>
      <c r="C13" s="20" t="s">
        <v>115</v>
      </c>
      <c r="D13" s="20" t="s">
        <v>116</v>
      </c>
      <c r="E13" s="30" t="s">
        <v>82</v>
      </c>
      <c r="F13" s="20" t="s">
        <v>117</v>
      </c>
      <c r="G13" s="20" t="s">
        <v>118</v>
      </c>
      <c r="H13" s="30">
        <v>7.874016819E9</v>
      </c>
      <c r="I13" s="30">
        <v>6.352458896E9</v>
      </c>
      <c r="J13" s="30"/>
      <c r="K13" s="30">
        <v>125.0</v>
      </c>
      <c r="L13" s="10">
        <v>46063.0</v>
      </c>
      <c r="M13" s="30" t="s">
        <v>74</v>
      </c>
      <c r="N13" s="32" t="s">
        <v>75</v>
      </c>
      <c r="O13" s="30" t="s">
        <v>47</v>
      </c>
      <c r="P13" s="30" t="s">
        <v>67</v>
      </c>
      <c r="Q13" s="20"/>
      <c r="R13" s="37">
        <v>46549.0</v>
      </c>
      <c r="S13" s="20" t="s">
        <v>119</v>
      </c>
      <c r="T13" s="23"/>
      <c r="U13" s="23"/>
      <c r="V13" s="30">
        <v>714.0</v>
      </c>
      <c r="W13" s="30">
        <v>842.0</v>
      </c>
      <c r="X13" s="30">
        <v>850.0</v>
      </c>
      <c r="Y13" s="30">
        <v>850.0</v>
      </c>
      <c r="Z13" s="26">
        <f t="shared" si="1"/>
        <v>-8</v>
      </c>
      <c r="AA13" s="17">
        <f t="shared" si="2"/>
        <v>0</v>
      </c>
      <c r="AB13" s="30" t="s">
        <v>42</v>
      </c>
      <c r="AC13" s="20" t="s">
        <v>120</v>
      </c>
      <c r="AD13" s="23"/>
      <c r="AE13" s="23"/>
    </row>
    <row r="14">
      <c r="A14" s="19">
        <v>12.0</v>
      </c>
      <c r="B14" s="36">
        <v>45726.0</v>
      </c>
      <c r="C14" s="20" t="s">
        <v>121</v>
      </c>
      <c r="D14" s="20" t="s">
        <v>122</v>
      </c>
      <c r="E14" s="30" t="s">
        <v>123</v>
      </c>
      <c r="F14" s="20" t="s">
        <v>124</v>
      </c>
      <c r="G14" s="20" t="s">
        <v>125</v>
      </c>
      <c r="H14" s="30">
        <v>9.925632658E9</v>
      </c>
      <c r="I14" s="30">
        <v>9.904810221E9</v>
      </c>
      <c r="J14" s="30"/>
      <c r="K14" s="35"/>
      <c r="L14" s="31">
        <v>46122.0</v>
      </c>
      <c r="M14" s="30" t="s">
        <v>126</v>
      </c>
      <c r="N14" s="32" t="s">
        <v>39</v>
      </c>
      <c r="O14" s="30" t="s">
        <v>127</v>
      </c>
      <c r="P14" s="30" t="s">
        <v>41</v>
      </c>
      <c r="Q14" s="20"/>
      <c r="R14" s="33">
        <v>50505.0</v>
      </c>
      <c r="S14" s="33">
        <v>45392.0</v>
      </c>
      <c r="T14" s="35"/>
      <c r="U14" s="35"/>
      <c r="V14" s="38">
        <v>8155.19</v>
      </c>
      <c r="W14" s="38">
        <v>9623.0</v>
      </c>
      <c r="X14" s="30">
        <v>9500.0</v>
      </c>
      <c r="Y14" s="30">
        <v>9500.0</v>
      </c>
      <c r="Z14" s="16">
        <f t="shared" si="1"/>
        <v>123</v>
      </c>
      <c r="AA14" s="17">
        <f t="shared" si="2"/>
        <v>0</v>
      </c>
      <c r="AB14" s="30" t="s">
        <v>42</v>
      </c>
      <c r="AC14" s="20" t="s">
        <v>128</v>
      </c>
      <c r="AD14" s="23"/>
      <c r="AE14" s="23"/>
    </row>
    <row r="15">
      <c r="A15" s="19">
        <v>13.0</v>
      </c>
      <c r="B15" s="36">
        <v>45726.0</v>
      </c>
      <c r="C15" s="20" t="s">
        <v>129</v>
      </c>
      <c r="D15" s="20" t="s">
        <v>130</v>
      </c>
      <c r="E15" s="30" t="s">
        <v>90</v>
      </c>
      <c r="F15" s="20" t="s">
        <v>131</v>
      </c>
      <c r="G15" s="20" t="s">
        <v>132</v>
      </c>
      <c r="H15" s="30">
        <v>7.874016819E9</v>
      </c>
      <c r="I15" s="30">
        <v>6.352458896E9</v>
      </c>
      <c r="J15" s="30"/>
      <c r="K15" s="30">
        <v>995.0</v>
      </c>
      <c r="L15" s="31">
        <v>46063.0</v>
      </c>
      <c r="M15" s="30" t="s">
        <v>94</v>
      </c>
      <c r="N15" s="32" t="s">
        <v>39</v>
      </c>
      <c r="O15" s="30" t="s">
        <v>47</v>
      </c>
      <c r="P15" s="30" t="s">
        <v>57</v>
      </c>
      <c r="Q15" s="20"/>
      <c r="R15" s="33">
        <v>46730.0</v>
      </c>
      <c r="S15" s="30" t="s">
        <v>133</v>
      </c>
      <c r="T15" s="35"/>
      <c r="U15" s="35"/>
      <c r="V15" s="38">
        <v>5295.0</v>
      </c>
      <c r="W15" s="38">
        <v>5657.0</v>
      </c>
      <c r="X15" s="30">
        <v>5000.0</v>
      </c>
      <c r="Y15" s="30">
        <v>4800.0</v>
      </c>
      <c r="Z15" s="16">
        <f t="shared" si="1"/>
        <v>857</v>
      </c>
      <c r="AA15" s="17">
        <f t="shared" si="2"/>
        <v>-200</v>
      </c>
      <c r="AB15" s="30" t="s">
        <v>42</v>
      </c>
      <c r="AC15" s="20" t="s">
        <v>134</v>
      </c>
      <c r="AD15" s="23"/>
      <c r="AE15" s="23"/>
    </row>
    <row r="16">
      <c r="A16" s="19">
        <v>14.0</v>
      </c>
      <c r="B16" s="36">
        <v>45726.0</v>
      </c>
      <c r="C16" s="20" t="s">
        <v>135</v>
      </c>
      <c r="D16" s="20" t="s">
        <v>136</v>
      </c>
      <c r="E16" s="30" t="s">
        <v>98</v>
      </c>
      <c r="F16" s="20" t="s">
        <v>137</v>
      </c>
      <c r="G16" s="20" t="s">
        <v>138</v>
      </c>
      <c r="H16" s="30" t="s">
        <v>139</v>
      </c>
      <c r="I16" s="30">
        <v>9.978949994E9</v>
      </c>
      <c r="J16" s="30"/>
      <c r="K16" s="30">
        <v>35000.0</v>
      </c>
      <c r="L16" s="10">
        <v>46063.0</v>
      </c>
      <c r="M16" s="30" t="s">
        <v>126</v>
      </c>
      <c r="N16" s="32" t="s">
        <v>39</v>
      </c>
      <c r="O16" s="30" t="s">
        <v>140</v>
      </c>
      <c r="P16" s="30" t="s">
        <v>41</v>
      </c>
      <c r="Q16" s="20"/>
      <c r="R16" s="30" t="s">
        <v>141</v>
      </c>
      <c r="S16" s="30" t="s">
        <v>142</v>
      </c>
      <c r="T16" s="33">
        <v>47696.0</v>
      </c>
      <c r="U16" s="35"/>
      <c r="V16" s="38">
        <v>49035.94</v>
      </c>
      <c r="W16" s="30">
        <v>52149.0</v>
      </c>
      <c r="X16" s="30">
        <v>42458.0</v>
      </c>
      <c r="Y16" s="30">
        <v>42500.0</v>
      </c>
      <c r="Z16" s="26">
        <f t="shared" si="1"/>
        <v>9649</v>
      </c>
      <c r="AA16" s="17">
        <f t="shared" si="2"/>
        <v>42</v>
      </c>
      <c r="AB16" s="30" t="s">
        <v>42</v>
      </c>
      <c r="AC16" s="20" t="s">
        <v>143</v>
      </c>
      <c r="AD16" s="23"/>
      <c r="AE16" s="23"/>
    </row>
    <row r="17">
      <c r="A17" s="19">
        <v>15.0</v>
      </c>
      <c r="B17" s="36">
        <v>45726.0</v>
      </c>
      <c r="C17" s="20" t="s">
        <v>144</v>
      </c>
      <c r="D17" s="20" t="s">
        <v>145</v>
      </c>
      <c r="E17" s="30" t="s">
        <v>34</v>
      </c>
      <c r="F17" s="20" t="s">
        <v>35</v>
      </c>
      <c r="G17" s="20" t="s">
        <v>146</v>
      </c>
      <c r="H17" s="30">
        <v>9.925948367E9</v>
      </c>
      <c r="I17" s="30">
        <v>9.016246346E9</v>
      </c>
      <c r="J17" s="30"/>
      <c r="K17" s="30">
        <v>236.0</v>
      </c>
      <c r="L17" s="31">
        <v>46091.0</v>
      </c>
      <c r="M17" s="30" t="s">
        <v>38</v>
      </c>
      <c r="N17" s="32" t="s">
        <v>39</v>
      </c>
      <c r="O17" s="30" t="s">
        <v>47</v>
      </c>
      <c r="P17" s="30" t="s">
        <v>41</v>
      </c>
      <c r="Q17" s="20"/>
      <c r="R17" s="33">
        <v>46456.0</v>
      </c>
      <c r="S17" s="33">
        <v>46063.0</v>
      </c>
      <c r="T17" s="33">
        <v>47006.0</v>
      </c>
      <c r="U17" s="35"/>
      <c r="V17" s="30">
        <v>6332.0</v>
      </c>
      <c r="W17" s="30">
        <v>7472.0</v>
      </c>
      <c r="X17" s="30">
        <v>6500.0</v>
      </c>
      <c r="Y17" s="30">
        <v>6500.0</v>
      </c>
      <c r="Z17" s="26">
        <f t="shared" si="1"/>
        <v>972</v>
      </c>
      <c r="AA17" s="17">
        <f t="shared" si="2"/>
        <v>0</v>
      </c>
      <c r="AB17" s="30" t="s">
        <v>42</v>
      </c>
      <c r="AC17" s="20" t="s">
        <v>147</v>
      </c>
      <c r="AD17" s="23"/>
      <c r="AE17" s="23"/>
    </row>
    <row r="18">
      <c r="A18" s="19">
        <v>16.0</v>
      </c>
      <c r="B18" s="36">
        <v>45726.0</v>
      </c>
      <c r="C18" s="20" t="s">
        <v>148</v>
      </c>
      <c r="D18" s="20" t="s">
        <v>149</v>
      </c>
      <c r="E18" s="30" t="s">
        <v>63</v>
      </c>
      <c r="F18" s="20" t="s">
        <v>150</v>
      </c>
      <c r="G18" s="20" t="s">
        <v>151</v>
      </c>
      <c r="H18" s="30" t="s">
        <v>152</v>
      </c>
      <c r="I18" s="35"/>
      <c r="J18" s="35"/>
      <c r="K18" s="30">
        <v>1197.0</v>
      </c>
      <c r="L18" s="31">
        <v>46091.0</v>
      </c>
      <c r="M18" s="30" t="s">
        <v>74</v>
      </c>
      <c r="N18" s="32" t="s">
        <v>75</v>
      </c>
      <c r="O18" s="30" t="s">
        <v>76</v>
      </c>
      <c r="P18" s="30" t="s">
        <v>67</v>
      </c>
      <c r="Q18" s="20"/>
      <c r="R18" s="33">
        <v>49199.0</v>
      </c>
      <c r="S18" s="33">
        <v>46063.0</v>
      </c>
      <c r="T18" s="35"/>
      <c r="U18" s="35"/>
      <c r="V18" s="30">
        <v>3746.0</v>
      </c>
      <c r="W18" s="30">
        <v>4420.0</v>
      </c>
      <c r="X18" s="30">
        <v>4500.0</v>
      </c>
      <c r="Y18" s="30">
        <v>4500.0</v>
      </c>
      <c r="Z18" s="26">
        <f t="shared" si="1"/>
        <v>-80</v>
      </c>
      <c r="AA18" s="17">
        <f t="shared" si="2"/>
        <v>0</v>
      </c>
      <c r="AB18" s="30" t="s">
        <v>42</v>
      </c>
      <c r="AC18" s="20" t="s">
        <v>153</v>
      </c>
      <c r="AD18" s="23"/>
      <c r="AE18" s="23"/>
    </row>
    <row r="19">
      <c r="A19" s="19">
        <v>17.0</v>
      </c>
      <c r="B19" s="31">
        <v>45757.0</v>
      </c>
      <c r="C19" s="20" t="s">
        <v>154</v>
      </c>
      <c r="D19" s="20" t="s">
        <v>155</v>
      </c>
      <c r="E19" s="30" t="s">
        <v>90</v>
      </c>
      <c r="F19" s="20" t="s">
        <v>156</v>
      </c>
      <c r="G19" s="20" t="s">
        <v>157</v>
      </c>
      <c r="H19" s="30" t="s">
        <v>158</v>
      </c>
      <c r="I19" s="35"/>
      <c r="J19" s="35"/>
      <c r="K19" s="30">
        <v>694.0</v>
      </c>
      <c r="L19" s="31">
        <v>46063.0</v>
      </c>
      <c r="M19" s="30" t="s">
        <v>38</v>
      </c>
      <c r="N19" s="32" t="s">
        <v>39</v>
      </c>
      <c r="O19" s="30" t="s">
        <v>56</v>
      </c>
      <c r="P19" s="30" t="s">
        <v>41</v>
      </c>
      <c r="Q19" s="30"/>
      <c r="R19" s="30" t="s">
        <v>159</v>
      </c>
      <c r="S19" s="35"/>
      <c r="T19" s="35"/>
      <c r="U19" s="35"/>
      <c r="V19" s="30">
        <v>3936.0</v>
      </c>
      <c r="W19" s="30">
        <v>4236.0</v>
      </c>
      <c r="X19" s="30">
        <v>5000.0</v>
      </c>
      <c r="Y19" s="30">
        <v>5000.0</v>
      </c>
      <c r="Z19" s="26">
        <f t="shared" si="1"/>
        <v>-764</v>
      </c>
      <c r="AA19" s="17">
        <f t="shared" si="2"/>
        <v>0</v>
      </c>
      <c r="AB19" s="30" t="s">
        <v>42</v>
      </c>
      <c r="AC19" s="20" t="s">
        <v>160</v>
      </c>
      <c r="AD19" s="23"/>
      <c r="AE19" s="23"/>
    </row>
    <row r="20">
      <c r="A20" s="19">
        <v>18.0</v>
      </c>
      <c r="B20" s="31">
        <v>45757.0</v>
      </c>
      <c r="C20" s="20" t="s">
        <v>161</v>
      </c>
      <c r="D20" s="20" t="s">
        <v>162</v>
      </c>
      <c r="E20" s="30" t="s">
        <v>98</v>
      </c>
      <c r="F20" s="20" t="s">
        <v>163</v>
      </c>
      <c r="G20" s="20" t="s">
        <v>164</v>
      </c>
      <c r="H20" s="30">
        <v>9.925788188E9</v>
      </c>
      <c r="I20" s="30">
        <v>9.824588188E9</v>
      </c>
      <c r="J20" s="30"/>
      <c r="K20" s="30">
        <v>35000.0</v>
      </c>
      <c r="L20" s="31">
        <v>46091.0</v>
      </c>
      <c r="M20" s="30" t="s">
        <v>38</v>
      </c>
      <c r="N20" s="32" t="s">
        <v>39</v>
      </c>
      <c r="O20" s="30" t="s">
        <v>165</v>
      </c>
      <c r="P20" s="30" t="s">
        <v>41</v>
      </c>
      <c r="Q20" s="20"/>
      <c r="R20" s="30" t="s">
        <v>166</v>
      </c>
      <c r="S20" s="30" t="s">
        <v>167</v>
      </c>
      <c r="T20" s="30" t="s">
        <v>168</v>
      </c>
      <c r="U20" s="35"/>
      <c r="V20" s="30">
        <v>71055.0</v>
      </c>
      <c r="W20" s="30">
        <v>78132.0</v>
      </c>
      <c r="X20" s="30">
        <v>67541.0</v>
      </c>
      <c r="Y20" s="30">
        <v>67500.0</v>
      </c>
      <c r="Z20" s="26">
        <f t="shared" si="1"/>
        <v>10632</v>
      </c>
      <c r="AA20" s="17">
        <f t="shared" si="2"/>
        <v>-41</v>
      </c>
      <c r="AB20" s="30" t="s">
        <v>42</v>
      </c>
      <c r="AC20" s="20" t="s">
        <v>169</v>
      </c>
      <c r="AD20" s="23"/>
      <c r="AE20" s="23"/>
    </row>
    <row r="21">
      <c r="A21" s="19">
        <v>19.0</v>
      </c>
      <c r="B21" s="31">
        <v>45757.0</v>
      </c>
      <c r="C21" s="20" t="s">
        <v>170</v>
      </c>
      <c r="D21" s="20" t="s">
        <v>171</v>
      </c>
      <c r="E21" s="30" t="s">
        <v>34</v>
      </c>
      <c r="F21" s="20" t="s">
        <v>35</v>
      </c>
      <c r="G21" s="20" t="s">
        <v>172</v>
      </c>
      <c r="H21" s="30" t="s">
        <v>173</v>
      </c>
      <c r="I21" s="35"/>
      <c r="J21" s="35"/>
      <c r="K21" s="30">
        <v>236.0</v>
      </c>
      <c r="L21" s="31">
        <v>46063.0</v>
      </c>
      <c r="M21" s="30" t="s">
        <v>38</v>
      </c>
      <c r="N21" s="32" t="s">
        <v>39</v>
      </c>
      <c r="O21" s="30" t="s">
        <v>140</v>
      </c>
      <c r="P21" s="30" t="s">
        <v>41</v>
      </c>
      <c r="Q21" s="20"/>
      <c r="R21" s="30" t="s">
        <v>174</v>
      </c>
      <c r="S21" s="30" t="s">
        <v>175</v>
      </c>
      <c r="T21" s="33">
        <v>47216.0</v>
      </c>
      <c r="U21" s="35"/>
      <c r="V21" s="30">
        <v>6448.0</v>
      </c>
      <c r="W21" s="30">
        <v>7609.0</v>
      </c>
      <c r="X21" s="30">
        <v>6500.0</v>
      </c>
      <c r="Y21" s="30">
        <v>6000.0</v>
      </c>
      <c r="Z21" s="26">
        <f t="shared" si="1"/>
        <v>1609</v>
      </c>
      <c r="AA21" s="17">
        <f t="shared" si="2"/>
        <v>-500</v>
      </c>
      <c r="AB21" s="30" t="s">
        <v>42</v>
      </c>
      <c r="AC21" s="20" t="s">
        <v>176</v>
      </c>
      <c r="AD21" s="23"/>
      <c r="AE21" s="23"/>
    </row>
    <row r="22">
      <c r="A22" s="19">
        <v>20.0</v>
      </c>
      <c r="B22" s="31">
        <v>45757.0</v>
      </c>
      <c r="C22" s="20" t="s">
        <v>177</v>
      </c>
      <c r="D22" s="39">
        <v>6.303421185E9</v>
      </c>
      <c r="E22" s="30" t="s">
        <v>51</v>
      </c>
      <c r="F22" s="20" t="s">
        <v>178</v>
      </c>
      <c r="G22" s="20" t="s">
        <v>179</v>
      </c>
      <c r="H22" s="30">
        <v>7.016225455E9</v>
      </c>
      <c r="I22" s="35"/>
      <c r="J22" s="35"/>
      <c r="K22" s="30">
        <v>2700.0</v>
      </c>
      <c r="L22" s="31">
        <v>46152.0</v>
      </c>
      <c r="M22" s="30" t="s">
        <v>180</v>
      </c>
      <c r="N22" s="32" t="s">
        <v>39</v>
      </c>
      <c r="O22" s="30" t="s">
        <v>181</v>
      </c>
      <c r="P22" s="30" t="s">
        <v>57</v>
      </c>
      <c r="Q22" s="20"/>
      <c r="R22" s="33">
        <v>45515.0</v>
      </c>
      <c r="S22" s="30" t="s">
        <v>182</v>
      </c>
      <c r="T22" s="35"/>
      <c r="U22" s="35"/>
      <c r="V22" s="30">
        <v>18233.0</v>
      </c>
      <c r="W22" s="30">
        <v>19429.0</v>
      </c>
      <c r="X22" s="30">
        <v>14630.0</v>
      </c>
      <c r="Y22" s="30">
        <v>14000.0</v>
      </c>
      <c r="Z22" s="26">
        <f t="shared" si="1"/>
        <v>5429</v>
      </c>
      <c r="AA22" s="17">
        <f t="shared" si="2"/>
        <v>-630</v>
      </c>
      <c r="AB22" s="30" t="s">
        <v>42</v>
      </c>
      <c r="AC22" s="20" t="s">
        <v>183</v>
      </c>
      <c r="AD22" s="23"/>
      <c r="AE22" s="23"/>
    </row>
    <row r="23">
      <c r="A23" s="19">
        <v>21.0</v>
      </c>
      <c r="B23" s="31">
        <v>45757.0</v>
      </c>
      <c r="C23" s="20" t="s">
        <v>184</v>
      </c>
      <c r="D23" s="20" t="s">
        <v>185</v>
      </c>
      <c r="E23" s="30" t="s">
        <v>51</v>
      </c>
      <c r="F23" s="20" t="s">
        <v>186</v>
      </c>
      <c r="G23" s="20" t="s">
        <v>187</v>
      </c>
      <c r="H23" s="30">
        <v>9.913700786E9</v>
      </c>
      <c r="I23" s="30">
        <v>9.327991809E9</v>
      </c>
      <c r="J23" s="30"/>
      <c r="K23" s="30">
        <v>3225.0</v>
      </c>
      <c r="L23" s="31">
        <v>46122.0</v>
      </c>
      <c r="M23" s="30" t="s">
        <v>188</v>
      </c>
      <c r="N23" s="32" t="s">
        <v>39</v>
      </c>
      <c r="O23" s="30" t="s">
        <v>47</v>
      </c>
      <c r="P23" s="30" t="s">
        <v>41</v>
      </c>
      <c r="Q23" s="20"/>
      <c r="R23" s="30" t="s">
        <v>113</v>
      </c>
      <c r="S23" s="30" t="s">
        <v>189</v>
      </c>
      <c r="T23" s="35"/>
      <c r="U23" s="35"/>
      <c r="V23" s="38">
        <v>18219.0</v>
      </c>
      <c r="W23" s="38">
        <v>19412.0</v>
      </c>
      <c r="X23" s="30">
        <v>12996.0</v>
      </c>
      <c r="Y23" s="30">
        <v>13000.0</v>
      </c>
      <c r="Z23" s="16">
        <f t="shared" si="1"/>
        <v>6412</v>
      </c>
      <c r="AA23" s="17">
        <f t="shared" si="2"/>
        <v>4</v>
      </c>
      <c r="AB23" s="30" t="s">
        <v>42</v>
      </c>
      <c r="AC23" s="20" t="s">
        <v>190</v>
      </c>
      <c r="AD23" s="23"/>
      <c r="AE23" s="23"/>
    </row>
    <row r="24">
      <c r="A24" s="19">
        <v>22.0</v>
      </c>
      <c r="B24" s="31">
        <v>45757.0</v>
      </c>
      <c r="C24" s="20" t="s">
        <v>191</v>
      </c>
      <c r="D24" s="20" t="s">
        <v>192</v>
      </c>
      <c r="E24" s="30" t="s">
        <v>63</v>
      </c>
      <c r="F24" s="20" t="s">
        <v>193</v>
      </c>
      <c r="G24" s="20" t="s">
        <v>194</v>
      </c>
      <c r="H24" s="30">
        <v>9.879585154E9</v>
      </c>
      <c r="I24" s="30">
        <v>9.898485154E9</v>
      </c>
      <c r="J24" s="30"/>
      <c r="K24" s="30">
        <v>1462.0</v>
      </c>
      <c r="L24" s="31">
        <v>46091.0</v>
      </c>
      <c r="M24" s="30" t="s">
        <v>126</v>
      </c>
      <c r="N24" s="32" t="s">
        <v>39</v>
      </c>
      <c r="O24" s="30" t="s">
        <v>127</v>
      </c>
      <c r="P24" s="30" t="s">
        <v>41</v>
      </c>
      <c r="Q24" s="20"/>
      <c r="R24" s="34">
        <v>50019.0</v>
      </c>
      <c r="S24" s="33">
        <v>46063.0</v>
      </c>
      <c r="T24" s="35"/>
      <c r="U24" s="35"/>
      <c r="V24" s="30">
        <v>11195.41</v>
      </c>
      <c r="W24" s="30">
        <v>13211.0</v>
      </c>
      <c r="X24" s="30">
        <v>13211.0</v>
      </c>
      <c r="Y24" s="30">
        <v>13211.0</v>
      </c>
      <c r="Z24" s="26">
        <f t="shared" si="1"/>
        <v>0</v>
      </c>
      <c r="AA24" s="17">
        <f t="shared" si="2"/>
        <v>0</v>
      </c>
      <c r="AB24" s="30" t="s">
        <v>42</v>
      </c>
      <c r="AC24" s="20" t="s">
        <v>195</v>
      </c>
      <c r="AD24" s="23"/>
      <c r="AE24" s="23"/>
    </row>
    <row r="25">
      <c r="A25" s="19">
        <v>23.0</v>
      </c>
      <c r="B25" s="31">
        <v>45757.0</v>
      </c>
      <c r="C25" s="20" t="s">
        <v>196</v>
      </c>
      <c r="D25" s="20" t="s">
        <v>197</v>
      </c>
      <c r="E25" s="30" t="s">
        <v>51</v>
      </c>
      <c r="F25" s="20" t="s">
        <v>198</v>
      </c>
      <c r="G25" s="20" t="s">
        <v>199</v>
      </c>
      <c r="H25" s="30">
        <v>8.799182266E9</v>
      </c>
      <c r="I25" s="30">
        <v>9.537269659E9</v>
      </c>
      <c r="J25" s="30"/>
      <c r="K25" s="30">
        <v>1600.0</v>
      </c>
      <c r="L25" s="31">
        <v>46122.0</v>
      </c>
      <c r="M25" s="30" t="s">
        <v>55</v>
      </c>
      <c r="N25" s="32" t="s">
        <v>39</v>
      </c>
      <c r="O25" s="30" t="s">
        <v>47</v>
      </c>
      <c r="P25" s="30" t="s">
        <v>57</v>
      </c>
      <c r="Q25" s="20"/>
      <c r="R25" s="34">
        <v>46305.0</v>
      </c>
      <c r="S25" s="33">
        <v>45667.0</v>
      </c>
      <c r="T25" s="35"/>
      <c r="U25" s="35"/>
      <c r="V25" s="38">
        <v>19573.0</v>
      </c>
      <c r="W25" s="38">
        <v>21010.0</v>
      </c>
      <c r="X25" s="30">
        <v>13679.0</v>
      </c>
      <c r="Y25" s="30">
        <v>13500.0</v>
      </c>
      <c r="Z25" s="16">
        <f t="shared" si="1"/>
        <v>7510</v>
      </c>
      <c r="AA25" s="17">
        <f t="shared" si="2"/>
        <v>-179</v>
      </c>
      <c r="AB25" s="30" t="s">
        <v>42</v>
      </c>
      <c r="AC25" s="20" t="s">
        <v>200</v>
      </c>
      <c r="AD25" s="23"/>
      <c r="AE25" s="23"/>
    </row>
    <row r="26">
      <c r="A26" s="19">
        <v>24.0</v>
      </c>
      <c r="B26" s="31">
        <v>45757.0</v>
      </c>
      <c r="C26" s="20" t="s">
        <v>201</v>
      </c>
      <c r="D26" s="20" t="s">
        <v>202</v>
      </c>
      <c r="E26" s="30" t="s">
        <v>34</v>
      </c>
      <c r="F26" s="20" t="s">
        <v>35</v>
      </c>
      <c r="G26" s="20" t="s">
        <v>203</v>
      </c>
      <c r="H26" s="30">
        <v>7.984617927E9</v>
      </c>
      <c r="I26" s="30">
        <v>9.898842504E9</v>
      </c>
      <c r="J26" s="30"/>
      <c r="K26" s="30">
        <v>236.0</v>
      </c>
      <c r="L26" s="31">
        <v>46091.0</v>
      </c>
      <c r="M26" s="30" t="s">
        <v>38</v>
      </c>
      <c r="N26" s="32" t="s">
        <v>39</v>
      </c>
      <c r="O26" s="30" t="s">
        <v>76</v>
      </c>
      <c r="P26" s="30" t="s">
        <v>41</v>
      </c>
      <c r="Q26" s="20"/>
      <c r="R26" s="30" t="s">
        <v>204</v>
      </c>
      <c r="S26" s="33">
        <v>46152.0</v>
      </c>
      <c r="T26" s="30" t="s">
        <v>205</v>
      </c>
      <c r="U26" s="35"/>
      <c r="V26" s="30">
        <v>6497.0</v>
      </c>
      <c r="W26" s="30">
        <v>7667.0</v>
      </c>
      <c r="X26" s="30">
        <v>7500.0</v>
      </c>
      <c r="Y26" s="30">
        <v>6500.0</v>
      </c>
      <c r="Z26" s="26">
        <f t="shared" si="1"/>
        <v>1167</v>
      </c>
      <c r="AA26" s="17">
        <f t="shared" si="2"/>
        <v>-1000</v>
      </c>
      <c r="AB26" s="30" t="s">
        <v>42</v>
      </c>
      <c r="AC26" s="20" t="s">
        <v>206</v>
      </c>
      <c r="AD26" s="20" t="s">
        <v>207</v>
      </c>
      <c r="AE26" s="23"/>
      <c r="AF26" s="40" t="s">
        <v>208</v>
      </c>
      <c r="AG26" s="40" t="s">
        <v>209</v>
      </c>
    </row>
    <row r="27">
      <c r="A27" s="19">
        <v>25.0</v>
      </c>
      <c r="B27" s="31">
        <v>45757.0</v>
      </c>
      <c r="C27" s="20" t="s">
        <v>210</v>
      </c>
      <c r="D27" s="20" t="s">
        <v>211</v>
      </c>
      <c r="E27" s="30" t="s">
        <v>34</v>
      </c>
      <c r="F27" s="20" t="s">
        <v>35</v>
      </c>
      <c r="G27" s="20" t="s">
        <v>212</v>
      </c>
      <c r="H27" s="30">
        <v>9.979963794E9</v>
      </c>
      <c r="I27" s="30">
        <v>7.567293044E9</v>
      </c>
      <c r="J27" s="30"/>
      <c r="K27" s="30">
        <v>236.0</v>
      </c>
      <c r="L27" s="31">
        <v>46152.0</v>
      </c>
      <c r="M27" s="30" t="s">
        <v>38</v>
      </c>
      <c r="N27" s="32" t="s">
        <v>39</v>
      </c>
      <c r="O27" s="30" t="s">
        <v>213</v>
      </c>
      <c r="P27" s="30" t="s">
        <v>41</v>
      </c>
      <c r="Q27" s="20"/>
      <c r="R27" s="33">
        <v>46183.0</v>
      </c>
      <c r="S27" s="33">
        <v>45818.0</v>
      </c>
      <c r="T27" s="30" t="s">
        <v>214</v>
      </c>
      <c r="U27" s="35"/>
      <c r="V27" s="30">
        <v>6448.0</v>
      </c>
      <c r="W27" s="30">
        <v>7609.0</v>
      </c>
      <c r="X27" s="30">
        <v>6500.0</v>
      </c>
      <c r="Y27" s="30">
        <v>6500.0</v>
      </c>
      <c r="Z27" s="26">
        <f t="shared" si="1"/>
        <v>1109</v>
      </c>
      <c r="AA27" s="17">
        <f t="shared" si="2"/>
        <v>0</v>
      </c>
      <c r="AB27" s="30" t="s">
        <v>42</v>
      </c>
      <c r="AC27" s="20" t="s">
        <v>215</v>
      </c>
      <c r="AD27" s="23"/>
      <c r="AE27" s="23"/>
    </row>
    <row r="28">
      <c r="A28" s="19">
        <v>26.0</v>
      </c>
      <c r="B28" s="31">
        <v>45757.0</v>
      </c>
      <c r="C28" s="20" t="s">
        <v>216</v>
      </c>
      <c r="D28" s="20" t="s">
        <v>217</v>
      </c>
      <c r="E28" s="30" t="s">
        <v>34</v>
      </c>
      <c r="F28" s="20" t="s">
        <v>35</v>
      </c>
      <c r="G28" s="20" t="s">
        <v>218</v>
      </c>
      <c r="H28" s="30" t="s">
        <v>219</v>
      </c>
      <c r="I28" s="30" t="s">
        <v>220</v>
      </c>
      <c r="J28" s="30"/>
      <c r="K28" s="30">
        <v>236.0</v>
      </c>
      <c r="L28" s="31">
        <v>46091.0</v>
      </c>
      <c r="M28" s="30" t="s">
        <v>38</v>
      </c>
      <c r="N28" s="32" t="s">
        <v>39</v>
      </c>
      <c r="O28" s="30" t="s">
        <v>221</v>
      </c>
      <c r="P28" s="30" t="s">
        <v>41</v>
      </c>
      <c r="Q28" s="20"/>
      <c r="R28" s="33">
        <v>45181.0</v>
      </c>
      <c r="S28" s="33">
        <v>46091.0</v>
      </c>
      <c r="T28" s="34">
        <v>46368.0</v>
      </c>
      <c r="U28" s="35"/>
      <c r="V28" s="30">
        <v>6467.0</v>
      </c>
      <c r="W28" s="30">
        <v>7631.0</v>
      </c>
      <c r="X28" s="30">
        <v>7000.0</v>
      </c>
      <c r="Y28" s="30">
        <v>7000.0</v>
      </c>
      <c r="Z28" s="26">
        <f t="shared" si="1"/>
        <v>631</v>
      </c>
      <c r="AA28" s="17">
        <f t="shared" si="2"/>
        <v>0</v>
      </c>
      <c r="AB28" s="30" t="s">
        <v>42</v>
      </c>
      <c r="AC28" s="20" t="s">
        <v>222</v>
      </c>
      <c r="AD28" s="23"/>
      <c r="AE28" s="23"/>
    </row>
    <row r="29">
      <c r="A29" s="19">
        <v>27.0</v>
      </c>
      <c r="B29" s="31">
        <v>45787.0</v>
      </c>
      <c r="C29" s="20" t="s">
        <v>223</v>
      </c>
      <c r="D29" s="39" t="s">
        <v>224</v>
      </c>
      <c r="E29" s="30" t="s">
        <v>98</v>
      </c>
      <c r="F29" s="20" t="s">
        <v>225</v>
      </c>
      <c r="G29" s="20" t="s">
        <v>226</v>
      </c>
      <c r="H29" s="30" t="s">
        <v>227</v>
      </c>
      <c r="I29" s="30">
        <v>9.909157615E9</v>
      </c>
      <c r="J29" s="30"/>
      <c r="K29" s="30">
        <v>35000.0</v>
      </c>
      <c r="L29" s="31">
        <v>46122.0</v>
      </c>
      <c r="M29" s="30" t="s">
        <v>228</v>
      </c>
      <c r="N29" s="32" t="s">
        <v>75</v>
      </c>
      <c r="O29" s="30" t="s">
        <v>213</v>
      </c>
      <c r="P29" s="30" t="s">
        <v>57</v>
      </c>
      <c r="Q29" s="20"/>
      <c r="R29" s="30" t="s">
        <v>229</v>
      </c>
      <c r="S29" s="30" t="s">
        <v>230</v>
      </c>
      <c r="T29" s="33">
        <v>47431.0</v>
      </c>
      <c r="U29" s="35"/>
      <c r="V29" s="30">
        <v>44050.0</v>
      </c>
      <c r="W29" s="30">
        <v>46266.0</v>
      </c>
      <c r="X29" s="30">
        <v>30000.0</v>
      </c>
      <c r="Y29" s="30">
        <v>29500.0</v>
      </c>
      <c r="Z29" s="26">
        <f t="shared" si="1"/>
        <v>16766</v>
      </c>
      <c r="AA29" s="17">
        <f t="shared" si="2"/>
        <v>-500</v>
      </c>
      <c r="AB29" s="30" t="s">
        <v>42</v>
      </c>
      <c r="AC29" s="20" t="s">
        <v>231</v>
      </c>
      <c r="AD29" s="23"/>
      <c r="AE29" s="23"/>
    </row>
    <row r="30">
      <c r="A30" s="19">
        <v>28.0</v>
      </c>
      <c r="B30" s="31">
        <v>45787.0</v>
      </c>
      <c r="C30" s="20" t="s">
        <v>232</v>
      </c>
      <c r="D30" s="39" t="s">
        <v>233</v>
      </c>
      <c r="E30" s="30" t="s">
        <v>98</v>
      </c>
      <c r="F30" s="20" t="s">
        <v>234</v>
      </c>
      <c r="G30" s="20" t="s">
        <v>235</v>
      </c>
      <c r="H30" s="30">
        <v>9.428277711E9</v>
      </c>
      <c r="I30" s="30" t="s">
        <v>236</v>
      </c>
      <c r="J30" s="30"/>
      <c r="K30" s="30">
        <v>25000.0</v>
      </c>
      <c r="L30" s="33">
        <v>46152.0</v>
      </c>
      <c r="M30" s="30" t="s">
        <v>237</v>
      </c>
      <c r="N30" s="32" t="s">
        <v>75</v>
      </c>
      <c r="O30" s="30" t="s">
        <v>47</v>
      </c>
      <c r="P30" s="30" t="s">
        <v>57</v>
      </c>
      <c r="Q30" s="20"/>
      <c r="R30" s="33">
        <v>45788.0</v>
      </c>
      <c r="S30" s="33">
        <v>45782.0</v>
      </c>
      <c r="T30" s="30" t="s">
        <v>238</v>
      </c>
      <c r="U30" s="35"/>
      <c r="V30" s="30">
        <v>44050.0</v>
      </c>
      <c r="W30" s="30">
        <v>46266.0</v>
      </c>
      <c r="X30" s="30">
        <v>29500.0</v>
      </c>
      <c r="Y30" s="30">
        <v>27500.0</v>
      </c>
      <c r="Z30" s="26">
        <f t="shared" si="1"/>
        <v>18766</v>
      </c>
      <c r="AA30" s="17">
        <f t="shared" si="2"/>
        <v>-2000</v>
      </c>
      <c r="AB30" s="30" t="s">
        <v>42</v>
      </c>
      <c r="AC30" s="20" t="s">
        <v>239</v>
      </c>
      <c r="AD30" s="23"/>
      <c r="AE30" s="23"/>
    </row>
    <row r="31">
      <c r="A31" s="19">
        <v>29.0</v>
      </c>
      <c r="B31" s="31">
        <v>45787.0</v>
      </c>
      <c r="C31" s="20" t="s">
        <v>240</v>
      </c>
      <c r="D31" s="39" t="s">
        <v>241</v>
      </c>
      <c r="E31" s="30" t="s">
        <v>63</v>
      </c>
      <c r="F31" s="20" t="s">
        <v>242</v>
      </c>
      <c r="G31" s="20" t="s">
        <v>243</v>
      </c>
      <c r="H31" s="30">
        <v>9.978762415E9</v>
      </c>
      <c r="I31" s="30">
        <v>9.979566147E9</v>
      </c>
      <c r="J31" s="30"/>
      <c r="K31" s="30">
        <v>1197.0</v>
      </c>
      <c r="L31" s="33">
        <v>46152.0</v>
      </c>
      <c r="M31" s="30" t="s">
        <v>237</v>
      </c>
      <c r="N31" s="32" t="s">
        <v>75</v>
      </c>
      <c r="O31" s="30" t="s">
        <v>47</v>
      </c>
      <c r="P31" s="30" t="s">
        <v>57</v>
      </c>
      <c r="Q31" s="20"/>
      <c r="R31" s="33">
        <v>49164.0</v>
      </c>
      <c r="S31" s="33">
        <v>46296.0</v>
      </c>
      <c r="T31" s="35"/>
      <c r="U31" s="35"/>
      <c r="V31" s="30">
        <v>4047.0</v>
      </c>
      <c r="W31" s="30">
        <v>4775.0</v>
      </c>
      <c r="X31" s="30">
        <v>4800.0</v>
      </c>
      <c r="Y31" s="30">
        <v>4800.0</v>
      </c>
      <c r="Z31" s="26">
        <f t="shared" si="1"/>
        <v>-25</v>
      </c>
      <c r="AA31" s="17">
        <f t="shared" si="2"/>
        <v>0</v>
      </c>
      <c r="AB31" s="30" t="s">
        <v>42</v>
      </c>
      <c r="AC31" s="20" t="s">
        <v>244</v>
      </c>
      <c r="AD31" s="23"/>
      <c r="AE31" s="23"/>
    </row>
    <row r="32">
      <c r="A32" s="19">
        <v>30.0</v>
      </c>
      <c r="B32" s="31">
        <v>45787.0</v>
      </c>
      <c r="C32" s="20" t="s">
        <v>245</v>
      </c>
      <c r="D32" s="39">
        <v>6.3034241E9</v>
      </c>
      <c r="E32" s="30" t="s">
        <v>51</v>
      </c>
      <c r="F32" s="20" t="s">
        <v>178</v>
      </c>
      <c r="G32" s="20" t="s">
        <v>179</v>
      </c>
      <c r="H32" s="30">
        <v>7.016225455E9</v>
      </c>
      <c r="I32" s="35"/>
      <c r="J32" s="35"/>
      <c r="K32" s="30">
        <v>2700.0</v>
      </c>
      <c r="L32" s="41">
        <v>46305.0</v>
      </c>
      <c r="M32" s="30" t="s">
        <v>180</v>
      </c>
      <c r="N32" s="32" t="s">
        <v>39</v>
      </c>
      <c r="O32" s="30" t="s">
        <v>246</v>
      </c>
      <c r="P32" s="30" t="s">
        <v>57</v>
      </c>
      <c r="Q32" s="20"/>
      <c r="R32" s="33">
        <v>45332.0</v>
      </c>
      <c r="S32" s="34">
        <v>44845.0</v>
      </c>
      <c r="T32" s="35"/>
      <c r="U32" s="35"/>
      <c r="V32" s="30">
        <v>18233.0</v>
      </c>
      <c r="W32" s="30">
        <v>19429.0</v>
      </c>
      <c r="X32" s="30">
        <v>14630.0</v>
      </c>
      <c r="Y32" s="30">
        <v>14000.0</v>
      </c>
      <c r="Z32" s="26">
        <f t="shared" si="1"/>
        <v>5429</v>
      </c>
      <c r="AA32" s="17">
        <f t="shared" si="2"/>
        <v>-630</v>
      </c>
      <c r="AB32" s="30" t="s">
        <v>42</v>
      </c>
      <c r="AC32" s="20" t="s">
        <v>247</v>
      </c>
      <c r="AD32" s="23"/>
      <c r="AE32" s="23"/>
    </row>
    <row r="33">
      <c r="A33" s="19">
        <v>31.0</v>
      </c>
      <c r="B33" s="31">
        <v>45787.0</v>
      </c>
      <c r="C33" s="20" t="s">
        <v>248</v>
      </c>
      <c r="D33" s="39" t="s">
        <v>249</v>
      </c>
      <c r="E33" s="30" t="s">
        <v>63</v>
      </c>
      <c r="F33" s="20" t="s">
        <v>250</v>
      </c>
      <c r="G33" s="20" t="s">
        <v>251</v>
      </c>
      <c r="H33" s="30" t="s">
        <v>252</v>
      </c>
      <c r="I33" s="35"/>
      <c r="J33" s="35"/>
      <c r="K33" s="30">
        <v>2184.0</v>
      </c>
      <c r="L33" s="31">
        <v>46091.0</v>
      </c>
      <c r="M33" s="30" t="s">
        <v>188</v>
      </c>
      <c r="N33" s="32" t="s">
        <v>66</v>
      </c>
      <c r="O33" s="30" t="s">
        <v>140</v>
      </c>
      <c r="P33" s="30" t="s">
        <v>41</v>
      </c>
      <c r="Q33" s="20"/>
      <c r="R33" s="30" t="s">
        <v>253</v>
      </c>
      <c r="S33" s="30" t="s">
        <v>254</v>
      </c>
      <c r="T33" s="35"/>
      <c r="U33" s="35"/>
      <c r="V33" s="38">
        <v>14555.0</v>
      </c>
      <c r="W33" s="38">
        <v>17175.0</v>
      </c>
      <c r="X33" s="30">
        <v>17175.0</v>
      </c>
      <c r="Y33" s="30">
        <v>17000.0</v>
      </c>
      <c r="Z33" s="16">
        <f t="shared" si="1"/>
        <v>175</v>
      </c>
      <c r="AA33" s="17">
        <f t="shared" si="2"/>
        <v>-175</v>
      </c>
      <c r="AB33" s="30" t="s">
        <v>42</v>
      </c>
      <c r="AC33" s="20" t="s">
        <v>255</v>
      </c>
      <c r="AD33" s="23"/>
      <c r="AE33" s="23"/>
    </row>
    <row r="34">
      <c r="A34" s="19">
        <v>32.0</v>
      </c>
      <c r="B34" s="31">
        <v>45787.0</v>
      </c>
      <c r="C34" s="20" t="s">
        <v>256</v>
      </c>
      <c r="D34" s="39">
        <v>7.10012549E8</v>
      </c>
      <c r="E34" s="30" t="s">
        <v>63</v>
      </c>
      <c r="F34" s="20" t="s">
        <v>257</v>
      </c>
      <c r="G34" s="20" t="s">
        <v>258</v>
      </c>
      <c r="H34" s="30" t="s">
        <v>259</v>
      </c>
      <c r="I34" s="35"/>
      <c r="J34" s="35"/>
      <c r="K34" s="42">
        <v>1582.0</v>
      </c>
      <c r="L34" s="31">
        <v>46122.0</v>
      </c>
      <c r="M34" s="30" t="s">
        <v>260</v>
      </c>
      <c r="N34" s="32" t="s">
        <v>39</v>
      </c>
      <c r="O34" s="30" t="s">
        <v>76</v>
      </c>
      <c r="P34" s="30" t="s">
        <v>67</v>
      </c>
      <c r="Q34" s="20"/>
      <c r="R34" s="30" t="s">
        <v>261</v>
      </c>
      <c r="S34" s="33">
        <v>45757.0</v>
      </c>
      <c r="T34" s="35"/>
      <c r="U34" s="35"/>
      <c r="V34" s="30">
        <v>11637.22</v>
      </c>
      <c r="W34" s="38">
        <v>13731.92</v>
      </c>
      <c r="X34" s="30">
        <v>13365.0</v>
      </c>
      <c r="Y34" s="30">
        <v>14000.0</v>
      </c>
      <c r="Z34" s="16">
        <f t="shared" si="1"/>
        <v>-268.08</v>
      </c>
      <c r="AA34" s="17">
        <f t="shared" si="2"/>
        <v>635</v>
      </c>
      <c r="AB34" s="30" t="s">
        <v>42</v>
      </c>
      <c r="AC34" s="20" t="s">
        <v>262</v>
      </c>
      <c r="AD34" s="23"/>
      <c r="AE34" s="23"/>
    </row>
    <row r="35">
      <c r="A35" s="19">
        <v>33.0</v>
      </c>
      <c r="B35" s="31">
        <v>45787.0</v>
      </c>
      <c r="C35" s="20" t="s">
        <v>263</v>
      </c>
      <c r="D35" s="39" t="s">
        <v>264</v>
      </c>
      <c r="E35" s="30" t="s">
        <v>51</v>
      </c>
      <c r="F35" s="20" t="s">
        <v>265</v>
      </c>
      <c r="G35" s="20" t="s">
        <v>266</v>
      </c>
      <c r="H35" s="30">
        <v>9.51254476E9</v>
      </c>
      <c r="I35" s="30">
        <v>9.054534606E9</v>
      </c>
      <c r="J35" s="30"/>
      <c r="K35" s="30">
        <v>1675.0</v>
      </c>
      <c r="L35" s="31">
        <v>46091.0</v>
      </c>
      <c r="M35" s="30" t="s">
        <v>55</v>
      </c>
      <c r="N35" s="32" t="s">
        <v>39</v>
      </c>
      <c r="O35" s="30" t="s">
        <v>47</v>
      </c>
      <c r="P35" s="30" t="s">
        <v>57</v>
      </c>
      <c r="Q35" s="20"/>
      <c r="R35" s="34">
        <v>46367.0</v>
      </c>
      <c r="S35" s="34">
        <v>46002.0</v>
      </c>
      <c r="T35" s="35"/>
      <c r="U35" s="35"/>
      <c r="V35" s="38">
        <v>20192.0</v>
      </c>
      <c r="W35" s="38">
        <v>21740.0</v>
      </c>
      <c r="X35" s="30">
        <v>13940.0</v>
      </c>
      <c r="Y35" s="30">
        <v>14000.0</v>
      </c>
      <c r="Z35" s="16">
        <f t="shared" si="1"/>
        <v>7740</v>
      </c>
      <c r="AA35" s="17">
        <f t="shared" si="2"/>
        <v>60</v>
      </c>
      <c r="AB35" s="30" t="s">
        <v>42</v>
      </c>
      <c r="AC35" s="20" t="s">
        <v>267</v>
      </c>
      <c r="AD35" s="23"/>
      <c r="AE35" s="23"/>
    </row>
    <row r="36">
      <c r="A36" s="19">
        <v>34.0</v>
      </c>
      <c r="B36" s="31">
        <v>45787.0</v>
      </c>
      <c r="C36" s="20" t="s">
        <v>268</v>
      </c>
      <c r="D36" s="39" t="s">
        <v>269</v>
      </c>
      <c r="E36" s="30" t="s">
        <v>34</v>
      </c>
      <c r="F36" s="20" t="s">
        <v>35</v>
      </c>
      <c r="G36" s="20" t="s">
        <v>270</v>
      </c>
      <c r="H36" s="30">
        <v>6.355210381E9</v>
      </c>
      <c r="I36" s="35"/>
      <c r="J36" s="35"/>
      <c r="K36" s="30">
        <v>236.0</v>
      </c>
      <c r="L36" s="31">
        <v>46152.0</v>
      </c>
      <c r="M36" s="30" t="s">
        <v>38</v>
      </c>
      <c r="N36" s="32" t="s">
        <v>39</v>
      </c>
      <c r="O36" s="30" t="s">
        <v>165</v>
      </c>
      <c r="P36" s="30" t="s">
        <v>41</v>
      </c>
      <c r="Q36" s="20"/>
      <c r="R36" s="33">
        <v>46152.0</v>
      </c>
      <c r="S36" s="33">
        <v>45787.0</v>
      </c>
      <c r="T36" s="30" t="s">
        <v>271</v>
      </c>
      <c r="U36" s="35"/>
      <c r="V36" s="30">
        <v>6473.0</v>
      </c>
      <c r="W36" s="30">
        <v>7639.0</v>
      </c>
      <c r="X36" s="30">
        <v>6500.0</v>
      </c>
      <c r="Y36" s="30">
        <v>6500.0</v>
      </c>
      <c r="Z36" s="26">
        <f t="shared" si="1"/>
        <v>1139</v>
      </c>
      <c r="AA36" s="17">
        <f t="shared" si="2"/>
        <v>0</v>
      </c>
      <c r="AB36" s="30" t="s">
        <v>42</v>
      </c>
      <c r="AC36" s="20" t="s">
        <v>272</v>
      </c>
      <c r="AD36" s="23"/>
      <c r="AE36" s="23"/>
    </row>
    <row r="37">
      <c r="A37" s="19">
        <v>35.0</v>
      </c>
      <c r="B37" s="31">
        <v>45787.0</v>
      </c>
      <c r="C37" s="20" t="s">
        <v>273</v>
      </c>
      <c r="D37" s="39" t="s">
        <v>274</v>
      </c>
      <c r="E37" s="30" t="s">
        <v>90</v>
      </c>
      <c r="F37" s="20" t="s">
        <v>275</v>
      </c>
      <c r="G37" s="20" t="s">
        <v>276</v>
      </c>
      <c r="H37" s="30">
        <v>9.726122009E9</v>
      </c>
      <c r="I37" s="30">
        <v>8.758407453E9</v>
      </c>
      <c r="J37" s="30"/>
      <c r="K37" s="30">
        <v>995.0</v>
      </c>
      <c r="L37" s="31">
        <v>46152.0</v>
      </c>
      <c r="M37" s="30" t="s">
        <v>126</v>
      </c>
      <c r="N37" s="32" t="s">
        <v>39</v>
      </c>
      <c r="O37" s="30" t="s">
        <v>165</v>
      </c>
      <c r="P37" s="30" t="s">
        <v>41</v>
      </c>
      <c r="Q37" s="20"/>
      <c r="R37" s="33">
        <v>46152.0</v>
      </c>
      <c r="S37" s="33">
        <v>45787.0</v>
      </c>
      <c r="T37" s="35"/>
      <c r="U37" s="35"/>
      <c r="V37" s="38">
        <v>5362.44</v>
      </c>
      <c r="W37" s="30">
        <v>5744.0</v>
      </c>
      <c r="X37" s="30">
        <v>5000.0</v>
      </c>
      <c r="Y37" s="30">
        <v>5000.0</v>
      </c>
      <c r="Z37" s="26">
        <f t="shared" si="1"/>
        <v>744</v>
      </c>
      <c r="AA37" s="17">
        <f t="shared" si="2"/>
        <v>0</v>
      </c>
      <c r="AB37" s="30" t="s">
        <v>42</v>
      </c>
      <c r="AC37" s="20" t="s">
        <v>277</v>
      </c>
      <c r="AD37" s="23"/>
      <c r="AE37" s="23"/>
    </row>
    <row r="38">
      <c r="A38" s="19">
        <v>36.0</v>
      </c>
      <c r="B38" s="31">
        <v>45787.0</v>
      </c>
      <c r="C38" s="20" t="s">
        <v>278</v>
      </c>
      <c r="D38" s="39" t="s">
        <v>279</v>
      </c>
      <c r="E38" s="30" t="s">
        <v>63</v>
      </c>
      <c r="F38" s="20" t="s">
        <v>280</v>
      </c>
      <c r="G38" s="20" t="s">
        <v>281</v>
      </c>
      <c r="H38" s="30" t="s">
        <v>282</v>
      </c>
      <c r="I38" s="30" t="s">
        <v>283</v>
      </c>
      <c r="J38" s="30"/>
      <c r="K38" s="30">
        <v>1298.0</v>
      </c>
      <c r="L38" s="31">
        <v>46152.0</v>
      </c>
      <c r="M38" s="30" t="s">
        <v>126</v>
      </c>
      <c r="N38" s="32" t="s">
        <v>75</v>
      </c>
      <c r="O38" s="30" t="s">
        <v>76</v>
      </c>
      <c r="P38" s="30" t="s">
        <v>67</v>
      </c>
      <c r="Q38" s="20"/>
      <c r="R38" s="30" t="s">
        <v>284</v>
      </c>
      <c r="S38" s="30" t="s">
        <v>285</v>
      </c>
      <c r="T38" s="35"/>
      <c r="U38" s="35"/>
      <c r="V38" s="30">
        <v>3416.0</v>
      </c>
      <c r="W38" s="30">
        <v>4031.0</v>
      </c>
      <c r="X38" s="30">
        <v>4000.0</v>
      </c>
      <c r="Y38" s="30">
        <v>4000.0</v>
      </c>
      <c r="Z38" s="26">
        <f t="shared" si="1"/>
        <v>31</v>
      </c>
      <c r="AA38" s="17">
        <f t="shared" si="2"/>
        <v>0</v>
      </c>
      <c r="AB38" s="30" t="s">
        <v>42</v>
      </c>
      <c r="AC38" s="20" t="s">
        <v>286</v>
      </c>
      <c r="AD38" s="23"/>
      <c r="AE38" s="23"/>
    </row>
    <row r="39">
      <c r="A39" s="19">
        <v>37.0</v>
      </c>
      <c r="B39" s="31">
        <v>45818.0</v>
      </c>
      <c r="C39" s="20" t="s">
        <v>287</v>
      </c>
      <c r="D39" s="20" t="s">
        <v>288</v>
      </c>
      <c r="E39" s="30" t="s">
        <v>98</v>
      </c>
      <c r="F39" s="20" t="s">
        <v>289</v>
      </c>
      <c r="G39" s="20" t="s">
        <v>290</v>
      </c>
      <c r="H39" s="30">
        <v>7.6218629E9</v>
      </c>
      <c r="I39" s="30">
        <v>9.925214467E9</v>
      </c>
      <c r="J39" s="30"/>
      <c r="K39" s="30">
        <v>42000.0</v>
      </c>
      <c r="L39" s="31">
        <v>46122.0</v>
      </c>
      <c r="M39" s="30" t="s">
        <v>55</v>
      </c>
      <c r="N39" s="32" t="s">
        <v>39</v>
      </c>
      <c r="O39" s="30" t="s">
        <v>47</v>
      </c>
      <c r="P39" s="30" t="s">
        <v>57</v>
      </c>
      <c r="Q39" s="20"/>
      <c r="R39" s="30" t="s">
        <v>291</v>
      </c>
      <c r="S39" s="33">
        <v>45728.0</v>
      </c>
      <c r="T39" s="30" t="s">
        <v>292</v>
      </c>
      <c r="U39" s="30" t="s">
        <v>293</v>
      </c>
      <c r="V39" s="38">
        <v>50546.0</v>
      </c>
      <c r="W39" s="38">
        <v>53893.0</v>
      </c>
      <c r="X39" s="30">
        <v>45336.0</v>
      </c>
      <c r="Y39" s="30">
        <v>44000.0</v>
      </c>
      <c r="Z39" s="16">
        <f t="shared" si="1"/>
        <v>9893</v>
      </c>
      <c r="AA39" s="17">
        <f t="shared" si="2"/>
        <v>-1336</v>
      </c>
      <c r="AB39" s="30" t="s">
        <v>42</v>
      </c>
      <c r="AC39" s="20" t="s">
        <v>294</v>
      </c>
      <c r="AD39" s="23"/>
      <c r="AE39" s="23"/>
    </row>
    <row r="40">
      <c r="A40" s="19">
        <v>38.0</v>
      </c>
      <c r="B40" s="31">
        <v>45818.0</v>
      </c>
      <c r="C40" s="20" t="s">
        <v>295</v>
      </c>
      <c r="D40" s="20" t="s">
        <v>296</v>
      </c>
      <c r="E40" s="30" t="s">
        <v>51</v>
      </c>
      <c r="F40" s="20" t="s">
        <v>297</v>
      </c>
      <c r="G40" s="20" t="s">
        <v>298</v>
      </c>
      <c r="H40" s="30" t="s">
        <v>299</v>
      </c>
      <c r="I40" s="30">
        <v>8.866848454E9</v>
      </c>
      <c r="J40" s="30"/>
      <c r="K40" s="30">
        <v>3490.0</v>
      </c>
      <c r="L40" s="31">
        <v>46183.0</v>
      </c>
      <c r="M40" s="30" t="s">
        <v>228</v>
      </c>
      <c r="N40" s="32" t="s">
        <v>39</v>
      </c>
      <c r="O40" s="30" t="s">
        <v>40</v>
      </c>
      <c r="P40" s="30" t="s">
        <v>57</v>
      </c>
      <c r="Q40" s="20"/>
      <c r="R40" s="33">
        <v>45904.0</v>
      </c>
      <c r="S40" s="30" t="s">
        <v>300</v>
      </c>
      <c r="T40" s="33">
        <v>47030.0</v>
      </c>
      <c r="U40" s="35"/>
      <c r="V40" s="38">
        <v>22565.0</v>
      </c>
      <c r="W40" s="38">
        <v>24540.0</v>
      </c>
      <c r="X40" s="30">
        <v>16629.0</v>
      </c>
      <c r="Y40" s="30">
        <v>16500.0</v>
      </c>
      <c r="Z40" s="16">
        <f t="shared" si="1"/>
        <v>8040</v>
      </c>
      <c r="AA40" s="17">
        <f t="shared" si="2"/>
        <v>-129</v>
      </c>
      <c r="AB40" s="30" t="s">
        <v>42</v>
      </c>
      <c r="AC40" s="20" t="s">
        <v>301</v>
      </c>
      <c r="AD40" s="23"/>
      <c r="AE40" s="23"/>
    </row>
    <row r="41">
      <c r="A41" s="19">
        <v>39.0</v>
      </c>
      <c r="B41" s="31">
        <v>45818.0</v>
      </c>
      <c r="C41" s="20" t="s">
        <v>302</v>
      </c>
      <c r="D41" s="20" t="s">
        <v>303</v>
      </c>
      <c r="E41" s="30" t="s">
        <v>34</v>
      </c>
      <c r="F41" s="20" t="s">
        <v>35</v>
      </c>
      <c r="G41" s="20" t="s">
        <v>304</v>
      </c>
      <c r="H41" s="30" t="s">
        <v>305</v>
      </c>
      <c r="I41" s="30">
        <v>6.351344564E9</v>
      </c>
      <c r="J41" s="30"/>
      <c r="K41" s="30">
        <v>236.0</v>
      </c>
      <c r="L41" s="31">
        <v>46213.0</v>
      </c>
      <c r="M41" s="30" t="s">
        <v>38</v>
      </c>
      <c r="N41" s="32" t="s">
        <v>39</v>
      </c>
      <c r="O41" s="30" t="s">
        <v>76</v>
      </c>
      <c r="P41" s="30" t="s">
        <v>41</v>
      </c>
      <c r="Q41" s="20"/>
      <c r="R41" s="33">
        <v>46213.0</v>
      </c>
      <c r="S41" s="33">
        <v>45848.0</v>
      </c>
      <c r="T41" s="30" t="s">
        <v>271</v>
      </c>
      <c r="U41" s="35"/>
      <c r="V41" s="30">
        <v>6448.0</v>
      </c>
      <c r="W41" s="30">
        <v>7609.0</v>
      </c>
      <c r="X41" s="30">
        <v>6500.0</v>
      </c>
      <c r="Y41" s="30">
        <v>6500.0</v>
      </c>
      <c r="Z41" s="26">
        <f t="shared" si="1"/>
        <v>1109</v>
      </c>
      <c r="AA41" s="17">
        <f t="shared" si="2"/>
        <v>0</v>
      </c>
      <c r="AB41" s="30" t="s">
        <v>42</v>
      </c>
      <c r="AC41" s="20" t="s">
        <v>306</v>
      </c>
      <c r="AD41" s="23"/>
      <c r="AE41" s="23"/>
    </row>
    <row r="42">
      <c r="A42" s="19">
        <v>40.0</v>
      </c>
      <c r="B42" s="31">
        <v>45848.0</v>
      </c>
      <c r="C42" s="20" t="s">
        <v>307</v>
      </c>
      <c r="D42" s="20" t="s">
        <v>308</v>
      </c>
      <c r="E42" s="30" t="s">
        <v>98</v>
      </c>
      <c r="F42" s="20" t="s">
        <v>309</v>
      </c>
      <c r="G42" s="20" t="s">
        <v>310</v>
      </c>
      <c r="H42" s="30">
        <v>9.998241501E9</v>
      </c>
      <c r="I42" s="30">
        <v>9.624894208E9</v>
      </c>
      <c r="J42" s="30"/>
      <c r="K42" s="30">
        <v>11990.0</v>
      </c>
      <c r="L42" s="31">
        <v>46152.0</v>
      </c>
      <c r="M42" s="30" t="s">
        <v>38</v>
      </c>
      <c r="N42" s="32" t="s">
        <v>39</v>
      </c>
      <c r="O42" s="30" t="s">
        <v>76</v>
      </c>
      <c r="P42" s="30" t="s">
        <v>41</v>
      </c>
      <c r="Q42" s="20"/>
      <c r="R42" s="34">
        <v>45576.0</v>
      </c>
      <c r="S42" s="33">
        <v>46174.0</v>
      </c>
      <c r="T42" s="34">
        <v>46671.0</v>
      </c>
      <c r="U42" s="35"/>
      <c r="V42" s="30">
        <v>45085.0</v>
      </c>
      <c r="W42" s="30">
        <v>49667.0</v>
      </c>
      <c r="X42" s="30">
        <v>42994.0</v>
      </c>
      <c r="Y42" s="30">
        <v>42000.0</v>
      </c>
      <c r="Z42" s="26">
        <f t="shared" si="1"/>
        <v>7667</v>
      </c>
      <c r="AA42" s="17">
        <f t="shared" si="2"/>
        <v>-994</v>
      </c>
      <c r="AB42" s="30" t="s">
        <v>42</v>
      </c>
      <c r="AC42" s="20" t="s">
        <v>311</v>
      </c>
      <c r="AD42" s="23"/>
      <c r="AE42" s="23"/>
    </row>
    <row r="43">
      <c r="A43" s="19">
        <v>41.0</v>
      </c>
      <c r="B43" s="31">
        <v>45848.0</v>
      </c>
      <c r="C43" s="20" t="s">
        <v>312</v>
      </c>
      <c r="D43" s="20" t="s">
        <v>313</v>
      </c>
      <c r="E43" s="30" t="s">
        <v>51</v>
      </c>
      <c r="F43" s="20" t="s">
        <v>314</v>
      </c>
      <c r="G43" s="20" t="s">
        <v>315</v>
      </c>
      <c r="H43" s="30">
        <v>6.352846686E9</v>
      </c>
      <c r="I43" s="35"/>
      <c r="J43" s="35"/>
      <c r="K43" s="30">
        <v>1850.0</v>
      </c>
      <c r="L43" s="31">
        <v>46152.0</v>
      </c>
      <c r="M43" s="30" t="s">
        <v>38</v>
      </c>
      <c r="N43" s="32" t="s">
        <v>39</v>
      </c>
      <c r="O43" s="30" t="s">
        <v>47</v>
      </c>
      <c r="P43" s="30" t="s">
        <v>41</v>
      </c>
      <c r="Q43" s="20"/>
      <c r="R43" s="30" t="s">
        <v>316</v>
      </c>
      <c r="S43" s="33">
        <v>46297.0</v>
      </c>
      <c r="T43" s="35"/>
      <c r="U43" s="35"/>
      <c r="V43" s="30">
        <v>19530.0</v>
      </c>
      <c r="W43" s="30">
        <v>20959.0</v>
      </c>
      <c r="X43" s="30">
        <v>14049.0</v>
      </c>
      <c r="Y43" s="30">
        <v>14000.0</v>
      </c>
      <c r="Z43" s="26">
        <f t="shared" si="1"/>
        <v>6959</v>
      </c>
      <c r="AA43" s="17">
        <f t="shared" si="2"/>
        <v>-49</v>
      </c>
      <c r="AB43" s="30" t="s">
        <v>42</v>
      </c>
      <c r="AC43" s="20" t="s">
        <v>317</v>
      </c>
      <c r="AD43" s="23"/>
      <c r="AE43" s="23"/>
    </row>
    <row r="44">
      <c r="A44" s="19">
        <v>42.0</v>
      </c>
      <c r="B44" s="31">
        <v>45848.0</v>
      </c>
      <c r="C44" s="20" t="s">
        <v>318</v>
      </c>
      <c r="D44" s="20" t="s">
        <v>319</v>
      </c>
      <c r="E44" s="30" t="s">
        <v>98</v>
      </c>
      <c r="F44" s="20" t="s">
        <v>320</v>
      </c>
      <c r="G44" s="20" t="s">
        <v>321</v>
      </c>
      <c r="H44" s="30">
        <v>9.033333157E9</v>
      </c>
      <c r="I44" s="30">
        <v>6.351000398E9</v>
      </c>
      <c r="J44" s="30"/>
      <c r="K44" s="30">
        <v>12990.0</v>
      </c>
      <c r="L44" s="31">
        <v>46213.0</v>
      </c>
      <c r="M44" s="30" t="s">
        <v>55</v>
      </c>
      <c r="N44" s="32" t="s">
        <v>39</v>
      </c>
      <c r="O44" s="30" t="s">
        <v>47</v>
      </c>
      <c r="P44" s="30" t="s">
        <v>57</v>
      </c>
      <c r="Q44" s="20"/>
      <c r="R44" s="33">
        <v>46333.0</v>
      </c>
      <c r="S44" s="33">
        <v>45816.0</v>
      </c>
      <c r="T44" s="33">
        <v>47034.0</v>
      </c>
      <c r="U44" s="35"/>
      <c r="V44" s="38">
        <v>37105.0</v>
      </c>
      <c r="W44" s="38">
        <v>39193.0</v>
      </c>
      <c r="X44" s="30">
        <v>35788.0</v>
      </c>
      <c r="Y44" s="30">
        <v>32500.0</v>
      </c>
      <c r="Z44" s="16">
        <f t="shared" si="1"/>
        <v>6693</v>
      </c>
      <c r="AA44" s="17">
        <f t="shared" si="2"/>
        <v>-3288</v>
      </c>
      <c r="AB44" s="30" t="s">
        <v>42</v>
      </c>
      <c r="AC44" s="20" t="s">
        <v>322</v>
      </c>
      <c r="AD44" s="23"/>
      <c r="AE44" s="23"/>
    </row>
    <row r="45">
      <c r="A45" s="19">
        <v>43.0</v>
      </c>
      <c r="B45" s="31">
        <v>45848.0</v>
      </c>
      <c r="C45" s="20" t="s">
        <v>323</v>
      </c>
      <c r="D45" s="20" t="s">
        <v>324</v>
      </c>
      <c r="E45" s="30" t="s">
        <v>51</v>
      </c>
      <c r="F45" s="20" t="s">
        <v>325</v>
      </c>
      <c r="G45" s="20" t="s">
        <v>326</v>
      </c>
      <c r="H45" s="30" t="s">
        <v>327</v>
      </c>
      <c r="I45" s="35"/>
      <c r="J45" s="35"/>
      <c r="K45" s="30">
        <v>2500.0</v>
      </c>
      <c r="L45" s="31">
        <v>46213.0</v>
      </c>
      <c r="M45" s="30" t="s">
        <v>188</v>
      </c>
      <c r="N45" s="32" t="s">
        <v>75</v>
      </c>
      <c r="O45" s="30" t="s">
        <v>76</v>
      </c>
      <c r="P45" s="30" t="s">
        <v>41</v>
      </c>
      <c r="Q45" s="20"/>
      <c r="R45" s="33">
        <v>45756.0</v>
      </c>
      <c r="S45" s="30" t="s">
        <v>328</v>
      </c>
      <c r="T45" s="35"/>
      <c r="U45" s="35"/>
      <c r="V45" s="38">
        <v>16149.0</v>
      </c>
      <c r="W45" s="38">
        <v>16969.0</v>
      </c>
      <c r="X45" s="30">
        <v>11000.0</v>
      </c>
      <c r="Y45" s="30">
        <v>11000.0</v>
      </c>
      <c r="Z45" s="16">
        <f t="shared" si="1"/>
        <v>5969</v>
      </c>
      <c r="AA45" s="17">
        <f t="shared" si="2"/>
        <v>0</v>
      </c>
      <c r="AB45" s="30" t="s">
        <v>42</v>
      </c>
      <c r="AC45" s="20" t="s">
        <v>329</v>
      </c>
      <c r="AD45" s="23"/>
      <c r="AE45" s="23"/>
    </row>
    <row r="46">
      <c r="A46" s="19">
        <v>44.0</v>
      </c>
      <c r="B46" s="31">
        <v>45848.0</v>
      </c>
      <c r="C46" s="20" t="s">
        <v>330</v>
      </c>
      <c r="D46" s="20" t="s">
        <v>331</v>
      </c>
      <c r="E46" s="30" t="s">
        <v>51</v>
      </c>
      <c r="F46" s="20" t="s">
        <v>332</v>
      </c>
      <c r="G46" s="20" t="s">
        <v>333</v>
      </c>
      <c r="H46" s="30" t="s">
        <v>334</v>
      </c>
      <c r="I46" s="30" t="s">
        <v>335</v>
      </c>
      <c r="J46" s="30"/>
      <c r="K46" s="30">
        <v>2880.0</v>
      </c>
      <c r="L46" s="31">
        <v>46213.0</v>
      </c>
      <c r="M46" s="30" t="s">
        <v>188</v>
      </c>
      <c r="N46" s="32" t="s">
        <v>39</v>
      </c>
      <c r="O46" s="30" t="s">
        <v>76</v>
      </c>
      <c r="P46" s="30" t="s">
        <v>41</v>
      </c>
      <c r="Q46" s="20"/>
      <c r="R46" s="30" t="s">
        <v>336</v>
      </c>
      <c r="S46" s="33">
        <v>45144.0</v>
      </c>
      <c r="T46" s="35"/>
      <c r="U46" s="35"/>
      <c r="V46" s="38">
        <v>17729.0</v>
      </c>
      <c r="W46" s="38">
        <v>18834.0</v>
      </c>
      <c r="X46" s="30">
        <v>13500.0</v>
      </c>
      <c r="Y46" s="30">
        <v>13500.0</v>
      </c>
      <c r="Z46" s="16">
        <f t="shared" si="1"/>
        <v>5334</v>
      </c>
      <c r="AA46" s="17">
        <f t="shared" si="2"/>
        <v>0</v>
      </c>
      <c r="AB46" s="30" t="s">
        <v>42</v>
      </c>
      <c r="AC46" s="20" t="s">
        <v>337</v>
      </c>
      <c r="AD46" s="23"/>
      <c r="AE46" s="23"/>
    </row>
    <row r="47">
      <c r="A47" s="19">
        <v>45.0</v>
      </c>
      <c r="B47" s="31">
        <v>45848.0</v>
      </c>
      <c r="C47" s="20" t="s">
        <v>338</v>
      </c>
      <c r="D47" s="20" t="s">
        <v>339</v>
      </c>
      <c r="E47" s="30" t="s">
        <v>51</v>
      </c>
      <c r="F47" s="20" t="s">
        <v>340</v>
      </c>
      <c r="G47" s="20" t="s">
        <v>341</v>
      </c>
      <c r="H47" s="30" t="s">
        <v>342</v>
      </c>
      <c r="I47" s="35"/>
      <c r="J47" s="35"/>
      <c r="K47" s="30">
        <v>2620.0</v>
      </c>
      <c r="L47" s="31">
        <v>46213.0</v>
      </c>
      <c r="M47" s="30" t="s">
        <v>188</v>
      </c>
      <c r="N47" s="32" t="s">
        <v>39</v>
      </c>
      <c r="O47" s="30" t="s">
        <v>76</v>
      </c>
      <c r="P47" s="30" t="s">
        <v>41</v>
      </c>
      <c r="Q47" s="20"/>
      <c r="R47" s="33">
        <v>45910.0</v>
      </c>
      <c r="S47" s="30" t="s">
        <v>291</v>
      </c>
      <c r="T47" s="35"/>
      <c r="U47" s="35"/>
      <c r="V47" s="38">
        <v>17495.0</v>
      </c>
      <c r="W47" s="38">
        <v>18558.0</v>
      </c>
      <c r="X47" s="30">
        <v>12588.0</v>
      </c>
      <c r="Y47" s="30">
        <v>13000.0</v>
      </c>
      <c r="Z47" s="16">
        <f t="shared" si="1"/>
        <v>5558</v>
      </c>
      <c r="AA47" s="17">
        <f t="shared" si="2"/>
        <v>412</v>
      </c>
      <c r="AB47" s="30" t="s">
        <v>42</v>
      </c>
      <c r="AC47" s="20" t="s">
        <v>343</v>
      </c>
      <c r="AD47" s="23"/>
      <c r="AE47" s="23"/>
    </row>
    <row r="48">
      <c r="A48" s="19">
        <v>46.0</v>
      </c>
      <c r="B48" s="31">
        <v>45848.0</v>
      </c>
      <c r="C48" s="20" t="s">
        <v>344</v>
      </c>
      <c r="D48" s="20" t="s">
        <v>345</v>
      </c>
      <c r="E48" s="30" t="s">
        <v>98</v>
      </c>
      <c r="F48" s="20" t="s">
        <v>289</v>
      </c>
      <c r="G48" s="20" t="s">
        <v>346</v>
      </c>
      <c r="H48" s="30">
        <v>8.128110812E9</v>
      </c>
      <c r="I48" s="30">
        <v>9.724860034E9</v>
      </c>
      <c r="J48" s="30"/>
      <c r="K48" s="30">
        <v>42000.0</v>
      </c>
      <c r="L48" s="31">
        <v>46152.0</v>
      </c>
      <c r="M48" s="30" t="s">
        <v>55</v>
      </c>
      <c r="N48" s="32" t="s">
        <v>39</v>
      </c>
      <c r="O48" s="30" t="s">
        <v>47</v>
      </c>
      <c r="P48" s="30" t="s">
        <v>57</v>
      </c>
      <c r="Q48" s="20"/>
      <c r="R48" s="34">
        <v>46003.0</v>
      </c>
      <c r="S48" s="30" t="s">
        <v>347</v>
      </c>
      <c r="T48" s="30" t="s">
        <v>348</v>
      </c>
      <c r="U48" s="30" t="s">
        <v>349</v>
      </c>
      <c r="V48" s="38">
        <v>48338.0</v>
      </c>
      <c r="W48" s="38">
        <v>51287.0</v>
      </c>
      <c r="X48" s="30">
        <v>45487.0</v>
      </c>
      <c r="Y48" s="30">
        <v>47000.0</v>
      </c>
      <c r="Z48" s="16">
        <f t="shared" si="1"/>
        <v>4287</v>
      </c>
      <c r="AA48" s="17">
        <f t="shared" si="2"/>
        <v>1513</v>
      </c>
      <c r="AB48" s="30" t="s">
        <v>42</v>
      </c>
      <c r="AC48" s="20" t="s">
        <v>350</v>
      </c>
      <c r="AD48" s="23"/>
      <c r="AE48" s="23"/>
    </row>
    <row r="49">
      <c r="A49" s="19">
        <v>47.0</v>
      </c>
      <c r="B49" s="31">
        <v>45848.0</v>
      </c>
      <c r="C49" s="20" t="s">
        <v>351</v>
      </c>
      <c r="D49" s="20" t="s">
        <v>352</v>
      </c>
      <c r="E49" s="30" t="s">
        <v>98</v>
      </c>
      <c r="F49" s="20" t="s">
        <v>320</v>
      </c>
      <c r="G49" s="20" t="s">
        <v>353</v>
      </c>
      <c r="H49" s="30">
        <v>9.033333157E9</v>
      </c>
      <c r="I49" s="30">
        <v>6.351000398E9</v>
      </c>
      <c r="J49" s="30"/>
      <c r="K49" s="30">
        <v>12990.0</v>
      </c>
      <c r="L49" s="31">
        <v>46183.0</v>
      </c>
      <c r="M49" s="30" t="s">
        <v>55</v>
      </c>
      <c r="N49" s="32" t="s">
        <v>39</v>
      </c>
      <c r="O49" s="30" t="s">
        <v>47</v>
      </c>
      <c r="P49" s="30" t="s">
        <v>57</v>
      </c>
      <c r="Q49" s="20"/>
      <c r="R49" s="30" t="s">
        <v>133</v>
      </c>
      <c r="S49" s="30" t="s">
        <v>354</v>
      </c>
      <c r="T49" s="30" t="s">
        <v>355</v>
      </c>
      <c r="U49" s="35"/>
      <c r="V49" s="38">
        <v>37720.0</v>
      </c>
      <c r="W49" s="38">
        <v>39919.0</v>
      </c>
      <c r="X49" s="30">
        <v>35479.0</v>
      </c>
      <c r="Y49" s="30">
        <v>32500.0</v>
      </c>
      <c r="Z49" s="16">
        <f t="shared" si="1"/>
        <v>7419</v>
      </c>
      <c r="AA49" s="17">
        <f t="shared" si="2"/>
        <v>-2979</v>
      </c>
      <c r="AB49" s="30" t="s">
        <v>42</v>
      </c>
      <c r="AC49" s="20" t="s">
        <v>356</v>
      </c>
      <c r="AD49" s="23"/>
      <c r="AE49" s="23"/>
    </row>
    <row r="50">
      <c r="A50" s="19">
        <v>48.0</v>
      </c>
      <c r="B50" s="31">
        <v>45848.0</v>
      </c>
      <c r="C50" s="20" t="s">
        <v>357</v>
      </c>
      <c r="D50" s="20" t="s">
        <v>358</v>
      </c>
      <c r="E50" s="30" t="s">
        <v>34</v>
      </c>
      <c r="F50" s="20" t="s">
        <v>35</v>
      </c>
      <c r="G50" s="20" t="s">
        <v>359</v>
      </c>
      <c r="H50" s="30">
        <v>8.780034579E9</v>
      </c>
      <c r="I50" s="30">
        <v>7.069899084E9</v>
      </c>
      <c r="J50" s="30"/>
      <c r="K50" s="30">
        <v>236.0</v>
      </c>
      <c r="L50" s="31">
        <v>46244.0</v>
      </c>
      <c r="M50" s="30" t="s">
        <v>38</v>
      </c>
      <c r="N50" s="32" t="s">
        <v>39</v>
      </c>
      <c r="O50" s="30" t="s">
        <v>127</v>
      </c>
      <c r="P50" s="30" t="s">
        <v>41</v>
      </c>
      <c r="Q50" s="20"/>
      <c r="R50" s="33">
        <v>46244.0</v>
      </c>
      <c r="S50" s="33">
        <v>45879.0</v>
      </c>
      <c r="T50" s="30" t="s">
        <v>271</v>
      </c>
      <c r="U50" s="35"/>
      <c r="V50" s="30">
        <v>6448.0</v>
      </c>
      <c r="W50" s="30">
        <v>7609.0</v>
      </c>
      <c r="X50" s="30">
        <v>6500.0</v>
      </c>
      <c r="Y50" s="30">
        <v>6500.0</v>
      </c>
      <c r="Z50" s="26">
        <f t="shared" si="1"/>
        <v>1109</v>
      </c>
      <c r="AA50" s="17">
        <f t="shared" si="2"/>
        <v>0</v>
      </c>
      <c r="AB50" s="30" t="s">
        <v>42</v>
      </c>
      <c r="AC50" s="20" t="s">
        <v>360</v>
      </c>
      <c r="AD50" s="23"/>
      <c r="AE50" s="23"/>
    </row>
    <row r="51">
      <c r="A51" s="19">
        <v>49.0</v>
      </c>
      <c r="B51" s="31">
        <v>45848.0</v>
      </c>
      <c r="C51" s="20" t="s">
        <v>361</v>
      </c>
      <c r="D51" s="39" t="s">
        <v>362</v>
      </c>
      <c r="E51" s="30" t="s">
        <v>90</v>
      </c>
      <c r="F51" s="20" t="s">
        <v>363</v>
      </c>
      <c r="G51" s="20" t="s">
        <v>364</v>
      </c>
      <c r="H51" s="30">
        <v>9.712727145E9</v>
      </c>
      <c r="I51" s="30">
        <v>9.727226317E9</v>
      </c>
      <c r="J51" s="30"/>
      <c r="K51" s="35"/>
      <c r="L51" s="31">
        <v>46183.0</v>
      </c>
      <c r="M51" s="30" t="s">
        <v>38</v>
      </c>
      <c r="N51" s="32" t="s">
        <v>39</v>
      </c>
      <c r="O51" s="30" t="s">
        <v>165</v>
      </c>
      <c r="P51" s="30" t="s">
        <v>41</v>
      </c>
      <c r="Q51" s="20"/>
      <c r="R51" s="33">
        <v>46183.0</v>
      </c>
      <c r="S51" s="35"/>
      <c r="T51" s="35"/>
      <c r="U51" s="35"/>
      <c r="V51" s="30">
        <v>6668.0</v>
      </c>
      <c r="W51" s="30">
        <v>7285.0</v>
      </c>
      <c r="X51" s="30">
        <v>5000.0</v>
      </c>
      <c r="Y51" s="30">
        <v>5000.0</v>
      </c>
      <c r="Z51" s="26">
        <f t="shared" si="1"/>
        <v>2285</v>
      </c>
      <c r="AA51" s="17">
        <f t="shared" si="2"/>
        <v>0</v>
      </c>
      <c r="AB51" s="30" t="s">
        <v>42</v>
      </c>
      <c r="AC51" s="20" t="s">
        <v>365</v>
      </c>
      <c r="AD51" s="23"/>
      <c r="AE51" s="23"/>
    </row>
    <row r="52">
      <c r="A52" s="19">
        <v>50.0</v>
      </c>
      <c r="B52" s="31">
        <v>45848.0</v>
      </c>
      <c r="C52" s="20" t="s">
        <v>366</v>
      </c>
      <c r="D52" s="39" t="s">
        <v>367</v>
      </c>
      <c r="E52" s="30" t="s">
        <v>51</v>
      </c>
      <c r="F52" s="20" t="s">
        <v>368</v>
      </c>
      <c r="G52" s="20" t="s">
        <v>369</v>
      </c>
      <c r="H52" s="30">
        <v>9.316345842E9</v>
      </c>
      <c r="I52" s="30">
        <v>6.355145842E9</v>
      </c>
      <c r="J52" s="30"/>
      <c r="K52" s="30">
        <v>2735.0</v>
      </c>
      <c r="L52" s="31">
        <v>46213.0</v>
      </c>
      <c r="M52" s="30" t="s">
        <v>38</v>
      </c>
      <c r="N52" s="32" t="s">
        <v>39</v>
      </c>
      <c r="O52" s="30" t="s">
        <v>221</v>
      </c>
      <c r="P52" s="30" t="s">
        <v>41</v>
      </c>
      <c r="Q52" s="20"/>
      <c r="R52" s="33">
        <v>46244.0</v>
      </c>
      <c r="S52" s="33">
        <v>45879.0</v>
      </c>
      <c r="T52" s="35"/>
      <c r="U52" s="35"/>
      <c r="V52" s="30">
        <v>20882.0</v>
      </c>
      <c r="W52" s="30">
        <v>22554.0</v>
      </c>
      <c r="X52" s="30">
        <v>15276.0</v>
      </c>
      <c r="Y52" s="30">
        <v>15300.0</v>
      </c>
      <c r="Z52" s="26">
        <f t="shared" si="1"/>
        <v>7254</v>
      </c>
      <c r="AA52" s="17">
        <f t="shared" si="2"/>
        <v>24</v>
      </c>
      <c r="AB52" s="30" t="s">
        <v>42</v>
      </c>
      <c r="AC52" s="20" t="s">
        <v>370</v>
      </c>
      <c r="AD52" s="23"/>
      <c r="AE52" s="23"/>
    </row>
    <row r="53">
      <c r="A53" s="19">
        <v>51.0</v>
      </c>
      <c r="B53" s="31">
        <v>45848.0</v>
      </c>
      <c r="C53" s="20" t="s">
        <v>371</v>
      </c>
      <c r="D53" s="39" t="s">
        <v>372</v>
      </c>
      <c r="E53" s="30" t="s">
        <v>51</v>
      </c>
      <c r="F53" s="20" t="s">
        <v>373</v>
      </c>
      <c r="G53" s="20" t="s">
        <v>374</v>
      </c>
      <c r="H53" s="30">
        <v>7.043587583E9</v>
      </c>
      <c r="I53" s="30" t="s">
        <v>375</v>
      </c>
      <c r="J53" s="30"/>
      <c r="K53" s="30">
        <v>2750.0</v>
      </c>
      <c r="L53" s="31">
        <v>46213.0</v>
      </c>
      <c r="M53" s="30" t="s">
        <v>188</v>
      </c>
      <c r="N53" s="32" t="s">
        <v>39</v>
      </c>
      <c r="O53" s="30" t="s">
        <v>47</v>
      </c>
      <c r="P53" s="30" t="s">
        <v>41</v>
      </c>
      <c r="Q53" s="20"/>
      <c r="R53" s="33">
        <v>46275.0</v>
      </c>
      <c r="S53" s="33">
        <v>46207.0</v>
      </c>
      <c r="T53" s="35"/>
      <c r="U53" s="35"/>
      <c r="V53" s="38">
        <v>17210.0</v>
      </c>
      <c r="W53" s="38">
        <v>18222.0</v>
      </c>
      <c r="X53" s="30">
        <v>12387.0</v>
      </c>
      <c r="Y53" s="30">
        <v>12500.0</v>
      </c>
      <c r="Z53" s="16">
        <f t="shared" si="1"/>
        <v>5722</v>
      </c>
      <c r="AA53" s="17">
        <f t="shared" si="2"/>
        <v>113</v>
      </c>
      <c r="AB53" s="30" t="s">
        <v>42</v>
      </c>
      <c r="AC53" s="20" t="s">
        <v>376</v>
      </c>
      <c r="AD53" s="23"/>
      <c r="AE53" s="23"/>
    </row>
    <row r="54">
      <c r="A54" s="19">
        <v>52.0</v>
      </c>
      <c r="B54" s="31">
        <v>45879.0</v>
      </c>
      <c r="C54" s="20" t="s">
        <v>377</v>
      </c>
      <c r="D54" s="39" t="s">
        <v>378</v>
      </c>
      <c r="E54" s="30" t="s">
        <v>34</v>
      </c>
      <c r="F54" s="20" t="s">
        <v>35</v>
      </c>
      <c r="G54" s="20" t="s">
        <v>379</v>
      </c>
      <c r="H54" s="30">
        <v>9.925742035E9</v>
      </c>
      <c r="I54" s="35"/>
      <c r="J54" s="35"/>
      <c r="K54" s="30">
        <v>236.0</v>
      </c>
      <c r="L54" s="30" t="s">
        <v>380</v>
      </c>
      <c r="M54" s="30" t="s">
        <v>38</v>
      </c>
      <c r="N54" s="32" t="s">
        <v>39</v>
      </c>
      <c r="O54" s="30" t="s">
        <v>165</v>
      </c>
      <c r="P54" s="30" t="s">
        <v>41</v>
      </c>
      <c r="Q54" s="20"/>
      <c r="R54" s="30" t="s">
        <v>381</v>
      </c>
      <c r="S54" s="30" t="s">
        <v>382</v>
      </c>
      <c r="T54" s="30" t="s">
        <v>383</v>
      </c>
      <c r="U54" s="35"/>
      <c r="V54" s="30">
        <v>6448.0</v>
      </c>
      <c r="W54" s="30">
        <v>7609.0</v>
      </c>
      <c r="X54" s="30">
        <v>6500.0</v>
      </c>
      <c r="Y54" s="30">
        <v>6500.0</v>
      </c>
      <c r="Z54" s="26">
        <f t="shared" si="1"/>
        <v>1109</v>
      </c>
      <c r="AA54" s="17">
        <f t="shared" si="2"/>
        <v>0</v>
      </c>
      <c r="AB54" s="30" t="s">
        <v>42</v>
      </c>
      <c r="AC54" s="20" t="s">
        <v>384</v>
      </c>
      <c r="AD54" s="23"/>
      <c r="AE54" s="23"/>
    </row>
    <row r="55">
      <c r="A55" s="19">
        <v>53.0</v>
      </c>
      <c r="B55" s="31">
        <v>45879.0</v>
      </c>
      <c r="C55" s="20" t="s">
        <v>385</v>
      </c>
      <c r="D55" s="39">
        <v>7.75522523340001E17</v>
      </c>
      <c r="E55" s="30" t="s">
        <v>51</v>
      </c>
      <c r="F55" s="20" t="s">
        <v>386</v>
      </c>
      <c r="G55" s="20" t="s">
        <v>387</v>
      </c>
      <c r="H55" s="30">
        <v>9.92546587E9</v>
      </c>
      <c r="I55" s="30">
        <v>9.90919277E9</v>
      </c>
      <c r="J55" s="30"/>
      <c r="K55" s="30">
        <v>1426.0</v>
      </c>
      <c r="L55" s="31">
        <v>46244.0</v>
      </c>
      <c r="M55" s="30" t="s">
        <v>55</v>
      </c>
      <c r="N55" s="32" t="s">
        <v>39</v>
      </c>
      <c r="O55" s="30" t="s">
        <v>47</v>
      </c>
      <c r="P55" s="30" t="s">
        <v>57</v>
      </c>
      <c r="Q55" s="20"/>
      <c r="R55" s="30" t="s">
        <v>388</v>
      </c>
      <c r="S55" s="34">
        <v>46002.0</v>
      </c>
      <c r="T55" s="35"/>
      <c r="U55" s="35"/>
      <c r="V55" s="38">
        <v>16988.0</v>
      </c>
      <c r="W55" s="38">
        <v>17960.0</v>
      </c>
      <c r="X55" s="30">
        <v>12318.0</v>
      </c>
      <c r="Y55" s="30">
        <v>12500.0</v>
      </c>
      <c r="Z55" s="16">
        <f t="shared" si="1"/>
        <v>5460</v>
      </c>
      <c r="AA55" s="17">
        <f t="shared" si="2"/>
        <v>182</v>
      </c>
      <c r="AB55" s="30" t="s">
        <v>42</v>
      </c>
      <c r="AC55" s="20" t="s">
        <v>389</v>
      </c>
      <c r="AD55" s="23"/>
      <c r="AE55" s="23"/>
    </row>
    <row r="56">
      <c r="A56" s="19">
        <v>54.0</v>
      </c>
      <c r="B56" s="31">
        <v>45879.0</v>
      </c>
      <c r="C56" s="20" t="s">
        <v>390</v>
      </c>
      <c r="D56" s="39" t="s">
        <v>391</v>
      </c>
      <c r="E56" s="30" t="s">
        <v>51</v>
      </c>
      <c r="F56" s="20" t="s">
        <v>392</v>
      </c>
      <c r="G56" s="20" t="s">
        <v>393</v>
      </c>
      <c r="H56" s="30" t="s">
        <v>394</v>
      </c>
      <c r="I56" s="30">
        <v>8.000030055E9</v>
      </c>
      <c r="J56" s="30"/>
      <c r="K56" s="30">
        <v>3490.0</v>
      </c>
      <c r="L56" s="31">
        <v>46213.0</v>
      </c>
      <c r="M56" s="30" t="s">
        <v>228</v>
      </c>
      <c r="N56" s="32" t="s">
        <v>39</v>
      </c>
      <c r="O56" s="30" t="s">
        <v>76</v>
      </c>
      <c r="P56" s="30" t="s">
        <v>41</v>
      </c>
      <c r="Q56" s="20"/>
      <c r="R56" s="33">
        <v>46026.0</v>
      </c>
      <c r="S56" s="30" t="s">
        <v>395</v>
      </c>
      <c r="T56" s="30" t="s">
        <v>396</v>
      </c>
      <c r="U56" s="35"/>
      <c r="V56" s="38">
        <v>23423.0</v>
      </c>
      <c r="W56" s="38">
        <v>25553.0</v>
      </c>
      <c r="X56" s="30">
        <v>19000.0</v>
      </c>
      <c r="Y56" s="30">
        <v>19000.0</v>
      </c>
      <c r="Z56" s="16">
        <f t="shared" si="1"/>
        <v>6553</v>
      </c>
      <c r="AA56" s="17">
        <f t="shared" si="2"/>
        <v>0</v>
      </c>
      <c r="AB56" s="30" t="s">
        <v>42</v>
      </c>
      <c r="AC56" s="20" t="s">
        <v>397</v>
      </c>
      <c r="AD56" s="23"/>
      <c r="AE56" s="23"/>
    </row>
    <row r="57">
      <c r="A57" s="19">
        <v>55.0</v>
      </c>
      <c r="B57" s="31">
        <v>45879.0</v>
      </c>
      <c r="C57" s="20" t="s">
        <v>398</v>
      </c>
      <c r="D57" s="39">
        <v>6.303432052E9</v>
      </c>
      <c r="E57" s="30" t="s">
        <v>399</v>
      </c>
      <c r="F57" s="20" t="s">
        <v>400</v>
      </c>
      <c r="G57" s="20" t="s">
        <v>401</v>
      </c>
      <c r="H57" s="30">
        <v>9.925355644E9</v>
      </c>
      <c r="I57" s="30">
        <v>9.979599588E9</v>
      </c>
      <c r="J57" s="30"/>
      <c r="K57" s="30">
        <v>1196.0</v>
      </c>
      <c r="L57" s="31">
        <v>46183.0</v>
      </c>
      <c r="M57" s="30" t="s">
        <v>180</v>
      </c>
      <c r="N57" s="32" t="s">
        <v>39</v>
      </c>
      <c r="O57" s="30" t="s">
        <v>47</v>
      </c>
      <c r="P57" s="30" t="s">
        <v>57</v>
      </c>
      <c r="Q57" s="20"/>
      <c r="R57" s="30" t="s">
        <v>402</v>
      </c>
      <c r="S57" s="30" t="s">
        <v>403</v>
      </c>
      <c r="T57" s="35"/>
      <c r="U57" s="35"/>
      <c r="V57" s="30">
        <v>9519.0</v>
      </c>
      <c r="W57" s="30">
        <v>11233.0</v>
      </c>
      <c r="X57" s="30">
        <v>10790.0</v>
      </c>
      <c r="Y57" s="30">
        <v>11000.0</v>
      </c>
      <c r="Z57" s="26">
        <f t="shared" si="1"/>
        <v>233</v>
      </c>
      <c r="AA57" s="17">
        <f t="shared" si="2"/>
        <v>210</v>
      </c>
      <c r="AB57" s="30" t="s">
        <v>42</v>
      </c>
      <c r="AC57" s="20" t="s">
        <v>404</v>
      </c>
      <c r="AD57" s="23"/>
      <c r="AE57" s="23"/>
    </row>
    <row r="58">
      <c r="A58" s="19">
        <v>56.0</v>
      </c>
      <c r="B58" s="31">
        <v>45879.0</v>
      </c>
      <c r="C58" s="20" t="s">
        <v>405</v>
      </c>
      <c r="D58" s="39" t="s">
        <v>406</v>
      </c>
      <c r="E58" s="30" t="s">
        <v>51</v>
      </c>
      <c r="F58" s="20" t="s">
        <v>407</v>
      </c>
      <c r="G58" s="20" t="s">
        <v>408</v>
      </c>
      <c r="H58" s="30">
        <v>8.200621223E9</v>
      </c>
      <c r="I58" s="30">
        <v>9.68708088E9</v>
      </c>
      <c r="J58" s="30"/>
      <c r="K58" s="30">
        <v>1600.0</v>
      </c>
      <c r="L58" s="31">
        <v>46213.0</v>
      </c>
      <c r="M58" s="30" t="s">
        <v>126</v>
      </c>
      <c r="N58" s="32" t="s">
        <v>39</v>
      </c>
      <c r="O58" s="30" t="s">
        <v>181</v>
      </c>
      <c r="P58" s="30" t="s">
        <v>41</v>
      </c>
      <c r="Q58" s="20"/>
      <c r="R58" s="30" t="s">
        <v>133</v>
      </c>
      <c r="S58" s="33">
        <v>46274.0</v>
      </c>
      <c r="T58" s="35"/>
      <c r="U58" s="35"/>
      <c r="V58" s="38">
        <v>20946.26</v>
      </c>
      <c r="W58" s="30">
        <v>22630.0</v>
      </c>
      <c r="X58" s="30">
        <v>14225.0</v>
      </c>
      <c r="Y58" s="30">
        <v>14200.0</v>
      </c>
      <c r="Z58" s="26">
        <f t="shared" si="1"/>
        <v>8430</v>
      </c>
      <c r="AA58" s="17">
        <f t="shared" si="2"/>
        <v>-25</v>
      </c>
      <c r="AB58" s="30" t="s">
        <v>42</v>
      </c>
      <c r="AC58" s="20" t="s">
        <v>409</v>
      </c>
      <c r="AD58" s="23"/>
      <c r="AE58" s="23"/>
    </row>
    <row r="59">
      <c r="A59" s="19">
        <v>57.0</v>
      </c>
      <c r="B59" s="31">
        <v>45879.0</v>
      </c>
      <c r="C59" s="20" t="s">
        <v>410</v>
      </c>
      <c r="D59" s="39" t="s">
        <v>411</v>
      </c>
      <c r="E59" s="30" t="s">
        <v>98</v>
      </c>
      <c r="F59" s="20" t="s">
        <v>289</v>
      </c>
      <c r="G59" s="20" t="s">
        <v>412</v>
      </c>
      <c r="H59" s="30">
        <v>9.879491349E9</v>
      </c>
      <c r="I59" s="30" t="s">
        <v>413</v>
      </c>
      <c r="J59" s="30"/>
      <c r="K59" s="30">
        <v>42000.0</v>
      </c>
      <c r="L59" s="31">
        <v>46183.0</v>
      </c>
      <c r="M59" s="30" t="s">
        <v>55</v>
      </c>
      <c r="N59" s="32" t="s">
        <v>39</v>
      </c>
      <c r="O59" s="30" t="s">
        <v>47</v>
      </c>
      <c r="P59" s="30" t="s">
        <v>57</v>
      </c>
      <c r="Q59" s="20"/>
      <c r="R59" s="30" t="s">
        <v>414</v>
      </c>
      <c r="S59" s="30" t="s">
        <v>69</v>
      </c>
      <c r="T59" s="33">
        <v>47699.0</v>
      </c>
      <c r="U59" s="33">
        <v>46238.0</v>
      </c>
      <c r="V59" s="38">
        <v>51024.0</v>
      </c>
      <c r="W59" s="38">
        <v>54457.0</v>
      </c>
      <c r="X59" s="30">
        <v>46779.0</v>
      </c>
      <c r="Y59" s="30">
        <v>47000.0</v>
      </c>
      <c r="Z59" s="16">
        <f t="shared" si="1"/>
        <v>7457</v>
      </c>
      <c r="AA59" s="17">
        <f t="shared" si="2"/>
        <v>221</v>
      </c>
      <c r="AB59" s="30" t="s">
        <v>42</v>
      </c>
      <c r="AC59" s="20" t="s">
        <v>415</v>
      </c>
      <c r="AD59" s="23"/>
      <c r="AE59" s="23"/>
    </row>
    <row r="60">
      <c r="A60" s="19">
        <v>58.0</v>
      </c>
      <c r="B60" s="31">
        <v>45879.0</v>
      </c>
      <c r="C60" s="20" t="s">
        <v>416</v>
      </c>
      <c r="D60" s="20" t="s">
        <v>417</v>
      </c>
      <c r="E60" s="30" t="s">
        <v>63</v>
      </c>
      <c r="F60" s="20" t="s">
        <v>418</v>
      </c>
      <c r="G60" s="20" t="s">
        <v>419</v>
      </c>
      <c r="H60" s="30">
        <v>8.128208978E9</v>
      </c>
      <c r="I60" s="30">
        <v>9.904663429E9</v>
      </c>
      <c r="J60" s="30"/>
      <c r="K60" s="30">
        <v>998.0</v>
      </c>
      <c r="L60" s="31">
        <v>46275.0</v>
      </c>
      <c r="M60" s="30" t="s">
        <v>237</v>
      </c>
      <c r="N60" s="32" t="s">
        <v>75</v>
      </c>
      <c r="O60" s="30" t="s">
        <v>40</v>
      </c>
      <c r="P60" s="30" t="s">
        <v>67</v>
      </c>
      <c r="Q60" s="20"/>
      <c r="R60" s="33">
        <v>47735.0</v>
      </c>
      <c r="S60" s="33">
        <v>45788.0</v>
      </c>
      <c r="T60" s="35"/>
      <c r="U60" s="33">
        <v>46238.0</v>
      </c>
      <c r="V60" s="38">
        <v>2094.0</v>
      </c>
      <c r="W60" s="38">
        <v>2471.0</v>
      </c>
      <c r="X60" s="30">
        <v>2500.0</v>
      </c>
      <c r="Y60" s="30">
        <v>2500.0</v>
      </c>
      <c r="Z60" s="16">
        <f t="shared" si="1"/>
        <v>-29</v>
      </c>
      <c r="AA60" s="17">
        <f t="shared" si="2"/>
        <v>0</v>
      </c>
      <c r="AB60" s="30" t="s">
        <v>42</v>
      </c>
      <c r="AC60" s="20" t="s">
        <v>420</v>
      </c>
      <c r="AD60" s="23"/>
      <c r="AE60" s="23"/>
    </row>
    <row r="61">
      <c r="A61" s="19">
        <v>59.0</v>
      </c>
      <c r="B61" s="31">
        <v>45879.0</v>
      </c>
      <c r="C61" s="20" t="s">
        <v>421</v>
      </c>
      <c r="D61" s="20" t="s">
        <v>422</v>
      </c>
      <c r="E61" s="30" t="s">
        <v>51</v>
      </c>
      <c r="F61" s="20" t="s">
        <v>423</v>
      </c>
      <c r="G61" s="20" t="s">
        <v>424</v>
      </c>
      <c r="H61" s="30">
        <v>9.82528187E9</v>
      </c>
      <c r="I61" s="30">
        <v>9.72438187E9</v>
      </c>
      <c r="J61" s="30"/>
      <c r="K61" s="30">
        <v>3895.0</v>
      </c>
      <c r="L61" s="31">
        <v>46244.0</v>
      </c>
      <c r="M61" s="30" t="s">
        <v>228</v>
      </c>
      <c r="N61" s="32" t="s">
        <v>39</v>
      </c>
      <c r="O61" s="30" t="s">
        <v>213</v>
      </c>
      <c r="P61" s="30" t="s">
        <v>41</v>
      </c>
      <c r="Q61" s="20"/>
      <c r="R61" s="34">
        <v>46305.0</v>
      </c>
      <c r="S61" s="33">
        <v>46244.0</v>
      </c>
      <c r="T61" s="30" t="s">
        <v>425</v>
      </c>
      <c r="U61" s="35"/>
      <c r="V61" s="38">
        <v>23385.0</v>
      </c>
      <c r="W61" s="38">
        <v>25508.0</v>
      </c>
      <c r="X61" s="30">
        <v>21154.0</v>
      </c>
      <c r="Y61" s="30">
        <v>21000.0</v>
      </c>
      <c r="Z61" s="16">
        <f t="shared" si="1"/>
        <v>4508</v>
      </c>
      <c r="AA61" s="17">
        <f t="shared" si="2"/>
        <v>-154</v>
      </c>
      <c r="AB61" s="30" t="s">
        <v>42</v>
      </c>
      <c r="AC61" s="20" t="s">
        <v>426</v>
      </c>
      <c r="AD61" s="20"/>
      <c r="AE61" s="23"/>
    </row>
    <row r="62">
      <c r="A62" s="19">
        <v>60.0</v>
      </c>
      <c r="B62" s="31">
        <v>45879.0</v>
      </c>
      <c r="C62" s="20" t="s">
        <v>427</v>
      </c>
      <c r="D62" s="20" t="s">
        <v>428</v>
      </c>
      <c r="E62" s="30" t="s">
        <v>63</v>
      </c>
      <c r="F62" s="20" t="s">
        <v>429</v>
      </c>
      <c r="G62" s="20" t="s">
        <v>430</v>
      </c>
      <c r="H62" s="30">
        <v>9.727013896E9</v>
      </c>
      <c r="I62" s="30">
        <v>9.978341225E9</v>
      </c>
      <c r="J62" s="30"/>
      <c r="K62" s="30">
        <v>1196.0</v>
      </c>
      <c r="L62" s="31">
        <v>46244.0</v>
      </c>
      <c r="M62" s="30" t="s">
        <v>237</v>
      </c>
      <c r="N62" s="32" t="s">
        <v>75</v>
      </c>
      <c r="O62" s="30" t="s">
        <v>47</v>
      </c>
      <c r="P62" s="30" t="s">
        <v>67</v>
      </c>
      <c r="Q62" s="20"/>
      <c r="R62" s="34">
        <v>47402.0</v>
      </c>
      <c r="S62" s="33">
        <v>45667.0</v>
      </c>
      <c r="T62" s="35"/>
      <c r="U62" s="35"/>
      <c r="V62" s="30">
        <v>3476.0</v>
      </c>
      <c r="W62" s="30">
        <v>4102.0</v>
      </c>
      <c r="X62" s="30">
        <v>4000.0</v>
      </c>
      <c r="Y62" s="30">
        <v>4000.0</v>
      </c>
      <c r="Z62" s="26">
        <f t="shared" si="1"/>
        <v>102</v>
      </c>
      <c r="AA62" s="17">
        <f t="shared" si="2"/>
        <v>0</v>
      </c>
      <c r="AB62" s="30" t="s">
        <v>42</v>
      </c>
      <c r="AC62" s="20" t="s">
        <v>431</v>
      </c>
      <c r="AD62" s="20"/>
      <c r="AE62" s="23"/>
    </row>
    <row r="63">
      <c r="A63" s="19">
        <v>61.0</v>
      </c>
      <c r="B63" s="31">
        <v>45910.0</v>
      </c>
      <c r="C63" s="20" t="s">
        <v>432</v>
      </c>
      <c r="D63" s="20" t="s">
        <v>433</v>
      </c>
      <c r="E63" s="30" t="s">
        <v>51</v>
      </c>
      <c r="F63" s="20" t="s">
        <v>434</v>
      </c>
      <c r="G63" s="20" t="s">
        <v>435</v>
      </c>
      <c r="H63" s="30" t="s">
        <v>436</v>
      </c>
      <c r="I63" s="30" t="s">
        <v>437</v>
      </c>
      <c r="J63" s="30"/>
      <c r="K63" s="30">
        <v>1600.0</v>
      </c>
      <c r="L63" s="31">
        <v>46244.0</v>
      </c>
      <c r="M63" s="30" t="s">
        <v>55</v>
      </c>
      <c r="N63" s="32" t="s">
        <v>39</v>
      </c>
      <c r="O63" s="30" t="s">
        <v>213</v>
      </c>
      <c r="P63" s="30" t="s">
        <v>438</v>
      </c>
      <c r="Q63" s="20"/>
      <c r="R63" s="33">
        <v>46640.0</v>
      </c>
      <c r="S63" s="33">
        <v>46244.0</v>
      </c>
      <c r="T63" s="35"/>
      <c r="U63" s="35"/>
      <c r="V63" s="38">
        <v>17325.0</v>
      </c>
      <c r="W63" s="38">
        <v>18357.0</v>
      </c>
      <c r="X63" s="30">
        <v>12590.0</v>
      </c>
      <c r="Y63" s="30">
        <v>12500.0</v>
      </c>
      <c r="Z63" s="16">
        <f t="shared" si="1"/>
        <v>5857</v>
      </c>
      <c r="AA63" s="17">
        <f t="shared" si="2"/>
        <v>-90</v>
      </c>
      <c r="AB63" s="30" t="s">
        <v>42</v>
      </c>
      <c r="AC63" s="20" t="s">
        <v>439</v>
      </c>
      <c r="AD63" s="20"/>
      <c r="AE63" s="23"/>
    </row>
    <row r="64">
      <c r="A64" s="19">
        <v>62.0</v>
      </c>
      <c r="B64" s="31">
        <v>45910.0</v>
      </c>
      <c r="C64" s="20" t="s">
        <v>440</v>
      </c>
      <c r="D64" s="20" t="s">
        <v>441</v>
      </c>
      <c r="E64" s="30" t="s">
        <v>98</v>
      </c>
      <c r="F64" s="20" t="s">
        <v>442</v>
      </c>
      <c r="G64" s="20" t="s">
        <v>443</v>
      </c>
      <c r="H64" s="30">
        <v>9.712817003E9</v>
      </c>
      <c r="I64" s="30">
        <v>9.328105573E9</v>
      </c>
      <c r="J64" s="30"/>
      <c r="K64" s="30">
        <v>11990.0</v>
      </c>
      <c r="L64" s="31">
        <v>46213.0</v>
      </c>
      <c r="M64" s="30" t="s">
        <v>228</v>
      </c>
      <c r="N64" s="32" t="s">
        <v>39</v>
      </c>
      <c r="O64" s="30" t="s">
        <v>246</v>
      </c>
      <c r="P64" s="30" t="s">
        <v>41</v>
      </c>
      <c r="Q64" s="20"/>
      <c r="R64" s="30" t="s">
        <v>444</v>
      </c>
      <c r="S64" s="30" t="s">
        <v>445</v>
      </c>
      <c r="T64" s="33">
        <v>46999.0</v>
      </c>
      <c r="U64" s="35"/>
      <c r="V64" s="38">
        <v>30518.0</v>
      </c>
      <c r="W64" s="38">
        <v>32477.0</v>
      </c>
      <c r="X64" s="30">
        <v>28322.0</v>
      </c>
      <c r="Y64" s="30">
        <v>28000.0</v>
      </c>
      <c r="Z64" s="16">
        <f t="shared" si="1"/>
        <v>4477</v>
      </c>
      <c r="AA64" s="17">
        <f t="shared" si="2"/>
        <v>-322</v>
      </c>
      <c r="AB64" s="30" t="s">
        <v>42</v>
      </c>
      <c r="AC64" s="20" t="s">
        <v>446</v>
      </c>
      <c r="AD64" s="23"/>
      <c r="AE64" s="23"/>
    </row>
    <row r="65">
      <c r="A65" s="19">
        <v>63.0</v>
      </c>
      <c r="B65" s="31">
        <v>45910.0</v>
      </c>
      <c r="C65" s="20" t="s">
        <v>447</v>
      </c>
      <c r="D65" s="20" t="s">
        <v>448</v>
      </c>
      <c r="E65" s="30" t="s">
        <v>98</v>
      </c>
      <c r="F65" s="20" t="s">
        <v>449</v>
      </c>
      <c r="G65" s="20" t="s">
        <v>450</v>
      </c>
      <c r="H65" s="30">
        <v>7.069865002E9</v>
      </c>
      <c r="I65" s="35"/>
      <c r="J65" s="35"/>
      <c r="K65" s="30" t="s">
        <v>451</v>
      </c>
      <c r="L65" s="31">
        <v>46244.0</v>
      </c>
      <c r="M65" s="30" t="s">
        <v>452</v>
      </c>
      <c r="N65" s="32" t="s">
        <v>39</v>
      </c>
      <c r="O65" s="30" t="s">
        <v>76</v>
      </c>
      <c r="P65" s="30" t="s">
        <v>453</v>
      </c>
      <c r="Q65" s="20"/>
      <c r="R65" s="33">
        <v>46609.0</v>
      </c>
      <c r="S65" s="33">
        <v>46244.0</v>
      </c>
      <c r="T65" s="33">
        <v>46852.0</v>
      </c>
      <c r="U65" s="35"/>
      <c r="V65" s="38">
        <v>38785.0</v>
      </c>
      <c r="W65" s="38">
        <v>41175.62</v>
      </c>
      <c r="X65" s="30">
        <v>35928.0</v>
      </c>
      <c r="Y65" s="30">
        <v>34000.0</v>
      </c>
      <c r="Z65" s="16">
        <f t="shared" si="1"/>
        <v>7175.62</v>
      </c>
      <c r="AA65" s="17">
        <f t="shared" si="2"/>
        <v>-1928</v>
      </c>
      <c r="AB65" s="30" t="s">
        <v>42</v>
      </c>
      <c r="AC65" s="20" t="s">
        <v>454</v>
      </c>
      <c r="AD65" s="23"/>
      <c r="AE65" s="23"/>
    </row>
    <row r="66">
      <c r="A66" s="19">
        <v>64.0</v>
      </c>
      <c r="B66" s="41">
        <v>45940.0</v>
      </c>
      <c r="C66" s="20" t="s">
        <v>455</v>
      </c>
      <c r="D66" s="20" t="s">
        <v>456</v>
      </c>
      <c r="E66" s="30" t="s">
        <v>51</v>
      </c>
      <c r="F66" s="20" t="s">
        <v>457</v>
      </c>
      <c r="G66" s="20" t="s">
        <v>458</v>
      </c>
      <c r="H66" s="30">
        <v>9.714707407E9</v>
      </c>
      <c r="I66" s="30">
        <v>8.460611126E9</v>
      </c>
      <c r="J66" s="30"/>
      <c r="K66" s="30">
        <v>1550.0</v>
      </c>
      <c r="L66" s="31">
        <v>46123.0</v>
      </c>
      <c r="M66" s="30" t="s">
        <v>55</v>
      </c>
      <c r="N66" s="32" t="s">
        <v>39</v>
      </c>
      <c r="O66" s="30" t="s">
        <v>213</v>
      </c>
      <c r="P66" s="30" t="s">
        <v>438</v>
      </c>
      <c r="Q66" s="20"/>
      <c r="R66" s="33">
        <v>46184.0</v>
      </c>
      <c r="S66" s="33">
        <v>45788.0</v>
      </c>
      <c r="T66" s="35"/>
      <c r="U66" s="35"/>
      <c r="V66" s="38">
        <v>17220.0</v>
      </c>
      <c r="W66" s="38">
        <v>18233.0</v>
      </c>
      <c r="X66" s="30">
        <v>12524.0</v>
      </c>
      <c r="Y66" s="30">
        <v>12800.0</v>
      </c>
      <c r="Z66" s="16">
        <f t="shared" si="1"/>
        <v>5433</v>
      </c>
      <c r="AA66" s="17">
        <f t="shared" si="2"/>
        <v>276</v>
      </c>
      <c r="AB66" s="30" t="s">
        <v>42</v>
      </c>
      <c r="AC66" s="20" t="s">
        <v>459</v>
      </c>
      <c r="AD66" s="23"/>
      <c r="AE66" s="23"/>
    </row>
    <row r="67">
      <c r="A67" s="19">
        <v>65.0</v>
      </c>
      <c r="B67" s="43">
        <v>45940.0</v>
      </c>
      <c r="C67" s="44" t="s">
        <v>460</v>
      </c>
      <c r="D67" s="44" t="s">
        <v>461</v>
      </c>
      <c r="E67" s="45" t="s">
        <v>98</v>
      </c>
      <c r="F67" s="44" t="s">
        <v>462</v>
      </c>
      <c r="G67" s="44" t="s">
        <v>463</v>
      </c>
      <c r="H67" s="45">
        <v>8.142088888E9</v>
      </c>
      <c r="I67" s="45">
        <v>7.984866481E9</v>
      </c>
      <c r="J67" s="45"/>
      <c r="K67" s="45">
        <v>35000.0</v>
      </c>
      <c r="L67" s="46">
        <v>46244.0</v>
      </c>
      <c r="M67" s="45" t="s">
        <v>126</v>
      </c>
      <c r="N67" s="47" t="s">
        <v>39</v>
      </c>
      <c r="O67" s="45" t="s">
        <v>47</v>
      </c>
      <c r="P67" s="45" t="s">
        <v>41</v>
      </c>
      <c r="Q67" s="44"/>
      <c r="R67" s="45" t="s">
        <v>464</v>
      </c>
      <c r="S67" s="48">
        <v>45972.0</v>
      </c>
      <c r="T67" s="45" t="s">
        <v>465</v>
      </c>
      <c r="U67" s="49"/>
      <c r="V67" s="50">
        <v>90873.96</v>
      </c>
      <c r="W67" s="45">
        <v>101518.0</v>
      </c>
      <c r="X67" s="45">
        <v>85967.0</v>
      </c>
      <c r="Y67" s="45">
        <v>86000.0</v>
      </c>
      <c r="Z67" s="51">
        <f t="shared" si="1"/>
        <v>15518</v>
      </c>
      <c r="AA67" s="17">
        <f t="shared" si="2"/>
        <v>33</v>
      </c>
      <c r="AB67" s="45" t="s">
        <v>42</v>
      </c>
      <c r="AC67" s="44" t="s">
        <v>466</v>
      </c>
      <c r="AD67" s="52"/>
      <c r="AE67" s="52"/>
      <c r="AF67" s="53"/>
      <c r="AG67" s="53"/>
    </row>
    <row r="68">
      <c r="A68" s="19">
        <v>66.0</v>
      </c>
      <c r="B68" s="43">
        <v>45940.0</v>
      </c>
      <c r="C68" s="44" t="s">
        <v>467</v>
      </c>
      <c r="D68" s="44" t="s">
        <v>468</v>
      </c>
      <c r="E68" s="45" t="s">
        <v>98</v>
      </c>
      <c r="F68" s="44" t="s">
        <v>469</v>
      </c>
      <c r="G68" s="44" t="s">
        <v>470</v>
      </c>
      <c r="H68" s="45">
        <v>9.586947033E9</v>
      </c>
      <c r="I68" s="45">
        <v>7.567583353E9</v>
      </c>
      <c r="J68" s="45"/>
      <c r="K68" s="45">
        <v>35000.0</v>
      </c>
      <c r="L68" s="43">
        <v>46305.0</v>
      </c>
      <c r="M68" s="45" t="s">
        <v>126</v>
      </c>
      <c r="N68" s="47" t="s">
        <v>39</v>
      </c>
      <c r="O68" s="45" t="s">
        <v>47</v>
      </c>
      <c r="P68" s="45" t="s">
        <v>41</v>
      </c>
      <c r="Q68" s="44"/>
      <c r="R68" s="45" t="s">
        <v>471</v>
      </c>
      <c r="S68" s="45" t="s">
        <v>472</v>
      </c>
      <c r="T68" s="54">
        <v>47159.0</v>
      </c>
      <c r="U68" s="54">
        <v>45698.0</v>
      </c>
      <c r="V68" s="50">
        <v>46773.6</v>
      </c>
      <c r="W68" s="45">
        <v>49479.0</v>
      </c>
      <c r="X68" s="45">
        <v>40512.0</v>
      </c>
      <c r="Y68" s="45">
        <v>42000.0</v>
      </c>
      <c r="Z68" s="51">
        <f t="shared" si="1"/>
        <v>7479</v>
      </c>
      <c r="AA68" s="17">
        <f t="shared" si="2"/>
        <v>1488</v>
      </c>
      <c r="AB68" s="45" t="s">
        <v>42</v>
      </c>
      <c r="AC68" s="44" t="s">
        <v>473</v>
      </c>
      <c r="AD68" s="52"/>
      <c r="AE68" s="52"/>
      <c r="AF68" s="53"/>
      <c r="AG68" s="53"/>
    </row>
    <row r="69">
      <c r="A69" s="19">
        <v>67.0</v>
      </c>
      <c r="B69" s="41">
        <v>45940.0</v>
      </c>
      <c r="C69" s="20" t="s">
        <v>474</v>
      </c>
      <c r="D69" s="20" t="s">
        <v>475</v>
      </c>
      <c r="E69" s="30" t="s">
        <v>51</v>
      </c>
      <c r="F69" s="20" t="s">
        <v>476</v>
      </c>
      <c r="G69" s="20" t="s">
        <v>477</v>
      </c>
      <c r="H69" s="30">
        <v>9.558844377E9</v>
      </c>
      <c r="I69" s="30">
        <v>9.648466762E9</v>
      </c>
      <c r="J69" s="30"/>
      <c r="K69" s="30">
        <v>3490.0</v>
      </c>
      <c r="L69" s="31">
        <v>46244.0</v>
      </c>
      <c r="M69" s="30" t="s">
        <v>126</v>
      </c>
      <c r="N69" s="32" t="s">
        <v>39</v>
      </c>
      <c r="O69" s="30" t="s">
        <v>56</v>
      </c>
      <c r="P69" s="30" t="s">
        <v>41</v>
      </c>
      <c r="Q69" s="30"/>
      <c r="R69" s="34">
        <v>46731.0</v>
      </c>
      <c r="S69" s="33">
        <v>46213.0</v>
      </c>
      <c r="T69" s="35"/>
      <c r="U69" s="33">
        <v>45698.0</v>
      </c>
      <c r="V69" s="38">
        <v>25549.96</v>
      </c>
      <c r="W69" s="30">
        <v>28063.0</v>
      </c>
      <c r="X69" s="30">
        <v>18511.0</v>
      </c>
      <c r="Y69" s="30">
        <v>18500.0</v>
      </c>
      <c r="Z69" s="26">
        <f t="shared" si="1"/>
        <v>9563</v>
      </c>
      <c r="AA69" s="17">
        <f t="shared" si="2"/>
        <v>-11</v>
      </c>
      <c r="AB69" s="30" t="s">
        <v>42</v>
      </c>
      <c r="AC69" s="20" t="s">
        <v>478</v>
      </c>
      <c r="AD69" s="23"/>
      <c r="AE69" s="23"/>
    </row>
    <row r="70">
      <c r="A70" s="19">
        <v>68.0</v>
      </c>
      <c r="B70" s="41">
        <v>45940.0</v>
      </c>
      <c r="C70" s="20" t="s">
        <v>479</v>
      </c>
      <c r="D70" s="20" t="s">
        <v>480</v>
      </c>
      <c r="E70" s="30" t="s">
        <v>51</v>
      </c>
      <c r="F70" s="20" t="s">
        <v>481</v>
      </c>
      <c r="G70" s="20" t="s">
        <v>482</v>
      </c>
      <c r="H70" s="30" t="s">
        <v>483</v>
      </c>
      <c r="I70" s="30">
        <v>9.965940651E9</v>
      </c>
      <c r="J70" s="30"/>
      <c r="K70" s="30">
        <v>3460.0</v>
      </c>
      <c r="L70" s="41">
        <v>46305.0</v>
      </c>
      <c r="M70" s="30" t="s">
        <v>484</v>
      </c>
      <c r="N70" s="32" t="s">
        <v>39</v>
      </c>
      <c r="O70" s="30" t="s">
        <v>221</v>
      </c>
      <c r="P70" s="30" t="s">
        <v>41</v>
      </c>
      <c r="Q70" s="20"/>
      <c r="R70" s="34">
        <v>46305.0</v>
      </c>
      <c r="S70" s="33">
        <v>46054.0</v>
      </c>
      <c r="T70" s="30" t="s">
        <v>485</v>
      </c>
      <c r="U70" s="35"/>
      <c r="V70" s="38">
        <v>22412.0</v>
      </c>
      <c r="W70" s="38">
        <v>24348.0</v>
      </c>
      <c r="X70" s="30">
        <v>17625.0</v>
      </c>
      <c r="Y70" s="30">
        <v>17500.0</v>
      </c>
      <c r="Z70" s="16">
        <f t="shared" si="1"/>
        <v>6848</v>
      </c>
      <c r="AA70" s="17">
        <f t="shared" si="2"/>
        <v>-125</v>
      </c>
      <c r="AB70" s="30" t="s">
        <v>42</v>
      </c>
      <c r="AC70" s="20" t="s">
        <v>486</v>
      </c>
      <c r="AD70" s="23"/>
      <c r="AE70" s="23"/>
    </row>
    <row r="71">
      <c r="A71" s="19">
        <v>69.0</v>
      </c>
      <c r="B71" s="41">
        <v>45940.0</v>
      </c>
      <c r="C71" s="20" t="s">
        <v>487</v>
      </c>
      <c r="D71" s="20" t="s">
        <v>488</v>
      </c>
      <c r="E71" s="30" t="s">
        <v>51</v>
      </c>
      <c r="F71" s="20" t="s">
        <v>489</v>
      </c>
      <c r="G71" s="20" t="s">
        <v>490</v>
      </c>
      <c r="H71" s="30">
        <v>8.0000334E9</v>
      </c>
      <c r="I71" s="30">
        <v>8.160835531E9</v>
      </c>
      <c r="J71" s="30" t="s">
        <v>491</v>
      </c>
      <c r="K71" s="30">
        <v>2850.0</v>
      </c>
      <c r="L71" s="31">
        <v>46275.0</v>
      </c>
      <c r="M71" s="30" t="s">
        <v>188</v>
      </c>
      <c r="N71" s="32" t="s">
        <v>39</v>
      </c>
      <c r="O71" s="30" t="s">
        <v>47</v>
      </c>
      <c r="P71" s="30" t="s">
        <v>41</v>
      </c>
      <c r="Q71" s="20"/>
      <c r="R71" s="34">
        <v>46305.0</v>
      </c>
      <c r="S71" s="30" t="s">
        <v>141</v>
      </c>
      <c r="T71" s="35"/>
      <c r="U71" s="35"/>
      <c r="V71" s="38">
        <v>17579.0</v>
      </c>
      <c r="W71" s="38">
        <v>18657.0</v>
      </c>
      <c r="X71" s="30">
        <v>12500.0</v>
      </c>
      <c r="Y71" s="30">
        <v>12500.0</v>
      </c>
      <c r="Z71" s="16">
        <f t="shared" si="1"/>
        <v>6157</v>
      </c>
      <c r="AA71" s="17">
        <f t="shared" si="2"/>
        <v>0</v>
      </c>
      <c r="AB71" s="30" t="s">
        <v>42</v>
      </c>
      <c r="AC71" s="20" t="s">
        <v>492</v>
      </c>
      <c r="AD71" s="23"/>
      <c r="AE71" s="23"/>
    </row>
    <row r="72">
      <c r="A72" s="19">
        <v>70.0</v>
      </c>
      <c r="B72" s="41">
        <v>45940.0</v>
      </c>
      <c r="C72" s="20" t="s">
        <v>493</v>
      </c>
      <c r="D72" s="20" t="s">
        <v>494</v>
      </c>
      <c r="E72" s="30" t="s">
        <v>98</v>
      </c>
      <c r="F72" s="20" t="s">
        <v>495</v>
      </c>
      <c r="G72" s="20" t="s">
        <v>496</v>
      </c>
      <c r="H72" s="30" t="s">
        <v>497</v>
      </c>
      <c r="I72" s="35"/>
      <c r="J72" s="30" t="s">
        <v>498</v>
      </c>
      <c r="K72" s="30">
        <v>28000.0</v>
      </c>
      <c r="L72" s="33">
        <v>46275.0</v>
      </c>
      <c r="M72" s="30" t="s">
        <v>237</v>
      </c>
      <c r="N72" s="32" t="s">
        <v>75</v>
      </c>
      <c r="O72" s="30" t="s">
        <v>47</v>
      </c>
      <c r="P72" s="30" t="s">
        <v>453</v>
      </c>
      <c r="Q72" s="20"/>
      <c r="R72" s="30" t="s">
        <v>499</v>
      </c>
      <c r="S72" s="33">
        <v>45668.0</v>
      </c>
      <c r="T72" s="30" t="s">
        <v>500</v>
      </c>
      <c r="U72" s="35"/>
      <c r="V72" s="30">
        <v>44381.0</v>
      </c>
      <c r="W72" s="30">
        <v>46657.0</v>
      </c>
      <c r="X72" s="30">
        <v>29800.0</v>
      </c>
      <c r="Y72" s="30">
        <v>29800.0</v>
      </c>
      <c r="Z72" s="26">
        <f t="shared" si="1"/>
        <v>16857</v>
      </c>
      <c r="AA72" s="17">
        <f t="shared" si="2"/>
        <v>0</v>
      </c>
      <c r="AB72" s="30" t="s">
        <v>42</v>
      </c>
      <c r="AC72" s="20" t="s">
        <v>501</v>
      </c>
      <c r="AD72" s="23"/>
      <c r="AE72" s="23"/>
    </row>
    <row r="73">
      <c r="A73" s="19">
        <v>71.0</v>
      </c>
      <c r="B73" s="41">
        <v>45940.0</v>
      </c>
      <c r="C73" s="20" t="s">
        <v>502</v>
      </c>
      <c r="D73" s="20" t="s">
        <v>503</v>
      </c>
      <c r="E73" s="30" t="s">
        <v>82</v>
      </c>
      <c r="F73" s="20" t="s">
        <v>504</v>
      </c>
      <c r="G73" s="20" t="s">
        <v>505</v>
      </c>
      <c r="H73" s="30">
        <v>9.99885564E9</v>
      </c>
      <c r="I73" s="30">
        <v>9.90999014E9</v>
      </c>
      <c r="J73" s="30" t="s">
        <v>506</v>
      </c>
      <c r="K73" s="30">
        <v>125.0</v>
      </c>
      <c r="L73" s="31">
        <v>46275.0</v>
      </c>
      <c r="M73" s="30" t="s">
        <v>74</v>
      </c>
      <c r="N73" s="32" t="s">
        <v>75</v>
      </c>
      <c r="O73" s="30" t="s">
        <v>76</v>
      </c>
      <c r="P73" s="30" t="s">
        <v>67</v>
      </c>
      <c r="Q73" s="20"/>
      <c r="R73" s="30" t="s">
        <v>507</v>
      </c>
      <c r="S73" s="33">
        <v>46207.0</v>
      </c>
      <c r="T73" s="35"/>
      <c r="U73" s="35"/>
      <c r="V73" s="30">
        <v>714.0</v>
      </c>
      <c r="W73" s="30">
        <v>842.0</v>
      </c>
      <c r="X73" s="30">
        <v>850.0</v>
      </c>
      <c r="Y73" s="30">
        <v>850.0</v>
      </c>
      <c r="Z73" s="26">
        <f t="shared" si="1"/>
        <v>-8</v>
      </c>
      <c r="AA73" s="17">
        <f t="shared" si="2"/>
        <v>0</v>
      </c>
      <c r="AB73" s="30" t="s">
        <v>42</v>
      </c>
      <c r="AC73" s="20" t="s">
        <v>508</v>
      </c>
      <c r="AD73" s="23"/>
      <c r="AE73" s="23"/>
    </row>
    <row r="74">
      <c r="A74" s="19">
        <v>72.0</v>
      </c>
      <c r="B74" s="41">
        <v>45940.0</v>
      </c>
      <c r="C74" s="20" t="s">
        <v>509</v>
      </c>
      <c r="D74" s="20" t="s">
        <v>510</v>
      </c>
      <c r="E74" s="30" t="s">
        <v>98</v>
      </c>
      <c r="F74" s="20" t="s">
        <v>511</v>
      </c>
      <c r="G74" s="20" t="s">
        <v>512</v>
      </c>
      <c r="H74" s="30">
        <v>7.016395724E9</v>
      </c>
      <c r="I74" s="30">
        <v>9.510779527E9</v>
      </c>
      <c r="J74" s="30"/>
      <c r="K74" s="30">
        <v>47500.0</v>
      </c>
      <c r="L74" s="31">
        <v>46275.0</v>
      </c>
      <c r="M74" s="30" t="s">
        <v>38</v>
      </c>
      <c r="N74" s="32" t="s">
        <v>39</v>
      </c>
      <c r="O74" s="30" t="s">
        <v>56</v>
      </c>
      <c r="P74" s="30" t="s">
        <v>41</v>
      </c>
      <c r="Q74" s="30"/>
      <c r="R74" s="30" t="s">
        <v>513</v>
      </c>
      <c r="S74" s="33">
        <v>46213.0</v>
      </c>
      <c r="T74" s="33">
        <v>47279.0</v>
      </c>
      <c r="U74" s="35"/>
      <c r="V74" s="30">
        <v>52687.0</v>
      </c>
      <c r="W74" s="30">
        <v>56419.0</v>
      </c>
      <c r="X74" s="30">
        <v>47694.0</v>
      </c>
      <c r="Y74" s="30">
        <v>48000.0</v>
      </c>
      <c r="Z74" s="26">
        <f t="shared" si="1"/>
        <v>8419</v>
      </c>
      <c r="AA74" s="17">
        <f t="shared" si="2"/>
        <v>306</v>
      </c>
      <c r="AB74" s="30" t="s">
        <v>42</v>
      </c>
      <c r="AC74" s="20" t="s">
        <v>514</v>
      </c>
      <c r="AD74" s="23"/>
      <c r="AE74" s="23"/>
    </row>
    <row r="75">
      <c r="A75" s="19">
        <v>73.0</v>
      </c>
      <c r="B75" s="41">
        <v>45940.0</v>
      </c>
      <c r="C75" s="20" t="s">
        <v>515</v>
      </c>
      <c r="D75" s="20" t="s">
        <v>516</v>
      </c>
      <c r="E75" s="30" t="s">
        <v>98</v>
      </c>
      <c r="F75" s="20" t="s">
        <v>517</v>
      </c>
      <c r="G75" s="20" t="s">
        <v>518</v>
      </c>
      <c r="H75" s="30" t="s">
        <v>519</v>
      </c>
      <c r="I75" s="35"/>
      <c r="J75" s="35"/>
      <c r="K75" s="30">
        <v>47500.0</v>
      </c>
      <c r="L75" s="31">
        <v>46275.0</v>
      </c>
      <c r="M75" s="30" t="s">
        <v>55</v>
      </c>
      <c r="N75" s="32" t="s">
        <v>39</v>
      </c>
      <c r="O75" s="30" t="s">
        <v>76</v>
      </c>
      <c r="P75" s="30" t="s">
        <v>57</v>
      </c>
      <c r="Q75" s="20"/>
      <c r="R75" s="33">
        <v>45880.0</v>
      </c>
      <c r="S75" s="30" t="s">
        <v>520</v>
      </c>
      <c r="T75" s="30" t="s">
        <v>521</v>
      </c>
      <c r="U75" s="30" t="s">
        <v>522</v>
      </c>
      <c r="V75" s="38">
        <v>49551.0</v>
      </c>
      <c r="W75" s="38">
        <v>52719.0</v>
      </c>
      <c r="X75" s="30">
        <v>44000.0</v>
      </c>
      <c r="Y75" s="30">
        <v>44000.0</v>
      </c>
      <c r="Z75" s="16">
        <f t="shared" si="1"/>
        <v>8719</v>
      </c>
      <c r="AA75" s="17">
        <f t="shared" si="2"/>
        <v>0</v>
      </c>
      <c r="AB75" s="30" t="s">
        <v>42</v>
      </c>
      <c r="AC75" s="20" t="s">
        <v>523</v>
      </c>
      <c r="AD75" s="23"/>
      <c r="AE75" s="23"/>
    </row>
    <row r="76">
      <c r="A76" s="19">
        <v>74.0</v>
      </c>
      <c r="B76" s="41">
        <v>45940.0</v>
      </c>
      <c r="C76" s="20" t="s">
        <v>524</v>
      </c>
      <c r="D76" s="20" t="s">
        <v>525</v>
      </c>
      <c r="E76" s="30" t="s">
        <v>98</v>
      </c>
      <c r="F76" s="20" t="s">
        <v>517</v>
      </c>
      <c r="G76" s="20" t="s">
        <v>518</v>
      </c>
      <c r="H76" s="30" t="s">
        <v>519</v>
      </c>
      <c r="I76" s="35"/>
      <c r="J76" s="35"/>
      <c r="K76" s="30">
        <v>47500.0</v>
      </c>
      <c r="L76" s="31">
        <v>46275.0</v>
      </c>
      <c r="M76" s="30" t="s">
        <v>55</v>
      </c>
      <c r="N76" s="32" t="s">
        <v>39</v>
      </c>
      <c r="O76" s="30" t="s">
        <v>76</v>
      </c>
      <c r="P76" s="30" t="s">
        <v>57</v>
      </c>
      <c r="Q76" s="20"/>
      <c r="R76" s="30" t="s">
        <v>526</v>
      </c>
      <c r="S76" s="30" t="s">
        <v>520</v>
      </c>
      <c r="T76" s="30" t="s">
        <v>527</v>
      </c>
      <c r="U76" s="30" t="s">
        <v>528</v>
      </c>
      <c r="V76" s="38">
        <v>49551.0</v>
      </c>
      <c r="W76" s="38">
        <v>52719.0</v>
      </c>
      <c r="X76" s="30">
        <v>44000.0</v>
      </c>
      <c r="Y76" s="30">
        <v>44000.0</v>
      </c>
      <c r="Z76" s="16">
        <f t="shared" si="1"/>
        <v>8719</v>
      </c>
      <c r="AA76" s="17">
        <f t="shared" si="2"/>
        <v>0</v>
      </c>
      <c r="AB76" s="30" t="s">
        <v>42</v>
      </c>
      <c r="AC76" s="20" t="s">
        <v>529</v>
      </c>
      <c r="AD76" s="23"/>
      <c r="AE76" s="23"/>
    </row>
    <row r="77">
      <c r="A77" s="19">
        <v>75.0</v>
      </c>
      <c r="B77" s="41">
        <v>45940.0</v>
      </c>
      <c r="C77" s="20" t="s">
        <v>530</v>
      </c>
      <c r="D77" s="20" t="s">
        <v>531</v>
      </c>
      <c r="E77" s="30" t="s">
        <v>63</v>
      </c>
      <c r="F77" s="20" t="s">
        <v>532</v>
      </c>
      <c r="G77" s="20" t="s">
        <v>533</v>
      </c>
      <c r="H77" s="30">
        <v>9.510092091E9</v>
      </c>
      <c r="I77" s="30">
        <v>9.537092091E9</v>
      </c>
      <c r="J77" s="30"/>
      <c r="K77" s="30">
        <v>1248.0</v>
      </c>
      <c r="L77" s="41">
        <v>46305.0</v>
      </c>
      <c r="M77" s="30" t="s">
        <v>534</v>
      </c>
      <c r="N77" s="32" t="s">
        <v>75</v>
      </c>
      <c r="O77" s="30" t="s">
        <v>76</v>
      </c>
      <c r="P77" s="30" t="s">
        <v>67</v>
      </c>
      <c r="Q77" s="20"/>
      <c r="R77" s="30" t="s">
        <v>535</v>
      </c>
      <c r="S77" s="30" t="s">
        <v>536</v>
      </c>
      <c r="T77" s="35"/>
      <c r="U77" s="30" t="s">
        <v>528</v>
      </c>
      <c r="V77" s="38">
        <v>3466.0</v>
      </c>
      <c r="W77" s="38">
        <v>4090.0</v>
      </c>
      <c r="X77" s="30">
        <v>4100.0</v>
      </c>
      <c r="Y77" s="30">
        <v>4100.0</v>
      </c>
      <c r="Z77" s="16">
        <f t="shared" si="1"/>
        <v>-10</v>
      </c>
      <c r="AA77" s="17">
        <f t="shared" si="2"/>
        <v>0</v>
      </c>
      <c r="AB77" s="30" t="s">
        <v>42</v>
      </c>
      <c r="AC77" s="20" t="s">
        <v>537</v>
      </c>
      <c r="AD77" s="23"/>
      <c r="AE77" s="23"/>
    </row>
    <row r="78">
      <c r="A78" s="19">
        <v>76.0</v>
      </c>
      <c r="B78" s="43">
        <v>45940.0</v>
      </c>
      <c r="C78" s="44" t="s">
        <v>538</v>
      </c>
      <c r="D78" s="44" t="s">
        <v>539</v>
      </c>
      <c r="E78" s="45" t="s">
        <v>98</v>
      </c>
      <c r="F78" s="44" t="s">
        <v>540</v>
      </c>
      <c r="G78" s="44" t="s">
        <v>541</v>
      </c>
      <c r="H78" s="45">
        <v>7.98467355E9</v>
      </c>
      <c r="I78" s="49"/>
      <c r="J78" s="49"/>
      <c r="K78" s="45">
        <v>35000.0</v>
      </c>
      <c r="L78" s="46">
        <v>46275.0</v>
      </c>
      <c r="M78" s="45" t="s">
        <v>126</v>
      </c>
      <c r="N78" s="47" t="s">
        <v>39</v>
      </c>
      <c r="O78" s="45" t="s">
        <v>76</v>
      </c>
      <c r="P78" s="45" t="s">
        <v>41</v>
      </c>
      <c r="Q78" s="44"/>
      <c r="R78" s="45" t="s">
        <v>542</v>
      </c>
      <c r="S78" s="45" t="s">
        <v>543</v>
      </c>
      <c r="T78" s="45" t="s">
        <v>544</v>
      </c>
      <c r="U78" s="49"/>
      <c r="V78" s="50">
        <v>47946.99</v>
      </c>
      <c r="W78" s="45">
        <v>50864.0</v>
      </c>
      <c r="X78" s="45">
        <v>40000.0</v>
      </c>
      <c r="Y78" s="45">
        <v>40000.0</v>
      </c>
      <c r="Z78" s="51">
        <f t="shared" si="1"/>
        <v>10864</v>
      </c>
      <c r="AA78" s="17">
        <f t="shared" si="2"/>
        <v>0</v>
      </c>
      <c r="AB78" s="45" t="s">
        <v>42</v>
      </c>
      <c r="AC78" s="44" t="s">
        <v>545</v>
      </c>
      <c r="AD78" s="52"/>
      <c r="AE78" s="52"/>
      <c r="AF78" s="53"/>
      <c r="AG78" s="53"/>
    </row>
    <row r="79">
      <c r="A79" s="19">
        <v>77.0</v>
      </c>
      <c r="B79" s="41">
        <v>45940.0</v>
      </c>
      <c r="C79" s="20" t="s">
        <v>546</v>
      </c>
      <c r="D79" s="39" t="s">
        <v>547</v>
      </c>
      <c r="E79" s="30" t="s">
        <v>34</v>
      </c>
      <c r="F79" s="20" t="s">
        <v>35</v>
      </c>
      <c r="G79" s="20" t="s">
        <v>548</v>
      </c>
      <c r="H79" s="30">
        <v>8.849202836E9</v>
      </c>
      <c r="I79" s="30">
        <v>9.726225245E9</v>
      </c>
      <c r="J79" s="30"/>
      <c r="K79" s="30">
        <v>236.0</v>
      </c>
      <c r="L79" s="31">
        <v>46275.0</v>
      </c>
      <c r="M79" s="30" t="s">
        <v>38</v>
      </c>
      <c r="N79" s="32" t="s">
        <v>39</v>
      </c>
      <c r="O79" s="30" t="s">
        <v>165</v>
      </c>
      <c r="P79" s="30" t="s">
        <v>41</v>
      </c>
      <c r="Q79" s="20"/>
      <c r="R79" s="33">
        <v>46275.0</v>
      </c>
      <c r="S79" s="33">
        <v>45910.0</v>
      </c>
      <c r="T79" s="30" t="s">
        <v>271</v>
      </c>
      <c r="U79" s="35"/>
      <c r="V79" s="30">
        <v>6448.0</v>
      </c>
      <c r="W79" s="30">
        <v>7609.0</v>
      </c>
      <c r="X79" s="30">
        <v>6500.0</v>
      </c>
      <c r="Y79" s="30">
        <v>6000.0</v>
      </c>
      <c r="Z79" s="26">
        <f t="shared" si="1"/>
        <v>1609</v>
      </c>
      <c r="AA79" s="17">
        <f t="shared" si="2"/>
        <v>-500</v>
      </c>
      <c r="AB79" s="30" t="s">
        <v>42</v>
      </c>
      <c r="AC79" s="20" t="s">
        <v>549</v>
      </c>
      <c r="AD79" s="23"/>
      <c r="AE79" s="23"/>
    </row>
    <row r="80">
      <c r="A80" s="19">
        <v>78.0</v>
      </c>
      <c r="B80" s="41">
        <v>45940.0</v>
      </c>
      <c r="C80" s="20" t="s">
        <v>550</v>
      </c>
      <c r="D80" s="39" t="s">
        <v>551</v>
      </c>
      <c r="E80" s="30" t="s">
        <v>51</v>
      </c>
      <c r="F80" s="20" t="s">
        <v>552</v>
      </c>
      <c r="G80" s="20" t="s">
        <v>553</v>
      </c>
      <c r="H80" s="30" t="s">
        <v>554</v>
      </c>
      <c r="I80" s="30" t="s">
        <v>555</v>
      </c>
      <c r="J80" s="30"/>
      <c r="K80" s="30">
        <v>2670.0</v>
      </c>
      <c r="L80" s="41">
        <v>46366.0</v>
      </c>
      <c r="M80" s="30" t="s">
        <v>188</v>
      </c>
      <c r="N80" s="32" t="s">
        <v>39</v>
      </c>
      <c r="O80" s="30" t="s">
        <v>47</v>
      </c>
      <c r="P80" s="30" t="s">
        <v>41</v>
      </c>
      <c r="Q80" s="20"/>
      <c r="R80" s="30" t="s">
        <v>556</v>
      </c>
      <c r="S80" s="33">
        <v>45717.0</v>
      </c>
      <c r="T80" s="35"/>
      <c r="U80" s="35"/>
      <c r="V80" s="38">
        <v>17293.0</v>
      </c>
      <c r="W80" s="38">
        <v>18320.0</v>
      </c>
      <c r="X80" s="30">
        <v>12447.0</v>
      </c>
      <c r="Y80" s="30">
        <v>12500.0</v>
      </c>
      <c r="Z80" s="16">
        <f t="shared" si="1"/>
        <v>5820</v>
      </c>
      <c r="AA80" s="17">
        <f t="shared" si="2"/>
        <v>53</v>
      </c>
      <c r="AB80" s="30" t="s">
        <v>42</v>
      </c>
      <c r="AC80" s="20" t="s">
        <v>557</v>
      </c>
      <c r="AD80" s="23"/>
      <c r="AE80" s="23"/>
    </row>
    <row r="81">
      <c r="A81" s="19">
        <v>79.0</v>
      </c>
      <c r="B81" s="41">
        <v>45971.0</v>
      </c>
      <c r="C81" s="20" t="s">
        <v>558</v>
      </c>
      <c r="D81" s="39">
        <v>2.510964914E11</v>
      </c>
      <c r="E81" s="30" t="s">
        <v>63</v>
      </c>
      <c r="F81" s="20" t="s">
        <v>559</v>
      </c>
      <c r="G81" s="20" t="s">
        <v>560</v>
      </c>
      <c r="H81" s="30">
        <v>9.712259988E9</v>
      </c>
      <c r="I81" s="30">
        <v>9.925381635E9</v>
      </c>
      <c r="J81" s="30"/>
      <c r="K81" s="30">
        <v>998.0</v>
      </c>
      <c r="L81" s="41">
        <v>46336.0</v>
      </c>
      <c r="M81" s="30" t="s">
        <v>561</v>
      </c>
      <c r="N81" s="32" t="s">
        <v>75</v>
      </c>
      <c r="O81" s="30" t="s">
        <v>47</v>
      </c>
      <c r="P81" s="30" t="s">
        <v>67</v>
      </c>
      <c r="Q81" s="20"/>
      <c r="R81" s="33">
        <v>46481.0</v>
      </c>
      <c r="S81" s="33">
        <v>46269.0</v>
      </c>
      <c r="T81" s="35"/>
      <c r="U81" s="35"/>
      <c r="V81" s="38">
        <v>2154.0</v>
      </c>
      <c r="W81" s="38">
        <v>2542.0</v>
      </c>
      <c r="X81" s="30">
        <v>2500.0</v>
      </c>
      <c r="Y81" s="30">
        <v>2500.0</v>
      </c>
      <c r="Z81" s="16">
        <f t="shared" si="1"/>
        <v>42</v>
      </c>
      <c r="AA81" s="17">
        <f t="shared" si="2"/>
        <v>0</v>
      </c>
      <c r="AB81" s="30" t="s">
        <v>42</v>
      </c>
      <c r="AC81" s="20" t="s">
        <v>562</v>
      </c>
      <c r="AD81" s="23"/>
      <c r="AE81" s="23"/>
    </row>
    <row r="82">
      <c r="A82" s="19">
        <v>80.0</v>
      </c>
      <c r="B82" s="41">
        <v>45971.0</v>
      </c>
      <c r="C82" s="20" t="s">
        <v>563</v>
      </c>
      <c r="D82" s="39" t="s">
        <v>564</v>
      </c>
      <c r="E82" s="30" t="s">
        <v>82</v>
      </c>
      <c r="F82" s="20" t="s">
        <v>565</v>
      </c>
      <c r="G82" s="20" t="s">
        <v>566</v>
      </c>
      <c r="H82" s="30">
        <v>9.558844377E9</v>
      </c>
      <c r="I82" s="30">
        <v>9.648466762E9</v>
      </c>
      <c r="J82" s="30"/>
      <c r="K82" s="30">
        <v>125.0</v>
      </c>
      <c r="L82" s="41">
        <v>46336.0</v>
      </c>
      <c r="M82" s="30" t="s">
        <v>237</v>
      </c>
      <c r="N82" s="32" t="s">
        <v>75</v>
      </c>
      <c r="O82" s="30" t="s">
        <v>76</v>
      </c>
      <c r="P82" s="30" t="s">
        <v>453</v>
      </c>
      <c r="Q82" s="20"/>
      <c r="R82" s="30" t="s">
        <v>567</v>
      </c>
      <c r="S82" s="33">
        <v>46213.0</v>
      </c>
      <c r="T82" s="35"/>
      <c r="U82" s="35"/>
      <c r="V82" s="30">
        <v>714.0</v>
      </c>
      <c r="W82" s="30">
        <v>843.0</v>
      </c>
      <c r="X82" s="30">
        <v>850.0</v>
      </c>
      <c r="Y82" s="30">
        <v>850.0</v>
      </c>
      <c r="Z82" s="26">
        <f t="shared" si="1"/>
        <v>-7</v>
      </c>
      <c r="AA82" s="17">
        <f t="shared" si="2"/>
        <v>0</v>
      </c>
      <c r="AB82" s="30" t="s">
        <v>42</v>
      </c>
      <c r="AC82" s="20" t="s">
        <v>568</v>
      </c>
      <c r="AD82" s="23"/>
      <c r="AE82" s="23"/>
    </row>
    <row r="83">
      <c r="A83" s="19">
        <v>81.0</v>
      </c>
      <c r="B83" s="41">
        <v>45971.0</v>
      </c>
      <c r="C83" s="20" t="s">
        <v>569</v>
      </c>
      <c r="D83" s="39" t="s">
        <v>570</v>
      </c>
      <c r="E83" s="30" t="s">
        <v>98</v>
      </c>
      <c r="F83" s="20" t="s">
        <v>571</v>
      </c>
      <c r="G83" s="20" t="s">
        <v>572</v>
      </c>
      <c r="H83" s="30" t="s">
        <v>573</v>
      </c>
      <c r="I83" s="35"/>
      <c r="J83" s="35"/>
      <c r="K83" s="30">
        <v>42000.0</v>
      </c>
      <c r="L83" s="41">
        <v>46305.0</v>
      </c>
      <c r="M83" s="30" t="s">
        <v>38</v>
      </c>
      <c r="N83" s="32" t="s">
        <v>39</v>
      </c>
      <c r="O83" s="30" t="s">
        <v>76</v>
      </c>
      <c r="P83" s="30" t="s">
        <v>41</v>
      </c>
      <c r="Q83" s="20"/>
      <c r="R83" s="30" t="s">
        <v>574</v>
      </c>
      <c r="S83" s="30" t="s">
        <v>254</v>
      </c>
      <c r="T83" s="35"/>
      <c r="U83" s="35"/>
      <c r="V83" s="30">
        <v>49441.0</v>
      </c>
      <c r="W83" s="30">
        <v>52589.0</v>
      </c>
      <c r="X83" s="30">
        <v>44500.0</v>
      </c>
      <c r="Y83" s="30">
        <v>45500.0</v>
      </c>
      <c r="Z83" s="26">
        <f t="shared" si="1"/>
        <v>7089</v>
      </c>
      <c r="AA83" s="17">
        <f t="shared" si="2"/>
        <v>1000</v>
      </c>
      <c r="AB83" s="30" t="s">
        <v>42</v>
      </c>
      <c r="AC83" s="20" t="s">
        <v>575</v>
      </c>
      <c r="AD83" s="23"/>
      <c r="AE83" s="23"/>
    </row>
    <row r="84">
      <c r="A84" s="19">
        <v>82.0</v>
      </c>
      <c r="B84" s="41">
        <v>45971.0</v>
      </c>
      <c r="C84" s="20" t="s">
        <v>576</v>
      </c>
      <c r="D84" s="20" t="s">
        <v>577</v>
      </c>
      <c r="E84" s="30" t="s">
        <v>51</v>
      </c>
      <c r="F84" s="20" t="s">
        <v>578</v>
      </c>
      <c r="G84" s="20" t="s">
        <v>579</v>
      </c>
      <c r="H84" s="30">
        <v>8.238862518E9</v>
      </c>
      <c r="I84" s="30">
        <v>9.712719479E9</v>
      </c>
      <c r="J84" s="30"/>
      <c r="K84" s="30">
        <v>2510.0</v>
      </c>
      <c r="L84" s="41">
        <v>46305.0</v>
      </c>
      <c r="M84" s="30" t="s">
        <v>126</v>
      </c>
      <c r="N84" s="32" t="s">
        <v>39</v>
      </c>
      <c r="O84" s="30" t="s">
        <v>165</v>
      </c>
      <c r="P84" s="30" t="s">
        <v>41</v>
      </c>
      <c r="Q84" s="20"/>
      <c r="R84" s="30" t="s">
        <v>580</v>
      </c>
      <c r="S84" s="34">
        <v>46366.0</v>
      </c>
      <c r="T84" s="35"/>
      <c r="U84" s="35"/>
      <c r="V84" s="38">
        <v>19120.15</v>
      </c>
      <c r="W84" s="30">
        <v>20475.0</v>
      </c>
      <c r="X84" s="30">
        <v>14454.0</v>
      </c>
      <c r="Y84" s="30">
        <v>13500.0</v>
      </c>
      <c r="Z84" s="26">
        <f t="shared" si="1"/>
        <v>6975</v>
      </c>
      <c r="AA84" s="17">
        <f t="shared" si="2"/>
        <v>-954</v>
      </c>
      <c r="AB84" s="30" t="s">
        <v>42</v>
      </c>
      <c r="AC84" s="20" t="s">
        <v>581</v>
      </c>
      <c r="AD84" s="23"/>
      <c r="AE84" s="23"/>
    </row>
    <row r="85">
      <c r="A85" s="19">
        <v>83.0</v>
      </c>
      <c r="B85" s="41">
        <v>45971.0</v>
      </c>
      <c r="C85" s="20" t="s">
        <v>582</v>
      </c>
      <c r="D85" s="20" t="s">
        <v>583</v>
      </c>
      <c r="E85" s="30" t="s">
        <v>98</v>
      </c>
      <c r="F85" s="20" t="s">
        <v>584</v>
      </c>
      <c r="G85" s="20" t="s">
        <v>585</v>
      </c>
      <c r="H85" s="30">
        <v>8.401900347E9</v>
      </c>
      <c r="I85" s="30" t="s">
        <v>586</v>
      </c>
      <c r="J85" s="30"/>
      <c r="K85" s="30">
        <v>12990.0</v>
      </c>
      <c r="L85" s="41">
        <v>46305.0</v>
      </c>
      <c r="M85" s="30" t="s">
        <v>126</v>
      </c>
      <c r="N85" s="32" t="s">
        <v>39</v>
      </c>
      <c r="O85" s="30" t="s">
        <v>47</v>
      </c>
      <c r="P85" s="30" t="s">
        <v>41</v>
      </c>
      <c r="Q85" s="20"/>
      <c r="R85" s="30" t="s">
        <v>587</v>
      </c>
      <c r="S85" s="30" t="s">
        <v>588</v>
      </c>
      <c r="T85" s="33">
        <v>47300.0</v>
      </c>
      <c r="U85" s="35"/>
      <c r="V85" s="38">
        <v>37346.28</v>
      </c>
      <c r="W85" s="30">
        <v>39478.0</v>
      </c>
      <c r="X85" s="30">
        <v>33519.0</v>
      </c>
      <c r="Y85" s="30">
        <v>33000.0</v>
      </c>
      <c r="Z85" s="26">
        <f t="shared" si="1"/>
        <v>6478</v>
      </c>
      <c r="AA85" s="17">
        <f t="shared" si="2"/>
        <v>-519</v>
      </c>
      <c r="AB85" s="30" t="s">
        <v>42</v>
      </c>
      <c r="AC85" s="20" t="s">
        <v>589</v>
      </c>
      <c r="AD85" s="23"/>
      <c r="AE85" s="23"/>
    </row>
    <row r="86">
      <c r="A86" s="19">
        <v>84.0</v>
      </c>
      <c r="B86" s="43">
        <v>45971.0</v>
      </c>
      <c r="C86" s="44" t="s">
        <v>590</v>
      </c>
      <c r="D86" s="44" t="s">
        <v>591</v>
      </c>
      <c r="E86" s="45" t="s">
        <v>98</v>
      </c>
      <c r="F86" s="44" t="s">
        <v>592</v>
      </c>
      <c r="G86" s="44" t="s">
        <v>593</v>
      </c>
      <c r="H86" s="45" t="s">
        <v>519</v>
      </c>
      <c r="I86" s="49"/>
      <c r="J86" s="49"/>
      <c r="K86" s="45">
        <v>35000.0</v>
      </c>
      <c r="L86" s="43">
        <v>46305.0</v>
      </c>
      <c r="M86" s="45" t="s">
        <v>126</v>
      </c>
      <c r="N86" s="47" t="s">
        <v>39</v>
      </c>
      <c r="O86" s="45" t="s">
        <v>76</v>
      </c>
      <c r="P86" s="45" t="s">
        <v>41</v>
      </c>
      <c r="Q86" s="44"/>
      <c r="R86" s="45" t="s">
        <v>594</v>
      </c>
      <c r="S86" s="54">
        <v>46298.0</v>
      </c>
      <c r="T86" s="45" t="s">
        <v>595</v>
      </c>
      <c r="U86" s="49"/>
      <c r="V86" s="50">
        <v>48306.61</v>
      </c>
      <c r="W86" s="45">
        <v>51288.0</v>
      </c>
      <c r="X86" s="45">
        <v>42000.0</v>
      </c>
      <c r="Y86" s="45">
        <v>42000.0</v>
      </c>
      <c r="Z86" s="51">
        <f t="shared" si="1"/>
        <v>9288</v>
      </c>
      <c r="AA86" s="17">
        <f t="shared" si="2"/>
        <v>0</v>
      </c>
      <c r="AB86" s="45" t="s">
        <v>42</v>
      </c>
      <c r="AC86" s="44" t="s">
        <v>596</v>
      </c>
      <c r="AD86" s="52"/>
      <c r="AE86" s="52"/>
      <c r="AF86" s="53"/>
      <c r="AG86" s="53"/>
    </row>
    <row r="87">
      <c r="A87" s="19">
        <v>85.0</v>
      </c>
      <c r="B87" s="41">
        <v>45971.0</v>
      </c>
      <c r="C87" s="20" t="s">
        <v>597</v>
      </c>
      <c r="D87" s="20" t="s">
        <v>598</v>
      </c>
      <c r="E87" s="30" t="s">
        <v>51</v>
      </c>
      <c r="F87" s="20" t="s">
        <v>599</v>
      </c>
      <c r="G87" s="20" t="s">
        <v>600</v>
      </c>
      <c r="H87" s="30">
        <v>9.016118864E9</v>
      </c>
      <c r="I87" s="30">
        <v>8.320851363E9</v>
      </c>
      <c r="J87" s="30"/>
      <c r="K87" s="30">
        <v>3460.0</v>
      </c>
      <c r="L87" s="41">
        <v>46305.0</v>
      </c>
      <c r="M87" s="30" t="s">
        <v>228</v>
      </c>
      <c r="N87" s="32" t="s">
        <v>39</v>
      </c>
      <c r="O87" s="30" t="s">
        <v>47</v>
      </c>
      <c r="P87" s="30" t="s">
        <v>41</v>
      </c>
      <c r="Q87" s="20"/>
      <c r="R87" s="30" t="s">
        <v>580</v>
      </c>
      <c r="S87" s="30" t="s">
        <v>601</v>
      </c>
      <c r="T87" s="30" t="s">
        <v>602</v>
      </c>
      <c r="U87" s="35"/>
      <c r="V87" s="38">
        <v>21567.0</v>
      </c>
      <c r="W87" s="38">
        <v>23363.0</v>
      </c>
      <c r="X87" s="30">
        <v>16001.0</v>
      </c>
      <c r="Y87" s="30">
        <v>16000.0</v>
      </c>
      <c r="Z87" s="16">
        <f t="shared" si="1"/>
        <v>7363</v>
      </c>
      <c r="AA87" s="17">
        <f t="shared" si="2"/>
        <v>-1</v>
      </c>
      <c r="AB87" s="30" t="s">
        <v>42</v>
      </c>
      <c r="AC87" s="20" t="s">
        <v>603</v>
      </c>
      <c r="AD87" s="23"/>
      <c r="AE87" s="23"/>
    </row>
    <row r="88">
      <c r="A88" s="19">
        <v>86.0</v>
      </c>
      <c r="B88" s="43">
        <v>45971.0</v>
      </c>
      <c r="C88" s="44" t="s">
        <v>604</v>
      </c>
      <c r="D88" s="44" t="s">
        <v>605</v>
      </c>
      <c r="E88" s="45" t="s">
        <v>98</v>
      </c>
      <c r="F88" s="44" t="s">
        <v>606</v>
      </c>
      <c r="G88" s="44" t="s">
        <v>607</v>
      </c>
      <c r="H88" s="45" t="s">
        <v>608</v>
      </c>
      <c r="I88" s="45">
        <v>9.913149743E9</v>
      </c>
      <c r="J88" s="45"/>
      <c r="K88" s="45">
        <v>15800.0</v>
      </c>
      <c r="L88" s="43">
        <v>46336.0</v>
      </c>
      <c r="M88" s="45" t="s">
        <v>126</v>
      </c>
      <c r="N88" s="47" t="s">
        <v>39</v>
      </c>
      <c r="O88" s="45" t="s">
        <v>47</v>
      </c>
      <c r="P88" s="45" t="s">
        <v>41</v>
      </c>
      <c r="Q88" s="44"/>
      <c r="R88" s="45" t="s">
        <v>609</v>
      </c>
      <c r="S88" s="45" t="s">
        <v>610</v>
      </c>
      <c r="T88" s="45" t="s">
        <v>611</v>
      </c>
      <c r="U88" s="49"/>
      <c r="V88" s="50">
        <v>37787.15</v>
      </c>
      <c r="W88" s="45">
        <v>39998.0</v>
      </c>
      <c r="X88" s="45">
        <v>33953.0</v>
      </c>
      <c r="Y88" s="45">
        <v>34500.0</v>
      </c>
      <c r="Z88" s="51">
        <f t="shared" si="1"/>
        <v>5498</v>
      </c>
      <c r="AA88" s="17">
        <f t="shared" si="2"/>
        <v>547</v>
      </c>
      <c r="AB88" s="45" t="s">
        <v>42</v>
      </c>
      <c r="AC88" s="44" t="s">
        <v>612</v>
      </c>
      <c r="AD88" s="52"/>
      <c r="AE88" s="52"/>
      <c r="AF88" s="53"/>
      <c r="AG88" s="53"/>
    </row>
    <row r="89">
      <c r="A89" s="19">
        <v>87.0</v>
      </c>
      <c r="B89" s="41">
        <v>45971.0</v>
      </c>
      <c r="C89" s="20" t="s">
        <v>613</v>
      </c>
      <c r="D89" s="20" t="s">
        <v>614</v>
      </c>
      <c r="E89" s="30" t="s">
        <v>63</v>
      </c>
      <c r="F89" s="20" t="s">
        <v>615</v>
      </c>
      <c r="G89" s="20" t="s">
        <v>616</v>
      </c>
      <c r="H89" s="30">
        <v>9.512094116E9</v>
      </c>
      <c r="I89" s="30">
        <v>9.879724377E9</v>
      </c>
      <c r="J89" s="30"/>
      <c r="K89" s="30">
        <v>998.0</v>
      </c>
      <c r="L89" s="41">
        <v>46336.0</v>
      </c>
      <c r="M89" s="30" t="s">
        <v>74</v>
      </c>
      <c r="N89" s="32" t="s">
        <v>75</v>
      </c>
      <c r="O89" s="30" t="s">
        <v>76</v>
      </c>
      <c r="P89" s="30" t="s">
        <v>67</v>
      </c>
      <c r="Q89" s="20"/>
      <c r="R89" s="30" t="s">
        <v>617</v>
      </c>
      <c r="S89" s="30" t="s">
        <v>618</v>
      </c>
      <c r="T89" s="35"/>
      <c r="U89" s="35"/>
      <c r="V89" s="30">
        <v>2784.0</v>
      </c>
      <c r="W89" s="30">
        <v>3285.12</v>
      </c>
      <c r="X89" s="30">
        <v>3200.0</v>
      </c>
      <c r="Y89" s="30">
        <v>3200.0</v>
      </c>
      <c r="Z89" s="26">
        <f t="shared" si="1"/>
        <v>85.12</v>
      </c>
      <c r="AA89" s="17">
        <f t="shared" si="2"/>
        <v>0</v>
      </c>
      <c r="AB89" s="30" t="s">
        <v>42</v>
      </c>
      <c r="AC89" s="20" t="s">
        <v>619</v>
      </c>
      <c r="AD89" s="23"/>
      <c r="AE89" s="23"/>
    </row>
    <row r="90">
      <c r="A90" s="19">
        <v>88.0</v>
      </c>
      <c r="B90" s="41">
        <v>46001.0</v>
      </c>
      <c r="C90" s="20" t="s">
        <v>620</v>
      </c>
      <c r="D90" s="39" t="s">
        <v>621</v>
      </c>
      <c r="E90" s="30" t="s">
        <v>51</v>
      </c>
      <c r="F90" s="20" t="s">
        <v>52</v>
      </c>
      <c r="G90" s="20" t="s">
        <v>622</v>
      </c>
      <c r="H90" s="30">
        <v>9.998925072E9</v>
      </c>
      <c r="I90" s="30">
        <v>7.043925072E9</v>
      </c>
      <c r="J90" s="30"/>
      <c r="K90" s="30">
        <v>1600.0</v>
      </c>
      <c r="L90" s="41">
        <v>46305.0</v>
      </c>
      <c r="M90" s="30" t="s">
        <v>55</v>
      </c>
      <c r="N90" s="32" t="s">
        <v>39</v>
      </c>
      <c r="O90" s="30" t="s">
        <v>47</v>
      </c>
      <c r="P90" s="30" t="s">
        <v>438</v>
      </c>
      <c r="Q90" s="20"/>
      <c r="R90" s="34">
        <v>46731.0</v>
      </c>
      <c r="S90" s="34">
        <v>46366.0</v>
      </c>
      <c r="T90" s="35"/>
      <c r="U90" s="35"/>
      <c r="V90" s="38">
        <v>19598.0</v>
      </c>
      <c r="W90" s="38">
        <v>21039.0</v>
      </c>
      <c r="X90" s="30">
        <v>13692.0</v>
      </c>
      <c r="Y90" s="30">
        <v>13500.0</v>
      </c>
      <c r="Z90" s="16">
        <f t="shared" si="1"/>
        <v>7539</v>
      </c>
      <c r="AA90" s="17">
        <f t="shared" si="2"/>
        <v>-192</v>
      </c>
      <c r="AB90" s="30" t="s">
        <v>42</v>
      </c>
      <c r="AC90" s="20" t="s">
        <v>623</v>
      </c>
      <c r="AD90" s="23"/>
      <c r="AE90" s="23"/>
    </row>
    <row r="91">
      <c r="A91" s="19">
        <v>89.0</v>
      </c>
      <c r="B91" s="41">
        <v>46001.0</v>
      </c>
      <c r="C91" s="20" t="s">
        <v>624</v>
      </c>
      <c r="D91" s="55" t="s">
        <v>625</v>
      </c>
      <c r="E91" s="30" t="s">
        <v>63</v>
      </c>
      <c r="F91" s="20" t="s">
        <v>626</v>
      </c>
      <c r="G91" s="20" t="s">
        <v>627</v>
      </c>
      <c r="H91" s="30">
        <v>9.773432053E9</v>
      </c>
      <c r="I91" s="30">
        <v>9.328781362E9</v>
      </c>
      <c r="J91" s="30"/>
      <c r="K91" s="30">
        <v>796.0</v>
      </c>
      <c r="L91" s="41">
        <v>46366.0</v>
      </c>
      <c r="M91" s="30" t="s">
        <v>237</v>
      </c>
      <c r="N91" s="32" t="s">
        <v>75</v>
      </c>
      <c r="O91" s="30" t="s">
        <v>47</v>
      </c>
      <c r="P91" s="30" t="s">
        <v>67</v>
      </c>
      <c r="Q91" s="20"/>
      <c r="R91" s="30" t="s">
        <v>628</v>
      </c>
      <c r="S91" s="35"/>
      <c r="T91" s="35"/>
      <c r="U91" s="35"/>
      <c r="V91" s="38">
        <v>2725.0</v>
      </c>
      <c r="W91" s="38">
        <v>3216.0</v>
      </c>
      <c r="X91" s="30">
        <v>3200.0</v>
      </c>
      <c r="Y91" s="30">
        <v>3200.0</v>
      </c>
      <c r="Z91" s="16">
        <f t="shared" si="1"/>
        <v>16</v>
      </c>
      <c r="AA91" s="17">
        <f t="shared" si="2"/>
        <v>0</v>
      </c>
      <c r="AB91" s="30" t="s">
        <v>42</v>
      </c>
      <c r="AC91" s="20" t="s">
        <v>629</v>
      </c>
      <c r="AD91" s="23"/>
      <c r="AE91" s="23"/>
    </row>
    <row r="92">
      <c r="A92" s="19">
        <v>90.0</v>
      </c>
      <c r="B92" s="41">
        <v>46001.0</v>
      </c>
      <c r="C92" s="20" t="s">
        <v>630</v>
      </c>
      <c r="D92" s="39" t="s">
        <v>631</v>
      </c>
      <c r="E92" s="30" t="s">
        <v>82</v>
      </c>
      <c r="F92" s="20" t="s">
        <v>632</v>
      </c>
      <c r="G92" s="20" t="s">
        <v>633</v>
      </c>
      <c r="H92" s="30">
        <v>9.033333157E9</v>
      </c>
      <c r="I92" s="30">
        <v>9.033333157E9</v>
      </c>
      <c r="J92" s="30"/>
      <c r="K92" s="30">
        <v>97.0</v>
      </c>
      <c r="L92" s="41">
        <v>46366.0</v>
      </c>
      <c r="M92" s="30" t="s">
        <v>634</v>
      </c>
      <c r="N92" s="32" t="s">
        <v>75</v>
      </c>
      <c r="O92" s="30" t="s">
        <v>76</v>
      </c>
      <c r="P92" s="30" t="s">
        <v>67</v>
      </c>
      <c r="Q92" s="20"/>
      <c r="R92" s="30" t="s">
        <v>635</v>
      </c>
      <c r="S92" s="35"/>
      <c r="T92" s="35"/>
      <c r="U92" s="35"/>
      <c r="V92" s="30">
        <v>714.0</v>
      </c>
      <c r="W92" s="30">
        <v>843.0</v>
      </c>
      <c r="X92" s="30">
        <v>850.0</v>
      </c>
      <c r="Y92" s="30">
        <v>850.0</v>
      </c>
      <c r="Z92" s="26">
        <f t="shared" si="1"/>
        <v>-7</v>
      </c>
      <c r="AA92" s="17">
        <f t="shared" si="2"/>
        <v>0</v>
      </c>
      <c r="AB92" s="30" t="s">
        <v>42</v>
      </c>
      <c r="AC92" s="20" t="s">
        <v>636</v>
      </c>
      <c r="AD92" s="23"/>
      <c r="AE92" s="23"/>
    </row>
    <row r="93">
      <c r="A93" s="19">
        <v>91.0</v>
      </c>
      <c r="B93" s="41">
        <v>46001.0</v>
      </c>
      <c r="C93" s="20" t="s">
        <v>637</v>
      </c>
      <c r="D93" s="39" t="s">
        <v>638</v>
      </c>
      <c r="E93" s="30" t="s">
        <v>51</v>
      </c>
      <c r="F93" s="20" t="s">
        <v>639</v>
      </c>
      <c r="G93" s="20" t="s">
        <v>640</v>
      </c>
      <c r="H93" s="30" t="s">
        <v>641</v>
      </c>
      <c r="I93" s="30">
        <v>9.898919346E9</v>
      </c>
      <c r="J93" s="30"/>
      <c r="K93" s="30">
        <v>3490.0</v>
      </c>
      <c r="L93" s="41">
        <v>46305.0</v>
      </c>
      <c r="M93" s="30" t="s">
        <v>188</v>
      </c>
      <c r="N93" s="32" t="s">
        <v>39</v>
      </c>
      <c r="O93" s="30" t="s">
        <v>76</v>
      </c>
      <c r="P93" s="30" t="s">
        <v>41</v>
      </c>
      <c r="Q93" s="20"/>
      <c r="R93" s="30" t="s">
        <v>642</v>
      </c>
      <c r="S93" s="30" t="s">
        <v>643</v>
      </c>
      <c r="T93" s="33">
        <v>46877.0</v>
      </c>
      <c r="U93" s="35"/>
      <c r="V93" s="38">
        <v>22223.0</v>
      </c>
      <c r="W93" s="38">
        <v>24136.0</v>
      </c>
      <c r="X93" s="30">
        <v>17000.0</v>
      </c>
      <c r="Y93" s="30">
        <v>17000.0</v>
      </c>
      <c r="Z93" s="16">
        <f t="shared" si="1"/>
        <v>7136</v>
      </c>
      <c r="AA93" s="17">
        <f t="shared" si="2"/>
        <v>0</v>
      </c>
      <c r="AB93" s="30" t="s">
        <v>42</v>
      </c>
      <c r="AC93" s="20" t="s">
        <v>644</v>
      </c>
      <c r="AD93" s="23"/>
      <c r="AE93" s="23"/>
    </row>
    <row r="94">
      <c r="A94" s="19">
        <v>92.0</v>
      </c>
      <c r="B94" s="41">
        <v>46001.0</v>
      </c>
      <c r="C94" s="20" t="s">
        <v>645</v>
      </c>
      <c r="D94" s="39" t="s">
        <v>646</v>
      </c>
      <c r="E94" s="30" t="s">
        <v>98</v>
      </c>
      <c r="F94" s="20" t="s">
        <v>647</v>
      </c>
      <c r="G94" s="20" t="s">
        <v>648</v>
      </c>
      <c r="H94" s="30">
        <v>9.97809916E9</v>
      </c>
      <c r="I94" s="30">
        <v>9.97962827E9</v>
      </c>
      <c r="J94" s="30"/>
      <c r="K94" s="30">
        <v>4995.0</v>
      </c>
      <c r="L94" s="41">
        <v>46336.0</v>
      </c>
      <c r="M94" s="30" t="s">
        <v>228</v>
      </c>
      <c r="N94" s="32" t="s">
        <v>39</v>
      </c>
      <c r="O94" s="30" t="s">
        <v>47</v>
      </c>
      <c r="P94" s="30" t="s">
        <v>57</v>
      </c>
      <c r="Q94" s="20"/>
      <c r="R94" s="30" t="s">
        <v>649</v>
      </c>
      <c r="S94" s="30" t="s">
        <v>159</v>
      </c>
      <c r="T94" s="33">
        <v>47006.0</v>
      </c>
      <c r="U94" s="35"/>
      <c r="V94" s="38">
        <v>19199.0</v>
      </c>
      <c r="W94" s="38">
        <v>20568.0</v>
      </c>
      <c r="X94" s="30">
        <v>17889.0</v>
      </c>
      <c r="Y94" s="30">
        <v>18000.0</v>
      </c>
      <c r="Z94" s="16">
        <f t="shared" si="1"/>
        <v>2568</v>
      </c>
      <c r="AA94" s="17">
        <f t="shared" si="2"/>
        <v>111</v>
      </c>
      <c r="AB94" s="30" t="s">
        <v>42</v>
      </c>
      <c r="AC94" s="20" t="s">
        <v>650</v>
      </c>
      <c r="AD94" s="23"/>
      <c r="AE94" s="23"/>
    </row>
    <row r="95">
      <c r="A95" s="19">
        <v>93.0</v>
      </c>
      <c r="B95" s="41">
        <v>46001.0</v>
      </c>
      <c r="C95" s="20" t="s">
        <v>651</v>
      </c>
      <c r="D95" s="39" t="s">
        <v>652</v>
      </c>
      <c r="E95" s="30" t="s">
        <v>51</v>
      </c>
      <c r="F95" s="20" t="s">
        <v>653</v>
      </c>
      <c r="G95" s="20" t="s">
        <v>654</v>
      </c>
      <c r="H95" s="30">
        <v>9.978038996E9</v>
      </c>
      <c r="I95" s="30">
        <v>9.825645747E9</v>
      </c>
      <c r="J95" s="30"/>
      <c r="K95" s="30">
        <v>2735.0</v>
      </c>
      <c r="L95" s="41">
        <v>46305.0</v>
      </c>
      <c r="M95" s="30" t="s">
        <v>228</v>
      </c>
      <c r="N95" s="32" t="s">
        <v>39</v>
      </c>
      <c r="O95" s="30" t="s">
        <v>47</v>
      </c>
      <c r="P95" s="30" t="s">
        <v>41</v>
      </c>
      <c r="Q95" s="20"/>
      <c r="R95" s="30" t="s">
        <v>655</v>
      </c>
      <c r="S95" s="34">
        <v>45972.0</v>
      </c>
      <c r="T95" s="35"/>
      <c r="U95" s="35"/>
      <c r="V95" s="38">
        <v>21425.0</v>
      </c>
      <c r="W95" s="38">
        <v>23195.0</v>
      </c>
      <c r="X95" s="30">
        <v>14253.0</v>
      </c>
      <c r="Y95" s="30">
        <v>14500.0</v>
      </c>
      <c r="Z95" s="16">
        <f t="shared" si="1"/>
        <v>8695</v>
      </c>
      <c r="AA95" s="17">
        <f t="shared" si="2"/>
        <v>247</v>
      </c>
      <c r="AB95" s="30" t="s">
        <v>42</v>
      </c>
      <c r="AC95" s="20" t="s">
        <v>656</v>
      </c>
      <c r="AD95" s="23"/>
      <c r="AE95" s="23"/>
    </row>
    <row r="96">
      <c r="A96" s="19">
        <v>94.0</v>
      </c>
      <c r="B96" s="41">
        <v>46001.0</v>
      </c>
      <c r="C96" s="20" t="s">
        <v>657</v>
      </c>
      <c r="D96" s="39">
        <v>6.205348702E9</v>
      </c>
      <c r="E96" s="30" t="s">
        <v>63</v>
      </c>
      <c r="F96" s="20" t="s">
        <v>658</v>
      </c>
      <c r="G96" s="20" t="s">
        <v>659</v>
      </c>
      <c r="H96" s="30" t="s">
        <v>660</v>
      </c>
      <c r="I96" s="30" t="s">
        <v>661</v>
      </c>
      <c r="J96" s="30"/>
      <c r="K96" s="30">
        <v>1197.0</v>
      </c>
      <c r="L96" s="41">
        <v>46305.0</v>
      </c>
      <c r="M96" s="30" t="s">
        <v>180</v>
      </c>
      <c r="N96" s="32" t="s">
        <v>39</v>
      </c>
      <c r="O96" s="30" t="s">
        <v>76</v>
      </c>
      <c r="P96" s="30" t="s">
        <v>41</v>
      </c>
      <c r="Q96" s="20"/>
      <c r="R96" s="33">
        <v>48590.0</v>
      </c>
      <c r="S96" s="34">
        <v>46336.0</v>
      </c>
      <c r="T96" s="35"/>
      <c r="U96" s="35"/>
      <c r="V96" s="30">
        <v>7845.0</v>
      </c>
      <c r="W96" s="30">
        <v>9257.0</v>
      </c>
      <c r="X96" s="30">
        <v>9257.0</v>
      </c>
      <c r="Y96" s="30">
        <v>10000.0</v>
      </c>
      <c r="Z96" s="26">
        <f t="shared" si="1"/>
        <v>-743</v>
      </c>
      <c r="AA96" s="17">
        <f t="shared" si="2"/>
        <v>743</v>
      </c>
      <c r="AB96" s="30" t="s">
        <v>42</v>
      </c>
      <c r="AC96" s="20" t="s">
        <v>662</v>
      </c>
      <c r="AD96" s="23"/>
      <c r="AE96" s="23"/>
    </row>
    <row r="97">
      <c r="A97" s="19">
        <v>95.0</v>
      </c>
      <c r="B97" s="41">
        <v>46001.0</v>
      </c>
      <c r="C97" s="20" t="s">
        <v>663</v>
      </c>
      <c r="D97" s="39" t="s">
        <v>664</v>
      </c>
      <c r="E97" s="30" t="s">
        <v>63</v>
      </c>
      <c r="F97" s="20" t="s">
        <v>665</v>
      </c>
      <c r="G97" s="20" t="s">
        <v>666</v>
      </c>
      <c r="H97" s="30" t="s">
        <v>667</v>
      </c>
      <c r="I97" s="35"/>
      <c r="J97" s="35"/>
      <c r="K97" s="30">
        <v>1493.0</v>
      </c>
      <c r="L97" s="30" t="s">
        <v>668</v>
      </c>
      <c r="M97" s="30" t="s">
        <v>94</v>
      </c>
      <c r="N97" s="32" t="s">
        <v>39</v>
      </c>
      <c r="O97" s="30" t="s">
        <v>76</v>
      </c>
      <c r="P97" s="30" t="s">
        <v>669</v>
      </c>
      <c r="Q97" s="20"/>
      <c r="R97" s="30" t="s">
        <v>670</v>
      </c>
      <c r="S97" s="30" t="s">
        <v>643</v>
      </c>
      <c r="T97" s="35"/>
      <c r="U97" s="35"/>
      <c r="V97" s="38">
        <v>7102.22</v>
      </c>
      <c r="W97" s="38">
        <v>11380.0</v>
      </c>
      <c r="X97" s="30">
        <v>11000.0</v>
      </c>
      <c r="Y97" s="30">
        <v>11000.0</v>
      </c>
      <c r="Z97" s="16">
        <f t="shared" si="1"/>
        <v>380</v>
      </c>
      <c r="AA97" s="17">
        <f t="shared" si="2"/>
        <v>0</v>
      </c>
      <c r="AB97" s="30" t="s">
        <v>42</v>
      </c>
      <c r="AC97" s="20" t="s">
        <v>671</v>
      </c>
      <c r="AD97" s="23"/>
      <c r="AE97" s="23"/>
    </row>
    <row r="98">
      <c r="A98" s="19">
        <v>96.0</v>
      </c>
      <c r="B98" s="41">
        <v>46001.0</v>
      </c>
      <c r="C98" s="20" t="s">
        <v>672</v>
      </c>
      <c r="D98" s="39" t="s">
        <v>673</v>
      </c>
      <c r="E98" s="30" t="s">
        <v>98</v>
      </c>
      <c r="F98" s="20" t="s">
        <v>674</v>
      </c>
      <c r="G98" s="20" t="s">
        <v>675</v>
      </c>
      <c r="H98" s="30">
        <v>7.98417462E9</v>
      </c>
      <c r="I98" s="30">
        <v>9.558949865E9</v>
      </c>
      <c r="J98" s="30"/>
      <c r="K98" s="30">
        <v>28000.0</v>
      </c>
      <c r="L98" s="34">
        <v>46305.0</v>
      </c>
      <c r="M98" s="30" t="s">
        <v>237</v>
      </c>
      <c r="N98" s="32" t="s">
        <v>75</v>
      </c>
      <c r="O98" s="30" t="s">
        <v>47</v>
      </c>
      <c r="P98" s="30" t="s">
        <v>438</v>
      </c>
      <c r="Q98" s="20"/>
      <c r="R98" s="30" t="s">
        <v>676</v>
      </c>
      <c r="S98" s="33">
        <v>46269.0</v>
      </c>
      <c r="T98" s="30" t="s">
        <v>677</v>
      </c>
      <c r="U98" s="35"/>
      <c r="V98" s="30">
        <v>44050.0</v>
      </c>
      <c r="W98" s="30">
        <v>46266.0</v>
      </c>
      <c r="X98" s="30">
        <v>29500.0</v>
      </c>
      <c r="Y98" s="30">
        <v>30000.0</v>
      </c>
      <c r="Z98" s="26">
        <f t="shared" si="1"/>
        <v>16266</v>
      </c>
      <c r="AA98" s="17">
        <f t="shared" si="2"/>
        <v>500</v>
      </c>
      <c r="AB98" s="30" t="s">
        <v>42</v>
      </c>
      <c r="AC98" s="20" t="s">
        <v>678</v>
      </c>
      <c r="AD98" s="23"/>
      <c r="AE98" s="23"/>
    </row>
    <row r="99">
      <c r="A99" s="19">
        <v>97.0</v>
      </c>
      <c r="B99" s="41">
        <v>46001.0</v>
      </c>
      <c r="C99" s="20" t="s">
        <v>679</v>
      </c>
      <c r="D99" s="39" t="s">
        <v>680</v>
      </c>
      <c r="E99" s="30" t="s">
        <v>51</v>
      </c>
      <c r="F99" s="20" t="s">
        <v>681</v>
      </c>
      <c r="G99" s="20" t="s">
        <v>682</v>
      </c>
      <c r="H99" s="30">
        <v>7.435911493E9</v>
      </c>
      <c r="I99" s="30">
        <v>7.283828728E9</v>
      </c>
      <c r="J99" s="30"/>
      <c r="K99" s="30">
        <v>3225.0</v>
      </c>
      <c r="L99" s="41">
        <v>46305.0</v>
      </c>
      <c r="M99" s="30" t="s">
        <v>126</v>
      </c>
      <c r="N99" s="32" t="s">
        <v>39</v>
      </c>
      <c r="O99" s="30" t="s">
        <v>221</v>
      </c>
      <c r="P99" s="30" t="s">
        <v>41</v>
      </c>
      <c r="Q99" s="20"/>
      <c r="R99" s="30" t="s">
        <v>683</v>
      </c>
      <c r="S99" s="30" t="s">
        <v>684</v>
      </c>
      <c r="T99" s="35"/>
      <c r="U99" s="35"/>
      <c r="V99" s="38">
        <v>17661.77</v>
      </c>
      <c r="W99" s="30">
        <v>18755.0</v>
      </c>
      <c r="X99" s="30">
        <v>13541.0</v>
      </c>
      <c r="Y99" s="30">
        <v>13000.0</v>
      </c>
      <c r="Z99" s="26">
        <f t="shared" si="1"/>
        <v>5755</v>
      </c>
      <c r="AA99" s="17">
        <f t="shared" si="2"/>
        <v>-541</v>
      </c>
      <c r="AB99" s="30" t="s">
        <v>42</v>
      </c>
      <c r="AC99" s="20" t="s">
        <v>685</v>
      </c>
      <c r="AD99" s="23"/>
      <c r="AE99" s="23"/>
    </row>
    <row r="100">
      <c r="A100" s="19">
        <v>98.0</v>
      </c>
      <c r="B100" s="41">
        <v>46001.0</v>
      </c>
      <c r="C100" s="20" t="s">
        <v>686</v>
      </c>
      <c r="D100" s="39">
        <v>7.10014444E8</v>
      </c>
      <c r="E100" s="30" t="s">
        <v>63</v>
      </c>
      <c r="F100" s="20" t="s">
        <v>687</v>
      </c>
      <c r="G100" s="20" t="s">
        <v>688</v>
      </c>
      <c r="H100" s="30">
        <v>7.8744299E9</v>
      </c>
      <c r="I100" s="30">
        <v>9.601445331E9</v>
      </c>
      <c r="J100" s="30"/>
      <c r="K100" s="42">
        <v>1197.0</v>
      </c>
      <c r="L100" s="41">
        <v>46305.0</v>
      </c>
      <c r="M100" s="30" t="s">
        <v>260</v>
      </c>
      <c r="N100" s="32" t="s">
        <v>66</v>
      </c>
      <c r="O100" s="30" t="s">
        <v>246</v>
      </c>
      <c r="P100" s="30" t="s">
        <v>67</v>
      </c>
      <c r="Q100" s="20"/>
      <c r="R100" s="34">
        <v>50749.0</v>
      </c>
      <c r="S100" s="30" t="s">
        <v>689</v>
      </c>
      <c r="T100" s="35"/>
      <c r="U100" s="35"/>
      <c r="V100" s="30">
        <v>11906.1</v>
      </c>
      <c r="W100" s="38">
        <v>14049.2</v>
      </c>
      <c r="X100" s="30">
        <v>14480.0</v>
      </c>
      <c r="Y100" s="30">
        <v>14500.0</v>
      </c>
      <c r="Z100" s="16">
        <f t="shared" si="1"/>
        <v>-450.8</v>
      </c>
      <c r="AA100" s="17">
        <f t="shared" si="2"/>
        <v>20</v>
      </c>
      <c r="AB100" s="30" t="s">
        <v>42</v>
      </c>
      <c r="AC100" s="20" t="s">
        <v>690</v>
      </c>
      <c r="AD100" s="23"/>
      <c r="AE100" s="23"/>
    </row>
    <row r="101">
      <c r="A101" s="19">
        <v>99.0</v>
      </c>
      <c r="B101" s="41">
        <v>46001.0</v>
      </c>
      <c r="C101" s="20" t="s">
        <v>691</v>
      </c>
      <c r="D101" s="39" t="s">
        <v>692</v>
      </c>
      <c r="E101" s="30" t="s">
        <v>34</v>
      </c>
      <c r="F101" s="20" t="s">
        <v>35</v>
      </c>
      <c r="G101" s="20" t="s">
        <v>693</v>
      </c>
      <c r="H101" s="30">
        <v>9.723210052E9</v>
      </c>
      <c r="I101" s="30">
        <v>7.359736111E9</v>
      </c>
      <c r="J101" s="30"/>
      <c r="K101" s="30">
        <v>236.0</v>
      </c>
      <c r="L101" s="41">
        <v>46336.0</v>
      </c>
      <c r="M101" s="30" t="s">
        <v>38</v>
      </c>
      <c r="N101" s="32" t="s">
        <v>39</v>
      </c>
      <c r="O101" s="30" t="s">
        <v>47</v>
      </c>
      <c r="P101" s="30" t="s">
        <v>41</v>
      </c>
      <c r="Q101" s="20"/>
      <c r="R101" s="34">
        <v>46731.0</v>
      </c>
      <c r="S101" s="34">
        <v>46366.0</v>
      </c>
      <c r="T101" s="35"/>
      <c r="U101" s="35"/>
      <c r="V101" s="30">
        <v>6128.0</v>
      </c>
      <c r="W101" s="30">
        <v>7232.0</v>
      </c>
      <c r="X101" s="30">
        <v>6500.0</v>
      </c>
      <c r="Y101" s="30">
        <v>6500.0</v>
      </c>
      <c r="Z101" s="26">
        <f t="shared" si="1"/>
        <v>732</v>
      </c>
      <c r="AA101" s="17">
        <f t="shared" si="2"/>
        <v>0</v>
      </c>
      <c r="AB101" s="30" t="s">
        <v>42</v>
      </c>
      <c r="AC101" s="20" t="s">
        <v>694</v>
      </c>
      <c r="AD101" s="23"/>
      <c r="AE101" s="23"/>
    </row>
    <row r="102">
      <c r="A102" s="19">
        <v>100.0</v>
      </c>
      <c r="B102" s="41">
        <v>46001.0</v>
      </c>
      <c r="C102" s="20" t="s">
        <v>695</v>
      </c>
      <c r="D102" s="39" t="s">
        <v>696</v>
      </c>
      <c r="E102" s="30" t="s">
        <v>63</v>
      </c>
      <c r="F102" s="20" t="s">
        <v>697</v>
      </c>
      <c r="G102" s="20" t="s">
        <v>698</v>
      </c>
      <c r="H102" s="30" t="s">
        <v>699</v>
      </c>
      <c r="I102" s="30">
        <v>9.099407436E9</v>
      </c>
      <c r="J102" s="30"/>
      <c r="K102" s="30">
        <v>1196.0</v>
      </c>
      <c r="L102" s="41">
        <v>46336.0</v>
      </c>
      <c r="M102" s="30" t="s">
        <v>700</v>
      </c>
      <c r="N102" s="32" t="s">
        <v>39</v>
      </c>
      <c r="O102" s="30" t="s">
        <v>165</v>
      </c>
      <c r="P102" s="30" t="s">
        <v>67</v>
      </c>
      <c r="Q102" s="20"/>
      <c r="R102" s="30" t="s">
        <v>701</v>
      </c>
      <c r="S102" s="33">
        <v>45698.0</v>
      </c>
      <c r="T102" s="35"/>
      <c r="U102" s="35"/>
      <c r="V102" s="30">
        <v>8588.0</v>
      </c>
      <c r="W102" s="30">
        <v>10134.0</v>
      </c>
      <c r="X102" s="30">
        <v>10928.0</v>
      </c>
      <c r="Y102" s="30">
        <v>10900.0</v>
      </c>
      <c r="Z102" s="26">
        <f t="shared" si="1"/>
        <v>-766</v>
      </c>
      <c r="AA102" s="17">
        <f t="shared" si="2"/>
        <v>-28</v>
      </c>
      <c r="AB102" s="30" t="s">
        <v>42</v>
      </c>
      <c r="AC102" s="20" t="s">
        <v>702</v>
      </c>
      <c r="AD102" s="23"/>
      <c r="AE102" s="23"/>
    </row>
    <row r="103">
      <c r="A103" s="19">
        <v>101.0</v>
      </c>
      <c r="B103" s="30" t="s">
        <v>703</v>
      </c>
      <c r="C103" s="20" t="s">
        <v>704</v>
      </c>
      <c r="D103" s="39" t="s">
        <v>705</v>
      </c>
      <c r="E103" s="30" t="s">
        <v>34</v>
      </c>
      <c r="F103" s="20" t="s">
        <v>35</v>
      </c>
      <c r="G103" s="20" t="s">
        <v>706</v>
      </c>
      <c r="H103" s="30">
        <v>9.979495473E9</v>
      </c>
      <c r="I103" s="30">
        <v>9.979495473E9</v>
      </c>
      <c r="J103" s="30"/>
      <c r="K103" s="30">
        <v>236.0</v>
      </c>
      <c r="L103" s="41">
        <v>46336.0</v>
      </c>
      <c r="M103" s="30" t="s">
        <v>38</v>
      </c>
      <c r="N103" s="32" t="s">
        <v>39</v>
      </c>
      <c r="O103" s="30" t="s">
        <v>56</v>
      </c>
      <c r="P103" s="30" t="s">
        <v>41</v>
      </c>
      <c r="Q103" s="30"/>
      <c r="R103" s="33">
        <v>46510.0</v>
      </c>
      <c r="S103" s="33">
        <v>46115.0</v>
      </c>
      <c r="T103" s="30" t="s">
        <v>707</v>
      </c>
      <c r="U103" s="35"/>
      <c r="V103" s="30">
        <v>6148.0</v>
      </c>
      <c r="W103" s="30">
        <v>7255.0</v>
      </c>
      <c r="X103" s="30">
        <v>6500.0</v>
      </c>
      <c r="Y103" s="30">
        <v>6000.0</v>
      </c>
      <c r="Z103" s="26">
        <f t="shared" si="1"/>
        <v>1255</v>
      </c>
      <c r="AA103" s="17">
        <f t="shared" si="2"/>
        <v>-500</v>
      </c>
      <c r="AB103" s="30" t="s">
        <v>42</v>
      </c>
      <c r="AC103" s="20" t="s">
        <v>708</v>
      </c>
      <c r="AD103" s="23"/>
      <c r="AE103" s="23"/>
    </row>
    <row r="104">
      <c r="A104" s="19">
        <v>102.0</v>
      </c>
      <c r="B104" s="30" t="s">
        <v>703</v>
      </c>
      <c r="C104" s="20" t="s">
        <v>709</v>
      </c>
      <c r="D104" s="39" t="s">
        <v>710</v>
      </c>
      <c r="E104" s="30" t="s">
        <v>34</v>
      </c>
      <c r="F104" s="20" t="s">
        <v>35</v>
      </c>
      <c r="G104" s="20" t="s">
        <v>711</v>
      </c>
      <c r="H104" s="30">
        <v>9.979046303E9</v>
      </c>
      <c r="I104" s="30">
        <v>8.160743279E9</v>
      </c>
      <c r="J104" s="30"/>
      <c r="K104" s="30">
        <v>236.0</v>
      </c>
      <c r="L104" s="41">
        <v>46336.0</v>
      </c>
      <c r="M104" s="30" t="s">
        <v>38</v>
      </c>
      <c r="N104" s="32" t="s">
        <v>39</v>
      </c>
      <c r="O104" s="30" t="s">
        <v>40</v>
      </c>
      <c r="P104" s="30" t="s">
        <v>41</v>
      </c>
      <c r="Q104" s="20"/>
      <c r="R104" s="33">
        <v>46244.0</v>
      </c>
      <c r="S104" s="34">
        <v>46305.0</v>
      </c>
      <c r="T104" s="30" t="s">
        <v>214</v>
      </c>
      <c r="U104" s="35"/>
      <c r="V104" s="30">
        <v>6620.0</v>
      </c>
      <c r="W104" s="30">
        <v>7812.0</v>
      </c>
      <c r="X104" s="30">
        <v>6500.0</v>
      </c>
      <c r="Y104" s="30">
        <v>6500.0</v>
      </c>
      <c r="Z104" s="26">
        <f t="shared" si="1"/>
        <v>1312</v>
      </c>
      <c r="AA104" s="17">
        <f t="shared" si="2"/>
        <v>0</v>
      </c>
      <c r="AB104" s="30" t="s">
        <v>42</v>
      </c>
      <c r="AC104" s="20" t="s">
        <v>712</v>
      </c>
      <c r="AD104" s="23"/>
      <c r="AE104" s="23"/>
    </row>
    <row r="105">
      <c r="A105" s="19">
        <v>103.0</v>
      </c>
      <c r="B105" s="30" t="s">
        <v>703</v>
      </c>
      <c r="C105" s="20" t="s">
        <v>713</v>
      </c>
      <c r="D105" s="39" t="s">
        <v>714</v>
      </c>
      <c r="E105" s="30" t="s">
        <v>34</v>
      </c>
      <c r="F105" s="20" t="s">
        <v>35</v>
      </c>
      <c r="G105" s="20" t="s">
        <v>715</v>
      </c>
      <c r="H105" s="30">
        <v>9.924435786E9</v>
      </c>
      <c r="I105" s="30">
        <v>8.160501689E9</v>
      </c>
      <c r="J105" s="30"/>
      <c r="K105" s="30">
        <v>236.0</v>
      </c>
      <c r="L105" s="41">
        <v>46336.0</v>
      </c>
      <c r="M105" s="30" t="s">
        <v>38</v>
      </c>
      <c r="N105" s="32" t="s">
        <v>39</v>
      </c>
      <c r="O105" s="30" t="s">
        <v>76</v>
      </c>
      <c r="P105" s="30" t="s">
        <v>41</v>
      </c>
      <c r="Q105" s="20"/>
      <c r="R105" s="33">
        <v>46302.0</v>
      </c>
      <c r="S105" s="34">
        <v>46305.0</v>
      </c>
      <c r="T105" s="35"/>
      <c r="U105" s="35"/>
      <c r="V105" s="30">
        <v>6355.0</v>
      </c>
      <c r="W105" s="30">
        <v>7499.0</v>
      </c>
      <c r="X105" s="30">
        <v>6500.0</v>
      </c>
      <c r="Y105" s="30">
        <v>6000.0</v>
      </c>
      <c r="Z105" s="26">
        <f t="shared" si="1"/>
        <v>1499</v>
      </c>
      <c r="AA105" s="17">
        <f t="shared" si="2"/>
        <v>-500</v>
      </c>
      <c r="AB105" s="30" t="s">
        <v>42</v>
      </c>
      <c r="AC105" s="20" t="s">
        <v>716</v>
      </c>
      <c r="AD105" s="23"/>
      <c r="AE105" s="23"/>
    </row>
    <row r="106">
      <c r="A106" s="19">
        <v>104.0</v>
      </c>
      <c r="B106" s="30" t="s">
        <v>703</v>
      </c>
      <c r="C106" s="20" t="s">
        <v>717</v>
      </c>
      <c r="D106" s="39" t="s">
        <v>718</v>
      </c>
      <c r="E106" s="30" t="s">
        <v>34</v>
      </c>
      <c r="F106" s="20" t="s">
        <v>35</v>
      </c>
      <c r="G106" s="20" t="s">
        <v>719</v>
      </c>
      <c r="H106" s="30">
        <v>9.327379445E9</v>
      </c>
      <c r="I106" s="30">
        <v>7.57422405E9</v>
      </c>
      <c r="J106" s="30"/>
      <c r="K106" s="30">
        <v>236.0</v>
      </c>
      <c r="L106" s="41">
        <v>46366.0</v>
      </c>
      <c r="M106" s="30" t="s">
        <v>38</v>
      </c>
      <c r="N106" s="32" t="s">
        <v>39</v>
      </c>
      <c r="O106" s="30" t="s">
        <v>47</v>
      </c>
      <c r="P106" s="30" t="s">
        <v>41</v>
      </c>
      <c r="Q106" s="20"/>
      <c r="R106" s="30" t="s">
        <v>720</v>
      </c>
      <c r="S106" s="34">
        <v>46366.0</v>
      </c>
      <c r="T106" s="30" t="s">
        <v>381</v>
      </c>
      <c r="U106" s="35"/>
      <c r="V106" s="30">
        <v>6193.0</v>
      </c>
      <c r="W106" s="30">
        <v>7308.0</v>
      </c>
      <c r="X106" s="30">
        <v>6500.0</v>
      </c>
      <c r="Y106" s="30">
        <v>6500.0</v>
      </c>
      <c r="Z106" s="26">
        <f t="shared" si="1"/>
        <v>808</v>
      </c>
      <c r="AA106" s="17">
        <f t="shared" si="2"/>
        <v>0</v>
      </c>
      <c r="AB106" s="30" t="s">
        <v>42</v>
      </c>
      <c r="AC106" s="20" t="s">
        <v>721</v>
      </c>
      <c r="AD106" s="23"/>
      <c r="AE106" s="23"/>
    </row>
    <row r="107">
      <c r="A107" s="19">
        <v>105.0</v>
      </c>
      <c r="B107" s="30" t="s">
        <v>703</v>
      </c>
      <c r="C107" s="20" t="s">
        <v>722</v>
      </c>
      <c r="D107" s="39" t="s">
        <v>723</v>
      </c>
      <c r="E107" s="30" t="s">
        <v>34</v>
      </c>
      <c r="F107" s="20" t="s">
        <v>35</v>
      </c>
      <c r="G107" s="20" t="s">
        <v>724</v>
      </c>
      <c r="H107" s="30">
        <v>9.824016604E9</v>
      </c>
      <c r="I107" s="56">
        <v>7.984055376E9</v>
      </c>
      <c r="J107" s="56"/>
      <c r="K107" s="30">
        <v>236.0</v>
      </c>
      <c r="L107" s="41">
        <v>46366.0</v>
      </c>
      <c r="M107" s="30" t="s">
        <v>38</v>
      </c>
      <c r="N107" s="32" t="s">
        <v>39</v>
      </c>
      <c r="O107" s="30" t="s">
        <v>47</v>
      </c>
      <c r="P107" s="30" t="s">
        <v>41</v>
      </c>
      <c r="Q107" s="20"/>
      <c r="R107" s="30" t="s">
        <v>725</v>
      </c>
      <c r="S107" s="30" t="s">
        <v>726</v>
      </c>
      <c r="T107" s="30" t="s">
        <v>727</v>
      </c>
      <c r="U107" s="35"/>
      <c r="V107" s="30">
        <v>6239.0</v>
      </c>
      <c r="W107" s="30">
        <v>7363.0</v>
      </c>
      <c r="X107" s="30">
        <v>6500.0</v>
      </c>
      <c r="Y107" s="30">
        <v>6500.0</v>
      </c>
      <c r="Z107" s="26">
        <f t="shared" si="1"/>
        <v>863</v>
      </c>
      <c r="AA107" s="17">
        <f t="shared" si="2"/>
        <v>0</v>
      </c>
      <c r="AB107" s="30" t="s">
        <v>42</v>
      </c>
      <c r="AC107" s="20" t="s">
        <v>728</v>
      </c>
      <c r="AD107" s="23"/>
      <c r="AE107" s="23"/>
    </row>
    <row r="108">
      <c r="A108" s="19">
        <v>106.0</v>
      </c>
      <c r="B108" s="30" t="s">
        <v>703</v>
      </c>
      <c r="C108" s="20" t="s">
        <v>729</v>
      </c>
      <c r="D108" s="39" t="s">
        <v>730</v>
      </c>
      <c r="E108" s="30" t="s">
        <v>98</v>
      </c>
      <c r="F108" s="20" t="s">
        <v>731</v>
      </c>
      <c r="G108" s="20" t="s">
        <v>732</v>
      </c>
      <c r="H108" s="30" t="s">
        <v>733</v>
      </c>
      <c r="I108" s="35"/>
      <c r="J108" s="35"/>
      <c r="K108" s="30">
        <v>25000.0</v>
      </c>
      <c r="L108" s="41">
        <v>46366.0</v>
      </c>
      <c r="M108" s="30" t="s">
        <v>634</v>
      </c>
      <c r="N108" s="32" t="s">
        <v>39</v>
      </c>
      <c r="O108" s="30" t="s">
        <v>47</v>
      </c>
      <c r="P108" s="30" t="s">
        <v>57</v>
      </c>
      <c r="Q108" s="20"/>
      <c r="R108" s="33">
        <v>46091.0</v>
      </c>
      <c r="S108" s="30" t="s">
        <v>536</v>
      </c>
      <c r="T108" s="33">
        <v>47161.0</v>
      </c>
      <c r="U108" s="35"/>
      <c r="V108" s="38">
        <v>48719.0</v>
      </c>
      <c r="W108" s="38">
        <v>51775.0</v>
      </c>
      <c r="X108" s="30">
        <v>41500.0</v>
      </c>
      <c r="Y108" s="30">
        <v>41500.0</v>
      </c>
      <c r="Z108" s="16">
        <f t="shared" si="1"/>
        <v>10275</v>
      </c>
      <c r="AA108" s="17">
        <f t="shared" si="2"/>
        <v>0</v>
      </c>
      <c r="AB108" s="30" t="s">
        <v>42</v>
      </c>
      <c r="AC108" s="20" t="s">
        <v>734</v>
      </c>
      <c r="AD108" s="23"/>
      <c r="AE108" s="23"/>
    </row>
    <row r="109">
      <c r="A109" s="19">
        <v>107.0</v>
      </c>
      <c r="B109" s="30" t="s">
        <v>703</v>
      </c>
      <c r="C109" s="20" t="s">
        <v>735</v>
      </c>
      <c r="D109" s="20" t="s">
        <v>736</v>
      </c>
      <c r="E109" s="30" t="s">
        <v>51</v>
      </c>
      <c r="F109" s="20" t="s">
        <v>423</v>
      </c>
      <c r="G109" s="20" t="s">
        <v>737</v>
      </c>
      <c r="H109" s="30">
        <v>9.510544813E9</v>
      </c>
      <c r="I109" s="30">
        <v>6.352793095E9</v>
      </c>
      <c r="J109" s="30"/>
      <c r="K109" s="30">
        <v>3895.0</v>
      </c>
      <c r="L109" s="30" t="s">
        <v>738</v>
      </c>
      <c r="M109" s="30" t="s">
        <v>228</v>
      </c>
      <c r="N109" s="32" t="s">
        <v>39</v>
      </c>
      <c r="O109" s="30" t="s">
        <v>213</v>
      </c>
      <c r="P109" s="30" t="s">
        <v>57</v>
      </c>
      <c r="Q109" s="20"/>
      <c r="R109" s="30" t="s">
        <v>739</v>
      </c>
      <c r="S109" s="30" t="s">
        <v>740</v>
      </c>
      <c r="T109" s="30" t="s">
        <v>741</v>
      </c>
      <c r="U109" s="35"/>
      <c r="V109" s="38">
        <v>22342.0</v>
      </c>
      <c r="W109" s="38">
        <v>24277.0</v>
      </c>
      <c r="X109" s="30">
        <v>21000.0</v>
      </c>
      <c r="Y109" s="30">
        <v>21000.0</v>
      </c>
      <c r="Z109" s="16">
        <f t="shared" si="1"/>
        <v>3277</v>
      </c>
      <c r="AA109" s="17">
        <f t="shared" si="2"/>
        <v>0</v>
      </c>
      <c r="AB109" s="30" t="s">
        <v>42</v>
      </c>
      <c r="AC109" s="20" t="s">
        <v>742</v>
      </c>
      <c r="AD109" s="23"/>
      <c r="AE109" s="23"/>
    </row>
    <row r="110">
      <c r="A110" s="19">
        <v>108.0</v>
      </c>
      <c r="B110" s="30" t="s">
        <v>743</v>
      </c>
      <c r="C110" s="20" t="s">
        <v>744</v>
      </c>
      <c r="D110" s="20" t="s">
        <v>745</v>
      </c>
      <c r="E110" s="30" t="s">
        <v>51</v>
      </c>
      <c r="F110" s="20" t="s">
        <v>746</v>
      </c>
      <c r="G110" s="20" t="s">
        <v>747</v>
      </c>
      <c r="H110" s="30" t="s">
        <v>748</v>
      </c>
      <c r="I110" s="30">
        <v>9.879021498E9</v>
      </c>
      <c r="J110" s="30"/>
      <c r="K110" s="30">
        <v>1950.0</v>
      </c>
      <c r="L110" s="30" t="s">
        <v>749</v>
      </c>
      <c r="M110" s="30" t="s">
        <v>55</v>
      </c>
      <c r="N110" s="32" t="s">
        <v>39</v>
      </c>
      <c r="O110" s="30" t="s">
        <v>221</v>
      </c>
      <c r="P110" s="30" t="s">
        <v>41</v>
      </c>
      <c r="Q110" s="20"/>
      <c r="R110" s="30" t="s">
        <v>750</v>
      </c>
      <c r="S110" s="33">
        <v>45880.0</v>
      </c>
      <c r="T110" s="35"/>
      <c r="U110" s="35"/>
      <c r="V110" s="38">
        <v>19972.0</v>
      </c>
      <c r="W110" s="38">
        <v>21481.0</v>
      </c>
      <c r="X110" s="30">
        <v>13899.0</v>
      </c>
      <c r="Y110" s="30">
        <v>14000.0</v>
      </c>
      <c r="Z110" s="16">
        <f t="shared" si="1"/>
        <v>7481</v>
      </c>
      <c r="AA110" s="17">
        <f t="shared" si="2"/>
        <v>101</v>
      </c>
      <c r="AB110" s="30" t="s">
        <v>42</v>
      </c>
      <c r="AC110" s="20" t="s">
        <v>751</v>
      </c>
      <c r="AD110" s="23"/>
      <c r="AE110" s="23"/>
    </row>
    <row r="111">
      <c r="A111" s="19">
        <v>109.0</v>
      </c>
      <c r="B111" s="30" t="s">
        <v>743</v>
      </c>
      <c r="C111" s="20" t="s">
        <v>752</v>
      </c>
      <c r="D111" s="20" t="s">
        <v>753</v>
      </c>
      <c r="E111" s="30" t="s">
        <v>51</v>
      </c>
      <c r="F111" s="20" t="s">
        <v>754</v>
      </c>
      <c r="G111" s="20" t="s">
        <v>755</v>
      </c>
      <c r="H111" s="30">
        <v>9.106477156E9</v>
      </c>
      <c r="I111" s="30">
        <v>9.898678986E9</v>
      </c>
      <c r="J111" s="30"/>
      <c r="K111" s="30">
        <v>1600.0</v>
      </c>
      <c r="L111" s="41">
        <v>46366.0</v>
      </c>
      <c r="M111" s="30" t="s">
        <v>55</v>
      </c>
      <c r="N111" s="32" t="s">
        <v>39</v>
      </c>
      <c r="O111" s="30" t="s">
        <v>47</v>
      </c>
      <c r="P111" s="30" t="s">
        <v>41</v>
      </c>
      <c r="Q111" s="20"/>
      <c r="R111" s="30" t="s">
        <v>756</v>
      </c>
      <c r="S111" s="33">
        <v>45789.0</v>
      </c>
      <c r="T111" s="35"/>
      <c r="U111" s="35"/>
      <c r="V111" s="38">
        <v>17379.0</v>
      </c>
      <c r="W111" s="38">
        <v>18421.0</v>
      </c>
      <c r="X111" s="30">
        <v>12438.0</v>
      </c>
      <c r="Y111" s="30">
        <v>12000.0</v>
      </c>
      <c r="Z111" s="16">
        <f t="shared" si="1"/>
        <v>6421</v>
      </c>
      <c r="AA111" s="17">
        <f t="shared" si="2"/>
        <v>-438</v>
      </c>
      <c r="AB111" s="30" t="s">
        <v>42</v>
      </c>
      <c r="AC111" s="20" t="s">
        <v>757</v>
      </c>
      <c r="AD111" s="23"/>
      <c r="AE111" s="23"/>
    </row>
    <row r="112">
      <c r="A112" s="19">
        <v>110.0</v>
      </c>
      <c r="B112" s="30" t="s">
        <v>743</v>
      </c>
      <c r="C112" s="20" t="s">
        <v>758</v>
      </c>
      <c r="D112" s="20" t="s">
        <v>759</v>
      </c>
      <c r="E112" s="30" t="s">
        <v>51</v>
      </c>
      <c r="F112" s="20" t="s">
        <v>52</v>
      </c>
      <c r="G112" s="20" t="s">
        <v>760</v>
      </c>
      <c r="H112" s="30">
        <v>7.567080879E9</v>
      </c>
      <c r="I112" s="30">
        <v>9.328700324E9</v>
      </c>
      <c r="J112" s="30"/>
      <c r="K112" s="30">
        <v>1600.0</v>
      </c>
      <c r="L112" s="30" t="s">
        <v>761</v>
      </c>
      <c r="M112" s="30" t="s">
        <v>55</v>
      </c>
      <c r="N112" s="32" t="s">
        <v>39</v>
      </c>
      <c r="O112" s="30" t="s">
        <v>127</v>
      </c>
      <c r="P112" s="30" t="s">
        <v>41</v>
      </c>
      <c r="Q112" s="20"/>
      <c r="R112" s="30" t="s">
        <v>762</v>
      </c>
      <c r="S112" s="30" t="s">
        <v>763</v>
      </c>
      <c r="T112" s="35"/>
      <c r="U112" s="35"/>
      <c r="V112" s="38">
        <v>19668.0</v>
      </c>
      <c r="W112" s="38">
        <v>21122.0</v>
      </c>
      <c r="X112" s="30">
        <v>13731.0</v>
      </c>
      <c r="Y112" s="30">
        <v>14000.0</v>
      </c>
      <c r="Z112" s="16">
        <f t="shared" si="1"/>
        <v>7122</v>
      </c>
      <c r="AA112" s="17">
        <f t="shared" si="2"/>
        <v>269</v>
      </c>
      <c r="AB112" s="30" t="s">
        <v>42</v>
      </c>
      <c r="AC112" s="20" t="s">
        <v>764</v>
      </c>
      <c r="AD112" s="23"/>
      <c r="AE112" s="23"/>
    </row>
    <row r="113">
      <c r="A113" s="19">
        <v>111.0</v>
      </c>
      <c r="B113" s="30" t="s">
        <v>743</v>
      </c>
      <c r="C113" s="20" t="s">
        <v>765</v>
      </c>
      <c r="D113" s="20" t="s">
        <v>766</v>
      </c>
      <c r="E113" s="30" t="s">
        <v>51</v>
      </c>
      <c r="F113" s="20" t="s">
        <v>767</v>
      </c>
      <c r="G113" s="20" t="s">
        <v>768</v>
      </c>
      <c r="H113" s="30" t="s">
        <v>769</v>
      </c>
      <c r="I113" s="30">
        <v>8.758560088E9</v>
      </c>
      <c r="J113" s="30"/>
      <c r="K113" s="30">
        <v>2960.0</v>
      </c>
      <c r="L113" s="41">
        <v>46366.0</v>
      </c>
      <c r="M113" s="30" t="s">
        <v>188</v>
      </c>
      <c r="N113" s="32" t="s">
        <v>39</v>
      </c>
      <c r="O113" s="30" t="s">
        <v>47</v>
      </c>
      <c r="P113" s="30" t="s">
        <v>41</v>
      </c>
      <c r="Q113" s="20"/>
      <c r="R113" s="33">
        <v>45880.0</v>
      </c>
      <c r="S113" s="30" t="s">
        <v>770</v>
      </c>
      <c r="T113" s="35"/>
      <c r="U113" s="35"/>
      <c r="V113" s="38">
        <v>17210.0</v>
      </c>
      <c r="W113" s="38">
        <v>18222.0</v>
      </c>
      <c r="X113" s="30">
        <v>12387.0</v>
      </c>
      <c r="Y113" s="30">
        <v>12000.0</v>
      </c>
      <c r="Z113" s="16">
        <f t="shared" si="1"/>
        <v>6222</v>
      </c>
      <c r="AA113" s="17">
        <f t="shared" si="2"/>
        <v>-387</v>
      </c>
      <c r="AB113" s="30" t="s">
        <v>42</v>
      </c>
      <c r="AC113" s="20" t="s">
        <v>771</v>
      </c>
      <c r="AD113" s="23"/>
      <c r="AE113" s="23"/>
    </row>
    <row r="114">
      <c r="A114" s="19">
        <v>112.0</v>
      </c>
      <c r="B114" s="30" t="s">
        <v>743</v>
      </c>
      <c r="C114" s="20" t="s">
        <v>772</v>
      </c>
      <c r="D114" s="20" t="s">
        <v>773</v>
      </c>
      <c r="E114" s="30" t="s">
        <v>34</v>
      </c>
      <c r="F114" s="20" t="s">
        <v>35</v>
      </c>
      <c r="G114" s="20" t="s">
        <v>774</v>
      </c>
      <c r="H114" s="30">
        <v>9.328479979E9</v>
      </c>
      <c r="I114" s="30">
        <v>9.664901881E9</v>
      </c>
      <c r="J114" s="30"/>
      <c r="K114" s="30">
        <v>236.0</v>
      </c>
      <c r="L114" s="30" t="s">
        <v>749</v>
      </c>
      <c r="M114" s="30" t="s">
        <v>38</v>
      </c>
      <c r="N114" s="32" t="s">
        <v>39</v>
      </c>
      <c r="O114" s="30" t="s">
        <v>47</v>
      </c>
      <c r="P114" s="30" t="s">
        <v>41</v>
      </c>
      <c r="Q114" s="20"/>
      <c r="R114" s="30" t="s">
        <v>580</v>
      </c>
      <c r="S114" s="34">
        <v>46366.0</v>
      </c>
      <c r="T114" s="30" t="s">
        <v>775</v>
      </c>
      <c r="U114" s="35"/>
      <c r="V114" s="30">
        <v>6332.0</v>
      </c>
      <c r="W114" s="30">
        <v>7472.0</v>
      </c>
      <c r="X114" s="30">
        <v>6500.0</v>
      </c>
      <c r="Y114" s="30">
        <v>6500.0</v>
      </c>
      <c r="Z114" s="26">
        <f t="shared" si="1"/>
        <v>972</v>
      </c>
      <c r="AA114" s="17">
        <f t="shared" si="2"/>
        <v>0</v>
      </c>
      <c r="AB114" s="30" t="s">
        <v>42</v>
      </c>
      <c r="AC114" s="20" t="s">
        <v>776</v>
      </c>
      <c r="AD114" s="23"/>
      <c r="AE114" s="23"/>
    </row>
    <row r="115">
      <c r="A115" s="19">
        <v>113.0</v>
      </c>
      <c r="B115" s="30" t="s">
        <v>743</v>
      </c>
      <c r="C115" s="20" t="s">
        <v>777</v>
      </c>
      <c r="D115" s="20" t="s">
        <v>778</v>
      </c>
      <c r="E115" s="30" t="s">
        <v>98</v>
      </c>
      <c r="F115" s="20" t="s">
        <v>779</v>
      </c>
      <c r="G115" s="20" t="s">
        <v>780</v>
      </c>
      <c r="H115" s="30" t="s">
        <v>781</v>
      </c>
      <c r="I115" s="35"/>
      <c r="J115" s="35"/>
      <c r="K115" s="30">
        <v>35000.0</v>
      </c>
      <c r="L115" s="30" t="s">
        <v>738</v>
      </c>
      <c r="M115" s="30" t="s">
        <v>126</v>
      </c>
      <c r="N115" s="32" t="s">
        <v>39</v>
      </c>
      <c r="O115" s="30" t="s">
        <v>76</v>
      </c>
      <c r="P115" s="30" t="s">
        <v>41</v>
      </c>
      <c r="Q115" s="20"/>
      <c r="R115" s="30" t="s">
        <v>293</v>
      </c>
      <c r="S115" s="33">
        <v>46056.0</v>
      </c>
      <c r="T115" s="33">
        <v>47371.0</v>
      </c>
      <c r="U115" s="35"/>
      <c r="V115" s="38">
        <v>47530.23</v>
      </c>
      <c r="W115" s="30">
        <v>50372.0</v>
      </c>
      <c r="X115" s="30">
        <v>41000.0</v>
      </c>
      <c r="Y115" s="30">
        <v>41000.0</v>
      </c>
      <c r="Z115" s="26">
        <f t="shared" si="1"/>
        <v>9372</v>
      </c>
      <c r="AA115" s="17">
        <f t="shared" si="2"/>
        <v>0</v>
      </c>
      <c r="AB115" s="30" t="s">
        <v>42</v>
      </c>
      <c r="AC115" s="20" t="s">
        <v>782</v>
      </c>
      <c r="AD115" s="23"/>
      <c r="AE115" s="23"/>
    </row>
    <row r="116">
      <c r="A116" s="19">
        <v>114.0</v>
      </c>
      <c r="B116" s="30" t="s">
        <v>743</v>
      </c>
      <c r="C116" s="20" t="s">
        <v>783</v>
      </c>
      <c r="D116" s="20" t="s">
        <v>784</v>
      </c>
      <c r="E116" s="30" t="s">
        <v>90</v>
      </c>
      <c r="F116" s="20" t="s">
        <v>275</v>
      </c>
      <c r="G116" s="20" t="s">
        <v>785</v>
      </c>
      <c r="H116" s="30">
        <v>9.664901881E9</v>
      </c>
      <c r="I116" s="30">
        <v>9.978269232E9</v>
      </c>
      <c r="J116" s="30"/>
      <c r="K116" s="30">
        <v>995.0</v>
      </c>
      <c r="L116" s="30" t="s">
        <v>749</v>
      </c>
      <c r="M116" s="30" t="s">
        <v>126</v>
      </c>
      <c r="N116" s="32" t="s">
        <v>39</v>
      </c>
      <c r="O116" s="30" t="s">
        <v>246</v>
      </c>
      <c r="P116" s="30" t="s">
        <v>41</v>
      </c>
      <c r="Q116" s="20"/>
      <c r="R116" s="30" t="s">
        <v>786</v>
      </c>
      <c r="S116" s="30" t="s">
        <v>787</v>
      </c>
      <c r="T116" s="35"/>
      <c r="U116" s="35"/>
      <c r="V116" s="38">
        <v>5552.54</v>
      </c>
      <c r="W116" s="30">
        <v>5968.0</v>
      </c>
      <c r="X116" s="30">
        <v>5000.0</v>
      </c>
      <c r="Y116" s="30">
        <v>4500.0</v>
      </c>
      <c r="Z116" s="26">
        <f t="shared" si="1"/>
        <v>1468</v>
      </c>
      <c r="AA116" s="17">
        <f t="shared" si="2"/>
        <v>-500</v>
      </c>
      <c r="AB116" s="30" t="s">
        <v>42</v>
      </c>
      <c r="AC116" s="20" t="s">
        <v>788</v>
      </c>
      <c r="AD116" s="23"/>
      <c r="AE116" s="23"/>
    </row>
    <row r="117">
      <c r="A117" s="19">
        <v>115.0</v>
      </c>
      <c r="B117" s="30" t="s">
        <v>743</v>
      </c>
      <c r="C117" s="20" t="s">
        <v>789</v>
      </c>
      <c r="D117" s="20" t="s">
        <v>790</v>
      </c>
      <c r="E117" s="30" t="s">
        <v>98</v>
      </c>
      <c r="F117" s="20" t="s">
        <v>791</v>
      </c>
      <c r="G117" s="20" t="s">
        <v>792</v>
      </c>
      <c r="H117" s="30">
        <v>9.722223071E9</v>
      </c>
      <c r="I117" s="30">
        <v>8.320061495E9</v>
      </c>
      <c r="J117" s="30"/>
      <c r="K117" s="30">
        <v>16200.0</v>
      </c>
      <c r="L117" s="30" t="s">
        <v>749</v>
      </c>
      <c r="M117" s="30" t="s">
        <v>228</v>
      </c>
      <c r="N117" s="32" t="s">
        <v>75</v>
      </c>
      <c r="O117" s="30" t="s">
        <v>76</v>
      </c>
      <c r="P117" s="30" t="s">
        <v>57</v>
      </c>
      <c r="Q117" s="20"/>
      <c r="R117" s="33">
        <v>46117.0</v>
      </c>
      <c r="S117" s="30" t="s">
        <v>354</v>
      </c>
      <c r="T117" s="30" t="s">
        <v>793</v>
      </c>
      <c r="U117" s="35"/>
      <c r="V117" s="30">
        <v>35413.0</v>
      </c>
      <c r="W117" s="30">
        <v>37197.0</v>
      </c>
      <c r="X117" s="30">
        <v>25000.0</v>
      </c>
      <c r="Y117" s="30">
        <v>25000.0</v>
      </c>
      <c r="Z117" s="26">
        <f t="shared" si="1"/>
        <v>12197</v>
      </c>
      <c r="AA117" s="17">
        <f t="shared" si="2"/>
        <v>0</v>
      </c>
      <c r="AB117" s="30" t="s">
        <v>42</v>
      </c>
      <c r="AC117" s="20" t="s">
        <v>794</v>
      </c>
      <c r="AD117" s="23"/>
      <c r="AE117" s="23"/>
    </row>
    <row r="118">
      <c r="A118" s="19">
        <v>116.0</v>
      </c>
      <c r="B118" s="30" t="s">
        <v>743</v>
      </c>
      <c r="C118" s="20" t="s">
        <v>795</v>
      </c>
      <c r="D118" s="20" t="s">
        <v>796</v>
      </c>
      <c r="E118" s="30" t="s">
        <v>98</v>
      </c>
      <c r="F118" s="20" t="s">
        <v>797</v>
      </c>
      <c r="G118" s="20" t="s">
        <v>798</v>
      </c>
      <c r="H118" s="30">
        <v>7.572878023E9</v>
      </c>
      <c r="I118" s="30">
        <v>7.778956755E9</v>
      </c>
      <c r="J118" s="30"/>
      <c r="K118" s="30">
        <v>35000.0</v>
      </c>
      <c r="L118" s="30" t="s">
        <v>749</v>
      </c>
      <c r="M118" s="30" t="s">
        <v>634</v>
      </c>
      <c r="N118" s="32" t="s">
        <v>39</v>
      </c>
      <c r="O118" s="30" t="s">
        <v>47</v>
      </c>
      <c r="P118" s="30" t="s">
        <v>57</v>
      </c>
      <c r="Q118" s="20"/>
      <c r="R118" s="33">
        <v>45819.0</v>
      </c>
      <c r="S118" s="30" t="s">
        <v>677</v>
      </c>
      <c r="T118" s="30" t="s">
        <v>799</v>
      </c>
      <c r="U118" s="30" t="s">
        <v>800</v>
      </c>
      <c r="V118" s="38">
        <v>47807.0</v>
      </c>
      <c r="W118" s="38">
        <v>50699.0</v>
      </c>
      <c r="X118" s="30">
        <v>42000.0</v>
      </c>
      <c r="Y118" s="30">
        <v>42000.0</v>
      </c>
      <c r="Z118" s="16">
        <f t="shared" si="1"/>
        <v>8699</v>
      </c>
      <c r="AA118" s="17">
        <f t="shared" si="2"/>
        <v>0</v>
      </c>
      <c r="AB118" s="30" t="s">
        <v>42</v>
      </c>
      <c r="AC118" s="20" t="s">
        <v>801</v>
      </c>
      <c r="AD118" s="23"/>
      <c r="AE118" s="23"/>
    </row>
    <row r="119">
      <c r="A119" s="19">
        <v>117.0</v>
      </c>
      <c r="B119" s="30" t="s">
        <v>743</v>
      </c>
      <c r="C119" s="20" t="s">
        <v>802</v>
      </c>
      <c r="D119" s="20" t="s">
        <v>803</v>
      </c>
      <c r="E119" s="30" t="s">
        <v>82</v>
      </c>
      <c r="F119" s="20" t="s">
        <v>804</v>
      </c>
      <c r="G119" s="20" t="s">
        <v>805</v>
      </c>
      <c r="H119" s="30">
        <v>9.316812758E9</v>
      </c>
      <c r="I119" s="30">
        <v>9.51085285E9</v>
      </c>
      <c r="J119" s="30"/>
      <c r="K119" s="30">
        <v>125.0</v>
      </c>
      <c r="L119" s="30" t="s">
        <v>738</v>
      </c>
      <c r="M119" s="30" t="s">
        <v>237</v>
      </c>
      <c r="N119" s="32" t="s">
        <v>75</v>
      </c>
      <c r="O119" s="30" t="s">
        <v>76</v>
      </c>
      <c r="P119" s="30" t="s">
        <v>67</v>
      </c>
      <c r="Q119" s="20"/>
      <c r="R119" s="33">
        <v>47644.0</v>
      </c>
      <c r="S119" s="35"/>
      <c r="T119" s="35"/>
      <c r="U119" s="30" t="s">
        <v>800</v>
      </c>
      <c r="V119" s="30">
        <v>714.0</v>
      </c>
      <c r="W119" s="30">
        <v>843.0</v>
      </c>
      <c r="X119" s="30">
        <v>850.0</v>
      </c>
      <c r="Y119" s="30">
        <v>850.0</v>
      </c>
      <c r="Z119" s="26">
        <f t="shared" si="1"/>
        <v>-7</v>
      </c>
      <c r="AA119" s="17">
        <f t="shared" si="2"/>
        <v>0</v>
      </c>
      <c r="AB119" s="30" t="s">
        <v>42</v>
      </c>
      <c r="AC119" s="20" t="s">
        <v>806</v>
      </c>
      <c r="AD119" s="23"/>
      <c r="AE119" s="23"/>
    </row>
    <row r="120">
      <c r="A120" s="19">
        <v>118.0</v>
      </c>
      <c r="B120" s="30" t="s">
        <v>743</v>
      </c>
      <c r="C120" s="20" t="s">
        <v>807</v>
      </c>
      <c r="D120" s="20" t="s">
        <v>808</v>
      </c>
      <c r="E120" s="30" t="s">
        <v>51</v>
      </c>
      <c r="F120" s="20" t="s">
        <v>809</v>
      </c>
      <c r="G120" s="20" t="s">
        <v>810</v>
      </c>
      <c r="H120" s="30">
        <v>9.601445331E9</v>
      </c>
      <c r="I120" s="30">
        <v>9.727839583E9</v>
      </c>
      <c r="J120" s="30"/>
      <c r="K120" s="30">
        <v>2700.0</v>
      </c>
      <c r="L120" s="30" t="s">
        <v>749</v>
      </c>
      <c r="M120" s="30" t="s">
        <v>188</v>
      </c>
      <c r="N120" s="32" t="s">
        <v>39</v>
      </c>
      <c r="O120" s="30" t="s">
        <v>47</v>
      </c>
      <c r="P120" s="30" t="s">
        <v>41</v>
      </c>
      <c r="Q120" s="20"/>
      <c r="R120" s="30" t="s">
        <v>811</v>
      </c>
      <c r="S120" s="33">
        <v>46212.0</v>
      </c>
      <c r="T120" s="35"/>
      <c r="U120" s="30" t="s">
        <v>800</v>
      </c>
      <c r="V120" s="38">
        <v>17399.0</v>
      </c>
      <c r="W120" s="38">
        <v>18445.0</v>
      </c>
      <c r="X120" s="30">
        <v>12000.0</v>
      </c>
      <c r="Y120" s="30">
        <v>12000.0</v>
      </c>
      <c r="Z120" s="16">
        <f t="shared" si="1"/>
        <v>6445</v>
      </c>
      <c r="AA120" s="17">
        <f t="shared" si="2"/>
        <v>0</v>
      </c>
      <c r="AB120" s="30" t="s">
        <v>42</v>
      </c>
      <c r="AC120" s="20" t="s">
        <v>812</v>
      </c>
      <c r="AD120" s="23"/>
      <c r="AE120" s="23"/>
    </row>
    <row r="121">
      <c r="A121" s="19">
        <v>119.0</v>
      </c>
      <c r="B121" s="30" t="s">
        <v>813</v>
      </c>
      <c r="C121" s="20" t="s">
        <v>814</v>
      </c>
      <c r="D121" s="20" t="s">
        <v>815</v>
      </c>
      <c r="E121" s="30" t="s">
        <v>34</v>
      </c>
      <c r="F121" s="20" t="s">
        <v>35</v>
      </c>
      <c r="G121" s="20" t="s">
        <v>816</v>
      </c>
      <c r="H121" s="30">
        <v>8.140681132E9</v>
      </c>
      <c r="I121" s="30" t="s">
        <v>817</v>
      </c>
      <c r="J121" s="30"/>
      <c r="K121" s="30">
        <v>236.0</v>
      </c>
      <c r="L121" s="30" t="s">
        <v>749</v>
      </c>
      <c r="M121" s="30" t="s">
        <v>38</v>
      </c>
      <c r="N121" s="32" t="s">
        <v>39</v>
      </c>
      <c r="O121" s="30" t="s">
        <v>76</v>
      </c>
      <c r="P121" s="30" t="s">
        <v>41</v>
      </c>
      <c r="Q121" s="20"/>
      <c r="R121" s="30" t="s">
        <v>818</v>
      </c>
      <c r="S121" s="30" t="s">
        <v>819</v>
      </c>
      <c r="T121" s="30" t="s">
        <v>383</v>
      </c>
      <c r="U121" s="35"/>
      <c r="V121" s="30">
        <v>6461.0</v>
      </c>
      <c r="W121" s="30">
        <v>7624.0</v>
      </c>
      <c r="X121" s="30">
        <v>6500.0</v>
      </c>
      <c r="Y121" s="30">
        <v>6500.0</v>
      </c>
      <c r="Z121" s="26">
        <f t="shared" si="1"/>
        <v>1124</v>
      </c>
      <c r="AA121" s="17">
        <f t="shared" si="2"/>
        <v>0</v>
      </c>
      <c r="AB121" s="30" t="s">
        <v>42</v>
      </c>
      <c r="AC121" s="20" t="s">
        <v>820</v>
      </c>
      <c r="AD121" s="23"/>
      <c r="AE121" s="23"/>
    </row>
    <row r="122">
      <c r="A122" s="19">
        <v>120.0</v>
      </c>
      <c r="B122" s="30" t="s">
        <v>813</v>
      </c>
      <c r="C122" s="20" t="s">
        <v>821</v>
      </c>
      <c r="D122" s="20" t="s">
        <v>822</v>
      </c>
      <c r="E122" s="30" t="s">
        <v>34</v>
      </c>
      <c r="F122" s="20" t="s">
        <v>35</v>
      </c>
      <c r="G122" s="20" t="s">
        <v>823</v>
      </c>
      <c r="H122" s="30">
        <v>7.567290387E9</v>
      </c>
      <c r="I122" s="30">
        <v>9.978967487E9</v>
      </c>
      <c r="J122" s="30"/>
      <c r="K122" s="30">
        <v>236.0</v>
      </c>
      <c r="L122" s="30" t="s">
        <v>824</v>
      </c>
      <c r="M122" s="30" t="s">
        <v>38</v>
      </c>
      <c r="N122" s="32" t="s">
        <v>39</v>
      </c>
      <c r="O122" s="30" t="s">
        <v>213</v>
      </c>
      <c r="P122" s="30" t="s">
        <v>41</v>
      </c>
      <c r="Q122" s="20"/>
      <c r="R122" s="30" t="s">
        <v>739</v>
      </c>
      <c r="S122" s="30" t="s">
        <v>740</v>
      </c>
      <c r="T122" s="30" t="s">
        <v>383</v>
      </c>
      <c r="U122" s="35"/>
      <c r="V122" s="30">
        <v>6448.0</v>
      </c>
      <c r="W122" s="30">
        <v>7609.0</v>
      </c>
      <c r="X122" s="30">
        <v>6500.0</v>
      </c>
      <c r="Y122" s="30">
        <v>6200.0</v>
      </c>
      <c r="Z122" s="26">
        <f t="shared" si="1"/>
        <v>1409</v>
      </c>
      <c r="AA122" s="17">
        <f t="shared" si="2"/>
        <v>-300</v>
      </c>
      <c r="AB122" s="30" t="s">
        <v>42</v>
      </c>
      <c r="AC122" s="20" t="s">
        <v>825</v>
      </c>
      <c r="AD122" s="23"/>
      <c r="AE122" s="23"/>
    </row>
    <row r="123">
      <c r="A123" s="19">
        <v>121.0</v>
      </c>
      <c r="B123" s="30" t="s">
        <v>813</v>
      </c>
      <c r="C123" s="20" t="s">
        <v>826</v>
      </c>
      <c r="D123" s="20" t="s">
        <v>827</v>
      </c>
      <c r="E123" s="30" t="s">
        <v>34</v>
      </c>
      <c r="F123" s="20" t="s">
        <v>828</v>
      </c>
      <c r="G123" s="20" t="s">
        <v>829</v>
      </c>
      <c r="H123" s="30">
        <v>9.773215487E9</v>
      </c>
      <c r="I123" s="30">
        <v>9.979673499E9</v>
      </c>
      <c r="J123" s="30"/>
      <c r="K123" s="30">
        <v>470.0</v>
      </c>
      <c r="L123" s="30" t="s">
        <v>824</v>
      </c>
      <c r="M123" s="30" t="s">
        <v>38</v>
      </c>
      <c r="N123" s="32" t="s">
        <v>39</v>
      </c>
      <c r="O123" s="30" t="s">
        <v>47</v>
      </c>
      <c r="P123" s="30" t="s">
        <v>41</v>
      </c>
      <c r="Q123" s="20"/>
      <c r="R123" s="30" t="s">
        <v>800</v>
      </c>
      <c r="S123" s="33">
        <v>46058.0</v>
      </c>
      <c r="T123" s="33">
        <v>47188.0</v>
      </c>
      <c r="U123" s="35"/>
      <c r="V123" s="30">
        <v>6107.0</v>
      </c>
      <c r="W123" s="30">
        <v>7207.0</v>
      </c>
      <c r="X123" s="30">
        <v>6500.0</v>
      </c>
      <c r="Y123" s="30">
        <v>6500.0</v>
      </c>
      <c r="Z123" s="26">
        <f t="shared" si="1"/>
        <v>707</v>
      </c>
      <c r="AA123" s="17">
        <f t="shared" si="2"/>
        <v>0</v>
      </c>
      <c r="AB123" s="30" t="s">
        <v>42</v>
      </c>
      <c r="AC123" s="20" t="s">
        <v>830</v>
      </c>
      <c r="AD123" s="23"/>
      <c r="AE123" s="23"/>
    </row>
    <row r="124">
      <c r="A124" s="19">
        <v>122.0</v>
      </c>
      <c r="B124" s="30" t="s">
        <v>813</v>
      </c>
      <c r="C124" s="20" t="s">
        <v>831</v>
      </c>
      <c r="D124" s="39" t="s">
        <v>832</v>
      </c>
      <c r="E124" s="30" t="s">
        <v>34</v>
      </c>
      <c r="F124" s="20" t="s">
        <v>35</v>
      </c>
      <c r="G124" s="20" t="s">
        <v>833</v>
      </c>
      <c r="H124" s="30">
        <v>9.725864111E9</v>
      </c>
      <c r="I124" s="35"/>
      <c r="J124" s="35"/>
      <c r="K124" s="30">
        <v>236.0</v>
      </c>
      <c r="L124" s="30" t="s">
        <v>749</v>
      </c>
      <c r="M124" s="30" t="s">
        <v>38</v>
      </c>
      <c r="N124" s="32" t="s">
        <v>39</v>
      </c>
      <c r="O124" s="30" t="s">
        <v>76</v>
      </c>
      <c r="P124" s="30" t="s">
        <v>41</v>
      </c>
      <c r="Q124" s="20"/>
      <c r="R124" s="33">
        <v>43923.0</v>
      </c>
      <c r="S124" s="30" t="s">
        <v>834</v>
      </c>
      <c r="T124" s="35"/>
      <c r="U124" s="35"/>
      <c r="V124" s="30">
        <v>6286.0</v>
      </c>
      <c r="W124" s="30">
        <v>7418.0</v>
      </c>
      <c r="X124" s="30">
        <v>6500.0</v>
      </c>
      <c r="Y124" s="30">
        <v>6000.0</v>
      </c>
      <c r="Z124" s="26">
        <f t="shared" si="1"/>
        <v>1418</v>
      </c>
      <c r="AA124" s="17">
        <f t="shared" si="2"/>
        <v>-500</v>
      </c>
      <c r="AB124" s="30" t="s">
        <v>42</v>
      </c>
      <c r="AC124" s="20" t="s">
        <v>835</v>
      </c>
      <c r="AD124" s="23"/>
      <c r="AE124" s="23"/>
    </row>
    <row r="125">
      <c r="A125" s="19">
        <v>123.0</v>
      </c>
      <c r="B125" s="30" t="s">
        <v>813</v>
      </c>
      <c r="C125" s="20" t="s">
        <v>836</v>
      </c>
      <c r="D125" s="39" t="s">
        <v>837</v>
      </c>
      <c r="E125" s="30" t="s">
        <v>51</v>
      </c>
      <c r="F125" s="20" t="s">
        <v>392</v>
      </c>
      <c r="G125" s="20" t="s">
        <v>838</v>
      </c>
      <c r="H125" s="30">
        <v>9.099667887E9</v>
      </c>
      <c r="I125" s="30">
        <v>9.72511452E9</v>
      </c>
      <c r="J125" s="30"/>
      <c r="K125" s="30">
        <v>3490.0</v>
      </c>
      <c r="L125" s="30" t="s">
        <v>824</v>
      </c>
      <c r="M125" s="30" t="s">
        <v>228</v>
      </c>
      <c r="N125" s="32" t="s">
        <v>39</v>
      </c>
      <c r="O125" s="30" t="s">
        <v>40</v>
      </c>
      <c r="P125" s="30" t="s">
        <v>41</v>
      </c>
      <c r="Q125" s="20"/>
      <c r="R125" s="30" t="s">
        <v>839</v>
      </c>
      <c r="S125" s="30" t="s">
        <v>840</v>
      </c>
      <c r="T125" s="30" t="s">
        <v>841</v>
      </c>
      <c r="U125" s="35"/>
      <c r="V125" s="38">
        <v>23582.0</v>
      </c>
      <c r="W125" s="38">
        <v>25740.0</v>
      </c>
      <c r="X125" s="30">
        <v>17262.0</v>
      </c>
      <c r="Y125" s="30">
        <v>17500.0</v>
      </c>
      <c r="Z125" s="16">
        <f t="shared" si="1"/>
        <v>8240</v>
      </c>
      <c r="AA125" s="17">
        <f t="shared" si="2"/>
        <v>238</v>
      </c>
      <c r="AB125" s="30" t="s">
        <v>42</v>
      </c>
      <c r="AC125" s="20" t="s">
        <v>842</v>
      </c>
      <c r="AD125" s="23"/>
      <c r="AE125" s="23"/>
    </row>
    <row r="126">
      <c r="A126" s="19">
        <v>124.0</v>
      </c>
      <c r="B126" s="30" t="s">
        <v>813</v>
      </c>
      <c r="C126" s="20" t="s">
        <v>843</v>
      </c>
      <c r="D126" s="39" t="s">
        <v>844</v>
      </c>
      <c r="E126" s="30" t="s">
        <v>34</v>
      </c>
      <c r="F126" s="20" t="s">
        <v>35</v>
      </c>
      <c r="G126" s="20" t="s">
        <v>845</v>
      </c>
      <c r="H126" s="30">
        <v>9.26552441E9</v>
      </c>
      <c r="I126" s="30">
        <v>9.979221193E9</v>
      </c>
      <c r="J126" s="30"/>
      <c r="K126" s="30">
        <v>236.0</v>
      </c>
      <c r="L126" s="30" t="s">
        <v>846</v>
      </c>
      <c r="M126" s="30" t="s">
        <v>38</v>
      </c>
      <c r="N126" s="32" t="s">
        <v>39</v>
      </c>
      <c r="O126" s="30" t="s">
        <v>213</v>
      </c>
      <c r="P126" s="30" t="s">
        <v>41</v>
      </c>
      <c r="Q126" s="20"/>
      <c r="R126" s="30" t="s">
        <v>847</v>
      </c>
      <c r="S126" s="30" t="s">
        <v>800</v>
      </c>
      <c r="T126" s="34">
        <v>47433.0</v>
      </c>
      <c r="U126" s="35"/>
      <c r="V126" s="30">
        <v>6448.0</v>
      </c>
      <c r="W126" s="30">
        <v>7609.0</v>
      </c>
      <c r="X126" s="30">
        <v>6500.0</v>
      </c>
      <c r="Y126" s="30">
        <v>6500.0</v>
      </c>
      <c r="Z126" s="26">
        <f t="shared" si="1"/>
        <v>1109</v>
      </c>
      <c r="AA126" s="17">
        <f t="shared" si="2"/>
        <v>0</v>
      </c>
      <c r="AB126" s="30" t="s">
        <v>42</v>
      </c>
      <c r="AC126" s="20" t="s">
        <v>848</v>
      </c>
      <c r="AD126" s="23"/>
      <c r="AE126" s="23"/>
    </row>
    <row r="127">
      <c r="A127" s="19">
        <v>125.0</v>
      </c>
      <c r="B127" s="30" t="s">
        <v>813</v>
      </c>
      <c r="C127" s="20" t="s">
        <v>849</v>
      </c>
      <c r="D127" s="39">
        <v>6.303456024E9</v>
      </c>
      <c r="E127" s="30" t="s">
        <v>123</v>
      </c>
      <c r="F127" s="20" t="s">
        <v>850</v>
      </c>
      <c r="G127" s="20" t="s">
        <v>851</v>
      </c>
      <c r="H127" s="30">
        <v>9.725794288E9</v>
      </c>
      <c r="I127" s="30">
        <v>9.725794288E9</v>
      </c>
      <c r="J127" s="30"/>
      <c r="K127" s="35"/>
      <c r="L127" s="30" t="s">
        <v>738</v>
      </c>
      <c r="M127" s="30" t="s">
        <v>180</v>
      </c>
      <c r="N127" s="32" t="s">
        <v>39</v>
      </c>
      <c r="O127" s="30" t="s">
        <v>47</v>
      </c>
      <c r="P127" s="30" t="s">
        <v>57</v>
      </c>
      <c r="Q127" s="20"/>
      <c r="R127" s="30" t="s">
        <v>852</v>
      </c>
      <c r="S127" s="34">
        <v>46003.0</v>
      </c>
      <c r="T127" s="35"/>
      <c r="U127" s="35"/>
      <c r="V127" s="30">
        <v>9959.0</v>
      </c>
      <c r="W127" s="30">
        <v>11751.0</v>
      </c>
      <c r="X127" s="30">
        <v>11751.0</v>
      </c>
      <c r="Y127" s="30">
        <v>11750.0</v>
      </c>
      <c r="Z127" s="26">
        <f t="shared" si="1"/>
        <v>1</v>
      </c>
      <c r="AA127" s="17">
        <f t="shared" si="2"/>
        <v>-1</v>
      </c>
      <c r="AB127" s="30" t="s">
        <v>42</v>
      </c>
      <c r="AC127" s="20" t="s">
        <v>853</v>
      </c>
      <c r="AD127" s="23"/>
      <c r="AE127" s="23"/>
    </row>
    <row r="128">
      <c r="A128" s="19">
        <v>126.0</v>
      </c>
      <c r="B128" s="30" t="s">
        <v>813</v>
      </c>
      <c r="C128" s="20" t="s">
        <v>854</v>
      </c>
      <c r="D128" s="39">
        <v>6.205362241E9</v>
      </c>
      <c r="E128" s="30" t="s">
        <v>63</v>
      </c>
      <c r="F128" s="20" t="s">
        <v>855</v>
      </c>
      <c r="G128" s="20" t="s">
        <v>856</v>
      </c>
      <c r="H128" s="30">
        <v>9.879189919E9</v>
      </c>
      <c r="I128" s="35"/>
      <c r="J128" s="35"/>
      <c r="K128" s="30">
        <v>1248.0</v>
      </c>
      <c r="L128" s="30" t="s">
        <v>749</v>
      </c>
      <c r="M128" s="30" t="s">
        <v>180</v>
      </c>
      <c r="N128" s="32" t="s">
        <v>39</v>
      </c>
      <c r="O128" s="30" t="s">
        <v>76</v>
      </c>
      <c r="P128" s="30" t="s">
        <v>41</v>
      </c>
      <c r="Q128" s="20"/>
      <c r="R128" s="30" t="s">
        <v>857</v>
      </c>
      <c r="S128" s="35"/>
      <c r="T128" s="35"/>
      <c r="U128" s="35"/>
      <c r="V128" s="30">
        <v>4921.0</v>
      </c>
      <c r="W128" s="30">
        <v>5807.0</v>
      </c>
      <c r="X128" s="30">
        <v>6307.0</v>
      </c>
      <c r="Y128" s="30">
        <v>6300.0</v>
      </c>
      <c r="Z128" s="26">
        <f t="shared" si="1"/>
        <v>-493</v>
      </c>
      <c r="AA128" s="17">
        <f t="shared" si="2"/>
        <v>-7</v>
      </c>
      <c r="AB128" s="30" t="s">
        <v>42</v>
      </c>
      <c r="AC128" s="20" t="s">
        <v>858</v>
      </c>
      <c r="AD128" s="23"/>
      <c r="AE128" s="23"/>
    </row>
    <row r="129">
      <c r="A129" s="19">
        <v>127.0</v>
      </c>
      <c r="B129" s="30" t="s">
        <v>813</v>
      </c>
      <c r="C129" s="57" t="s">
        <v>859</v>
      </c>
      <c r="D129" s="39" t="s">
        <v>860</v>
      </c>
      <c r="E129" s="30" t="s">
        <v>51</v>
      </c>
      <c r="F129" s="20" t="s">
        <v>861</v>
      </c>
      <c r="G129" s="20" t="s">
        <v>862</v>
      </c>
      <c r="H129" s="30" t="s">
        <v>863</v>
      </c>
      <c r="I129" s="30">
        <v>8.81889059E9</v>
      </c>
      <c r="J129" s="30"/>
      <c r="K129" s="30">
        <v>2990.0</v>
      </c>
      <c r="L129" s="30" t="s">
        <v>749</v>
      </c>
      <c r="M129" s="30" t="s">
        <v>484</v>
      </c>
      <c r="N129" s="32" t="s">
        <v>39</v>
      </c>
      <c r="O129" s="30" t="s">
        <v>246</v>
      </c>
      <c r="P129" s="30" t="s">
        <v>41</v>
      </c>
      <c r="Q129" s="20"/>
      <c r="R129" s="30" t="s">
        <v>727</v>
      </c>
      <c r="S129" s="30" t="s">
        <v>388</v>
      </c>
      <c r="T129" s="35"/>
      <c r="U129" s="35"/>
      <c r="V129" s="38">
        <v>17779.0</v>
      </c>
      <c r="W129" s="38">
        <v>18881.0</v>
      </c>
      <c r="X129" s="30">
        <v>12701.0</v>
      </c>
      <c r="Y129" s="30">
        <v>12500.0</v>
      </c>
      <c r="Z129" s="16">
        <f t="shared" si="1"/>
        <v>6381</v>
      </c>
      <c r="AA129" s="17">
        <f t="shared" si="2"/>
        <v>-201</v>
      </c>
      <c r="AB129" s="30" t="s">
        <v>42</v>
      </c>
      <c r="AC129" s="20" t="s">
        <v>864</v>
      </c>
      <c r="AD129" s="23"/>
      <c r="AE129" s="23"/>
    </row>
    <row r="130">
      <c r="A130" s="19">
        <v>128.0</v>
      </c>
      <c r="B130" s="30" t="s">
        <v>813</v>
      </c>
      <c r="C130" s="20" t="s">
        <v>865</v>
      </c>
      <c r="D130" s="55" t="s">
        <v>866</v>
      </c>
      <c r="E130" s="30" t="s">
        <v>98</v>
      </c>
      <c r="F130" s="20" t="s">
        <v>867</v>
      </c>
      <c r="G130" s="20" t="s">
        <v>868</v>
      </c>
      <c r="H130" s="30">
        <v>7.98417462E9</v>
      </c>
      <c r="I130" s="30">
        <v>9.558949865E9</v>
      </c>
      <c r="J130" s="30"/>
      <c r="K130" s="30">
        <v>25000.0</v>
      </c>
      <c r="L130" s="30" t="s">
        <v>749</v>
      </c>
      <c r="M130" s="30" t="s">
        <v>237</v>
      </c>
      <c r="N130" s="32" t="s">
        <v>75</v>
      </c>
      <c r="O130" s="30" t="s">
        <v>47</v>
      </c>
      <c r="P130" s="30" t="s">
        <v>438</v>
      </c>
      <c r="Q130" s="20"/>
      <c r="R130" s="30" t="s">
        <v>676</v>
      </c>
      <c r="S130" s="33">
        <v>46269.0</v>
      </c>
      <c r="T130" s="30" t="s">
        <v>869</v>
      </c>
      <c r="U130" s="35"/>
      <c r="V130" s="30">
        <v>44050.0</v>
      </c>
      <c r="W130" s="30">
        <v>46266.0</v>
      </c>
      <c r="X130" s="30">
        <v>29500.0</v>
      </c>
      <c r="Y130" s="30">
        <v>30000.0</v>
      </c>
      <c r="Z130" s="26">
        <f t="shared" si="1"/>
        <v>16266</v>
      </c>
      <c r="AA130" s="17">
        <f t="shared" si="2"/>
        <v>500</v>
      </c>
      <c r="AB130" s="30" t="s">
        <v>42</v>
      </c>
      <c r="AC130" s="20" t="s">
        <v>870</v>
      </c>
      <c r="AD130" s="23"/>
      <c r="AE130" s="23"/>
    </row>
    <row r="131">
      <c r="A131" s="19">
        <v>129.0</v>
      </c>
      <c r="B131" s="30" t="s">
        <v>813</v>
      </c>
      <c r="C131" s="20" t="s">
        <v>871</v>
      </c>
      <c r="D131" s="39" t="s">
        <v>872</v>
      </c>
      <c r="E131" s="30" t="s">
        <v>82</v>
      </c>
      <c r="F131" s="20" t="s">
        <v>873</v>
      </c>
      <c r="G131" s="20" t="s">
        <v>874</v>
      </c>
      <c r="H131" s="30">
        <v>8.866612412E9</v>
      </c>
      <c r="I131" s="30">
        <v>9.82534551E9</v>
      </c>
      <c r="J131" s="30"/>
      <c r="K131" s="30">
        <v>100.0</v>
      </c>
      <c r="L131" s="30" t="s">
        <v>738</v>
      </c>
      <c r="M131" s="30" t="s">
        <v>74</v>
      </c>
      <c r="N131" s="32" t="s">
        <v>75</v>
      </c>
      <c r="O131" s="30" t="s">
        <v>76</v>
      </c>
      <c r="P131" s="30" t="s">
        <v>67</v>
      </c>
      <c r="Q131" s="20"/>
      <c r="R131" s="30" t="s">
        <v>875</v>
      </c>
      <c r="S131" s="30" t="s">
        <v>834</v>
      </c>
      <c r="T131" s="35"/>
      <c r="U131" s="35"/>
      <c r="V131" s="30">
        <v>714.0</v>
      </c>
      <c r="W131" s="30">
        <v>842.52</v>
      </c>
      <c r="X131" s="30">
        <v>850.0</v>
      </c>
      <c r="Y131" s="30">
        <v>850.0</v>
      </c>
      <c r="Z131" s="26">
        <f t="shared" si="1"/>
        <v>-7.48</v>
      </c>
      <c r="AA131" s="17">
        <f t="shared" si="2"/>
        <v>0</v>
      </c>
      <c r="AB131" s="30" t="s">
        <v>42</v>
      </c>
      <c r="AC131" s="20" t="s">
        <v>876</v>
      </c>
      <c r="AD131" s="23"/>
      <c r="AE131" s="23"/>
    </row>
    <row r="132">
      <c r="A132" s="19">
        <v>130.0</v>
      </c>
      <c r="B132" s="30" t="s">
        <v>813</v>
      </c>
      <c r="C132" s="20" t="s">
        <v>877</v>
      </c>
      <c r="D132" s="39">
        <v>2.511057007E11</v>
      </c>
      <c r="E132" s="30" t="s">
        <v>63</v>
      </c>
      <c r="F132" s="20" t="s">
        <v>878</v>
      </c>
      <c r="G132" s="20" t="s">
        <v>879</v>
      </c>
      <c r="H132" s="30">
        <v>8.866612412E9</v>
      </c>
      <c r="I132" s="30">
        <v>9.82534551E9</v>
      </c>
      <c r="J132" s="30"/>
      <c r="K132" s="30">
        <v>796.0</v>
      </c>
      <c r="L132" s="30" t="s">
        <v>824</v>
      </c>
      <c r="M132" s="30" t="s">
        <v>561</v>
      </c>
      <c r="N132" s="32" t="s">
        <v>75</v>
      </c>
      <c r="O132" s="30" t="s">
        <v>76</v>
      </c>
      <c r="P132" s="30" t="s">
        <v>67</v>
      </c>
      <c r="Q132" s="20"/>
      <c r="R132" s="30" t="s">
        <v>880</v>
      </c>
      <c r="S132" s="30" t="s">
        <v>834</v>
      </c>
      <c r="T132" s="35"/>
      <c r="U132" s="35"/>
      <c r="V132" s="38">
        <v>2154.0</v>
      </c>
      <c r="W132" s="38">
        <v>2542.0</v>
      </c>
      <c r="X132" s="30">
        <v>2500.0</v>
      </c>
      <c r="Y132" s="30">
        <v>2500.0</v>
      </c>
      <c r="Z132" s="16">
        <f t="shared" si="1"/>
        <v>42</v>
      </c>
      <c r="AA132" s="17">
        <f t="shared" si="2"/>
        <v>0</v>
      </c>
      <c r="AB132" s="30" t="s">
        <v>42</v>
      </c>
      <c r="AC132" s="20" t="s">
        <v>881</v>
      </c>
      <c r="AD132" s="23"/>
      <c r="AE132" s="23"/>
    </row>
    <row r="133">
      <c r="A133" s="19">
        <v>131.0</v>
      </c>
      <c r="B133" s="30" t="s">
        <v>813</v>
      </c>
      <c r="C133" s="20" t="s">
        <v>882</v>
      </c>
      <c r="D133" s="20" t="s">
        <v>883</v>
      </c>
      <c r="E133" s="30" t="s">
        <v>51</v>
      </c>
      <c r="F133" s="20" t="s">
        <v>884</v>
      </c>
      <c r="G133" s="20" t="s">
        <v>885</v>
      </c>
      <c r="H133" s="30" t="s">
        <v>886</v>
      </c>
      <c r="I133" s="30">
        <v>9.90485555E9</v>
      </c>
      <c r="J133" s="30"/>
      <c r="K133" s="30">
        <v>1630.0</v>
      </c>
      <c r="L133" s="30" t="s">
        <v>738</v>
      </c>
      <c r="M133" s="30" t="s">
        <v>38</v>
      </c>
      <c r="N133" s="32" t="s">
        <v>39</v>
      </c>
      <c r="O133" s="30" t="s">
        <v>246</v>
      </c>
      <c r="P133" s="30" t="s">
        <v>41</v>
      </c>
      <c r="Q133" s="20"/>
      <c r="R133" s="33">
        <v>45352.0</v>
      </c>
      <c r="S133" s="30" t="s">
        <v>887</v>
      </c>
      <c r="T133" s="35"/>
      <c r="U133" s="35"/>
      <c r="V133" s="30">
        <v>19829.0</v>
      </c>
      <c r="W133" s="30">
        <v>21311.0</v>
      </c>
      <c r="X133" s="30">
        <v>14225.0</v>
      </c>
      <c r="Y133" s="30">
        <v>16500.0</v>
      </c>
      <c r="Z133" s="26">
        <f t="shared" si="1"/>
        <v>4811</v>
      </c>
      <c r="AA133" s="17">
        <f t="shared" si="2"/>
        <v>2275</v>
      </c>
      <c r="AB133" s="30" t="s">
        <v>42</v>
      </c>
      <c r="AC133" s="20" t="s">
        <v>888</v>
      </c>
      <c r="AD133" s="23"/>
      <c r="AE133" s="23"/>
    </row>
    <row r="134">
      <c r="A134" s="19">
        <v>132.0</v>
      </c>
      <c r="B134" s="45" t="s">
        <v>813</v>
      </c>
      <c r="C134" s="44" t="s">
        <v>889</v>
      </c>
      <c r="D134" s="58" t="s">
        <v>890</v>
      </c>
      <c r="E134" s="45" t="s">
        <v>98</v>
      </c>
      <c r="F134" s="44" t="s">
        <v>234</v>
      </c>
      <c r="G134" s="44" t="s">
        <v>891</v>
      </c>
      <c r="H134" s="45" t="s">
        <v>892</v>
      </c>
      <c r="I134" s="49"/>
      <c r="J134" s="49"/>
      <c r="K134" s="45">
        <v>28000.0</v>
      </c>
      <c r="L134" s="45" t="s">
        <v>738</v>
      </c>
      <c r="M134" s="45" t="s">
        <v>237</v>
      </c>
      <c r="N134" s="47" t="s">
        <v>75</v>
      </c>
      <c r="O134" s="45" t="s">
        <v>76</v>
      </c>
      <c r="P134" s="45" t="s">
        <v>57</v>
      </c>
      <c r="Q134" s="44"/>
      <c r="R134" s="45" t="s">
        <v>159</v>
      </c>
      <c r="S134" s="45" t="s">
        <v>522</v>
      </c>
      <c r="T134" s="45" t="s">
        <v>839</v>
      </c>
      <c r="U134" s="49"/>
      <c r="V134" s="45">
        <v>44050.0</v>
      </c>
      <c r="W134" s="45">
        <v>46266.0</v>
      </c>
      <c r="X134" s="45">
        <v>29500.0</v>
      </c>
      <c r="Y134" s="45">
        <v>29500.0</v>
      </c>
      <c r="Z134" s="51">
        <f t="shared" si="1"/>
        <v>16766</v>
      </c>
      <c r="AA134" s="17">
        <f t="shared" si="2"/>
        <v>0</v>
      </c>
      <c r="AB134" s="45" t="s">
        <v>42</v>
      </c>
      <c r="AC134" s="44" t="s">
        <v>893</v>
      </c>
      <c r="AD134" s="52"/>
      <c r="AE134" s="52"/>
      <c r="AF134" s="53"/>
      <c r="AG134" s="53"/>
    </row>
    <row r="135">
      <c r="A135" s="19">
        <v>133.0</v>
      </c>
      <c r="B135" s="45" t="s">
        <v>813</v>
      </c>
      <c r="C135" s="44" t="s">
        <v>894</v>
      </c>
      <c r="D135" s="44" t="s">
        <v>895</v>
      </c>
      <c r="E135" s="45" t="s">
        <v>98</v>
      </c>
      <c r="F135" s="44" t="s">
        <v>896</v>
      </c>
      <c r="G135" s="44" t="s">
        <v>897</v>
      </c>
      <c r="H135" s="45" t="s">
        <v>892</v>
      </c>
      <c r="I135" s="49"/>
      <c r="J135" s="49"/>
      <c r="K135" s="45">
        <v>28000.0</v>
      </c>
      <c r="L135" s="45" t="s">
        <v>738</v>
      </c>
      <c r="M135" s="45" t="s">
        <v>237</v>
      </c>
      <c r="N135" s="47" t="s">
        <v>75</v>
      </c>
      <c r="O135" s="45" t="s">
        <v>76</v>
      </c>
      <c r="P135" s="45" t="s">
        <v>57</v>
      </c>
      <c r="Q135" s="44"/>
      <c r="R135" s="54">
        <v>46235.0</v>
      </c>
      <c r="S135" s="48">
        <v>46002.0</v>
      </c>
      <c r="T135" s="54">
        <v>46880.0</v>
      </c>
      <c r="U135" s="49"/>
      <c r="V135" s="45">
        <v>44050.0</v>
      </c>
      <c r="W135" s="45">
        <v>46266.0</v>
      </c>
      <c r="X135" s="45">
        <v>29500.0</v>
      </c>
      <c r="Y135" s="45">
        <v>29500.0</v>
      </c>
      <c r="Z135" s="51">
        <f t="shared" si="1"/>
        <v>16766</v>
      </c>
      <c r="AA135" s="17">
        <f t="shared" si="2"/>
        <v>0</v>
      </c>
      <c r="AB135" s="45" t="s">
        <v>42</v>
      </c>
      <c r="AC135" s="44" t="s">
        <v>898</v>
      </c>
      <c r="AD135" s="52"/>
      <c r="AE135" s="52"/>
      <c r="AF135" s="53"/>
      <c r="AG135" s="53"/>
    </row>
    <row r="136">
      <c r="A136" s="19">
        <v>134.0</v>
      </c>
      <c r="B136" s="30" t="s">
        <v>899</v>
      </c>
      <c r="C136" s="20" t="s">
        <v>900</v>
      </c>
      <c r="D136" s="20" t="s">
        <v>901</v>
      </c>
      <c r="E136" s="30" t="s">
        <v>34</v>
      </c>
      <c r="F136" s="20" t="s">
        <v>35</v>
      </c>
      <c r="G136" s="20" t="s">
        <v>902</v>
      </c>
      <c r="H136" s="30">
        <v>9.099705299E9</v>
      </c>
      <c r="I136" s="30">
        <v>9.92551239E9</v>
      </c>
      <c r="J136" s="30"/>
      <c r="K136" s="30">
        <v>236.0</v>
      </c>
      <c r="L136" s="30" t="s">
        <v>903</v>
      </c>
      <c r="M136" s="30" t="s">
        <v>38</v>
      </c>
      <c r="N136" s="32" t="s">
        <v>39</v>
      </c>
      <c r="O136" s="30" t="s">
        <v>47</v>
      </c>
      <c r="P136" s="30" t="s">
        <v>41</v>
      </c>
      <c r="Q136" s="20"/>
      <c r="R136" s="30" t="s">
        <v>382</v>
      </c>
      <c r="S136" s="30" t="s">
        <v>811</v>
      </c>
      <c r="T136" s="30" t="s">
        <v>904</v>
      </c>
      <c r="U136" s="35"/>
      <c r="V136" s="30">
        <v>6360.0</v>
      </c>
      <c r="W136" s="30">
        <v>7505.0</v>
      </c>
      <c r="X136" s="30">
        <v>6500.0</v>
      </c>
      <c r="Y136" s="30">
        <v>6000.0</v>
      </c>
      <c r="Z136" s="26">
        <f t="shared" si="1"/>
        <v>1505</v>
      </c>
      <c r="AA136" s="17">
        <f t="shared" si="2"/>
        <v>-500</v>
      </c>
      <c r="AB136" s="30" t="s">
        <v>42</v>
      </c>
      <c r="AC136" s="20" t="s">
        <v>905</v>
      </c>
      <c r="AD136" s="23"/>
      <c r="AE136" s="23"/>
    </row>
    <row r="137">
      <c r="A137" s="19">
        <v>135.0</v>
      </c>
      <c r="B137" s="30" t="s">
        <v>899</v>
      </c>
      <c r="C137" s="20" t="s">
        <v>906</v>
      </c>
      <c r="D137" s="20" t="s">
        <v>907</v>
      </c>
      <c r="E137" s="30" t="s">
        <v>34</v>
      </c>
      <c r="F137" s="20" t="s">
        <v>35</v>
      </c>
      <c r="G137" s="20" t="s">
        <v>908</v>
      </c>
      <c r="H137" s="30">
        <v>7.69801029E9</v>
      </c>
      <c r="I137" s="30" t="s">
        <v>413</v>
      </c>
      <c r="J137" s="30"/>
      <c r="K137" s="30">
        <v>236.0</v>
      </c>
      <c r="L137" s="30" t="s">
        <v>738</v>
      </c>
      <c r="M137" s="30" t="s">
        <v>38</v>
      </c>
      <c r="N137" s="32" t="s">
        <v>39</v>
      </c>
      <c r="O137" s="30" t="s">
        <v>47</v>
      </c>
      <c r="P137" s="30" t="s">
        <v>41</v>
      </c>
      <c r="Q137" s="20"/>
      <c r="R137" s="30" t="s">
        <v>909</v>
      </c>
      <c r="S137" s="33">
        <v>45757.0</v>
      </c>
      <c r="T137" s="30" t="s">
        <v>355</v>
      </c>
      <c r="U137" s="35"/>
      <c r="V137" s="30">
        <v>6298.0</v>
      </c>
      <c r="W137" s="30">
        <v>7432.0</v>
      </c>
      <c r="X137" s="30">
        <v>6500.0</v>
      </c>
      <c r="Y137" s="30">
        <v>6000.0</v>
      </c>
      <c r="Z137" s="26">
        <f t="shared" si="1"/>
        <v>1432</v>
      </c>
      <c r="AA137" s="17">
        <f t="shared" si="2"/>
        <v>-500</v>
      </c>
      <c r="AB137" s="30" t="s">
        <v>42</v>
      </c>
      <c r="AC137" s="20" t="s">
        <v>910</v>
      </c>
      <c r="AD137" s="23"/>
      <c r="AE137" s="23"/>
    </row>
    <row r="138">
      <c r="A138" s="19">
        <v>136.0</v>
      </c>
      <c r="B138" s="30" t="s">
        <v>899</v>
      </c>
      <c r="C138" s="20" t="s">
        <v>911</v>
      </c>
      <c r="D138" s="39" t="s">
        <v>912</v>
      </c>
      <c r="E138" s="30" t="s">
        <v>51</v>
      </c>
      <c r="F138" s="20" t="s">
        <v>423</v>
      </c>
      <c r="G138" s="20" t="s">
        <v>913</v>
      </c>
      <c r="H138" s="30">
        <v>9.32854658E9</v>
      </c>
      <c r="I138" s="30">
        <v>9.925944404E9</v>
      </c>
      <c r="J138" s="30"/>
      <c r="K138" s="30">
        <v>3895.0</v>
      </c>
      <c r="L138" s="30" t="s">
        <v>824</v>
      </c>
      <c r="M138" s="30" t="s">
        <v>228</v>
      </c>
      <c r="N138" s="32" t="s">
        <v>39</v>
      </c>
      <c r="O138" s="30" t="s">
        <v>56</v>
      </c>
      <c r="P138" s="30" t="s">
        <v>57</v>
      </c>
      <c r="Q138" s="30"/>
      <c r="R138" s="30" t="s">
        <v>914</v>
      </c>
      <c r="S138" s="30" t="s">
        <v>676</v>
      </c>
      <c r="T138" s="30" t="s">
        <v>915</v>
      </c>
      <c r="U138" s="35"/>
      <c r="V138" s="38">
        <v>24372.0</v>
      </c>
      <c r="W138" s="38">
        <v>26673.0</v>
      </c>
      <c r="X138" s="30">
        <v>21924.0</v>
      </c>
      <c r="Y138" s="30">
        <v>22000.0</v>
      </c>
      <c r="Z138" s="16">
        <f t="shared" si="1"/>
        <v>4673</v>
      </c>
      <c r="AA138" s="17">
        <f t="shared" si="2"/>
        <v>76</v>
      </c>
      <c r="AB138" s="30" t="s">
        <v>42</v>
      </c>
      <c r="AC138" s="20" t="s">
        <v>916</v>
      </c>
      <c r="AD138" s="23"/>
      <c r="AE138" s="23"/>
    </row>
    <row r="139">
      <c r="A139" s="19">
        <v>137.0</v>
      </c>
      <c r="B139" s="30" t="s">
        <v>899</v>
      </c>
      <c r="C139" s="20" t="s">
        <v>917</v>
      </c>
      <c r="D139" s="39" t="s">
        <v>918</v>
      </c>
      <c r="E139" s="30" t="s">
        <v>98</v>
      </c>
      <c r="F139" s="20" t="s">
        <v>919</v>
      </c>
      <c r="G139" s="20" t="s">
        <v>920</v>
      </c>
      <c r="H139" s="30">
        <v>9.328502123E9</v>
      </c>
      <c r="I139" s="30">
        <v>6.35274513E9</v>
      </c>
      <c r="J139" s="30"/>
      <c r="K139" s="30">
        <v>16020.0</v>
      </c>
      <c r="L139" s="30" t="s">
        <v>824</v>
      </c>
      <c r="M139" s="30" t="s">
        <v>38</v>
      </c>
      <c r="N139" s="32" t="s">
        <v>39</v>
      </c>
      <c r="O139" s="30" t="s">
        <v>76</v>
      </c>
      <c r="P139" s="30" t="s">
        <v>41</v>
      </c>
      <c r="Q139" s="20"/>
      <c r="R139" s="30" t="s">
        <v>921</v>
      </c>
      <c r="S139" s="33">
        <v>46026.0</v>
      </c>
      <c r="T139" s="30" t="s">
        <v>922</v>
      </c>
      <c r="U139" s="35"/>
      <c r="V139" s="30">
        <v>37872.0</v>
      </c>
      <c r="W139" s="30">
        <v>40099.0</v>
      </c>
      <c r="X139" s="30">
        <v>35372.0</v>
      </c>
      <c r="Y139" s="30">
        <v>35400.0</v>
      </c>
      <c r="Z139" s="26">
        <f t="shared" si="1"/>
        <v>4699</v>
      </c>
      <c r="AA139" s="17">
        <f t="shared" si="2"/>
        <v>28</v>
      </c>
      <c r="AB139" s="30" t="s">
        <v>42</v>
      </c>
      <c r="AC139" s="20" t="s">
        <v>923</v>
      </c>
      <c r="AD139" s="23"/>
      <c r="AE139" s="23"/>
    </row>
    <row r="140">
      <c r="A140" s="19">
        <v>138.0</v>
      </c>
      <c r="B140" s="30" t="s">
        <v>899</v>
      </c>
      <c r="C140" s="20" t="s">
        <v>924</v>
      </c>
      <c r="D140" s="39">
        <v>6.205371667E9</v>
      </c>
      <c r="E140" s="30" t="s">
        <v>63</v>
      </c>
      <c r="F140" s="20" t="s">
        <v>925</v>
      </c>
      <c r="G140" s="20" t="s">
        <v>926</v>
      </c>
      <c r="H140" s="30">
        <v>9.824220959E9</v>
      </c>
      <c r="I140" s="30">
        <v>9.375853199E9</v>
      </c>
      <c r="J140" s="30"/>
      <c r="K140" s="30">
        <v>1248.0</v>
      </c>
      <c r="L140" s="30" t="s">
        <v>903</v>
      </c>
      <c r="M140" s="30" t="s">
        <v>180</v>
      </c>
      <c r="N140" s="32" t="s">
        <v>39</v>
      </c>
      <c r="O140" s="30" t="s">
        <v>47</v>
      </c>
      <c r="P140" s="30" t="s">
        <v>41</v>
      </c>
      <c r="Q140" s="20"/>
      <c r="R140" s="30" t="s">
        <v>927</v>
      </c>
      <c r="S140" s="33">
        <v>45778.0</v>
      </c>
      <c r="T140" s="35"/>
      <c r="U140" s="35"/>
      <c r="V140" s="30">
        <v>4639.0</v>
      </c>
      <c r="W140" s="30">
        <v>5473.0</v>
      </c>
      <c r="X140" s="30">
        <v>5473.0</v>
      </c>
      <c r="Y140" s="30">
        <v>5473.0</v>
      </c>
      <c r="Z140" s="26">
        <f t="shared" si="1"/>
        <v>0</v>
      </c>
      <c r="AA140" s="17">
        <f t="shared" si="2"/>
        <v>0</v>
      </c>
      <c r="AB140" s="30" t="s">
        <v>42</v>
      </c>
      <c r="AC140" s="20" t="s">
        <v>928</v>
      </c>
      <c r="AD140" s="23"/>
      <c r="AE140" s="23"/>
    </row>
    <row r="141">
      <c r="A141" s="19">
        <v>139.0</v>
      </c>
      <c r="B141" s="45" t="s">
        <v>899</v>
      </c>
      <c r="C141" s="44" t="s">
        <v>929</v>
      </c>
      <c r="D141" s="59" t="s">
        <v>930</v>
      </c>
      <c r="E141" s="45" t="s">
        <v>98</v>
      </c>
      <c r="F141" s="44" t="s">
        <v>931</v>
      </c>
      <c r="G141" s="44" t="s">
        <v>932</v>
      </c>
      <c r="H141" s="45">
        <v>9.725794288E9</v>
      </c>
      <c r="I141" s="45">
        <v>9.727381783E9</v>
      </c>
      <c r="J141" s="45"/>
      <c r="K141" s="45">
        <v>42000.0</v>
      </c>
      <c r="L141" s="45" t="s">
        <v>933</v>
      </c>
      <c r="M141" s="45" t="s">
        <v>55</v>
      </c>
      <c r="N141" s="47" t="s">
        <v>39</v>
      </c>
      <c r="O141" s="45" t="s">
        <v>47</v>
      </c>
      <c r="P141" s="45" t="s">
        <v>41</v>
      </c>
      <c r="Q141" s="44"/>
      <c r="R141" s="54">
        <v>46245.0</v>
      </c>
      <c r="S141" s="45" t="s">
        <v>934</v>
      </c>
      <c r="T141" s="48">
        <v>47068.0</v>
      </c>
      <c r="U141" s="48">
        <v>45972.0</v>
      </c>
      <c r="V141" s="50">
        <v>47249.0</v>
      </c>
      <c r="W141" s="50">
        <v>50002.0</v>
      </c>
      <c r="X141" s="45">
        <v>43593.0</v>
      </c>
      <c r="Y141" s="45">
        <v>43500.0</v>
      </c>
      <c r="Z141" s="60">
        <f t="shared" si="1"/>
        <v>6502</v>
      </c>
      <c r="AA141" s="17">
        <f t="shared" si="2"/>
        <v>-93</v>
      </c>
      <c r="AB141" s="45" t="s">
        <v>42</v>
      </c>
      <c r="AC141" s="44" t="s">
        <v>935</v>
      </c>
      <c r="AD141" s="44" t="s">
        <v>936</v>
      </c>
      <c r="AE141" s="52"/>
      <c r="AF141" s="40" t="s">
        <v>937</v>
      </c>
      <c r="AG141" s="61" t="s">
        <v>209</v>
      </c>
    </row>
    <row r="142">
      <c r="A142" s="19">
        <v>140.0</v>
      </c>
      <c r="B142" s="30" t="s">
        <v>938</v>
      </c>
      <c r="C142" s="20" t="s">
        <v>939</v>
      </c>
      <c r="D142" s="20" t="s">
        <v>940</v>
      </c>
      <c r="E142" s="30" t="s">
        <v>51</v>
      </c>
      <c r="F142" s="20" t="s">
        <v>941</v>
      </c>
      <c r="G142" s="20" t="s">
        <v>942</v>
      </c>
      <c r="H142" s="30">
        <v>9.979042264E9</v>
      </c>
      <c r="I142" s="30">
        <v>8.758153293E9</v>
      </c>
      <c r="J142" s="30"/>
      <c r="K142" s="30">
        <v>1950.0</v>
      </c>
      <c r="L142" s="30" t="s">
        <v>933</v>
      </c>
      <c r="M142" s="30" t="s">
        <v>126</v>
      </c>
      <c r="N142" s="32" t="s">
        <v>39</v>
      </c>
      <c r="O142" s="30" t="s">
        <v>140</v>
      </c>
      <c r="P142" s="30" t="s">
        <v>41</v>
      </c>
      <c r="Q142" s="20"/>
      <c r="R142" s="33">
        <v>44933.0</v>
      </c>
      <c r="S142" s="35"/>
      <c r="T142" s="35"/>
      <c r="U142" s="34">
        <v>45972.0</v>
      </c>
      <c r="V142" s="38">
        <v>21158.61</v>
      </c>
      <c r="W142" s="30">
        <v>22881.0</v>
      </c>
      <c r="X142" s="30">
        <v>14340.0</v>
      </c>
      <c r="Y142" s="30">
        <v>15000.0</v>
      </c>
      <c r="Z142" s="26">
        <f t="shared" si="1"/>
        <v>7881</v>
      </c>
      <c r="AA142" s="17">
        <f t="shared" si="2"/>
        <v>660</v>
      </c>
      <c r="AB142" s="30" t="s">
        <v>42</v>
      </c>
      <c r="AC142" s="20" t="s">
        <v>943</v>
      </c>
      <c r="AD142" s="23"/>
      <c r="AE142" s="23"/>
    </row>
    <row r="143">
      <c r="A143" s="19">
        <v>141.0</v>
      </c>
      <c r="B143" s="30" t="s">
        <v>938</v>
      </c>
      <c r="C143" s="20" t="s">
        <v>944</v>
      </c>
      <c r="D143" s="39" t="s">
        <v>945</v>
      </c>
      <c r="E143" s="30" t="s">
        <v>98</v>
      </c>
      <c r="F143" s="20" t="s">
        <v>946</v>
      </c>
      <c r="G143" s="20" t="s">
        <v>947</v>
      </c>
      <c r="H143" s="30">
        <v>9.998252863E9</v>
      </c>
      <c r="I143" s="30">
        <v>9.590178692E9</v>
      </c>
      <c r="J143" s="30"/>
      <c r="K143" s="30">
        <v>47500.0</v>
      </c>
      <c r="L143" s="30" t="s">
        <v>933</v>
      </c>
      <c r="M143" s="30" t="s">
        <v>55</v>
      </c>
      <c r="N143" s="32" t="s">
        <v>39</v>
      </c>
      <c r="O143" s="30" t="s">
        <v>47</v>
      </c>
      <c r="P143" s="30" t="s">
        <v>41</v>
      </c>
      <c r="Q143" s="20"/>
      <c r="R143" s="33">
        <v>46033.0</v>
      </c>
      <c r="S143" s="30" t="s">
        <v>948</v>
      </c>
      <c r="T143" s="30" t="s">
        <v>949</v>
      </c>
      <c r="U143" s="30" t="s">
        <v>950</v>
      </c>
      <c r="V143" s="38">
        <v>54706.0</v>
      </c>
      <c r="W143" s="38">
        <v>58802.0</v>
      </c>
      <c r="X143" s="30">
        <v>49000.0</v>
      </c>
      <c r="Y143" s="30">
        <v>48000.0</v>
      </c>
      <c r="Z143" s="16">
        <f t="shared" si="1"/>
        <v>10802</v>
      </c>
      <c r="AA143" s="17">
        <f t="shared" si="2"/>
        <v>-1000</v>
      </c>
      <c r="AB143" s="30" t="s">
        <v>42</v>
      </c>
      <c r="AC143" s="20" t="s">
        <v>951</v>
      </c>
      <c r="AD143" s="23"/>
      <c r="AE143" s="23"/>
    </row>
    <row r="144">
      <c r="A144" s="19">
        <v>142.0</v>
      </c>
      <c r="B144" s="30" t="s">
        <v>938</v>
      </c>
      <c r="C144" s="20" t="s">
        <v>952</v>
      </c>
      <c r="D144" s="39" t="s">
        <v>953</v>
      </c>
      <c r="E144" s="30" t="s">
        <v>98</v>
      </c>
      <c r="F144" s="20" t="s">
        <v>954</v>
      </c>
      <c r="G144" s="20" t="s">
        <v>955</v>
      </c>
      <c r="H144" s="30">
        <v>6.351000398E9</v>
      </c>
      <c r="I144" s="30">
        <v>9.033333157E9</v>
      </c>
      <c r="J144" s="30"/>
      <c r="K144" s="30">
        <v>12990.0</v>
      </c>
      <c r="L144" s="30" t="s">
        <v>824</v>
      </c>
      <c r="M144" s="30" t="s">
        <v>55</v>
      </c>
      <c r="N144" s="32" t="s">
        <v>39</v>
      </c>
      <c r="O144" s="30" t="s">
        <v>47</v>
      </c>
      <c r="P144" s="30" t="s">
        <v>57</v>
      </c>
      <c r="Q144" s="20"/>
      <c r="R144" s="30" t="s">
        <v>956</v>
      </c>
      <c r="S144" s="30" t="s">
        <v>762</v>
      </c>
      <c r="T144" s="33">
        <v>47219.0</v>
      </c>
      <c r="U144" s="35"/>
      <c r="V144" s="38">
        <v>38021.0</v>
      </c>
      <c r="W144" s="38">
        <v>40274.0</v>
      </c>
      <c r="X144" s="30">
        <v>35709.0</v>
      </c>
      <c r="Y144" s="30">
        <v>36000.0</v>
      </c>
      <c r="Z144" s="16">
        <f t="shared" si="1"/>
        <v>4274</v>
      </c>
      <c r="AA144" s="17">
        <f t="shared" si="2"/>
        <v>291</v>
      </c>
      <c r="AB144" s="30" t="s">
        <v>42</v>
      </c>
      <c r="AC144" s="20" t="s">
        <v>957</v>
      </c>
      <c r="AD144" s="23"/>
      <c r="AE144" s="23"/>
    </row>
    <row r="145">
      <c r="A145" s="19">
        <v>143.0</v>
      </c>
      <c r="B145" s="30" t="s">
        <v>938</v>
      </c>
      <c r="C145" s="20" t="s">
        <v>958</v>
      </c>
      <c r="D145" s="39" t="s">
        <v>959</v>
      </c>
      <c r="E145" s="30" t="s">
        <v>98</v>
      </c>
      <c r="F145" s="20" t="s">
        <v>960</v>
      </c>
      <c r="G145" s="20" t="s">
        <v>961</v>
      </c>
      <c r="H145" s="30" t="s">
        <v>519</v>
      </c>
      <c r="I145" s="35"/>
      <c r="J145" s="35"/>
      <c r="K145" s="30">
        <v>42000.0</v>
      </c>
      <c r="L145" s="30" t="s">
        <v>824</v>
      </c>
      <c r="M145" s="30" t="s">
        <v>55</v>
      </c>
      <c r="N145" s="32" t="s">
        <v>39</v>
      </c>
      <c r="O145" s="30" t="s">
        <v>47</v>
      </c>
      <c r="P145" s="30" t="s">
        <v>41</v>
      </c>
      <c r="Q145" s="20"/>
      <c r="R145" s="30" t="s">
        <v>962</v>
      </c>
      <c r="S145" s="30" t="s">
        <v>914</v>
      </c>
      <c r="T145" s="30" t="s">
        <v>963</v>
      </c>
      <c r="U145" s="35"/>
      <c r="V145" s="38">
        <v>50337.0</v>
      </c>
      <c r="W145" s="38">
        <v>53646.0</v>
      </c>
      <c r="X145" s="30">
        <v>46000.0</v>
      </c>
      <c r="Y145" s="30">
        <v>46000.0</v>
      </c>
      <c r="Z145" s="16">
        <f t="shared" si="1"/>
        <v>7646</v>
      </c>
      <c r="AA145" s="17">
        <f t="shared" si="2"/>
        <v>0</v>
      </c>
      <c r="AB145" s="30" t="s">
        <v>42</v>
      </c>
      <c r="AC145" s="20" t="s">
        <v>964</v>
      </c>
      <c r="AD145" s="23"/>
      <c r="AE145" s="23"/>
    </row>
    <row r="146">
      <c r="A146" s="19">
        <v>144.0</v>
      </c>
      <c r="B146" s="30" t="s">
        <v>938</v>
      </c>
      <c r="C146" s="20" t="s">
        <v>965</v>
      </c>
      <c r="D146" s="39">
        <v>6.205375568E9</v>
      </c>
      <c r="E146" s="30" t="s">
        <v>63</v>
      </c>
      <c r="F146" s="20" t="s">
        <v>966</v>
      </c>
      <c r="G146" s="20" t="s">
        <v>967</v>
      </c>
      <c r="H146" s="30">
        <v>9.428084914E9</v>
      </c>
      <c r="I146" s="30" t="s">
        <v>968</v>
      </c>
      <c r="J146" s="30"/>
      <c r="K146" s="30">
        <v>998.0</v>
      </c>
      <c r="L146" s="30" t="s">
        <v>933</v>
      </c>
      <c r="M146" s="30" t="s">
        <v>180</v>
      </c>
      <c r="N146" s="32" t="s">
        <v>39</v>
      </c>
      <c r="O146" s="30" t="s">
        <v>47</v>
      </c>
      <c r="P146" s="30" t="s">
        <v>41</v>
      </c>
      <c r="Q146" s="20"/>
      <c r="R146" s="33">
        <v>46388.0</v>
      </c>
      <c r="S146" s="33">
        <v>46240.0</v>
      </c>
      <c r="T146" s="35"/>
      <c r="U146" s="35"/>
      <c r="V146" s="30">
        <v>3687.0</v>
      </c>
      <c r="W146" s="30">
        <v>4351.0</v>
      </c>
      <c r="X146" s="30">
        <v>4457.0</v>
      </c>
      <c r="Y146" s="30">
        <v>5500.0</v>
      </c>
      <c r="Z146" s="26">
        <f t="shared" si="1"/>
        <v>-1149</v>
      </c>
      <c r="AA146" s="17">
        <f t="shared" si="2"/>
        <v>1043</v>
      </c>
      <c r="AB146" s="30" t="s">
        <v>42</v>
      </c>
      <c r="AC146" s="20" t="s">
        <v>969</v>
      </c>
      <c r="AD146" s="23"/>
      <c r="AE146" s="23"/>
    </row>
    <row r="147">
      <c r="A147" s="19">
        <v>145.0</v>
      </c>
      <c r="B147" s="30" t="s">
        <v>938</v>
      </c>
      <c r="C147" s="20" t="s">
        <v>970</v>
      </c>
      <c r="D147" s="39">
        <v>6.303468328E9</v>
      </c>
      <c r="E147" s="30" t="s">
        <v>34</v>
      </c>
      <c r="F147" s="20" t="s">
        <v>971</v>
      </c>
      <c r="G147" s="20" t="s">
        <v>972</v>
      </c>
      <c r="H147" s="30">
        <v>9.978473605E9</v>
      </c>
      <c r="I147" s="30">
        <v>9.725271413E9</v>
      </c>
      <c r="J147" s="30"/>
      <c r="K147" s="30">
        <v>470.0</v>
      </c>
      <c r="L147" s="30" t="s">
        <v>903</v>
      </c>
      <c r="M147" s="30" t="s">
        <v>180</v>
      </c>
      <c r="N147" s="32" t="s">
        <v>39</v>
      </c>
      <c r="O147" s="30" t="s">
        <v>47</v>
      </c>
      <c r="P147" s="30" t="s">
        <v>57</v>
      </c>
      <c r="Q147" s="20"/>
      <c r="R147" s="30" t="s">
        <v>676</v>
      </c>
      <c r="S147" s="30" t="s">
        <v>880</v>
      </c>
      <c r="T147" s="30" t="s">
        <v>775</v>
      </c>
      <c r="U147" s="35"/>
      <c r="V147" s="30">
        <v>6384.0</v>
      </c>
      <c r="W147" s="30">
        <v>7534.0</v>
      </c>
      <c r="X147" s="30">
        <v>6500.0</v>
      </c>
      <c r="Y147" s="30">
        <v>6000.0</v>
      </c>
      <c r="Z147" s="26">
        <f t="shared" si="1"/>
        <v>1534</v>
      </c>
      <c r="AA147" s="17">
        <f t="shared" si="2"/>
        <v>-500</v>
      </c>
      <c r="AB147" s="30" t="s">
        <v>42</v>
      </c>
      <c r="AC147" s="20" t="s">
        <v>973</v>
      </c>
      <c r="AD147" s="23"/>
      <c r="AE147" s="23"/>
    </row>
    <row r="148">
      <c r="A148" s="19">
        <v>146.0</v>
      </c>
      <c r="B148" s="30" t="s">
        <v>938</v>
      </c>
      <c r="C148" s="20" t="s">
        <v>974</v>
      </c>
      <c r="D148" s="39" t="s">
        <v>975</v>
      </c>
      <c r="E148" s="30" t="s">
        <v>98</v>
      </c>
      <c r="F148" s="20" t="s">
        <v>517</v>
      </c>
      <c r="G148" s="20" t="s">
        <v>976</v>
      </c>
      <c r="H148" s="30">
        <v>9.590178692E9</v>
      </c>
      <c r="I148" s="30">
        <v>9.998252863E9</v>
      </c>
      <c r="J148" s="30"/>
      <c r="K148" s="30">
        <v>47500.0</v>
      </c>
      <c r="L148" s="30" t="s">
        <v>933</v>
      </c>
      <c r="M148" s="30" t="s">
        <v>55</v>
      </c>
      <c r="N148" s="32" t="s">
        <v>39</v>
      </c>
      <c r="O148" s="30" t="s">
        <v>47</v>
      </c>
      <c r="P148" s="30" t="s">
        <v>57</v>
      </c>
      <c r="Q148" s="20"/>
      <c r="R148" s="33">
        <v>46033.0</v>
      </c>
      <c r="S148" s="30" t="s">
        <v>977</v>
      </c>
      <c r="T148" s="34">
        <v>46671.0</v>
      </c>
      <c r="U148" s="34">
        <v>45941.0</v>
      </c>
      <c r="V148" s="38">
        <v>52626.0</v>
      </c>
      <c r="W148" s="38">
        <v>56347.0</v>
      </c>
      <c r="X148" s="30">
        <v>49000.0</v>
      </c>
      <c r="Y148" s="30">
        <v>48000.0</v>
      </c>
      <c r="Z148" s="16">
        <f t="shared" si="1"/>
        <v>8347</v>
      </c>
      <c r="AA148" s="17">
        <f t="shared" si="2"/>
        <v>-1000</v>
      </c>
      <c r="AB148" s="30" t="s">
        <v>42</v>
      </c>
      <c r="AC148" s="20" t="s">
        <v>978</v>
      </c>
      <c r="AD148" s="23"/>
      <c r="AE148" s="23"/>
    </row>
    <row r="149">
      <c r="A149" s="19">
        <v>147.0</v>
      </c>
      <c r="B149" s="45" t="s">
        <v>938</v>
      </c>
      <c r="C149" s="44" t="s">
        <v>979</v>
      </c>
      <c r="D149" s="59" t="s">
        <v>980</v>
      </c>
      <c r="E149" s="45" t="s">
        <v>98</v>
      </c>
      <c r="F149" s="44" t="s">
        <v>981</v>
      </c>
      <c r="G149" s="44" t="s">
        <v>982</v>
      </c>
      <c r="H149" s="45">
        <v>9.725794288E9</v>
      </c>
      <c r="I149" s="45">
        <v>9.727381783E9</v>
      </c>
      <c r="J149" s="45"/>
      <c r="K149" s="45">
        <v>47500.0</v>
      </c>
      <c r="L149" s="45" t="s">
        <v>933</v>
      </c>
      <c r="M149" s="45" t="s">
        <v>38</v>
      </c>
      <c r="N149" s="47" t="s">
        <v>39</v>
      </c>
      <c r="O149" s="45" t="s">
        <v>76</v>
      </c>
      <c r="P149" s="45" t="s">
        <v>41</v>
      </c>
      <c r="Q149" s="44"/>
      <c r="R149" s="45" t="s">
        <v>983</v>
      </c>
      <c r="S149" s="54">
        <v>46276.0</v>
      </c>
      <c r="T149" s="48">
        <v>47798.0</v>
      </c>
      <c r="U149" s="48">
        <v>46337.0</v>
      </c>
      <c r="V149" s="45">
        <v>74159.0</v>
      </c>
      <c r="W149" s="45">
        <v>81757.0</v>
      </c>
      <c r="X149" s="45">
        <v>67252.0</v>
      </c>
      <c r="Y149" s="45">
        <v>68000.0</v>
      </c>
      <c r="Z149" s="51">
        <f t="shared" si="1"/>
        <v>13757</v>
      </c>
      <c r="AA149" s="17">
        <f t="shared" si="2"/>
        <v>748</v>
      </c>
      <c r="AB149" s="45" t="s">
        <v>42</v>
      </c>
      <c r="AC149" s="44" t="s">
        <v>984</v>
      </c>
      <c r="AD149" s="52"/>
      <c r="AE149" s="52"/>
      <c r="AF149" s="53"/>
      <c r="AG149" s="53"/>
    </row>
    <row r="150">
      <c r="A150" s="19">
        <v>148.0</v>
      </c>
      <c r="B150" s="30" t="s">
        <v>938</v>
      </c>
      <c r="C150" s="20" t="s">
        <v>985</v>
      </c>
      <c r="D150" s="39" t="s">
        <v>986</v>
      </c>
      <c r="E150" s="30" t="s">
        <v>123</v>
      </c>
      <c r="F150" s="20" t="s">
        <v>987</v>
      </c>
      <c r="G150" s="20" t="s">
        <v>988</v>
      </c>
      <c r="H150" s="30">
        <v>9.87901593E9</v>
      </c>
      <c r="I150" s="35"/>
      <c r="J150" s="35"/>
      <c r="K150" s="35"/>
      <c r="L150" s="30" t="s">
        <v>989</v>
      </c>
      <c r="M150" s="30" t="s">
        <v>484</v>
      </c>
      <c r="N150" s="32" t="s">
        <v>75</v>
      </c>
      <c r="O150" s="30" t="s">
        <v>76</v>
      </c>
      <c r="P150" s="30" t="s">
        <v>41</v>
      </c>
      <c r="Q150" s="20"/>
      <c r="R150" s="30" t="s">
        <v>990</v>
      </c>
      <c r="S150" s="30" t="s">
        <v>991</v>
      </c>
      <c r="T150" s="35"/>
      <c r="U150" s="35"/>
      <c r="V150" s="38">
        <v>7317.0</v>
      </c>
      <c r="W150" s="38">
        <v>8634.0</v>
      </c>
      <c r="X150" s="30">
        <v>8600.0</v>
      </c>
      <c r="Y150" s="30">
        <v>7300.0</v>
      </c>
      <c r="Z150" s="16">
        <f t="shared" si="1"/>
        <v>1334</v>
      </c>
      <c r="AA150" s="17">
        <f t="shared" si="2"/>
        <v>-1300</v>
      </c>
      <c r="AB150" s="30" t="s">
        <v>42</v>
      </c>
      <c r="AC150" s="20" t="s">
        <v>992</v>
      </c>
      <c r="AD150" s="23"/>
      <c r="AE150" s="23"/>
    </row>
    <row r="151">
      <c r="A151" s="19">
        <v>149.0</v>
      </c>
      <c r="B151" s="30" t="s">
        <v>938</v>
      </c>
      <c r="C151" s="20" t="s">
        <v>993</v>
      </c>
      <c r="D151" s="39" t="s">
        <v>994</v>
      </c>
      <c r="E151" s="30" t="s">
        <v>123</v>
      </c>
      <c r="F151" s="20" t="s">
        <v>987</v>
      </c>
      <c r="G151" s="20" t="s">
        <v>988</v>
      </c>
      <c r="H151" s="30">
        <v>9.87901593E9</v>
      </c>
      <c r="I151" s="35"/>
      <c r="J151" s="35"/>
      <c r="K151" s="35"/>
      <c r="L151" s="30" t="s">
        <v>989</v>
      </c>
      <c r="M151" s="30" t="s">
        <v>484</v>
      </c>
      <c r="N151" s="32" t="s">
        <v>75</v>
      </c>
      <c r="O151" s="30" t="s">
        <v>76</v>
      </c>
      <c r="P151" s="30" t="s">
        <v>41</v>
      </c>
      <c r="Q151" s="20"/>
      <c r="R151" s="30" t="s">
        <v>990</v>
      </c>
      <c r="S151" s="30" t="s">
        <v>991</v>
      </c>
      <c r="T151" s="35"/>
      <c r="U151" s="35"/>
      <c r="V151" s="38">
        <v>7317.0</v>
      </c>
      <c r="W151" s="38">
        <v>8634.0</v>
      </c>
      <c r="X151" s="30">
        <v>8600.0</v>
      </c>
      <c r="Y151" s="30">
        <v>7300.0</v>
      </c>
      <c r="Z151" s="16">
        <f t="shared" si="1"/>
        <v>1334</v>
      </c>
      <c r="AA151" s="17">
        <f t="shared" si="2"/>
        <v>-1300</v>
      </c>
      <c r="AB151" s="30" t="s">
        <v>42</v>
      </c>
      <c r="AC151" s="20" t="s">
        <v>995</v>
      </c>
      <c r="AD151" s="23"/>
      <c r="AE151" s="23"/>
    </row>
    <row r="152">
      <c r="A152" s="19">
        <v>150.0</v>
      </c>
      <c r="B152" s="30" t="s">
        <v>996</v>
      </c>
      <c r="C152" s="20" t="s">
        <v>997</v>
      </c>
      <c r="D152" s="39" t="s">
        <v>998</v>
      </c>
      <c r="E152" s="30" t="s">
        <v>63</v>
      </c>
      <c r="F152" s="20" t="s">
        <v>999</v>
      </c>
      <c r="G152" s="20" t="s">
        <v>1000</v>
      </c>
      <c r="H152" s="30">
        <v>9.925315722E9</v>
      </c>
      <c r="I152" s="35"/>
      <c r="J152" s="35"/>
      <c r="K152" s="30">
        <v>1493.0</v>
      </c>
      <c r="L152" s="30" t="s">
        <v>1001</v>
      </c>
      <c r="M152" s="30" t="s">
        <v>126</v>
      </c>
      <c r="N152" s="32" t="s">
        <v>39</v>
      </c>
      <c r="O152" s="30" t="s">
        <v>56</v>
      </c>
      <c r="P152" s="30" t="s">
        <v>41</v>
      </c>
      <c r="Q152" s="30"/>
      <c r="R152" s="30" t="s">
        <v>1002</v>
      </c>
      <c r="S152" s="30" t="s">
        <v>1003</v>
      </c>
      <c r="T152" s="35"/>
      <c r="U152" s="35"/>
      <c r="V152" s="30">
        <v>8860.69</v>
      </c>
      <c r="W152" s="30">
        <v>10456.0</v>
      </c>
      <c r="X152" s="30">
        <v>10456.0</v>
      </c>
      <c r="Y152" s="30">
        <v>10456.0</v>
      </c>
      <c r="Z152" s="26">
        <f t="shared" si="1"/>
        <v>0</v>
      </c>
      <c r="AA152" s="17">
        <f t="shared" si="2"/>
        <v>0</v>
      </c>
      <c r="AB152" s="30" t="s">
        <v>1004</v>
      </c>
      <c r="AC152" s="20" t="s">
        <v>1005</v>
      </c>
      <c r="AD152" s="23"/>
      <c r="AE152" s="23"/>
    </row>
    <row r="153">
      <c r="A153" s="19">
        <v>151.0</v>
      </c>
      <c r="B153" s="30" t="s">
        <v>996</v>
      </c>
      <c r="C153" s="20" t="s">
        <v>1006</v>
      </c>
      <c r="D153" s="39">
        <v>6.203644267E9</v>
      </c>
      <c r="E153" s="30" t="s">
        <v>63</v>
      </c>
      <c r="F153" s="20" t="s">
        <v>1007</v>
      </c>
      <c r="G153" s="20" t="s">
        <v>1008</v>
      </c>
      <c r="H153" s="30">
        <v>9.909874479E9</v>
      </c>
      <c r="I153" s="35"/>
      <c r="J153" s="35"/>
      <c r="K153" s="30">
        <v>1396.0</v>
      </c>
      <c r="L153" s="30" t="s">
        <v>1009</v>
      </c>
      <c r="M153" s="30" t="s">
        <v>180</v>
      </c>
      <c r="N153" s="32" t="s">
        <v>39</v>
      </c>
      <c r="O153" s="30" t="s">
        <v>47</v>
      </c>
      <c r="P153" s="30" t="s">
        <v>41</v>
      </c>
      <c r="Q153" s="20"/>
      <c r="R153" s="33">
        <v>49255.0</v>
      </c>
      <c r="S153" s="30" t="s">
        <v>103</v>
      </c>
      <c r="T153" s="35"/>
      <c r="U153" s="35"/>
      <c r="V153" s="30">
        <v>16327.0</v>
      </c>
      <c r="W153" s="30">
        <v>19402.0</v>
      </c>
      <c r="X153" s="30">
        <v>19265.0</v>
      </c>
      <c r="Y153" s="30">
        <v>19265.0</v>
      </c>
      <c r="Z153" s="26">
        <f t="shared" si="1"/>
        <v>137</v>
      </c>
      <c r="AA153" s="17">
        <f t="shared" si="2"/>
        <v>0</v>
      </c>
      <c r="AB153" s="30" t="s">
        <v>42</v>
      </c>
      <c r="AC153" s="20" t="s">
        <v>1010</v>
      </c>
      <c r="AD153" s="23"/>
      <c r="AE153" s="23"/>
    </row>
    <row r="154">
      <c r="A154" s="19">
        <v>152.0</v>
      </c>
      <c r="B154" s="30" t="s">
        <v>996</v>
      </c>
      <c r="C154" s="20" t="s">
        <v>1011</v>
      </c>
      <c r="D154" s="39" t="s">
        <v>1012</v>
      </c>
      <c r="E154" s="30" t="s">
        <v>51</v>
      </c>
      <c r="F154" s="20" t="s">
        <v>1013</v>
      </c>
      <c r="G154" s="20" t="s">
        <v>1014</v>
      </c>
      <c r="H154" s="30">
        <v>9.537357073E9</v>
      </c>
      <c r="I154" s="30" t="s">
        <v>1015</v>
      </c>
      <c r="J154" s="30"/>
      <c r="K154" s="30">
        <v>2700.0</v>
      </c>
      <c r="L154" s="30" t="s">
        <v>903</v>
      </c>
      <c r="M154" s="30" t="s">
        <v>484</v>
      </c>
      <c r="N154" s="32" t="s">
        <v>39</v>
      </c>
      <c r="O154" s="30" t="s">
        <v>47</v>
      </c>
      <c r="P154" s="30" t="s">
        <v>41</v>
      </c>
      <c r="Q154" s="20"/>
      <c r="R154" s="30" t="s">
        <v>1016</v>
      </c>
      <c r="S154" s="34">
        <v>45972.0</v>
      </c>
      <c r="T154" s="35"/>
      <c r="U154" s="35"/>
      <c r="V154" s="38">
        <v>20295.0</v>
      </c>
      <c r="W154" s="38">
        <v>21851.0</v>
      </c>
      <c r="X154" s="30">
        <v>14293.0</v>
      </c>
      <c r="Y154" s="30">
        <v>14000.0</v>
      </c>
      <c r="Z154" s="16">
        <f t="shared" si="1"/>
        <v>7851</v>
      </c>
      <c r="AA154" s="17">
        <f t="shared" si="2"/>
        <v>-293</v>
      </c>
      <c r="AB154" s="30" t="s">
        <v>42</v>
      </c>
      <c r="AC154" s="20" t="s">
        <v>1017</v>
      </c>
      <c r="AD154" s="23"/>
      <c r="AE154" s="23"/>
    </row>
    <row r="155">
      <c r="A155" s="19">
        <v>153.0</v>
      </c>
      <c r="B155" s="30" t="s">
        <v>996</v>
      </c>
      <c r="C155" s="20" t="s">
        <v>1018</v>
      </c>
      <c r="D155" s="39" t="s">
        <v>1019</v>
      </c>
      <c r="E155" s="30" t="s">
        <v>51</v>
      </c>
      <c r="F155" s="20" t="s">
        <v>1020</v>
      </c>
      <c r="G155" s="20" t="s">
        <v>1021</v>
      </c>
      <c r="H155" s="30">
        <v>9.664656375E9</v>
      </c>
      <c r="I155" s="30">
        <v>9.904594578E9</v>
      </c>
      <c r="J155" s="30"/>
      <c r="K155" s="30">
        <v>2735.0</v>
      </c>
      <c r="L155" s="30" t="s">
        <v>933</v>
      </c>
      <c r="M155" s="30" t="s">
        <v>484</v>
      </c>
      <c r="N155" s="32" t="s">
        <v>39</v>
      </c>
      <c r="O155" s="30" t="s">
        <v>47</v>
      </c>
      <c r="P155" s="30" t="s">
        <v>41</v>
      </c>
      <c r="Q155" s="20"/>
      <c r="R155" s="30" t="s">
        <v>1022</v>
      </c>
      <c r="S155" s="30" t="s">
        <v>142</v>
      </c>
      <c r="T155" s="35"/>
      <c r="U155" s="35"/>
      <c r="V155" s="38">
        <v>21867.0</v>
      </c>
      <c r="W155" s="38">
        <v>23705.0</v>
      </c>
      <c r="X155" s="30">
        <v>15079.0</v>
      </c>
      <c r="Y155" s="30">
        <v>16000.0</v>
      </c>
      <c r="Z155" s="16">
        <f t="shared" si="1"/>
        <v>7705</v>
      </c>
      <c r="AA155" s="17">
        <f t="shared" si="2"/>
        <v>921</v>
      </c>
      <c r="AB155" s="30" t="s">
        <v>42</v>
      </c>
      <c r="AC155" s="20" t="s">
        <v>1023</v>
      </c>
      <c r="AD155" s="23"/>
      <c r="AE155" s="23"/>
    </row>
    <row r="156">
      <c r="A156" s="19">
        <v>154.0</v>
      </c>
      <c r="B156" s="30" t="s">
        <v>996</v>
      </c>
      <c r="C156" s="20" t="s">
        <v>1024</v>
      </c>
      <c r="D156" s="39" t="s">
        <v>1025</v>
      </c>
      <c r="E156" s="30" t="s">
        <v>51</v>
      </c>
      <c r="F156" s="20" t="s">
        <v>941</v>
      </c>
      <c r="G156" s="20" t="s">
        <v>1026</v>
      </c>
      <c r="H156" s="30" t="s">
        <v>1027</v>
      </c>
      <c r="I156" s="30" t="s">
        <v>1028</v>
      </c>
      <c r="J156" s="30"/>
      <c r="K156" s="30">
        <v>1950.0</v>
      </c>
      <c r="L156" s="30" t="s">
        <v>933</v>
      </c>
      <c r="M156" s="30" t="s">
        <v>126</v>
      </c>
      <c r="N156" s="32" t="s">
        <v>39</v>
      </c>
      <c r="O156" s="30" t="s">
        <v>140</v>
      </c>
      <c r="P156" s="30" t="s">
        <v>41</v>
      </c>
      <c r="Q156" s="20"/>
      <c r="R156" s="30" t="s">
        <v>720</v>
      </c>
      <c r="S156" s="30" t="s">
        <v>1029</v>
      </c>
      <c r="T156" s="35"/>
      <c r="U156" s="35"/>
      <c r="V156" s="38">
        <v>21158.61</v>
      </c>
      <c r="W156" s="30">
        <v>22881.0</v>
      </c>
      <c r="X156" s="30">
        <v>14340.0</v>
      </c>
      <c r="Y156" s="30">
        <v>15000.0</v>
      </c>
      <c r="Z156" s="26">
        <f t="shared" si="1"/>
        <v>7881</v>
      </c>
      <c r="AA156" s="17">
        <f t="shared" si="2"/>
        <v>660</v>
      </c>
      <c r="AB156" s="30" t="s">
        <v>42</v>
      </c>
      <c r="AC156" s="20" t="s">
        <v>1030</v>
      </c>
      <c r="AD156" s="23"/>
      <c r="AE156" s="23"/>
    </row>
    <row r="157">
      <c r="A157" s="19">
        <v>155.0</v>
      </c>
      <c r="B157" s="30" t="s">
        <v>996</v>
      </c>
      <c r="C157" s="20" t="s">
        <v>1031</v>
      </c>
      <c r="D157" s="39" t="s">
        <v>1032</v>
      </c>
      <c r="E157" s="30" t="s">
        <v>51</v>
      </c>
      <c r="F157" s="20" t="s">
        <v>746</v>
      </c>
      <c r="G157" s="20" t="s">
        <v>1033</v>
      </c>
      <c r="H157" s="30" t="s">
        <v>748</v>
      </c>
      <c r="I157" s="30">
        <v>9.879021498E9</v>
      </c>
      <c r="J157" s="30"/>
      <c r="K157" s="30">
        <v>1950.0</v>
      </c>
      <c r="L157" s="30" t="s">
        <v>903</v>
      </c>
      <c r="M157" s="30" t="s">
        <v>55</v>
      </c>
      <c r="N157" s="32" t="s">
        <v>39</v>
      </c>
      <c r="O157" s="30" t="s">
        <v>47</v>
      </c>
      <c r="P157" s="30" t="s">
        <v>41</v>
      </c>
      <c r="Q157" s="20"/>
      <c r="R157" s="30" t="s">
        <v>1034</v>
      </c>
      <c r="S157" s="33">
        <v>46331.0</v>
      </c>
      <c r="T157" s="35"/>
      <c r="U157" s="35"/>
      <c r="V157" s="38">
        <v>20171.0</v>
      </c>
      <c r="W157" s="38">
        <v>21716.0</v>
      </c>
      <c r="X157" s="30">
        <v>14000.0</v>
      </c>
      <c r="Y157" s="30">
        <v>13000.0</v>
      </c>
      <c r="Z157" s="16">
        <f t="shared" si="1"/>
        <v>8716</v>
      </c>
      <c r="AA157" s="17">
        <f t="shared" si="2"/>
        <v>-1000</v>
      </c>
      <c r="AB157" s="30" t="s">
        <v>42</v>
      </c>
      <c r="AC157" s="20" t="s">
        <v>1035</v>
      </c>
      <c r="AD157" s="23"/>
      <c r="AE157" s="23"/>
    </row>
    <row r="158">
      <c r="A158" s="19">
        <v>156.0</v>
      </c>
      <c r="B158" s="30" t="s">
        <v>996</v>
      </c>
      <c r="C158" s="20" t="s">
        <v>1036</v>
      </c>
      <c r="D158" s="39" t="s">
        <v>1037</v>
      </c>
      <c r="E158" s="30" t="s">
        <v>63</v>
      </c>
      <c r="F158" s="20" t="s">
        <v>1038</v>
      </c>
      <c r="G158" s="20" t="s">
        <v>1039</v>
      </c>
      <c r="H158" s="30">
        <v>9.979357538E9</v>
      </c>
      <c r="I158" s="30">
        <v>9.316603611E9</v>
      </c>
      <c r="J158" s="30"/>
      <c r="K158" s="30">
        <v>1196.0</v>
      </c>
      <c r="L158" s="30" t="s">
        <v>1040</v>
      </c>
      <c r="M158" s="30" t="s">
        <v>55</v>
      </c>
      <c r="N158" s="32" t="s">
        <v>66</v>
      </c>
      <c r="O158" s="30" t="s">
        <v>40</v>
      </c>
      <c r="P158" s="30" t="s">
        <v>41</v>
      </c>
      <c r="Q158" s="20"/>
      <c r="R158" s="30" t="s">
        <v>1041</v>
      </c>
      <c r="S158" s="30" t="s">
        <v>1042</v>
      </c>
      <c r="T158" s="35"/>
      <c r="U158" s="35"/>
      <c r="V158" s="38">
        <v>5747.0</v>
      </c>
      <c r="W158" s="38">
        <v>6781.0</v>
      </c>
      <c r="X158" s="30">
        <v>6781.0</v>
      </c>
      <c r="Y158" s="30">
        <v>6800.0</v>
      </c>
      <c r="Z158" s="16">
        <f t="shared" si="1"/>
        <v>-19</v>
      </c>
      <c r="AA158" s="17">
        <f t="shared" si="2"/>
        <v>19</v>
      </c>
      <c r="AB158" s="30" t="s">
        <v>42</v>
      </c>
      <c r="AC158" s="20" t="s">
        <v>1043</v>
      </c>
      <c r="AD158" s="23"/>
      <c r="AE158" s="23"/>
    </row>
    <row r="159">
      <c r="A159" s="19">
        <v>157.0</v>
      </c>
      <c r="B159" s="30" t="s">
        <v>996</v>
      </c>
      <c r="C159" s="20" t="s">
        <v>1044</v>
      </c>
      <c r="D159" s="39" t="s">
        <v>1045</v>
      </c>
      <c r="E159" s="30" t="s">
        <v>34</v>
      </c>
      <c r="F159" s="20" t="s">
        <v>35</v>
      </c>
      <c r="G159" s="20" t="s">
        <v>1046</v>
      </c>
      <c r="H159" s="30">
        <v>7.807494949E9</v>
      </c>
      <c r="I159" s="30">
        <v>8.780603062E9</v>
      </c>
      <c r="J159" s="30"/>
      <c r="K159" s="30">
        <v>236.0</v>
      </c>
      <c r="L159" s="30" t="s">
        <v>933</v>
      </c>
      <c r="M159" s="30" t="s">
        <v>38</v>
      </c>
      <c r="N159" s="32" t="s">
        <v>39</v>
      </c>
      <c r="O159" s="30" t="s">
        <v>76</v>
      </c>
      <c r="P159" s="30" t="s">
        <v>41</v>
      </c>
      <c r="Q159" s="20"/>
      <c r="R159" s="33">
        <v>46213.0</v>
      </c>
      <c r="S159" s="33">
        <v>45848.0</v>
      </c>
      <c r="T159" s="35"/>
      <c r="U159" s="35"/>
      <c r="V159" s="30">
        <v>6448.0</v>
      </c>
      <c r="W159" s="30">
        <v>7609.0</v>
      </c>
      <c r="X159" s="30">
        <v>6500.0</v>
      </c>
      <c r="Y159" s="30">
        <v>6500.0</v>
      </c>
      <c r="Z159" s="26">
        <f t="shared" si="1"/>
        <v>1109</v>
      </c>
      <c r="AA159" s="17">
        <f t="shared" si="2"/>
        <v>0</v>
      </c>
      <c r="AB159" s="30" t="s">
        <v>42</v>
      </c>
      <c r="AC159" s="20" t="s">
        <v>1047</v>
      </c>
      <c r="AD159" s="23"/>
      <c r="AE159" s="23"/>
    </row>
    <row r="160">
      <c r="A160" s="19">
        <v>158.0</v>
      </c>
      <c r="B160" s="30" t="s">
        <v>996</v>
      </c>
      <c r="C160" s="20" t="s">
        <v>1048</v>
      </c>
      <c r="D160" s="39" t="s">
        <v>1049</v>
      </c>
      <c r="E160" s="30" t="s">
        <v>34</v>
      </c>
      <c r="F160" s="20" t="s">
        <v>35</v>
      </c>
      <c r="G160" s="20" t="s">
        <v>1050</v>
      </c>
      <c r="H160" s="30">
        <v>9.687949089E9</v>
      </c>
      <c r="I160" s="30">
        <v>8.460224537E9</v>
      </c>
      <c r="J160" s="30"/>
      <c r="K160" s="30">
        <v>236.0</v>
      </c>
      <c r="L160" s="30" t="s">
        <v>846</v>
      </c>
      <c r="M160" s="30" t="s">
        <v>38</v>
      </c>
      <c r="N160" s="32" t="s">
        <v>39</v>
      </c>
      <c r="O160" s="30" t="s">
        <v>76</v>
      </c>
      <c r="P160" s="30" t="s">
        <v>41</v>
      </c>
      <c r="Q160" s="20"/>
      <c r="R160" s="33">
        <v>46213.0</v>
      </c>
      <c r="S160" s="33">
        <v>46174.0</v>
      </c>
      <c r="T160" s="35"/>
      <c r="U160" s="35"/>
      <c r="V160" s="30">
        <v>6077.0</v>
      </c>
      <c r="W160" s="30">
        <v>7171.0</v>
      </c>
      <c r="X160" s="30">
        <v>6500.0</v>
      </c>
      <c r="Y160" s="30">
        <v>6000.0</v>
      </c>
      <c r="Z160" s="26">
        <f t="shared" si="1"/>
        <v>1171</v>
      </c>
      <c r="AA160" s="17">
        <f t="shared" si="2"/>
        <v>-500</v>
      </c>
      <c r="AB160" s="30" t="s">
        <v>42</v>
      </c>
      <c r="AC160" s="20" t="s">
        <v>1051</v>
      </c>
      <c r="AD160" s="23"/>
      <c r="AE160" s="23"/>
    </row>
    <row r="161">
      <c r="A161" s="19">
        <v>159.0</v>
      </c>
      <c r="B161" s="30" t="s">
        <v>996</v>
      </c>
      <c r="C161" s="20" t="s">
        <v>1052</v>
      </c>
      <c r="D161" s="39">
        <v>6.303469468E9</v>
      </c>
      <c r="E161" s="30" t="s">
        <v>34</v>
      </c>
      <c r="F161" s="20" t="s">
        <v>971</v>
      </c>
      <c r="G161" s="20" t="s">
        <v>1053</v>
      </c>
      <c r="H161" s="30" t="s">
        <v>1054</v>
      </c>
      <c r="I161" s="30">
        <v>9.904440113E9</v>
      </c>
      <c r="J161" s="30"/>
      <c r="K161" s="30">
        <v>470.0</v>
      </c>
      <c r="L161" s="30" t="s">
        <v>903</v>
      </c>
      <c r="M161" s="30" t="s">
        <v>180</v>
      </c>
      <c r="N161" s="32" t="s">
        <v>39</v>
      </c>
      <c r="O161" s="30" t="s">
        <v>213</v>
      </c>
      <c r="P161" s="30" t="s">
        <v>57</v>
      </c>
      <c r="Q161" s="20"/>
      <c r="R161" s="30" t="s">
        <v>1055</v>
      </c>
      <c r="S161" s="33">
        <v>45727.0</v>
      </c>
      <c r="T161" s="30" t="s">
        <v>1056</v>
      </c>
      <c r="U161" s="35"/>
      <c r="V161" s="30">
        <v>6568.0</v>
      </c>
      <c r="W161" s="30">
        <v>7750.0</v>
      </c>
      <c r="X161" s="30">
        <v>6500.0</v>
      </c>
      <c r="Y161" s="30">
        <v>6500.0</v>
      </c>
      <c r="Z161" s="26">
        <f t="shared" si="1"/>
        <v>1250</v>
      </c>
      <c r="AA161" s="17">
        <f t="shared" si="2"/>
        <v>0</v>
      </c>
      <c r="AB161" s="30" t="s">
        <v>42</v>
      </c>
      <c r="AC161" s="20" t="s">
        <v>1057</v>
      </c>
      <c r="AD161" s="23"/>
      <c r="AE161" s="23"/>
    </row>
    <row r="162">
      <c r="A162" s="19">
        <v>160.0</v>
      </c>
      <c r="B162" s="30" t="s">
        <v>996</v>
      </c>
      <c r="C162" s="20" t="s">
        <v>1058</v>
      </c>
      <c r="D162" s="39">
        <v>6.303469454E9</v>
      </c>
      <c r="E162" s="30" t="s">
        <v>34</v>
      </c>
      <c r="F162" s="20" t="s">
        <v>971</v>
      </c>
      <c r="G162" s="20" t="s">
        <v>1059</v>
      </c>
      <c r="H162" s="30">
        <v>8.141197899E9</v>
      </c>
      <c r="I162" s="30">
        <v>9.662271202E9</v>
      </c>
      <c r="J162" s="30"/>
      <c r="K162" s="30">
        <v>470.0</v>
      </c>
      <c r="L162" s="30" t="s">
        <v>380</v>
      </c>
      <c r="M162" s="30" t="s">
        <v>180</v>
      </c>
      <c r="N162" s="32" t="s">
        <v>39</v>
      </c>
      <c r="O162" s="30" t="s">
        <v>47</v>
      </c>
      <c r="P162" s="30" t="s">
        <v>57</v>
      </c>
      <c r="Q162" s="20"/>
      <c r="R162" s="30" t="s">
        <v>841</v>
      </c>
      <c r="S162" s="30" t="s">
        <v>293</v>
      </c>
      <c r="T162" s="30" t="s">
        <v>904</v>
      </c>
      <c r="U162" s="35"/>
      <c r="V162" s="30">
        <v>6328.0</v>
      </c>
      <c r="W162" s="30">
        <v>7468.0</v>
      </c>
      <c r="X162" s="30">
        <v>6500.0</v>
      </c>
      <c r="Y162" s="30">
        <v>6000.0</v>
      </c>
      <c r="Z162" s="26">
        <f t="shared" si="1"/>
        <v>1468</v>
      </c>
      <c r="AA162" s="17">
        <f t="shared" si="2"/>
        <v>-500</v>
      </c>
      <c r="AB162" s="30" t="s">
        <v>42</v>
      </c>
      <c r="AC162" s="20" t="s">
        <v>1060</v>
      </c>
      <c r="AD162" s="23"/>
      <c r="AE162" s="23"/>
    </row>
    <row r="163">
      <c r="A163" s="19">
        <v>161.0</v>
      </c>
      <c r="B163" s="30" t="s">
        <v>996</v>
      </c>
      <c r="C163" s="20" t="s">
        <v>1061</v>
      </c>
      <c r="D163" s="39" t="s">
        <v>1062</v>
      </c>
      <c r="E163" s="30" t="s">
        <v>98</v>
      </c>
      <c r="F163" s="20" t="s">
        <v>1063</v>
      </c>
      <c r="G163" s="20" t="s">
        <v>1064</v>
      </c>
      <c r="H163" s="30">
        <v>7.98467355E9</v>
      </c>
      <c r="I163" s="35"/>
      <c r="J163" s="35"/>
      <c r="K163" s="30">
        <v>42000.0</v>
      </c>
      <c r="L163" s="30" t="s">
        <v>933</v>
      </c>
      <c r="M163" s="30" t="s">
        <v>38</v>
      </c>
      <c r="N163" s="32" t="s">
        <v>39</v>
      </c>
      <c r="O163" s="30" t="s">
        <v>76</v>
      </c>
      <c r="P163" s="30" t="s">
        <v>41</v>
      </c>
      <c r="Q163" s="20"/>
      <c r="R163" s="35"/>
      <c r="S163" s="35"/>
      <c r="T163" s="35"/>
      <c r="U163" s="35"/>
      <c r="V163" s="30">
        <v>70513.0</v>
      </c>
      <c r="W163" s="30">
        <v>77454.0</v>
      </c>
      <c r="X163" s="30">
        <v>63915.0</v>
      </c>
      <c r="Y163" s="30">
        <v>48915.0</v>
      </c>
      <c r="Z163" s="26">
        <f t="shared" si="1"/>
        <v>28539</v>
      </c>
      <c r="AA163" s="17">
        <f t="shared" si="2"/>
        <v>-15000</v>
      </c>
      <c r="AB163" s="35"/>
      <c r="AC163" s="20" t="s">
        <v>1065</v>
      </c>
      <c r="AD163" s="23"/>
      <c r="AE163" s="23"/>
    </row>
    <row r="164">
      <c r="A164" s="19">
        <v>162.0</v>
      </c>
      <c r="B164" s="30" t="s">
        <v>996</v>
      </c>
      <c r="C164" s="20" t="s">
        <v>1061</v>
      </c>
      <c r="D164" s="39" t="s">
        <v>1066</v>
      </c>
      <c r="E164" s="30" t="s">
        <v>98</v>
      </c>
      <c r="F164" s="20" t="s">
        <v>1063</v>
      </c>
      <c r="G164" s="20" t="s">
        <v>1064</v>
      </c>
      <c r="H164" s="30">
        <v>7.98467355E9</v>
      </c>
      <c r="I164" s="35"/>
      <c r="J164" s="35"/>
      <c r="K164" s="30">
        <v>42000.0</v>
      </c>
      <c r="L164" s="30" t="s">
        <v>933</v>
      </c>
      <c r="M164" s="30" t="s">
        <v>38</v>
      </c>
      <c r="N164" s="32" t="s">
        <v>39</v>
      </c>
      <c r="O164" s="30" t="s">
        <v>76</v>
      </c>
      <c r="P164" s="30" t="s">
        <v>41</v>
      </c>
      <c r="Q164" s="20"/>
      <c r="R164" s="35"/>
      <c r="S164" s="35"/>
      <c r="T164" s="35"/>
      <c r="U164" s="35"/>
      <c r="V164" s="30">
        <v>70513.0</v>
      </c>
      <c r="W164" s="30">
        <v>77454.0</v>
      </c>
      <c r="X164" s="30">
        <v>63915.0</v>
      </c>
      <c r="Y164" s="30">
        <v>48915.0</v>
      </c>
      <c r="Z164" s="26">
        <f t="shared" si="1"/>
        <v>28539</v>
      </c>
      <c r="AA164" s="17">
        <f t="shared" si="2"/>
        <v>-15000</v>
      </c>
      <c r="AB164" s="35"/>
      <c r="AC164" s="20" t="s">
        <v>1065</v>
      </c>
      <c r="AD164" s="23"/>
      <c r="AE164" s="23"/>
    </row>
    <row r="165">
      <c r="A165" s="19">
        <v>163.0</v>
      </c>
      <c r="B165" s="30" t="s">
        <v>996</v>
      </c>
      <c r="C165" s="20" t="s">
        <v>1061</v>
      </c>
      <c r="D165" s="20" t="s">
        <v>1067</v>
      </c>
      <c r="E165" s="30" t="s">
        <v>98</v>
      </c>
      <c r="F165" s="20" t="s">
        <v>981</v>
      </c>
      <c r="G165" s="20" t="s">
        <v>1064</v>
      </c>
      <c r="H165" s="30">
        <v>7.98467355E9</v>
      </c>
      <c r="I165" s="35"/>
      <c r="J165" s="35"/>
      <c r="K165" s="30">
        <v>47500.0</v>
      </c>
      <c r="L165" s="30" t="s">
        <v>933</v>
      </c>
      <c r="M165" s="30" t="s">
        <v>38</v>
      </c>
      <c r="N165" s="32" t="s">
        <v>39</v>
      </c>
      <c r="O165" s="30" t="s">
        <v>76</v>
      </c>
      <c r="P165" s="30" t="s">
        <v>41</v>
      </c>
      <c r="Q165" s="20"/>
      <c r="R165" s="35"/>
      <c r="S165" s="35"/>
      <c r="T165" s="35"/>
      <c r="U165" s="35"/>
      <c r="V165" s="30">
        <v>73176.0</v>
      </c>
      <c r="W165" s="30">
        <v>80596.0</v>
      </c>
      <c r="X165" s="30">
        <v>66338.0</v>
      </c>
      <c r="Y165" s="30">
        <v>51338.0</v>
      </c>
      <c r="Z165" s="26">
        <f t="shared" si="1"/>
        <v>29258</v>
      </c>
      <c r="AA165" s="17">
        <f t="shared" si="2"/>
        <v>-15000</v>
      </c>
      <c r="AB165" s="35"/>
      <c r="AC165" s="20" t="s">
        <v>1065</v>
      </c>
      <c r="AD165" s="23"/>
      <c r="AE165" s="23"/>
    </row>
    <row r="166">
      <c r="A166" s="19">
        <v>164.0</v>
      </c>
      <c r="B166" s="30" t="s">
        <v>996</v>
      </c>
      <c r="C166" s="20" t="s">
        <v>1068</v>
      </c>
      <c r="D166" s="20" t="s">
        <v>1069</v>
      </c>
      <c r="E166" s="30" t="s">
        <v>98</v>
      </c>
      <c r="F166" s="20" t="s">
        <v>1070</v>
      </c>
      <c r="G166" s="20" t="s">
        <v>1071</v>
      </c>
      <c r="H166" s="30">
        <v>9.898447443E9</v>
      </c>
      <c r="I166" s="30">
        <v>9.824026684E9</v>
      </c>
      <c r="J166" s="30"/>
      <c r="K166" s="30">
        <v>14050.0</v>
      </c>
      <c r="L166" s="30" t="s">
        <v>1072</v>
      </c>
      <c r="M166" s="30" t="s">
        <v>126</v>
      </c>
      <c r="N166" s="32" t="s">
        <v>39</v>
      </c>
      <c r="O166" s="30" t="s">
        <v>165</v>
      </c>
      <c r="P166" s="30" t="s">
        <v>41</v>
      </c>
      <c r="Q166" s="20"/>
      <c r="R166" s="33">
        <v>46092.0</v>
      </c>
      <c r="S166" s="30" t="s">
        <v>1073</v>
      </c>
      <c r="T166" s="33">
        <v>46915.0</v>
      </c>
      <c r="U166" s="35"/>
      <c r="V166" s="38">
        <v>37824.42</v>
      </c>
      <c r="W166" s="30">
        <v>40042.0</v>
      </c>
      <c r="X166" s="30">
        <v>33930.0</v>
      </c>
      <c r="Y166" s="30">
        <v>33500.0</v>
      </c>
      <c r="Z166" s="26">
        <f t="shared" si="1"/>
        <v>6542</v>
      </c>
      <c r="AA166" s="17">
        <f t="shared" si="2"/>
        <v>-430</v>
      </c>
      <c r="AB166" s="30" t="s">
        <v>42</v>
      </c>
      <c r="AC166" s="20" t="s">
        <v>1074</v>
      </c>
      <c r="AD166" s="23"/>
      <c r="AE166" s="23"/>
    </row>
    <row r="167">
      <c r="A167" s="19">
        <v>165.0</v>
      </c>
      <c r="B167" s="30" t="s">
        <v>996</v>
      </c>
      <c r="C167" s="20" t="s">
        <v>1075</v>
      </c>
      <c r="D167" s="20" t="s">
        <v>1076</v>
      </c>
      <c r="E167" s="30" t="s">
        <v>63</v>
      </c>
      <c r="F167" s="20" t="s">
        <v>1077</v>
      </c>
      <c r="G167" s="20" t="s">
        <v>1078</v>
      </c>
      <c r="H167" s="30">
        <v>9.909172918E9</v>
      </c>
      <c r="I167" s="30">
        <v>9.974956031E9</v>
      </c>
      <c r="J167" s="30"/>
      <c r="K167" s="30">
        <v>1196.0</v>
      </c>
      <c r="L167" s="30" t="s">
        <v>903</v>
      </c>
      <c r="M167" s="30" t="s">
        <v>700</v>
      </c>
      <c r="N167" s="32" t="s">
        <v>66</v>
      </c>
      <c r="O167" s="30" t="s">
        <v>213</v>
      </c>
      <c r="P167" s="30" t="s">
        <v>67</v>
      </c>
      <c r="Q167" s="20"/>
      <c r="R167" s="30" t="s">
        <v>1079</v>
      </c>
      <c r="S167" s="30" t="s">
        <v>1080</v>
      </c>
      <c r="T167" s="35"/>
      <c r="U167" s="35"/>
      <c r="V167" s="30">
        <v>5084.0</v>
      </c>
      <c r="W167" s="30">
        <v>5999.0</v>
      </c>
      <c r="X167" s="30">
        <v>7000.0</v>
      </c>
      <c r="Y167" s="30">
        <v>7000.0</v>
      </c>
      <c r="Z167" s="26">
        <f t="shared" si="1"/>
        <v>-1001</v>
      </c>
      <c r="AA167" s="17">
        <f t="shared" si="2"/>
        <v>0</v>
      </c>
      <c r="AB167" s="30" t="s">
        <v>42</v>
      </c>
      <c r="AC167" s="20" t="s">
        <v>1081</v>
      </c>
      <c r="AD167" s="23"/>
      <c r="AE167" s="23"/>
    </row>
    <row r="168">
      <c r="A168" s="19">
        <v>166.0</v>
      </c>
      <c r="B168" s="30" t="s">
        <v>996</v>
      </c>
      <c r="C168" s="20" t="s">
        <v>1082</v>
      </c>
      <c r="D168" s="39" t="s">
        <v>1083</v>
      </c>
      <c r="E168" s="30" t="s">
        <v>98</v>
      </c>
      <c r="F168" s="20" t="s">
        <v>571</v>
      </c>
      <c r="G168" s="20" t="s">
        <v>1084</v>
      </c>
      <c r="H168" s="30">
        <v>7.567503836E9</v>
      </c>
      <c r="I168" s="30">
        <v>9.825400075E9</v>
      </c>
      <c r="J168" s="30"/>
      <c r="K168" s="30">
        <v>42000.0</v>
      </c>
      <c r="L168" s="30" t="s">
        <v>380</v>
      </c>
      <c r="M168" s="30" t="s">
        <v>38</v>
      </c>
      <c r="N168" s="32" t="s">
        <v>39</v>
      </c>
      <c r="O168" s="30" t="s">
        <v>76</v>
      </c>
      <c r="P168" s="30" t="s">
        <v>41</v>
      </c>
      <c r="Q168" s="20"/>
      <c r="R168" s="30" t="s">
        <v>381</v>
      </c>
      <c r="S168" s="30" t="s">
        <v>1085</v>
      </c>
      <c r="T168" s="30" t="s">
        <v>113</v>
      </c>
      <c r="U168" s="30" t="s">
        <v>1086</v>
      </c>
      <c r="V168" s="30">
        <v>46344.0</v>
      </c>
      <c r="W168" s="30">
        <v>48934.0</v>
      </c>
      <c r="X168" s="30">
        <v>41922.0</v>
      </c>
      <c r="Y168" s="30">
        <v>42000.0</v>
      </c>
      <c r="Z168" s="26">
        <f t="shared" si="1"/>
        <v>6934</v>
      </c>
      <c r="AA168" s="17">
        <f t="shared" si="2"/>
        <v>78</v>
      </c>
      <c r="AB168" s="30" t="s">
        <v>42</v>
      </c>
      <c r="AC168" s="20" t="s">
        <v>1087</v>
      </c>
      <c r="AD168" s="23"/>
      <c r="AE168" s="23"/>
    </row>
    <row r="169">
      <c r="A169" s="19">
        <v>167.0</v>
      </c>
      <c r="B169" s="30" t="s">
        <v>1088</v>
      </c>
      <c r="C169" s="20" t="s">
        <v>1089</v>
      </c>
      <c r="D169" s="39" t="s">
        <v>1090</v>
      </c>
      <c r="E169" s="30" t="s">
        <v>34</v>
      </c>
      <c r="F169" s="20" t="s">
        <v>1091</v>
      </c>
      <c r="G169" s="20" t="s">
        <v>1092</v>
      </c>
      <c r="H169" s="30">
        <v>9.726914096E9</v>
      </c>
      <c r="I169" s="30">
        <v>9.328937988E9</v>
      </c>
      <c r="J169" s="30"/>
      <c r="K169" s="35"/>
      <c r="L169" s="30" t="s">
        <v>903</v>
      </c>
      <c r="M169" s="30" t="s">
        <v>38</v>
      </c>
      <c r="N169" s="32" t="s">
        <v>39</v>
      </c>
      <c r="O169" s="30" t="s">
        <v>213</v>
      </c>
      <c r="P169" s="30" t="s">
        <v>41</v>
      </c>
      <c r="Q169" s="20"/>
      <c r="R169" s="30" t="s">
        <v>962</v>
      </c>
      <c r="S169" s="35"/>
      <c r="T169" s="35"/>
      <c r="U169" s="30" t="s">
        <v>1086</v>
      </c>
      <c r="V169" s="30">
        <v>7052.0</v>
      </c>
      <c r="W169" s="30">
        <v>8322.0</v>
      </c>
      <c r="X169" s="30">
        <v>6500.0</v>
      </c>
      <c r="Y169" s="30">
        <v>6500.0</v>
      </c>
      <c r="Z169" s="26">
        <f t="shared" si="1"/>
        <v>1822</v>
      </c>
      <c r="AA169" s="17">
        <f t="shared" si="2"/>
        <v>0</v>
      </c>
      <c r="AB169" s="30" t="s">
        <v>42</v>
      </c>
      <c r="AC169" s="20" t="s">
        <v>1093</v>
      </c>
      <c r="AD169" s="23"/>
      <c r="AE169" s="23"/>
    </row>
    <row r="170">
      <c r="A170" s="19">
        <v>168.0</v>
      </c>
      <c r="B170" s="30" t="s">
        <v>1088</v>
      </c>
      <c r="C170" s="20" t="s">
        <v>1094</v>
      </c>
      <c r="D170" s="39" t="s">
        <v>1095</v>
      </c>
      <c r="E170" s="30" t="s">
        <v>51</v>
      </c>
      <c r="F170" s="20" t="s">
        <v>392</v>
      </c>
      <c r="G170" s="20" t="s">
        <v>1096</v>
      </c>
      <c r="H170" s="30">
        <v>9.92402423E9</v>
      </c>
      <c r="I170" s="35"/>
      <c r="J170" s="35"/>
      <c r="K170" s="30">
        <v>3490.0</v>
      </c>
      <c r="L170" s="30" t="s">
        <v>846</v>
      </c>
      <c r="M170" s="30" t="s">
        <v>228</v>
      </c>
      <c r="N170" s="32" t="s">
        <v>39</v>
      </c>
      <c r="O170" s="30" t="s">
        <v>47</v>
      </c>
      <c r="P170" s="30" t="s">
        <v>41</v>
      </c>
      <c r="Q170" s="20"/>
      <c r="R170" s="30" t="s">
        <v>649</v>
      </c>
      <c r="S170" s="30" t="s">
        <v>133</v>
      </c>
      <c r="T170" s="33">
        <v>46946.0</v>
      </c>
      <c r="U170" s="35"/>
      <c r="V170" s="38">
        <v>22611.0</v>
      </c>
      <c r="W170" s="38">
        <v>24595.0</v>
      </c>
      <c r="X170" s="30">
        <v>16659.0</v>
      </c>
      <c r="Y170" s="30">
        <v>16500.0</v>
      </c>
      <c r="Z170" s="16">
        <f t="shared" si="1"/>
        <v>8095</v>
      </c>
      <c r="AA170" s="17">
        <f t="shared" si="2"/>
        <v>-159</v>
      </c>
      <c r="AB170" s="30" t="s">
        <v>42</v>
      </c>
      <c r="AC170" s="20" t="s">
        <v>1097</v>
      </c>
      <c r="AD170" s="23"/>
      <c r="AE170" s="23"/>
    </row>
    <row r="171">
      <c r="A171" s="19">
        <v>169.0</v>
      </c>
      <c r="B171" s="30" t="s">
        <v>1088</v>
      </c>
      <c r="C171" s="20" t="s">
        <v>1098</v>
      </c>
      <c r="D171" s="39" t="s">
        <v>1099</v>
      </c>
      <c r="E171" s="30" t="s">
        <v>123</v>
      </c>
      <c r="F171" s="20" t="s">
        <v>1100</v>
      </c>
      <c r="G171" s="20" t="s">
        <v>1101</v>
      </c>
      <c r="H171" s="30">
        <v>9.898757772E9</v>
      </c>
      <c r="I171" s="30">
        <v>9.662553854E9</v>
      </c>
      <c r="J171" s="30"/>
      <c r="K171" s="35"/>
      <c r="L171" s="30" t="s">
        <v>1040</v>
      </c>
      <c r="M171" s="30" t="s">
        <v>38</v>
      </c>
      <c r="N171" s="32" t="s">
        <v>39</v>
      </c>
      <c r="O171" s="30" t="s">
        <v>40</v>
      </c>
      <c r="P171" s="30" t="s">
        <v>41</v>
      </c>
      <c r="Q171" s="20"/>
      <c r="R171" s="33">
        <v>45699.0</v>
      </c>
      <c r="S171" s="33">
        <v>45423.0</v>
      </c>
      <c r="T171" s="35"/>
      <c r="U171" s="35"/>
      <c r="V171" s="30">
        <v>14406.0</v>
      </c>
      <c r="W171" s="30">
        <v>17000.0</v>
      </c>
      <c r="X171" s="30">
        <v>17000.0</v>
      </c>
      <c r="Y171" s="30">
        <v>17000.0</v>
      </c>
      <c r="Z171" s="26">
        <f t="shared" si="1"/>
        <v>0</v>
      </c>
      <c r="AA171" s="17">
        <f t="shared" si="2"/>
        <v>0</v>
      </c>
      <c r="AB171" s="30" t="s">
        <v>42</v>
      </c>
      <c r="AC171" s="20" t="s">
        <v>1102</v>
      </c>
      <c r="AD171" s="23"/>
      <c r="AE171" s="23"/>
    </row>
    <row r="172">
      <c r="A172" s="19">
        <v>170.0</v>
      </c>
      <c r="B172" s="30" t="s">
        <v>1088</v>
      </c>
      <c r="C172" s="20" t="s">
        <v>1103</v>
      </c>
      <c r="D172" s="39" t="s">
        <v>1104</v>
      </c>
      <c r="E172" s="30" t="s">
        <v>34</v>
      </c>
      <c r="F172" s="20" t="s">
        <v>35</v>
      </c>
      <c r="G172" s="20" t="s">
        <v>1105</v>
      </c>
      <c r="H172" s="30">
        <v>8.128042544E9</v>
      </c>
      <c r="I172" s="30">
        <v>7.575878937E9</v>
      </c>
      <c r="J172" s="30"/>
      <c r="K172" s="30">
        <v>236.0</v>
      </c>
      <c r="L172" s="31">
        <v>46033.0</v>
      </c>
      <c r="M172" s="30" t="s">
        <v>38</v>
      </c>
      <c r="N172" s="32" t="s">
        <v>39</v>
      </c>
      <c r="O172" s="30" t="s">
        <v>47</v>
      </c>
      <c r="P172" s="30" t="s">
        <v>41</v>
      </c>
      <c r="Q172" s="20"/>
      <c r="R172" s="33">
        <v>46429.0</v>
      </c>
      <c r="S172" s="33">
        <v>45819.0</v>
      </c>
      <c r="T172" s="33">
        <v>46976.0</v>
      </c>
      <c r="U172" s="35"/>
      <c r="V172" s="30">
        <v>6332.0</v>
      </c>
      <c r="W172" s="30">
        <v>7472.0</v>
      </c>
      <c r="X172" s="30">
        <v>6500.0</v>
      </c>
      <c r="Y172" s="30">
        <v>6500.0</v>
      </c>
      <c r="Z172" s="26">
        <f t="shared" si="1"/>
        <v>972</v>
      </c>
      <c r="AA172" s="17">
        <f t="shared" si="2"/>
        <v>0</v>
      </c>
      <c r="AB172" s="30" t="s">
        <v>42</v>
      </c>
      <c r="AC172" s="20" t="s">
        <v>1106</v>
      </c>
      <c r="AD172" s="23"/>
      <c r="AE172" s="23"/>
    </row>
    <row r="173">
      <c r="A173" s="19">
        <v>171.0</v>
      </c>
      <c r="B173" s="30" t="s">
        <v>1088</v>
      </c>
      <c r="C173" s="20" t="s">
        <v>1107</v>
      </c>
      <c r="D173" s="39" t="s">
        <v>1108</v>
      </c>
      <c r="E173" s="30" t="s">
        <v>63</v>
      </c>
      <c r="F173" s="20" t="s">
        <v>1109</v>
      </c>
      <c r="G173" s="20" t="s">
        <v>1110</v>
      </c>
      <c r="H173" s="30" t="s">
        <v>1111</v>
      </c>
      <c r="I173" s="35"/>
      <c r="J173" s="35"/>
      <c r="K173" s="30">
        <v>1493.0</v>
      </c>
      <c r="L173" s="30" t="s">
        <v>903</v>
      </c>
      <c r="M173" s="30" t="s">
        <v>484</v>
      </c>
      <c r="N173" s="32" t="s">
        <v>39</v>
      </c>
      <c r="O173" s="30" t="s">
        <v>76</v>
      </c>
      <c r="P173" s="30" t="s">
        <v>41</v>
      </c>
      <c r="Q173" s="20"/>
      <c r="R173" s="33">
        <v>50197.0</v>
      </c>
      <c r="S173" s="30" t="s">
        <v>962</v>
      </c>
      <c r="T173" s="35"/>
      <c r="U173" s="35"/>
      <c r="V173" s="38">
        <v>25395.0</v>
      </c>
      <c r="W173" s="38">
        <v>29966.0</v>
      </c>
      <c r="X173" s="30">
        <v>27500.0</v>
      </c>
      <c r="Y173" s="30">
        <v>27500.0</v>
      </c>
      <c r="Z173" s="16">
        <f t="shared" si="1"/>
        <v>2466</v>
      </c>
      <c r="AA173" s="17">
        <f t="shared" si="2"/>
        <v>0</v>
      </c>
      <c r="AB173" s="30" t="s">
        <v>42</v>
      </c>
      <c r="AC173" s="20" t="s">
        <v>1112</v>
      </c>
      <c r="AD173" s="23"/>
      <c r="AE173" s="23"/>
    </row>
    <row r="174">
      <c r="A174" s="19">
        <v>172.0</v>
      </c>
      <c r="B174" s="30" t="s">
        <v>1088</v>
      </c>
      <c r="C174" s="20" t="s">
        <v>1113</v>
      </c>
      <c r="D174" s="39">
        <v>6.303474002E9</v>
      </c>
      <c r="E174" s="30" t="s">
        <v>34</v>
      </c>
      <c r="F174" s="20" t="s">
        <v>971</v>
      </c>
      <c r="G174" s="20" t="s">
        <v>1114</v>
      </c>
      <c r="H174" s="30">
        <v>9.426975983E9</v>
      </c>
      <c r="I174" s="30">
        <v>9.979495473E9</v>
      </c>
      <c r="J174" s="30"/>
      <c r="K174" s="30">
        <v>470.0</v>
      </c>
      <c r="L174" s="30" t="s">
        <v>380</v>
      </c>
      <c r="M174" s="30" t="s">
        <v>180</v>
      </c>
      <c r="N174" s="32" t="s">
        <v>39</v>
      </c>
      <c r="O174" s="30" t="s">
        <v>56</v>
      </c>
      <c r="P174" s="30" t="s">
        <v>57</v>
      </c>
      <c r="Q174" s="30"/>
      <c r="R174" s="30" t="s">
        <v>1115</v>
      </c>
      <c r="S174" s="30" t="s">
        <v>1029</v>
      </c>
      <c r="T174" s="33">
        <v>46456.0</v>
      </c>
      <c r="U174" s="35"/>
      <c r="V174" s="30">
        <v>6568.0</v>
      </c>
      <c r="W174" s="30">
        <v>7750.0</v>
      </c>
      <c r="X174" s="30">
        <v>6500.0</v>
      </c>
      <c r="Y174" s="30">
        <v>6000.0</v>
      </c>
      <c r="Z174" s="26">
        <f t="shared" si="1"/>
        <v>1750</v>
      </c>
      <c r="AA174" s="17">
        <f t="shared" si="2"/>
        <v>-500</v>
      </c>
      <c r="AB174" s="30" t="s">
        <v>42</v>
      </c>
      <c r="AC174" s="20" t="s">
        <v>1116</v>
      </c>
      <c r="AD174" s="23"/>
      <c r="AE174" s="23"/>
    </row>
    <row r="175">
      <c r="A175" s="19">
        <v>173.0</v>
      </c>
      <c r="B175" s="30" t="s">
        <v>1088</v>
      </c>
      <c r="C175" s="20" t="s">
        <v>1117</v>
      </c>
      <c r="D175" s="39" t="s">
        <v>1118</v>
      </c>
      <c r="E175" s="30" t="s">
        <v>51</v>
      </c>
      <c r="F175" s="20" t="s">
        <v>1119</v>
      </c>
      <c r="G175" s="20" t="s">
        <v>1120</v>
      </c>
      <c r="H175" s="30">
        <v>6.355978247E9</v>
      </c>
      <c r="I175" s="30">
        <v>7.600276288E9</v>
      </c>
      <c r="J175" s="30"/>
      <c r="K175" s="30">
        <v>3895.0</v>
      </c>
      <c r="L175" s="30" t="s">
        <v>380</v>
      </c>
      <c r="M175" s="30" t="s">
        <v>228</v>
      </c>
      <c r="N175" s="32" t="s">
        <v>39</v>
      </c>
      <c r="O175" s="30" t="s">
        <v>165</v>
      </c>
      <c r="P175" s="30" t="s">
        <v>57</v>
      </c>
      <c r="Q175" s="20"/>
      <c r="R175" s="30" t="s">
        <v>847</v>
      </c>
      <c r="S175" s="30" t="s">
        <v>800</v>
      </c>
      <c r="T175" s="30" t="s">
        <v>485</v>
      </c>
      <c r="U175" s="35"/>
      <c r="V175" s="38">
        <v>19765.0</v>
      </c>
      <c r="W175" s="38">
        <v>21236.0</v>
      </c>
      <c r="X175" s="30">
        <v>18330.0</v>
      </c>
      <c r="Y175" s="30">
        <v>18500.0</v>
      </c>
      <c r="Z175" s="16">
        <f t="shared" si="1"/>
        <v>2736</v>
      </c>
      <c r="AA175" s="17">
        <f t="shared" si="2"/>
        <v>170</v>
      </c>
      <c r="AB175" s="30" t="s">
        <v>42</v>
      </c>
      <c r="AC175" s="20" t="s">
        <v>1121</v>
      </c>
      <c r="AD175" s="23"/>
      <c r="AE175" s="23"/>
    </row>
    <row r="176">
      <c r="A176" s="19">
        <v>174.0</v>
      </c>
      <c r="B176" s="30" t="s">
        <v>1088</v>
      </c>
      <c r="C176" s="20" t="s">
        <v>1122</v>
      </c>
      <c r="D176" s="39" t="s">
        <v>1123</v>
      </c>
      <c r="E176" s="30" t="s">
        <v>51</v>
      </c>
      <c r="F176" s="20" t="s">
        <v>52</v>
      </c>
      <c r="G176" s="20" t="s">
        <v>1124</v>
      </c>
      <c r="H176" s="30">
        <v>9.913128355E9</v>
      </c>
      <c r="I176" s="30">
        <v>9.978973185E9</v>
      </c>
      <c r="J176" s="30"/>
      <c r="K176" s="30">
        <v>1600.0</v>
      </c>
      <c r="L176" s="30" t="s">
        <v>380</v>
      </c>
      <c r="M176" s="30" t="s">
        <v>55</v>
      </c>
      <c r="N176" s="32" t="s">
        <v>39</v>
      </c>
      <c r="O176" s="30" t="s">
        <v>213</v>
      </c>
      <c r="P176" s="30" t="s">
        <v>41</v>
      </c>
      <c r="Q176" s="20"/>
      <c r="R176" s="33">
        <v>46275.0</v>
      </c>
      <c r="S176" s="33">
        <v>45910.0</v>
      </c>
      <c r="T176" s="35"/>
      <c r="U176" s="35"/>
      <c r="V176" s="38">
        <v>19707.0</v>
      </c>
      <c r="W176" s="38">
        <v>21168.0</v>
      </c>
      <c r="X176" s="30">
        <v>13500.0</v>
      </c>
      <c r="Y176" s="30">
        <v>12800.0</v>
      </c>
      <c r="Z176" s="16">
        <f t="shared" si="1"/>
        <v>8368</v>
      </c>
      <c r="AA176" s="17">
        <f t="shared" si="2"/>
        <v>-700</v>
      </c>
      <c r="AB176" s="30" t="s">
        <v>42</v>
      </c>
      <c r="AC176" s="20" t="s">
        <v>1125</v>
      </c>
      <c r="AD176" s="23"/>
      <c r="AE176" s="23"/>
    </row>
    <row r="177">
      <c r="A177" s="19">
        <v>175.0</v>
      </c>
      <c r="B177" s="30" t="s">
        <v>1088</v>
      </c>
      <c r="C177" s="20" t="s">
        <v>223</v>
      </c>
      <c r="D177" s="39" t="s">
        <v>1126</v>
      </c>
      <c r="E177" s="30" t="s">
        <v>98</v>
      </c>
      <c r="F177" s="20" t="s">
        <v>1127</v>
      </c>
      <c r="G177" s="20" t="s">
        <v>226</v>
      </c>
      <c r="H177" s="30">
        <v>7.069999652E9</v>
      </c>
      <c r="I177" s="35"/>
      <c r="J177" s="35"/>
      <c r="K177" s="30">
        <v>35000.0</v>
      </c>
      <c r="L177" s="30" t="s">
        <v>903</v>
      </c>
      <c r="M177" s="30" t="s">
        <v>484</v>
      </c>
      <c r="N177" s="32" t="s">
        <v>39</v>
      </c>
      <c r="O177" s="30" t="s">
        <v>76</v>
      </c>
      <c r="P177" s="30" t="s">
        <v>41</v>
      </c>
      <c r="Q177" s="20"/>
      <c r="R177" s="30" t="s">
        <v>229</v>
      </c>
      <c r="S177" s="35"/>
      <c r="T177" s="35"/>
      <c r="U177" s="35"/>
      <c r="V177" s="38">
        <v>49395.0</v>
      </c>
      <c r="W177" s="38">
        <v>52561.0</v>
      </c>
      <c r="X177" s="30">
        <v>41000.0</v>
      </c>
      <c r="Y177" s="30">
        <v>41000.0</v>
      </c>
      <c r="Z177" s="16">
        <f t="shared" si="1"/>
        <v>11561</v>
      </c>
      <c r="AA177" s="17">
        <f t="shared" si="2"/>
        <v>0</v>
      </c>
      <c r="AB177" s="30" t="s">
        <v>42</v>
      </c>
      <c r="AC177" s="20" t="s">
        <v>1128</v>
      </c>
      <c r="AD177" s="23"/>
      <c r="AE177" s="23"/>
    </row>
    <row r="178">
      <c r="A178" s="19">
        <v>176.0</v>
      </c>
      <c r="B178" s="30" t="s">
        <v>1088</v>
      </c>
      <c r="C178" s="20" t="s">
        <v>1129</v>
      </c>
      <c r="D178" s="39">
        <v>2.511153336E11</v>
      </c>
      <c r="E178" s="30" t="s">
        <v>63</v>
      </c>
      <c r="F178" s="20" t="s">
        <v>1130</v>
      </c>
      <c r="G178" s="20" t="s">
        <v>1131</v>
      </c>
      <c r="H178" s="30">
        <v>9.825652991E9</v>
      </c>
      <c r="I178" s="35"/>
      <c r="J178" s="35"/>
      <c r="K178" s="30">
        <v>1495.0</v>
      </c>
      <c r="L178" s="30" t="s">
        <v>1132</v>
      </c>
      <c r="M178" s="30" t="s">
        <v>561</v>
      </c>
      <c r="N178" s="32" t="s">
        <v>75</v>
      </c>
      <c r="O178" s="30" t="s">
        <v>76</v>
      </c>
      <c r="P178" s="30" t="s">
        <v>67</v>
      </c>
      <c r="Q178" s="20"/>
      <c r="R178" s="30" t="s">
        <v>1133</v>
      </c>
      <c r="S178" s="30" t="s">
        <v>167</v>
      </c>
      <c r="T178" s="35"/>
      <c r="U178" s="35"/>
      <c r="V178" s="38">
        <v>3806.0</v>
      </c>
      <c r="W178" s="38">
        <v>4491.0</v>
      </c>
      <c r="X178" s="30">
        <v>4500.0</v>
      </c>
      <c r="Y178" s="30">
        <v>4500.0</v>
      </c>
      <c r="Z178" s="16">
        <f t="shared" si="1"/>
        <v>-9</v>
      </c>
      <c r="AA178" s="17">
        <f t="shared" si="2"/>
        <v>0</v>
      </c>
      <c r="AB178" s="30" t="s">
        <v>42</v>
      </c>
      <c r="AC178" s="20" t="s">
        <v>1134</v>
      </c>
      <c r="AD178" s="23"/>
      <c r="AE178" s="23"/>
    </row>
    <row r="179">
      <c r="A179" s="19">
        <v>177.0</v>
      </c>
      <c r="B179" s="30" t="s">
        <v>1088</v>
      </c>
      <c r="C179" s="20" t="s">
        <v>1135</v>
      </c>
      <c r="D179" s="39" t="s">
        <v>1136</v>
      </c>
      <c r="E179" s="30" t="s">
        <v>51</v>
      </c>
      <c r="F179" s="20" t="s">
        <v>1137</v>
      </c>
      <c r="G179" s="20" t="s">
        <v>1138</v>
      </c>
      <c r="H179" s="30" t="s">
        <v>1139</v>
      </c>
      <c r="I179" s="35"/>
      <c r="J179" s="35"/>
      <c r="K179" s="30">
        <v>2700.0</v>
      </c>
      <c r="L179" s="30" t="s">
        <v>846</v>
      </c>
      <c r="M179" s="30" t="s">
        <v>484</v>
      </c>
      <c r="N179" s="32" t="s">
        <v>39</v>
      </c>
      <c r="O179" s="30" t="s">
        <v>47</v>
      </c>
      <c r="P179" s="30" t="s">
        <v>41</v>
      </c>
      <c r="Q179" s="20"/>
      <c r="R179" s="33">
        <v>46266.0</v>
      </c>
      <c r="S179" s="30" t="s">
        <v>59</v>
      </c>
      <c r="T179" s="35"/>
      <c r="U179" s="35"/>
      <c r="V179" s="38">
        <v>20874.0</v>
      </c>
      <c r="W179" s="38">
        <v>22531.0</v>
      </c>
      <c r="X179" s="30">
        <v>14557.0</v>
      </c>
      <c r="Y179" s="30">
        <v>14000.0</v>
      </c>
      <c r="Z179" s="16">
        <f t="shared" si="1"/>
        <v>8531</v>
      </c>
      <c r="AA179" s="17">
        <f t="shared" si="2"/>
        <v>-557</v>
      </c>
      <c r="AB179" s="30" t="s">
        <v>42</v>
      </c>
      <c r="AC179" s="20" t="s">
        <v>1140</v>
      </c>
      <c r="AD179" s="23"/>
      <c r="AE179" s="23"/>
    </row>
    <row r="180">
      <c r="A180" s="19">
        <v>178.0</v>
      </c>
      <c r="B180" s="30" t="s">
        <v>1088</v>
      </c>
      <c r="C180" s="20" t="s">
        <v>1141</v>
      </c>
      <c r="D180" s="39">
        <v>6.30347398E9</v>
      </c>
      <c r="E180" s="30" t="s">
        <v>34</v>
      </c>
      <c r="F180" s="20" t="s">
        <v>1142</v>
      </c>
      <c r="G180" s="20" t="s">
        <v>1143</v>
      </c>
      <c r="H180" s="30">
        <v>9.723080297E9</v>
      </c>
      <c r="I180" s="30">
        <v>6.351743379E9</v>
      </c>
      <c r="J180" s="30"/>
      <c r="K180" s="30">
        <v>236.0</v>
      </c>
      <c r="L180" s="30" t="s">
        <v>1072</v>
      </c>
      <c r="M180" s="30" t="s">
        <v>180</v>
      </c>
      <c r="N180" s="32" t="s">
        <v>39</v>
      </c>
      <c r="O180" s="30" t="s">
        <v>47</v>
      </c>
      <c r="P180" s="30" t="s">
        <v>57</v>
      </c>
      <c r="Q180" s="20"/>
      <c r="R180" s="30" t="s">
        <v>1144</v>
      </c>
      <c r="S180" s="30" t="s">
        <v>962</v>
      </c>
      <c r="T180" s="30" t="s">
        <v>1145</v>
      </c>
      <c r="U180" s="35"/>
      <c r="V180" s="30">
        <v>6328.0</v>
      </c>
      <c r="W180" s="30">
        <v>7468.0</v>
      </c>
      <c r="X180" s="30">
        <v>6500.0</v>
      </c>
      <c r="Y180" s="30">
        <v>6500.0</v>
      </c>
      <c r="Z180" s="26">
        <f t="shared" si="1"/>
        <v>968</v>
      </c>
      <c r="AA180" s="17">
        <f t="shared" si="2"/>
        <v>0</v>
      </c>
      <c r="AB180" s="30" t="s">
        <v>42</v>
      </c>
      <c r="AC180" s="20" t="s">
        <v>1146</v>
      </c>
      <c r="AD180" s="23"/>
      <c r="AE180" s="23"/>
    </row>
    <row r="181">
      <c r="A181" s="19">
        <v>179.0</v>
      </c>
      <c r="B181" s="30" t="s">
        <v>1088</v>
      </c>
      <c r="C181" s="20" t="s">
        <v>1147</v>
      </c>
      <c r="D181" s="39" t="s">
        <v>1148</v>
      </c>
      <c r="E181" s="30" t="s">
        <v>63</v>
      </c>
      <c r="F181" s="20" t="s">
        <v>1149</v>
      </c>
      <c r="G181" s="20" t="s">
        <v>1150</v>
      </c>
      <c r="H181" s="30">
        <v>9.978952054E9</v>
      </c>
      <c r="I181" s="30">
        <v>6.352570552E9</v>
      </c>
      <c r="J181" s="30"/>
      <c r="K181" s="30">
        <v>1197.0</v>
      </c>
      <c r="L181" s="30" t="s">
        <v>1009</v>
      </c>
      <c r="M181" s="30" t="s">
        <v>74</v>
      </c>
      <c r="N181" s="32" t="s">
        <v>66</v>
      </c>
      <c r="O181" s="30" t="s">
        <v>246</v>
      </c>
      <c r="P181" s="30" t="s">
        <v>67</v>
      </c>
      <c r="Q181" s="20"/>
      <c r="R181" s="33">
        <v>50901.0</v>
      </c>
      <c r="S181" s="33">
        <v>45788.0</v>
      </c>
      <c r="T181" s="35"/>
      <c r="U181" s="35"/>
      <c r="V181" s="30">
        <v>7279.74</v>
      </c>
      <c r="W181" s="30">
        <v>8590.08</v>
      </c>
      <c r="X181" s="30">
        <v>8196.0</v>
      </c>
      <c r="Y181" s="30">
        <v>8200.0</v>
      </c>
      <c r="Z181" s="26">
        <f t="shared" si="1"/>
        <v>390.08</v>
      </c>
      <c r="AA181" s="17">
        <f t="shared" si="2"/>
        <v>4</v>
      </c>
      <c r="AB181" s="30" t="s">
        <v>42</v>
      </c>
      <c r="AC181" s="20" t="s">
        <v>1151</v>
      </c>
      <c r="AD181" s="23"/>
      <c r="AE181" s="23"/>
    </row>
    <row r="182">
      <c r="A182" s="19">
        <v>180.0</v>
      </c>
      <c r="B182" s="30" t="s">
        <v>1088</v>
      </c>
      <c r="C182" s="20" t="s">
        <v>1152</v>
      </c>
      <c r="D182" s="39" t="s">
        <v>1153</v>
      </c>
      <c r="E182" s="30" t="s">
        <v>51</v>
      </c>
      <c r="F182" s="20" t="s">
        <v>1154</v>
      </c>
      <c r="G182" s="20" t="s">
        <v>1155</v>
      </c>
      <c r="H182" s="30">
        <v>9.601085595E9</v>
      </c>
      <c r="I182" s="30">
        <v>9.586463363E9</v>
      </c>
      <c r="J182" s="30"/>
      <c r="K182" s="30">
        <v>3460.0</v>
      </c>
      <c r="L182" s="30" t="s">
        <v>380</v>
      </c>
      <c r="M182" s="30" t="s">
        <v>484</v>
      </c>
      <c r="N182" s="32" t="s">
        <v>39</v>
      </c>
      <c r="O182" s="30" t="s">
        <v>47</v>
      </c>
      <c r="P182" s="30" t="s">
        <v>57</v>
      </c>
      <c r="Q182" s="20"/>
      <c r="R182" s="30" t="s">
        <v>841</v>
      </c>
      <c r="S182" s="30" t="s">
        <v>167</v>
      </c>
      <c r="T182" s="30" t="s">
        <v>1156</v>
      </c>
      <c r="U182" s="35"/>
      <c r="V182" s="38">
        <v>21578.0</v>
      </c>
      <c r="W182" s="38">
        <v>23365.0</v>
      </c>
      <c r="X182" s="30">
        <v>14930.0</v>
      </c>
      <c r="Y182" s="30">
        <v>15000.0</v>
      </c>
      <c r="Z182" s="16">
        <f t="shared" si="1"/>
        <v>8365</v>
      </c>
      <c r="AA182" s="17">
        <f t="shared" si="2"/>
        <v>70</v>
      </c>
      <c r="AB182" s="30" t="s">
        <v>42</v>
      </c>
      <c r="AC182" s="20" t="s">
        <v>1157</v>
      </c>
      <c r="AD182" s="23"/>
      <c r="AE182" s="23"/>
    </row>
    <row r="183">
      <c r="A183" s="19">
        <v>181.0</v>
      </c>
      <c r="B183" s="45" t="s">
        <v>1088</v>
      </c>
      <c r="C183" s="44" t="s">
        <v>1158</v>
      </c>
      <c r="D183" s="59" t="s">
        <v>1159</v>
      </c>
      <c r="E183" s="45" t="s">
        <v>98</v>
      </c>
      <c r="F183" s="44" t="s">
        <v>1160</v>
      </c>
      <c r="G183" s="44" t="s">
        <v>1161</v>
      </c>
      <c r="H183" s="45">
        <v>9.825734904E9</v>
      </c>
      <c r="I183" s="45">
        <v>9.925644736E9</v>
      </c>
      <c r="J183" s="45"/>
      <c r="K183" s="45">
        <v>16020.0</v>
      </c>
      <c r="L183" s="45" t="s">
        <v>380</v>
      </c>
      <c r="M183" s="45" t="s">
        <v>126</v>
      </c>
      <c r="N183" s="47" t="s">
        <v>39</v>
      </c>
      <c r="O183" s="45" t="s">
        <v>47</v>
      </c>
      <c r="P183" s="45" t="s">
        <v>41</v>
      </c>
      <c r="Q183" s="44"/>
      <c r="R183" s="54">
        <v>45820.0</v>
      </c>
      <c r="S183" s="45" t="s">
        <v>1162</v>
      </c>
      <c r="T183" s="45" t="s">
        <v>1163</v>
      </c>
      <c r="U183" s="49"/>
      <c r="V183" s="50">
        <v>38154.11</v>
      </c>
      <c r="W183" s="45">
        <v>40431.0</v>
      </c>
      <c r="X183" s="45">
        <v>35502.0</v>
      </c>
      <c r="Y183" s="45">
        <v>35500.0</v>
      </c>
      <c r="Z183" s="51">
        <f t="shared" si="1"/>
        <v>4931</v>
      </c>
      <c r="AA183" s="17">
        <f t="shared" si="2"/>
        <v>-2</v>
      </c>
      <c r="AB183" s="45" t="s">
        <v>42</v>
      </c>
      <c r="AC183" s="44" t="s">
        <v>1164</v>
      </c>
      <c r="AD183" s="52"/>
      <c r="AE183" s="52"/>
      <c r="AF183" s="53"/>
      <c r="AG183" s="53"/>
    </row>
    <row r="184">
      <c r="A184" s="19">
        <v>182.0</v>
      </c>
      <c r="B184" s="30" t="s">
        <v>1088</v>
      </c>
      <c r="C184" s="20" t="s">
        <v>1165</v>
      </c>
      <c r="D184" s="39" t="s">
        <v>1166</v>
      </c>
      <c r="E184" s="30" t="s">
        <v>82</v>
      </c>
      <c r="F184" s="20" t="s">
        <v>1167</v>
      </c>
      <c r="G184" s="20" t="s">
        <v>1168</v>
      </c>
      <c r="H184" s="30" t="s">
        <v>554</v>
      </c>
      <c r="I184" s="35"/>
      <c r="J184" s="35"/>
      <c r="K184" s="30">
        <v>102.0</v>
      </c>
      <c r="L184" s="30" t="s">
        <v>380</v>
      </c>
      <c r="M184" s="30" t="s">
        <v>237</v>
      </c>
      <c r="N184" s="32" t="s">
        <v>75</v>
      </c>
      <c r="O184" s="30" t="s">
        <v>47</v>
      </c>
      <c r="P184" s="30" t="s">
        <v>67</v>
      </c>
      <c r="Q184" s="20"/>
      <c r="R184" s="30" t="s">
        <v>1169</v>
      </c>
      <c r="S184" s="30" t="s">
        <v>1170</v>
      </c>
      <c r="T184" s="35"/>
      <c r="U184" s="35"/>
      <c r="V184" s="30">
        <v>714.0</v>
      </c>
      <c r="W184" s="30">
        <v>843.0</v>
      </c>
      <c r="X184" s="30">
        <v>850.0</v>
      </c>
      <c r="Y184" s="30">
        <v>850.0</v>
      </c>
      <c r="Z184" s="26">
        <f t="shared" si="1"/>
        <v>-7</v>
      </c>
      <c r="AA184" s="17">
        <f t="shared" si="2"/>
        <v>0</v>
      </c>
      <c r="AB184" s="30" t="s">
        <v>42</v>
      </c>
      <c r="AC184" s="20" t="s">
        <v>1171</v>
      </c>
      <c r="AD184" s="23"/>
      <c r="AE184" s="23"/>
    </row>
    <row r="185">
      <c r="A185" s="19">
        <v>183.0</v>
      </c>
      <c r="B185" s="30" t="s">
        <v>1088</v>
      </c>
      <c r="C185" s="20" t="s">
        <v>1172</v>
      </c>
      <c r="D185" s="39" t="s">
        <v>1173</v>
      </c>
      <c r="E185" s="30" t="s">
        <v>63</v>
      </c>
      <c r="F185" s="20" t="s">
        <v>1174</v>
      </c>
      <c r="G185" s="20" t="s">
        <v>1175</v>
      </c>
      <c r="H185" s="30">
        <v>8.733824348E9</v>
      </c>
      <c r="I185" s="30">
        <v>7.265006801E9</v>
      </c>
      <c r="J185" s="30"/>
      <c r="K185" s="30">
        <v>2393.0</v>
      </c>
      <c r="L185" s="30" t="s">
        <v>380</v>
      </c>
      <c r="M185" s="30" t="s">
        <v>634</v>
      </c>
      <c r="N185" s="32" t="s">
        <v>39</v>
      </c>
      <c r="O185" s="30" t="s">
        <v>47</v>
      </c>
      <c r="P185" s="30" t="s">
        <v>453</v>
      </c>
      <c r="Q185" s="20"/>
      <c r="R185" s="30" t="s">
        <v>1176</v>
      </c>
      <c r="S185" s="30" t="s">
        <v>388</v>
      </c>
      <c r="T185" s="35"/>
      <c r="U185" s="35"/>
      <c r="V185" s="38">
        <v>32270.0</v>
      </c>
      <c r="W185" s="38">
        <v>38079.0</v>
      </c>
      <c r="X185" s="30">
        <v>38133.0</v>
      </c>
      <c r="Y185" s="30">
        <v>38000.0</v>
      </c>
      <c r="Z185" s="16">
        <f t="shared" si="1"/>
        <v>79</v>
      </c>
      <c r="AA185" s="17">
        <f t="shared" si="2"/>
        <v>-133</v>
      </c>
      <c r="AB185" s="30" t="s">
        <v>42</v>
      </c>
      <c r="AC185" s="20" t="s">
        <v>1177</v>
      </c>
      <c r="AD185" s="23"/>
      <c r="AE185" s="23"/>
    </row>
    <row r="186">
      <c r="A186" s="19">
        <v>184.0</v>
      </c>
      <c r="B186" s="30" t="s">
        <v>1178</v>
      </c>
      <c r="C186" s="20" t="s">
        <v>1179</v>
      </c>
      <c r="D186" s="39" t="s">
        <v>1180</v>
      </c>
      <c r="E186" s="30" t="s">
        <v>51</v>
      </c>
      <c r="F186" s="20" t="s">
        <v>1181</v>
      </c>
      <c r="G186" s="20" t="s">
        <v>1182</v>
      </c>
      <c r="H186" s="30">
        <v>8.866149034E9</v>
      </c>
      <c r="I186" s="30"/>
      <c r="J186" s="30"/>
      <c r="K186" s="30">
        <v>1600.0</v>
      </c>
      <c r="L186" s="30" t="s">
        <v>380</v>
      </c>
      <c r="M186" s="30" t="s">
        <v>484</v>
      </c>
      <c r="N186" s="32" t="s">
        <v>39</v>
      </c>
      <c r="O186" s="30" t="s">
        <v>246</v>
      </c>
      <c r="P186" s="30" t="s">
        <v>41</v>
      </c>
      <c r="Q186" s="20"/>
      <c r="R186" s="30" t="s">
        <v>1183</v>
      </c>
      <c r="S186" s="30" t="s">
        <v>1029</v>
      </c>
      <c r="T186" s="35"/>
      <c r="U186" s="35"/>
      <c r="V186" s="38">
        <v>19917.0</v>
      </c>
      <c r="W186" s="38">
        <v>21395.0</v>
      </c>
      <c r="X186" s="30">
        <v>13945.0</v>
      </c>
      <c r="Y186" s="30">
        <v>14500.0</v>
      </c>
      <c r="Z186" s="16">
        <f t="shared" si="1"/>
        <v>6895</v>
      </c>
      <c r="AA186" s="17">
        <f t="shared" si="2"/>
        <v>555</v>
      </c>
      <c r="AB186" s="30" t="s">
        <v>42</v>
      </c>
      <c r="AC186" s="20" t="s">
        <v>1184</v>
      </c>
      <c r="AD186" s="23"/>
      <c r="AE186" s="23"/>
    </row>
    <row r="187">
      <c r="A187" s="19">
        <v>185.0</v>
      </c>
      <c r="B187" s="30" t="s">
        <v>1178</v>
      </c>
      <c r="C187" s="20" t="s">
        <v>1185</v>
      </c>
      <c r="D187" s="39" t="s">
        <v>1186</v>
      </c>
      <c r="E187" s="30" t="s">
        <v>82</v>
      </c>
      <c r="F187" s="20" t="s">
        <v>1187</v>
      </c>
      <c r="G187" s="20" t="s">
        <v>1188</v>
      </c>
      <c r="H187" s="30" t="s">
        <v>1189</v>
      </c>
      <c r="I187" s="30" t="s">
        <v>1190</v>
      </c>
      <c r="J187" s="30"/>
      <c r="K187" s="30">
        <v>97.0</v>
      </c>
      <c r="L187" s="30" t="s">
        <v>1132</v>
      </c>
      <c r="M187" s="30" t="s">
        <v>74</v>
      </c>
      <c r="N187" s="32" t="s">
        <v>75</v>
      </c>
      <c r="O187" s="30" t="s">
        <v>76</v>
      </c>
      <c r="P187" s="30" t="s">
        <v>453</v>
      </c>
      <c r="Q187" s="20"/>
      <c r="R187" s="35"/>
      <c r="S187" s="35"/>
      <c r="T187" s="35"/>
      <c r="U187" s="35"/>
      <c r="V187" s="30">
        <v>714.0</v>
      </c>
      <c r="W187" s="30">
        <v>842.0</v>
      </c>
      <c r="X187" s="30">
        <v>850.0</v>
      </c>
      <c r="Y187" s="30">
        <v>850.0</v>
      </c>
      <c r="Z187" s="26">
        <f t="shared" si="1"/>
        <v>-8</v>
      </c>
      <c r="AA187" s="17">
        <f t="shared" si="2"/>
        <v>0</v>
      </c>
      <c r="AB187" s="35"/>
      <c r="AC187" s="20" t="s">
        <v>1191</v>
      </c>
      <c r="AD187" s="23"/>
      <c r="AE187" s="23"/>
    </row>
    <row r="188">
      <c r="A188" s="19">
        <v>186.0</v>
      </c>
      <c r="B188" s="30" t="s">
        <v>1178</v>
      </c>
      <c r="C188" s="20" t="s">
        <v>1192</v>
      </c>
      <c r="D188" s="39" t="s">
        <v>1193</v>
      </c>
      <c r="E188" s="30" t="s">
        <v>82</v>
      </c>
      <c r="F188" s="20" t="s">
        <v>1194</v>
      </c>
      <c r="G188" s="20" t="s">
        <v>1195</v>
      </c>
      <c r="H188" s="30" t="s">
        <v>1189</v>
      </c>
      <c r="I188" s="30" t="s">
        <v>1190</v>
      </c>
      <c r="J188" s="30"/>
      <c r="K188" s="30">
        <v>110.0</v>
      </c>
      <c r="L188" s="30" t="s">
        <v>1132</v>
      </c>
      <c r="M188" s="30" t="s">
        <v>74</v>
      </c>
      <c r="N188" s="32" t="s">
        <v>75</v>
      </c>
      <c r="O188" s="30" t="s">
        <v>76</v>
      </c>
      <c r="P188" s="30" t="s">
        <v>67</v>
      </c>
      <c r="Q188" s="20"/>
      <c r="R188" s="33">
        <v>47364.0</v>
      </c>
      <c r="S188" s="30" t="s">
        <v>1196</v>
      </c>
      <c r="T188" s="35"/>
      <c r="U188" s="35"/>
      <c r="V188" s="30">
        <v>714.0</v>
      </c>
      <c r="W188" s="30">
        <v>842.0</v>
      </c>
      <c r="X188" s="30">
        <v>850.0</v>
      </c>
      <c r="Y188" s="30">
        <v>850.0</v>
      </c>
      <c r="Z188" s="26">
        <f t="shared" si="1"/>
        <v>-8</v>
      </c>
      <c r="AA188" s="17">
        <f t="shared" si="2"/>
        <v>0</v>
      </c>
      <c r="AB188" s="30" t="s">
        <v>42</v>
      </c>
      <c r="AC188" s="20" t="s">
        <v>1197</v>
      </c>
      <c r="AD188" s="23"/>
      <c r="AE188" s="23"/>
    </row>
    <row r="189">
      <c r="A189" s="19">
        <v>187.0</v>
      </c>
      <c r="B189" s="30" t="s">
        <v>1198</v>
      </c>
      <c r="C189" s="20" t="s">
        <v>1199</v>
      </c>
      <c r="D189" s="39" t="s">
        <v>1200</v>
      </c>
      <c r="E189" s="30" t="s">
        <v>98</v>
      </c>
      <c r="F189" s="20" t="s">
        <v>571</v>
      </c>
      <c r="G189" s="20" t="s">
        <v>1201</v>
      </c>
      <c r="H189" s="30">
        <v>9.89866519E9</v>
      </c>
      <c r="I189" s="35"/>
      <c r="J189" s="35"/>
      <c r="K189" s="30">
        <v>42000.0</v>
      </c>
      <c r="L189" s="30" t="s">
        <v>846</v>
      </c>
      <c r="M189" s="30" t="s">
        <v>38</v>
      </c>
      <c r="N189" s="32" t="s">
        <v>39</v>
      </c>
      <c r="O189" s="30" t="s">
        <v>56</v>
      </c>
      <c r="P189" s="30" t="s">
        <v>41</v>
      </c>
      <c r="Q189" s="30"/>
      <c r="R189" s="30" t="s">
        <v>1202</v>
      </c>
      <c r="S189" s="33">
        <v>46299.0</v>
      </c>
      <c r="T189" s="33">
        <v>47332.0</v>
      </c>
      <c r="U189" s="33">
        <v>46236.0</v>
      </c>
      <c r="V189" s="30">
        <v>47903.0</v>
      </c>
      <c r="W189" s="30">
        <v>50774.0</v>
      </c>
      <c r="X189" s="30">
        <v>43395.0</v>
      </c>
      <c r="Y189" s="30">
        <v>42500.0</v>
      </c>
      <c r="Z189" s="26">
        <f t="shared" si="1"/>
        <v>8274</v>
      </c>
      <c r="AA189" s="17">
        <f t="shared" si="2"/>
        <v>-895</v>
      </c>
      <c r="AB189" s="30" t="s">
        <v>42</v>
      </c>
      <c r="AC189" s="20" t="s">
        <v>1203</v>
      </c>
      <c r="AD189" s="23"/>
      <c r="AE189" s="23"/>
    </row>
    <row r="190">
      <c r="A190" s="19">
        <v>188.0</v>
      </c>
      <c r="B190" s="30" t="s">
        <v>1198</v>
      </c>
      <c r="C190" s="20" t="s">
        <v>1204</v>
      </c>
      <c r="D190" s="39" t="s">
        <v>1205</v>
      </c>
      <c r="E190" s="30" t="s">
        <v>63</v>
      </c>
      <c r="F190" s="20" t="s">
        <v>1206</v>
      </c>
      <c r="G190" s="20" t="s">
        <v>1207</v>
      </c>
      <c r="H190" s="30">
        <v>7.98417462E9</v>
      </c>
      <c r="I190" s="30">
        <v>9.558949865E9</v>
      </c>
      <c r="J190" s="30"/>
      <c r="K190" s="30">
        <v>998.0</v>
      </c>
      <c r="L190" s="30" t="s">
        <v>846</v>
      </c>
      <c r="M190" s="30" t="s">
        <v>126</v>
      </c>
      <c r="N190" s="32" t="s">
        <v>39</v>
      </c>
      <c r="O190" s="30" t="s">
        <v>47</v>
      </c>
      <c r="P190" s="30" t="s">
        <v>41</v>
      </c>
      <c r="Q190" s="20"/>
      <c r="R190" s="33">
        <v>50110.0</v>
      </c>
      <c r="S190" s="30" t="s">
        <v>1208</v>
      </c>
      <c r="T190" s="35"/>
      <c r="U190" s="33">
        <v>46236.0</v>
      </c>
      <c r="V190" s="30">
        <v>8043.13</v>
      </c>
      <c r="W190" s="30">
        <v>9491.0</v>
      </c>
      <c r="X190" s="30">
        <v>9786.0</v>
      </c>
      <c r="Y190" s="30">
        <v>9786.0</v>
      </c>
      <c r="Z190" s="26">
        <f t="shared" si="1"/>
        <v>-295</v>
      </c>
      <c r="AA190" s="17">
        <f t="shared" si="2"/>
        <v>0</v>
      </c>
      <c r="AB190" s="30" t="s">
        <v>42</v>
      </c>
      <c r="AC190" s="20" t="s">
        <v>1209</v>
      </c>
      <c r="AD190" s="23"/>
      <c r="AE190" s="23"/>
    </row>
    <row r="191">
      <c r="A191" s="19">
        <v>189.0</v>
      </c>
      <c r="B191" s="30" t="s">
        <v>1198</v>
      </c>
      <c r="C191" s="20" t="s">
        <v>1210</v>
      </c>
      <c r="D191" s="39" t="s">
        <v>1211</v>
      </c>
      <c r="E191" s="30" t="s">
        <v>63</v>
      </c>
      <c r="F191" s="20" t="s">
        <v>1212</v>
      </c>
      <c r="G191" s="20" t="s">
        <v>1213</v>
      </c>
      <c r="H191" s="30">
        <v>9.913978687E9</v>
      </c>
      <c r="I191" s="30">
        <v>9.274578687E9</v>
      </c>
      <c r="J191" s="30"/>
      <c r="K191" s="30">
        <v>1197.0</v>
      </c>
      <c r="L191" s="30" t="s">
        <v>846</v>
      </c>
      <c r="M191" s="30" t="s">
        <v>126</v>
      </c>
      <c r="N191" s="32" t="s">
        <v>39</v>
      </c>
      <c r="O191" s="30" t="s">
        <v>47</v>
      </c>
      <c r="P191" s="30" t="s">
        <v>41</v>
      </c>
      <c r="Q191" s="20"/>
      <c r="R191" s="30" t="s">
        <v>1214</v>
      </c>
      <c r="S191" s="30" t="s">
        <v>1215</v>
      </c>
      <c r="T191" s="35"/>
      <c r="U191" s="33">
        <v>46236.0</v>
      </c>
      <c r="V191" s="30">
        <v>11432.57</v>
      </c>
      <c r="W191" s="30">
        <v>13490.0</v>
      </c>
      <c r="X191" s="30">
        <v>13490.0</v>
      </c>
      <c r="Y191" s="30">
        <v>13490.0</v>
      </c>
      <c r="Z191" s="26">
        <f t="shared" si="1"/>
        <v>0</v>
      </c>
      <c r="AA191" s="17">
        <f t="shared" si="2"/>
        <v>0</v>
      </c>
      <c r="AB191" s="30" t="s">
        <v>42</v>
      </c>
      <c r="AC191" s="20" t="s">
        <v>1216</v>
      </c>
      <c r="AD191" s="23"/>
      <c r="AE191" s="23"/>
    </row>
    <row r="192">
      <c r="A192" s="19">
        <v>190.0</v>
      </c>
      <c r="B192" s="30" t="s">
        <v>1198</v>
      </c>
      <c r="C192" s="20" t="s">
        <v>1217</v>
      </c>
      <c r="D192" s="39" t="s">
        <v>1218</v>
      </c>
      <c r="E192" s="30" t="s">
        <v>63</v>
      </c>
      <c r="F192" s="20" t="s">
        <v>1219</v>
      </c>
      <c r="G192" s="20" t="s">
        <v>1220</v>
      </c>
      <c r="H192" s="30">
        <v>9.099667887E9</v>
      </c>
      <c r="I192" s="30">
        <v>9.72511452E9</v>
      </c>
      <c r="J192" s="30"/>
      <c r="K192" s="30">
        <v>1493.0</v>
      </c>
      <c r="L192" s="30" t="s">
        <v>1132</v>
      </c>
      <c r="M192" s="30" t="s">
        <v>126</v>
      </c>
      <c r="N192" s="32" t="s">
        <v>39</v>
      </c>
      <c r="O192" s="30" t="s">
        <v>40</v>
      </c>
      <c r="P192" s="30" t="s">
        <v>41</v>
      </c>
      <c r="Q192" s="20"/>
      <c r="R192" s="30" t="s">
        <v>1221</v>
      </c>
      <c r="S192" s="30" t="s">
        <v>381</v>
      </c>
      <c r="T192" s="35"/>
      <c r="U192" s="33">
        <v>46236.0</v>
      </c>
      <c r="V192" s="30">
        <v>17698.15</v>
      </c>
      <c r="W192" s="30">
        <v>20884.0</v>
      </c>
      <c r="X192" s="30">
        <v>20884.0</v>
      </c>
      <c r="Y192" s="30">
        <v>20800.0</v>
      </c>
      <c r="Z192" s="26">
        <f t="shared" si="1"/>
        <v>84</v>
      </c>
      <c r="AA192" s="17">
        <f t="shared" si="2"/>
        <v>-84</v>
      </c>
      <c r="AB192" s="30" t="s">
        <v>42</v>
      </c>
      <c r="AC192" s="20" t="s">
        <v>1222</v>
      </c>
      <c r="AD192" s="23"/>
      <c r="AE192" s="23"/>
    </row>
    <row r="193">
      <c r="A193" s="19">
        <v>191.0</v>
      </c>
      <c r="B193" s="30" t="s">
        <v>1198</v>
      </c>
      <c r="C193" s="20" t="s">
        <v>1223</v>
      </c>
      <c r="D193" s="39" t="s">
        <v>1224</v>
      </c>
      <c r="E193" s="30" t="s">
        <v>63</v>
      </c>
      <c r="F193" s="20" t="s">
        <v>1225</v>
      </c>
      <c r="G193" s="20" t="s">
        <v>1226</v>
      </c>
      <c r="H193" s="30" t="s">
        <v>1227</v>
      </c>
      <c r="I193" s="30" t="s">
        <v>1228</v>
      </c>
      <c r="J193" s="30"/>
      <c r="K193" s="30">
        <v>1298.0</v>
      </c>
      <c r="L193" s="30" t="s">
        <v>846</v>
      </c>
      <c r="M193" s="30" t="s">
        <v>126</v>
      </c>
      <c r="N193" s="32" t="s">
        <v>75</v>
      </c>
      <c r="O193" s="30" t="s">
        <v>47</v>
      </c>
      <c r="P193" s="30" t="s">
        <v>41</v>
      </c>
      <c r="Q193" s="20"/>
      <c r="R193" s="33">
        <v>49767.0</v>
      </c>
      <c r="S193" s="30" t="s">
        <v>381</v>
      </c>
      <c r="T193" s="35"/>
      <c r="U193" s="33">
        <v>46236.0</v>
      </c>
      <c r="V193" s="30">
        <v>3416.0</v>
      </c>
      <c r="W193" s="30">
        <v>4031.0</v>
      </c>
      <c r="X193" s="30">
        <v>4000.0</v>
      </c>
      <c r="Y193" s="30">
        <v>4000.0</v>
      </c>
      <c r="Z193" s="26">
        <f t="shared" si="1"/>
        <v>31</v>
      </c>
      <c r="AA193" s="17">
        <f t="shared" si="2"/>
        <v>0</v>
      </c>
      <c r="AB193" s="30" t="s">
        <v>42</v>
      </c>
      <c r="AC193" s="20" t="s">
        <v>1229</v>
      </c>
      <c r="AD193" s="23"/>
      <c r="AE193" s="23"/>
    </row>
    <row r="194">
      <c r="A194" s="19">
        <v>192.0</v>
      </c>
      <c r="B194" s="30" t="s">
        <v>1198</v>
      </c>
      <c r="C194" s="20" t="s">
        <v>1230</v>
      </c>
      <c r="D194" s="39" t="s">
        <v>1231</v>
      </c>
      <c r="E194" s="30" t="s">
        <v>51</v>
      </c>
      <c r="F194" s="20" t="s">
        <v>1232</v>
      </c>
      <c r="G194" s="20" t="s">
        <v>1233</v>
      </c>
      <c r="H194" s="30">
        <v>9.727873442E9</v>
      </c>
      <c r="I194" s="30">
        <v>7.990816783E9</v>
      </c>
      <c r="J194" s="30"/>
      <c r="K194" s="30">
        <v>2825.0</v>
      </c>
      <c r="L194" s="30" t="s">
        <v>1234</v>
      </c>
      <c r="M194" s="30" t="s">
        <v>484</v>
      </c>
      <c r="N194" s="32" t="s">
        <v>39</v>
      </c>
      <c r="O194" s="30" t="s">
        <v>181</v>
      </c>
      <c r="P194" s="30" t="s">
        <v>41</v>
      </c>
      <c r="Q194" s="20"/>
      <c r="R194" s="30" t="s">
        <v>1235</v>
      </c>
      <c r="S194" s="30" t="s">
        <v>1029</v>
      </c>
      <c r="T194" s="35"/>
      <c r="U194" s="33">
        <v>46236.0</v>
      </c>
      <c r="V194" s="38">
        <v>20682.0</v>
      </c>
      <c r="W194" s="38">
        <v>22306.0</v>
      </c>
      <c r="X194" s="30">
        <v>14505.0</v>
      </c>
      <c r="Y194" s="30">
        <v>14600.0</v>
      </c>
      <c r="Z194" s="16">
        <f t="shared" si="1"/>
        <v>7706</v>
      </c>
      <c r="AA194" s="17">
        <f t="shared" si="2"/>
        <v>95</v>
      </c>
      <c r="AB194" s="30" t="s">
        <v>42</v>
      </c>
      <c r="AC194" s="20" t="s">
        <v>1236</v>
      </c>
      <c r="AD194" s="23"/>
      <c r="AE194" s="23"/>
    </row>
    <row r="195">
      <c r="A195" s="19">
        <v>193.0</v>
      </c>
      <c r="B195" s="30" t="s">
        <v>1198</v>
      </c>
      <c r="C195" s="20" t="s">
        <v>1237</v>
      </c>
      <c r="D195" s="39">
        <v>6.303477173E9</v>
      </c>
      <c r="E195" s="30" t="s">
        <v>34</v>
      </c>
      <c r="F195" s="20" t="s">
        <v>1238</v>
      </c>
      <c r="G195" s="20" t="s">
        <v>1239</v>
      </c>
      <c r="H195" s="30" t="s">
        <v>1240</v>
      </c>
      <c r="I195" s="35"/>
      <c r="J195" s="35"/>
      <c r="K195" s="30">
        <v>236.0</v>
      </c>
      <c r="L195" s="30" t="s">
        <v>989</v>
      </c>
      <c r="M195" s="30" t="s">
        <v>180</v>
      </c>
      <c r="N195" s="32" t="s">
        <v>39</v>
      </c>
      <c r="O195" s="30" t="s">
        <v>76</v>
      </c>
      <c r="P195" s="30" t="s">
        <v>57</v>
      </c>
      <c r="Q195" s="20"/>
      <c r="R195" s="33">
        <v>45669.0</v>
      </c>
      <c r="S195" s="30" t="s">
        <v>1241</v>
      </c>
      <c r="T195" s="30" t="s">
        <v>1242</v>
      </c>
      <c r="U195" s="35"/>
      <c r="V195" s="30">
        <v>6193.0</v>
      </c>
      <c r="W195" s="30">
        <v>7307.0</v>
      </c>
      <c r="X195" s="30">
        <v>6000.0</v>
      </c>
      <c r="Y195" s="30">
        <v>6000.0</v>
      </c>
      <c r="Z195" s="26">
        <f t="shared" si="1"/>
        <v>1307</v>
      </c>
      <c r="AA195" s="17">
        <f t="shared" si="2"/>
        <v>0</v>
      </c>
      <c r="AB195" s="30" t="s">
        <v>42</v>
      </c>
      <c r="AC195" s="20" t="s">
        <v>1243</v>
      </c>
      <c r="AD195" s="23"/>
      <c r="AE195" s="23"/>
    </row>
    <row r="196">
      <c r="A196" s="19">
        <v>194.0</v>
      </c>
      <c r="B196" s="30" t="s">
        <v>1198</v>
      </c>
      <c r="C196" s="20" t="s">
        <v>1244</v>
      </c>
      <c r="D196" s="39">
        <v>6.303477179E9</v>
      </c>
      <c r="E196" s="30" t="s">
        <v>34</v>
      </c>
      <c r="F196" s="20" t="s">
        <v>1142</v>
      </c>
      <c r="G196" s="20" t="s">
        <v>1245</v>
      </c>
      <c r="H196" s="30">
        <v>7.698649447E9</v>
      </c>
      <c r="I196" s="30">
        <v>9.265661739E9</v>
      </c>
      <c r="J196" s="30"/>
      <c r="K196" s="30">
        <v>236.0</v>
      </c>
      <c r="L196" s="30" t="s">
        <v>1072</v>
      </c>
      <c r="M196" s="30" t="s">
        <v>180</v>
      </c>
      <c r="N196" s="32" t="s">
        <v>39</v>
      </c>
      <c r="O196" s="30" t="s">
        <v>47</v>
      </c>
      <c r="P196" s="30" t="s">
        <v>57</v>
      </c>
      <c r="Q196" s="20"/>
      <c r="R196" s="30" t="s">
        <v>762</v>
      </c>
      <c r="S196" s="30" t="s">
        <v>141</v>
      </c>
      <c r="T196" s="33">
        <v>46794.0</v>
      </c>
      <c r="U196" s="35"/>
      <c r="V196" s="30">
        <v>6328.0</v>
      </c>
      <c r="W196" s="30">
        <v>7468.0</v>
      </c>
      <c r="X196" s="30">
        <v>6500.0</v>
      </c>
      <c r="Y196" s="30">
        <v>6200.0</v>
      </c>
      <c r="Z196" s="26">
        <f t="shared" si="1"/>
        <v>1268</v>
      </c>
      <c r="AA196" s="17">
        <f t="shared" si="2"/>
        <v>-300</v>
      </c>
      <c r="AB196" s="30" t="s">
        <v>42</v>
      </c>
      <c r="AC196" s="20" t="s">
        <v>1246</v>
      </c>
      <c r="AD196" s="23"/>
      <c r="AE196" s="23"/>
    </row>
    <row r="197">
      <c r="A197" s="19">
        <v>195.0</v>
      </c>
      <c r="B197" s="30" t="s">
        <v>1198</v>
      </c>
      <c r="C197" s="20" t="s">
        <v>1247</v>
      </c>
      <c r="D197" s="39">
        <v>6.203637233E9</v>
      </c>
      <c r="E197" s="30" t="s">
        <v>63</v>
      </c>
      <c r="F197" s="20" t="s">
        <v>1248</v>
      </c>
      <c r="G197" s="20" t="s">
        <v>1249</v>
      </c>
      <c r="H197" s="30">
        <v>7.984836271E9</v>
      </c>
      <c r="I197" s="30">
        <v>9.925583362E9</v>
      </c>
      <c r="J197" s="30"/>
      <c r="K197" s="30">
        <v>1197.0</v>
      </c>
      <c r="L197" s="30" t="s">
        <v>989</v>
      </c>
      <c r="M197" s="30" t="s">
        <v>180</v>
      </c>
      <c r="N197" s="32" t="s">
        <v>39</v>
      </c>
      <c r="O197" s="30" t="s">
        <v>47</v>
      </c>
      <c r="P197" s="30" t="s">
        <v>41</v>
      </c>
      <c r="Q197" s="20"/>
      <c r="R197" s="30" t="s">
        <v>1250</v>
      </c>
      <c r="S197" s="30" t="s">
        <v>1251</v>
      </c>
      <c r="T197" s="35"/>
      <c r="U197" s="35"/>
      <c r="V197" s="30">
        <v>11470.0</v>
      </c>
      <c r="W197" s="30">
        <v>13534.0</v>
      </c>
      <c r="X197" s="30">
        <v>14920.0</v>
      </c>
      <c r="Y197" s="30">
        <v>14920.0</v>
      </c>
      <c r="Z197" s="26">
        <f t="shared" si="1"/>
        <v>-1386</v>
      </c>
      <c r="AA197" s="17">
        <f t="shared" si="2"/>
        <v>0</v>
      </c>
      <c r="AB197" s="30" t="s">
        <v>42</v>
      </c>
      <c r="AC197" s="20" t="s">
        <v>1252</v>
      </c>
      <c r="AD197" s="23"/>
      <c r="AE197" s="23"/>
    </row>
    <row r="198">
      <c r="A198" s="19">
        <v>196.0</v>
      </c>
      <c r="B198" s="30" t="s">
        <v>1198</v>
      </c>
      <c r="C198" s="20" t="s">
        <v>1253</v>
      </c>
      <c r="D198" s="39" t="s">
        <v>1254</v>
      </c>
      <c r="E198" s="30" t="s">
        <v>51</v>
      </c>
      <c r="F198" s="20" t="s">
        <v>1154</v>
      </c>
      <c r="G198" s="20" t="s">
        <v>1255</v>
      </c>
      <c r="H198" s="30">
        <v>7.567577522E9</v>
      </c>
      <c r="I198" s="30">
        <v>7.567577515E9</v>
      </c>
      <c r="J198" s="30"/>
      <c r="K198" s="30">
        <v>3460.0</v>
      </c>
      <c r="L198" s="30" t="s">
        <v>846</v>
      </c>
      <c r="M198" s="30" t="s">
        <v>484</v>
      </c>
      <c r="N198" s="32" t="s">
        <v>39</v>
      </c>
      <c r="O198" s="30" t="s">
        <v>246</v>
      </c>
      <c r="P198" s="30" t="s">
        <v>41</v>
      </c>
      <c r="Q198" s="20"/>
      <c r="R198" s="30" t="s">
        <v>800</v>
      </c>
      <c r="S198" s="30" t="s">
        <v>1256</v>
      </c>
      <c r="T198" s="30" t="s">
        <v>602</v>
      </c>
      <c r="U198" s="35"/>
      <c r="V198" s="38">
        <v>21698.0</v>
      </c>
      <c r="W198" s="38">
        <v>23498.0</v>
      </c>
      <c r="X198" s="30">
        <v>14919.0</v>
      </c>
      <c r="Y198" s="30">
        <v>15000.0</v>
      </c>
      <c r="Z198" s="16">
        <f t="shared" si="1"/>
        <v>8498</v>
      </c>
      <c r="AA198" s="17">
        <f t="shared" si="2"/>
        <v>81</v>
      </c>
      <c r="AB198" s="30" t="s">
        <v>42</v>
      </c>
      <c r="AC198" s="20" t="s">
        <v>1257</v>
      </c>
      <c r="AD198" s="23"/>
      <c r="AE198" s="23"/>
    </row>
    <row r="199">
      <c r="A199" s="19">
        <v>197.0</v>
      </c>
      <c r="B199" s="30" t="s">
        <v>1198</v>
      </c>
      <c r="C199" s="20" t="s">
        <v>1258</v>
      </c>
      <c r="D199" s="39" t="s">
        <v>1259</v>
      </c>
      <c r="E199" s="30" t="s">
        <v>51</v>
      </c>
      <c r="F199" s="20" t="s">
        <v>1260</v>
      </c>
      <c r="G199" s="20" t="s">
        <v>1261</v>
      </c>
      <c r="H199" s="30">
        <v>7.98417462E9</v>
      </c>
      <c r="I199" s="30">
        <v>9.558949865E9</v>
      </c>
      <c r="J199" s="30"/>
      <c r="K199" s="30">
        <v>2670.0</v>
      </c>
      <c r="L199" s="30" t="s">
        <v>1072</v>
      </c>
      <c r="M199" s="30" t="s">
        <v>188</v>
      </c>
      <c r="N199" s="32" t="s">
        <v>39</v>
      </c>
      <c r="O199" s="30" t="s">
        <v>47</v>
      </c>
      <c r="P199" s="30" t="s">
        <v>41</v>
      </c>
      <c r="Q199" s="20"/>
      <c r="R199" s="30" t="s">
        <v>727</v>
      </c>
      <c r="S199" s="30" t="s">
        <v>388</v>
      </c>
      <c r="T199" s="35"/>
      <c r="U199" s="35"/>
      <c r="V199" s="38">
        <v>16922.0</v>
      </c>
      <c r="W199" s="38">
        <v>17881.0</v>
      </c>
      <c r="X199" s="30">
        <v>11500.0</v>
      </c>
      <c r="Y199" s="30">
        <v>11500.0</v>
      </c>
      <c r="Z199" s="16">
        <f t="shared" si="1"/>
        <v>6381</v>
      </c>
      <c r="AA199" s="17">
        <f t="shared" si="2"/>
        <v>0</v>
      </c>
      <c r="AB199" s="30" t="s">
        <v>42</v>
      </c>
      <c r="AC199" s="20" t="s">
        <v>1262</v>
      </c>
      <c r="AD199" s="23"/>
      <c r="AE199" s="23"/>
    </row>
    <row r="200">
      <c r="A200" s="19">
        <v>198.0</v>
      </c>
      <c r="B200" s="30" t="s">
        <v>1198</v>
      </c>
      <c r="C200" s="20" t="s">
        <v>1263</v>
      </c>
      <c r="D200" s="39" t="s">
        <v>1264</v>
      </c>
      <c r="E200" s="30" t="s">
        <v>98</v>
      </c>
      <c r="F200" s="20" t="s">
        <v>592</v>
      </c>
      <c r="G200" s="20" t="s">
        <v>1265</v>
      </c>
      <c r="H200" s="30">
        <v>7.98467355E9</v>
      </c>
      <c r="I200" s="35"/>
      <c r="J200" s="35"/>
      <c r="K200" s="30">
        <v>35000.0</v>
      </c>
      <c r="L200" s="30" t="s">
        <v>846</v>
      </c>
      <c r="M200" s="30" t="s">
        <v>126</v>
      </c>
      <c r="N200" s="32" t="s">
        <v>39</v>
      </c>
      <c r="O200" s="30" t="s">
        <v>76</v>
      </c>
      <c r="P200" s="30" t="s">
        <v>41</v>
      </c>
      <c r="Q200" s="20"/>
      <c r="R200" s="30" t="s">
        <v>1266</v>
      </c>
      <c r="S200" s="30" t="s">
        <v>1267</v>
      </c>
      <c r="T200" s="33">
        <v>47701.0</v>
      </c>
      <c r="U200" s="35"/>
      <c r="V200" s="38">
        <v>48631.61</v>
      </c>
      <c r="W200" s="30">
        <v>51672.0</v>
      </c>
      <c r="X200" s="30">
        <v>41700.0</v>
      </c>
      <c r="Y200" s="30">
        <v>41700.0</v>
      </c>
      <c r="Z200" s="26">
        <f t="shared" si="1"/>
        <v>9972</v>
      </c>
      <c r="AA200" s="17">
        <f t="shared" si="2"/>
        <v>0</v>
      </c>
      <c r="AB200" s="30" t="s">
        <v>42</v>
      </c>
      <c r="AC200" s="20" t="s">
        <v>1268</v>
      </c>
      <c r="AD200" s="23"/>
      <c r="AE200" s="23"/>
    </row>
    <row r="201">
      <c r="A201" s="19">
        <v>199.0</v>
      </c>
      <c r="B201" s="30" t="s">
        <v>1269</v>
      </c>
      <c r="C201" s="20" t="s">
        <v>1270</v>
      </c>
      <c r="D201" s="39">
        <v>6.30347872E9</v>
      </c>
      <c r="E201" s="30" t="s">
        <v>34</v>
      </c>
      <c r="F201" s="20" t="s">
        <v>1142</v>
      </c>
      <c r="G201" s="20" t="s">
        <v>1271</v>
      </c>
      <c r="H201" s="30">
        <v>9.978335317E9</v>
      </c>
      <c r="I201" s="30">
        <v>9.016597411E9</v>
      </c>
      <c r="J201" s="30"/>
      <c r="K201" s="30">
        <v>236.0</v>
      </c>
      <c r="L201" s="30" t="s">
        <v>761</v>
      </c>
      <c r="M201" s="30" t="s">
        <v>180</v>
      </c>
      <c r="N201" s="32" t="s">
        <v>39</v>
      </c>
      <c r="O201" s="30" t="s">
        <v>181</v>
      </c>
      <c r="P201" s="30" t="s">
        <v>57</v>
      </c>
      <c r="Q201" s="20"/>
      <c r="R201" s="30" t="s">
        <v>574</v>
      </c>
      <c r="S201" s="30" t="s">
        <v>762</v>
      </c>
      <c r="T201" s="34">
        <v>47433.0</v>
      </c>
      <c r="U201" s="35"/>
      <c r="V201" s="30">
        <v>6443.0</v>
      </c>
      <c r="W201" s="30">
        <v>7603.0</v>
      </c>
      <c r="X201" s="30">
        <v>6500.0</v>
      </c>
      <c r="Y201" s="30">
        <v>6500.0</v>
      </c>
      <c r="Z201" s="26">
        <f t="shared" si="1"/>
        <v>1103</v>
      </c>
      <c r="AA201" s="17">
        <f t="shared" si="2"/>
        <v>0</v>
      </c>
      <c r="AB201" s="30" t="s">
        <v>42</v>
      </c>
      <c r="AC201" s="20" t="s">
        <v>1272</v>
      </c>
      <c r="AD201" s="23"/>
      <c r="AE201" s="23"/>
    </row>
    <row r="202">
      <c r="A202" s="19">
        <v>200.0</v>
      </c>
      <c r="B202" s="30" t="s">
        <v>1269</v>
      </c>
      <c r="C202" s="20" t="s">
        <v>1273</v>
      </c>
      <c r="D202" s="39">
        <v>2.511218963E11</v>
      </c>
      <c r="E202" s="30" t="s">
        <v>63</v>
      </c>
      <c r="F202" s="20" t="s">
        <v>1274</v>
      </c>
      <c r="G202" s="20" t="s">
        <v>1275</v>
      </c>
      <c r="H202" s="30" t="s">
        <v>139</v>
      </c>
      <c r="I202" s="30">
        <v>9.978949994E9</v>
      </c>
      <c r="J202" s="30"/>
      <c r="K202" s="30">
        <v>1462.0</v>
      </c>
      <c r="L202" s="30" t="s">
        <v>989</v>
      </c>
      <c r="M202" s="30" t="s">
        <v>561</v>
      </c>
      <c r="N202" s="32" t="s">
        <v>39</v>
      </c>
      <c r="O202" s="30" t="s">
        <v>140</v>
      </c>
      <c r="P202" s="30" t="s">
        <v>669</v>
      </c>
      <c r="Q202" s="20"/>
      <c r="R202" s="33">
        <v>50679.0</v>
      </c>
      <c r="S202" s="30" t="s">
        <v>1276</v>
      </c>
      <c r="T202" s="35"/>
      <c r="U202" s="35"/>
      <c r="V202" s="38">
        <v>11382.59</v>
      </c>
      <c r="W202" s="38">
        <v>13431.0</v>
      </c>
      <c r="X202" s="30">
        <v>13431.0</v>
      </c>
      <c r="Y202" s="30">
        <v>13400.0</v>
      </c>
      <c r="Z202" s="16">
        <f t="shared" si="1"/>
        <v>31</v>
      </c>
      <c r="AA202" s="17">
        <f t="shared" si="2"/>
        <v>-31</v>
      </c>
      <c r="AB202" s="30" t="s">
        <v>42</v>
      </c>
      <c r="AC202" s="20" t="s">
        <v>1277</v>
      </c>
      <c r="AD202" s="23"/>
      <c r="AE202" s="23"/>
    </row>
    <row r="203">
      <c r="A203" s="19">
        <v>201.0</v>
      </c>
      <c r="B203" s="30" t="s">
        <v>1269</v>
      </c>
      <c r="C203" s="20" t="s">
        <v>1278</v>
      </c>
      <c r="D203" s="39" t="s">
        <v>1279</v>
      </c>
      <c r="E203" s="30" t="s">
        <v>98</v>
      </c>
      <c r="F203" s="20" t="s">
        <v>1280</v>
      </c>
      <c r="G203" s="20" t="s">
        <v>1281</v>
      </c>
      <c r="H203" s="30">
        <v>8.104702952E9</v>
      </c>
      <c r="I203" s="30">
        <v>9.978992939E9</v>
      </c>
      <c r="J203" s="30"/>
      <c r="K203" s="30">
        <v>35000.0</v>
      </c>
      <c r="L203" s="30" t="s">
        <v>846</v>
      </c>
      <c r="M203" s="30" t="s">
        <v>484</v>
      </c>
      <c r="N203" s="32" t="s">
        <v>39</v>
      </c>
      <c r="O203" s="30" t="s">
        <v>47</v>
      </c>
      <c r="P203" s="30" t="s">
        <v>41</v>
      </c>
      <c r="Q203" s="20"/>
      <c r="R203" s="33">
        <v>46183.0</v>
      </c>
      <c r="S203" s="33">
        <v>46206.0</v>
      </c>
      <c r="T203" s="30" t="s">
        <v>1282</v>
      </c>
      <c r="U203" s="35"/>
      <c r="V203" s="38">
        <v>48387.0</v>
      </c>
      <c r="W203" s="38">
        <v>51370.0</v>
      </c>
      <c r="X203" s="30">
        <v>44000.0</v>
      </c>
      <c r="Y203" s="30">
        <v>44000.0</v>
      </c>
      <c r="Z203" s="16">
        <f t="shared" si="1"/>
        <v>7370</v>
      </c>
      <c r="AA203" s="17">
        <f t="shared" si="2"/>
        <v>0</v>
      </c>
      <c r="AB203" s="30" t="s">
        <v>42</v>
      </c>
      <c r="AC203" s="20" t="s">
        <v>1283</v>
      </c>
      <c r="AD203" s="23"/>
      <c r="AE203" s="23"/>
    </row>
    <row r="204">
      <c r="A204" s="19">
        <v>202.0</v>
      </c>
      <c r="B204" s="30" t="s">
        <v>1269</v>
      </c>
      <c r="C204" s="20" t="s">
        <v>1284</v>
      </c>
      <c r="D204" s="39" t="s">
        <v>1285</v>
      </c>
      <c r="E204" s="30" t="s">
        <v>63</v>
      </c>
      <c r="F204" s="20" t="s">
        <v>1286</v>
      </c>
      <c r="G204" s="20" t="s">
        <v>1287</v>
      </c>
      <c r="H204" s="30" t="s">
        <v>1288</v>
      </c>
      <c r="I204" s="30">
        <v>9.727628932E9</v>
      </c>
      <c r="J204" s="30"/>
      <c r="K204" s="38">
        <v>2931.0</v>
      </c>
      <c r="L204" s="30" t="s">
        <v>1072</v>
      </c>
      <c r="M204" s="30" t="s">
        <v>188</v>
      </c>
      <c r="N204" s="32" t="s">
        <v>75</v>
      </c>
      <c r="O204" s="30" t="s">
        <v>246</v>
      </c>
      <c r="P204" s="30" t="s">
        <v>41</v>
      </c>
      <c r="Q204" s="20"/>
      <c r="R204" s="30" t="s">
        <v>1289</v>
      </c>
      <c r="S204" s="34">
        <v>46003.0</v>
      </c>
      <c r="T204" s="35"/>
      <c r="U204" s="35"/>
      <c r="V204" s="38">
        <v>2484.0</v>
      </c>
      <c r="W204" s="38">
        <v>2931.0</v>
      </c>
      <c r="X204" s="30">
        <v>2800.0</v>
      </c>
      <c r="Y204" s="30">
        <v>2800.0</v>
      </c>
      <c r="Z204" s="16">
        <f t="shared" si="1"/>
        <v>131</v>
      </c>
      <c r="AA204" s="17">
        <f t="shared" si="2"/>
        <v>0</v>
      </c>
      <c r="AB204" s="30" t="s">
        <v>42</v>
      </c>
      <c r="AC204" s="20" t="s">
        <v>1290</v>
      </c>
      <c r="AD204" s="23"/>
      <c r="AE204" s="23"/>
    </row>
    <row r="205">
      <c r="A205" s="19">
        <v>203.0</v>
      </c>
      <c r="B205" s="30" t="s">
        <v>1269</v>
      </c>
      <c r="C205" s="20" t="s">
        <v>1291</v>
      </c>
      <c r="D205" s="39" t="s">
        <v>1292</v>
      </c>
      <c r="E205" s="30" t="s">
        <v>63</v>
      </c>
      <c r="F205" s="20" t="s">
        <v>1293</v>
      </c>
      <c r="G205" s="20" t="s">
        <v>1294</v>
      </c>
      <c r="H205" s="30">
        <v>9.723917286E9</v>
      </c>
      <c r="I205" s="30">
        <v>9.510597754E9</v>
      </c>
      <c r="J205" s="30"/>
      <c r="K205" s="30">
        <v>796.0</v>
      </c>
      <c r="L205" s="30" t="s">
        <v>1072</v>
      </c>
      <c r="M205" s="30" t="s">
        <v>237</v>
      </c>
      <c r="N205" s="32" t="s">
        <v>75</v>
      </c>
      <c r="O205" s="30" t="s">
        <v>246</v>
      </c>
      <c r="P205" s="30" t="s">
        <v>67</v>
      </c>
      <c r="Q205" s="20"/>
      <c r="R205" s="30" t="s">
        <v>1295</v>
      </c>
      <c r="S205" s="30" t="s">
        <v>1251</v>
      </c>
      <c r="T205" s="35"/>
      <c r="U205" s="35"/>
      <c r="V205" s="38">
        <v>2094.0</v>
      </c>
      <c r="W205" s="38">
        <v>2471.0</v>
      </c>
      <c r="X205" s="30">
        <v>2500.0</v>
      </c>
      <c r="Y205" s="30">
        <v>2500.0</v>
      </c>
      <c r="Z205" s="16">
        <f t="shared" si="1"/>
        <v>-29</v>
      </c>
      <c r="AA205" s="17">
        <f t="shared" si="2"/>
        <v>0</v>
      </c>
      <c r="AB205" s="30" t="s">
        <v>42</v>
      </c>
      <c r="AC205" s="20" t="s">
        <v>1296</v>
      </c>
      <c r="AD205" s="23"/>
      <c r="AE205" s="23"/>
    </row>
    <row r="206">
      <c r="A206" s="19">
        <v>204.0</v>
      </c>
      <c r="B206" s="30" t="s">
        <v>1269</v>
      </c>
      <c r="C206" s="20" t="s">
        <v>1297</v>
      </c>
      <c r="D206" s="39" t="s">
        <v>1298</v>
      </c>
      <c r="E206" s="30" t="s">
        <v>98</v>
      </c>
      <c r="F206" s="20" t="s">
        <v>1299</v>
      </c>
      <c r="G206" s="20" t="s">
        <v>1300</v>
      </c>
      <c r="H206" s="30" t="s">
        <v>1301</v>
      </c>
      <c r="I206" s="30" t="s">
        <v>1301</v>
      </c>
      <c r="J206" s="30"/>
      <c r="K206" s="30">
        <v>35000.0</v>
      </c>
      <c r="L206" s="30" t="s">
        <v>1072</v>
      </c>
      <c r="M206" s="30" t="s">
        <v>484</v>
      </c>
      <c r="N206" s="32" t="s">
        <v>39</v>
      </c>
      <c r="O206" s="30" t="s">
        <v>76</v>
      </c>
      <c r="P206" s="30" t="s">
        <v>41</v>
      </c>
      <c r="Q206" s="20"/>
      <c r="R206" s="30" t="s">
        <v>1302</v>
      </c>
      <c r="S206" s="30" t="s">
        <v>1303</v>
      </c>
      <c r="T206" s="34">
        <v>46701.0</v>
      </c>
      <c r="U206" s="33">
        <v>45697.0</v>
      </c>
      <c r="V206" s="38">
        <v>47196.0</v>
      </c>
      <c r="W206" s="38">
        <v>49966.0</v>
      </c>
      <c r="X206" s="30">
        <v>40124.0</v>
      </c>
      <c r="Y206" s="30">
        <v>41000.0</v>
      </c>
      <c r="Z206" s="16">
        <f t="shared" si="1"/>
        <v>8966</v>
      </c>
      <c r="AA206" s="17">
        <f t="shared" si="2"/>
        <v>876</v>
      </c>
      <c r="AB206" s="30" t="s">
        <v>42</v>
      </c>
      <c r="AC206" s="20" t="s">
        <v>1304</v>
      </c>
      <c r="AD206" s="23"/>
      <c r="AE206" s="23"/>
    </row>
    <row r="207">
      <c r="A207" s="19">
        <v>205.0</v>
      </c>
      <c r="B207" s="30" t="s">
        <v>1269</v>
      </c>
      <c r="C207" s="20" t="s">
        <v>1305</v>
      </c>
      <c r="D207" s="55" t="s">
        <v>1306</v>
      </c>
      <c r="E207" s="30" t="s">
        <v>98</v>
      </c>
      <c r="F207" s="20" t="s">
        <v>1307</v>
      </c>
      <c r="G207" s="20" t="s">
        <v>1308</v>
      </c>
      <c r="H207" s="30">
        <v>9.228713665E9</v>
      </c>
      <c r="I207" s="30">
        <v>7.069769869E9</v>
      </c>
      <c r="J207" s="30"/>
      <c r="K207" s="30">
        <v>16200.0</v>
      </c>
      <c r="L207" s="30" t="s">
        <v>609</v>
      </c>
      <c r="M207" s="30" t="s">
        <v>237</v>
      </c>
      <c r="N207" s="32" t="s">
        <v>75</v>
      </c>
      <c r="O207" s="30" t="s">
        <v>47</v>
      </c>
      <c r="P207" s="30" t="s">
        <v>438</v>
      </c>
      <c r="Q207" s="20"/>
      <c r="R207" s="30" t="s">
        <v>1309</v>
      </c>
      <c r="S207" s="30" t="s">
        <v>1310</v>
      </c>
      <c r="T207" s="30" t="s">
        <v>1311</v>
      </c>
      <c r="U207" s="35"/>
      <c r="V207" s="30">
        <v>35413.0</v>
      </c>
      <c r="W207" s="30">
        <v>37197.0</v>
      </c>
      <c r="X207" s="42">
        <v>25500.0</v>
      </c>
      <c r="Y207" s="42">
        <v>25000.0</v>
      </c>
      <c r="Z207" s="17">
        <f t="shared" si="1"/>
        <v>12197</v>
      </c>
      <c r="AA207" s="17">
        <f t="shared" si="2"/>
        <v>-500</v>
      </c>
      <c r="AB207" s="30" t="s">
        <v>42</v>
      </c>
      <c r="AC207" s="20" t="s">
        <v>1312</v>
      </c>
      <c r="AD207" s="23"/>
      <c r="AE207" s="23"/>
    </row>
    <row r="208">
      <c r="A208" s="19">
        <v>206.0</v>
      </c>
      <c r="B208" s="30" t="s">
        <v>1313</v>
      </c>
      <c r="C208" s="20" t="s">
        <v>1314</v>
      </c>
      <c r="D208" s="20" t="s">
        <v>1315</v>
      </c>
      <c r="E208" s="30" t="s">
        <v>82</v>
      </c>
      <c r="F208" s="20" t="s">
        <v>1316</v>
      </c>
      <c r="G208" s="20" t="s">
        <v>1317</v>
      </c>
      <c r="H208" s="30" t="s">
        <v>1318</v>
      </c>
      <c r="I208" s="35"/>
      <c r="J208" s="35"/>
      <c r="K208" s="30">
        <v>100.0</v>
      </c>
      <c r="L208" s="30" t="s">
        <v>761</v>
      </c>
      <c r="M208" s="30" t="s">
        <v>237</v>
      </c>
      <c r="N208" s="32" t="s">
        <v>75</v>
      </c>
      <c r="O208" s="30" t="s">
        <v>76</v>
      </c>
      <c r="P208" s="30" t="s">
        <v>67</v>
      </c>
      <c r="Q208" s="20"/>
      <c r="R208" s="30" t="s">
        <v>1319</v>
      </c>
      <c r="S208" s="33">
        <v>45391.0</v>
      </c>
      <c r="T208" s="35"/>
      <c r="U208" s="35"/>
      <c r="V208" s="30">
        <v>714.0</v>
      </c>
      <c r="W208" s="30">
        <v>843.0</v>
      </c>
      <c r="X208" s="30">
        <v>850.0</v>
      </c>
      <c r="Y208" s="30">
        <v>850.0</v>
      </c>
      <c r="Z208" s="26">
        <f t="shared" si="1"/>
        <v>-7</v>
      </c>
      <c r="AA208" s="17">
        <f t="shared" si="2"/>
        <v>0</v>
      </c>
      <c r="AB208" s="30" t="s">
        <v>42</v>
      </c>
      <c r="AC208" s="20" t="s">
        <v>1320</v>
      </c>
      <c r="AD208" s="23"/>
      <c r="AE208" s="23"/>
    </row>
    <row r="209">
      <c r="A209" s="19">
        <v>207.0</v>
      </c>
      <c r="B209" s="30" t="s">
        <v>1321</v>
      </c>
      <c r="C209" s="20" t="s">
        <v>1322</v>
      </c>
      <c r="D209" s="39" t="s">
        <v>1323</v>
      </c>
      <c r="E209" s="30" t="s">
        <v>63</v>
      </c>
      <c r="F209" s="20" t="s">
        <v>1324</v>
      </c>
      <c r="G209" s="20" t="s">
        <v>1325</v>
      </c>
      <c r="H209" s="30">
        <v>9.879793917E9</v>
      </c>
      <c r="I209" s="30">
        <v>9.913768917E9</v>
      </c>
      <c r="J209" s="30"/>
      <c r="K209" s="30">
        <v>1498.0</v>
      </c>
      <c r="L209" s="30" t="s">
        <v>761</v>
      </c>
      <c r="M209" s="30" t="s">
        <v>74</v>
      </c>
      <c r="N209" s="32" t="s">
        <v>39</v>
      </c>
      <c r="O209" s="30" t="s">
        <v>47</v>
      </c>
      <c r="P209" s="30" t="s">
        <v>669</v>
      </c>
      <c r="Q209" s="20"/>
      <c r="R209" s="30" t="s">
        <v>1326</v>
      </c>
      <c r="S209" s="30" t="s">
        <v>1327</v>
      </c>
      <c r="T209" s="35"/>
      <c r="U209" s="35"/>
      <c r="V209" s="30">
        <v>11555.0</v>
      </c>
      <c r="W209" s="30">
        <v>13635.0</v>
      </c>
      <c r="X209" s="42">
        <v>13506.0</v>
      </c>
      <c r="Y209" s="42">
        <v>13500.0</v>
      </c>
      <c r="Z209" s="17">
        <f t="shared" si="1"/>
        <v>135</v>
      </c>
      <c r="AA209" s="17">
        <f t="shared" si="2"/>
        <v>-6</v>
      </c>
      <c r="AB209" s="30" t="s">
        <v>42</v>
      </c>
      <c r="AC209" s="20" t="s">
        <v>1328</v>
      </c>
      <c r="AD209" s="23"/>
      <c r="AE209" s="23"/>
    </row>
    <row r="210">
      <c r="A210" s="19">
        <v>208.0</v>
      </c>
      <c r="B210" s="30" t="s">
        <v>1321</v>
      </c>
      <c r="C210" s="20" t="s">
        <v>1329</v>
      </c>
      <c r="D210" s="39" t="s">
        <v>1330</v>
      </c>
      <c r="E210" s="30" t="s">
        <v>98</v>
      </c>
      <c r="F210" s="20" t="s">
        <v>1331</v>
      </c>
      <c r="G210" s="20" t="s">
        <v>1332</v>
      </c>
      <c r="H210" s="30" t="s">
        <v>519</v>
      </c>
      <c r="I210" s="35"/>
      <c r="J210" s="35"/>
      <c r="K210" s="30">
        <v>42000.0</v>
      </c>
      <c r="L210" s="30" t="s">
        <v>761</v>
      </c>
      <c r="M210" s="30" t="s">
        <v>55</v>
      </c>
      <c r="N210" s="32" t="s">
        <v>39</v>
      </c>
      <c r="O210" s="30" t="s">
        <v>47</v>
      </c>
      <c r="P210" s="30" t="s">
        <v>57</v>
      </c>
      <c r="Q210" s="20"/>
      <c r="R210" s="33">
        <v>45912.0</v>
      </c>
      <c r="S210" s="30" t="s">
        <v>1333</v>
      </c>
      <c r="T210" s="30" t="s">
        <v>1145</v>
      </c>
      <c r="U210" s="35"/>
      <c r="V210" s="38">
        <v>48854.0</v>
      </c>
      <c r="W210" s="38">
        <v>51896.0</v>
      </c>
      <c r="X210" s="30">
        <v>45000.0</v>
      </c>
      <c r="Y210" s="30">
        <v>45000.0</v>
      </c>
      <c r="Z210" s="16">
        <f t="shared" si="1"/>
        <v>6896</v>
      </c>
      <c r="AA210" s="17">
        <f t="shared" si="2"/>
        <v>0</v>
      </c>
      <c r="AB210" s="30" t="s">
        <v>42</v>
      </c>
      <c r="AC210" s="20" t="s">
        <v>1334</v>
      </c>
      <c r="AD210" s="23"/>
      <c r="AE210" s="23"/>
    </row>
    <row r="211">
      <c r="A211" s="19">
        <v>209.0</v>
      </c>
      <c r="B211" s="30" t="s">
        <v>1321</v>
      </c>
      <c r="C211" s="20" t="s">
        <v>1335</v>
      </c>
      <c r="D211" s="39" t="s">
        <v>1336</v>
      </c>
      <c r="E211" s="30" t="s">
        <v>51</v>
      </c>
      <c r="F211" s="20" t="s">
        <v>1337</v>
      </c>
      <c r="G211" s="20" t="s">
        <v>1338</v>
      </c>
      <c r="H211" s="30">
        <v>9.97934321E9</v>
      </c>
      <c r="I211" s="30">
        <v>7.226011443E9</v>
      </c>
      <c r="J211" s="30"/>
      <c r="K211" s="30">
        <v>2670.0</v>
      </c>
      <c r="L211" s="30" t="s">
        <v>1072</v>
      </c>
      <c r="M211" s="30" t="s">
        <v>484</v>
      </c>
      <c r="N211" s="32" t="s">
        <v>39</v>
      </c>
      <c r="O211" s="30" t="s">
        <v>246</v>
      </c>
      <c r="P211" s="30" t="s">
        <v>41</v>
      </c>
      <c r="Q211" s="20"/>
      <c r="R211" s="33">
        <v>44111.0</v>
      </c>
      <c r="S211" s="35"/>
      <c r="T211" s="35"/>
      <c r="U211" s="35"/>
      <c r="V211" s="38">
        <v>18339.0</v>
      </c>
      <c r="W211" s="38">
        <v>19543.0</v>
      </c>
      <c r="X211" s="30">
        <v>13020.0</v>
      </c>
      <c r="Y211" s="30">
        <v>13000.0</v>
      </c>
      <c r="Z211" s="16">
        <f t="shared" si="1"/>
        <v>6543</v>
      </c>
      <c r="AA211" s="17">
        <f t="shared" si="2"/>
        <v>-20</v>
      </c>
      <c r="AB211" s="30" t="s">
        <v>42</v>
      </c>
      <c r="AC211" s="20" t="s">
        <v>1339</v>
      </c>
      <c r="AD211" s="23"/>
      <c r="AE211" s="23"/>
    </row>
    <row r="212">
      <c r="A212" s="19">
        <v>210.0</v>
      </c>
      <c r="B212" s="30" t="s">
        <v>1321</v>
      </c>
      <c r="C212" s="20" t="s">
        <v>1340</v>
      </c>
      <c r="D212" s="39" t="s">
        <v>1341</v>
      </c>
      <c r="E212" s="30" t="s">
        <v>63</v>
      </c>
      <c r="F212" s="20" t="s">
        <v>1342</v>
      </c>
      <c r="G212" s="20" t="s">
        <v>1343</v>
      </c>
      <c r="H212" s="30">
        <v>6.354320401E9</v>
      </c>
      <c r="I212" s="30">
        <v>9.879695775E9</v>
      </c>
      <c r="J212" s="30"/>
      <c r="K212" s="30">
        <v>2523.0</v>
      </c>
      <c r="L212" s="30" t="s">
        <v>1072</v>
      </c>
      <c r="M212" s="30" t="s">
        <v>700</v>
      </c>
      <c r="N212" s="32" t="s">
        <v>39</v>
      </c>
      <c r="O212" s="30" t="s">
        <v>47</v>
      </c>
      <c r="P212" s="30" t="s">
        <v>669</v>
      </c>
      <c r="Q212" s="20"/>
      <c r="R212" s="34">
        <v>50384.0</v>
      </c>
      <c r="S212" s="30" t="s">
        <v>818</v>
      </c>
      <c r="T212" s="35"/>
      <c r="U212" s="35"/>
      <c r="V212" s="30">
        <v>16068.0</v>
      </c>
      <c r="W212" s="30">
        <v>18960.0</v>
      </c>
      <c r="X212" s="30">
        <v>18960.0</v>
      </c>
      <c r="Y212" s="30">
        <v>18960.0</v>
      </c>
      <c r="Z212" s="26">
        <f t="shared" si="1"/>
        <v>0</v>
      </c>
      <c r="AA212" s="17">
        <f t="shared" si="2"/>
        <v>0</v>
      </c>
      <c r="AB212" s="30" t="s">
        <v>42</v>
      </c>
      <c r="AC212" s="20" t="s">
        <v>1344</v>
      </c>
      <c r="AD212" s="23"/>
      <c r="AE212" s="23"/>
    </row>
    <row r="213">
      <c r="A213" s="19">
        <v>211.0</v>
      </c>
      <c r="B213" s="30" t="s">
        <v>1345</v>
      </c>
      <c r="C213" s="20" t="s">
        <v>1346</v>
      </c>
      <c r="D213" s="39">
        <v>6.303488624E9</v>
      </c>
      <c r="E213" s="30" t="s">
        <v>34</v>
      </c>
      <c r="F213" s="20" t="s">
        <v>971</v>
      </c>
      <c r="G213" s="20" t="s">
        <v>1347</v>
      </c>
      <c r="H213" s="30">
        <v>9.023047843E9</v>
      </c>
      <c r="I213" s="30">
        <v>9.023408985E9</v>
      </c>
      <c r="J213" s="30"/>
      <c r="K213" s="30">
        <v>470.0</v>
      </c>
      <c r="L213" s="30" t="s">
        <v>1040</v>
      </c>
      <c r="M213" s="30" t="s">
        <v>180</v>
      </c>
      <c r="N213" s="32" t="s">
        <v>39</v>
      </c>
      <c r="O213" s="30" t="s">
        <v>40</v>
      </c>
      <c r="P213" s="30" t="s">
        <v>57</v>
      </c>
      <c r="Q213" s="20"/>
      <c r="R213" s="30" t="s">
        <v>727</v>
      </c>
      <c r="S213" s="30" t="s">
        <v>388</v>
      </c>
      <c r="T213" s="33">
        <v>47249.0</v>
      </c>
      <c r="U213" s="35"/>
      <c r="V213" s="30">
        <v>6443.0</v>
      </c>
      <c r="W213" s="30">
        <v>7603.0</v>
      </c>
      <c r="X213" s="30">
        <v>6500.0</v>
      </c>
      <c r="Y213" s="30">
        <v>6000.0</v>
      </c>
      <c r="Z213" s="26">
        <f t="shared" si="1"/>
        <v>1603</v>
      </c>
      <c r="AA213" s="17">
        <f t="shared" si="2"/>
        <v>-500</v>
      </c>
      <c r="AB213" s="30" t="s">
        <v>42</v>
      </c>
      <c r="AC213" s="20" t="s">
        <v>1348</v>
      </c>
      <c r="AD213" s="23"/>
      <c r="AE213" s="23"/>
    </row>
    <row r="214">
      <c r="A214" s="19">
        <v>212.0</v>
      </c>
      <c r="B214" s="30" t="s">
        <v>1345</v>
      </c>
      <c r="C214" s="20" t="s">
        <v>1349</v>
      </c>
      <c r="D214" s="39">
        <v>6.303488629E9</v>
      </c>
      <c r="E214" s="30" t="s">
        <v>98</v>
      </c>
      <c r="F214" s="20" t="s">
        <v>1350</v>
      </c>
      <c r="G214" s="20" t="s">
        <v>1351</v>
      </c>
      <c r="H214" s="30">
        <v>9.316310173E9</v>
      </c>
      <c r="I214" s="30">
        <v>9.099115677E9</v>
      </c>
      <c r="J214" s="30"/>
      <c r="K214" s="30">
        <v>12976.0</v>
      </c>
      <c r="L214" s="30" t="s">
        <v>1040</v>
      </c>
      <c r="M214" s="30" t="s">
        <v>180</v>
      </c>
      <c r="N214" s="32" t="s">
        <v>75</v>
      </c>
      <c r="O214" s="30" t="s">
        <v>140</v>
      </c>
      <c r="P214" s="30" t="s">
        <v>57</v>
      </c>
      <c r="Q214" s="20"/>
      <c r="R214" s="30" t="s">
        <v>740</v>
      </c>
      <c r="S214" s="30" t="s">
        <v>381</v>
      </c>
      <c r="T214" s="30" t="s">
        <v>1352</v>
      </c>
      <c r="U214" s="35"/>
      <c r="V214" s="30">
        <v>35788.0</v>
      </c>
      <c r="W214" s="30">
        <v>37640.0</v>
      </c>
      <c r="X214" s="30">
        <v>25000.0</v>
      </c>
      <c r="Y214" s="30">
        <v>25300.0</v>
      </c>
      <c r="Z214" s="26">
        <f t="shared" si="1"/>
        <v>12340</v>
      </c>
      <c r="AA214" s="17">
        <f t="shared" si="2"/>
        <v>300</v>
      </c>
      <c r="AB214" s="30" t="s">
        <v>42</v>
      </c>
      <c r="AC214" s="20" t="s">
        <v>1353</v>
      </c>
      <c r="AD214" s="23"/>
      <c r="AE214" s="23"/>
    </row>
    <row r="215">
      <c r="A215" s="19">
        <v>213.0</v>
      </c>
      <c r="B215" s="30" t="s">
        <v>1345</v>
      </c>
      <c r="C215" s="20" t="s">
        <v>1354</v>
      </c>
      <c r="D215" s="39">
        <v>6.303488626E9</v>
      </c>
      <c r="E215" s="30" t="s">
        <v>34</v>
      </c>
      <c r="F215" s="20" t="s">
        <v>971</v>
      </c>
      <c r="G215" s="20" t="s">
        <v>1355</v>
      </c>
      <c r="H215" s="30">
        <v>9.924524742E9</v>
      </c>
      <c r="I215" s="30">
        <v>9.726146355E9</v>
      </c>
      <c r="J215" s="30"/>
      <c r="K215" s="30">
        <v>470.0</v>
      </c>
      <c r="L215" s="30" t="s">
        <v>1040</v>
      </c>
      <c r="M215" s="30" t="s">
        <v>180</v>
      </c>
      <c r="N215" s="32" t="s">
        <v>39</v>
      </c>
      <c r="O215" s="30" t="s">
        <v>165</v>
      </c>
      <c r="P215" s="30" t="s">
        <v>57</v>
      </c>
      <c r="Q215" s="20"/>
      <c r="R215" s="30" t="s">
        <v>1356</v>
      </c>
      <c r="S215" s="30" t="s">
        <v>1357</v>
      </c>
      <c r="T215" s="30" t="s">
        <v>963</v>
      </c>
      <c r="U215" s="35"/>
      <c r="V215" s="30">
        <v>6513.0</v>
      </c>
      <c r="W215" s="30">
        <v>7685.0</v>
      </c>
      <c r="X215" s="30">
        <v>6500.0</v>
      </c>
      <c r="Y215" s="30">
        <v>6500.0</v>
      </c>
      <c r="Z215" s="26">
        <f t="shared" si="1"/>
        <v>1185</v>
      </c>
      <c r="AA215" s="17">
        <f t="shared" si="2"/>
        <v>0</v>
      </c>
      <c r="AB215" s="30" t="s">
        <v>42</v>
      </c>
      <c r="AC215" s="20" t="s">
        <v>1358</v>
      </c>
      <c r="AD215" s="23"/>
      <c r="AE215" s="23"/>
    </row>
    <row r="216">
      <c r="A216" s="19">
        <v>214.0</v>
      </c>
      <c r="B216" s="30" t="s">
        <v>1345</v>
      </c>
      <c r="C216" s="20" t="s">
        <v>1359</v>
      </c>
      <c r="D216" s="39">
        <v>6.303488621E9</v>
      </c>
      <c r="E216" s="30" t="s">
        <v>34</v>
      </c>
      <c r="F216" s="20" t="s">
        <v>971</v>
      </c>
      <c r="G216" s="20" t="s">
        <v>1360</v>
      </c>
      <c r="H216" s="30">
        <v>9.726436441E9</v>
      </c>
      <c r="I216" s="30">
        <v>9.71475523E9</v>
      </c>
      <c r="J216" s="30"/>
      <c r="K216" s="30">
        <v>470.0</v>
      </c>
      <c r="L216" s="30" t="s">
        <v>1361</v>
      </c>
      <c r="M216" s="30" t="s">
        <v>180</v>
      </c>
      <c r="N216" s="32" t="s">
        <v>39</v>
      </c>
      <c r="O216" s="30" t="s">
        <v>56</v>
      </c>
      <c r="P216" s="30" t="s">
        <v>57</v>
      </c>
      <c r="Q216" s="30"/>
      <c r="R216" s="30" t="s">
        <v>727</v>
      </c>
      <c r="S216" s="30" t="s">
        <v>574</v>
      </c>
      <c r="T216" s="34">
        <v>47433.0</v>
      </c>
      <c r="U216" s="35"/>
      <c r="V216" s="30">
        <v>6443.0</v>
      </c>
      <c r="W216" s="30">
        <v>7603.0</v>
      </c>
      <c r="X216" s="30">
        <v>6500.0</v>
      </c>
      <c r="Y216" s="30">
        <v>6500.0</v>
      </c>
      <c r="Z216" s="26">
        <f t="shared" si="1"/>
        <v>1103</v>
      </c>
      <c r="AA216" s="17">
        <f t="shared" si="2"/>
        <v>0</v>
      </c>
      <c r="AB216" s="30" t="s">
        <v>42</v>
      </c>
      <c r="AC216" s="20" t="s">
        <v>1362</v>
      </c>
      <c r="AD216" s="23"/>
      <c r="AE216" s="23"/>
    </row>
    <row r="217">
      <c r="A217" s="19">
        <v>215.0</v>
      </c>
      <c r="B217" s="30" t="s">
        <v>1345</v>
      </c>
      <c r="C217" s="20" t="s">
        <v>1363</v>
      </c>
      <c r="D217" s="39" t="s">
        <v>1364</v>
      </c>
      <c r="E217" s="30" t="s">
        <v>123</v>
      </c>
      <c r="F217" s="20" t="s">
        <v>1100</v>
      </c>
      <c r="G217" s="20" t="s">
        <v>1365</v>
      </c>
      <c r="H217" s="30">
        <v>9.72659821E9</v>
      </c>
      <c r="I217" s="30">
        <v>7.016500262E9</v>
      </c>
      <c r="J217" s="30"/>
      <c r="K217" s="35"/>
      <c r="L217" s="30" t="s">
        <v>1040</v>
      </c>
      <c r="M217" s="30" t="s">
        <v>38</v>
      </c>
      <c r="N217" s="32" t="s">
        <v>39</v>
      </c>
      <c r="O217" s="30" t="s">
        <v>56</v>
      </c>
      <c r="P217" s="30" t="s">
        <v>41</v>
      </c>
      <c r="Q217" s="30"/>
      <c r="R217" s="33">
        <v>45699.0</v>
      </c>
      <c r="S217" s="30" t="s">
        <v>403</v>
      </c>
      <c r="T217" s="35"/>
      <c r="U217" s="35"/>
      <c r="V217" s="30">
        <v>15011.0</v>
      </c>
      <c r="W217" s="30">
        <v>17713.0</v>
      </c>
      <c r="X217" s="30">
        <v>17713.0</v>
      </c>
      <c r="Y217" s="30">
        <v>17700.0</v>
      </c>
      <c r="Z217" s="26">
        <f t="shared" si="1"/>
        <v>13</v>
      </c>
      <c r="AA217" s="17">
        <f t="shared" si="2"/>
        <v>-13</v>
      </c>
      <c r="AB217" s="30" t="s">
        <v>42</v>
      </c>
      <c r="AC217" s="20" t="s">
        <v>1366</v>
      </c>
      <c r="AD217" s="23"/>
      <c r="AE217" s="23"/>
    </row>
    <row r="218">
      <c r="A218" s="19">
        <v>216.0</v>
      </c>
      <c r="B218" s="30" t="s">
        <v>1345</v>
      </c>
      <c r="C218" s="20" t="s">
        <v>1367</v>
      </c>
      <c r="D218" s="39" t="s">
        <v>1368</v>
      </c>
      <c r="E218" s="30" t="s">
        <v>98</v>
      </c>
      <c r="F218" s="20" t="s">
        <v>1369</v>
      </c>
      <c r="G218" s="20" t="s">
        <v>1370</v>
      </c>
      <c r="H218" s="30" t="s">
        <v>1371</v>
      </c>
      <c r="I218" s="30" t="s">
        <v>1372</v>
      </c>
      <c r="J218" s="30"/>
      <c r="K218" s="30">
        <v>16140.0</v>
      </c>
      <c r="L218" s="30" t="s">
        <v>1040</v>
      </c>
      <c r="M218" s="30" t="s">
        <v>102</v>
      </c>
      <c r="N218" s="32" t="s">
        <v>39</v>
      </c>
      <c r="O218" s="30" t="s">
        <v>76</v>
      </c>
      <c r="P218" s="30" t="s">
        <v>57</v>
      </c>
      <c r="Q218" s="20"/>
      <c r="R218" s="33">
        <v>46033.0</v>
      </c>
      <c r="S218" s="33">
        <v>46236.0</v>
      </c>
      <c r="T218" s="34">
        <v>46702.0</v>
      </c>
      <c r="U218" s="34">
        <v>45972.0</v>
      </c>
      <c r="V218" s="30">
        <v>51445.0</v>
      </c>
      <c r="W218" s="30">
        <v>56114.0</v>
      </c>
      <c r="X218" s="30">
        <v>49000.0</v>
      </c>
      <c r="Y218" s="30">
        <v>49000.0</v>
      </c>
      <c r="Z218" s="26">
        <f t="shared" si="1"/>
        <v>7114</v>
      </c>
      <c r="AA218" s="17">
        <f t="shared" si="2"/>
        <v>0</v>
      </c>
      <c r="AB218" s="30" t="s">
        <v>42</v>
      </c>
      <c r="AC218" s="20" t="s">
        <v>1373</v>
      </c>
      <c r="AD218" s="23"/>
      <c r="AE218" s="23"/>
    </row>
    <row r="219">
      <c r="A219" s="19">
        <v>217.0</v>
      </c>
      <c r="B219" s="30" t="s">
        <v>1345</v>
      </c>
      <c r="C219" s="20" t="s">
        <v>1374</v>
      </c>
      <c r="D219" s="39" t="s">
        <v>1375</v>
      </c>
      <c r="E219" s="30" t="s">
        <v>63</v>
      </c>
      <c r="F219" s="20" t="s">
        <v>1376</v>
      </c>
      <c r="G219" s="20" t="s">
        <v>1377</v>
      </c>
      <c r="H219" s="30">
        <v>7.043696132E9</v>
      </c>
      <c r="I219" s="30">
        <v>7.265044292E9</v>
      </c>
      <c r="J219" s="30"/>
      <c r="K219" s="30">
        <v>1086.0</v>
      </c>
      <c r="L219" s="30" t="s">
        <v>1361</v>
      </c>
      <c r="M219" s="30" t="s">
        <v>452</v>
      </c>
      <c r="N219" s="32" t="s">
        <v>75</v>
      </c>
      <c r="O219" s="30" t="s">
        <v>246</v>
      </c>
      <c r="P219" s="30" t="s">
        <v>67</v>
      </c>
      <c r="Q219" s="20"/>
      <c r="R219" s="30" t="s">
        <v>485</v>
      </c>
      <c r="S219" s="30" t="s">
        <v>1378</v>
      </c>
      <c r="T219" s="35"/>
      <c r="U219" s="35"/>
      <c r="V219" s="30">
        <v>4091.0</v>
      </c>
      <c r="W219" s="30">
        <v>4827.38</v>
      </c>
      <c r="X219" s="30">
        <v>4800.0</v>
      </c>
      <c r="Y219" s="30">
        <v>4500.0</v>
      </c>
      <c r="Z219" s="26">
        <f t="shared" si="1"/>
        <v>327.38</v>
      </c>
      <c r="AA219" s="17">
        <f t="shared" si="2"/>
        <v>-300</v>
      </c>
      <c r="AB219" s="30" t="s">
        <v>42</v>
      </c>
      <c r="AC219" s="20" t="s">
        <v>1379</v>
      </c>
      <c r="AD219" s="23"/>
      <c r="AE219" s="23"/>
    </row>
    <row r="220">
      <c r="A220" s="19">
        <v>218.0</v>
      </c>
      <c r="B220" s="30" t="s">
        <v>1345</v>
      </c>
      <c r="C220" s="20" t="s">
        <v>1380</v>
      </c>
      <c r="D220" s="20" t="s">
        <v>1381</v>
      </c>
      <c r="E220" s="30" t="s">
        <v>51</v>
      </c>
      <c r="F220" s="20" t="s">
        <v>1232</v>
      </c>
      <c r="G220" s="20" t="s">
        <v>1382</v>
      </c>
      <c r="H220" s="30">
        <v>9.925474077E9</v>
      </c>
      <c r="I220" s="30">
        <v>9.90499531E9</v>
      </c>
      <c r="J220" s="30"/>
      <c r="K220" s="30">
        <v>2825.0</v>
      </c>
      <c r="L220" s="30" t="s">
        <v>1040</v>
      </c>
      <c r="M220" s="30" t="s">
        <v>484</v>
      </c>
      <c r="N220" s="32" t="s">
        <v>39</v>
      </c>
      <c r="O220" s="30" t="s">
        <v>47</v>
      </c>
      <c r="P220" s="30" t="s">
        <v>438</v>
      </c>
      <c r="Q220" s="20"/>
      <c r="R220" s="30" t="s">
        <v>1235</v>
      </c>
      <c r="S220" s="30" t="s">
        <v>1383</v>
      </c>
      <c r="T220" s="35"/>
      <c r="U220" s="35"/>
      <c r="V220" s="38">
        <v>19832.0</v>
      </c>
      <c r="W220" s="38">
        <v>21304.0</v>
      </c>
      <c r="X220" s="42">
        <v>14449.0</v>
      </c>
      <c r="Y220" s="42">
        <v>14500.0</v>
      </c>
      <c r="Z220" s="16">
        <f t="shared" si="1"/>
        <v>6804</v>
      </c>
      <c r="AA220" s="17">
        <f t="shared" si="2"/>
        <v>51</v>
      </c>
      <c r="AB220" s="30" t="s">
        <v>42</v>
      </c>
      <c r="AC220" s="20" t="s">
        <v>1384</v>
      </c>
      <c r="AD220" s="23"/>
      <c r="AE220" s="23"/>
    </row>
    <row r="221">
      <c r="A221" s="19">
        <v>219.0</v>
      </c>
      <c r="B221" s="30" t="s">
        <v>1345</v>
      </c>
      <c r="C221" s="20" t="s">
        <v>1385</v>
      </c>
      <c r="D221" s="20" t="s">
        <v>1386</v>
      </c>
      <c r="E221" s="30" t="s">
        <v>63</v>
      </c>
      <c r="F221" s="20" t="s">
        <v>1387</v>
      </c>
      <c r="G221" s="20" t="s">
        <v>1388</v>
      </c>
      <c r="H221" s="30">
        <v>8.849285752E9</v>
      </c>
      <c r="I221" s="30">
        <v>8.141728962E9</v>
      </c>
      <c r="J221" s="30"/>
      <c r="K221" s="30">
        <v>1196.0</v>
      </c>
      <c r="L221" s="30" t="s">
        <v>1040</v>
      </c>
      <c r="M221" s="30" t="s">
        <v>1389</v>
      </c>
      <c r="N221" s="32" t="s">
        <v>75</v>
      </c>
      <c r="O221" s="30" t="s">
        <v>246</v>
      </c>
      <c r="P221" s="30" t="s">
        <v>57</v>
      </c>
      <c r="Q221" s="20"/>
      <c r="R221" s="34">
        <v>50323.0</v>
      </c>
      <c r="S221" s="30" t="s">
        <v>230</v>
      </c>
      <c r="T221" s="35"/>
      <c r="U221" s="35"/>
      <c r="V221" s="38">
        <v>3416.0</v>
      </c>
      <c r="W221" s="38">
        <v>4031.0</v>
      </c>
      <c r="X221" s="30">
        <v>4000.0</v>
      </c>
      <c r="Y221" s="30">
        <v>4000.0</v>
      </c>
      <c r="Z221" s="16">
        <f t="shared" si="1"/>
        <v>31</v>
      </c>
      <c r="AA221" s="17">
        <f t="shared" si="2"/>
        <v>0</v>
      </c>
      <c r="AB221" s="30" t="s">
        <v>42</v>
      </c>
      <c r="AC221" s="20" t="s">
        <v>1390</v>
      </c>
      <c r="AD221" s="23"/>
      <c r="AE221" s="23"/>
    </row>
    <row r="222">
      <c r="A222" s="19">
        <v>220.0</v>
      </c>
      <c r="B222" s="45" t="s">
        <v>1345</v>
      </c>
      <c r="C222" s="44" t="s">
        <v>1391</v>
      </c>
      <c r="D222" s="44" t="s">
        <v>1392</v>
      </c>
      <c r="E222" s="45" t="s">
        <v>98</v>
      </c>
      <c r="F222" s="44" t="s">
        <v>1393</v>
      </c>
      <c r="G222" s="44" t="s">
        <v>1394</v>
      </c>
      <c r="H222" s="45">
        <v>9.725794288E9</v>
      </c>
      <c r="I222" s="45">
        <v>9.727381783E9</v>
      </c>
      <c r="J222" s="45"/>
      <c r="K222" s="45">
        <v>42000.0</v>
      </c>
      <c r="L222" s="45" t="s">
        <v>1009</v>
      </c>
      <c r="M222" s="45" t="s">
        <v>55</v>
      </c>
      <c r="N222" s="47" t="s">
        <v>39</v>
      </c>
      <c r="O222" s="45" t="s">
        <v>47</v>
      </c>
      <c r="P222" s="45" t="s">
        <v>41</v>
      </c>
      <c r="Q222" s="44"/>
      <c r="R222" s="45" t="s">
        <v>1395</v>
      </c>
      <c r="S222" s="54">
        <v>45820.0</v>
      </c>
      <c r="T222" s="48">
        <v>47068.0</v>
      </c>
      <c r="U222" s="48">
        <v>45972.0</v>
      </c>
      <c r="V222" s="50">
        <v>48628.0</v>
      </c>
      <c r="W222" s="50">
        <v>51630.0</v>
      </c>
      <c r="X222" s="62">
        <v>44577.0</v>
      </c>
      <c r="Y222" s="62">
        <v>44500.0</v>
      </c>
      <c r="Z222" s="60">
        <f t="shared" si="1"/>
        <v>7130</v>
      </c>
      <c r="AA222" s="17">
        <f t="shared" si="2"/>
        <v>-77</v>
      </c>
      <c r="AB222" s="45" t="s">
        <v>42</v>
      </c>
      <c r="AC222" s="44" t="s">
        <v>1396</v>
      </c>
      <c r="AD222" s="44" t="s">
        <v>936</v>
      </c>
      <c r="AE222" s="52"/>
      <c r="AF222" s="40" t="s">
        <v>937</v>
      </c>
      <c r="AG222" s="61" t="s">
        <v>209</v>
      </c>
    </row>
    <row r="223">
      <c r="A223" s="19">
        <v>221.0</v>
      </c>
      <c r="B223" s="30" t="s">
        <v>1345</v>
      </c>
      <c r="C223" s="20" t="s">
        <v>1397</v>
      </c>
      <c r="D223" s="20" t="s">
        <v>1398</v>
      </c>
      <c r="E223" s="30" t="s">
        <v>1399</v>
      </c>
      <c r="F223" s="20" t="s">
        <v>1400</v>
      </c>
      <c r="G223" s="20" t="s">
        <v>1401</v>
      </c>
      <c r="H223" s="30">
        <v>9.89899104E9</v>
      </c>
      <c r="I223" s="30">
        <v>9.104801929E9</v>
      </c>
      <c r="J223" s="30"/>
      <c r="K223" s="30">
        <v>3460.0</v>
      </c>
      <c r="L223" s="30" t="s">
        <v>1040</v>
      </c>
      <c r="M223" s="30" t="s">
        <v>484</v>
      </c>
      <c r="N223" s="32" t="s">
        <v>39</v>
      </c>
      <c r="O223" s="30" t="s">
        <v>47</v>
      </c>
      <c r="P223" s="30" t="s">
        <v>438</v>
      </c>
      <c r="Q223" s="20"/>
      <c r="R223" s="30" t="s">
        <v>948</v>
      </c>
      <c r="S223" s="30" t="s">
        <v>1402</v>
      </c>
      <c r="T223" s="30" t="s">
        <v>1403</v>
      </c>
      <c r="U223" s="35"/>
      <c r="V223" s="38">
        <v>20710.0</v>
      </c>
      <c r="W223" s="38">
        <v>22340.0</v>
      </c>
      <c r="X223" s="30">
        <v>15000.0</v>
      </c>
      <c r="Y223" s="30">
        <v>15000.0</v>
      </c>
      <c r="Z223" s="16">
        <f t="shared" si="1"/>
        <v>7340</v>
      </c>
      <c r="AA223" s="17">
        <f t="shared" si="2"/>
        <v>0</v>
      </c>
      <c r="AB223" s="30" t="s">
        <v>42</v>
      </c>
      <c r="AC223" s="20" t="s">
        <v>1404</v>
      </c>
      <c r="AD223" s="23"/>
      <c r="AE223" s="23"/>
    </row>
    <row r="224">
      <c r="A224" s="19">
        <v>222.0</v>
      </c>
      <c r="B224" s="30" t="s">
        <v>1345</v>
      </c>
      <c r="C224" s="20" t="s">
        <v>1405</v>
      </c>
      <c r="D224" s="20" t="s">
        <v>1406</v>
      </c>
      <c r="E224" s="30" t="s">
        <v>98</v>
      </c>
      <c r="F224" s="20" t="s">
        <v>1407</v>
      </c>
      <c r="G224" s="20" t="s">
        <v>1408</v>
      </c>
      <c r="H224" s="30">
        <v>9.825404475E9</v>
      </c>
      <c r="I224" s="35"/>
      <c r="J224" s="35"/>
      <c r="K224" s="30">
        <v>37000.0</v>
      </c>
      <c r="L224" s="30" t="s">
        <v>1361</v>
      </c>
      <c r="M224" s="30" t="s">
        <v>634</v>
      </c>
      <c r="N224" s="32" t="s">
        <v>39</v>
      </c>
      <c r="O224" s="30" t="s">
        <v>76</v>
      </c>
      <c r="P224" s="30" t="s">
        <v>57</v>
      </c>
      <c r="Q224" s="20"/>
      <c r="R224" s="30" t="s">
        <v>1409</v>
      </c>
      <c r="S224" s="30" t="s">
        <v>403</v>
      </c>
      <c r="T224" s="30" t="s">
        <v>166</v>
      </c>
      <c r="U224" s="30" t="s">
        <v>1410</v>
      </c>
      <c r="V224" s="38">
        <v>50841.0</v>
      </c>
      <c r="W224" s="38">
        <v>54279.0</v>
      </c>
      <c r="X224" s="30">
        <v>43500.0</v>
      </c>
      <c r="Y224" s="30">
        <v>43500.0</v>
      </c>
      <c r="Z224" s="16">
        <f t="shared" si="1"/>
        <v>10779</v>
      </c>
      <c r="AA224" s="17">
        <f t="shared" si="2"/>
        <v>0</v>
      </c>
      <c r="AB224" s="30" t="s">
        <v>42</v>
      </c>
      <c r="AC224" s="20" t="s">
        <v>1411</v>
      </c>
      <c r="AD224" s="23"/>
      <c r="AE224" s="23"/>
    </row>
    <row r="225">
      <c r="A225" s="19">
        <v>223.0</v>
      </c>
      <c r="B225" s="30" t="s">
        <v>1345</v>
      </c>
      <c r="C225" s="20" t="s">
        <v>1412</v>
      </c>
      <c r="D225" s="20" t="s">
        <v>1413</v>
      </c>
      <c r="E225" s="30" t="s">
        <v>34</v>
      </c>
      <c r="F225" s="20" t="s">
        <v>971</v>
      </c>
      <c r="G225" s="20" t="s">
        <v>1414</v>
      </c>
      <c r="H225" s="30">
        <v>9.773150984E9</v>
      </c>
      <c r="I225" s="30">
        <v>9.979418301E9</v>
      </c>
      <c r="J225" s="30"/>
      <c r="K225" s="30">
        <v>807.0</v>
      </c>
      <c r="L225" s="30" t="s">
        <v>1361</v>
      </c>
      <c r="M225" s="30" t="s">
        <v>180</v>
      </c>
      <c r="N225" s="32" t="s">
        <v>39</v>
      </c>
      <c r="O225" s="30" t="s">
        <v>165</v>
      </c>
      <c r="P225" s="30" t="s">
        <v>57</v>
      </c>
      <c r="Q225" s="20"/>
      <c r="R225" s="33">
        <v>45662.0</v>
      </c>
      <c r="S225" s="30" t="s">
        <v>1415</v>
      </c>
      <c r="T225" s="33">
        <v>46915.0</v>
      </c>
      <c r="U225" s="35"/>
      <c r="V225" s="30">
        <v>6427.0</v>
      </c>
      <c r="W225" s="30">
        <v>7583.0</v>
      </c>
      <c r="X225" s="30">
        <v>6500.0</v>
      </c>
      <c r="Y225" s="30">
        <v>6500.0</v>
      </c>
      <c r="Z225" s="26">
        <f t="shared" si="1"/>
        <v>1083</v>
      </c>
      <c r="AA225" s="17">
        <f t="shared" si="2"/>
        <v>0</v>
      </c>
      <c r="AB225" s="30" t="s">
        <v>42</v>
      </c>
      <c r="AC225" s="20" t="s">
        <v>1416</v>
      </c>
      <c r="AD225" s="23"/>
      <c r="AE225" s="23"/>
    </row>
    <row r="226">
      <c r="A226" s="19">
        <v>224.0</v>
      </c>
      <c r="B226" s="30" t="s">
        <v>1345</v>
      </c>
      <c r="C226" s="20" t="s">
        <v>1417</v>
      </c>
      <c r="D226" s="20" t="s">
        <v>1418</v>
      </c>
      <c r="E226" s="30" t="s">
        <v>34</v>
      </c>
      <c r="F226" s="20" t="s">
        <v>971</v>
      </c>
      <c r="G226" s="20" t="s">
        <v>1419</v>
      </c>
      <c r="H226" s="30">
        <v>8.84951938E9</v>
      </c>
      <c r="I226" s="30">
        <v>9.316574737E9</v>
      </c>
      <c r="J226" s="30"/>
      <c r="K226" s="30">
        <v>818.0</v>
      </c>
      <c r="L226" s="30" t="s">
        <v>1040</v>
      </c>
      <c r="M226" s="30" t="s">
        <v>180</v>
      </c>
      <c r="N226" s="32" t="s">
        <v>39</v>
      </c>
      <c r="O226" s="30" t="s">
        <v>47</v>
      </c>
      <c r="P226" s="30" t="s">
        <v>57</v>
      </c>
      <c r="Q226" s="20"/>
      <c r="R226" s="30" t="s">
        <v>762</v>
      </c>
      <c r="S226" s="30" t="s">
        <v>763</v>
      </c>
      <c r="T226" s="30" t="s">
        <v>1145</v>
      </c>
      <c r="U226" s="35"/>
      <c r="V226" s="30">
        <v>6328.0</v>
      </c>
      <c r="W226" s="30">
        <v>7468.0</v>
      </c>
      <c r="X226" s="30">
        <v>6500.0</v>
      </c>
      <c r="Y226" s="30">
        <v>6300.0</v>
      </c>
      <c r="Z226" s="26">
        <f t="shared" si="1"/>
        <v>1168</v>
      </c>
      <c r="AA226" s="17">
        <f t="shared" si="2"/>
        <v>-200</v>
      </c>
      <c r="AB226" s="30" t="s">
        <v>42</v>
      </c>
      <c r="AC226" s="20" t="s">
        <v>1420</v>
      </c>
      <c r="AD226" s="23"/>
      <c r="AE226" s="23"/>
    </row>
    <row r="227">
      <c r="A227" s="19">
        <v>225.0</v>
      </c>
      <c r="B227" s="30" t="s">
        <v>1345</v>
      </c>
      <c r="C227" s="20" t="s">
        <v>1421</v>
      </c>
      <c r="D227" s="20" t="s">
        <v>1422</v>
      </c>
      <c r="E227" s="30" t="s">
        <v>1423</v>
      </c>
      <c r="F227" s="20" t="s">
        <v>1424</v>
      </c>
      <c r="G227" s="20" t="s">
        <v>1425</v>
      </c>
      <c r="H227" s="30" t="s">
        <v>1426</v>
      </c>
      <c r="I227" s="35"/>
      <c r="J227" s="35"/>
      <c r="K227" s="30">
        <v>11950.0</v>
      </c>
      <c r="L227" s="30" t="s">
        <v>1040</v>
      </c>
      <c r="M227" s="30" t="s">
        <v>228</v>
      </c>
      <c r="N227" s="32" t="s">
        <v>39</v>
      </c>
      <c r="O227" s="30" t="s">
        <v>47</v>
      </c>
      <c r="P227" s="30" t="s">
        <v>57</v>
      </c>
      <c r="Q227" s="20"/>
      <c r="R227" s="33">
        <v>45727.0</v>
      </c>
      <c r="S227" s="30" t="s">
        <v>1427</v>
      </c>
      <c r="T227" s="30" t="s">
        <v>1428</v>
      </c>
      <c r="U227" s="35"/>
      <c r="V227" s="38">
        <v>28768.0</v>
      </c>
      <c r="W227" s="38">
        <v>30412.0</v>
      </c>
      <c r="X227" s="30">
        <v>27414.0</v>
      </c>
      <c r="Y227" s="30">
        <v>27500.0</v>
      </c>
      <c r="Z227" s="15">
        <f t="shared" si="1"/>
        <v>2912</v>
      </c>
      <c r="AA227" s="17">
        <f t="shared" si="2"/>
        <v>86</v>
      </c>
      <c r="AB227" s="30" t="s">
        <v>42</v>
      </c>
      <c r="AC227" s="20" t="s">
        <v>1429</v>
      </c>
      <c r="AD227" s="23"/>
      <c r="AE227" s="23"/>
    </row>
    <row r="228">
      <c r="A228" s="19">
        <v>226.0</v>
      </c>
      <c r="B228" s="30" t="s">
        <v>1345</v>
      </c>
      <c r="C228" s="20" t="s">
        <v>1430</v>
      </c>
      <c r="D228" s="20" t="s">
        <v>1431</v>
      </c>
      <c r="E228" s="30" t="s">
        <v>98</v>
      </c>
      <c r="F228" s="20" t="s">
        <v>1432</v>
      </c>
      <c r="G228" s="20" t="s">
        <v>1433</v>
      </c>
      <c r="H228" s="30">
        <v>8.200527746E9</v>
      </c>
      <c r="I228" s="30">
        <v>9.537965057E9</v>
      </c>
      <c r="J228" s="30"/>
      <c r="K228" s="30">
        <v>12990.0</v>
      </c>
      <c r="L228" s="30" t="s">
        <v>1040</v>
      </c>
      <c r="M228" s="30" t="s">
        <v>55</v>
      </c>
      <c r="N228" s="32" t="s">
        <v>39</v>
      </c>
      <c r="O228" s="30" t="s">
        <v>47</v>
      </c>
      <c r="P228" s="30" t="s">
        <v>57</v>
      </c>
      <c r="Q228" s="20"/>
      <c r="R228" s="30" t="s">
        <v>354</v>
      </c>
      <c r="S228" s="33">
        <v>45881.0</v>
      </c>
      <c r="T228" s="30" t="s">
        <v>1434</v>
      </c>
      <c r="U228" s="35"/>
      <c r="V228" s="38">
        <v>38021.0</v>
      </c>
      <c r="W228" s="38">
        <v>40274.0</v>
      </c>
      <c r="X228" s="30">
        <v>34000.0</v>
      </c>
      <c r="Y228" s="30">
        <v>34000.0</v>
      </c>
      <c r="Z228" s="16">
        <f t="shared" si="1"/>
        <v>6274</v>
      </c>
      <c r="AA228" s="17">
        <f t="shared" si="2"/>
        <v>0</v>
      </c>
      <c r="AB228" s="30" t="s">
        <v>42</v>
      </c>
      <c r="AC228" s="20" t="s">
        <v>1435</v>
      </c>
      <c r="AD228" s="23"/>
      <c r="AE228" s="23"/>
    </row>
    <row r="229">
      <c r="A229" s="19">
        <v>227.0</v>
      </c>
      <c r="B229" s="30" t="s">
        <v>1436</v>
      </c>
      <c r="C229" s="20" t="s">
        <v>1437</v>
      </c>
      <c r="D229" s="20" t="s">
        <v>1438</v>
      </c>
      <c r="E229" s="30" t="s">
        <v>1399</v>
      </c>
      <c r="F229" s="20" t="s">
        <v>1181</v>
      </c>
      <c r="G229" s="20" t="s">
        <v>1439</v>
      </c>
      <c r="H229" s="30">
        <v>9.870057877E9</v>
      </c>
      <c r="I229" s="30">
        <v>9.106766345E9</v>
      </c>
      <c r="J229" s="30"/>
      <c r="K229" s="30">
        <v>1600.0</v>
      </c>
      <c r="L229" s="30" t="s">
        <v>1009</v>
      </c>
      <c r="M229" s="30" t="s">
        <v>484</v>
      </c>
      <c r="N229" s="32" t="s">
        <v>39</v>
      </c>
      <c r="O229" s="30" t="s">
        <v>47</v>
      </c>
      <c r="P229" s="30" t="s">
        <v>41</v>
      </c>
      <c r="Q229" s="20"/>
      <c r="R229" s="30" t="s">
        <v>141</v>
      </c>
      <c r="S229" s="30" t="s">
        <v>1042</v>
      </c>
      <c r="T229" s="35"/>
      <c r="U229" s="35"/>
      <c r="V229" s="38">
        <v>19735.0</v>
      </c>
      <c r="W229" s="38">
        <v>21182.0</v>
      </c>
      <c r="X229" s="63">
        <v>13800.0</v>
      </c>
      <c r="Y229" s="63">
        <v>13800.0</v>
      </c>
      <c r="Z229" s="16">
        <f t="shared" si="1"/>
        <v>7382</v>
      </c>
      <c r="AA229" s="17">
        <f t="shared" si="2"/>
        <v>0</v>
      </c>
      <c r="AB229" s="30" t="s">
        <v>42</v>
      </c>
      <c r="AC229" s="20" t="s">
        <v>1440</v>
      </c>
      <c r="AD229" s="23"/>
      <c r="AE229" s="23"/>
    </row>
    <row r="230">
      <c r="A230" s="19">
        <v>228.0</v>
      </c>
      <c r="B230" s="30" t="s">
        <v>1441</v>
      </c>
      <c r="C230" s="20" t="s">
        <v>1442</v>
      </c>
      <c r="D230" s="20" t="s">
        <v>1443</v>
      </c>
      <c r="E230" s="30" t="s">
        <v>98</v>
      </c>
      <c r="F230" s="20" t="s">
        <v>234</v>
      </c>
      <c r="G230" s="20" t="s">
        <v>1444</v>
      </c>
      <c r="H230" s="30">
        <v>9.87984388E9</v>
      </c>
      <c r="I230" s="30">
        <v>7.228934347E9</v>
      </c>
      <c r="J230" s="30"/>
      <c r="K230" s="30">
        <v>25000.0</v>
      </c>
      <c r="L230" s="30" t="s">
        <v>1445</v>
      </c>
      <c r="M230" s="30" t="s">
        <v>188</v>
      </c>
      <c r="N230" s="32" t="s">
        <v>39</v>
      </c>
      <c r="O230" s="30" t="s">
        <v>76</v>
      </c>
      <c r="P230" s="30" t="s">
        <v>41</v>
      </c>
      <c r="Q230" s="20"/>
      <c r="R230" s="33">
        <v>46059.0</v>
      </c>
      <c r="S230" s="30" t="s">
        <v>574</v>
      </c>
      <c r="T230" s="34">
        <v>46306.0</v>
      </c>
      <c r="U230" s="35"/>
      <c r="V230" s="38">
        <v>45819.0</v>
      </c>
      <c r="W230" s="38">
        <v>48353.0</v>
      </c>
      <c r="X230" s="30">
        <v>41000.0</v>
      </c>
      <c r="Y230" s="30">
        <v>41000.0</v>
      </c>
      <c r="Z230" s="16">
        <f t="shared" si="1"/>
        <v>7353</v>
      </c>
      <c r="AA230" s="17">
        <f t="shared" si="2"/>
        <v>0</v>
      </c>
      <c r="AB230" s="30" t="s">
        <v>42</v>
      </c>
      <c r="AC230" s="20" t="s">
        <v>1446</v>
      </c>
      <c r="AD230" s="23"/>
      <c r="AE230" s="23"/>
    </row>
    <row r="231">
      <c r="A231" s="19">
        <v>229.0</v>
      </c>
      <c r="B231" s="30" t="s">
        <v>1441</v>
      </c>
      <c r="C231" s="57" t="s">
        <v>1447</v>
      </c>
      <c r="D231" s="39">
        <v>1.00003857E9</v>
      </c>
      <c r="E231" s="30" t="s">
        <v>63</v>
      </c>
      <c r="F231" s="20" t="s">
        <v>1448</v>
      </c>
      <c r="G231" s="20" t="s">
        <v>1449</v>
      </c>
      <c r="H231" s="30">
        <v>9.033333157E9</v>
      </c>
      <c r="I231" s="30">
        <v>9.974999419E9</v>
      </c>
      <c r="J231" s="30"/>
      <c r="K231" s="30">
        <v>1197.0</v>
      </c>
      <c r="L231" s="30" t="s">
        <v>1009</v>
      </c>
      <c r="M231" s="30" t="s">
        <v>260</v>
      </c>
      <c r="N231" s="32" t="s">
        <v>66</v>
      </c>
      <c r="O231" s="30" t="s">
        <v>76</v>
      </c>
      <c r="P231" s="30" t="s">
        <v>669</v>
      </c>
      <c r="Q231" s="20"/>
      <c r="R231" s="34">
        <v>51085.0</v>
      </c>
      <c r="S231" s="34">
        <v>45972.0</v>
      </c>
      <c r="T231" s="35"/>
      <c r="U231" s="35"/>
      <c r="V231" s="30">
        <v>11492.29</v>
      </c>
      <c r="W231" s="38">
        <v>13560.9</v>
      </c>
      <c r="X231" s="30">
        <v>13561.0</v>
      </c>
      <c r="Y231" s="30">
        <v>13561.0</v>
      </c>
      <c r="Z231" s="16">
        <f t="shared" si="1"/>
        <v>-0.1</v>
      </c>
      <c r="AA231" s="17">
        <f t="shared" si="2"/>
        <v>0</v>
      </c>
      <c r="AB231" s="30" t="s">
        <v>42</v>
      </c>
      <c r="AC231" s="20" t="s">
        <v>1450</v>
      </c>
      <c r="AD231" s="23"/>
      <c r="AE231" s="23"/>
    </row>
    <row r="232">
      <c r="A232" s="19">
        <v>230.0</v>
      </c>
      <c r="B232" s="30" t="s">
        <v>1451</v>
      </c>
      <c r="C232" s="57" t="s">
        <v>1452</v>
      </c>
      <c r="D232" s="20" t="s">
        <v>1453</v>
      </c>
      <c r="E232" s="30" t="s">
        <v>1423</v>
      </c>
      <c r="F232" s="20" t="s">
        <v>1454</v>
      </c>
      <c r="G232" s="20" t="s">
        <v>321</v>
      </c>
      <c r="H232" s="30">
        <v>9.033333157E9</v>
      </c>
      <c r="I232" s="30">
        <v>9.974999419E9</v>
      </c>
      <c r="J232" s="30"/>
      <c r="K232" s="30">
        <v>11990.0</v>
      </c>
      <c r="L232" s="30" t="s">
        <v>1234</v>
      </c>
      <c r="M232" s="30" t="s">
        <v>228</v>
      </c>
      <c r="N232" s="32" t="s">
        <v>39</v>
      </c>
      <c r="O232" s="30" t="s">
        <v>47</v>
      </c>
      <c r="P232" s="30" t="s">
        <v>41</v>
      </c>
      <c r="Q232" s="20"/>
      <c r="R232" s="30" t="s">
        <v>1455</v>
      </c>
      <c r="S232" s="30" t="s">
        <v>1455</v>
      </c>
      <c r="T232" s="33">
        <v>47161.0</v>
      </c>
      <c r="U232" s="35"/>
      <c r="V232" s="38">
        <v>29237.0</v>
      </c>
      <c r="W232" s="38">
        <v>30965.0</v>
      </c>
      <c r="X232" s="42">
        <v>28207.0</v>
      </c>
      <c r="Y232" s="42">
        <v>28000.0</v>
      </c>
      <c r="Z232" s="16">
        <f t="shared" si="1"/>
        <v>2965</v>
      </c>
      <c r="AA232" s="17">
        <f t="shared" si="2"/>
        <v>-207</v>
      </c>
      <c r="AB232" s="30" t="s">
        <v>42</v>
      </c>
      <c r="AC232" s="20" t="s">
        <v>1456</v>
      </c>
      <c r="AD232" s="23"/>
      <c r="AE232" s="23"/>
    </row>
    <row r="233">
      <c r="A233" s="19">
        <v>231.0</v>
      </c>
      <c r="B233" s="30" t="s">
        <v>1451</v>
      </c>
      <c r="C233" s="57" t="s">
        <v>1457</v>
      </c>
      <c r="D233" s="20" t="s">
        <v>1458</v>
      </c>
      <c r="E233" s="30" t="s">
        <v>63</v>
      </c>
      <c r="F233" s="20" t="s">
        <v>1459</v>
      </c>
      <c r="G233" s="20" t="s">
        <v>1460</v>
      </c>
      <c r="H233" s="30" t="s">
        <v>1461</v>
      </c>
      <c r="I233" s="30">
        <v>7.265044294E9</v>
      </c>
      <c r="J233" s="30"/>
      <c r="K233" s="30">
        <v>1598.0</v>
      </c>
      <c r="L233" s="30" t="s">
        <v>1234</v>
      </c>
      <c r="M233" s="30" t="s">
        <v>126</v>
      </c>
      <c r="N233" s="32" t="s">
        <v>75</v>
      </c>
      <c r="O233" s="30" t="s">
        <v>246</v>
      </c>
      <c r="P233" s="30" t="s">
        <v>67</v>
      </c>
      <c r="Q233" s="20"/>
      <c r="R233" s="30" t="s">
        <v>1462</v>
      </c>
      <c r="S233" s="33">
        <v>46082.0</v>
      </c>
      <c r="T233" s="35"/>
      <c r="U233" s="35"/>
      <c r="V233" s="30">
        <v>7897.0</v>
      </c>
      <c r="W233" s="30">
        <v>9318.0</v>
      </c>
      <c r="X233" s="30">
        <v>9300.0</v>
      </c>
      <c r="Y233" s="30">
        <v>9000.0</v>
      </c>
      <c r="Z233" s="26">
        <f t="shared" si="1"/>
        <v>318</v>
      </c>
      <c r="AA233" s="17">
        <f t="shared" si="2"/>
        <v>-300</v>
      </c>
      <c r="AB233" s="30" t="s">
        <v>42</v>
      </c>
      <c r="AC233" s="20" t="s">
        <v>1463</v>
      </c>
      <c r="AD233" s="23"/>
      <c r="AE233" s="23"/>
    </row>
    <row r="234">
      <c r="A234" s="19">
        <v>232.0</v>
      </c>
      <c r="B234" s="30" t="s">
        <v>1451</v>
      </c>
      <c r="C234" s="57" t="s">
        <v>1464</v>
      </c>
      <c r="D234" s="20" t="s">
        <v>1465</v>
      </c>
      <c r="E234" s="30" t="s">
        <v>34</v>
      </c>
      <c r="F234" s="20" t="s">
        <v>971</v>
      </c>
      <c r="G234" s="20" t="s">
        <v>1466</v>
      </c>
      <c r="H234" s="30">
        <v>9.099745592E9</v>
      </c>
      <c r="I234" s="30">
        <v>8.238297591E9</v>
      </c>
      <c r="J234" s="30"/>
      <c r="K234" s="30">
        <v>818.0</v>
      </c>
      <c r="L234" s="31">
        <v>46184.0</v>
      </c>
      <c r="M234" s="30" t="s">
        <v>180</v>
      </c>
      <c r="N234" s="32" t="s">
        <v>39</v>
      </c>
      <c r="O234" s="30" t="s">
        <v>181</v>
      </c>
      <c r="P234" s="30" t="s">
        <v>57</v>
      </c>
      <c r="Q234" s="20"/>
      <c r="R234" s="33">
        <v>46214.0</v>
      </c>
      <c r="S234" s="33">
        <v>45849.0</v>
      </c>
      <c r="T234" s="30" t="s">
        <v>1467</v>
      </c>
      <c r="U234" s="35"/>
      <c r="V234" s="30">
        <v>7278.0</v>
      </c>
      <c r="W234" s="30">
        <v>8588.0</v>
      </c>
      <c r="X234" s="30">
        <v>7500.0</v>
      </c>
      <c r="Y234" s="30">
        <v>7500.0</v>
      </c>
      <c r="Z234" s="26">
        <f t="shared" si="1"/>
        <v>1088</v>
      </c>
      <c r="AA234" s="17">
        <f t="shared" si="2"/>
        <v>0</v>
      </c>
      <c r="AB234" s="30" t="s">
        <v>42</v>
      </c>
      <c r="AC234" s="20" t="s">
        <v>1468</v>
      </c>
      <c r="AD234" s="23"/>
      <c r="AE234" s="23"/>
    </row>
    <row r="235" ht="21.75" customHeight="1">
      <c r="A235" s="19">
        <v>233.0</v>
      </c>
      <c r="B235" s="30" t="s">
        <v>1451</v>
      </c>
      <c r="C235" s="57" t="s">
        <v>1469</v>
      </c>
      <c r="D235" s="20" t="s">
        <v>1470</v>
      </c>
      <c r="E235" s="30" t="s">
        <v>34</v>
      </c>
      <c r="F235" s="20" t="s">
        <v>1471</v>
      </c>
      <c r="G235" s="20" t="s">
        <v>1472</v>
      </c>
      <c r="H235" s="30">
        <v>6.351876437E9</v>
      </c>
      <c r="I235" s="30">
        <v>9.510512282E9</v>
      </c>
      <c r="J235" s="30"/>
      <c r="K235" s="30">
        <v>818.0</v>
      </c>
      <c r="L235" s="30" t="s">
        <v>1234</v>
      </c>
      <c r="M235" s="30" t="s">
        <v>180</v>
      </c>
      <c r="N235" s="32" t="s">
        <v>39</v>
      </c>
      <c r="O235" s="30" t="s">
        <v>47</v>
      </c>
      <c r="P235" s="30" t="s">
        <v>57</v>
      </c>
      <c r="Q235" s="20"/>
      <c r="R235" s="30" t="s">
        <v>991</v>
      </c>
      <c r="S235" s="33">
        <v>46143.0</v>
      </c>
      <c r="T235" s="33">
        <v>46915.0</v>
      </c>
      <c r="U235" s="35"/>
      <c r="V235" s="30">
        <v>6328.0</v>
      </c>
      <c r="W235" s="30">
        <v>7468.0</v>
      </c>
      <c r="X235" s="30">
        <v>6500.0</v>
      </c>
      <c r="Y235" s="30">
        <v>6500.0</v>
      </c>
      <c r="Z235" s="26">
        <f t="shared" si="1"/>
        <v>968</v>
      </c>
      <c r="AA235" s="17">
        <f t="shared" si="2"/>
        <v>0</v>
      </c>
      <c r="AB235" s="30" t="s">
        <v>42</v>
      </c>
      <c r="AC235" s="20" t="s">
        <v>1473</v>
      </c>
      <c r="AD235" s="23"/>
      <c r="AE235" s="23"/>
    </row>
    <row r="236">
      <c r="A236" s="19">
        <v>234.0</v>
      </c>
      <c r="B236" s="30" t="s">
        <v>1451</v>
      </c>
      <c r="C236" s="57" t="s">
        <v>1474</v>
      </c>
      <c r="D236" s="20" t="s">
        <v>1475</v>
      </c>
      <c r="E236" s="30" t="s">
        <v>34</v>
      </c>
      <c r="F236" s="20" t="s">
        <v>971</v>
      </c>
      <c r="G236" s="20" t="s">
        <v>1476</v>
      </c>
      <c r="H236" s="30">
        <v>9.10401693E9</v>
      </c>
      <c r="I236" s="30">
        <v>8.780101424E9</v>
      </c>
      <c r="J236" s="30"/>
      <c r="K236" s="30">
        <v>806.0</v>
      </c>
      <c r="L236" s="30" t="s">
        <v>1477</v>
      </c>
      <c r="M236" s="30" t="s">
        <v>180</v>
      </c>
      <c r="N236" s="32" t="s">
        <v>39</v>
      </c>
      <c r="O236" s="30" t="s">
        <v>47</v>
      </c>
      <c r="P236" s="30" t="s">
        <v>57</v>
      </c>
      <c r="Q236" s="20"/>
      <c r="R236" s="30" t="s">
        <v>1478</v>
      </c>
      <c r="S236" s="30" t="s">
        <v>727</v>
      </c>
      <c r="T236" s="30" t="s">
        <v>1479</v>
      </c>
      <c r="U236" s="35"/>
      <c r="V236" s="30">
        <v>6245.0</v>
      </c>
      <c r="W236" s="30">
        <v>7369.0</v>
      </c>
      <c r="X236" s="30">
        <v>6500.0</v>
      </c>
      <c r="Y236" s="30">
        <v>6500.0</v>
      </c>
      <c r="Z236" s="26">
        <f t="shared" si="1"/>
        <v>869</v>
      </c>
      <c r="AA236" s="17">
        <f t="shared" si="2"/>
        <v>0</v>
      </c>
      <c r="AB236" s="30" t="s">
        <v>42</v>
      </c>
      <c r="AC236" s="20" t="s">
        <v>1480</v>
      </c>
      <c r="AD236" s="23"/>
      <c r="AE236" s="23"/>
    </row>
    <row r="237">
      <c r="A237" s="19">
        <v>235.0</v>
      </c>
      <c r="B237" s="30" t="s">
        <v>1451</v>
      </c>
      <c r="C237" s="57" t="s">
        <v>1481</v>
      </c>
      <c r="D237" s="20" t="s">
        <v>1482</v>
      </c>
      <c r="E237" s="30" t="s">
        <v>34</v>
      </c>
      <c r="F237" s="20" t="s">
        <v>971</v>
      </c>
      <c r="G237" s="20" t="s">
        <v>1483</v>
      </c>
      <c r="H237" s="30">
        <v>7.433814867E9</v>
      </c>
      <c r="I237" s="30">
        <v>9.316095164E9</v>
      </c>
      <c r="J237" s="30"/>
      <c r="K237" s="30">
        <v>818.0</v>
      </c>
      <c r="L237" s="30" t="s">
        <v>1009</v>
      </c>
      <c r="M237" s="30" t="s">
        <v>180</v>
      </c>
      <c r="N237" s="32" t="s">
        <v>39</v>
      </c>
      <c r="O237" s="30" t="s">
        <v>47</v>
      </c>
      <c r="P237" s="30" t="s">
        <v>57</v>
      </c>
      <c r="Q237" s="20"/>
      <c r="R237" s="30" t="s">
        <v>726</v>
      </c>
      <c r="S237" s="30" t="s">
        <v>1484</v>
      </c>
      <c r="T237" s="33">
        <v>46915.0</v>
      </c>
      <c r="U237" s="35"/>
      <c r="V237" s="30">
        <v>6328.0</v>
      </c>
      <c r="W237" s="30">
        <v>7468.0</v>
      </c>
      <c r="X237" s="30">
        <v>6500.0</v>
      </c>
      <c r="Y237" s="30">
        <v>6500.0</v>
      </c>
      <c r="Z237" s="26">
        <f t="shared" si="1"/>
        <v>968</v>
      </c>
      <c r="AA237" s="17">
        <f t="shared" si="2"/>
        <v>0</v>
      </c>
      <c r="AB237" s="30" t="s">
        <v>42</v>
      </c>
      <c r="AC237" s="20" t="s">
        <v>1485</v>
      </c>
      <c r="AD237" s="23"/>
      <c r="AE237" s="23"/>
    </row>
    <row r="238">
      <c r="A238" s="19">
        <v>236.0</v>
      </c>
      <c r="B238" s="30" t="s">
        <v>1451</v>
      </c>
      <c r="C238" s="57" t="s">
        <v>1486</v>
      </c>
      <c r="D238" s="20" t="s">
        <v>1487</v>
      </c>
      <c r="E238" s="30" t="s">
        <v>63</v>
      </c>
      <c r="F238" s="20" t="s">
        <v>1488</v>
      </c>
      <c r="G238" s="20" t="s">
        <v>1489</v>
      </c>
      <c r="H238" s="30">
        <v>9.099259999E9</v>
      </c>
      <c r="I238" s="30">
        <v>9.167714704E9</v>
      </c>
      <c r="J238" s="30"/>
      <c r="K238" s="30">
        <v>1396.0</v>
      </c>
      <c r="L238" s="30" t="s">
        <v>1234</v>
      </c>
      <c r="M238" s="30" t="s">
        <v>1490</v>
      </c>
      <c r="N238" s="64" t="s">
        <v>39</v>
      </c>
      <c r="O238" s="30" t="s">
        <v>47</v>
      </c>
      <c r="P238" s="30" t="s">
        <v>669</v>
      </c>
      <c r="Q238" s="20"/>
      <c r="R238" s="33">
        <v>48010.0</v>
      </c>
      <c r="S238" s="30" t="s">
        <v>642</v>
      </c>
      <c r="T238" s="35"/>
      <c r="U238" s="35"/>
      <c r="V238" s="30">
        <v>4182.92</v>
      </c>
      <c r="W238" s="30">
        <v>4935.85</v>
      </c>
      <c r="X238" s="42">
        <v>5936.0</v>
      </c>
      <c r="Y238" s="30">
        <v>5900.0</v>
      </c>
      <c r="Z238" s="26">
        <f t="shared" si="1"/>
        <v>-964.15</v>
      </c>
      <c r="AA238" s="17">
        <f t="shared" si="2"/>
        <v>-36</v>
      </c>
      <c r="AB238" s="30" t="s">
        <v>42</v>
      </c>
      <c r="AC238" s="20" t="s">
        <v>1491</v>
      </c>
      <c r="AD238" s="23"/>
      <c r="AE238" s="23"/>
    </row>
    <row r="239">
      <c r="A239" s="19">
        <v>237.0</v>
      </c>
      <c r="B239" s="30" t="s">
        <v>1451</v>
      </c>
      <c r="C239" s="57" t="s">
        <v>1492</v>
      </c>
      <c r="D239" s="20" t="s">
        <v>1493</v>
      </c>
      <c r="E239" s="30" t="s">
        <v>82</v>
      </c>
      <c r="F239" s="20" t="s">
        <v>1494</v>
      </c>
      <c r="G239" s="20" t="s">
        <v>1495</v>
      </c>
      <c r="H239" s="30">
        <v>9.824207902E9</v>
      </c>
      <c r="I239" s="30">
        <v>9.033333157E9</v>
      </c>
      <c r="J239" s="30"/>
      <c r="K239" s="30">
        <v>349.0</v>
      </c>
      <c r="L239" s="30" t="s">
        <v>1234</v>
      </c>
      <c r="M239" s="30" t="s">
        <v>1490</v>
      </c>
      <c r="N239" s="32" t="s">
        <v>75</v>
      </c>
      <c r="O239" s="30" t="s">
        <v>76</v>
      </c>
      <c r="P239" s="30" t="s">
        <v>67</v>
      </c>
      <c r="Q239" s="20"/>
      <c r="R239" s="30" t="s">
        <v>1496</v>
      </c>
      <c r="S239" s="35"/>
      <c r="T239" s="35"/>
      <c r="U239" s="35"/>
      <c r="V239" s="30">
        <v>1366.0</v>
      </c>
      <c r="W239" s="30">
        <v>1611.88</v>
      </c>
      <c r="X239" s="30">
        <v>1600.0</v>
      </c>
      <c r="Y239" s="30">
        <v>1600.0</v>
      </c>
      <c r="Z239" s="26">
        <f t="shared" si="1"/>
        <v>11.88</v>
      </c>
      <c r="AA239" s="17">
        <f t="shared" si="2"/>
        <v>0</v>
      </c>
      <c r="AB239" s="30" t="s">
        <v>42</v>
      </c>
      <c r="AC239" s="20" t="s">
        <v>1497</v>
      </c>
      <c r="AD239" s="23"/>
      <c r="AE239" s="23"/>
    </row>
    <row r="240">
      <c r="A240" s="19">
        <v>238.0</v>
      </c>
      <c r="B240" s="30" t="s">
        <v>1451</v>
      </c>
      <c r="C240" s="57" t="s">
        <v>1498</v>
      </c>
      <c r="D240" s="20" t="s">
        <v>1499</v>
      </c>
      <c r="E240" s="30" t="s">
        <v>1399</v>
      </c>
      <c r="F240" s="20" t="s">
        <v>1500</v>
      </c>
      <c r="G240" s="20" t="s">
        <v>1501</v>
      </c>
      <c r="H240" s="30">
        <v>9.879683724E9</v>
      </c>
      <c r="I240" s="30">
        <v>9.825213422E9</v>
      </c>
      <c r="J240" s="30"/>
      <c r="K240" s="30">
        <v>2450.0</v>
      </c>
      <c r="L240" s="30" t="s">
        <v>1477</v>
      </c>
      <c r="M240" s="30" t="s">
        <v>634</v>
      </c>
      <c r="N240" s="32" t="s">
        <v>39</v>
      </c>
      <c r="O240" s="30" t="s">
        <v>165</v>
      </c>
      <c r="P240" s="30" t="s">
        <v>57</v>
      </c>
      <c r="Q240" s="20"/>
      <c r="R240" s="33">
        <v>45849.0</v>
      </c>
      <c r="S240" s="33">
        <v>45849.0</v>
      </c>
      <c r="T240" s="35"/>
      <c r="U240" s="35"/>
      <c r="V240" s="38">
        <v>16982.0</v>
      </c>
      <c r="W240" s="38">
        <v>17952.0</v>
      </c>
      <c r="X240" s="30">
        <v>12594.0</v>
      </c>
      <c r="Y240" s="30">
        <v>12500.0</v>
      </c>
      <c r="Z240" s="16">
        <f t="shared" si="1"/>
        <v>5452</v>
      </c>
      <c r="AA240" s="17">
        <f t="shared" si="2"/>
        <v>-94</v>
      </c>
      <c r="AB240" s="30" t="s">
        <v>42</v>
      </c>
      <c r="AC240" s="20" t="s">
        <v>1502</v>
      </c>
      <c r="AD240" s="23"/>
      <c r="AE240" s="23"/>
    </row>
    <row r="241">
      <c r="A241" s="19">
        <v>239.0</v>
      </c>
      <c r="B241" s="30" t="s">
        <v>1451</v>
      </c>
      <c r="C241" s="57" t="s">
        <v>1503</v>
      </c>
      <c r="D241" s="20" t="s">
        <v>1504</v>
      </c>
      <c r="E241" s="30" t="s">
        <v>82</v>
      </c>
      <c r="F241" s="20" t="s">
        <v>1505</v>
      </c>
      <c r="G241" s="20" t="s">
        <v>1506</v>
      </c>
      <c r="H241" s="30">
        <v>9.099679817E9</v>
      </c>
      <c r="I241" s="30">
        <v>9.879437226E9</v>
      </c>
      <c r="J241" s="30"/>
      <c r="K241" s="30">
        <v>110.0</v>
      </c>
      <c r="L241" s="30" t="s">
        <v>1507</v>
      </c>
      <c r="M241" s="30" t="s">
        <v>1490</v>
      </c>
      <c r="N241" s="32" t="s">
        <v>75</v>
      </c>
      <c r="O241" s="30" t="s">
        <v>76</v>
      </c>
      <c r="P241" s="30" t="s">
        <v>67</v>
      </c>
      <c r="Q241" s="20"/>
      <c r="R241" s="33">
        <v>47605.0</v>
      </c>
      <c r="S241" s="33">
        <v>46360.0</v>
      </c>
      <c r="T241" s="35"/>
      <c r="U241" s="35"/>
      <c r="V241" s="30">
        <v>714.0</v>
      </c>
      <c r="W241" s="30">
        <v>842.52</v>
      </c>
      <c r="X241" s="30">
        <v>850.0</v>
      </c>
      <c r="Y241" s="30">
        <v>850.0</v>
      </c>
      <c r="Z241" s="26">
        <f t="shared" si="1"/>
        <v>-7.48</v>
      </c>
      <c r="AA241" s="17">
        <f t="shared" si="2"/>
        <v>0</v>
      </c>
      <c r="AB241" s="30" t="s">
        <v>42</v>
      </c>
      <c r="AC241" s="20" t="s">
        <v>1508</v>
      </c>
      <c r="AD241" s="23"/>
      <c r="AE241" s="23"/>
    </row>
    <row r="242">
      <c r="A242" s="19">
        <v>240.0</v>
      </c>
      <c r="B242" s="30" t="s">
        <v>1451</v>
      </c>
      <c r="C242" s="57" t="s">
        <v>1509</v>
      </c>
      <c r="D242" s="20" t="s">
        <v>1510</v>
      </c>
      <c r="E242" s="30" t="s">
        <v>34</v>
      </c>
      <c r="F242" s="20" t="s">
        <v>971</v>
      </c>
      <c r="G242" s="20" t="s">
        <v>1511</v>
      </c>
      <c r="H242" s="30">
        <v>9.375962737E9</v>
      </c>
      <c r="I242" s="30">
        <v>9.377862737E9</v>
      </c>
      <c r="J242" s="30"/>
      <c r="K242" s="30">
        <v>818.0</v>
      </c>
      <c r="L242" s="30" t="s">
        <v>1234</v>
      </c>
      <c r="M242" s="30" t="s">
        <v>180</v>
      </c>
      <c r="N242" s="32" t="s">
        <v>39</v>
      </c>
      <c r="O242" s="30" t="s">
        <v>47</v>
      </c>
      <c r="P242" s="30" t="s">
        <v>57</v>
      </c>
      <c r="Q242" s="20"/>
      <c r="R242" s="30" t="s">
        <v>800</v>
      </c>
      <c r="S242" s="33">
        <v>46178.0</v>
      </c>
      <c r="T242" s="33">
        <v>46915.0</v>
      </c>
      <c r="U242" s="35"/>
      <c r="V242" s="30">
        <v>6384.0</v>
      </c>
      <c r="W242" s="30">
        <v>7534.0</v>
      </c>
      <c r="X242" s="30">
        <v>6800.0</v>
      </c>
      <c r="Y242" s="30">
        <v>6800.0</v>
      </c>
      <c r="Z242" s="26">
        <f t="shared" si="1"/>
        <v>734</v>
      </c>
      <c r="AA242" s="17">
        <f t="shared" si="2"/>
        <v>0</v>
      </c>
      <c r="AB242" s="30" t="s">
        <v>42</v>
      </c>
      <c r="AC242" s="20" t="s">
        <v>1512</v>
      </c>
      <c r="AD242" s="23"/>
      <c r="AE242" s="23"/>
    </row>
    <row r="243">
      <c r="A243" s="19">
        <v>241.0</v>
      </c>
      <c r="B243" s="30" t="s">
        <v>1513</v>
      </c>
      <c r="C243" s="57" t="s">
        <v>1514</v>
      </c>
      <c r="D243" s="20" t="s">
        <v>1515</v>
      </c>
      <c r="E243" s="30" t="s">
        <v>1399</v>
      </c>
      <c r="F243" s="20" t="s">
        <v>1516</v>
      </c>
      <c r="G243" s="20" t="s">
        <v>1517</v>
      </c>
      <c r="H243" s="30">
        <v>9.879985E9</v>
      </c>
      <c r="I243" s="30">
        <v>9.712485E9</v>
      </c>
      <c r="J243" s="30"/>
      <c r="K243" s="30">
        <v>3480.0</v>
      </c>
      <c r="L243" s="30" t="s">
        <v>1477</v>
      </c>
      <c r="M243" s="30" t="s">
        <v>228</v>
      </c>
      <c r="N243" s="32" t="s">
        <v>39</v>
      </c>
      <c r="O243" s="30" t="s">
        <v>213</v>
      </c>
      <c r="P243" s="30" t="s">
        <v>41</v>
      </c>
      <c r="Q243" s="20"/>
      <c r="R243" s="30" t="s">
        <v>1518</v>
      </c>
      <c r="S243" s="30" t="s">
        <v>991</v>
      </c>
      <c r="T243" s="30" t="s">
        <v>485</v>
      </c>
      <c r="U243" s="35"/>
      <c r="V243" s="38">
        <v>21307.0</v>
      </c>
      <c r="W243" s="38">
        <v>23056.0</v>
      </c>
      <c r="X243" s="30">
        <v>16236.0</v>
      </c>
      <c r="Y243" s="30">
        <v>16500.0</v>
      </c>
      <c r="Z243" s="16">
        <f t="shared" si="1"/>
        <v>6556</v>
      </c>
      <c r="AA243" s="17">
        <f t="shared" si="2"/>
        <v>264</v>
      </c>
      <c r="AB243" s="30" t="s">
        <v>42</v>
      </c>
      <c r="AC243" s="20" t="s">
        <v>1519</v>
      </c>
      <c r="AD243" s="23"/>
      <c r="AE243" s="23"/>
    </row>
    <row r="244">
      <c r="A244" s="19">
        <v>242.0</v>
      </c>
      <c r="B244" s="30" t="s">
        <v>1451</v>
      </c>
      <c r="C244" s="57" t="s">
        <v>1520</v>
      </c>
      <c r="D244" s="20" t="s">
        <v>1521</v>
      </c>
      <c r="E244" s="30" t="s">
        <v>98</v>
      </c>
      <c r="F244" s="20" t="s">
        <v>1127</v>
      </c>
      <c r="G244" s="20" t="s">
        <v>1522</v>
      </c>
      <c r="H244" s="30">
        <v>8.735047E9</v>
      </c>
      <c r="I244" s="35"/>
      <c r="J244" s="35"/>
      <c r="K244" s="30">
        <v>28000.0</v>
      </c>
      <c r="L244" s="30" t="s">
        <v>1477</v>
      </c>
      <c r="M244" s="30" t="s">
        <v>1490</v>
      </c>
      <c r="N244" s="32" t="s">
        <v>39</v>
      </c>
      <c r="O244" s="30" t="s">
        <v>47</v>
      </c>
      <c r="P244" s="30" t="s">
        <v>57</v>
      </c>
      <c r="Q244" s="20"/>
      <c r="R244" s="30" t="s">
        <v>1523</v>
      </c>
      <c r="S244" s="33">
        <v>45787.0</v>
      </c>
      <c r="T244" s="30" t="s">
        <v>1524</v>
      </c>
      <c r="U244" s="30" t="s">
        <v>291</v>
      </c>
      <c r="V244" s="30">
        <v>47173.8</v>
      </c>
      <c r="W244" s="30">
        <v>49951.58</v>
      </c>
      <c r="X244" s="30">
        <v>45000.0</v>
      </c>
      <c r="Y244" s="30">
        <v>45000.0</v>
      </c>
      <c r="Z244" s="26">
        <f t="shared" si="1"/>
        <v>4951.58</v>
      </c>
      <c r="AA244" s="17">
        <f t="shared" si="2"/>
        <v>0</v>
      </c>
      <c r="AB244" s="30" t="s">
        <v>42</v>
      </c>
      <c r="AC244" s="20" t="s">
        <v>1525</v>
      </c>
      <c r="AD244" s="23"/>
      <c r="AE244" s="23"/>
    </row>
    <row r="245">
      <c r="A245" s="19">
        <v>243.0</v>
      </c>
      <c r="B245" s="30" t="s">
        <v>1451</v>
      </c>
      <c r="C245" s="57" t="s">
        <v>1526</v>
      </c>
      <c r="D245" s="20" t="s">
        <v>1527</v>
      </c>
      <c r="E245" s="30" t="s">
        <v>98</v>
      </c>
      <c r="F245" s="20" t="s">
        <v>1528</v>
      </c>
      <c r="G245" s="20" t="s">
        <v>1529</v>
      </c>
      <c r="H245" s="30">
        <v>9.979130611E9</v>
      </c>
      <c r="I245" s="30">
        <v>9.712212656E9</v>
      </c>
      <c r="J245" s="30"/>
      <c r="K245" s="30">
        <v>35000.0</v>
      </c>
      <c r="L245" s="30" t="s">
        <v>1234</v>
      </c>
      <c r="M245" s="30" t="s">
        <v>452</v>
      </c>
      <c r="N245" s="32" t="s">
        <v>39</v>
      </c>
      <c r="O245" s="30" t="s">
        <v>165</v>
      </c>
      <c r="P245" s="30" t="s">
        <v>438</v>
      </c>
      <c r="Q245" s="20"/>
      <c r="R245" s="30" t="s">
        <v>1530</v>
      </c>
      <c r="S245" s="30" t="s">
        <v>1518</v>
      </c>
      <c r="T245" s="35"/>
      <c r="U245" s="35"/>
      <c r="V245" s="38">
        <v>80738.0</v>
      </c>
      <c r="W245" s="38">
        <v>89557.34</v>
      </c>
      <c r="X245" s="30">
        <v>82000.0</v>
      </c>
      <c r="Y245" s="30">
        <v>81000.0</v>
      </c>
      <c r="Z245" s="16">
        <f t="shared" si="1"/>
        <v>8557.34</v>
      </c>
      <c r="AA245" s="17">
        <f t="shared" si="2"/>
        <v>-1000</v>
      </c>
      <c r="AB245" s="30" t="s">
        <v>42</v>
      </c>
      <c r="AC245" s="20" t="s">
        <v>1531</v>
      </c>
      <c r="AD245" s="23"/>
      <c r="AE245" s="23"/>
    </row>
    <row r="246">
      <c r="A246" s="19">
        <v>244.0</v>
      </c>
      <c r="B246" s="30" t="s">
        <v>1532</v>
      </c>
      <c r="C246" s="57" t="s">
        <v>1533</v>
      </c>
      <c r="D246" s="20" t="s">
        <v>1534</v>
      </c>
      <c r="E246" s="30" t="s">
        <v>82</v>
      </c>
      <c r="F246" s="20" t="s">
        <v>1535</v>
      </c>
      <c r="G246" s="20" t="s">
        <v>1536</v>
      </c>
      <c r="H246" s="30">
        <v>9.91342331E9</v>
      </c>
      <c r="I246" s="30">
        <v>9.92402423E9</v>
      </c>
      <c r="J246" s="30"/>
      <c r="K246" s="30">
        <v>102.0</v>
      </c>
      <c r="L246" s="30" t="s">
        <v>1537</v>
      </c>
      <c r="M246" s="30" t="s">
        <v>228</v>
      </c>
      <c r="N246" s="32" t="s">
        <v>75</v>
      </c>
      <c r="O246" s="30" t="s">
        <v>76</v>
      </c>
      <c r="P246" s="30" t="s">
        <v>67</v>
      </c>
      <c r="Q246" s="20"/>
      <c r="R246" s="33">
        <v>47160.0</v>
      </c>
      <c r="S246" s="35"/>
      <c r="T246" s="35"/>
      <c r="U246" s="35"/>
      <c r="V246" s="30">
        <v>714.0</v>
      </c>
      <c r="W246" s="30">
        <v>843.0</v>
      </c>
      <c r="X246" s="65">
        <v>850.0</v>
      </c>
      <c r="Y246" s="65">
        <v>850.0</v>
      </c>
      <c r="Z246" s="26">
        <f t="shared" si="1"/>
        <v>-7</v>
      </c>
      <c r="AA246" s="17">
        <f t="shared" si="2"/>
        <v>0</v>
      </c>
      <c r="AB246" s="30" t="s">
        <v>42</v>
      </c>
      <c r="AC246" s="20" t="s">
        <v>1538</v>
      </c>
      <c r="AD246" s="23"/>
      <c r="AE246" s="23"/>
    </row>
    <row r="247">
      <c r="A247" s="19">
        <v>245.0</v>
      </c>
      <c r="B247" s="30" t="s">
        <v>1532</v>
      </c>
      <c r="C247" s="57" t="s">
        <v>1539</v>
      </c>
      <c r="D247" s="20" t="s">
        <v>1540</v>
      </c>
      <c r="E247" s="30" t="s">
        <v>123</v>
      </c>
      <c r="F247" s="20" t="s">
        <v>987</v>
      </c>
      <c r="G247" s="20" t="s">
        <v>1541</v>
      </c>
      <c r="H247" s="30">
        <v>9.87901593E9</v>
      </c>
      <c r="I247" s="35"/>
      <c r="J247" s="35"/>
      <c r="K247" s="30">
        <v>12000.0</v>
      </c>
      <c r="L247" s="30" t="s">
        <v>1542</v>
      </c>
      <c r="M247" s="30" t="s">
        <v>484</v>
      </c>
      <c r="N247" s="32" t="s">
        <v>75</v>
      </c>
      <c r="O247" s="30" t="s">
        <v>76</v>
      </c>
      <c r="P247" s="30" t="s">
        <v>57</v>
      </c>
      <c r="Q247" s="20"/>
      <c r="R247" s="33">
        <v>45515.0</v>
      </c>
      <c r="S247" s="33">
        <v>45180.0</v>
      </c>
      <c r="T247" s="35"/>
      <c r="U247" s="35"/>
      <c r="V247" s="38">
        <v>7317.0</v>
      </c>
      <c r="W247" s="38">
        <v>8634.0</v>
      </c>
      <c r="X247" s="30">
        <v>8600.0</v>
      </c>
      <c r="Y247" s="30">
        <v>7300.0</v>
      </c>
      <c r="Z247" s="16">
        <f t="shared" si="1"/>
        <v>1334</v>
      </c>
      <c r="AA247" s="17">
        <f t="shared" si="2"/>
        <v>-1300</v>
      </c>
      <c r="AB247" s="30" t="s">
        <v>1004</v>
      </c>
      <c r="AC247" s="20" t="s">
        <v>1543</v>
      </c>
      <c r="AD247" s="23"/>
      <c r="AE247" s="23"/>
    </row>
    <row r="248">
      <c r="A248" s="19">
        <v>246.0</v>
      </c>
      <c r="B248" s="30" t="s">
        <v>1532</v>
      </c>
      <c r="C248" s="57" t="s">
        <v>1544</v>
      </c>
      <c r="D248" s="20" t="s">
        <v>1545</v>
      </c>
      <c r="E248" s="30" t="s">
        <v>1399</v>
      </c>
      <c r="F248" s="20" t="s">
        <v>1546</v>
      </c>
      <c r="G248" s="20" t="s">
        <v>1547</v>
      </c>
      <c r="H248" s="30">
        <v>7.984397834E9</v>
      </c>
      <c r="I248" s="30">
        <v>9.909821728E9</v>
      </c>
      <c r="J248" s="30"/>
      <c r="K248" s="30">
        <v>1595.0</v>
      </c>
      <c r="L248" s="30" t="s">
        <v>1234</v>
      </c>
      <c r="M248" s="30" t="s">
        <v>55</v>
      </c>
      <c r="N248" s="32" t="s">
        <v>75</v>
      </c>
      <c r="O248" s="30" t="s">
        <v>140</v>
      </c>
      <c r="P248" s="30" t="s">
        <v>41</v>
      </c>
      <c r="Q248" s="20"/>
      <c r="R248" s="30" t="s">
        <v>381</v>
      </c>
      <c r="S248" s="30" t="s">
        <v>382</v>
      </c>
      <c r="T248" s="35"/>
      <c r="U248" s="35"/>
      <c r="V248" s="38">
        <v>16209.0</v>
      </c>
      <c r="W248" s="38">
        <v>17040.0</v>
      </c>
      <c r="X248" s="30">
        <v>11500.0</v>
      </c>
      <c r="Y248" s="30">
        <v>11000.0</v>
      </c>
      <c r="Z248" s="16">
        <f t="shared" si="1"/>
        <v>6040</v>
      </c>
      <c r="AA248" s="17">
        <f t="shared" si="2"/>
        <v>-500</v>
      </c>
      <c r="AB248" s="30" t="s">
        <v>42</v>
      </c>
      <c r="AC248" s="20" t="s">
        <v>1548</v>
      </c>
      <c r="AD248" s="23"/>
      <c r="AE248" s="23"/>
    </row>
    <row r="249">
      <c r="A249" s="19">
        <v>247.0</v>
      </c>
      <c r="B249" s="30" t="s">
        <v>1532</v>
      </c>
      <c r="C249" s="57" t="s">
        <v>1549</v>
      </c>
      <c r="D249" s="20" t="s">
        <v>1550</v>
      </c>
      <c r="E249" s="30" t="s">
        <v>1399</v>
      </c>
      <c r="F249" s="20" t="s">
        <v>52</v>
      </c>
      <c r="G249" s="20" t="s">
        <v>1551</v>
      </c>
      <c r="H249" s="30" t="s">
        <v>1552</v>
      </c>
      <c r="I249" s="30" t="s">
        <v>1553</v>
      </c>
      <c r="J249" s="30"/>
      <c r="K249" s="30">
        <v>1600.0</v>
      </c>
      <c r="L249" s="30" t="s">
        <v>1477</v>
      </c>
      <c r="M249" s="30" t="s">
        <v>55</v>
      </c>
      <c r="N249" s="32" t="s">
        <v>39</v>
      </c>
      <c r="O249" s="30" t="s">
        <v>76</v>
      </c>
      <c r="P249" s="30" t="s">
        <v>41</v>
      </c>
      <c r="Q249" s="20"/>
      <c r="R249" s="33">
        <v>45605.0</v>
      </c>
      <c r="S249" s="33">
        <v>45239.0</v>
      </c>
      <c r="T249" s="35"/>
      <c r="U249" s="35"/>
      <c r="V249" s="38">
        <v>17866.0</v>
      </c>
      <c r="W249" s="38">
        <v>18996.0</v>
      </c>
      <c r="X249" s="30">
        <v>12897.0</v>
      </c>
      <c r="Y249" s="30">
        <v>13000.0</v>
      </c>
      <c r="Z249" s="16">
        <f t="shared" si="1"/>
        <v>5996</v>
      </c>
      <c r="AA249" s="17">
        <f t="shared" si="2"/>
        <v>103</v>
      </c>
      <c r="AB249" s="30" t="s">
        <v>42</v>
      </c>
      <c r="AC249" s="20" t="s">
        <v>1554</v>
      </c>
      <c r="AD249" s="23"/>
      <c r="AE249" s="23"/>
    </row>
    <row r="250">
      <c r="A250" s="19">
        <v>248.0</v>
      </c>
      <c r="B250" s="30" t="s">
        <v>1532</v>
      </c>
      <c r="C250" s="57" t="s">
        <v>1555</v>
      </c>
      <c r="D250" s="20" t="s">
        <v>1556</v>
      </c>
      <c r="E250" s="30" t="s">
        <v>98</v>
      </c>
      <c r="F250" s="20" t="s">
        <v>1393</v>
      </c>
      <c r="G250" s="20" t="s">
        <v>1557</v>
      </c>
      <c r="H250" s="30">
        <v>9.97892069E9</v>
      </c>
      <c r="I250" s="30">
        <v>9.825404974E9</v>
      </c>
      <c r="J250" s="30"/>
      <c r="K250" s="30">
        <v>42000.0</v>
      </c>
      <c r="L250" s="30" t="s">
        <v>1558</v>
      </c>
      <c r="M250" s="30" t="s">
        <v>55</v>
      </c>
      <c r="N250" s="32" t="s">
        <v>39</v>
      </c>
      <c r="O250" s="30" t="s">
        <v>47</v>
      </c>
      <c r="P250" s="30" t="s">
        <v>41</v>
      </c>
      <c r="Q250" s="20"/>
      <c r="R250" s="30" t="s">
        <v>86</v>
      </c>
      <c r="S250" s="33">
        <v>45819.0</v>
      </c>
      <c r="T250" s="33">
        <v>47523.0</v>
      </c>
      <c r="U250" s="35"/>
      <c r="V250" s="38">
        <v>50129.0</v>
      </c>
      <c r="W250" s="38">
        <v>53401.0</v>
      </c>
      <c r="X250" s="42">
        <v>45865.0</v>
      </c>
      <c r="Y250" s="42">
        <v>43500.0</v>
      </c>
      <c r="Z250" s="16">
        <f t="shared" si="1"/>
        <v>9901</v>
      </c>
      <c r="AA250" s="17">
        <f t="shared" si="2"/>
        <v>-2365</v>
      </c>
      <c r="AB250" s="30" t="s">
        <v>42</v>
      </c>
      <c r="AC250" s="20" t="s">
        <v>1559</v>
      </c>
      <c r="AD250" s="23"/>
      <c r="AE250" s="23"/>
    </row>
    <row r="251">
      <c r="A251" s="19">
        <v>249.0</v>
      </c>
      <c r="B251" s="30" t="s">
        <v>1532</v>
      </c>
      <c r="C251" s="57" t="s">
        <v>1560</v>
      </c>
      <c r="D251" s="20" t="s">
        <v>1561</v>
      </c>
      <c r="E251" s="30" t="s">
        <v>34</v>
      </c>
      <c r="F251" s="20" t="s">
        <v>971</v>
      </c>
      <c r="G251" s="20" t="s">
        <v>1562</v>
      </c>
      <c r="H251" s="30">
        <v>9.638635683E9</v>
      </c>
      <c r="I251" s="30">
        <v>9.316531404E9</v>
      </c>
      <c r="J251" s="30"/>
      <c r="K251" s="30">
        <v>818.0</v>
      </c>
      <c r="L251" s="30" t="s">
        <v>1445</v>
      </c>
      <c r="M251" s="30" t="s">
        <v>180</v>
      </c>
      <c r="N251" s="32" t="s">
        <v>39</v>
      </c>
      <c r="O251" s="30" t="s">
        <v>47</v>
      </c>
      <c r="P251" s="30" t="s">
        <v>57</v>
      </c>
      <c r="Q251" s="20"/>
      <c r="R251" s="30" t="s">
        <v>1563</v>
      </c>
      <c r="S251" s="30" t="s">
        <v>1564</v>
      </c>
      <c r="T251" s="33">
        <v>46915.0</v>
      </c>
      <c r="U251" s="35"/>
      <c r="V251" s="30">
        <v>6328.0</v>
      </c>
      <c r="W251" s="30">
        <v>7468.0</v>
      </c>
      <c r="X251" s="30">
        <v>6500.0</v>
      </c>
      <c r="Y251" s="30">
        <v>6500.0</v>
      </c>
      <c r="Z251" s="26">
        <f t="shared" si="1"/>
        <v>968</v>
      </c>
      <c r="AA251" s="17">
        <f t="shared" si="2"/>
        <v>0</v>
      </c>
      <c r="AB251" s="30" t="s">
        <v>42</v>
      </c>
      <c r="AC251" s="20" t="s">
        <v>1565</v>
      </c>
      <c r="AD251" s="23"/>
      <c r="AE251" s="23"/>
    </row>
    <row r="252">
      <c r="A252" s="19">
        <v>250.0</v>
      </c>
      <c r="B252" s="30" t="s">
        <v>1532</v>
      </c>
      <c r="C252" s="57" t="s">
        <v>1566</v>
      </c>
      <c r="D252" s="20" t="s">
        <v>1567</v>
      </c>
      <c r="E252" s="30" t="s">
        <v>34</v>
      </c>
      <c r="F252" s="20" t="s">
        <v>1568</v>
      </c>
      <c r="G252" s="20" t="s">
        <v>1569</v>
      </c>
      <c r="H252" s="30">
        <v>7.016029467E9</v>
      </c>
      <c r="I252" s="30">
        <v>8.238244022E9</v>
      </c>
      <c r="J252" s="30"/>
      <c r="K252" s="30">
        <v>756.0</v>
      </c>
      <c r="L252" s="30" t="s">
        <v>1477</v>
      </c>
      <c r="M252" s="30" t="s">
        <v>180</v>
      </c>
      <c r="N252" s="32" t="s">
        <v>39</v>
      </c>
      <c r="O252" s="30" t="s">
        <v>76</v>
      </c>
      <c r="P252" s="30" t="s">
        <v>57</v>
      </c>
      <c r="Q252" s="20"/>
      <c r="R252" s="30" t="s">
        <v>1570</v>
      </c>
      <c r="S252" s="30" t="s">
        <v>1571</v>
      </c>
      <c r="T252" s="35"/>
      <c r="U252" s="35"/>
      <c r="V252" s="30">
        <v>6312.0</v>
      </c>
      <c r="W252" s="30">
        <v>7448.0</v>
      </c>
      <c r="X252" s="30">
        <v>6500.0</v>
      </c>
      <c r="Y252" s="30">
        <v>6500.0</v>
      </c>
      <c r="Z252" s="26">
        <f t="shared" si="1"/>
        <v>948</v>
      </c>
      <c r="AA252" s="17">
        <f t="shared" si="2"/>
        <v>0</v>
      </c>
      <c r="AB252" s="30" t="s">
        <v>42</v>
      </c>
      <c r="AC252" s="20" t="s">
        <v>1572</v>
      </c>
      <c r="AD252" s="23"/>
      <c r="AE252" s="23"/>
    </row>
    <row r="253">
      <c r="A253" s="19">
        <v>251.0</v>
      </c>
      <c r="B253" s="30" t="s">
        <v>1532</v>
      </c>
      <c r="C253" s="57" t="s">
        <v>1573</v>
      </c>
      <c r="D253" s="20" t="s">
        <v>1574</v>
      </c>
      <c r="E253" s="30" t="s">
        <v>1399</v>
      </c>
      <c r="F253" s="20" t="s">
        <v>1575</v>
      </c>
      <c r="G253" s="20" t="s">
        <v>1576</v>
      </c>
      <c r="H253" s="30">
        <v>7.096494777E9</v>
      </c>
      <c r="I253" s="30">
        <v>7.779080165E9</v>
      </c>
      <c r="J253" s="30"/>
      <c r="K253" s="30">
        <v>3480.0</v>
      </c>
      <c r="L253" s="30" t="s">
        <v>1234</v>
      </c>
      <c r="M253" s="30" t="s">
        <v>228</v>
      </c>
      <c r="N253" s="32" t="s">
        <v>39</v>
      </c>
      <c r="O253" s="30" t="s">
        <v>47</v>
      </c>
      <c r="P253" s="30" t="s">
        <v>41</v>
      </c>
      <c r="Q253" s="20"/>
      <c r="R253" s="30" t="s">
        <v>1235</v>
      </c>
      <c r="S253" s="30" t="s">
        <v>1383</v>
      </c>
      <c r="T253" s="30" t="s">
        <v>602</v>
      </c>
      <c r="U253" s="35"/>
      <c r="V253" s="38">
        <v>21811.0</v>
      </c>
      <c r="W253" s="38">
        <v>23651.0</v>
      </c>
      <c r="X253" s="42">
        <v>16160.0</v>
      </c>
      <c r="Y253" s="42">
        <v>16000.0</v>
      </c>
      <c r="Z253" s="16">
        <f t="shared" si="1"/>
        <v>7651</v>
      </c>
      <c r="AA253" s="17">
        <f t="shared" si="2"/>
        <v>-160</v>
      </c>
      <c r="AB253" s="30" t="s">
        <v>42</v>
      </c>
      <c r="AC253" s="20" t="s">
        <v>1577</v>
      </c>
      <c r="AD253" s="23"/>
      <c r="AE253" s="23"/>
    </row>
    <row r="254">
      <c r="A254" s="19">
        <v>252.0</v>
      </c>
      <c r="B254" s="30" t="s">
        <v>1532</v>
      </c>
      <c r="C254" s="57" t="s">
        <v>1578</v>
      </c>
      <c r="D254" s="20" t="s">
        <v>1579</v>
      </c>
      <c r="E254" s="30" t="s">
        <v>1399</v>
      </c>
      <c r="F254" s="20" t="s">
        <v>1580</v>
      </c>
      <c r="G254" s="20" t="s">
        <v>1581</v>
      </c>
      <c r="H254" s="30" t="s">
        <v>1582</v>
      </c>
      <c r="I254" s="30" t="s">
        <v>1583</v>
      </c>
      <c r="J254" s="30"/>
      <c r="K254" s="30">
        <v>3460.0</v>
      </c>
      <c r="L254" s="30" t="s">
        <v>1584</v>
      </c>
      <c r="M254" s="30" t="s">
        <v>484</v>
      </c>
      <c r="N254" s="32" t="s">
        <v>39</v>
      </c>
      <c r="O254" s="30" t="s">
        <v>221</v>
      </c>
      <c r="P254" s="30" t="s">
        <v>41</v>
      </c>
      <c r="Q254" s="20"/>
      <c r="R254" s="33">
        <v>46153.0</v>
      </c>
      <c r="S254" s="33">
        <v>45788.0</v>
      </c>
      <c r="T254" s="30" t="s">
        <v>741</v>
      </c>
      <c r="U254" s="35"/>
      <c r="V254" s="38">
        <v>21934.0</v>
      </c>
      <c r="W254" s="38">
        <v>23774.0</v>
      </c>
      <c r="X254" s="30">
        <v>16000.0</v>
      </c>
      <c r="Y254" s="30">
        <v>14500.0</v>
      </c>
      <c r="Z254" s="16">
        <f t="shared" si="1"/>
        <v>9274</v>
      </c>
      <c r="AA254" s="17">
        <f t="shared" si="2"/>
        <v>-1500</v>
      </c>
      <c r="AB254" s="30" t="s">
        <v>42</v>
      </c>
      <c r="AC254" s="20" t="s">
        <v>1585</v>
      </c>
      <c r="AD254" s="23"/>
      <c r="AE254" s="23"/>
    </row>
    <row r="255">
      <c r="A255" s="19">
        <v>253.0</v>
      </c>
      <c r="B255" s="30" t="s">
        <v>1532</v>
      </c>
      <c r="C255" s="57" t="s">
        <v>1586</v>
      </c>
      <c r="D255" s="20" t="s">
        <v>1587</v>
      </c>
      <c r="E255" s="30" t="s">
        <v>98</v>
      </c>
      <c r="F255" s="20" t="s">
        <v>896</v>
      </c>
      <c r="G255" s="20" t="s">
        <v>1588</v>
      </c>
      <c r="H255" s="30">
        <v>9.979703331E9</v>
      </c>
      <c r="I255" s="30">
        <v>9.979633033E9</v>
      </c>
      <c r="J255" s="30"/>
      <c r="K255" s="30">
        <v>25000.0</v>
      </c>
      <c r="L255" s="30" t="s">
        <v>1234</v>
      </c>
      <c r="M255" s="30" t="s">
        <v>237</v>
      </c>
      <c r="N255" s="32" t="s">
        <v>75</v>
      </c>
      <c r="O255" s="30" t="s">
        <v>1589</v>
      </c>
      <c r="P255" s="30" t="s">
        <v>438</v>
      </c>
      <c r="Q255" s="20"/>
      <c r="R255" s="30" t="s">
        <v>1357</v>
      </c>
      <c r="S255" s="30" t="s">
        <v>1590</v>
      </c>
      <c r="T255" s="30" t="s">
        <v>1591</v>
      </c>
      <c r="U255" s="35"/>
      <c r="V255" s="30">
        <v>44381.0</v>
      </c>
      <c r="W255" s="30">
        <v>46657.0</v>
      </c>
      <c r="X255" s="30">
        <v>29800.0</v>
      </c>
      <c r="Y255" s="30">
        <v>29000.0</v>
      </c>
      <c r="Z255" s="26">
        <f t="shared" si="1"/>
        <v>17657</v>
      </c>
      <c r="AA255" s="17">
        <f t="shared" si="2"/>
        <v>-800</v>
      </c>
      <c r="AB255" s="30" t="s">
        <v>42</v>
      </c>
      <c r="AC255" s="20" t="s">
        <v>1592</v>
      </c>
      <c r="AD255" s="23"/>
      <c r="AE255" s="23"/>
    </row>
    <row r="256">
      <c r="A256" s="19">
        <v>254.0</v>
      </c>
      <c r="B256" s="30" t="s">
        <v>1532</v>
      </c>
      <c r="C256" s="57" t="s">
        <v>1593</v>
      </c>
      <c r="D256" s="20" t="s">
        <v>1594</v>
      </c>
      <c r="E256" s="30" t="s">
        <v>98</v>
      </c>
      <c r="F256" s="20" t="s">
        <v>1595</v>
      </c>
      <c r="G256" s="20" t="s">
        <v>1596</v>
      </c>
      <c r="H256" s="30">
        <v>7.984383432E9</v>
      </c>
      <c r="I256" s="30">
        <v>9.909316294E9</v>
      </c>
      <c r="J256" s="30"/>
      <c r="K256" s="30">
        <v>16200.0</v>
      </c>
      <c r="L256" s="30" t="s">
        <v>1234</v>
      </c>
      <c r="M256" s="30" t="s">
        <v>452</v>
      </c>
      <c r="N256" s="32" t="s">
        <v>39</v>
      </c>
      <c r="O256" s="30" t="s">
        <v>76</v>
      </c>
      <c r="P256" s="30" t="s">
        <v>453</v>
      </c>
      <c r="Q256" s="20"/>
      <c r="R256" s="33">
        <v>46117.0</v>
      </c>
      <c r="S256" s="33">
        <v>45758.0</v>
      </c>
      <c r="T256" s="30" t="s">
        <v>1597</v>
      </c>
      <c r="U256" s="35"/>
      <c r="V256" s="38">
        <v>37209.0</v>
      </c>
      <c r="W256" s="38">
        <v>39315.94</v>
      </c>
      <c r="X256" s="30">
        <v>34500.0</v>
      </c>
      <c r="Y256" s="30">
        <v>34500.0</v>
      </c>
      <c r="Z256" s="16">
        <f t="shared" si="1"/>
        <v>4815.94</v>
      </c>
      <c r="AA256" s="17">
        <f t="shared" si="2"/>
        <v>0</v>
      </c>
      <c r="AB256" s="30" t="s">
        <v>42</v>
      </c>
      <c r="AC256" s="20" t="s">
        <v>1598</v>
      </c>
      <c r="AD256" s="23"/>
      <c r="AE256" s="23"/>
    </row>
    <row r="257">
      <c r="A257" s="19">
        <v>255.0</v>
      </c>
      <c r="B257" s="30" t="s">
        <v>1599</v>
      </c>
      <c r="C257" s="57" t="s">
        <v>1600</v>
      </c>
      <c r="D257" s="20" t="s">
        <v>1601</v>
      </c>
      <c r="E257" s="30" t="s">
        <v>1399</v>
      </c>
      <c r="F257" s="20" t="s">
        <v>198</v>
      </c>
      <c r="G257" s="20" t="s">
        <v>1602</v>
      </c>
      <c r="H257" s="30">
        <v>8.160480484E9</v>
      </c>
      <c r="I257" s="30">
        <v>9.998663549E9</v>
      </c>
      <c r="J257" s="30"/>
      <c r="K257" s="30">
        <v>1600.0</v>
      </c>
      <c r="L257" s="30" t="s">
        <v>1234</v>
      </c>
      <c r="M257" s="30" t="s">
        <v>55</v>
      </c>
      <c r="N257" s="32" t="s">
        <v>39</v>
      </c>
      <c r="O257" s="30" t="s">
        <v>213</v>
      </c>
      <c r="P257" s="30" t="s">
        <v>41</v>
      </c>
      <c r="Q257" s="20"/>
      <c r="R257" s="30" t="s">
        <v>1603</v>
      </c>
      <c r="S257" s="30" t="s">
        <v>990</v>
      </c>
      <c r="T257" s="35"/>
      <c r="U257" s="35"/>
      <c r="V257" s="38">
        <v>20789.0</v>
      </c>
      <c r="W257" s="38">
        <v>22445.0</v>
      </c>
      <c r="X257" s="30">
        <v>14000.0</v>
      </c>
      <c r="Y257" s="30">
        <v>14000.0</v>
      </c>
      <c r="Z257" s="16">
        <f t="shared" si="1"/>
        <v>8445</v>
      </c>
      <c r="AA257" s="17">
        <f t="shared" si="2"/>
        <v>0</v>
      </c>
      <c r="AB257" s="30" t="s">
        <v>42</v>
      </c>
      <c r="AC257" s="20" t="s">
        <v>1604</v>
      </c>
      <c r="AD257" s="23"/>
      <c r="AE257" s="23"/>
    </row>
    <row r="258">
      <c r="A258" s="19">
        <v>256.0</v>
      </c>
      <c r="B258" s="66" t="s">
        <v>1532</v>
      </c>
      <c r="C258" s="57" t="s">
        <v>1605</v>
      </c>
      <c r="D258" s="57" t="s">
        <v>1606</v>
      </c>
      <c r="E258" s="66" t="s">
        <v>34</v>
      </c>
      <c r="F258" s="57" t="s">
        <v>971</v>
      </c>
      <c r="G258" s="57" t="s">
        <v>1607</v>
      </c>
      <c r="H258" s="66">
        <v>9.227830001E9</v>
      </c>
      <c r="I258" s="66">
        <v>9.725864111E9</v>
      </c>
      <c r="J258" s="66"/>
      <c r="K258" s="66">
        <v>806.0</v>
      </c>
      <c r="L258" s="66" t="s">
        <v>1477</v>
      </c>
      <c r="M258" s="66" t="s">
        <v>180</v>
      </c>
      <c r="N258" s="67" t="s">
        <v>39</v>
      </c>
      <c r="O258" s="66" t="s">
        <v>76</v>
      </c>
      <c r="P258" s="66" t="s">
        <v>57</v>
      </c>
      <c r="Q258" s="57"/>
      <c r="R258" s="68">
        <v>45632.0</v>
      </c>
      <c r="S258" s="68">
        <v>45266.0</v>
      </c>
      <c r="T258" s="66" t="s">
        <v>1608</v>
      </c>
      <c r="U258" s="69"/>
      <c r="V258" s="66">
        <v>6339.0</v>
      </c>
      <c r="W258" s="66">
        <v>7481.0</v>
      </c>
      <c r="X258" s="66">
        <v>6500.0</v>
      </c>
      <c r="Y258" s="66">
        <v>6500.0</v>
      </c>
      <c r="Z258" s="26">
        <f t="shared" si="1"/>
        <v>981</v>
      </c>
      <c r="AA258" s="17">
        <f t="shared" si="2"/>
        <v>0</v>
      </c>
      <c r="AB258" s="66" t="s">
        <v>42</v>
      </c>
      <c r="AC258" s="57" t="s">
        <v>1609</v>
      </c>
      <c r="AD258" s="70"/>
      <c r="AE258" s="70"/>
      <c r="AF258" s="71"/>
      <c r="AG258" s="71"/>
    </row>
    <row r="259">
      <c r="A259" s="19">
        <v>257.0</v>
      </c>
      <c r="B259" s="30" t="s">
        <v>1532</v>
      </c>
      <c r="C259" s="57" t="s">
        <v>1610</v>
      </c>
      <c r="D259" s="20" t="s">
        <v>1611</v>
      </c>
      <c r="E259" s="30" t="s">
        <v>34</v>
      </c>
      <c r="F259" s="20" t="s">
        <v>971</v>
      </c>
      <c r="G259" s="20" t="s">
        <v>1612</v>
      </c>
      <c r="H259" s="30">
        <v>8.511891018E9</v>
      </c>
      <c r="I259" s="30">
        <v>9.687332915E9</v>
      </c>
      <c r="J259" s="30"/>
      <c r="K259" s="30">
        <v>818.0</v>
      </c>
      <c r="L259" s="30" t="s">
        <v>1584</v>
      </c>
      <c r="M259" s="30" t="s">
        <v>180</v>
      </c>
      <c r="N259" s="32" t="s">
        <v>39</v>
      </c>
      <c r="O259" s="30" t="s">
        <v>47</v>
      </c>
      <c r="P259" s="30" t="s">
        <v>57</v>
      </c>
      <c r="Q259" s="20"/>
      <c r="R259" s="33">
        <v>45454.0</v>
      </c>
      <c r="S259" s="33">
        <v>45788.0</v>
      </c>
      <c r="T259" s="30" t="s">
        <v>1613</v>
      </c>
      <c r="U259" s="35"/>
      <c r="V259" s="30">
        <v>6269.0</v>
      </c>
      <c r="W259" s="30">
        <v>7397.0</v>
      </c>
      <c r="X259" s="30">
        <v>6500.0</v>
      </c>
      <c r="Y259" s="65">
        <v>6300.0</v>
      </c>
      <c r="Z259" s="26">
        <f t="shared" si="1"/>
        <v>1097</v>
      </c>
      <c r="AA259" s="17">
        <f t="shared" si="2"/>
        <v>-200</v>
      </c>
      <c r="AB259" s="30" t="s">
        <v>42</v>
      </c>
      <c r="AC259" s="20" t="s">
        <v>1614</v>
      </c>
      <c r="AD259" s="23"/>
      <c r="AE259" s="23"/>
    </row>
    <row r="260">
      <c r="A260" s="19">
        <v>258.0</v>
      </c>
      <c r="B260" s="30" t="s">
        <v>1532</v>
      </c>
      <c r="C260" s="57" t="s">
        <v>1615</v>
      </c>
      <c r="D260" s="20" t="s">
        <v>1616</v>
      </c>
      <c r="E260" s="30" t="s">
        <v>1399</v>
      </c>
      <c r="F260" s="20" t="s">
        <v>1617</v>
      </c>
      <c r="G260" s="20" t="s">
        <v>1618</v>
      </c>
      <c r="H260" s="30">
        <v>9.624908169E9</v>
      </c>
      <c r="I260" s="30">
        <v>8.999999876E9</v>
      </c>
      <c r="J260" s="30"/>
      <c r="K260" s="30">
        <v>1600.0</v>
      </c>
      <c r="L260" s="30" t="s">
        <v>1477</v>
      </c>
      <c r="M260" s="30" t="s">
        <v>55</v>
      </c>
      <c r="N260" s="32" t="s">
        <v>39</v>
      </c>
      <c r="O260" s="30" t="s">
        <v>213</v>
      </c>
      <c r="P260" s="30" t="s">
        <v>41</v>
      </c>
      <c r="Q260" s="20"/>
      <c r="R260" s="30" t="s">
        <v>990</v>
      </c>
      <c r="S260" s="30" t="s">
        <v>1619</v>
      </c>
      <c r="T260" s="35"/>
      <c r="U260" s="35"/>
      <c r="V260" s="38">
        <v>20160.0</v>
      </c>
      <c r="W260" s="38">
        <v>21702.0</v>
      </c>
      <c r="X260" s="30">
        <v>13954.0</v>
      </c>
      <c r="Y260" s="30">
        <v>13500.0</v>
      </c>
      <c r="Z260" s="16">
        <f t="shared" si="1"/>
        <v>8202</v>
      </c>
      <c r="AA260" s="17">
        <f t="shared" si="2"/>
        <v>-454</v>
      </c>
      <c r="AB260" s="30" t="s">
        <v>42</v>
      </c>
      <c r="AC260" s="20" t="s">
        <v>1620</v>
      </c>
      <c r="AD260" s="23"/>
      <c r="AE260" s="23"/>
    </row>
    <row r="261">
      <c r="A261" s="19">
        <v>259.0</v>
      </c>
      <c r="B261" s="30" t="s">
        <v>1621</v>
      </c>
      <c r="C261" s="57" t="s">
        <v>1622</v>
      </c>
      <c r="D261" s="20" t="s">
        <v>1623</v>
      </c>
      <c r="E261" s="30" t="s">
        <v>1399</v>
      </c>
      <c r="F261" s="20" t="s">
        <v>1624</v>
      </c>
      <c r="G261" s="20" t="s">
        <v>1625</v>
      </c>
      <c r="H261" s="30" t="s">
        <v>1626</v>
      </c>
      <c r="I261" s="30">
        <v>9.601811252E9</v>
      </c>
      <c r="J261" s="30"/>
      <c r="K261" s="30">
        <v>3490.0</v>
      </c>
      <c r="L261" s="30" t="s">
        <v>1445</v>
      </c>
      <c r="M261" s="30" t="s">
        <v>484</v>
      </c>
      <c r="N261" s="32" t="s">
        <v>39</v>
      </c>
      <c r="O261" s="30" t="s">
        <v>213</v>
      </c>
      <c r="P261" s="30" t="s">
        <v>41</v>
      </c>
      <c r="Q261" s="20"/>
      <c r="R261" s="30" t="s">
        <v>1518</v>
      </c>
      <c r="S261" s="30" t="s">
        <v>991</v>
      </c>
      <c r="T261" s="35"/>
      <c r="U261" s="35"/>
      <c r="V261" s="38">
        <v>21858.0</v>
      </c>
      <c r="W261" s="38">
        <v>23694.0</v>
      </c>
      <c r="X261" s="30">
        <v>15182.0</v>
      </c>
      <c r="Y261" s="30">
        <v>15500.0</v>
      </c>
      <c r="Z261" s="16">
        <f t="shared" si="1"/>
        <v>8194</v>
      </c>
      <c r="AA261" s="17">
        <f t="shared" si="2"/>
        <v>318</v>
      </c>
      <c r="AB261" s="30" t="s">
        <v>42</v>
      </c>
      <c r="AC261" s="20" t="s">
        <v>1627</v>
      </c>
      <c r="AD261" s="23"/>
      <c r="AE261" s="23"/>
    </row>
    <row r="262">
      <c r="A262" s="19">
        <v>260.0</v>
      </c>
      <c r="B262" s="30" t="s">
        <v>1621</v>
      </c>
      <c r="C262" s="57" t="s">
        <v>1628</v>
      </c>
      <c r="D262" s="20" t="s">
        <v>1629</v>
      </c>
      <c r="E262" s="30" t="s">
        <v>1399</v>
      </c>
      <c r="F262" s="20" t="s">
        <v>1630</v>
      </c>
      <c r="G262" s="20" t="s">
        <v>1631</v>
      </c>
      <c r="H262" s="30" t="s">
        <v>1632</v>
      </c>
      <c r="I262" s="30">
        <v>9.925271804E9</v>
      </c>
      <c r="J262" s="30"/>
      <c r="K262" s="30">
        <v>2735.0</v>
      </c>
      <c r="L262" s="30" t="s">
        <v>1477</v>
      </c>
      <c r="M262" s="30" t="s">
        <v>484</v>
      </c>
      <c r="N262" s="32" t="s">
        <v>39</v>
      </c>
      <c r="O262" s="30" t="s">
        <v>165</v>
      </c>
      <c r="P262" s="30" t="s">
        <v>41</v>
      </c>
      <c r="Q262" s="20"/>
      <c r="R262" s="30" t="s">
        <v>1633</v>
      </c>
      <c r="S262" s="33">
        <v>46335.0</v>
      </c>
      <c r="T262" s="35"/>
      <c r="U262" s="35"/>
      <c r="V262" s="38">
        <v>20332.0</v>
      </c>
      <c r="W262" s="38">
        <v>21894.0</v>
      </c>
      <c r="X262" s="30">
        <v>14133.0</v>
      </c>
      <c r="Y262" s="30">
        <v>14000.0</v>
      </c>
      <c r="Z262" s="16">
        <f t="shared" si="1"/>
        <v>7894</v>
      </c>
      <c r="AA262" s="17">
        <f t="shared" si="2"/>
        <v>-133</v>
      </c>
      <c r="AB262" s="30" t="s">
        <v>42</v>
      </c>
      <c r="AC262" s="20" t="s">
        <v>1634</v>
      </c>
      <c r="AD262" s="23"/>
      <c r="AE262" s="23"/>
    </row>
    <row r="263">
      <c r="A263" s="19">
        <v>261.0</v>
      </c>
      <c r="B263" s="30" t="s">
        <v>1621</v>
      </c>
      <c r="C263" s="57" t="s">
        <v>1635</v>
      </c>
      <c r="D263" s="20" t="s">
        <v>1636</v>
      </c>
      <c r="E263" s="30" t="s">
        <v>1399</v>
      </c>
      <c r="F263" s="20" t="s">
        <v>1630</v>
      </c>
      <c r="G263" s="20" t="s">
        <v>1637</v>
      </c>
      <c r="H263" s="30">
        <v>9.662314558E9</v>
      </c>
      <c r="I263" s="35"/>
      <c r="J263" s="35"/>
      <c r="K263" s="30">
        <v>2735.0</v>
      </c>
      <c r="L263" s="30" t="s">
        <v>1584</v>
      </c>
      <c r="M263" s="30" t="s">
        <v>484</v>
      </c>
      <c r="N263" s="32" t="s">
        <v>39</v>
      </c>
      <c r="O263" s="30" t="s">
        <v>1638</v>
      </c>
      <c r="P263" s="30" t="s">
        <v>41</v>
      </c>
      <c r="Q263" s="20"/>
      <c r="R263" s="30" t="s">
        <v>1639</v>
      </c>
      <c r="S263" s="34">
        <v>46002.0</v>
      </c>
      <c r="T263" s="35"/>
      <c r="U263" s="35"/>
      <c r="V263" s="38">
        <v>21858.0</v>
      </c>
      <c r="W263" s="38">
        <v>23694.0</v>
      </c>
      <c r="X263" s="30">
        <v>15182.0</v>
      </c>
      <c r="Y263" s="30">
        <v>15200.0</v>
      </c>
      <c r="Z263" s="16">
        <f t="shared" si="1"/>
        <v>8494</v>
      </c>
      <c r="AA263" s="17">
        <f t="shared" si="2"/>
        <v>18</v>
      </c>
      <c r="AB263" s="30" t="s">
        <v>42</v>
      </c>
      <c r="AC263" s="20" t="s">
        <v>1640</v>
      </c>
      <c r="AD263" s="23"/>
      <c r="AE263" s="23"/>
    </row>
    <row r="264">
      <c r="A264" s="19">
        <v>262.0</v>
      </c>
      <c r="B264" s="30" t="s">
        <v>1621</v>
      </c>
      <c r="C264" s="57" t="s">
        <v>1641</v>
      </c>
      <c r="D264" s="20" t="s">
        <v>1642</v>
      </c>
      <c r="E264" s="30" t="s">
        <v>98</v>
      </c>
      <c r="F264" s="20" t="s">
        <v>896</v>
      </c>
      <c r="G264" s="20" t="s">
        <v>1588</v>
      </c>
      <c r="H264" s="30">
        <v>9.979703331E9</v>
      </c>
      <c r="I264" s="30">
        <v>9.979633033E9</v>
      </c>
      <c r="J264" s="30"/>
      <c r="K264" s="30">
        <v>25000.0</v>
      </c>
      <c r="L264" s="30" t="s">
        <v>1477</v>
      </c>
      <c r="M264" s="30" t="s">
        <v>237</v>
      </c>
      <c r="N264" s="32" t="s">
        <v>75</v>
      </c>
      <c r="O264" s="30" t="s">
        <v>1589</v>
      </c>
      <c r="P264" s="30" t="s">
        <v>438</v>
      </c>
      <c r="Q264" s="20"/>
      <c r="R264" s="30" t="s">
        <v>1357</v>
      </c>
      <c r="S264" s="30" t="s">
        <v>1590</v>
      </c>
      <c r="T264" s="30" t="s">
        <v>1591</v>
      </c>
      <c r="U264" s="35"/>
      <c r="V264" s="30">
        <v>44050.0</v>
      </c>
      <c r="W264" s="30">
        <v>46266.0</v>
      </c>
      <c r="X264" s="30">
        <v>29800.0</v>
      </c>
      <c r="Y264" s="30">
        <v>29000.0</v>
      </c>
      <c r="Z264" s="26">
        <f t="shared" si="1"/>
        <v>17266</v>
      </c>
      <c r="AA264" s="17">
        <f t="shared" si="2"/>
        <v>-800</v>
      </c>
      <c r="AB264" s="30" t="s">
        <v>42</v>
      </c>
      <c r="AC264" s="20" t="s">
        <v>1592</v>
      </c>
      <c r="AD264" s="23"/>
      <c r="AE264" s="23"/>
    </row>
    <row r="265">
      <c r="A265" s="19">
        <v>263.0</v>
      </c>
      <c r="B265" s="30" t="s">
        <v>1621</v>
      </c>
      <c r="C265" s="57" t="s">
        <v>1643</v>
      </c>
      <c r="D265" s="20" t="s">
        <v>1644</v>
      </c>
      <c r="E265" s="30" t="s">
        <v>98</v>
      </c>
      <c r="F265" s="20" t="s">
        <v>1645</v>
      </c>
      <c r="G265" s="20" t="s">
        <v>1646</v>
      </c>
      <c r="H265" s="30">
        <v>9.913772807E9</v>
      </c>
      <c r="I265" s="30">
        <v>9.099481688E9</v>
      </c>
      <c r="J265" s="30"/>
      <c r="K265" s="30">
        <v>16140.0</v>
      </c>
      <c r="L265" s="30" t="s">
        <v>1445</v>
      </c>
      <c r="M265" s="30" t="s">
        <v>38</v>
      </c>
      <c r="N265" s="32" t="s">
        <v>39</v>
      </c>
      <c r="O265" s="30" t="s">
        <v>47</v>
      </c>
      <c r="P265" s="30" t="s">
        <v>41</v>
      </c>
      <c r="Q265" s="20"/>
      <c r="R265" s="30" t="s">
        <v>725</v>
      </c>
      <c r="S265" s="34">
        <v>46002.0</v>
      </c>
      <c r="T265" s="30" t="s">
        <v>904</v>
      </c>
      <c r="U265" s="30" t="s">
        <v>1647</v>
      </c>
      <c r="V265" s="30">
        <v>50364.0</v>
      </c>
      <c r="W265" s="30">
        <v>54840.0</v>
      </c>
      <c r="X265" s="42">
        <v>42831.0</v>
      </c>
      <c r="Y265" s="42">
        <v>43000.0</v>
      </c>
      <c r="Z265" s="17">
        <f t="shared" si="1"/>
        <v>11840</v>
      </c>
      <c r="AA265" s="17">
        <f t="shared" si="2"/>
        <v>169</v>
      </c>
      <c r="AB265" s="30" t="s">
        <v>42</v>
      </c>
      <c r="AC265" s="20" t="s">
        <v>1648</v>
      </c>
      <c r="AD265" s="23"/>
      <c r="AE265" s="23"/>
    </row>
    <row r="266">
      <c r="A266" s="19">
        <v>264.0</v>
      </c>
      <c r="B266" s="30" t="s">
        <v>1621</v>
      </c>
      <c r="C266" s="57" t="s">
        <v>1649</v>
      </c>
      <c r="D266" s="20" t="s">
        <v>1650</v>
      </c>
      <c r="E266" s="30" t="s">
        <v>34</v>
      </c>
      <c r="F266" s="20" t="s">
        <v>1142</v>
      </c>
      <c r="G266" s="20" t="s">
        <v>1651</v>
      </c>
      <c r="H266" s="30">
        <v>9.327387753E9</v>
      </c>
      <c r="I266" s="30">
        <v>8.980235654E9</v>
      </c>
      <c r="J266" s="30"/>
      <c r="K266" s="30">
        <v>818.0</v>
      </c>
      <c r="L266" s="30" t="s">
        <v>1584</v>
      </c>
      <c r="M266" s="30" t="s">
        <v>180</v>
      </c>
      <c r="N266" s="32" t="s">
        <v>39</v>
      </c>
      <c r="O266" s="30" t="s">
        <v>47</v>
      </c>
      <c r="P266" s="30" t="s">
        <v>57</v>
      </c>
      <c r="Q266" s="20"/>
      <c r="R266" s="30" t="s">
        <v>526</v>
      </c>
      <c r="S266" s="33">
        <v>46177.0</v>
      </c>
      <c r="T266" s="33">
        <v>46976.0</v>
      </c>
      <c r="U266" s="35"/>
      <c r="V266" s="30">
        <v>6328.0</v>
      </c>
      <c r="W266" s="30">
        <v>7468.0</v>
      </c>
      <c r="X266" s="30">
        <v>6500.0</v>
      </c>
      <c r="Y266" s="30">
        <v>6500.0</v>
      </c>
      <c r="Z266" s="26">
        <f t="shared" si="1"/>
        <v>968</v>
      </c>
      <c r="AA266" s="17">
        <f t="shared" si="2"/>
        <v>0</v>
      </c>
      <c r="AB266" s="30" t="s">
        <v>42</v>
      </c>
      <c r="AC266" s="20" t="s">
        <v>1652</v>
      </c>
      <c r="AD266" s="23"/>
      <c r="AE266" s="23"/>
    </row>
    <row r="267">
      <c r="A267" s="19">
        <v>265.0</v>
      </c>
      <c r="B267" s="30" t="s">
        <v>1621</v>
      </c>
      <c r="C267" s="57" t="s">
        <v>1653</v>
      </c>
      <c r="D267" s="20" t="s">
        <v>1654</v>
      </c>
      <c r="E267" s="30" t="s">
        <v>63</v>
      </c>
      <c r="F267" s="20" t="s">
        <v>1655</v>
      </c>
      <c r="G267" s="20" t="s">
        <v>1656</v>
      </c>
      <c r="H267" s="30">
        <v>9.727170152E9</v>
      </c>
      <c r="I267" s="30">
        <v>7.38317157E9</v>
      </c>
      <c r="J267" s="30"/>
      <c r="K267" s="30">
        <v>814.0</v>
      </c>
      <c r="L267" s="30" t="s">
        <v>1445</v>
      </c>
      <c r="M267" s="30" t="s">
        <v>237</v>
      </c>
      <c r="N267" s="32" t="s">
        <v>75</v>
      </c>
      <c r="O267" s="30" t="s">
        <v>76</v>
      </c>
      <c r="P267" s="30" t="s">
        <v>67</v>
      </c>
      <c r="Q267" s="20"/>
      <c r="R267" s="30" t="s">
        <v>1657</v>
      </c>
      <c r="S267" s="33">
        <v>45911.0</v>
      </c>
      <c r="T267" s="35"/>
      <c r="U267" s="35"/>
      <c r="V267" s="30">
        <v>2094.0</v>
      </c>
      <c r="W267" s="30">
        <v>2470.0</v>
      </c>
      <c r="X267" s="30">
        <v>2500.0</v>
      </c>
      <c r="Y267" s="30">
        <v>2500.0</v>
      </c>
      <c r="Z267" s="26">
        <f t="shared" si="1"/>
        <v>-30</v>
      </c>
      <c r="AA267" s="17">
        <f t="shared" si="2"/>
        <v>0</v>
      </c>
      <c r="AB267" s="30" t="s">
        <v>42</v>
      </c>
      <c r="AC267" s="20" t="s">
        <v>1658</v>
      </c>
      <c r="AD267" s="23"/>
      <c r="AE267" s="23"/>
    </row>
    <row r="268">
      <c r="A268" s="19">
        <v>266.0</v>
      </c>
      <c r="B268" s="30" t="s">
        <v>1621</v>
      </c>
      <c r="C268" s="57" t="s">
        <v>1659</v>
      </c>
      <c r="D268" s="20" t="s">
        <v>1660</v>
      </c>
      <c r="E268" s="30" t="s">
        <v>34</v>
      </c>
      <c r="F268" s="20" t="s">
        <v>1142</v>
      </c>
      <c r="G268" s="20" t="s">
        <v>1661</v>
      </c>
      <c r="H268" s="30">
        <v>8.780343125E9</v>
      </c>
      <c r="I268" s="30">
        <v>9.92585238E9</v>
      </c>
      <c r="J268" s="30"/>
      <c r="K268" s="30">
        <v>818.0</v>
      </c>
      <c r="L268" s="30" t="s">
        <v>1445</v>
      </c>
      <c r="M268" s="30" t="s">
        <v>180</v>
      </c>
      <c r="N268" s="32" t="s">
        <v>39</v>
      </c>
      <c r="O268" s="30" t="s">
        <v>47</v>
      </c>
      <c r="P268" s="30" t="s">
        <v>57</v>
      </c>
      <c r="Q268" s="20"/>
      <c r="R268" s="30" t="s">
        <v>1115</v>
      </c>
      <c r="S268" s="33">
        <v>45757.0</v>
      </c>
      <c r="T268" s="33">
        <v>46456.0</v>
      </c>
      <c r="U268" s="35"/>
      <c r="V268" s="30">
        <v>6280.0</v>
      </c>
      <c r="W268" s="30">
        <v>7410.0</v>
      </c>
      <c r="X268" s="30">
        <v>6500.0</v>
      </c>
      <c r="Y268" s="30">
        <v>6500.0</v>
      </c>
      <c r="Z268" s="26">
        <f t="shared" si="1"/>
        <v>910</v>
      </c>
      <c r="AA268" s="17">
        <f t="shared" si="2"/>
        <v>0</v>
      </c>
      <c r="AB268" s="30" t="s">
        <v>42</v>
      </c>
      <c r="AC268" s="20" t="s">
        <v>1662</v>
      </c>
      <c r="AD268" s="23"/>
      <c r="AE268" s="23"/>
    </row>
    <row r="269">
      <c r="A269" s="19">
        <v>267.0</v>
      </c>
      <c r="B269" s="30" t="s">
        <v>1621</v>
      </c>
      <c r="C269" s="57" t="s">
        <v>1663</v>
      </c>
      <c r="D269" s="20" t="s">
        <v>1664</v>
      </c>
      <c r="E269" s="30" t="s">
        <v>34</v>
      </c>
      <c r="F269" s="20" t="s">
        <v>971</v>
      </c>
      <c r="G269" s="20" t="s">
        <v>1665</v>
      </c>
      <c r="H269" s="30">
        <v>9.099265969E9</v>
      </c>
      <c r="I269" s="30">
        <v>9.327134709E9</v>
      </c>
      <c r="J269" s="30"/>
      <c r="K269" s="30">
        <v>818.0</v>
      </c>
      <c r="L269" s="30" t="s">
        <v>1666</v>
      </c>
      <c r="M269" s="30" t="s">
        <v>180</v>
      </c>
      <c r="N269" s="32" t="s">
        <v>39</v>
      </c>
      <c r="O269" s="30" t="s">
        <v>246</v>
      </c>
      <c r="P269" s="30" t="s">
        <v>57</v>
      </c>
      <c r="Q269" s="20"/>
      <c r="R269" s="30" t="s">
        <v>991</v>
      </c>
      <c r="S269" s="30" t="s">
        <v>1667</v>
      </c>
      <c r="T269" s="30" t="s">
        <v>1668</v>
      </c>
      <c r="U269" s="35"/>
      <c r="V269" s="30">
        <v>6394.0</v>
      </c>
      <c r="W269" s="30">
        <v>7544.0</v>
      </c>
      <c r="X269" s="30">
        <v>6500.0</v>
      </c>
      <c r="Y269" s="65">
        <v>5200.0</v>
      </c>
      <c r="Z269" s="26">
        <f t="shared" si="1"/>
        <v>2344</v>
      </c>
      <c r="AA269" s="17">
        <f t="shared" si="2"/>
        <v>-1300</v>
      </c>
      <c r="AB269" s="30" t="s">
        <v>42</v>
      </c>
      <c r="AC269" s="20" t="s">
        <v>1669</v>
      </c>
      <c r="AD269" s="23"/>
      <c r="AE269" s="23"/>
    </row>
    <row r="270">
      <c r="A270" s="19">
        <v>268.0</v>
      </c>
      <c r="B270" s="30" t="s">
        <v>1621</v>
      </c>
      <c r="C270" s="57" t="s">
        <v>1670</v>
      </c>
      <c r="D270" s="20" t="s">
        <v>1671</v>
      </c>
      <c r="E270" s="30" t="s">
        <v>34</v>
      </c>
      <c r="F270" s="20" t="s">
        <v>971</v>
      </c>
      <c r="G270" s="20" t="s">
        <v>1672</v>
      </c>
      <c r="H270" s="30">
        <v>9.825186127E9</v>
      </c>
      <c r="I270" s="30">
        <v>9.712586159E9</v>
      </c>
      <c r="J270" s="30"/>
      <c r="K270" s="30">
        <v>818.0</v>
      </c>
      <c r="L270" s="30" t="s">
        <v>1477</v>
      </c>
      <c r="M270" s="30" t="s">
        <v>180</v>
      </c>
      <c r="N270" s="32" t="s">
        <v>39</v>
      </c>
      <c r="O270" s="30" t="s">
        <v>47</v>
      </c>
      <c r="P270" s="30" t="s">
        <v>57</v>
      </c>
      <c r="Q270" s="20"/>
      <c r="R270" s="30" t="s">
        <v>921</v>
      </c>
      <c r="S270" s="30" t="s">
        <v>1267</v>
      </c>
      <c r="T270" s="33">
        <v>46794.0</v>
      </c>
      <c r="U270" s="35"/>
      <c r="V270" s="30">
        <v>6328.0</v>
      </c>
      <c r="W270" s="30">
        <v>7468.0</v>
      </c>
      <c r="X270" s="30">
        <v>6500.0</v>
      </c>
      <c r="Y270" s="30">
        <v>6500.0</v>
      </c>
      <c r="Z270" s="26">
        <f t="shared" si="1"/>
        <v>968</v>
      </c>
      <c r="AA270" s="17">
        <f t="shared" si="2"/>
        <v>0</v>
      </c>
      <c r="AB270" s="30" t="s">
        <v>42</v>
      </c>
      <c r="AC270" s="20" t="s">
        <v>1673</v>
      </c>
      <c r="AD270" s="23"/>
      <c r="AE270" s="23"/>
    </row>
    <row r="271">
      <c r="A271" s="19">
        <v>269.0</v>
      </c>
      <c r="B271" s="30" t="s">
        <v>1621</v>
      </c>
      <c r="C271" s="57" t="s">
        <v>1674</v>
      </c>
      <c r="D271" s="20" t="s">
        <v>1675</v>
      </c>
      <c r="E271" s="30" t="s">
        <v>34</v>
      </c>
      <c r="F271" s="20" t="s">
        <v>971</v>
      </c>
      <c r="G271" s="20" t="s">
        <v>1676</v>
      </c>
      <c r="H271" s="30">
        <v>9.316388022E9</v>
      </c>
      <c r="I271" s="30">
        <v>9.313356757E9</v>
      </c>
      <c r="J271" s="30"/>
      <c r="K271" s="30">
        <v>818.0</v>
      </c>
      <c r="L271" s="30" t="s">
        <v>1445</v>
      </c>
      <c r="M271" s="30" t="s">
        <v>180</v>
      </c>
      <c r="N271" s="32" t="s">
        <v>39</v>
      </c>
      <c r="O271" s="30" t="s">
        <v>246</v>
      </c>
      <c r="P271" s="30" t="s">
        <v>57</v>
      </c>
      <c r="Q271" s="20"/>
      <c r="R271" s="30" t="s">
        <v>800</v>
      </c>
      <c r="S271" s="30" t="s">
        <v>1677</v>
      </c>
      <c r="T271" s="30" t="s">
        <v>1145</v>
      </c>
      <c r="U271" s="35"/>
      <c r="V271" s="30">
        <v>6430.0</v>
      </c>
      <c r="W271" s="30">
        <v>7588.0</v>
      </c>
      <c r="X271" s="42">
        <v>6500.0</v>
      </c>
      <c r="Y271" s="30">
        <v>6000.0</v>
      </c>
      <c r="Z271" s="26">
        <f t="shared" si="1"/>
        <v>1588</v>
      </c>
      <c r="AA271" s="17">
        <f t="shared" si="2"/>
        <v>-500</v>
      </c>
      <c r="AB271" s="30" t="s">
        <v>42</v>
      </c>
      <c r="AC271" s="20" t="s">
        <v>1678</v>
      </c>
      <c r="AD271" s="23"/>
      <c r="AE271" s="23"/>
    </row>
    <row r="272">
      <c r="A272" s="19">
        <v>270.0</v>
      </c>
      <c r="B272" s="30" t="s">
        <v>1621</v>
      </c>
      <c r="C272" s="57" t="s">
        <v>1679</v>
      </c>
      <c r="D272" s="20" t="s">
        <v>1680</v>
      </c>
      <c r="E272" s="30" t="s">
        <v>98</v>
      </c>
      <c r="F272" s="20" t="s">
        <v>1681</v>
      </c>
      <c r="G272" s="20" t="s">
        <v>1682</v>
      </c>
      <c r="H272" s="30">
        <v>9.586738034E9</v>
      </c>
      <c r="I272" s="30">
        <v>9.723299909E9</v>
      </c>
      <c r="J272" s="30"/>
      <c r="K272" s="30">
        <v>28000.0</v>
      </c>
      <c r="L272" s="30" t="s">
        <v>1477</v>
      </c>
      <c r="M272" s="30" t="s">
        <v>237</v>
      </c>
      <c r="N272" s="32" t="s">
        <v>75</v>
      </c>
      <c r="O272" s="30" t="s">
        <v>40</v>
      </c>
      <c r="P272" s="30" t="s">
        <v>438</v>
      </c>
      <c r="Q272" s="20"/>
      <c r="R272" s="30" t="s">
        <v>522</v>
      </c>
      <c r="S272" s="30" t="s">
        <v>1683</v>
      </c>
      <c r="T272" s="30" t="s">
        <v>536</v>
      </c>
      <c r="U272" s="35"/>
      <c r="V272" s="30">
        <v>44050.0</v>
      </c>
      <c r="W272" s="30">
        <v>46266.0</v>
      </c>
      <c r="X272" s="30">
        <v>29500.0</v>
      </c>
      <c r="Y272" s="30">
        <v>29500.0</v>
      </c>
      <c r="Z272" s="26">
        <f t="shared" si="1"/>
        <v>16766</v>
      </c>
      <c r="AA272" s="17">
        <f t="shared" si="2"/>
        <v>0</v>
      </c>
      <c r="AB272" s="30" t="s">
        <v>42</v>
      </c>
      <c r="AC272" s="20" t="s">
        <v>1684</v>
      </c>
      <c r="AD272" s="23"/>
      <c r="AE272" s="23"/>
    </row>
    <row r="273">
      <c r="A273" s="19">
        <v>271.0</v>
      </c>
      <c r="B273" s="30" t="s">
        <v>1621</v>
      </c>
      <c r="C273" s="57" t="s">
        <v>1685</v>
      </c>
      <c r="D273" s="20" t="s">
        <v>1686</v>
      </c>
      <c r="E273" s="30" t="s">
        <v>1423</v>
      </c>
      <c r="F273" s="20" t="s">
        <v>1687</v>
      </c>
      <c r="G273" s="20" t="s">
        <v>1688</v>
      </c>
      <c r="H273" s="30" t="s">
        <v>1689</v>
      </c>
      <c r="I273" s="35"/>
      <c r="J273" s="35"/>
      <c r="K273" s="30">
        <v>11990.0</v>
      </c>
      <c r="L273" s="30" t="s">
        <v>1477</v>
      </c>
      <c r="M273" s="30" t="s">
        <v>228</v>
      </c>
      <c r="N273" s="32" t="s">
        <v>39</v>
      </c>
      <c r="O273" s="30" t="s">
        <v>47</v>
      </c>
      <c r="P273" s="30" t="s">
        <v>57</v>
      </c>
      <c r="Q273" s="20"/>
      <c r="R273" s="30" t="s">
        <v>1455</v>
      </c>
      <c r="S273" s="30" t="s">
        <v>1690</v>
      </c>
      <c r="T273" s="30" t="s">
        <v>1691</v>
      </c>
      <c r="U273" s="35"/>
      <c r="V273" s="38">
        <v>29139.0</v>
      </c>
      <c r="W273" s="38">
        <v>30850.0</v>
      </c>
      <c r="X273" s="30">
        <v>29000.0</v>
      </c>
      <c r="Y273" s="30">
        <v>29000.0</v>
      </c>
      <c r="Z273" s="16">
        <f t="shared" si="1"/>
        <v>1850</v>
      </c>
      <c r="AA273" s="17">
        <f t="shared" si="2"/>
        <v>0</v>
      </c>
      <c r="AB273" s="30" t="s">
        <v>42</v>
      </c>
      <c r="AC273" s="20" t="s">
        <v>1692</v>
      </c>
      <c r="AD273" s="23"/>
      <c r="AE273" s="23"/>
    </row>
    <row r="274">
      <c r="A274" s="19">
        <v>272.0</v>
      </c>
      <c r="B274" s="30" t="s">
        <v>1621</v>
      </c>
      <c r="C274" s="57" t="s">
        <v>1693</v>
      </c>
      <c r="D274" s="20" t="s">
        <v>1694</v>
      </c>
      <c r="E274" s="30" t="s">
        <v>34</v>
      </c>
      <c r="F274" s="20" t="s">
        <v>971</v>
      </c>
      <c r="G274" s="20" t="s">
        <v>1695</v>
      </c>
      <c r="H274" s="30">
        <v>9.099265969E9</v>
      </c>
      <c r="I274" s="30">
        <v>9.327134709E9</v>
      </c>
      <c r="J274" s="30"/>
      <c r="K274" s="30">
        <v>818.0</v>
      </c>
      <c r="L274" s="30" t="s">
        <v>1666</v>
      </c>
      <c r="M274" s="30" t="s">
        <v>180</v>
      </c>
      <c r="N274" s="32" t="s">
        <v>39</v>
      </c>
      <c r="O274" s="30" t="s">
        <v>246</v>
      </c>
      <c r="P274" s="30" t="s">
        <v>57</v>
      </c>
      <c r="Q274" s="20"/>
      <c r="R274" s="30" t="s">
        <v>991</v>
      </c>
      <c r="S274" s="30" t="s">
        <v>601</v>
      </c>
      <c r="T274" s="30" t="s">
        <v>1696</v>
      </c>
      <c r="U274" s="35"/>
      <c r="V274" s="30">
        <v>6370.0</v>
      </c>
      <c r="W274" s="30">
        <v>7516.0</v>
      </c>
      <c r="X274" s="30">
        <v>6500.0</v>
      </c>
      <c r="Y274" s="30">
        <v>5200.0</v>
      </c>
      <c r="Z274" s="26">
        <f t="shared" si="1"/>
        <v>2316</v>
      </c>
      <c r="AA274" s="17">
        <f t="shared" si="2"/>
        <v>-1300</v>
      </c>
      <c r="AB274" s="30" t="s">
        <v>42</v>
      </c>
      <c r="AC274" s="20" t="s">
        <v>1697</v>
      </c>
      <c r="AD274" s="23"/>
      <c r="AE274" s="23"/>
    </row>
    <row r="275">
      <c r="A275" s="19">
        <v>273.0</v>
      </c>
      <c r="B275" s="30" t="s">
        <v>1698</v>
      </c>
      <c r="C275" s="57" t="s">
        <v>1699</v>
      </c>
      <c r="D275" s="20" t="s">
        <v>1700</v>
      </c>
      <c r="E275" s="30" t="s">
        <v>63</v>
      </c>
      <c r="F275" s="20" t="s">
        <v>1701</v>
      </c>
      <c r="G275" s="20" t="s">
        <v>1702</v>
      </c>
      <c r="H275" s="30">
        <v>9.978496911E9</v>
      </c>
      <c r="I275" s="35"/>
      <c r="J275" s="35"/>
      <c r="K275" s="30">
        <v>2184.0</v>
      </c>
      <c r="L275" s="30" t="s">
        <v>1666</v>
      </c>
      <c r="M275" s="30" t="s">
        <v>1490</v>
      </c>
      <c r="N275" s="64" t="s">
        <v>39</v>
      </c>
      <c r="O275" s="30" t="s">
        <v>47</v>
      </c>
      <c r="P275" s="30" t="s">
        <v>669</v>
      </c>
      <c r="Q275" s="20"/>
      <c r="R275" s="33">
        <v>50142.0</v>
      </c>
      <c r="S275" s="33">
        <v>45028.0</v>
      </c>
      <c r="T275" s="35"/>
      <c r="U275" s="35"/>
      <c r="V275" s="30">
        <v>20040.06</v>
      </c>
      <c r="W275" s="30">
        <v>23647.27</v>
      </c>
      <c r="X275" s="42">
        <v>23648.0</v>
      </c>
      <c r="Y275" s="42">
        <v>23648.0</v>
      </c>
      <c r="Z275" s="17">
        <f t="shared" si="1"/>
        <v>-0.73</v>
      </c>
      <c r="AA275" s="17">
        <f t="shared" si="2"/>
        <v>0</v>
      </c>
      <c r="AB275" s="30" t="s">
        <v>42</v>
      </c>
      <c r="AC275" s="20" t="s">
        <v>1703</v>
      </c>
      <c r="AD275" s="23"/>
      <c r="AE275" s="23"/>
    </row>
    <row r="276">
      <c r="A276" s="19">
        <v>274.0</v>
      </c>
      <c r="B276" s="30" t="s">
        <v>1698</v>
      </c>
      <c r="C276" s="57" t="s">
        <v>1704</v>
      </c>
      <c r="D276" s="20" t="s">
        <v>1705</v>
      </c>
      <c r="E276" s="30" t="s">
        <v>1399</v>
      </c>
      <c r="F276" s="20" t="s">
        <v>1706</v>
      </c>
      <c r="G276" s="20" t="s">
        <v>1707</v>
      </c>
      <c r="H276" s="30">
        <v>9.825920527E9</v>
      </c>
      <c r="I276" s="30">
        <v>9.601796333E9</v>
      </c>
      <c r="J276" s="30"/>
      <c r="K276" s="30">
        <v>3490.0</v>
      </c>
      <c r="L276" s="30" t="s">
        <v>1584</v>
      </c>
      <c r="M276" s="30" t="s">
        <v>484</v>
      </c>
      <c r="N276" s="32" t="s">
        <v>39</v>
      </c>
      <c r="O276" s="30" t="s">
        <v>47</v>
      </c>
      <c r="P276" s="30" t="s">
        <v>57</v>
      </c>
      <c r="Q276" s="20"/>
      <c r="R276" s="33">
        <v>46447.0</v>
      </c>
      <c r="S276" s="30" t="s">
        <v>1708</v>
      </c>
      <c r="T276" s="30" t="s">
        <v>1709</v>
      </c>
      <c r="U276" s="35"/>
      <c r="V276" s="38">
        <v>20860.0</v>
      </c>
      <c r="W276" s="38">
        <v>22515.0</v>
      </c>
      <c r="X276" s="42">
        <v>14505.0</v>
      </c>
      <c r="Y276" s="42">
        <v>15500.0</v>
      </c>
      <c r="Z276" s="16">
        <f t="shared" si="1"/>
        <v>7015</v>
      </c>
      <c r="AA276" s="17">
        <f t="shared" si="2"/>
        <v>995</v>
      </c>
      <c r="AB276" s="30" t="s">
        <v>42</v>
      </c>
      <c r="AC276" s="20" t="s">
        <v>1710</v>
      </c>
      <c r="AD276" s="23"/>
      <c r="AE276" s="23"/>
    </row>
    <row r="277">
      <c r="A277" s="19">
        <v>275.0</v>
      </c>
      <c r="B277" s="30" t="s">
        <v>1698</v>
      </c>
      <c r="C277" s="57" t="s">
        <v>1711</v>
      </c>
      <c r="D277" s="20" t="s">
        <v>1712</v>
      </c>
      <c r="E277" s="30" t="s">
        <v>1399</v>
      </c>
      <c r="F277" s="20" t="s">
        <v>481</v>
      </c>
      <c r="G277" s="20" t="s">
        <v>1713</v>
      </c>
      <c r="H277" s="30">
        <v>6.352667103E9</v>
      </c>
      <c r="I277" s="30">
        <v>9.724566096E9</v>
      </c>
      <c r="J277" s="30"/>
      <c r="K277" s="30">
        <v>3460.0</v>
      </c>
      <c r="L277" s="30" t="s">
        <v>1445</v>
      </c>
      <c r="M277" s="30" t="s">
        <v>484</v>
      </c>
      <c r="N277" s="32" t="s">
        <v>39</v>
      </c>
      <c r="O277" s="30" t="s">
        <v>76</v>
      </c>
      <c r="P277" s="30" t="s">
        <v>41</v>
      </c>
      <c r="Q277" s="20"/>
      <c r="R277" s="30" t="s">
        <v>1518</v>
      </c>
      <c r="S277" s="30" t="s">
        <v>991</v>
      </c>
      <c r="T277" s="30" t="s">
        <v>1714</v>
      </c>
      <c r="U277" s="35"/>
      <c r="V277" s="38">
        <v>21858.0</v>
      </c>
      <c r="W277" s="38">
        <v>23694.0</v>
      </c>
      <c r="X277" s="42">
        <v>15072.0</v>
      </c>
      <c r="Y277" s="42">
        <v>15000.0</v>
      </c>
      <c r="Z277" s="16">
        <f t="shared" si="1"/>
        <v>8694</v>
      </c>
      <c r="AA277" s="17">
        <f t="shared" si="2"/>
        <v>-72</v>
      </c>
      <c r="AB277" s="30" t="s">
        <v>42</v>
      </c>
      <c r="AC277" s="20" t="s">
        <v>1715</v>
      </c>
      <c r="AD277" s="23"/>
      <c r="AE277" s="23"/>
    </row>
    <row r="278">
      <c r="A278" s="19">
        <v>276.0</v>
      </c>
      <c r="B278" s="30" t="s">
        <v>1698</v>
      </c>
      <c r="C278" s="57" t="s">
        <v>1716</v>
      </c>
      <c r="D278" s="20" t="s">
        <v>1717</v>
      </c>
      <c r="E278" s="30" t="s">
        <v>82</v>
      </c>
      <c r="F278" s="20" t="s">
        <v>1718</v>
      </c>
      <c r="G278" s="20" t="s">
        <v>1719</v>
      </c>
      <c r="H278" s="30">
        <v>6.353725839E9</v>
      </c>
      <c r="I278" s="30">
        <v>8.14189247E9</v>
      </c>
      <c r="J278" s="30"/>
      <c r="K278" s="30">
        <v>109.0</v>
      </c>
      <c r="L278" s="30" t="s">
        <v>1584</v>
      </c>
      <c r="M278" s="30" t="s">
        <v>1490</v>
      </c>
      <c r="N278" s="32" t="s">
        <v>75</v>
      </c>
      <c r="O278" s="30" t="s">
        <v>76</v>
      </c>
      <c r="P278" s="30" t="s">
        <v>67</v>
      </c>
      <c r="Q278" s="20"/>
      <c r="R278" s="33">
        <v>47065.0</v>
      </c>
      <c r="S278" s="35"/>
      <c r="T278" s="35"/>
      <c r="U278" s="35"/>
      <c r="V278" s="30">
        <v>714.0</v>
      </c>
      <c r="W278" s="30">
        <v>842.52</v>
      </c>
      <c r="X278" s="30">
        <v>850.0</v>
      </c>
      <c r="Y278" s="30">
        <v>850.0</v>
      </c>
      <c r="Z278" s="26">
        <f t="shared" si="1"/>
        <v>-7.48</v>
      </c>
      <c r="AA278" s="17">
        <f t="shared" si="2"/>
        <v>0</v>
      </c>
      <c r="AB278" s="30" t="s">
        <v>42</v>
      </c>
      <c r="AC278" s="20" t="s">
        <v>1720</v>
      </c>
      <c r="AD278" s="23"/>
      <c r="AE278" s="23"/>
    </row>
    <row r="279">
      <c r="A279" s="19">
        <v>277.0</v>
      </c>
      <c r="B279" s="30" t="s">
        <v>1698</v>
      </c>
      <c r="C279" s="57" t="s">
        <v>1721</v>
      </c>
      <c r="D279" s="20" t="s">
        <v>1722</v>
      </c>
      <c r="E279" s="30" t="s">
        <v>34</v>
      </c>
      <c r="F279" s="20" t="s">
        <v>971</v>
      </c>
      <c r="G279" s="20" t="s">
        <v>1723</v>
      </c>
      <c r="H279" s="30">
        <v>6.352850236E9</v>
      </c>
      <c r="I279" s="30">
        <v>6.353950211E9</v>
      </c>
      <c r="J279" s="30"/>
      <c r="K279" s="30">
        <v>818.0</v>
      </c>
      <c r="L279" s="30" t="s">
        <v>1584</v>
      </c>
      <c r="M279" s="30" t="s">
        <v>180</v>
      </c>
      <c r="N279" s="32" t="s">
        <v>39</v>
      </c>
      <c r="O279" s="30" t="s">
        <v>47</v>
      </c>
      <c r="P279" s="30" t="s">
        <v>57</v>
      </c>
      <c r="Q279" s="20"/>
      <c r="R279" s="33">
        <v>45454.0</v>
      </c>
      <c r="S279" s="30" t="s">
        <v>1724</v>
      </c>
      <c r="T279" s="30" t="s">
        <v>1725</v>
      </c>
      <c r="U279" s="35"/>
      <c r="V279" s="30">
        <v>6328.0</v>
      </c>
      <c r="W279" s="30">
        <v>7468.0</v>
      </c>
      <c r="X279" s="30">
        <v>6500.0</v>
      </c>
      <c r="Y279" s="30">
        <v>6200.0</v>
      </c>
      <c r="Z279" s="26">
        <f t="shared" si="1"/>
        <v>1268</v>
      </c>
      <c r="AA279" s="17">
        <f t="shared" si="2"/>
        <v>-300</v>
      </c>
      <c r="AB279" s="30" t="s">
        <v>42</v>
      </c>
      <c r="AC279" s="20" t="s">
        <v>1726</v>
      </c>
      <c r="AD279" s="23"/>
      <c r="AE279" s="23"/>
    </row>
    <row r="280">
      <c r="A280" s="19">
        <v>278.0</v>
      </c>
      <c r="B280" s="30" t="s">
        <v>1698</v>
      </c>
      <c r="C280" s="57" t="s">
        <v>1727</v>
      </c>
      <c r="D280" s="20" t="s">
        <v>1728</v>
      </c>
      <c r="E280" s="30" t="s">
        <v>34</v>
      </c>
      <c r="F280" s="20" t="s">
        <v>971</v>
      </c>
      <c r="G280" s="20" t="s">
        <v>1729</v>
      </c>
      <c r="H280" s="30">
        <v>7.043224425E9</v>
      </c>
      <c r="I280" s="35"/>
      <c r="J280" s="35"/>
      <c r="K280" s="30">
        <v>818.0</v>
      </c>
      <c r="L280" s="30" t="s">
        <v>1584</v>
      </c>
      <c r="M280" s="30" t="s">
        <v>180</v>
      </c>
      <c r="N280" s="32" t="s">
        <v>39</v>
      </c>
      <c r="O280" s="30" t="s">
        <v>40</v>
      </c>
      <c r="P280" s="30" t="s">
        <v>57</v>
      </c>
      <c r="Q280" s="20"/>
      <c r="R280" s="30" t="s">
        <v>1356</v>
      </c>
      <c r="S280" s="30" t="s">
        <v>1518</v>
      </c>
      <c r="T280" s="30" t="s">
        <v>1730</v>
      </c>
      <c r="U280" s="35"/>
      <c r="V280" s="30">
        <v>6513.0</v>
      </c>
      <c r="W280" s="30">
        <v>7685.0</v>
      </c>
      <c r="X280" s="30">
        <v>6500.0</v>
      </c>
      <c r="Y280" s="30">
        <v>6500.0</v>
      </c>
      <c r="Z280" s="26">
        <f t="shared" si="1"/>
        <v>1185</v>
      </c>
      <c r="AA280" s="17">
        <f t="shared" si="2"/>
        <v>0</v>
      </c>
      <c r="AB280" s="30" t="s">
        <v>42</v>
      </c>
      <c r="AC280" s="20" t="s">
        <v>1731</v>
      </c>
      <c r="AD280" s="23"/>
      <c r="AE280" s="23"/>
    </row>
    <row r="281">
      <c r="A281" s="19">
        <v>279.0</v>
      </c>
      <c r="B281" s="30" t="s">
        <v>1698</v>
      </c>
      <c r="C281" s="57" t="s">
        <v>1732</v>
      </c>
      <c r="D281" s="20" t="s">
        <v>1733</v>
      </c>
      <c r="E281" s="30" t="s">
        <v>63</v>
      </c>
      <c r="F281" s="20" t="s">
        <v>1734</v>
      </c>
      <c r="G281" s="20" t="s">
        <v>1735</v>
      </c>
      <c r="H281" s="30">
        <v>8.866609058E9</v>
      </c>
      <c r="I281" s="30">
        <v>9.099939865E9</v>
      </c>
      <c r="J281" s="30"/>
      <c r="K281" s="30">
        <v>1086.0</v>
      </c>
      <c r="L281" s="30" t="s">
        <v>1666</v>
      </c>
      <c r="M281" s="30" t="s">
        <v>1490</v>
      </c>
      <c r="N281" s="32" t="s">
        <v>75</v>
      </c>
      <c r="O281" s="30" t="s">
        <v>47</v>
      </c>
      <c r="P281" s="30" t="s">
        <v>67</v>
      </c>
      <c r="Q281" s="20"/>
      <c r="R281" s="33">
        <v>46056.0</v>
      </c>
      <c r="S281" s="30" t="s">
        <v>677</v>
      </c>
      <c r="T281" s="35"/>
      <c r="U281" s="35"/>
      <c r="V281" s="30">
        <v>4106.0</v>
      </c>
      <c r="W281" s="30">
        <v>4845.08</v>
      </c>
      <c r="X281" s="42">
        <v>4800.0</v>
      </c>
      <c r="Y281" s="30">
        <v>4200.0</v>
      </c>
      <c r="Z281" s="26">
        <f t="shared" si="1"/>
        <v>645.08</v>
      </c>
      <c r="AA281" s="17">
        <f t="shared" si="2"/>
        <v>-600</v>
      </c>
      <c r="AB281" s="30" t="s">
        <v>42</v>
      </c>
      <c r="AC281" s="20" t="s">
        <v>1736</v>
      </c>
      <c r="AD281" s="23"/>
      <c r="AE281" s="23"/>
    </row>
    <row r="282">
      <c r="A282" s="19">
        <v>280.0</v>
      </c>
      <c r="B282" s="30" t="s">
        <v>1698</v>
      </c>
      <c r="C282" s="57" t="s">
        <v>1737</v>
      </c>
      <c r="D282" s="20" t="s">
        <v>1738</v>
      </c>
      <c r="E282" s="30" t="s">
        <v>82</v>
      </c>
      <c r="F282" s="20" t="s">
        <v>1739</v>
      </c>
      <c r="G282" s="20" t="s">
        <v>1740</v>
      </c>
      <c r="H282" s="30" t="s">
        <v>1741</v>
      </c>
      <c r="I282" s="35"/>
      <c r="J282" s="35"/>
      <c r="K282" s="30">
        <v>97.0</v>
      </c>
      <c r="L282" s="30" t="s">
        <v>1666</v>
      </c>
      <c r="M282" s="30" t="s">
        <v>237</v>
      </c>
      <c r="N282" s="32" t="s">
        <v>75</v>
      </c>
      <c r="O282" s="30" t="s">
        <v>76</v>
      </c>
      <c r="P282" s="30" t="s">
        <v>67</v>
      </c>
      <c r="Q282" s="20"/>
      <c r="R282" s="30" t="s">
        <v>1742</v>
      </c>
      <c r="S282" s="30" t="s">
        <v>543</v>
      </c>
      <c r="T282" s="35"/>
      <c r="U282" s="35"/>
      <c r="V282" s="30">
        <v>714.0</v>
      </c>
      <c r="W282" s="30">
        <v>843.0</v>
      </c>
      <c r="X282" s="30">
        <v>850.0</v>
      </c>
      <c r="Y282" s="30">
        <v>850.0</v>
      </c>
      <c r="Z282" s="26">
        <f t="shared" si="1"/>
        <v>-7</v>
      </c>
      <c r="AA282" s="17">
        <f t="shared" si="2"/>
        <v>0</v>
      </c>
      <c r="AB282" s="30" t="s">
        <v>42</v>
      </c>
      <c r="AC282" s="20" t="s">
        <v>1743</v>
      </c>
      <c r="AD282" s="23"/>
      <c r="AE282" s="23"/>
    </row>
    <row r="283">
      <c r="A283" s="19">
        <v>281.0</v>
      </c>
      <c r="B283" s="30" t="s">
        <v>1698</v>
      </c>
      <c r="C283" s="57" t="s">
        <v>1744</v>
      </c>
      <c r="D283" s="20" t="s">
        <v>1745</v>
      </c>
      <c r="E283" s="30" t="s">
        <v>90</v>
      </c>
      <c r="F283" s="20" t="s">
        <v>1746</v>
      </c>
      <c r="G283" s="20" t="s">
        <v>1747</v>
      </c>
      <c r="H283" s="30">
        <v>9.978857955E9</v>
      </c>
      <c r="I283" s="30">
        <v>9.97454347E9</v>
      </c>
      <c r="J283" s="30"/>
      <c r="K283" s="30">
        <v>995.0</v>
      </c>
      <c r="L283" s="31">
        <v>46092.0</v>
      </c>
      <c r="M283" s="30" t="s">
        <v>94</v>
      </c>
      <c r="N283" s="32" t="s">
        <v>39</v>
      </c>
      <c r="O283" s="30" t="s">
        <v>47</v>
      </c>
      <c r="P283" s="30" t="s">
        <v>57</v>
      </c>
      <c r="Q283" s="20"/>
      <c r="R283" s="33">
        <v>45788.0</v>
      </c>
      <c r="S283" s="30" t="s">
        <v>1639</v>
      </c>
      <c r="T283" s="35"/>
      <c r="U283" s="35"/>
      <c r="V283" s="38">
        <v>5222.0</v>
      </c>
      <c r="W283" s="38">
        <v>5570.0</v>
      </c>
      <c r="X283" s="30">
        <v>5000.0</v>
      </c>
      <c r="Y283" s="30">
        <v>5000.0</v>
      </c>
      <c r="Z283" s="16">
        <f t="shared" si="1"/>
        <v>570</v>
      </c>
      <c r="AA283" s="17">
        <f t="shared" si="2"/>
        <v>0</v>
      </c>
      <c r="AB283" s="30" t="s">
        <v>42</v>
      </c>
      <c r="AC283" s="20" t="s">
        <v>1748</v>
      </c>
      <c r="AD283" s="20" t="s">
        <v>936</v>
      </c>
      <c r="AE283" s="23"/>
      <c r="AF283" s="40" t="s">
        <v>937</v>
      </c>
      <c r="AG283" s="40" t="s">
        <v>209</v>
      </c>
    </row>
    <row r="284">
      <c r="A284" s="19">
        <v>282.0</v>
      </c>
      <c r="B284" s="30" t="s">
        <v>1698</v>
      </c>
      <c r="C284" s="57" t="s">
        <v>1749</v>
      </c>
      <c r="D284" s="20" t="s">
        <v>1750</v>
      </c>
      <c r="E284" s="30" t="s">
        <v>34</v>
      </c>
      <c r="F284" s="20" t="s">
        <v>971</v>
      </c>
      <c r="G284" s="20" t="s">
        <v>1751</v>
      </c>
      <c r="H284" s="30">
        <v>9.87995728E9</v>
      </c>
      <c r="I284" s="35"/>
      <c r="J284" s="35"/>
      <c r="K284" s="30">
        <v>818.0</v>
      </c>
      <c r="L284" s="30" t="s">
        <v>1584</v>
      </c>
      <c r="M284" s="30" t="s">
        <v>180</v>
      </c>
      <c r="N284" s="32" t="s">
        <v>39</v>
      </c>
      <c r="O284" s="30" t="s">
        <v>1638</v>
      </c>
      <c r="P284" s="30" t="s">
        <v>57</v>
      </c>
      <c r="Q284" s="20"/>
      <c r="R284" s="33">
        <v>46213.0</v>
      </c>
      <c r="S284" s="33">
        <v>45848.0</v>
      </c>
      <c r="T284" s="30" t="s">
        <v>271</v>
      </c>
      <c r="U284" s="35"/>
      <c r="V284" s="30">
        <v>6540.0</v>
      </c>
      <c r="W284" s="30">
        <v>7718.0</v>
      </c>
      <c r="X284" s="30">
        <v>6500.0</v>
      </c>
      <c r="Y284" s="30">
        <v>6000.0</v>
      </c>
      <c r="Z284" s="26">
        <f t="shared" si="1"/>
        <v>1718</v>
      </c>
      <c r="AA284" s="17">
        <f t="shared" si="2"/>
        <v>-500</v>
      </c>
      <c r="AB284" s="30" t="s">
        <v>42</v>
      </c>
      <c r="AC284" s="20" t="s">
        <v>1752</v>
      </c>
      <c r="AD284" s="23"/>
      <c r="AE284" s="23"/>
    </row>
    <row r="285">
      <c r="A285" s="19">
        <v>283.0</v>
      </c>
      <c r="B285" s="30" t="s">
        <v>1698</v>
      </c>
      <c r="C285" s="57" t="s">
        <v>1753</v>
      </c>
      <c r="D285" s="20" t="s">
        <v>1754</v>
      </c>
      <c r="E285" s="30" t="s">
        <v>90</v>
      </c>
      <c r="F285" s="20" t="s">
        <v>275</v>
      </c>
      <c r="G285" s="20" t="s">
        <v>1755</v>
      </c>
      <c r="H285" s="30">
        <v>9.979869574E9</v>
      </c>
      <c r="I285" s="30">
        <v>9.712380107E9</v>
      </c>
      <c r="J285" s="30"/>
      <c r="K285" s="30">
        <v>995.0</v>
      </c>
      <c r="L285" s="30" t="s">
        <v>1584</v>
      </c>
      <c r="M285" s="30" t="s">
        <v>126</v>
      </c>
      <c r="N285" s="32" t="s">
        <v>39</v>
      </c>
      <c r="O285" s="30" t="s">
        <v>181</v>
      </c>
      <c r="P285" s="30" t="s">
        <v>41</v>
      </c>
      <c r="Q285" s="20"/>
      <c r="R285" s="30" t="s">
        <v>159</v>
      </c>
      <c r="S285" s="30" t="s">
        <v>1756</v>
      </c>
      <c r="T285" s="35"/>
      <c r="U285" s="35"/>
      <c r="V285" s="38">
        <v>6554.17</v>
      </c>
      <c r="W285" s="30">
        <v>7150.0</v>
      </c>
      <c r="X285" s="30">
        <v>5500.0</v>
      </c>
      <c r="Y285" s="30">
        <v>5500.0</v>
      </c>
      <c r="Z285" s="26">
        <f t="shared" si="1"/>
        <v>1650</v>
      </c>
      <c r="AA285" s="17">
        <f t="shared" si="2"/>
        <v>0</v>
      </c>
      <c r="AB285" s="30" t="s">
        <v>42</v>
      </c>
      <c r="AC285" s="20" t="s">
        <v>1757</v>
      </c>
      <c r="AD285" s="23"/>
      <c r="AE285" s="23"/>
    </row>
    <row r="286">
      <c r="A286" s="19">
        <v>284.0</v>
      </c>
      <c r="B286" s="30" t="s">
        <v>1698</v>
      </c>
      <c r="C286" s="57" t="s">
        <v>1758</v>
      </c>
      <c r="D286" s="20" t="s">
        <v>1759</v>
      </c>
      <c r="E286" s="30" t="s">
        <v>34</v>
      </c>
      <c r="F286" s="20" t="s">
        <v>971</v>
      </c>
      <c r="G286" s="20" t="s">
        <v>1760</v>
      </c>
      <c r="H286" s="30">
        <v>9.978856111E9</v>
      </c>
      <c r="I286" s="30">
        <v>9.879719111E9</v>
      </c>
      <c r="J286" s="30"/>
      <c r="K286" s="30">
        <v>818.0</v>
      </c>
      <c r="L286" s="30" t="s">
        <v>1445</v>
      </c>
      <c r="M286" s="30" t="s">
        <v>180</v>
      </c>
      <c r="N286" s="32" t="s">
        <v>39</v>
      </c>
      <c r="O286" s="30" t="s">
        <v>47</v>
      </c>
      <c r="P286" s="30" t="s">
        <v>57</v>
      </c>
      <c r="Q286" s="20"/>
      <c r="R286" s="30" t="s">
        <v>1144</v>
      </c>
      <c r="S286" s="30" t="s">
        <v>1761</v>
      </c>
      <c r="T286" s="30" t="s">
        <v>1145</v>
      </c>
      <c r="U286" s="35"/>
      <c r="V286" s="30">
        <v>6384.0</v>
      </c>
      <c r="W286" s="30">
        <v>7534.0</v>
      </c>
      <c r="X286" s="30">
        <v>6500.0</v>
      </c>
      <c r="Y286" s="30">
        <v>6500.0</v>
      </c>
      <c r="Z286" s="26">
        <f t="shared" si="1"/>
        <v>1034</v>
      </c>
      <c r="AA286" s="17">
        <f t="shared" si="2"/>
        <v>0</v>
      </c>
      <c r="AB286" s="30" t="s">
        <v>42</v>
      </c>
      <c r="AC286" s="20" t="s">
        <v>1762</v>
      </c>
      <c r="AD286" s="23"/>
      <c r="AE286" s="23"/>
    </row>
    <row r="287">
      <c r="A287" s="19">
        <v>285.0</v>
      </c>
      <c r="B287" s="30" t="s">
        <v>1698</v>
      </c>
      <c r="C287" s="20" t="s">
        <v>1763</v>
      </c>
      <c r="D287" s="20" t="s">
        <v>1764</v>
      </c>
      <c r="E287" s="30" t="s">
        <v>34</v>
      </c>
      <c r="F287" s="20" t="s">
        <v>35</v>
      </c>
      <c r="G287" s="20" t="s">
        <v>1765</v>
      </c>
      <c r="H287" s="30">
        <v>9.375962737E9</v>
      </c>
      <c r="I287" s="30">
        <v>9.377862737E9</v>
      </c>
      <c r="J287" s="30"/>
      <c r="K287" s="30">
        <v>818.0</v>
      </c>
      <c r="L287" s="30" t="s">
        <v>1445</v>
      </c>
      <c r="M287" s="30" t="s">
        <v>38</v>
      </c>
      <c r="N287" s="32" t="s">
        <v>39</v>
      </c>
      <c r="O287" s="30" t="s">
        <v>76</v>
      </c>
      <c r="P287" s="30" t="s">
        <v>41</v>
      </c>
      <c r="Q287" s="20"/>
      <c r="R287" s="30" t="s">
        <v>1356</v>
      </c>
      <c r="S287" s="30" t="s">
        <v>1357</v>
      </c>
      <c r="T287" s="34">
        <v>47402.0</v>
      </c>
      <c r="U287" s="35"/>
      <c r="V287" s="30">
        <v>6763.0</v>
      </c>
      <c r="W287" s="30">
        <v>7981.0</v>
      </c>
      <c r="X287" s="30">
        <v>6800.0</v>
      </c>
      <c r="Y287" s="30">
        <v>6800.0</v>
      </c>
      <c r="Z287" s="26">
        <f t="shared" si="1"/>
        <v>1181</v>
      </c>
      <c r="AA287" s="17">
        <f t="shared" si="2"/>
        <v>0</v>
      </c>
      <c r="AB287" s="30" t="s">
        <v>42</v>
      </c>
      <c r="AC287" s="20" t="s">
        <v>1766</v>
      </c>
      <c r="AD287" s="23"/>
      <c r="AE287" s="23"/>
    </row>
    <row r="288">
      <c r="A288" s="19">
        <v>286.0</v>
      </c>
      <c r="B288" s="30" t="s">
        <v>1698</v>
      </c>
      <c r="C288" s="20" t="s">
        <v>1767</v>
      </c>
      <c r="D288" s="20" t="s">
        <v>1768</v>
      </c>
      <c r="E288" s="30" t="s">
        <v>98</v>
      </c>
      <c r="F288" s="20" t="s">
        <v>1127</v>
      </c>
      <c r="G288" s="20" t="s">
        <v>1769</v>
      </c>
      <c r="H288" s="30">
        <v>9.734722222E9</v>
      </c>
      <c r="I288" s="30">
        <v>9.898000254E9</v>
      </c>
      <c r="J288" s="30"/>
      <c r="K288" s="30">
        <v>35000.0</v>
      </c>
      <c r="L288" s="30" t="s">
        <v>1445</v>
      </c>
      <c r="M288" s="30" t="s">
        <v>484</v>
      </c>
      <c r="N288" s="32" t="s">
        <v>39</v>
      </c>
      <c r="O288" s="30" t="s">
        <v>56</v>
      </c>
      <c r="P288" s="30" t="s">
        <v>41</v>
      </c>
      <c r="Q288" s="30"/>
      <c r="R288" s="33">
        <v>45879.0</v>
      </c>
      <c r="S288" s="35"/>
      <c r="T288" s="33">
        <v>47795.0</v>
      </c>
      <c r="U288" s="35"/>
      <c r="V288" s="38">
        <v>56461.0</v>
      </c>
      <c r="W288" s="42">
        <v>60897.0</v>
      </c>
      <c r="X288" s="30">
        <v>47765.0</v>
      </c>
      <c r="Y288" s="30">
        <v>48000.0</v>
      </c>
      <c r="Z288" s="17">
        <f t="shared" si="1"/>
        <v>12897</v>
      </c>
      <c r="AA288" s="17">
        <f t="shared" si="2"/>
        <v>235</v>
      </c>
      <c r="AB288" s="30" t="s">
        <v>42</v>
      </c>
      <c r="AC288" s="20" t="s">
        <v>1770</v>
      </c>
      <c r="AD288" s="23"/>
      <c r="AE288" s="23"/>
    </row>
    <row r="289">
      <c r="A289" s="19">
        <v>287.0</v>
      </c>
      <c r="B289" s="30" t="s">
        <v>1698</v>
      </c>
      <c r="C289" s="20" t="s">
        <v>1771</v>
      </c>
      <c r="D289" s="20" t="s">
        <v>1772</v>
      </c>
      <c r="E289" s="30" t="s">
        <v>1399</v>
      </c>
      <c r="F289" s="20" t="s">
        <v>52</v>
      </c>
      <c r="G289" s="20" t="s">
        <v>1773</v>
      </c>
      <c r="H289" s="30">
        <v>8.849386412E9</v>
      </c>
      <c r="I289" s="30">
        <v>9.925887772E9</v>
      </c>
      <c r="J289" s="30"/>
      <c r="K289" s="30">
        <v>1600.0</v>
      </c>
      <c r="L289" s="30" t="s">
        <v>1584</v>
      </c>
      <c r="M289" s="30" t="s">
        <v>55</v>
      </c>
      <c r="N289" s="32" t="s">
        <v>39</v>
      </c>
      <c r="O289" s="30" t="s">
        <v>140</v>
      </c>
      <c r="P289" s="30" t="s">
        <v>41</v>
      </c>
      <c r="Q289" s="20"/>
      <c r="R289" s="34">
        <v>46336.0</v>
      </c>
      <c r="S289" s="34">
        <v>45971.0</v>
      </c>
      <c r="T289" s="35"/>
      <c r="U289" s="35"/>
      <c r="V289" s="38">
        <v>20485.0</v>
      </c>
      <c r="W289" s="38">
        <v>22086.0</v>
      </c>
      <c r="X289" s="30">
        <v>14180.0</v>
      </c>
      <c r="Y289" s="30">
        <v>14000.0</v>
      </c>
      <c r="Z289" s="16">
        <f t="shared" si="1"/>
        <v>8086</v>
      </c>
      <c r="AA289" s="17">
        <f t="shared" si="2"/>
        <v>-180</v>
      </c>
      <c r="AB289" s="30" t="s">
        <v>42</v>
      </c>
      <c r="AC289" s="20" t="s">
        <v>1774</v>
      </c>
      <c r="AD289" s="23"/>
      <c r="AE289" s="23"/>
    </row>
    <row r="290">
      <c r="A290" s="19">
        <v>288.0</v>
      </c>
      <c r="B290" s="30" t="s">
        <v>1698</v>
      </c>
      <c r="C290" s="20" t="s">
        <v>1775</v>
      </c>
      <c r="D290" s="20" t="s">
        <v>1776</v>
      </c>
      <c r="E290" s="30" t="s">
        <v>1399</v>
      </c>
      <c r="F290" s="20" t="s">
        <v>52</v>
      </c>
      <c r="G290" s="20" t="s">
        <v>1777</v>
      </c>
      <c r="H290" s="30">
        <v>9.687789442E9</v>
      </c>
      <c r="I290" s="30"/>
      <c r="J290" s="30"/>
      <c r="K290" s="30">
        <v>1600.0</v>
      </c>
      <c r="L290" s="31">
        <v>46033.0</v>
      </c>
      <c r="M290" s="30" t="s">
        <v>55</v>
      </c>
      <c r="N290" s="32" t="s">
        <v>39</v>
      </c>
      <c r="O290" s="30" t="s">
        <v>76</v>
      </c>
      <c r="P290" s="30" t="s">
        <v>41</v>
      </c>
      <c r="Q290" s="20"/>
      <c r="R290" s="33">
        <v>46023.0</v>
      </c>
      <c r="S290" s="30" t="s">
        <v>1778</v>
      </c>
      <c r="T290" s="35"/>
      <c r="U290" s="35"/>
      <c r="V290" s="38">
        <v>19166.0</v>
      </c>
      <c r="W290" s="38">
        <v>20529.0</v>
      </c>
      <c r="X290" s="30">
        <v>13454.0</v>
      </c>
      <c r="Y290" s="30">
        <v>13000.0</v>
      </c>
      <c r="Z290" s="16">
        <f t="shared" si="1"/>
        <v>7529</v>
      </c>
      <c r="AA290" s="17">
        <f t="shared" si="2"/>
        <v>-454</v>
      </c>
      <c r="AB290" s="30" t="s">
        <v>42</v>
      </c>
      <c r="AC290" s="20" t="s">
        <v>1779</v>
      </c>
      <c r="AD290" s="23"/>
      <c r="AE290" s="23"/>
    </row>
    <row r="291">
      <c r="A291" s="19">
        <v>289.0</v>
      </c>
      <c r="B291" s="31">
        <v>45668.0</v>
      </c>
      <c r="C291" s="20" t="s">
        <v>1780</v>
      </c>
      <c r="D291" s="39" t="s">
        <v>1781</v>
      </c>
      <c r="E291" s="30" t="s">
        <v>82</v>
      </c>
      <c r="F291" s="20" t="s">
        <v>1782</v>
      </c>
      <c r="G291" s="20" t="s">
        <v>1783</v>
      </c>
      <c r="H291" s="30">
        <v>7.600767864E9</v>
      </c>
      <c r="I291" s="35"/>
      <c r="J291" s="35"/>
      <c r="K291" s="30">
        <v>349.0</v>
      </c>
      <c r="L291" s="31">
        <v>46033.0</v>
      </c>
      <c r="M291" s="30" t="s">
        <v>237</v>
      </c>
      <c r="N291" s="32" t="s">
        <v>39</v>
      </c>
      <c r="O291" s="30" t="s">
        <v>76</v>
      </c>
      <c r="P291" s="30" t="s">
        <v>669</v>
      </c>
      <c r="Q291" s="20"/>
      <c r="R291" s="33">
        <v>49409.0</v>
      </c>
      <c r="S291" s="30" t="s">
        <v>1784</v>
      </c>
      <c r="T291" s="35"/>
      <c r="U291" s="35"/>
      <c r="V291" s="38">
        <v>2018.0</v>
      </c>
      <c r="W291" s="38">
        <v>2381.0</v>
      </c>
      <c r="X291" s="30">
        <v>2400.0</v>
      </c>
      <c r="Y291" s="30">
        <v>2400.0</v>
      </c>
      <c r="Z291" s="16">
        <f t="shared" si="1"/>
        <v>-19</v>
      </c>
      <c r="AA291" s="17">
        <f t="shared" si="2"/>
        <v>0</v>
      </c>
      <c r="AB291" s="30" t="s">
        <v>42</v>
      </c>
      <c r="AC291" s="20" t="s">
        <v>1785</v>
      </c>
      <c r="AD291" s="23"/>
      <c r="AE291" s="23"/>
    </row>
    <row r="292">
      <c r="A292" s="19">
        <v>290.0</v>
      </c>
      <c r="B292" s="31">
        <v>45668.0</v>
      </c>
      <c r="C292" s="20" t="s">
        <v>1786</v>
      </c>
      <c r="D292" s="39" t="s">
        <v>1787</v>
      </c>
      <c r="E292" s="30" t="s">
        <v>63</v>
      </c>
      <c r="F292" s="20" t="s">
        <v>1788</v>
      </c>
      <c r="G292" s="20" t="s">
        <v>1789</v>
      </c>
      <c r="H292" s="30">
        <v>7.35931592E9</v>
      </c>
      <c r="I292" s="30">
        <v>9.033546975E9</v>
      </c>
      <c r="J292" s="30"/>
      <c r="K292" s="30">
        <v>1197.0</v>
      </c>
      <c r="L292" s="30" t="s">
        <v>1666</v>
      </c>
      <c r="M292" s="30" t="s">
        <v>237</v>
      </c>
      <c r="N292" s="32" t="s">
        <v>75</v>
      </c>
      <c r="O292" s="30" t="s">
        <v>40</v>
      </c>
      <c r="P292" s="30" t="s">
        <v>67</v>
      </c>
      <c r="Q292" s="20"/>
      <c r="R292" s="30" t="s">
        <v>1790</v>
      </c>
      <c r="S292" s="30" t="s">
        <v>1791</v>
      </c>
      <c r="T292" s="35"/>
      <c r="U292" s="35"/>
      <c r="V292" s="30">
        <v>3416.0</v>
      </c>
      <c r="W292" s="30">
        <v>4030.0</v>
      </c>
      <c r="X292" s="30">
        <v>4000.0</v>
      </c>
      <c r="Y292" s="30">
        <v>4000.0</v>
      </c>
      <c r="Z292" s="26">
        <f t="shared" si="1"/>
        <v>30</v>
      </c>
      <c r="AA292" s="17">
        <f t="shared" si="2"/>
        <v>0</v>
      </c>
      <c r="AB292" s="30" t="s">
        <v>42</v>
      </c>
      <c r="AC292" s="20" t="s">
        <v>1792</v>
      </c>
      <c r="AD292" s="23"/>
      <c r="AE292" s="23"/>
    </row>
    <row r="293">
      <c r="A293" s="19">
        <v>291.0</v>
      </c>
      <c r="B293" s="31">
        <v>45668.0</v>
      </c>
      <c r="C293" s="20" t="s">
        <v>1793</v>
      </c>
      <c r="D293" s="39" t="s">
        <v>1794</v>
      </c>
      <c r="E293" s="30" t="s">
        <v>34</v>
      </c>
      <c r="F293" s="20" t="s">
        <v>971</v>
      </c>
      <c r="G293" s="20" t="s">
        <v>1795</v>
      </c>
      <c r="H293" s="30" t="s">
        <v>1796</v>
      </c>
      <c r="I293" s="30">
        <v>9.327134709E9</v>
      </c>
      <c r="J293" s="30"/>
      <c r="K293" s="30">
        <v>818.0</v>
      </c>
      <c r="L293" s="30" t="s">
        <v>1666</v>
      </c>
      <c r="M293" s="30" t="s">
        <v>180</v>
      </c>
      <c r="N293" s="32" t="s">
        <v>39</v>
      </c>
      <c r="O293" s="30" t="s">
        <v>246</v>
      </c>
      <c r="P293" s="30" t="s">
        <v>57</v>
      </c>
      <c r="Q293" s="20"/>
      <c r="R293" s="30" t="s">
        <v>1797</v>
      </c>
      <c r="S293" s="33">
        <v>46059.0</v>
      </c>
      <c r="T293" s="30" t="s">
        <v>1798</v>
      </c>
      <c r="U293" s="35"/>
      <c r="V293" s="30">
        <v>6568.0</v>
      </c>
      <c r="W293" s="30">
        <v>7750.0</v>
      </c>
      <c r="X293" s="42">
        <v>6500.0</v>
      </c>
      <c r="Y293" s="30">
        <v>5200.0</v>
      </c>
      <c r="Z293" s="26">
        <f t="shared" si="1"/>
        <v>2550</v>
      </c>
      <c r="AA293" s="17">
        <f t="shared" si="2"/>
        <v>-1300</v>
      </c>
      <c r="AB293" s="30" t="s">
        <v>42</v>
      </c>
      <c r="AC293" s="20" t="s">
        <v>1697</v>
      </c>
      <c r="AD293" s="23"/>
      <c r="AE293" s="23"/>
    </row>
    <row r="294">
      <c r="A294" s="19">
        <v>292.0</v>
      </c>
      <c r="B294" s="31">
        <v>45668.0</v>
      </c>
      <c r="C294" s="20" t="s">
        <v>1799</v>
      </c>
      <c r="D294" s="39">
        <v>6.203694079E9</v>
      </c>
      <c r="E294" s="30" t="s">
        <v>63</v>
      </c>
      <c r="F294" s="20" t="s">
        <v>658</v>
      </c>
      <c r="G294" s="20" t="s">
        <v>1800</v>
      </c>
      <c r="H294" s="30">
        <v>9.687789442E9</v>
      </c>
      <c r="I294" s="35"/>
      <c r="J294" s="35"/>
      <c r="K294" s="30">
        <v>1197.0</v>
      </c>
      <c r="L294" s="30" t="s">
        <v>1666</v>
      </c>
      <c r="M294" s="30" t="s">
        <v>180</v>
      </c>
      <c r="N294" s="32" t="s">
        <v>39</v>
      </c>
      <c r="O294" s="30" t="s">
        <v>47</v>
      </c>
      <c r="P294" s="30" t="s">
        <v>41</v>
      </c>
      <c r="Q294" s="20"/>
      <c r="R294" s="30" t="s">
        <v>1801</v>
      </c>
      <c r="S294" s="33">
        <v>46121.0</v>
      </c>
      <c r="T294" s="35"/>
      <c r="U294" s="35"/>
      <c r="V294" s="30">
        <v>12190.0</v>
      </c>
      <c r="W294" s="30">
        <v>12327.0</v>
      </c>
      <c r="X294" s="42">
        <v>12327.0</v>
      </c>
      <c r="Y294" s="42">
        <v>12327.0</v>
      </c>
      <c r="Z294" s="17">
        <f t="shared" si="1"/>
        <v>0</v>
      </c>
      <c r="AA294" s="17">
        <f t="shared" si="2"/>
        <v>0</v>
      </c>
      <c r="AB294" s="30" t="s">
        <v>42</v>
      </c>
      <c r="AC294" s="20" t="s">
        <v>1802</v>
      </c>
      <c r="AD294" s="23"/>
      <c r="AE294" s="23"/>
    </row>
    <row r="295">
      <c r="A295" s="19">
        <v>293.0</v>
      </c>
      <c r="B295" s="31">
        <v>45668.0</v>
      </c>
      <c r="C295" s="20" t="s">
        <v>1803</v>
      </c>
      <c r="D295" s="39" t="s">
        <v>1804</v>
      </c>
      <c r="E295" s="30" t="s">
        <v>63</v>
      </c>
      <c r="F295" s="20" t="s">
        <v>1805</v>
      </c>
      <c r="G295" s="20" t="s">
        <v>1806</v>
      </c>
      <c r="H295" s="30">
        <v>9.173286107E9</v>
      </c>
      <c r="I295" s="30">
        <v>9.90489079E9</v>
      </c>
      <c r="J295" s="30"/>
      <c r="K295" s="30">
        <v>1248.0</v>
      </c>
      <c r="L295" s="31">
        <v>46033.0</v>
      </c>
      <c r="M295" s="30" t="s">
        <v>74</v>
      </c>
      <c r="N295" s="32" t="s">
        <v>75</v>
      </c>
      <c r="O295" s="30" t="s">
        <v>47</v>
      </c>
      <c r="P295" s="30" t="s">
        <v>67</v>
      </c>
      <c r="Q295" s="20"/>
      <c r="R295" s="30" t="s">
        <v>522</v>
      </c>
      <c r="S295" s="33">
        <v>46238.0</v>
      </c>
      <c r="T295" s="30"/>
      <c r="U295" s="35"/>
      <c r="V295" s="30">
        <v>3416.0</v>
      </c>
      <c r="W295" s="30">
        <v>4030.88</v>
      </c>
      <c r="X295" s="30">
        <v>4000.0</v>
      </c>
      <c r="Y295" s="30">
        <v>4000.0</v>
      </c>
      <c r="Z295" s="26">
        <f t="shared" si="1"/>
        <v>30.88</v>
      </c>
      <c r="AA295" s="17">
        <f t="shared" si="2"/>
        <v>0</v>
      </c>
      <c r="AB295" s="30" t="s">
        <v>42</v>
      </c>
      <c r="AC295" s="20" t="s">
        <v>1807</v>
      </c>
      <c r="AD295" s="23"/>
      <c r="AE295" s="23"/>
    </row>
    <row r="296">
      <c r="A296" s="19">
        <v>294.0</v>
      </c>
      <c r="B296" s="31">
        <v>45668.0</v>
      </c>
      <c r="C296" s="20" t="s">
        <v>1808</v>
      </c>
      <c r="D296" s="39" t="s">
        <v>1809</v>
      </c>
      <c r="E296" s="30" t="s">
        <v>51</v>
      </c>
      <c r="F296" s="20" t="s">
        <v>1810</v>
      </c>
      <c r="G296" s="20" t="s">
        <v>1811</v>
      </c>
      <c r="H296" s="30" t="s">
        <v>1812</v>
      </c>
      <c r="I296" s="30">
        <v>9.898864823E9</v>
      </c>
      <c r="J296" s="30"/>
      <c r="K296" s="30">
        <v>3480.0</v>
      </c>
      <c r="L296" s="31">
        <v>46153.0</v>
      </c>
      <c r="M296" s="30" t="s">
        <v>484</v>
      </c>
      <c r="N296" s="32" t="s">
        <v>39</v>
      </c>
      <c r="O296" s="30" t="s">
        <v>140</v>
      </c>
      <c r="P296" s="30" t="s">
        <v>41</v>
      </c>
      <c r="Q296" s="20"/>
      <c r="R296" s="33">
        <v>45788.0</v>
      </c>
      <c r="S296" s="30" t="s">
        <v>403</v>
      </c>
      <c r="T296" s="33">
        <v>46976.0</v>
      </c>
      <c r="U296" s="35"/>
      <c r="V296" s="38">
        <v>22096.0</v>
      </c>
      <c r="W296" s="38">
        <v>23968.0</v>
      </c>
      <c r="X296" s="30">
        <v>16297.0</v>
      </c>
      <c r="Y296" s="30">
        <v>15200.0</v>
      </c>
      <c r="Z296" s="16">
        <f t="shared" si="1"/>
        <v>8768</v>
      </c>
      <c r="AA296" s="17">
        <f t="shared" si="2"/>
        <v>-1097</v>
      </c>
      <c r="AB296" s="30" t="s">
        <v>42</v>
      </c>
      <c r="AC296" s="20" t="s">
        <v>1813</v>
      </c>
      <c r="AD296" s="23"/>
      <c r="AE296" s="23"/>
    </row>
    <row r="297">
      <c r="A297" s="19">
        <v>295.0</v>
      </c>
      <c r="B297" s="31">
        <v>45668.0</v>
      </c>
      <c r="C297" s="20" t="s">
        <v>1814</v>
      </c>
      <c r="D297" s="20" t="s">
        <v>1815</v>
      </c>
      <c r="E297" s="30" t="s">
        <v>98</v>
      </c>
      <c r="F297" s="20" t="s">
        <v>1816</v>
      </c>
      <c r="G297" s="20" t="s">
        <v>1817</v>
      </c>
      <c r="H297" s="30">
        <v>9.879958899E9</v>
      </c>
      <c r="I297" s="30">
        <v>9.825251443E9</v>
      </c>
      <c r="J297" s="30"/>
      <c r="K297" s="30">
        <v>35000.0</v>
      </c>
      <c r="L297" s="31">
        <v>46123.0</v>
      </c>
      <c r="M297" s="30" t="s">
        <v>484</v>
      </c>
      <c r="N297" s="32" t="s">
        <v>39</v>
      </c>
      <c r="O297" s="30" t="s">
        <v>181</v>
      </c>
      <c r="P297" s="30" t="s">
        <v>41</v>
      </c>
      <c r="Q297" s="20"/>
      <c r="R297" s="33">
        <v>46153.0</v>
      </c>
      <c r="S297" s="33">
        <v>45788.0</v>
      </c>
      <c r="T297" s="30" t="s">
        <v>1818</v>
      </c>
      <c r="U297" s="35"/>
      <c r="V297" s="38">
        <v>75232.0</v>
      </c>
      <c r="W297" s="38">
        <v>83041.0</v>
      </c>
      <c r="X297" s="30">
        <v>65206.0</v>
      </c>
      <c r="Y297" s="30">
        <v>63500.0</v>
      </c>
      <c r="Z297" s="16">
        <f t="shared" si="1"/>
        <v>19541</v>
      </c>
      <c r="AA297" s="17">
        <f t="shared" si="2"/>
        <v>-1706</v>
      </c>
      <c r="AB297" s="30" t="s">
        <v>42</v>
      </c>
      <c r="AC297" s="20" t="s">
        <v>1819</v>
      </c>
      <c r="AD297" s="23"/>
      <c r="AE297" s="23"/>
    </row>
    <row r="298">
      <c r="A298" s="19">
        <v>296.0</v>
      </c>
      <c r="B298" s="31">
        <v>45668.0</v>
      </c>
      <c r="C298" s="20" t="s">
        <v>1820</v>
      </c>
      <c r="D298" s="20" t="s">
        <v>1821</v>
      </c>
      <c r="E298" s="30" t="s">
        <v>98</v>
      </c>
      <c r="F298" s="20" t="s">
        <v>1816</v>
      </c>
      <c r="G298" s="20" t="s">
        <v>1822</v>
      </c>
      <c r="H298" s="30">
        <v>9.879958899E9</v>
      </c>
      <c r="I298" s="30">
        <v>9.825251443E9</v>
      </c>
      <c r="J298" s="30"/>
      <c r="K298" s="30">
        <v>35000.0</v>
      </c>
      <c r="L298" s="31">
        <v>46123.0</v>
      </c>
      <c r="M298" s="30" t="s">
        <v>484</v>
      </c>
      <c r="N298" s="32" t="s">
        <v>39</v>
      </c>
      <c r="O298" s="30" t="s">
        <v>181</v>
      </c>
      <c r="P298" s="30" t="s">
        <v>41</v>
      </c>
      <c r="Q298" s="20"/>
      <c r="R298" s="33">
        <v>46153.0</v>
      </c>
      <c r="S298" s="33">
        <v>45788.0</v>
      </c>
      <c r="T298" s="30" t="s">
        <v>1818</v>
      </c>
      <c r="U298" s="35"/>
      <c r="V298" s="38">
        <v>75232.0</v>
      </c>
      <c r="W298" s="38">
        <v>83041.0</v>
      </c>
      <c r="X298" s="30">
        <v>65206.0</v>
      </c>
      <c r="Y298" s="30">
        <v>63500.0</v>
      </c>
      <c r="Z298" s="16">
        <f t="shared" si="1"/>
        <v>19541</v>
      </c>
      <c r="AA298" s="17">
        <f t="shared" si="2"/>
        <v>-1706</v>
      </c>
      <c r="AB298" s="30" t="s">
        <v>42</v>
      </c>
      <c r="AC298" s="20" t="s">
        <v>1823</v>
      </c>
      <c r="AD298" s="23"/>
      <c r="AE298" s="23"/>
    </row>
    <row r="299">
      <c r="A299" s="19">
        <v>297.0</v>
      </c>
      <c r="B299" s="46">
        <v>45668.0</v>
      </c>
      <c r="C299" s="44" t="s">
        <v>1824</v>
      </c>
      <c r="D299" s="44" t="s">
        <v>1825</v>
      </c>
      <c r="E299" s="45" t="s">
        <v>51</v>
      </c>
      <c r="F299" s="44" t="s">
        <v>1826</v>
      </c>
      <c r="G299" s="44" t="s">
        <v>1827</v>
      </c>
      <c r="H299" s="45">
        <v>9.879821031E9</v>
      </c>
      <c r="I299" s="45">
        <v>9.879821707E9</v>
      </c>
      <c r="J299" s="45"/>
      <c r="K299" s="45">
        <v>2575.0</v>
      </c>
      <c r="L299" s="45" t="s">
        <v>1666</v>
      </c>
      <c r="M299" s="45" t="s">
        <v>126</v>
      </c>
      <c r="N299" s="47" t="s">
        <v>39</v>
      </c>
      <c r="O299" s="45" t="s">
        <v>1828</v>
      </c>
      <c r="P299" s="45" t="s">
        <v>41</v>
      </c>
      <c r="Q299" s="44"/>
      <c r="R299" s="45" t="s">
        <v>1163</v>
      </c>
      <c r="S299" s="45" t="s">
        <v>1829</v>
      </c>
      <c r="T299" s="49"/>
      <c r="U299" s="49"/>
      <c r="V299" s="50">
        <v>21417.92</v>
      </c>
      <c r="W299" s="45">
        <v>23187.0</v>
      </c>
      <c r="X299" s="45">
        <v>16000.0</v>
      </c>
      <c r="Y299" s="45">
        <v>16000.0</v>
      </c>
      <c r="Z299" s="51">
        <f t="shared" si="1"/>
        <v>7187</v>
      </c>
      <c r="AA299" s="17">
        <f t="shared" si="2"/>
        <v>0</v>
      </c>
      <c r="AB299" s="45" t="s">
        <v>42</v>
      </c>
      <c r="AC299" s="44" t="s">
        <v>1830</v>
      </c>
      <c r="AD299" s="52"/>
      <c r="AE299" s="52"/>
      <c r="AF299" s="53"/>
      <c r="AG299" s="61" t="s">
        <v>1831</v>
      </c>
    </row>
    <row r="300">
      <c r="A300" s="19">
        <v>298.0</v>
      </c>
      <c r="B300" s="31">
        <v>45668.0</v>
      </c>
      <c r="C300" s="20" t="s">
        <v>1832</v>
      </c>
      <c r="D300" s="20" t="s">
        <v>1833</v>
      </c>
      <c r="E300" s="30" t="s">
        <v>51</v>
      </c>
      <c r="F300" s="20" t="s">
        <v>1834</v>
      </c>
      <c r="G300" s="20" t="s">
        <v>1835</v>
      </c>
      <c r="H300" s="30">
        <v>9.979431258E9</v>
      </c>
      <c r="I300" s="30">
        <v>9.925172441E9</v>
      </c>
      <c r="J300" s="30"/>
      <c r="K300" s="30">
        <v>3490.0</v>
      </c>
      <c r="L300" s="30" t="s">
        <v>1584</v>
      </c>
      <c r="M300" s="30" t="s">
        <v>484</v>
      </c>
      <c r="N300" s="32" t="s">
        <v>39</v>
      </c>
      <c r="O300" s="30" t="s">
        <v>47</v>
      </c>
      <c r="P300" s="30" t="s">
        <v>438</v>
      </c>
      <c r="Q300" s="20"/>
      <c r="R300" s="30" t="s">
        <v>1836</v>
      </c>
      <c r="S300" s="30" t="s">
        <v>1837</v>
      </c>
      <c r="T300" s="34">
        <v>46671.0</v>
      </c>
      <c r="U300" s="35"/>
      <c r="V300" s="38">
        <v>20388.0</v>
      </c>
      <c r="W300" s="38">
        <v>21961.0</v>
      </c>
      <c r="X300" s="42">
        <v>14850.0</v>
      </c>
      <c r="Y300" s="42">
        <v>14500.0</v>
      </c>
      <c r="Z300" s="16">
        <f t="shared" si="1"/>
        <v>7461</v>
      </c>
      <c r="AA300" s="17">
        <f t="shared" si="2"/>
        <v>-350</v>
      </c>
      <c r="AB300" s="30" t="s">
        <v>42</v>
      </c>
      <c r="AC300" s="20" t="s">
        <v>1838</v>
      </c>
      <c r="AD300" s="23"/>
      <c r="AE300" s="23"/>
    </row>
    <row r="301">
      <c r="A301" s="19">
        <v>299.0</v>
      </c>
      <c r="B301" s="31">
        <v>45668.0</v>
      </c>
      <c r="C301" s="20" t="s">
        <v>1839</v>
      </c>
      <c r="D301" s="20" t="s">
        <v>1840</v>
      </c>
      <c r="E301" s="30" t="s">
        <v>51</v>
      </c>
      <c r="F301" s="20" t="s">
        <v>52</v>
      </c>
      <c r="G301" s="20" t="s">
        <v>1841</v>
      </c>
      <c r="H301" s="30">
        <v>9.824146576E9</v>
      </c>
      <c r="I301" s="30">
        <v>9.714764421E9</v>
      </c>
      <c r="J301" s="30"/>
      <c r="K301" s="30">
        <v>1600.0</v>
      </c>
      <c r="L301" s="30" t="s">
        <v>1584</v>
      </c>
      <c r="M301" s="30" t="s">
        <v>55</v>
      </c>
      <c r="N301" s="32" t="s">
        <v>39</v>
      </c>
      <c r="O301" s="30" t="s">
        <v>47</v>
      </c>
      <c r="P301" s="30" t="s">
        <v>41</v>
      </c>
      <c r="Q301" s="20"/>
      <c r="R301" s="30" t="s">
        <v>1563</v>
      </c>
      <c r="S301" s="30" t="s">
        <v>1518</v>
      </c>
      <c r="T301" s="35"/>
      <c r="U301" s="35"/>
      <c r="V301" s="38">
        <v>19664.0</v>
      </c>
      <c r="W301" s="38">
        <v>21117.0</v>
      </c>
      <c r="X301" s="42">
        <v>13729.0</v>
      </c>
      <c r="Y301" s="42">
        <v>13500.0</v>
      </c>
      <c r="Z301" s="16">
        <f t="shared" si="1"/>
        <v>7617</v>
      </c>
      <c r="AA301" s="17">
        <f t="shared" si="2"/>
        <v>-229</v>
      </c>
      <c r="AB301" s="30" t="s">
        <v>42</v>
      </c>
      <c r="AC301" s="20" t="s">
        <v>1842</v>
      </c>
      <c r="AD301" s="23"/>
      <c r="AE301" s="23"/>
    </row>
    <row r="302">
      <c r="A302" s="19">
        <v>300.0</v>
      </c>
      <c r="B302" s="10">
        <v>45668.0</v>
      </c>
      <c r="C302" s="11" t="s">
        <v>1843</v>
      </c>
      <c r="D302" s="11" t="s">
        <v>1844</v>
      </c>
      <c r="E302" s="12" t="s">
        <v>51</v>
      </c>
      <c r="F302" s="11" t="s">
        <v>1845</v>
      </c>
      <c r="G302" s="11" t="s">
        <v>1846</v>
      </c>
      <c r="H302" s="12">
        <v>9.265372651E9</v>
      </c>
      <c r="I302" s="12">
        <v>9.904529948E9</v>
      </c>
      <c r="J302" s="11"/>
      <c r="K302" s="12">
        <v>3895.0</v>
      </c>
      <c r="L302" s="12" t="s">
        <v>1666</v>
      </c>
      <c r="M302" s="12" t="s">
        <v>484</v>
      </c>
      <c r="N302" s="72" t="s">
        <v>39</v>
      </c>
      <c r="O302" s="12" t="s">
        <v>56</v>
      </c>
      <c r="P302" s="12" t="s">
        <v>41</v>
      </c>
      <c r="Q302" s="11"/>
      <c r="R302" s="12" t="s">
        <v>1518</v>
      </c>
      <c r="S302" s="12" t="s">
        <v>991</v>
      </c>
      <c r="T302" s="12" t="s">
        <v>485</v>
      </c>
      <c r="U302" s="11"/>
      <c r="V302" s="15">
        <v>22650.0</v>
      </c>
      <c r="W302" s="15">
        <v>24630.0</v>
      </c>
      <c r="X302" s="12">
        <v>15525.0</v>
      </c>
      <c r="Y302" s="12">
        <v>16000.0</v>
      </c>
      <c r="Z302" s="15">
        <f t="shared" si="1"/>
        <v>8630</v>
      </c>
      <c r="AA302" s="73">
        <f t="shared" si="2"/>
        <v>475</v>
      </c>
      <c r="AB302" s="12" t="s">
        <v>42</v>
      </c>
      <c r="AC302" s="11" t="s">
        <v>1847</v>
      </c>
      <c r="AD302" s="11"/>
      <c r="AE302" s="11"/>
      <c r="AF302" s="18"/>
      <c r="AG302" s="18"/>
    </row>
    <row r="303">
      <c r="A303" s="19">
        <v>301.0</v>
      </c>
      <c r="B303" s="10">
        <v>45668.0</v>
      </c>
      <c r="C303" s="11" t="s">
        <v>1848</v>
      </c>
      <c r="D303" s="11" t="s">
        <v>1849</v>
      </c>
      <c r="E303" s="12" t="s">
        <v>51</v>
      </c>
      <c r="F303" s="11" t="s">
        <v>1850</v>
      </c>
      <c r="G303" s="11" t="s">
        <v>1851</v>
      </c>
      <c r="H303" s="12">
        <v>7.069241307E9</v>
      </c>
      <c r="I303" s="12">
        <v>9.328626758E9</v>
      </c>
      <c r="J303" s="11"/>
      <c r="K303" s="12">
        <v>2750.0</v>
      </c>
      <c r="L303" s="10">
        <v>46092.0</v>
      </c>
      <c r="M303" s="12" t="s">
        <v>484</v>
      </c>
      <c r="N303" s="72" t="s">
        <v>39</v>
      </c>
      <c r="O303" s="12" t="s">
        <v>40</v>
      </c>
      <c r="P303" s="12" t="s">
        <v>41</v>
      </c>
      <c r="Q303" s="11"/>
      <c r="R303" s="14">
        <v>45507.0</v>
      </c>
      <c r="S303" s="14">
        <v>44782.0</v>
      </c>
      <c r="T303" s="11"/>
      <c r="U303" s="11"/>
      <c r="V303" s="15">
        <v>19039.0</v>
      </c>
      <c r="W303" s="15">
        <v>20369.0</v>
      </c>
      <c r="X303" s="12">
        <v>13356.0</v>
      </c>
      <c r="Y303" s="12">
        <v>12500.0</v>
      </c>
      <c r="Z303" s="15">
        <f t="shared" si="1"/>
        <v>7869</v>
      </c>
      <c r="AA303" s="73">
        <v>0.0</v>
      </c>
      <c r="AB303" s="12" t="s">
        <v>42</v>
      </c>
      <c r="AC303" s="11" t="s">
        <v>1852</v>
      </c>
      <c r="AD303" s="11"/>
      <c r="AE303" s="11"/>
      <c r="AF303" s="18"/>
      <c r="AG303" s="18"/>
    </row>
    <row r="304">
      <c r="A304" s="19">
        <v>302.0</v>
      </c>
      <c r="B304" s="10">
        <v>45668.0</v>
      </c>
      <c r="C304" s="11" t="s">
        <v>1853</v>
      </c>
      <c r="D304" s="11" t="s">
        <v>1854</v>
      </c>
      <c r="E304" s="12" t="s">
        <v>98</v>
      </c>
      <c r="F304" s="11" t="s">
        <v>1855</v>
      </c>
      <c r="G304" s="11" t="s">
        <v>1856</v>
      </c>
      <c r="H304" s="12">
        <v>9.978460453E9</v>
      </c>
      <c r="I304" s="12">
        <v>9.427896364E9</v>
      </c>
      <c r="J304" s="11"/>
      <c r="K304" s="12">
        <v>14050.0</v>
      </c>
      <c r="L304" s="12" t="s">
        <v>1666</v>
      </c>
      <c r="M304" s="12" t="s">
        <v>228</v>
      </c>
      <c r="N304" s="72" t="s">
        <v>75</v>
      </c>
      <c r="O304" s="12" t="s">
        <v>47</v>
      </c>
      <c r="P304" s="12" t="s">
        <v>57</v>
      </c>
      <c r="Q304" s="11"/>
      <c r="R304" s="14">
        <v>45668.0</v>
      </c>
      <c r="S304" s="14">
        <v>46360.0</v>
      </c>
      <c r="T304" s="14">
        <v>47671.0</v>
      </c>
      <c r="U304" s="11"/>
      <c r="V304" s="12">
        <v>35413.0</v>
      </c>
      <c r="W304" s="12">
        <v>37197.0</v>
      </c>
      <c r="X304" s="73">
        <v>25000.0</v>
      </c>
      <c r="Y304" s="73">
        <v>25000.0</v>
      </c>
      <c r="Z304" s="73">
        <f t="shared" si="1"/>
        <v>12197</v>
      </c>
      <c r="AA304" s="73">
        <f>Y304-X304</f>
        <v>0</v>
      </c>
      <c r="AB304" s="12" t="s">
        <v>42</v>
      </c>
      <c r="AC304" s="11" t="s">
        <v>1857</v>
      </c>
      <c r="AD304" s="11"/>
      <c r="AE304" s="11"/>
      <c r="AF304" s="18"/>
      <c r="AG304" s="18"/>
    </row>
    <row r="305">
      <c r="A305" s="19">
        <v>303.0</v>
      </c>
      <c r="B305" s="10">
        <v>45668.0</v>
      </c>
      <c r="C305" s="11" t="s">
        <v>1858</v>
      </c>
      <c r="D305" s="11" t="s">
        <v>1859</v>
      </c>
      <c r="E305" s="12" t="s">
        <v>51</v>
      </c>
      <c r="F305" s="11" t="s">
        <v>1860</v>
      </c>
      <c r="G305" s="11" t="s">
        <v>1861</v>
      </c>
      <c r="H305" s="12">
        <v>7.069241307E9</v>
      </c>
      <c r="I305" s="12">
        <v>9.328626758E9</v>
      </c>
      <c r="J305" s="11"/>
      <c r="K305" s="12">
        <v>2670.0</v>
      </c>
      <c r="L305" s="10">
        <v>46064.0</v>
      </c>
      <c r="M305" s="12" t="s">
        <v>38</v>
      </c>
      <c r="N305" s="72" t="s">
        <v>39</v>
      </c>
      <c r="O305" s="12" t="s">
        <v>40</v>
      </c>
      <c r="P305" s="12" t="s">
        <v>41</v>
      </c>
      <c r="Q305" s="11"/>
      <c r="R305" s="14">
        <v>45507.0</v>
      </c>
      <c r="S305" s="14">
        <v>45141.0</v>
      </c>
      <c r="T305" s="11"/>
      <c r="U305" s="11"/>
      <c r="V305" s="12">
        <v>18131.0</v>
      </c>
      <c r="W305" s="12">
        <v>19308.0</v>
      </c>
      <c r="X305" s="12">
        <v>13066.0</v>
      </c>
      <c r="Y305" s="12">
        <v>12500.0</v>
      </c>
      <c r="Z305" s="12">
        <f t="shared" si="1"/>
        <v>6808</v>
      </c>
      <c r="AA305" s="73">
        <v>0.0</v>
      </c>
      <c r="AB305" s="12" t="s">
        <v>42</v>
      </c>
      <c r="AC305" s="11" t="s">
        <v>1862</v>
      </c>
      <c r="AD305" s="11"/>
      <c r="AE305" s="11"/>
      <c r="AF305" s="18"/>
      <c r="AG305" s="18"/>
    </row>
    <row r="306">
      <c r="A306" s="19">
        <v>304.0</v>
      </c>
      <c r="B306" s="10">
        <v>45668.0</v>
      </c>
      <c r="C306" s="11" t="s">
        <v>1863</v>
      </c>
      <c r="D306" s="11" t="s">
        <v>1864</v>
      </c>
      <c r="E306" s="12" t="s">
        <v>51</v>
      </c>
      <c r="F306" s="11" t="s">
        <v>1865</v>
      </c>
      <c r="G306" s="11" t="s">
        <v>1866</v>
      </c>
      <c r="H306" s="12">
        <v>9.099910034E9</v>
      </c>
      <c r="I306" s="12">
        <v>9.099910037E9</v>
      </c>
      <c r="J306" s="11"/>
      <c r="K306" s="12">
        <v>2995.0</v>
      </c>
      <c r="L306" s="10">
        <v>46033.0</v>
      </c>
      <c r="M306" s="12" t="s">
        <v>228</v>
      </c>
      <c r="N306" s="72" t="s">
        <v>39</v>
      </c>
      <c r="O306" s="12" t="s">
        <v>47</v>
      </c>
      <c r="P306" s="12" t="s">
        <v>41</v>
      </c>
      <c r="Q306" s="11"/>
      <c r="R306" s="12" t="s">
        <v>1867</v>
      </c>
      <c r="S306" s="12" t="s">
        <v>1868</v>
      </c>
      <c r="T306" s="11"/>
      <c r="U306" s="11"/>
      <c r="V306" s="15">
        <v>20254.0</v>
      </c>
      <c r="W306" s="15">
        <v>21813.0</v>
      </c>
      <c r="X306" s="73">
        <v>15000.0</v>
      </c>
      <c r="Y306" s="73">
        <v>14000.0</v>
      </c>
      <c r="Z306" s="15">
        <f t="shared" si="1"/>
        <v>7813</v>
      </c>
      <c r="AA306" s="73">
        <f t="shared" ref="AA306:AA315" si="3">Y306-X306</f>
        <v>-1000</v>
      </c>
      <c r="AB306" s="12" t="s">
        <v>42</v>
      </c>
      <c r="AC306" s="11" t="s">
        <v>1869</v>
      </c>
      <c r="AD306" s="11"/>
      <c r="AE306" s="11"/>
      <c r="AF306" s="18"/>
      <c r="AG306" s="18"/>
    </row>
    <row r="307">
      <c r="A307" s="19">
        <v>305.0</v>
      </c>
      <c r="B307" s="10">
        <v>45668.0</v>
      </c>
      <c r="C307" s="11" t="s">
        <v>1870</v>
      </c>
      <c r="D307" s="11" t="s">
        <v>1871</v>
      </c>
      <c r="E307" s="12" t="s">
        <v>98</v>
      </c>
      <c r="F307" s="11" t="s">
        <v>1872</v>
      </c>
      <c r="G307" s="11" t="s">
        <v>1873</v>
      </c>
      <c r="H307" s="12">
        <v>9.979311617E9</v>
      </c>
      <c r="I307" s="12">
        <v>8.320318868E9</v>
      </c>
      <c r="J307" s="11"/>
      <c r="K307" s="12">
        <v>42000.0</v>
      </c>
      <c r="L307" s="12" t="s">
        <v>1666</v>
      </c>
      <c r="M307" s="12" t="s">
        <v>38</v>
      </c>
      <c r="N307" s="72" t="s">
        <v>39</v>
      </c>
      <c r="O307" s="12" t="s">
        <v>47</v>
      </c>
      <c r="P307" s="12" t="s">
        <v>41</v>
      </c>
      <c r="Q307" s="11"/>
      <c r="R307" s="14">
        <v>46064.0</v>
      </c>
      <c r="S307" s="14">
        <v>46064.0</v>
      </c>
      <c r="T307" s="14">
        <v>46398.0</v>
      </c>
      <c r="U307" s="14">
        <v>45668.0</v>
      </c>
      <c r="V307" s="12">
        <v>47971.0</v>
      </c>
      <c r="W307" s="12">
        <v>50855.0</v>
      </c>
      <c r="X307" s="12">
        <v>43458.0</v>
      </c>
      <c r="Y307" s="12">
        <v>43500.0</v>
      </c>
      <c r="Z307" s="12">
        <f t="shared" si="1"/>
        <v>7355</v>
      </c>
      <c r="AA307" s="73">
        <f t="shared" si="3"/>
        <v>42</v>
      </c>
      <c r="AB307" s="12" t="s">
        <v>42</v>
      </c>
      <c r="AC307" s="11" t="s">
        <v>1874</v>
      </c>
      <c r="AD307" s="11"/>
      <c r="AE307" s="11"/>
      <c r="AF307" s="18"/>
      <c r="AG307" s="18"/>
    </row>
    <row r="308">
      <c r="A308" s="19">
        <v>306.0</v>
      </c>
      <c r="B308" s="10">
        <v>45668.0</v>
      </c>
      <c r="C308" s="11" t="s">
        <v>1875</v>
      </c>
      <c r="D308" s="11" t="s">
        <v>1876</v>
      </c>
      <c r="E308" s="12" t="s">
        <v>51</v>
      </c>
      <c r="F308" s="11" t="s">
        <v>599</v>
      </c>
      <c r="G308" s="11" t="s">
        <v>1877</v>
      </c>
      <c r="H308" s="12">
        <v>6.354632943E9</v>
      </c>
      <c r="I308" s="12" t="s">
        <v>1878</v>
      </c>
      <c r="J308" s="11"/>
      <c r="K308" s="12">
        <v>3460.0</v>
      </c>
      <c r="L308" s="12" t="s">
        <v>1666</v>
      </c>
      <c r="M308" s="12" t="s">
        <v>228</v>
      </c>
      <c r="N308" s="72" t="s">
        <v>39</v>
      </c>
      <c r="O308" s="12" t="s">
        <v>40</v>
      </c>
      <c r="P308" s="12" t="s">
        <v>41</v>
      </c>
      <c r="Q308" s="11"/>
      <c r="R308" s="12" t="s">
        <v>1518</v>
      </c>
      <c r="S308" s="12" t="s">
        <v>991</v>
      </c>
      <c r="T308" s="12" t="s">
        <v>485</v>
      </c>
      <c r="U308" s="11"/>
      <c r="V308" s="15">
        <v>22229.0</v>
      </c>
      <c r="W308" s="15">
        <v>24144.0</v>
      </c>
      <c r="X308" s="12">
        <v>16328.0</v>
      </c>
      <c r="Y308" s="12">
        <v>16000.0</v>
      </c>
      <c r="Z308" s="15">
        <f t="shared" si="1"/>
        <v>8144</v>
      </c>
      <c r="AA308" s="73">
        <f t="shared" si="3"/>
        <v>-328</v>
      </c>
      <c r="AB308" s="12" t="s">
        <v>42</v>
      </c>
      <c r="AC308" s="11" t="s">
        <v>1879</v>
      </c>
      <c r="AD308" s="11"/>
      <c r="AE308" s="11"/>
      <c r="AF308" s="18"/>
      <c r="AG308" s="18" t="s">
        <v>1880</v>
      </c>
    </row>
    <row r="309">
      <c r="A309" s="19">
        <v>307.0</v>
      </c>
      <c r="B309" s="10">
        <v>45699.0</v>
      </c>
      <c r="C309" s="11" t="s">
        <v>1881</v>
      </c>
      <c r="D309" s="11" t="s">
        <v>1882</v>
      </c>
      <c r="E309" s="12" t="s">
        <v>51</v>
      </c>
      <c r="F309" s="11" t="s">
        <v>1232</v>
      </c>
      <c r="G309" s="11" t="s">
        <v>1883</v>
      </c>
      <c r="H309" s="12">
        <v>9.909638759E9</v>
      </c>
      <c r="I309" s="12">
        <v>9.016005279E9</v>
      </c>
      <c r="J309" s="11"/>
      <c r="K309" s="12">
        <v>2825.0</v>
      </c>
      <c r="L309" s="10">
        <v>46033.0</v>
      </c>
      <c r="M309" s="12" t="s">
        <v>484</v>
      </c>
      <c r="N309" s="72" t="s">
        <v>39</v>
      </c>
      <c r="O309" s="12" t="s">
        <v>47</v>
      </c>
      <c r="P309" s="12" t="s">
        <v>57</v>
      </c>
      <c r="Q309" s="11"/>
      <c r="R309" s="14">
        <v>46457.0</v>
      </c>
      <c r="S309" s="14">
        <v>46213.0</v>
      </c>
      <c r="T309" s="11"/>
      <c r="U309" s="11"/>
      <c r="V309" s="15">
        <v>19815.0</v>
      </c>
      <c r="W309" s="15">
        <v>21276.0</v>
      </c>
      <c r="X309" s="12">
        <v>15331.0</v>
      </c>
      <c r="Y309" s="12">
        <v>15000.0</v>
      </c>
      <c r="Z309" s="15">
        <f t="shared" si="1"/>
        <v>6276</v>
      </c>
      <c r="AA309" s="73">
        <f t="shared" si="3"/>
        <v>-331</v>
      </c>
      <c r="AB309" s="12" t="s">
        <v>42</v>
      </c>
      <c r="AC309" s="11" t="s">
        <v>1884</v>
      </c>
      <c r="AD309" s="11"/>
      <c r="AE309" s="11"/>
      <c r="AF309" s="18"/>
      <c r="AG309" s="18"/>
    </row>
    <row r="310">
      <c r="A310" s="19">
        <v>308.0</v>
      </c>
      <c r="B310" s="10">
        <v>45727.0</v>
      </c>
      <c r="C310" s="11" t="s">
        <v>1885</v>
      </c>
      <c r="D310" s="11" t="s">
        <v>1886</v>
      </c>
      <c r="E310" s="12" t="s">
        <v>51</v>
      </c>
      <c r="F310" s="11" t="s">
        <v>1887</v>
      </c>
      <c r="G310" s="11" t="s">
        <v>1888</v>
      </c>
      <c r="H310" s="12">
        <v>9.979431258E9</v>
      </c>
      <c r="I310" s="12">
        <v>9.925172441E9</v>
      </c>
      <c r="J310" s="11"/>
      <c r="K310" s="12">
        <v>2500.0</v>
      </c>
      <c r="L310" s="10">
        <v>46123.0</v>
      </c>
      <c r="M310" s="12" t="s">
        <v>634</v>
      </c>
      <c r="N310" s="72" t="s">
        <v>39</v>
      </c>
      <c r="O310" s="12" t="s">
        <v>246</v>
      </c>
      <c r="P310" s="12" t="s">
        <v>57</v>
      </c>
      <c r="Q310" s="11"/>
      <c r="R310" s="14">
        <v>45789.0</v>
      </c>
      <c r="S310" s="12" t="s">
        <v>1889</v>
      </c>
      <c r="T310" s="11"/>
      <c r="U310" s="11"/>
      <c r="V310" s="15">
        <v>17358.0</v>
      </c>
      <c r="W310" s="15">
        <v>18396.0</v>
      </c>
      <c r="X310" s="12">
        <v>12843.0</v>
      </c>
      <c r="Y310" s="12">
        <v>13000.0</v>
      </c>
      <c r="Z310" s="15">
        <f t="shared" si="1"/>
        <v>5396</v>
      </c>
      <c r="AA310" s="73">
        <f t="shared" si="3"/>
        <v>157</v>
      </c>
      <c r="AB310" s="12" t="s">
        <v>42</v>
      </c>
      <c r="AC310" s="11" t="s">
        <v>1890</v>
      </c>
      <c r="AD310" s="11"/>
      <c r="AE310" s="11"/>
      <c r="AF310" s="18"/>
      <c r="AG310" s="18"/>
    </row>
    <row r="311">
      <c r="A311" s="19">
        <v>309.0</v>
      </c>
      <c r="B311" s="10">
        <v>45758.0</v>
      </c>
      <c r="C311" s="11" t="s">
        <v>1891</v>
      </c>
      <c r="D311" s="11" t="s">
        <v>1892</v>
      </c>
      <c r="E311" s="12" t="s">
        <v>51</v>
      </c>
      <c r="F311" s="11" t="s">
        <v>1893</v>
      </c>
      <c r="G311" s="11" t="s">
        <v>1894</v>
      </c>
      <c r="H311" s="12">
        <v>9.099365144E9</v>
      </c>
      <c r="I311" s="12">
        <v>9.725435476E9</v>
      </c>
      <c r="J311" s="11"/>
      <c r="K311" s="12">
        <v>1600.0</v>
      </c>
      <c r="L311" s="10">
        <v>46184.0</v>
      </c>
      <c r="M311" s="12" t="s">
        <v>38</v>
      </c>
      <c r="N311" s="72" t="s">
        <v>39</v>
      </c>
      <c r="O311" s="12" t="s">
        <v>246</v>
      </c>
      <c r="P311" s="12" t="s">
        <v>41</v>
      </c>
      <c r="Q311" s="11"/>
      <c r="R311" s="14">
        <v>46214.0</v>
      </c>
      <c r="S311" s="14">
        <v>45849.0</v>
      </c>
      <c r="T311" s="11"/>
      <c r="U311" s="11"/>
      <c r="V311" s="12">
        <v>19238.0</v>
      </c>
      <c r="W311" s="12">
        <v>20614.0</v>
      </c>
      <c r="X311" s="12">
        <v>14066.0</v>
      </c>
      <c r="Y311" s="12">
        <v>14000.0</v>
      </c>
      <c r="Z311" s="12">
        <f t="shared" si="1"/>
        <v>6614</v>
      </c>
      <c r="AA311" s="73">
        <f t="shared" si="3"/>
        <v>-66</v>
      </c>
      <c r="AB311" s="12" t="s">
        <v>42</v>
      </c>
      <c r="AC311" s="11" t="s">
        <v>1895</v>
      </c>
      <c r="AD311" s="11"/>
      <c r="AE311" s="11"/>
      <c r="AF311" s="18"/>
      <c r="AG311" s="18"/>
    </row>
    <row r="312">
      <c r="A312" s="19">
        <v>310.0</v>
      </c>
      <c r="B312" s="10">
        <v>45758.0</v>
      </c>
      <c r="C312" s="11" t="s">
        <v>1896</v>
      </c>
      <c r="D312" s="11">
        <v>7.10021303E8</v>
      </c>
      <c r="E312" s="12" t="s">
        <v>63</v>
      </c>
      <c r="F312" s="11" t="s">
        <v>1897</v>
      </c>
      <c r="G312" s="11" t="s">
        <v>1898</v>
      </c>
      <c r="H312" s="12">
        <v>8.347342547E9</v>
      </c>
      <c r="I312" s="12">
        <v>8.980533351E9</v>
      </c>
      <c r="J312" s="11"/>
      <c r="K312" s="73">
        <v>1248.0</v>
      </c>
      <c r="L312" s="10">
        <v>46092.0</v>
      </c>
      <c r="M312" s="12" t="s">
        <v>260</v>
      </c>
      <c r="N312" s="72" t="s">
        <v>75</v>
      </c>
      <c r="O312" s="12" t="s">
        <v>213</v>
      </c>
      <c r="P312" s="12" t="s">
        <v>67</v>
      </c>
      <c r="Q312" s="11"/>
      <c r="R312" s="14">
        <v>47364.0</v>
      </c>
      <c r="S312" s="12" t="s">
        <v>1899</v>
      </c>
      <c r="T312" s="11"/>
      <c r="U312" s="11"/>
      <c r="V312" s="12">
        <v>3416.0</v>
      </c>
      <c r="W312" s="15">
        <v>4030.88</v>
      </c>
      <c r="X312" s="12">
        <v>4000.0</v>
      </c>
      <c r="Y312" s="12">
        <v>4000.0</v>
      </c>
      <c r="Z312" s="15">
        <f t="shared" si="1"/>
        <v>30.88</v>
      </c>
      <c r="AA312" s="73">
        <f t="shared" si="3"/>
        <v>0</v>
      </c>
      <c r="AB312" s="12" t="s">
        <v>42</v>
      </c>
      <c r="AC312" s="11" t="s">
        <v>1900</v>
      </c>
      <c r="AD312" s="11"/>
      <c r="AE312" s="11"/>
      <c r="AF312" s="18"/>
      <c r="AG312" s="18"/>
    </row>
    <row r="313">
      <c r="A313" s="19">
        <v>311.0</v>
      </c>
      <c r="B313" s="10">
        <v>45758.0</v>
      </c>
      <c r="C313" s="11" t="s">
        <v>1901</v>
      </c>
      <c r="D313" s="11" t="s">
        <v>1902</v>
      </c>
      <c r="E313" s="12" t="s">
        <v>63</v>
      </c>
      <c r="F313" s="11" t="s">
        <v>1903</v>
      </c>
      <c r="G313" s="11" t="s">
        <v>1904</v>
      </c>
      <c r="H313" s="12" t="s">
        <v>1689</v>
      </c>
      <c r="I313" s="11"/>
      <c r="J313" s="11"/>
      <c r="K313" s="12">
        <v>2184.0</v>
      </c>
      <c r="L313" s="10">
        <v>46092.0</v>
      </c>
      <c r="M313" s="12" t="s">
        <v>700</v>
      </c>
      <c r="N313" s="72" t="s">
        <v>39</v>
      </c>
      <c r="O313" s="12" t="s">
        <v>47</v>
      </c>
      <c r="P313" s="12" t="s">
        <v>669</v>
      </c>
      <c r="Q313" s="11"/>
      <c r="R313" s="14">
        <v>50748.0</v>
      </c>
      <c r="S313" s="14">
        <v>46299.0</v>
      </c>
      <c r="T313" s="11"/>
      <c r="U313" s="11"/>
      <c r="V313" s="12">
        <v>25500.0</v>
      </c>
      <c r="W313" s="12">
        <v>30090.0</v>
      </c>
      <c r="X313" s="12">
        <v>29205.0</v>
      </c>
      <c r="Y313" s="12">
        <v>29205.0</v>
      </c>
      <c r="Z313" s="12">
        <f t="shared" si="1"/>
        <v>885</v>
      </c>
      <c r="AA313" s="73">
        <f t="shared" si="3"/>
        <v>0</v>
      </c>
      <c r="AB313" s="12" t="s">
        <v>42</v>
      </c>
      <c r="AC313" s="11" t="s">
        <v>1905</v>
      </c>
      <c r="AD313" s="11"/>
      <c r="AE313" s="11"/>
      <c r="AF313" s="18"/>
      <c r="AG313" s="18"/>
    </row>
    <row r="314">
      <c r="A314" s="19">
        <v>312.0</v>
      </c>
      <c r="B314" s="10">
        <v>45788.0</v>
      </c>
      <c r="C314" s="18" t="s">
        <v>1906</v>
      </c>
      <c r="D314" s="18" t="s">
        <v>1907</v>
      </c>
      <c r="E314" s="12" t="s">
        <v>1399</v>
      </c>
      <c r="F314" s="18" t="s">
        <v>1908</v>
      </c>
      <c r="G314" s="18" t="s">
        <v>1909</v>
      </c>
      <c r="H314" s="12">
        <v>9.106246885E9</v>
      </c>
      <c r="I314" s="12">
        <v>9.726727584E9</v>
      </c>
      <c r="J314" s="11"/>
      <c r="K314" s="12">
        <v>2100.0</v>
      </c>
      <c r="L314" s="74">
        <v>46245.0</v>
      </c>
      <c r="M314" s="12" t="s">
        <v>634</v>
      </c>
      <c r="N314" s="72" t="s">
        <v>39</v>
      </c>
      <c r="O314" s="12" t="s">
        <v>40</v>
      </c>
      <c r="P314" s="12" t="s">
        <v>57</v>
      </c>
      <c r="Q314" s="11"/>
      <c r="R314" s="12" t="s">
        <v>1530</v>
      </c>
      <c r="S314" s="14">
        <v>45880.0</v>
      </c>
      <c r="T314" s="11"/>
      <c r="U314" s="11"/>
      <c r="V314" s="75">
        <v>16934.0</v>
      </c>
      <c r="W314" s="75">
        <v>17896.0</v>
      </c>
      <c r="X314" s="12">
        <v>12536.0</v>
      </c>
      <c r="Y314" s="12">
        <v>12500.0</v>
      </c>
      <c r="Z314" s="15">
        <f t="shared" si="1"/>
        <v>5396</v>
      </c>
      <c r="AA314" s="73">
        <f t="shared" si="3"/>
        <v>-36</v>
      </c>
      <c r="AB314" s="12" t="s">
        <v>42</v>
      </c>
      <c r="AC314" s="18" t="s">
        <v>1910</v>
      </c>
      <c r="AD314" s="11"/>
      <c r="AE314" s="11"/>
      <c r="AF314" s="18"/>
      <c r="AG314" s="18"/>
    </row>
    <row r="315">
      <c r="A315" s="19">
        <v>313.0</v>
      </c>
      <c r="B315" s="76">
        <v>45972.0</v>
      </c>
      <c r="C315" s="18" t="s">
        <v>1911</v>
      </c>
      <c r="D315" s="18" t="s">
        <v>1912</v>
      </c>
      <c r="E315" s="12" t="s">
        <v>1399</v>
      </c>
      <c r="F315" s="18" t="s">
        <v>1913</v>
      </c>
      <c r="G315" s="18" t="s">
        <v>1914</v>
      </c>
      <c r="H315" s="12">
        <v>6.359081207E9</v>
      </c>
      <c r="I315" s="12">
        <v>9.099915222E9</v>
      </c>
      <c r="J315" s="11"/>
      <c r="K315" s="12">
        <v>2670.0</v>
      </c>
      <c r="L315" s="74">
        <v>46276.0</v>
      </c>
      <c r="M315" s="12" t="s">
        <v>484</v>
      </c>
      <c r="N315" s="72" t="s">
        <v>39</v>
      </c>
      <c r="O315" s="12" t="s">
        <v>40</v>
      </c>
      <c r="P315" s="12" t="s">
        <v>41</v>
      </c>
      <c r="Q315" s="11"/>
      <c r="R315" s="14">
        <v>46334.0</v>
      </c>
      <c r="S315" s="14">
        <v>45937.0</v>
      </c>
      <c r="T315" s="11"/>
      <c r="U315" s="11"/>
      <c r="V315" s="77">
        <v>18704.0</v>
      </c>
      <c r="W315" s="77">
        <v>19972.0</v>
      </c>
      <c r="X315" s="12">
        <v>13162.0</v>
      </c>
      <c r="Y315" s="12">
        <v>13000.0</v>
      </c>
      <c r="Z315" s="73">
        <f t="shared" si="1"/>
        <v>6972</v>
      </c>
      <c r="AA315" s="73">
        <f t="shared" si="3"/>
        <v>-162</v>
      </c>
      <c r="AB315" s="12" t="s">
        <v>42</v>
      </c>
      <c r="AC315" s="18" t="s">
        <v>1915</v>
      </c>
      <c r="AD315" s="11" t="s">
        <v>936</v>
      </c>
      <c r="AE315" s="11"/>
      <c r="AF315" s="18" t="s">
        <v>1916</v>
      </c>
      <c r="AG315" s="18" t="s">
        <v>209</v>
      </c>
    </row>
    <row r="316">
      <c r="A316" s="23"/>
      <c r="B316" s="35"/>
      <c r="C316" s="23"/>
      <c r="D316" s="23"/>
      <c r="E316" s="35"/>
      <c r="F316" s="23"/>
      <c r="G316" s="23"/>
      <c r="H316" s="35"/>
      <c r="I316" s="35"/>
      <c r="J316" s="35"/>
      <c r="K316" s="35"/>
      <c r="L316" s="35"/>
      <c r="M316" s="35"/>
      <c r="N316" s="32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78"/>
      <c r="AB316" s="35"/>
      <c r="AC316" s="23"/>
      <c r="AD316" s="23"/>
      <c r="AE316" s="23"/>
    </row>
    <row r="317">
      <c r="A317" s="23"/>
      <c r="B317" s="35"/>
      <c r="C317" s="23"/>
      <c r="D317" s="23"/>
      <c r="E317" s="35"/>
      <c r="F317" s="23"/>
      <c r="G317" s="23"/>
      <c r="H317" s="35"/>
      <c r="I317" s="35"/>
      <c r="J317" s="35"/>
      <c r="K317" s="35"/>
      <c r="L317" s="35"/>
      <c r="M317" s="35"/>
      <c r="N317" s="32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78"/>
      <c r="AB317" s="35"/>
      <c r="AC317" s="23"/>
      <c r="AD317" s="23"/>
      <c r="AE317" s="23"/>
    </row>
    <row r="318">
      <c r="A318" s="23"/>
      <c r="B318" s="35"/>
      <c r="C318" s="23"/>
      <c r="D318" s="23"/>
      <c r="E318" s="35"/>
      <c r="F318" s="23"/>
      <c r="G318" s="23"/>
      <c r="H318" s="35"/>
      <c r="I318" s="35"/>
      <c r="J318" s="35"/>
      <c r="K318" s="35"/>
      <c r="L318" s="35"/>
      <c r="M318" s="35"/>
      <c r="N318" s="32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78"/>
      <c r="AB318" s="35"/>
      <c r="AC318" s="23"/>
      <c r="AD318" s="23"/>
      <c r="AE318" s="23"/>
    </row>
    <row r="319">
      <c r="A319" s="23"/>
      <c r="B319" s="35"/>
      <c r="C319" s="23"/>
      <c r="D319" s="23"/>
      <c r="E319" s="35"/>
      <c r="F319" s="23"/>
      <c r="G319" s="23"/>
      <c r="H319" s="35"/>
      <c r="I319" s="35"/>
      <c r="J319" s="35"/>
      <c r="K319" s="35"/>
      <c r="L319" s="35"/>
      <c r="M319" s="35"/>
      <c r="N319" s="32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78"/>
      <c r="AB319" s="35"/>
      <c r="AC319" s="23"/>
      <c r="AD319" s="23"/>
      <c r="AE319" s="23"/>
    </row>
    <row r="320">
      <c r="A320" s="23"/>
      <c r="B320" s="35"/>
      <c r="C320" s="23"/>
      <c r="D320" s="23"/>
      <c r="E320" s="35"/>
      <c r="F320" s="23"/>
      <c r="G320" s="23"/>
      <c r="H320" s="35"/>
      <c r="I320" s="35"/>
      <c r="J320" s="35"/>
      <c r="K320" s="35"/>
      <c r="L320" s="35"/>
      <c r="M320" s="35"/>
      <c r="N320" s="32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78"/>
      <c r="AB320" s="35"/>
      <c r="AC320" s="23"/>
      <c r="AD320" s="23"/>
      <c r="AE320" s="23"/>
    </row>
    <row r="321">
      <c r="A321" s="23"/>
      <c r="B321" s="35"/>
      <c r="C321" s="23"/>
      <c r="D321" s="23"/>
      <c r="E321" s="35"/>
      <c r="F321" s="23"/>
      <c r="G321" s="23"/>
      <c r="H321" s="35"/>
      <c r="I321" s="35"/>
      <c r="J321" s="35"/>
      <c r="K321" s="35"/>
      <c r="L321" s="35"/>
      <c r="M321" s="35"/>
      <c r="N321" s="32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78"/>
      <c r="AB321" s="35"/>
      <c r="AC321" s="23"/>
      <c r="AD321" s="23"/>
      <c r="AE321" s="23"/>
    </row>
    <row r="322">
      <c r="A322" s="23"/>
      <c r="B322" s="35"/>
      <c r="C322" s="23"/>
      <c r="D322" s="23"/>
      <c r="E322" s="35"/>
      <c r="F322" s="23"/>
      <c r="G322" s="23"/>
      <c r="H322" s="35"/>
      <c r="I322" s="35"/>
      <c r="J322" s="35"/>
      <c r="K322" s="35"/>
      <c r="L322" s="35"/>
      <c r="M322" s="35"/>
      <c r="N322" s="32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78"/>
      <c r="AB322" s="35"/>
      <c r="AC322" s="23"/>
      <c r="AD322" s="23"/>
      <c r="AE322" s="23"/>
    </row>
    <row r="323">
      <c r="A323" s="23"/>
      <c r="B323" s="35"/>
      <c r="C323" s="23"/>
      <c r="D323" s="23"/>
      <c r="E323" s="35"/>
      <c r="F323" s="23"/>
      <c r="G323" s="23"/>
      <c r="H323" s="35"/>
      <c r="I323" s="35"/>
      <c r="J323" s="35"/>
      <c r="K323" s="35"/>
      <c r="L323" s="35"/>
      <c r="M323" s="35"/>
      <c r="N323" s="32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78"/>
      <c r="AB323" s="35"/>
      <c r="AC323" s="23"/>
      <c r="AD323" s="23"/>
      <c r="AE323" s="23"/>
    </row>
    <row r="324">
      <c r="A324" s="23"/>
      <c r="B324" s="35"/>
      <c r="C324" s="23"/>
      <c r="D324" s="23"/>
      <c r="E324" s="35"/>
      <c r="F324" s="23"/>
      <c r="G324" s="23"/>
      <c r="H324" s="35"/>
      <c r="I324" s="35"/>
      <c r="J324" s="35"/>
      <c r="K324" s="35"/>
      <c r="L324" s="35"/>
      <c r="M324" s="35"/>
      <c r="N324" s="70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78"/>
      <c r="AB324" s="35"/>
      <c r="AC324" s="23"/>
      <c r="AD324" s="23"/>
      <c r="AE324" s="23"/>
    </row>
    <row r="325">
      <c r="A325" s="23"/>
      <c r="B325" s="35"/>
      <c r="C325" s="23"/>
      <c r="D325" s="23"/>
      <c r="E325" s="35"/>
      <c r="F325" s="23"/>
      <c r="G325" s="23"/>
      <c r="H325" s="35"/>
      <c r="I325" s="35"/>
      <c r="J325" s="35"/>
      <c r="K325" s="35"/>
      <c r="L325" s="35"/>
      <c r="M325" s="35"/>
      <c r="N325" s="70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78"/>
      <c r="AB325" s="35"/>
      <c r="AC325" s="23"/>
      <c r="AD325" s="23"/>
      <c r="AE325" s="23"/>
    </row>
    <row r="326">
      <c r="A326" s="23"/>
      <c r="B326" s="35"/>
      <c r="C326" s="23"/>
      <c r="D326" s="23"/>
      <c r="E326" s="35"/>
      <c r="F326" s="23"/>
      <c r="G326" s="23"/>
      <c r="H326" s="35"/>
      <c r="I326" s="35"/>
      <c r="J326" s="35"/>
      <c r="K326" s="35"/>
      <c r="L326" s="35"/>
      <c r="M326" s="35"/>
      <c r="N326" s="70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78"/>
      <c r="AB326" s="35"/>
      <c r="AC326" s="23"/>
      <c r="AD326" s="23"/>
      <c r="AE326" s="23"/>
    </row>
    <row r="327">
      <c r="A327" s="23"/>
      <c r="B327" s="35"/>
      <c r="C327" s="23"/>
      <c r="D327" s="23"/>
      <c r="E327" s="35"/>
      <c r="F327" s="23"/>
      <c r="G327" s="23"/>
      <c r="H327" s="35"/>
      <c r="I327" s="35"/>
      <c r="J327" s="35"/>
      <c r="K327" s="35"/>
      <c r="L327" s="35"/>
      <c r="M327" s="35"/>
      <c r="N327" s="70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78"/>
      <c r="AB327" s="35"/>
      <c r="AC327" s="23"/>
      <c r="AD327" s="23"/>
      <c r="AE327" s="23"/>
    </row>
    <row r="328">
      <c r="A328" s="23"/>
      <c r="B328" s="35"/>
      <c r="C328" s="23"/>
      <c r="D328" s="23"/>
      <c r="E328" s="35"/>
      <c r="F328" s="23"/>
      <c r="G328" s="23"/>
      <c r="H328" s="35"/>
      <c r="I328" s="35"/>
      <c r="J328" s="35"/>
      <c r="K328" s="35"/>
      <c r="L328" s="35"/>
      <c r="M328" s="35"/>
      <c r="N328" s="70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78"/>
      <c r="AB328" s="35"/>
      <c r="AC328" s="23"/>
      <c r="AD328" s="23"/>
      <c r="AE328" s="23"/>
    </row>
    <row r="329">
      <c r="A329" s="23"/>
      <c r="B329" s="35"/>
      <c r="C329" s="23"/>
      <c r="D329" s="23"/>
      <c r="E329" s="35"/>
      <c r="F329" s="23"/>
      <c r="G329" s="23"/>
      <c r="H329" s="35"/>
      <c r="I329" s="35"/>
      <c r="J329" s="35"/>
      <c r="K329" s="35"/>
      <c r="L329" s="35"/>
      <c r="M329" s="35"/>
      <c r="N329" s="70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78"/>
      <c r="AB329" s="35"/>
      <c r="AC329" s="23"/>
      <c r="AD329" s="23"/>
      <c r="AE329" s="23"/>
    </row>
    <row r="330">
      <c r="A330" s="23"/>
      <c r="B330" s="35"/>
      <c r="C330" s="23"/>
      <c r="D330" s="23"/>
      <c r="E330" s="35"/>
      <c r="F330" s="23"/>
      <c r="G330" s="23"/>
      <c r="H330" s="35"/>
      <c r="I330" s="35"/>
      <c r="J330" s="35"/>
      <c r="K330" s="35"/>
      <c r="L330" s="35"/>
      <c r="M330" s="35"/>
      <c r="N330" s="70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78"/>
      <c r="AB330" s="35"/>
      <c r="AC330" s="23"/>
      <c r="AD330" s="23"/>
      <c r="AE330" s="23"/>
    </row>
    <row r="331">
      <c r="A331" s="23"/>
      <c r="B331" s="35"/>
      <c r="C331" s="23"/>
      <c r="D331" s="23"/>
      <c r="E331" s="35"/>
      <c r="F331" s="23"/>
      <c r="G331" s="23"/>
      <c r="H331" s="35"/>
      <c r="I331" s="35"/>
      <c r="J331" s="35"/>
      <c r="K331" s="35"/>
      <c r="L331" s="35"/>
      <c r="M331" s="35"/>
      <c r="N331" s="70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78"/>
      <c r="AB331" s="35"/>
      <c r="AC331" s="23"/>
      <c r="AD331" s="23"/>
      <c r="AE331" s="23"/>
    </row>
    <row r="332">
      <c r="A332" s="23"/>
      <c r="B332" s="35"/>
      <c r="C332" s="23"/>
      <c r="D332" s="23"/>
      <c r="E332" s="35"/>
      <c r="F332" s="23"/>
      <c r="G332" s="23"/>
      <c r="H332" s="35"/>
      <c r="I332" s="35"/>
      <c r="J332" s="35"/>
      <c r="K332" s="35"/>
      <c r="L332" s="35"/>
      <c r="M332" s="35"/>
      <c r="N332" s="70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78"/>
      <c r="AB332" s="35"/>
      <c r="AC332" s="23"/>
      <c r="AD332" s="23"/>
      <c r="AE332" s="23"/>
    </row>
    <row r="333">
      <c r="A333" s="23"/>
      <c r="B333" s="35"/>
      <c r="C333" s="23"/>
      <c r="D333" s="23"/>
      <c r="E333" s="35"/>
      <c r="F333" s="23"/>
      <c r="G333" s="23"/>
      <c r="H333" s="35"/>
      <c r="I333" s="35"/>
      <c r="J333" s="35"/>
      <c r="K333" s="35"/>
      <c r="L333" s="35"/>
      <c r="M333" s="35"/>
      <c r="N333" s="70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78"/>
      <c r="AB333" s="35"/>
      <c r="AC333" s="23"/>
      <c r="AD333" s="23"/>
      <c r="AE333" s="23"/>
    </row>
    <row r="334">
      <c r="A334" s="23"/>
      <c r="B334" s="35"/>
      <c r="C334" s="23"/>
      <c r="D334" s="23"/>
      <c r="E334" s="35"/>
      <c r="F334" s="23"/>
      <c r="G334" s="23"/>
      <c r="H334" s="35"/>
      <c r="I334" s="35"/>
      <c r="J334" s="35"/>
      <c r="K334" s="35"/>
      <c r="L334" s="35"/>
      <c r="M334" s="35"/>
      <c r="N334" s="70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78"/>
      <c r="AB334" s="35"/>
      <c r="AC334" s="23"/>
      <c r="AD334" s="23"/>
      <c r="AE334" s="23"/>
    </row>
    <row r="335">
      <c r="A335" s="23"/>
      <c r="B335" s="35"/>
      <c r="C335" s="23"/>
      <c r="D335" s="23"/>
      <c r="E335" s="35"/>
      <c r="F335" s="23"/>
      <c r="G335" s="23"/>
      <c r="H335" s="35"/>
      <c r="I335" s="35"/>
      <c r="J335" s="35"/>
      <c r="K335" s="35"/>
      <c r="L335" s="35"/>
      <c r="M335" s="35"/>
      <c r="N335" s="70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78"/>
      <c r="AB335" s="35"/>
      <c r="AC335" s="23"/>
      <c r="AD335" s="23"/>
      <c r="AE335" s="23"/>
    </row>
    <row r="336">
      <c r="A336" s="23"/>
      <c r="B336" s="35"/>
      <c r="C336" s="23"/>
      <c r="D336" s="23"/>
      <c r="E336" s="35"/>
      <c r="F336" s="23"/>
      <c r="G336" s="23"/>
      <c r="H336" s="35"/>
      <c r="I336" s="35"/>
      <c r="J336" s="35"/>
      <c r="K336" s="35"/>
      <c r="L336" s="35"/>
      <c r="M336" s="35"/>
      <c r="N336" s="70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78"/>
      <c r="AB336" s="35"/>
      <c r="AC336" s="23"/>
      <c r="AD336" s="23"/>
      <c r="AE336" s="23"/>
    </row>
    <row r="337">
      <c r="A337" s="23"/>
      <c r="B337" s="35"/>
      <c r="C337" s="23"/>
      <c r="D337" s="23"/>
      <c r="E337" s="35"/>
      <c r="F337" s="23"/>
      <c r="G337" s="23"/>
      <c r="H337" s="35"/>
      <c r="I337" s="35"/>
      <c r="J337" s="35"/>
      <c r="K337" s="35"/>
      <c r="L337" s="35"/>
      <c r="M337" s="35"/>
      <c r="N337" s="70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78"/>
      <c r="AB337" s="35"/>
      <c r="AC337" s="23"/>
      <c r="AD337" s="23"/>
      <c r="AE337" s="23"/>
    </row>
    <row r="338">
      <c r="A338" s="23"/>
      <c r="B338" s="35"/>
      <c r="C338" s="23"/>
      <c r="D338" s="23"/>
      <c r="E338" s="35"/>
      <c r="F338" s="23"/>
      <c r="G338" s="23"/>
      <c r="H338" s="35"/>
      <c r="I338" s="35"/>
      <c r="J338" s="35"/>
      <c r="K338" s="35"/>
      <c r="L338" s="35"/>
      <c r="M338" s="35"/>
      <c r="N338" s="70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78"/>
      <c r="AB338" s="35"/>
      <c r="AC338" s="23"/>
      <c r="AD338" s="23"/>
      <c r="AE338" s="23"/>
    </row>
    <row r="339">
      <c r="A339" s="23"/>
      <c r="B339" s="35"/>
      <c r="C339" s="23"/>
      <c r="D339" s="23"/>
      <c r="E339" s="35"/>
      <c r="F339" s="23"/>
      <c r="G339" s="23"/>
      <c r="H339" s="35"/>
      <c r="I339" s="35"/>
      <c r="J339" s="35"/>
      <c r="K339" s="35"/>
      <c r="L339" s="35"/>
      <c r="M339" s="35"/>
      <c r="N339" s="70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78"/>
      <c r="AB339" s="35"/>
      <c r="AC339" s="23"/>
      <c r="AD339" s="23"/>
      <c r="AE339" s="23"/>
    </row>
    <row r="340">
      <c r="A340" s="23"/>
      <c r="B340" s="35"/>
      <c r="C340" s="23"/>
      <c r="D340" s="23"/>
      <c r="E340" s="35"/>
      <c r="F340" s="23"/>
      <c r="G340" s="23"/>
      <c r="H340" s="35"/>
      <c r="I340" s="35"/>
      <c r="J340" s="35"/>
      <c r="K340" s="35"/>
      <c r="L340" s="35"/>
      <c r="M340" s="35"/>
      <c r="N340" s="70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78"/>
      <c r="AB340" s="35"/>
      <c r="AC340" s="23"/>
      <c r="AD340" s="23"/>
      <c r="AE340" s="23"/>
    </row>
    <row r="341">
      <c r="A341" s="23"/>
      <c r="B341" s="35"/>
      <c r="C341" s="23"/>
      <c r="D341" s="23"/>
      <c r="E341" s="35"/>
      <c r="F341" s="23"/>
      <c r="G341" s="23"/>
      <c r="H341" s="35"/>
      <c r="I341" s="35"/>
      <c r="J341" s="35"/>
      <c r="K341" s="35"/>
      <c r="L341" s="35"/>
      <c r="M341" s="35"/>
      <c r="N341" s="70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78"/>
      <c r="AB341" s="35"/>
      <c r="AC341" s="23"/>
      <c r="AD341" s="23"/>
      <c r="AE341" s="23"/>
    </row>
    <row r="342">
      <c r="A342" s="23"/>
      <c r="B342" s="35"/>
      <c r="C342" s="23"/>
      <c r="D342" s="23"/>
      <c r="E342" s="35"/>
      <c r="F342" s="23"/>
      <c r="G342" s="23"/>
      <c r="H342" s="35"/>
      <c r="I342" s="35"/>
      <c r="J342" s="35"/>
      <c r="K342" s="35"/>
      <c r="L342" s="35"/>
      <c r="M342" s="35"/>
      <c r="N342" s="70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78"/>
      <c r="AB342" s="35"/>
      <c r="AC342" s="23"/>
      <c r="AD342" s="23"/>
      <c r="AE342" s="23"/>
    </row>
    <row r="343">
      <c r="A343" s="23"/>
      <c r="B343" s="35"/>
      <c r="C343" s="23"/>
      <c r="D343" s="23"/>
      <c r="E343" s="35"/>
      <c r="F343" s="23"/>
      <c r="G343" s="23"/>
      <c r="H343" s="35"/>
      <c r="I343" s="35"/>
      <c r="J343" s="35"/>
      <c r="K343" s="35"/>
      <c r="L343" s="35"/>
      <c r="M343" s="35"/>
      <c r="N343" s="70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78"/>
      <c r="AB343" s="35"/>
      <c r="AC343" s="23"/>
      <c r="AD343" s="23"/>
      <c r="AE343" s="23"/>
    </row>
    <row r="344">
      <c r="A344" s="23"/>
      <c r="B344" s="35"/>
      <c r="C344" s="23"/>
      <c r="D344" s="23"/>
      <c r="E344" s="35"/>
      <c r="F344" s="23"/>
      <c r="G344" s="23"/>
      <c r="H344" s="35"/>
      <c r="I344" s="35"/>
      <c r="J344" s="35"/>
      <c r="K344" s="35"/>
      <c r="L344" s="35"/>
      <c r="M344" s="35"/>
      <c r="N344" s="70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78"/>
      <c r="AB344" s="35"/>
      <c r="AC344" s="23"/>
      <c r="AD344" s="23"/>
      <c r="AE344" s="23"/>
    </row>
    <row r="345">
      <c r="A345" s="23"/>
      <c r="B345" s="35"/>
      <c r="C345" s="23"/>
      <c r="D345" s="23"/>
      <c r="E345" s="35"/>
      <c r="F345" s="23"/>
      <c r="G345" s="23"/>
      <c r="H345" s="35"/>
      <c r="I345" s="35"/>
      <c r="J345" s="35"/>
      <c r="K345" s="35"/>
      <c r="L345" s="35"/>
      <c r="M345" s="35"/>
      <c r="N345" s="70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78"/>
      <c r="AB345" s="35"/>
      <c r="AC345" s="23"/>
      <c r="AD345" s="23"/>
      <c r="AE345" s="23"/>
    </row>
    <row r="346">
      <c r="A346" s="23"/>
      <c r="B346" s="35"/>
      <c r="C346" s="23"/>
      <c r="D346" s="23"/>
      <c r="E346" s="35"/>
      <c r="F346" s="23"/>
      <c r="G346" s="23"/>
      <c r="H346" s="35"/>
      <c r="I346" s="35"/>
      <c r="J346" s="35"/>
      <c r="K346" s="35"/>
      <c r="L346" s="35"/>
      <c r="M346" s="35"/>
      <c r="N346" s="70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78"/>
      <c r="AB346" s="35"/>
      <c r="AC346" s="23"/>
      <c r="AD346" s="23"/>
      <c r="AE346" s="23"/>
    </row>
    <row r="347">
      <c r="A347" s="23"/>
      <c r="B347" s="35"/>
      <c r="C347" s="23"/>
      <c r="D347" s="23"/>
      <c r="E347" s="35"/>
      <c r="F347" s="23"/>
      <c r="G347" s="23"/>
      <c r="H347" s="35"/>
      <c r="I347" s="35"/>
      <c r="J347" s="35"/>
      <c r="K347" s="35"/>
      <c r="L347" s="35"/>
      <c r="M347" s="35"/>
      <c r="N347" s="70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78"/>
      <c r="AB347" s="35"/>
      <c r="AC347" s="23"/>
      <c r="AD347" s="23"/>
      <c r="AE347" s="23"/>
    </row>
    <row r="348">
      <c r="A348" s="23"/>
      <c r="B348" s="35"/>
      <c r="C348" s="23"/>
      <c r="D348" s="23"/>
      <c r="E348" s="35"/>
      <c r="F348" s="23"/>
      <c r="G348" s="23"/>
      <c r="H348" s="35"/>
      <c r="I348" s="35"/>
      <c r="J348" s="35"/>
      <c r="K348" s="35"/>
      <c r="L348" s="35"/>
      <c r="M348" s="35"/>
      <c r="N348" s="70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78"/>
      <c r="AB348" s="35"/>
      <c r="AC348" s="23"/>
      <c r="AD348" s="23"/>
      <c r="AE348" s="23"/>
    </row>
    <row r="349">
      <c r="A349" s="23"/>
      <c r="B349" s="35"/>
      <c r="C349" s="23"/>
      <c r="D349" s="23"/>
      <c r="E349" s="35"/>
      <c r="F349" s="23"/>
      <c r="G349" s="23"/>
      <c r="H349" s="35"/>
      <c r="I349" s="35"/>
      <c r="J349" s="35"/>
      <c r="K349" s="35"/>
      <c r="L349" s="35"/>
      <c r="M349" s="35"/>
      <c r="N349" s="70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78"/>
      <c r="AB349" s="35"/>
      <c r="AC349" s="23"/>
      <c r="AD349" s="23"/>
      <c r="AE349" s="23"/>
    </row>
    <row r="350">
      <c r="A350" s="23"/>
      <c r="B350" s="35"/>
      <c r="C350" s="23"/>
      <c r="D350" s="23"/>
      <c r="E350" s="35"/>
      <c r="F350" s="23"/>
      <c r="G350" s="23"/>
      <c r="H350" s="35"/>
      <c r="I350" s="35"/>
      <c r="J350" s="35"/>
      <c r="K350" s="35"/>
      <c r="L350" s="35"/>
      <c r="M350" s="35"/>
      <c r="N350" s="70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78"/>
      <c r="AB350" s="35"/>
      <c r="AC350" s="23"/>
      <c r="AD350" s="23"/>
      <c r="AE350" s="23"/>
    </row>
    <row r="351">
      <c r="A351" s="23"/>
      <c r="B351" s="35"/>
      <c r="C351" s="23"/>
      <c r="D351" s="23"/>
      <c r="E351" s="35"/>
      <c r="F351" s="23"/>
      <c r="G351" s="23"/>
      <c r="H351" s="35"/>
      <c r="I351" s="35"/>
      <c r="J351" s="35"/>
      <c r="K351" s="35"/>
      <c r="L351" s="35"/>
      <c r="M351" s="35"/>
      <c r="N351" s="70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78"/>
      <c r="AB351" s="35"/>
      <c r="AC351" s="23"/>
      <c r="AD351" s="23"/>
      <c r="AE351" s="23"/>
    </row>
    <row r="352">
      <c r="A352" s="23"/>
      <c r="B352" s="35"/>
      <c r="C352" s="23"/>
      <c r="D352" s="23"/>
      <c r="E352" s="35"/>
      <c r="F352" s="23"/>
      <c r="G352" s="23"/>
      <c r="H352" s="35"/>
      <c r="I352" s="35"/>
      <c r="J352" s="35"/>
      <c r="K352" s="35"/>
      <c r="L352" s="35"/>
      <c r="M352" s="35"/>
      <c r="N352" s="70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78"/>
      <c r="AB352" s="35"/>
      <c r="AC352" s="23"/>
      <c r="AD352" s="23"/>
      <c r="AE352" s="23"/>
    </row>
    <row r="353">
      <c r="A353" s="23"/>
      <c r="B353" s="35"/>
      <c r="C353" s="23"/>
      <c r="D353" s="23"/>
      <c r="E353" s="35"/>
      <c r="F353" s="23"/>
      <c r="G353" s="23"/>
      <c r="H353" s="35"/>
      <c r="I353" s="35"/>
      <c r="J353" s="35"/>
      <c r="K353" s="35"/>
      <c r="L353" s="35"/>
      <c r="M353" s="35"/>
      <c r="N353" s="70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78"/>
      <c r="AB353" s="35"/>
      <c r="AC353" s="23"/>
      <c r="AD353" s="23"/>
      <c r="AE353" s="23"/>
    </row>
    <row r="354">
      <c r="A354" s="23"/>
      <c r="B354" s="35"/>
      <c r="C354" s="23"/>
      <c r="D354" s="23"/>
      <c r="E354" s="35"/>
      <c r="F354" s="23"/>
      <c r="G354" s="23"/>
      <c r="H354" s="35"/>
      <c r="I354" s="35"/>
      <c r="J354" s="35"/>
      <c r="K354" s="35"/>
      <c r="L354" s="35"/>
      <c r="M354" s="35"/>
      <c r="N354" s="70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78"/>
      <c r="AB354" s="35"/>
      <c r="AC354" s="23"/>
      <c r="AD354" s="23"/>
      <c r="AE354" s="23"/>
    </row>
    <row r="355">
      <c r="A355" s="23"/>
      <c r="B355" s="35"/>
      <c r="C355" s="23"/>
      <c r="D355" s="23"/>
      <c r="E355" s="35"/>
      <c r="F355" s="23"/>
      <c r="G355" s="23"/>
      <c r="H355" s="35"/>
      <c r="I355" s="35"/>
      <c r="J355" s="35"/>
      <c r="K355" s="35"/>
      <c r="L355" s="35"/>
      <c r="M355" s="35"/>
      <c r="N355" s="70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78"/>
      <c r="AB355" s="35"/>
      <c r="AC355" s="23"/>
      <c r="AD355" s="23"/>
      <c r="AE355" s="23"/>
    </row>
    <row r="356">
      <c r="A356" s="23"/>
      <c r="B356" s="35"/>
      <c r="C356" s="23"/>
      <c r="D356" s="23"/>
      <c r="E356" s="35"/>
      <c r="F356" s="23"/>
      <c r="G356" s="23"/>
      <c r="H356" s="35"/>
      <c r="I356" s="35"/>
      <c r="J356" s="35"/>
      <c r="K356" s="35"/>
      <c r="L356" s="35"/>
      <c r="M356" s="35"/>
      <c r="N356" s="70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78"/>
      <c r="AB356" s="35"/>
      <c r="AC356" s="23"/>
      <c r="AD356" s="23"/>
      <c r="AE356" s="23"/>
    </row>
    <row r="357">
      <c r="A357" s="23"/>
      <c r="B357" s="35"/>
      <c r="C357" s="23"/>
      <c r="D357" s="23"/>
      <c r="E357" s="35"/>
      <c r="F357" s="23"/>
      <c r="G357" s="23"/>
      <c r="H357" s="35"/>
      <c r="I357" s="35"/>
      <c r="J357" s="35"/>
      <c r="K357" s="35"/>
      <c r="L357" s="35"/>
      <c r="M357" s="35"/>
      <c r="N357" s="70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78"/>
      <c r="AB357" s="35"/>
      <c r="AC357" s="23"/>
      <c r="AD357" s="23"/>
      <c r="AE357" s="23"/>
    </row>
    <row r="358">
      <c r="A358" s="23"/>
      <c r="B358" s="35"/>
      <c r="C358" s="23"/>
      <c r="D358" s="23"/>
      <c r="E358" s="35"/>
      <c r="F358" s="23"/>
      <c r="G358" s="23"/>
      <c r="H358" s="35"/>
      <c r="I358" s="35"/>
      <c r="J358" s="35"/>
      <c r="K358" s="35"/>
      <c r="L358" s="35"/>
      <c r="M358" s="35"/>
      <c r="N358" s="70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78"/>
      <c r="AB358" s="35"/>
      <c r="AC358" s="23"/>
      <c r="AD358" s="23"/>
      <c r="AE358" s="23"/>
    </row>
    <row r="359">
      <c r="A359" s="23"/>
      <c r="B359" s="35"/>
      <c r="C359" s="23"/>
      <c r="D359" s="23"/>
      <c r="E359" s="35"/>
      <c r="F359" s="23"/>
      <c r="G359" s="23"/>
      <c r="H359" s="35"/>
      <c r="I359" s="35"/>
      <c r="J359" s="35"/>
      <c r="K359" s="35"/>
      <c r="L359" s="35"/>
      <c r="M359" s="35"/>
      <c r="N359" s="70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78"/>
      <c r="AB359" s="35"/>
      <c r="AC359" s="23"/>
      <c r="AD359" s="23"/>
      <c r="AE359" s="23"/>
    </row>
    <row r="360">
      <c r="A360" s="23"/>
      <c r="B360" s="35"/>
      <c r="C360" s="23"/>
      <c r="D360" s="23"/>
      <c r="E360" s="35"/>
      <c r="F360" s="23"/>
      <c r="G360" s="23"/>
      <c r="H360" s="35"/>
      <c r="I360" s="35"/>
      <c r="J360" s="35"/>
      <c r="K360" s="35"/>
      <c r="L360" s="35"/>
      <c r="M360" s="35"/>
      <c r="N360" s="70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78"/>
      <c r="AB360" s="35"/>
      <c r="AC360" s="23"/>
      <c r="AD360" s="23"/>
      <c r="AE360" s="23"/>
    </row>
    <row r="361">
      <c r="A361" s="23"/>
      <c r="B361" s="35"/>
      <c r="C361" s="23"/>
      <c r="D361" s="23"/>
      <c r="E361" s="35"/>
      <c r="F361" s="23"/>
      <c r="G361" s="23"/>
      <c r="H361" s="35"/>
      <c r="I361" s="35"/>
      <c r="J361" s="35"/>
      <c r="K361" s="35"/>
      <c r="L361" s="35"/>
      <c r="M361" s="35"/>
      <c r="N361" s="70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78"/>
      <c r="AB361" s="35"/>
      <c r="AC361" s="23"/>
      <c r="AD361" s="23"/>
      <c r="AE361" s="23"/>
    </row>
    <row r="362">
      <c r="A362" s="23"/>
      <c r="B362" s="35"/>
      <c r="C362" s="23"/>
      <c r="D362" s="23"/>
      <c r="E362" s="35"/>
      <c r="F362" s="23"/>
      <c r="G362" s="23"/>
      <c r="H362" s="35"/>
      <c r="I362" s="35"/>
      <c r="J362" s="35"/>
      <c r="K362" s="35"/>
      <c r="L362" s="35"/>
      <c r="M362" s="35"/>
      <c r="N362" s="70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78"/>
      <c r="AB362" s="35"/>
      <c r="AC362" s="23"/>
      <c r="AD362" s="23"/>
      <c r="AE362" s="23"/>
    </row>
    <row r="363">
      <c r="A363" s="23"/>
      <c r="B363" s="35"/>
      <c r="C363" s="23"/>
      <c r="D363" s="23"/>
      <c r="E363" s="35"/>
      <c r="F363" s="23"/>
      <c r="G363" s="23"/>
      <c r="H363" s="35"/>
      <c r="I363" s="35"/>
      <c r="J363" s="35"/>
      <c r="K363" s="35"/>
      <c r="L363" s="35"/>
      <c r="M363" s="35"/>
      <c r="N363" s="70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78"/>
      <c r="AB363" s="35"/>
      <c r="AC363" s="23"/>
      <c r="AD363" s="23"/>
      <c r="AE363" s="23"/>
    </row>
    <row r="364">
      <c r="A364" s="23"/>
      <c r="B364" s="35"/>
      <c r="C364" s="23"/>
      <c r="D364" s="23"/>
      <c r="E364" s="35"/>
      <c r="F364" s="23"/>
      <c r="G364" s="23"/>
      <c r="H364" s="35"/>
      <c r="I364" s="35"/>
      <c r="J364" s="35"/>
      <c r="K364" s="35"/>
      <c r="L364" s="35"/>
      <c r="M364" s="35"/>
      <c r="N364" s="70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78"/>
      <c r="AB364" s="35"/>
      <c r="AC364" s="23"/>
      <c r="AD364" s="23"/>
      <c r="AE364" s="23"/>
    </row>
    <row r="365">
      <c r="A365" s="23"/>
      <c r="B365" s="35"/>
      <c r="C365" s="23"/>
      <c r="D365" s="23"/>
      <c r="E365" s="35"/>
      <c r="F365" s="23"/>
      <c r="G365" s="23"/>
      <c r="H365" s="35"/>
      <c r="I365" s="35"/>
      <c r="J365" s="35"/>
      <c r="K365" s="35"/>
      <c r="L365" s="35"/>
      <c r="M365" s="35"/>
      <c r="N365" s="70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78"/>
      <c r="AB365" s="35"/>
      <c r="AC365" s="23"/>
      <c r="AD365" s="23"/>
      <c r="AE365" s="23"/>
    </row>
    <row r="366">
      <c r="A366" s="23"/>
      <c r="B366" s="35"/>
      <c r="C366" s="23"/>
      <c r="D366" s="23"/>
      <c r="E366" s="35"/>
      <c r="F366" s="23"/>
      <c r="G366" s="23"/>
      <c r="H366" s="35"/>
      <c r="I366" s="35"/>
      <c r="J366" s="35"/>
      <c r="K366" s="35"/>
      <c r="L366" s="35"/>
      <c r="M366" s="35"/>
      <c r="N366" s="70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78"/>
      <c r="AB366" s="35"/>
      <c r="AC366" s="23"/>
      <c r="AD366" s="23"/>
      <c r="AE366" s="23"/>
    </row>
    <row r="367">
      <c r="A367" s="23"/>
      <c r="B367" s="35"/>
      <c r="C367" s="23"/>
      <c r="D367" s="23"/>
      <c r="E367" s="35"/>
      <c r="F367" s="23"/>
      <c r="G367" s="23"/>
      <c r="H367" s="35"/>
      <c r="I367" s="35"/>
      <c r="J367" s="35"/>
      <c r="K367" s="35"/>
      <c r="L367" s="35"/>
      <c r="M367" s="35"/>
      <c r="N367" s="70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78"/>
      <c r="AB367" s="35"/>
      <c r="AC367" s="23"/>
      <c r="AD367" s="23"/>
      <c r="AE367" s="23"/>
    </row>
    <row r="368">
      <c r="A368" s="23"/>
      <c r="B368" s="35"/>
      <c r="C368" s="23"/>
      <c r="D368" s="23"/>
      <c r="E368" s="35"/>
      <c r="F368" s="23"/>
      <c r="G368" s="23"/>
      <c r="H368" s="35"/>
      <c r="I368" s="35"/>
      <c r="J368" s="35"/>
      <c r="K368" s="35"/>
      <c r="L368" s="35"/>
      <c r="M368" s="35"/>
      <c r="N368" s="70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78"/>
      <c r="AB368" s="35"/>
      <c r="AC368" s="23"/>
      <c r="AD368" s="23"/>
      <c r="AE368" s="23"/>
    </row>
    <row r="369">
      <c r="A369" s="23"/>
      <c r="B369" s="35"/>
      <c r="C369" s="23"/>
      <c r="D369" s="23"/>
      <c r="E369" s="35"/>
      <c r="F369" s="23"/>
      <c r="G369" s="23"/>
      <c r="H369" s="35"/>
      <c r="I369" s="35"/>
      <c r="J369" s="35"/>
      <c r="K369" s="35"/>
      <c r="L369" s="35"/>
      <c r="M369" s="35"/>
      <c r="N369" s="70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78"/>
      <c r="AB369" s="35"/>
      <c r="AC369" s="23"/>
      <c r="AD369" s="23"/>
      <c r="AE369" s="23"/>
    </row>
    <row r="370">
      <c r="A370" s="23"/>
      <c r="B370" s="35"/>
      <c r="C370" s="23"/>
      <c r="D370" s="23"/>
      <c r="E370" s="35"/>
      <c r="F370" s="23"/>
      <c r="G370" s="23"/>
      <c r="H370" s="35"/>
      <c r="I370" s="35"/>
      <c r="J370" s="35"/>
      <c r="K370" s="35"/>
      <c r="L370" s="35"/>
      <c r="M370" s="35"/>
      <c r="N370" s="70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78"/>
      <c r="AB370" s="35"/>
      <c r="AC370" s="23"/>
      <c r="AD370" s="23"/>
      <c r="AE370" s="23"/>
    </row>
    <row r="371">
      <c r="A371" s="23"/>
      <c r="B371" s="35"/>
      <c r="C371" s="23"/>
      <c r="D371" s="23"/>
      <c r="E371" s="35"/>
      <c r="F371" s="23"/>
      <c r="G371" s="23"/>
      <c r="H371" s="35"/>
      <c r="I371" s="35"/>
      <c r="J371" s="35"/>
      <c r="K371" s="35"/>
      <c r="L371" s="35"/>
      <c r="M371" s="35"/>
      <c r="N371" s="70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78"/>
      <c r="AB371" s="35"/>
      <c r="AC371" s="23"/>
      <c r="AD371" s="23"/>
      <c r="AE371" s="23"/>
    </row>
    <row r="372">
      <c r="A372" s="23"/>
      <c r="B372" s="35"/>
      <c r="C372" s="23"/>
      <c r="D372" s="23"/>
      <c r="E372" s="35"/>
      <c r="F372" s="23"/>
      <c r="G372" s="23"/>
      <c r="H372" s="35"/>
      <c r="I372" s="35"/>
      <c r="J372" s="35"/>
      <c r="K372" s="35"/>
      <c r="L372" s="35"/>
      <c r="M372" s="35"/>
      <c r="N372" s="70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78"/>
      <c r="AB372" s="35"/>
      <c r="AC372" s="23"/>
      <c r="AD372" s="23"/>
      <c r="AE372" s="23"/>
    </row>
    <row r="373">
      <c r="A373" s="23"/>
      <c r="B373" s="35"/>
      <c r="C373" s="23"/>
      <c r="D373" s="23"/>
      <c r="E373" s="35"/>
      <c r="F373" s="23"/>
      <c r="G373" s="23"/>
      <c r="H373" s="35"/>
      <c r="I373" s="35"/>
      <c r="J373" s="35"/>
      <c r="K373" s="35"/>
      <c r="L373" s="35"/>
      <c r="M373" s="35"/>
      <c r="N373" s="70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78"/>
      <c r="AB373" s="35"/>
      <c r="AC373" s="23"/>
      <c r="AD373" s="23"/>
      <c r="AE373" s="23"/>
    </row>
    <row r="374">
      <c r="A374" s="23"/>
      <c r="B374" s="35"/>
      <c r="C374" s="23"/>
      <c r="D374" s="23"/>
      <c r="E374" s="35"/>
      <c r="F374" s="23"/>
      <c r="G374" s="23"/>
      <c r="H374" s="35"/>
      <c r="I374" s="35"/>
      <c r="J374" s="35"/>
      <c r="K374" s="35"/>
      <c r="L374" s="35"/>
      <c r="M374" s="35"/>
      <c r="N374" s="70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78"/>
      <c r="AB374" s="35"/>
      <c r="AC374" s="23"/>
      <c r="AD374" s="23"/>
      <c r="AE374" s="23"/>
    </row>
    <row r="375">
      <c r="A375" s="23"/>
      <c r="B375" s="35"/>
      <c r="C375" s="23"/>
      <c r="D375" s="23"/>
      <c r="E375" s="35"/>
      <c r="F375" s="23"/>
      <c r="G375" s="23"/>
      <c r="H375" s="35"/>
      <c r="I375" s="35"/>
      <c r="J375" s="35"/>
      <c r="K375" s="35"/>
      <c r="L375" s="35"/>
      <c r="M375" s="35"/>
      <c r="N375" s="70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78"/>
      <c r="AB375" s="35"/>
      <c r="AC375" s="23"/>
      <c r="AD375" s="23"/>
      <c r="AE375" s="23"/>
    </row>
    <row r="376">
      <c r="A376" s="23"/>
      <c r="B376" s="35"/>
      <c r="C376" s="23"/>
      <c r="D376" s="23"/>
      <c r="E376" s="35"/>
      <c r="F376" s="23"/>
      <c r="G376" s="23"/>
      <c r="H376" s="35"/>
      <c r="I376" s="35"/>
      <c r="J376" s="35"/>
      <c r="K376" s="35"/>
      <c r="L376" s="35"/>
      <c r="M376" s="35"/>
      <c r="N376" s="70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78"/>
      <c r="AB376" s="35"/>
      <c r="AC376" s="23"/>
      <c r="AD376" s="23"/>
      <c r="AE376" s="23"/>
    </row>
    <row r="377">
      <c r="A377" s="23"/>
      <c r="B377" s="35"/>
      <c r="C377" s="23"/>
      <c r="D377" s="23"/>
      <c r="E377" s="35"/>
      <c r="F377" s="23"/>
      <c r="G377" s="23"/>
      <c r="H377" s="35"/>
      <c r="I377" s="35"/>
      <c r="J377" s="35"/>
      <c r="K377" s="35"/>
      <c r="L377" s="35"/>
      <c r="M377" s="35"/>
      <c r="N377" s="70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78"/>
      <c r="AB377" s="35"/>
      <c r="AC377" s="23"/>
      <c r="AD377" s="23"/>
      <c r="AE377" s="23"/>
    </row>
    <row r="378">
      <c r="A378" s="23"/>
      <c r="B378" s="35"/>
      <c r="C378" s="23"/>
      <c r="D378" s="23"/>
      <c r="E378" s="35"/>
      <c r="F378" s="23"/>
      <c r="G378" s="23"/>
      <c r="H378" s="35"/>
      <c r="I378" s="35"/>
      <c r="J378" s="35"/>
      <c r="K378" s="35"/>
      <c r="L378" s="35"/>
      <c r="M378" s="35"/>
      <c r="N378" s="70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78"/>
      <c r="AB378" s="35"/>
      <c r="AC378" s="23"/>
      <c r="AD378" s="23"/>
      <c r="AE378" s="23"/>
    </row>
    <row r="379">
      <c r="A379" s="23"/>
      <c r="B379" s="35"/>
      <c r="C379" s="23"/>
      <c r="D379" s="23"/>
      <c r="E379" s="35"/>
      <c r="F379" s="23"/>
      <c r="G379" s="23"/>
      <c r="H379" s="35"/>
      <c r="I379" s="35"/>
      <c r="J379" s="35"/>
      <c r="K379" s="35"/>
      <c r="L379" s="35"/>
      <c r="M379" s="35"/>
      <c r="N379" s="70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78"/>
      <c r="AB379" s="35"/>
      <c r="AC379" s="23"/>
      <c r="AD379" s="23"/>
      <c r="AE379" s="23"/>
    </row>
    <row r="380">
      <c r="A380" s="23"/>
      <c r="B380" s="35"/>
      <c r="C380" s="23"/>
      <c r="D380" s="23"/>
      <c r="E380" s="35"/>
      <c r="F380" s="23"/>
      <c r="G380" s="23"/>
      <c r="H380" s="35"/>
      <c r="I380" s="35"/>
      <c r="J380" s="35"/>
      <c r="K380" s="35"/>
      <c r="L380" s="35"/>
      <c r="M380" s="35"/>
      <c r="N380" s="70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78"/>
      <c r="AB380" s="35"/>
      <c r="AC380" s="23"/>
      <c r="AD380" s="23"/>
      <c r="AE380" s="23"/>
    </row>
    <row r="381">
      <c r="A381" s="23"/>
      <c r="B381" s="35"/>
      <c r="C381" s="23"/>
      <c r="D381" s="23"/>
      <c r="E381" s="35"/>
      <c r="F381" s="23"/>
      <c r="G381" s="23"/>
      <c r="H381" s="35"/>
      <c r="I381" s="35"/>
      <c r="J381" s="35"/>
      <c r="K381" s="35"/>
      <c r="L381" s="35"/>
      <c r="M381" s="35"/>
      <c r="N381" s="70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78"/>
      <c r="AB381" s="35"/>
      <c r="AC381" s="23"/>
      <c r="AD381" s="23"/>
      <c r="AE381" s="23"/>
    </row>
    <row r="382">
      <c r="A382" s="23"/>
      <c r="B382" s="35"/>
      <c r="C382" s="23"/>
      <c r="D382" s="23"/>
      <c r="E382" s="35"/>
      <c r="F382" s="23"/>
      <c r="G382" s="23"/>
      <c r="H382" s="35"/>
      <c r="I382" s="35"/>
      <c r="J382" s="35"/>
      <c r="K382" s="35"/>
      <c r="L382" s="35"/>
      <c r="M382" s="35"/>
      <c r="N382" s="70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78"/>
      <c r="AB382" s="35"/>
      <c r="AC382" s="23"/>
      <c r="AD382" s="23"/>
      <c r="AE382" s="23"/>
    </row>
    <row r="383">
      <c r="A383" s="23"/>
      <c r="B383" s="35"/>
      <c r="C383" s="23"/>
      <c r="D383" s="23"/>
      <c r="E383" s="35"/>
      <c r="F383" s="23"/>
      <c r="G383" s="23"/>
      <c r="H383" s="35"/>
      <c r="I383" s="35"/>
      <c r="J383" s="35"/>
      <c r="K383" s="35"/>
      <c r="L383" s="35"/>
      <c r="M383" s="35"/>
      <c r="N383" s="70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78"/>
      <c r="AB383" s="35"/>
      <c r="AC383" s="23"/>
      <c r="AD383" s="23"/>
      <c r="AE383" s="23"/>
    </row>
    <row r="384">
      <c r="A384" s="23"/>
      <c r="B384" s="35"/>
      <c r="C384" s="23"/>
      <c r="D384" s="23"/>
      <c r="E384" s="35"/>
      <c r="F384" s="23"/>
      <c r="G384" s="23"/>
      <c r="H384" s="35"/>
      <c r="I384" s="35"/>
      <c r="J384" s="35"/>
      <c r="K384" s="35"/>
      <c r="L384" s="35"/>
      <c r="M384" s="35"/>
      <c r="N384" s="70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78"/>
      <c r="AB384" s="35"/>
      <c r="AC384" s="23"/>
      <c r="AD384" s="23"/>
      <c r="AE384" s="23"/>
    </row>
    <row r="385">
      <c r="A385" s="23"/>
      <c r="B385" s="35"/>
      <c r="C385" s="23"/>
      <c r="D385" s="23"/>
      <c r="E385" s="35"/>
      <c r="F385" s="23"/>
      <c r="G385" s="23"/>
      <c r="H385" s="35"/>
      <c r="I385" s="35"/>
      <c r="J385" s="35"/>
      <c r="K385" s="35"/>
      <c r="L385" s="35"/>
      <c r="M385" s="35"/>
      <c r="N385" s="70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78"/>
      <c r="AB385" s="35"/>
      <c r="AC385" s="23"/>
      <c r="AD385" s="23"/>
      <c r="AE385" s="23"/>
    </row>
    <row r="386">
      <c r="A386" s="23"/>
      <c r="B386" s="35"/>
      <c r="C386" s="23"/>
      <c r="D386" s="23"/>
      <c r="E386" s="35"/>
      <c r="F386" s="23"/>
      <c r="G386" s="23"/>
      <c r="H386" s="35"/>
      <c r="I386" s="35"/>
      <c r="J386" s="35"/>
      <c r="K386" s="35"/>
      <c r="L386" s="35"/>
      <c r="M386" s="35"/>
      <c r="N386" s="70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78"/>
      <c r="AB386" s="35"/>
      <c r="AC386" s="23"/>
      <c r="AD386" s="23"/>
      <c r="AE386" s="23"/>
    </row>
    <row r="387">
      <c r="A387" s="23"/>
      <c r="B387" s="35"/>
      <c r="C387" s="23"/>
      <c r="D387" s="23"/>
      <c r="E387" s="35"/>
      <c r="F387" s="23"/>
      <c r="G387" s="23"/>
      <c r="H387" s="35"/>
      <c r="I387" s="35"/>
      <c r="J387" s="35"/>
      <c r="K387" s="35"/>
      <c r="L387" s="35"/>
      <c r="M387" s="35"/>
      <c r="N387" s="70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78"/>
      <c r="AB387" s="35"/>
      <c r="AC387" s="23"/>
      <c r="AD387" s="23"/>
      <c r="AE387" s="23"/>
    </row>
    <row r="388">
      <c r="A388" s="23"/>
      <c r="B388" s="35"/>
      <c r="C388" s="23"/>
      <c r="D388" s="23"/>
      <c r="E388" s="35"/>
      <c r="F388" s="23"/>
      <c r="G388" s="23"/>
      <c r="H388" s="35"/>
      <c r="I388" s="35"/>
      <c r="J388" s="35"/>
      <c r="K388" s="35"/>
      <c r="L388" s="35"/>
      <c r="M388" s="35"/>
      <c r="N388" s="70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78"/>
      <c r="AB388" s="35"/>
      <c r="AC388" s="23"/>
      <c r="AD388" s="23"/>
      <c r="AE388" s="23"/>
    </row>
    <row r="389">
      <c r="A389" s="23"/>
      <c r="B389" s="35"/>
      <c r="C389" s="23"/>
      <c r="D389" s="23"/>
      <c r="E389" s="35"/>
      <c r="F389" s="23"/>
      <c r="G389" s="23"/>
      <c r="H389" s="35"/>
      <c r="I389" s="35"/>
      <c r="J389" s="35"/>
      <c r="K389" s="35"/>
      <c r="L389" s="35"/>
      <c r="M389" s="35"/>
      <c r="N389" s="70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78"/>
      <c r="AB389" s="35"/>
      <c r="AC389" s="23"/>
      <c r="AD389" s="23"/>
      <c r="AE389" s="23"/>
    </row>
    <row r="390">
      <c r="A390" s="23"/>
      <c r="B390" s="35"/>
      <c r="C390" s="23"/>
      <c r="D390" s="23"/>
      <c r="E390" s="35"/>
      <c r="F390" s="23"/>
      <c r="G390" s="23"/>
      <c r="H390" s="35"/>
      <c r="I390" s="35"/>
      <c r="J390" s="35"/>
      <c r="K390" s="35"/>
      <c r="L390" s="35"/>
      <c r="M390" s="35"/>
      <c r="N390" s="70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78"/>
      <c r="AB390" s="35"/>
      <c r="AC390" s="23"/>
      <c r="AD390" s="23"/>
      <c r="AE390" s="23"/>
    </row>
    <row r="391">
      <c r="A391" s="23"/>
      <c r="B391" s="35"/>
      <c r="C391" s="23"/>
      <c r="D391" s="23"/>
      <c r="E391" s="35"/>
      <c r="F391" s="23"/>
      <c r="G391" s="23"/>
      <c r="H391" s="35"/>
      <c r="I391" s="35"/>
      <c r="J391" s="35"/>
      <c r="K391" s="35"/>
      <c r="L391" s="35"/>
      <c r="M391" s="35"/>
      <c r="N391" s="70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78"/>
      <c r="AB391" s="35"/>
      <c r="AC391" s="23"/>
      <c r="AD391" s="23"/>
      <c r="AE391" s="23"/>
    </row>
    <row r="392">
      <c r="A392" s="23"/>
      <c r="B392" s="35"/>
      <c r="C392" s="23"/>
      <c r="D392" s="23"/>
      <c r="E392" s="35"/>
      <c r="F392" s="23"/>
      <c r="G392" s="23"/>
      <c r="H392" s="35"/>
      <c r="I392" s="35"/>
      <c r="J392" s="35"/>
      <c r="K392" s="35"/>
      <c r="L392" s="35"/>
      <c r="M392" s="35"/>
      <c r="N392" s="70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78"/>
      <c r="AB392" s="35"/>
      <c r="AC392" s="23"/>
      <c r="AD392" s="23"/>
      <c r="AE392" s="23"/>
    </row>
    <row r="393">
      <c r="A393" s="23"/>
      <c r="B393" s="35"/>
      <c r="C393" s="23"/>
      <c r="D393" s="23"/>
      <c r="E393" s="35"/>
      <c r="F393" s="23"/>
      <c r="G393" s="23"/>
      <c r="H393" s="35"/>
      <c r="I393" s="35"/>
      <c r="J393" s="35"/>
      <c r="K393" s="35"/>
      <c r="L393" s="35"/>
      <c r="M393" s="35"/>
      <c r="N393" s="70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78"/>
      <c r="AB393" s="35"/>
      <c r="AC393" s="23"/>
      <c r="AD393" s="23"/>
      <c r="AE393" s="23"/>
    </row>
    <row r="394">
      <c r="A394" s="23"/>
      <c r="B394" s="35"/>
      <c r="C394" s="23"/>
      <c r="D394" s="23"/>
      <c r="E394" s="35"/>
      <c r="F394" s="23"/>
      <c r="G394" s="23"/>
      <c r="H394" s="35"/>
      <c r="I394" s="35"/>
      <c r="J394" s="35"/>
      <c r="K394" s="35"/>
      <c r="L394" s="35"/>
      <c r="M394" s="35"/>
      <c r="N394" s="70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78"/>
      <c r="AB394" s="35"/>
      <c r="AC394" s="23"/>
      <c r="AD394" s="23"/>
      <c r="AE394" s="23"/>
    </row>
    <row r="395">
      <c r="A395" s="23"/>
      <c r="B395" s="35"/>
      <c r="C395" s="23"/>
      <c r="D395" s="23"/>
      <c r="E395" s="35"/>
      <c r="F395" s="23"/>
      <c r="G395" s="23"/>
      <c r="H395" s="35"/>
      <c r="I395" s="35"/>
      <c r="J395" s="35"/>
      <c r="K395" s="35"/>
      <c r="L395" s="35"/>
      <c r="M395" s="35"/>
      <c r="N395" s="70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78"/>
      <c r="AB395" s="35"/>
      <c r="AC395" s="23"/>
      <c r="AD395" s="23"/>
      <c r="AE395" s="23"/>
    </row>
    <row r="396">
      <c r="A396" s="23"/>
      <c r="B396" s="35"/>
      <c r="C396" s="23"/>
      <c r="D396" s="23"/>
      <c r="E396" s="35"/>
      <c r="F396" s="23"/>
      <c r="G396" s="23"/>
      <c r="H396" s="35"/>
      <c r="I396" s="35"/>
      <c r="J396" s="35"/>
      <c r="K396" s="35"/>
      <c r="L396" s="35"/>
      <c r="M396" s="35"/>
      <c r="N396" s="70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78"/>
      <c r="AB396" s="35"/>
      <c r="AC396" s="23"/>
      <c r="AD396" s="23"/>
      <c r="AE396" s="23"/>
    </row>
    <row r="397">
      <c r="A397" s="23"/>
      <c r="B397" s="35"/>
      <c r="C397" s="23"/>
      <c r="D397" s="23"/>
      <c r="E397" s="35"/>
      <c r="F397" s="23"/>
      <c r="G397" s="23"/>
      <c r="H397" s="35"/>
      <c r="I397" s="35"/>
      <c r="J397" s="35"/>
      <c r="K397" s="35"/>
      <c r="L397" s="35"/>
      <c r="M397" s="35"/>
      <c r="N397" s="70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78"/>
      <c r="AB397" s="35"/>
      <c r="AC397" s="23"/>
      <c r="AD397" s="23"/>
      <c r="AE397" s="23"/>
    </row>
    <row r="398">
      <c r="A398" s="23"/>
      <c r="B398" s="35"/>
      <c r="C398" s="23"/>
      <c r="D398" s="23"/>
      <c r="E398" s="35"/>
      <c r="F398" s="23"/>
      <c r="G398" s="23"/>
      <c r="H398" s="35"/>
      <c r="I398" s="35"/>
      <c r="J398" s="35"/>
      <c r="K398" s="35"/>
      <c r="L398" s="35"/>
      <c r="M398" s="35"/>
      <c r="N398" s="70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78"/>
      <c r="AB398" s="35"/>
      <c r="AC398" s="23"/>
      <c r="AD398" s="23"/>
      <c r="AE398" s="23"/>
    </row>
    <row r="399">
      <c r="A399" s="23"/>
      <c r="B399" s="35"/>
      <c r="C399" s="23"/>
      <c r="D399" s="23"/>
      <c r="E399" s="35"/>
      <c r="F399" s="23"/>
      <c r="G399" s="23"/>
      <c r="H399" s="35"/>
      <c r="I399" s="35"/>
      <c r="J399" s="35"/>
      <c r="K399" s="35"/>
      <c r="L399" s="35"/>
      <c r="M399" s="35"/>
      <c r="N399" s="70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78"/>
      <c r="AB399" s="35"/>
      <c r="AC399" s="23"/>
      <c r="AD399" s="23"/>
      <c r="AE399" s="23"/>
    </row>
    <row r="400">
      <c r="A400" s="23"/>
      <c r="B400" s="35"/>
      <c r="C400" s="23"/>
      <c r="D400" s="23"/>
      <c r="E400" s="35"/>
      <c r="F400" s="23"/>
      <c r="G400" s="23"/>
      <c r="H400" s="35"/>
      <c r="I400" s="35"/>
      <c r="J400" s="35"/>
      <c r="K400" s="35"/>
      <c r="L400" s="35"/>
      <c r="M400" s="35"/>
      <c r="N400" s="70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78"/>
      <c r="AB400" s="35"/>
      <c r="AC400" s="23"/>
      <c r="AD400" s="23"/>
      <c r="AE400" s="23"/>
    </row>
    <row r="401">
      <c r="A401" s="23"/>
      <c r="B401" s="35"/>
      <c r="C401" s="23"/>
      <c r="D401" s="23"/>
      <c r="E401" s="35"/>
      <c r="F401" s="23"/>
      <c r="G401" s="23"/>
      <c r="H401" s="35"/>
      <c r="I401" s="35"/>
      <c r="J401" s="35"/>
      <c r="K401" s="35"/>
      <c r="L401" s="35"/>
      <c r="M401" s="35"/>
      <c r="N401" s="70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78"/>
      <c r="AB401" s="35"/>
      <c r="AC401" s="23"/>
      <c r="AD401" s="23"/>
      <c r="AE401" s="23"/>
    </row>
  </sheetData>
  <autoFilter ref="$A$2:$AG$315"/>
  <dataValidations>
    <dataValidation type="list" allowBlank="1" showErrorMessage="1" sqref="N1:N323">
      <formula1>"TP,FULL,SAOD"</formula1>
    </dataValidation>
  </dataValidations>
  <drawing r:id="rId1"/>
</worksheet>
</file>