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Sheet1!$A$2:$AG$312</definedName>
  </definedNames>
  <calcPr/>
</workbook>
</file>

<file path=xl/sharedStrings.xml><?xml version="1.0" encoding="utf-8"?>
<sst xmlns="http://schemas.openxmlformats.org/spreadsheetml/2006/main" count="4948" uniqueCount="2002">
  <si>
    <t>#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</si>
  <si>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</si>
  <si>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</si>
  <si>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</si>
  <si>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</si>
  <si>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</si>
  <si>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</si>
  <si>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</si>
  <si>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</si>
  <si>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</si>
  <si>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</si>
  <si>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</si>
  <si>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</si>
  <si>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</si>
  <si>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</si>
  <si>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</si>
  <si>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</si>
  <si>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</si>
  <si>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</si>
  <si>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</si>
  <si>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</si>
  <si>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</si>
  <si>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</si>
  <si>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</si>
  <si>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</si>
  <si>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</si>
  <si>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</si>
  <si>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</si>
  <si>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</si>
  <si>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RUBARU / COURIER / POST</t>
  </si>
  <si>
    <t>Tracking ID</t>
  </si>
  <si>
    <t>RCVD BY CUST</t>
  </si>
  <si>
    <t>GJ36V4842</t>
  </si>
  <si>
    <t>3379/04506401/000/00</t>
  </si>
  <si>
    <t>LCV</t>
  </si>
  <si>
    <t>BADA DOST - I4</t>
  </si>
  <si>
    <t>KARIM MERUBHAI RAVAJI</t>
  </si>
  <si>
    <t>31/10/2026</t>
  </si>
  <si>
    <t>CHOLA</t>
  </si>
  <si>
    <t>FULL</t>
  </si>
  <si>
    <t>VR</t>
  </si>
  <si>
    <t>DC</t>
  </si>
  <si>
    <t>YES</t>
  </si>
  <si>
    <t>KHAREDA MORBI, KHAREDA MORBI, MORBI, MORBI,MORBI</t>
  </si>
  <si>
    <t>GJ36V0652</t>
  </si>
  <si>
    <t>3379/04506389/000/00</t>
  </si>
  <si>
    <t>BOLERO - MAXI TRUCK PLUS CNG MS BS VI</t>
  </si>
  <si>
    <t>VASUKI ENTERPRISE</t>
  </si>
  <si>
    <t>RN</t>
  </si>
  <si>
    <t>20-11-2026</t>
  </si>
  <si>
    <t>GIRIRAJSINH G ZALA, NR DARBARGADH , AT - PIPLI , TA &amp; DI - , MORBI , GUJARAT, MORBI S.O,RAJKOT</t>
  </si>
  <si>
    <t>GJ36W1495</t>
  </si>
  <si>
    <t>6303518776 00 00</t>
  </si>
  <si>
    <t>3W PCV</t>
  </si>
  <si>
    <t>BAJAJ AUTO/MAXIMA/Z CNG/Motorized Ricksha w/AUTO RICKSHAW</t>
  </si>
  <si>
    <t>Mr DEGAMA MUNABHAI BACHUBHAI</t>
  </si>
  <si>
    <t>TATA</t>
  </si>
  <si>
    <t>IS</t>
  </si>
  <si>
    <t>27-11-2026</t>
  </si>
  <si>
    <t>VC PARA OPP MAHAKA LI OIL MILL MORBI RAJK OT, MORBI, GUJARAT, 3 63641</t>
  </si>
  <si>
    <t>GJ36V0921</t>
  </si>
  <si>
    <t>161122523340010947</t>
  </si>
  <si>
    <t>TATA ACE &amp; GOLD CNG BS-VI</t>
  </si>
  <si>
    <t>MR. HAJI SHERASIYA</t>
  </si>
  <si>
    <t>RELIANCE</t>
  </si>
  <si>
    <t>27-11-2027</t>
  </si>
  <si>
    <t>KERALA WANKANER WANKANER, RAJKOT, GUJARAT, India, 363621.</t>
  </si>
  <si>
    <t>GJ03FD2491</t>
  </si>
  <si>
    <t>D234230457 / 01112025</t>
  </si>
  <si>
    <t>LMV</t>
  </si>
  <si>
    <t>SWIFT DZIRE/VDi</t>
  </si>
  <si>
    <t>AJANA LAKHABHAI DEVRAJBHAI</t>
  </si>
  <si>
    <t>DIGIT</t>
  </si>
  <si>
    <t>RB</t>
  </si>
  <si>
    <t>24-11-2028</t>
  </si>
  <si>
    <t>BHAGVATI PARA, OPP MANISH VIDHYALAYA MORVI MORBI MDG RAJKOT GUJARAT 363641,Rajkot-360021</t>
  </si>
  <si>
    <t>GJ36S3434</t>
  </si>
  <si>
    <t>3382/00372718/000/01</t>
  </si>
  <si>
    <t>OTHER</t>
  </si>
  <si>
    <t>ACTION CONSTRUCTION EQUIPMENT LTD</t>
  </si>
  <si>
    <t>ANVAR ABDULBHAI SUMRA</t>
  </si>
  <si>
    <t>TP</t>
  </si>
  <si>
    <t>20-02-2026</t>
  </si>
  <si>
    <t>LATI PLOT NO 12/13/14 STREET OF RAJ RANDHA MACHINE , VILLAGE MORVI , MORBI,</t>
  </si>
  <si>
    <t>GJ03BW8129</t>
  </si>
  <si>
    <t>3379/04506541/000/00</t>
  </si>
  <si>
    <t>HGV</t>
  </si>
  <si>
    <t>2516 - 2516 TUSKER SUPER</t>
  </si>
  <si>
    <t>SUMRA AADIL GULAMHUSEN</t>
  </si>
  <si>
    <t>23-03-2026</t>
  </si>
  <si>
    <t>30-04-2026</t>
  </si>
  <si>
    <t>15-03-2026</t>
  </si>
  <si>
    <t>KALIKA POT 4 MAFATIYA PARA MORBI MORBI MORBI, RAJKOT, GUJARAT,,,,, MORBI,RAJKOT</t>
  </si>
  <si>
    <t>GJ14X0970</t>
  </si>
  <si>
    <t>3003/415612576/00/000</t>
  </si>
  <si>
    <t>M &amp; M PICK-UP VANS BOLERO PICK-UP FB</t>
  </si>
  <si>
    <t>SARANIYA KUMARBHAI JADAVBHAI</t>
  </si>
  <si>
    <t>23/11/2026</t>
  </si>
  <si>
    <t>ICICI</t>
  </si>
  <si>
    <t>30-12-2025</t>
  </si>
  <si>
    <t>1028 MELDI MATAJI TEMPLE, AT TRAJPAR, MORBI, MORBI, GUJARAT 363641</t>
  </si>
  <si>
    <t>GJ03AX5106</t>
  </si>
  <si>
    <t>2013­400207­25­1000059­00­000</t>
  </si>
  <si>
    <t>TATA MOTORS LTD/OPEN LPT 1109 EX</t>
  </si>
  <si>
    <t>GOPAL RANCHHODBHAI BHARVAD</t>
  </si>
  <si>
    <t>LIBERTY</t>
  </si>
  <si>
    <t>HP</t>
  </si>
  <si>
    <t>28-12-2025</t>
  </si>
  <si>
    <t>21-12-2028</t>
  </si>
  <si>
    <t>DANIYA VISTAR BAREJDI, AHMEDABAD, GUJARAT 382435 AHMEDABAD GUJARAT</t>
  </si>
  <si>
    <t>GJ36V5955</t>
  </si>
  <si>
    <t>161122523340011020</t>
  </si>
  <si>
    <t>MAHINDRA SUPRO &amp; PROFIT TRUCK DUO WD</t>
  </si>
  <si>
    <t>UJWAL RAMESHBHAI BHIMANI</t>
  </si>
  <si>
    <t>SW</t>
  </si>
  <si>
    <t>GHUNTU GHUNTU MORBI, RAJKOT, GUJARAT, India, 363641.</t>
  </si>
  <si>
    <t>GJ36X3151</t>
  </si>
  <si>
    <t>3003/415663623/00/B00</t>
  </si>
  <si>
    <t>M &amp; M PICK-UP VANS BOLERO MAXX PUP HD 2.0L LX</t>
  </si>
  <si>
    <t>ROHITVANBHAI BHARATVAN GOSWAMI</t>
  </si>
  <si>
    <t>NS</t>
  </si>
  <si>
    <t>19-11-2026</t>
  </si>
  <si>
    <t>17-12-2029</t>
  </si>
  <si>
    <t>AT HADMATIYA TA TANK, MORBI, GUJARAT 363641</t>
  </si>
  <si>
    <t>GJ12BW4114</t>
  </si>
  <si>
    <t>161122523340011018</t>
  </si>
  <si>
    <t>ASHOK LEYLAND U-4019 &amp; TT 2STR</t>
  </si>
  <si>
    <t>M/S R T SHIPPING SERVICES</t>
  </si>
  <si>
    <t>MG</t>
  </si>
  <si>
    <t>19-06-2026</t>
  </si>
  <si>
    <t>OFFICE NO.108,1ST FLOOR,, PLOT NO.128, SEC-8, GANDHIDHAM, MADHUBAN, COMPLEX,, KACHCHH, GUJARAT . GANDHIDHAM, KACHCHH, GUJARAT, India, 370201.</t>
  </si>
  <si>
    <t>GJ12BW4155</t>
  </si>
  <si>
    <t>161122523340011044</t>
  </si>
  <si>
    <t>26-12-2026</t>
  </si>
  <si>
    <t>PLOT NO -128 NEAR OSLO CIRCLE OFFICE NO - 108 FIRST FLOOR, MADHUBHAN COMPLEX, SECTOR - 8 GANDHIDHAM, KACHCHH, GUJARAT, India, 370201.</t>
  </si>
  <si>
    <t>GJ36V7645</t>
  </si>
  <si>
    <t>161122523340011022</t>
  </si>
  <si>
    <t>MARUTI SUZUKI SUPER CARRY &amp; CNG BS6</t>
  </si>
  <si>
    <t>BHARVAD MAHESHBHAI KHETABHAI</t>
  </si>
  <si>
    <t>878 059 2692</t>
  </si>
  <si>
    <t>OF</t>
  </si>
  <si>
    <t>25-10-2026</t>
  </si>
  <si>
    <t>MATHAK SURENDRA NAGAR MATHAK HALVAD, SURENDRANAGAR, GUJARAT, India, 363330.</t>
  </si>
  <si>
    <t>GJ36AF3543</t>
  </si>
  <si>
    <t>132/01/11/1126/MTP/1010227109</t>
  </si>
  <si>
    <t>HYUNDAI AURA 1.2 MT CNG S</t>
  </si>
  <si>
    <t>MR SHAKTISINH VAJBHAI RAJPUT</t>
  </si>
  <si>
    <t>FUTURE</t>
  </si>
  <si>
    <t>AT MERUPAR TA HALVAD, DIS MORBI, RAJKOT, GUJARAT, INDIA,</t>
  </si>
  <si>
    <t>GJ14Z1368</t>
  </si>
  <si>
    <t>D234159282 / 03112025</t>
  </si>
  <si>
    <t>2516 IL / TUSKER SUPER 6X4</t>
  </si>
  <si>
    <t>JISHANALI SALEMANBHAI KHURESHI</t>
  </si>
  <si>
    <t>GO DIGIT</t>
  </si>
  <si>
    <t>11-6-69 KALIKA PLOT MORVI DIST-MORBI363641,Anand-387310</t>
  </si>
  <si>
    <t>GJ36V2513</t>
  </si>
  <si>
    <t>3003/415701964/00/000</t>
  </si>
  <si>
    <t>LGV</t>
  </si>
  <si>
    <t>BOLERO MAXX CITY 3000 LX</t>
  </si>
  <si>
    <t>PRADIP ODHAVJIBHAI AGHARA</t>
  </si>
  <si>
    <t>15-12-2024</t>
  </si>
  <si>
    <t>15-12-2023</t>
  </si>
  <si>
    <t>BIN KHETI PLOT, AT BELA RANGPAR, MORBI, MORBI, GUJARAT 363641</t>
  </si>
  <si>
    <t>GJ06AT8749</t>
  </si>
  <si>
    <t>POCMVGC0100534056</t>
  </si>
  <si>
    <t>Ashok Leyland,3116 &amp; IL</t>
  </si>
  <si>
    <t>Mr.RATHOD KRUSHNASINH KANUBHA</t>
  </si>
  <si>
    <t>SBI</t>
  </si>
  <si>
    <t>17-11-2026</t>
  </si>
  <si>
    <t>15-10-2028</t>
  </si>
  <si>
    <t>KUBER NAGAR-1,NAVLAKHI ROAD,MORVI, MORBI,Rajkot,Gujarat363641,India</t>
  </si>
  <si>
    <t>GJ36V2925</t>
  </si>
  <si>
    <t>POCMVGC0100534160</t>
  </si>
  <si>
    <t>Tata Motors,LPT 1512 &amp; DCR48HSD 125B6M5</t>
  </si>
  <si>
    <t>Mr.SURAJBHAI LAGHUBHAI BHARVAD</t>
  </si>
  <si>
    <t>16-06-2026</t>
  </si>
  <si>
    <t>14-11-2027</t>
  </si>
  <si>
    <t>AT LAXMINAGAR,NAVA SADULKA,MORBI,Rajkot,Gujarat363641,India</t>
  </si>
  <si>
    <t>GJ36AJ6984</t>
  </si>
  <si>
    <t>MARUTI / WAGON R / V XI (O)</t>
  </si>
  <si>
    <t>DEVSHIBHAI DHARABHAI CHARALA</t>
  </si>
  <si>
    <t>SAOD</t>
  </si>
  <si>
    <t>AT PALANS TA WANKANER DIS MORBI MORBI GUJAR AT 3636, 21, WANKANER-GUJARAT, 363621</t>
  </si>
  <si>
    <t>GJ12AW1238</t>
  </si>
  <si>
    <t>3003/A/415766065/00/B00</t>
  </si>
  <si>
    <t>TATA MOTORS DUMPERS LPK 2518</t>
  </si>
  <si>
    <t>SRI VIPULBHAI PUNABHAI PARMAR</t>
  </si>
  <si>
    <t>FQ</t>
  </si>
  <si>
    <t>13, HARIJAN VAS, MORBI, GUJARAT 363641</t>
  </si>
  <si>
    <t>GJ36R5382</t>
  </si>
  <si>
    <t>132/02/11/1126/MTP/1010228567</t>
  </si>
  <si>
    <t>TATA NEXON XM 1.5 RTQ</t>
  </si>
  <si>
    <t>MR ALTAF TAIYABBHAI AGHAM</t>
  </si>
  <si>
    <t>21-08-2026</t>
  </si>
  <si>
    <t>6 MADHAPAR OPP SURAJ BATTERY, STREET TAL MORBI, RAJKOT, GUJARAT, INDIA, Pincode : 363641</t>
  </si>
  <si>
    <t>GJ15PP1181</t>
  </si>
  <si>
    <t>P0026100023/4190/1600</t>
  </si>
  <si>
    <t>MARUTI/ WAGON R AX</t>
  </si>
  <si>
    <t>Mrs JIGNASHABEN MANISHBHAI KAPASI</t>
  </si>
  <si>
    <t>MAGMA</t>
  </si>
  <si>
    <t>26-04-2025</t>
  </si>
  <si>
    <t>AUM SHANTI PAREKH STREET SONI BAZAR ,MORVI RAJKOT MORBI MDG MUMBAI GUJARAT 363641</t>
  </si>
  <si>
    <t>GJ36L7710</t>
  </si>
  <si>
    <t>POPMCAR00102088398</t>
  </si>
  <si>
    <t>Hyundai,Verna &amp; 1.4 CRDI EX BS IV</t>
  </si>
  <si>
    <t>Mr FULTARIYA NITIN VAGHJIBHAI</t>
  </si>
  <si>
    <t>24-10-2034</t>
  </si>
  <si>
    <t>PAVAN GAUTAM SOCIETY , ., Rajkot, Gujarat 363641</t>
  </si>
  <si>
    <t>GJ36V2952</t>
  </si>
  <si>
    <t>3379/03638005/000/02</t>
  </si>
  <si>
    <t>BOLERO - PICK UP FB PS 1.7 T XL</t>
  </si>
  <si>
    <t>PIRANI RAJESHBHAI KASAMBHAI</t>
  </si>
  <si>
    <t>16-11-2026</t>
  </si>
  <si>
    <t>13-11-2025</t>
  </si>
  <si>
    <t>SHERI NO 5 VARIYNANAGR SO ORDI MORVI MORBI PPW RAJKOT, MORBI PPW S.O,RAJKOT GUJARAT,PIN- 363642</t>
  </si>
  <si>
    <t>GJ03W9258</t>
  </si>
  <si>
    <t>3003/A/415798736/00/B00</t>
  </si>
  <si>
    <t>TATA MOTORS TIPPERS 1613 TIPPER</t>
  </si>
  <si>
    <t>VIPULBHAI PUNABHAI PARMAR</t>
  </si>
  <si>
    <t>GJ03AX9762</t>
  </si>
  <si>
    <t>3003/A/415817135/00/000</t>
  </si>
  <si>
    <t>TATA MOTORS TIPPERS LPT 3118 TIPPER</t>
  </si>
  <si>
    <t>MR MOHMADALHAZ MUKHTARALI SHAIKH</t>
  </si>
  <si>
    <t>PJ</t>
  </si>
  <si>
    <t>15-04-2026</t>
  </si>
  <si>
    <t>21-06-2028</t>
  </si>
  <si>
    <t>178 MAULAT FALIYU PIPODARA TA MANGROL SURAT, SURAT, GUJARAT 394110</t>
  </si>
  <si>
    <t>GJ36AP7070</t>
  </si>
  <si>
    <t>POPMCAR00102090865</t>
  </si>
  <si>
    <t>Mahindra &amp; Mahindra,Scorpio &amp; Classic S11</t>
  </si>
  <si>
    <t>Mr MIYATRA MAYURKUMAR RAJENDRABHAI</t>
  </si>
  <si>
    <t>SHAKAT SANALA, SAKTASSANALA, Rajkot, Gujarat 363641</t>
  </si>
  <si>
    <t>GJ03ER9220</t>
  </si>
  <si>
    <t>D234781715 / 05112025</t>
  </si>
  <si>
    <t>SANTRO XING/GL Plus</t>
  </si>
  <si>
    <t>MOHANBHAI RAMJIBHAI PARMAR</t>
  </si>
  <si>
    <t>BR</t>
  </si>
  <si>
    <t>16-09-2028</t>
  </si>
  <si>
    <t>255 Plot Vistar Targhari,RAJKOT-360110</t>
  </si>
  <si>
    <t>GJ36U2087</t>
  </si>
  <si>
    <t>D234713025 / 06112025</t>
  </si>
  <si>
    <t>BAJAJ AUTO</t>
  </si>
  <si>
    <t>UBHADIYA TRIBHOVANBHAI MOHANBHAI</t>
  </si>
  <si>
    <t>19-06-2029</t>
  </si>
  <si>
    <t>MORBI MDG RAJKOT,Morbi-363641</t>
  </si>
  <si>
    <t>GJ36R2914</t>
  </si>
  <si>
    <t>VPT1009212000100</t>
  </si>
  <si>
    <t>EECO 5 STR STD O BSVI</t>
  </si>
  <si>
    <t>Mr SHDHVANI AFZAL KASAMBHAI</t>
  </si>
  <si>
    <t>ROYAL</t>
  </si>
  <si>
    <t>23-08-2035</t>
  </si>
  <si>
    <t>22-01-2026</t>
  </si>
  <si>
    <t>JONS NAGAR LATI PLOT-10 MORVI, ., , , MBRajkot , RAJKOT, 363641, GUJARAT</t>
  </si>
  <si>
    <t>GJ36W2139</t>
  </si>
  <si>
    <t>0604003125P112552525</t>
  </si>
  <si>
    <t>3W GCV</t>
  </si>
  <si>
    <t>BAJAJ AUTO LTD / BAJAJ MAXIMA CARGO CNG</t>
  </si>
  <si>
    <t>MR AJAYBHARATHI JIVUBHARATHI GOSVAMI</t>
  </si>
  <si>
    <t>UNITED</t>
  </si>
  <si>
    <t>AL</t>
  </si>
  <si>
    <t>SARDHARKA 363621 RAJKOT GUJARAT</t>
  </si>
  <si>
    <t>GJ36V5542</t>
  </si>
  <si>
    <t>213049/31/26/008821</t>
  </si>
  <si>
    <t>MARUTI SUZUKI - SUPER CARRY STD BS 6</t>
  </si>
  <si>
    <t>MR. KISHORBHAI MAGANBHAI VORA</t>
  </si>
  <si>
    <t>SHRIRAM</t>
  </si>
  <si>
    <t>25-05-2026</t>
  </si>
  <si>
    <t>PREMJINAGAR AT MAKANSAR, TA MORBI MORBI.. MORBI- GUJARAT-363642 , MORBI , RAJKOT, GUJARAT - 363642</t>
  </si>
  <si>
    <t>GJ36W1232</t>
  </si>
  <si>
    <t>6303530606 00 00</t>
  </si>
  <si>
    <t>BAJAJ AUTO/RE MAXIM A/Z/Motorized Ricksha w/AUTO RICKSHAW</t>
  </si>
  <si>
    <t>Mr GOSWAMI PRAKASHVAN PRAMODVAN</t>
  </si>
  <si>
    <t>22-11-2028</t>
  </si>
  <si>
    <t>JINPARA GAUSHALA NI BAJUMA WANKANER A MASAR RAJKOT, WANK ANER, GUJARAT, 36362 1</t>
  </si>
  <si>
    <t>GJ36K3769</t>
  </si>
  <si>
    <t>D234715912 / 05112025</t>
  </si>
  <si>
    <t>2W</t>
  </si>
  <si>
    <t>CT 100/B BSIV</t>
  </si>
  <si>
    <t>KUTCHHI MOHAMADSOYAB ABDULKADAR</t>
  </si>
  <si>
    <t>99042 80850</t>
  </si>
  <si>
    <t>30-04-2033</t>
  </si>
  <si>
    <t>KALAL STREET NEHRU GATE MORVI MORBI,MORBI-363641</t>
  </si>
  <si>
    <t>GJ36AK2526</t>
  </si>
  <si>
    <t>POPM2W00103578627</t>
  </si>
  <si>
    <t>OLA, S1 &amp; Pro (2nd Gen)</t>
  </si>
  <si>
    <t>Mr.MAHEBUB GULAMALI VADAVIYA</t>
  </si>
  <si>
    <t>RAJAVADLA,RAJAVADLA, , , Rajkot, Gujarat - 363621, India.</t>
  </si>
  <si>
    <t>GJ36T1824</t>
  </si>
  <si>
    <t>3003/415904874/00/B00</t>
  </si>
  <si>
    <t>EICHER MOTOR TRUCKS PRO 1059 XP</t>
  </si>
  <si>
    <t>PATEL MEET VINODBHAI</t>
  </si>
  <si>
    <t>PATEL VAS MAHARAJPURA PANDHARPURA, MAHESANA, GUJARAT 384001</t>
  </si>
  <si>
    <t>GJ36U8537</t>
  </si>
  <si>
    <t>6303534265 00 00</t>
  </si>
  <si>
    <t>Mr VIRANI KARIMBHAI VALIMAMAD</t>
  </si>
  <si>
    <t>99981 53854</t>
  </si>
  <si>
    <t>NEAR CHANGALSHAPIR DARHGAH 8 -A NATION AL HEGHY MAHENDRA NGAR RAJKOT MORVI, HALVAD, GUJARAT, 363 330</t>
  </si>
  <si>
    <t xml:space="preserve">OFFICE </t>
  </si>
  <si>
    <t xml:space="preserve">DONE </t>
  </si>
  <si>
    <t>GJ36X4690</t>
  </si>
  <si>
    <t>3379/04144194/000/01</t>
  </si>
  <si>
    <t>BOL MAXX PUP - 1.7 CITY LX BSVI</t>
  </si>
  <si>
    <t>MORI RANMALBHAI VELJIBHAI</t>
  </si>
  <si>
    <t>15-11-2026</t>
  </si>
  <si>
    <t>19-12-2028</t>
  </si>
  <si>
    <t>AT MAHENDRAPUR RAJKOT, TANKARA S.O,RAJKOT GUJARAT,PIN- 363650</t>
  </si>
  <si>
    <t>MP45ZF9369</t>
  </si>
  <si>
    <t>30010031256360001216</t>
  </si>
  <si>
    <t>Bajaj Auto Limited Bajaj Re Maxima Z CNG Bajaj Re</t>
  </si>
  <si>
    <t>Mr ARJUN DAMOR</t>
  </si>
  <si>
    <t>NATIONAL</t>
  </si>
  <si>
    <t>MT</t>
  </si>
  <si>
    <t>SAJWANI BDI SAJWANI BADI JHABUA , MADHYA PRADESH</t>
  </si>
  <si>
    <t>GJ36AG0911</t>
  </si>
  <si>
    <t>POPM2W00103587435</t>
  </si>
  <si>
    <t>Hero MotoCorp Ltd, Super Splendor &amp; Electric Start</t>
  </si>
  <si>
    <t>Mr.WASIM THEBA</t>
  </si>
  <si>
    <t>98254 84598</t>
  </si>
  <si>
    <t>15-11-2037</t>
  </si>
  <si>
    <t>29-06-2026</t>
  </si>
  <si>
    <t>KALIKA PLOT SHERI NO 5 NR GHANSHYAM,MARKET MORBI,MORBI,GUJARAT,363641, , , Rajkot, Gujarat - 363641, India.</t>
  </si>
  <si>
    <t>GJ36W1270</t>
  </si>
  <si>
    <t>6303538648 00 00</t>
  </si>
  <si>
    <t>Mr RAJUBHAI TIDABHAI DABHI</t>
  </si>
  <si>
    <t>211SARVADIYA STREET MATEL 2 MATEL MORB I, WANKANER, GUJARA T, 363621</t>
  </si>
  <si>
    <t>GJ03HD9786</t>
  </si>
  <si>
    <t>OG-26-1105-1802-00008526</t>
  </si>
  <si>
    <t>HERO HONDA - SPLENDOR PLUS</t>
  </si>
  <si>
    <t>THEBA WASIMBHAI HANIFBHAU</t>
  </si>
  <si>
    <t>BAJAJ</t>
  </si>
  <si>
    <t>15-06-2025</t>
  </si>
  <si>
    <t>EID MASZID ROAD ST NO-1 NR DAIMAND BEKRI BH OLD BUS STOP MORBI GUJARAT, , , RAJKOT, GUJARAT-363641</t>
  </si>
  <si>
    <t>GJ36S3642</t>
  </si>
  <si>
    <t>213049/31/26/008937</t>
  </si>
  <si>
    <t>JOHN DEERE - 5310 V3 TRACTOR</t>
  </si>
  <si>
    <t>PRUTHVIRAJ STONE CRUSHER</t>
  </si>
  <si>
    <t>25/11/2026</t>
  </si>
  <si>
    <t>PR</t>
  </si>
  <si>
    <t>26-06-2027</t>
  </si>
  <si>
    <t>31-12-2025</t>
  </si>
  <si>
    <t>NO</t>
  </si>
  <si>
    <t>VILL BHALGAM TAL WANKANER MORBI GUJARAT 363621</t>
  </si>
  <si>
    <t>GJ12BJ3644</t>
  </si>
  <si>
    <t>213049/31/26/008936</t>
  </si>
  <si>
    <t>CATERPILLAR - HINDUSTAN 2021 D1 WHEEL LOADER</t>
  </si>
  <si>
    <t>26-12-2023</t>
  </si>
  <si>
    <t>AT BHALGAM WANKANER MORBI 9825051721 MORBI GUJARAT 363621</t>
  </si>
  <si>
    <t>GJ12BY6946</t>
  </si>
  <si>
    <t>AVO/2315/12410725</t>
  </si>
  <si>
    <t>TATA MOTORS LPS 4018 TC</t>
  </si>
  <si>
    <t>Dangar Hiteshbhai Arjanbhai</t>
  </si>
  <si>
    <t>UNIVERSAL</t>
  </si>
  <si>
    <t>JP</t>
  </si>
  <si>
    <t>27-03-2026</t>
  </si>
  <si>
    <t>24-08-2025</t>
  </si>
  <si>
    <t>24-11-2026</t>
  </si>
  <si>
    <t>dangar was, mathak , anjar, Anjar, Kachchh, Anjar, Gu jarat, 370110 ANJAR GUJARAT</t>
  </si>
  <si>
    <t>COURIER</t>
  </si>
  <si>
    <t>GJ36W1210</t>
  </si>
  <si>
    <t>6303538639 00 00</t>
  </si>
  <si>
    <t>Mr SOMA BACHUBHAI SOMANI</t>
  </si>
  <si>
    <t>24-04-2026</t>
  </si>
  <si>
    <t>21-11-2028</t>
  </si>
  <si>
    <t>P.O.VAVANIYA RAJKOT VAVANIA, JAMNAGAR, GUJARAT, 363666</t>
  </si>
  <si>
    <t>GJ36V0906</t>
  </si>
  <si>
    <t>161122523340011418</t>
  </si>
  <si>
    <t>MS. BHUPATBHAI PARSOTAMBHAI AADHROJIYA</t>
  </si>
  <si>
    <t>19-11-2027</t>
  </si>
  <si>
    <t>AT: GIDC VAGHRIVAS WANKANER WANKANER, MORBI, GUJARAT, India, 363621.</t>
  </si>
  <si>
    <t>GJ07TU0290</t>
  </si>
  <si>
    <t>3379/04512159/000/00</t>
  </si>
  <si>
    <t>TATA MOTORS</t>
  </si>
  <si>
    <t>PANKAJBHAI LALJIBHAI SOLIYA</t>
  </si>
  <si>
    <t>E-3/501 , OPERA PLACE , LASKANA KHOLWAD TA- KAMREJ SURAT, KHOLVAD S.O,SURAT GUJARAT,PIN- 394190</t>
  </si>
  <si>
    <t>GJ36U0926</t>
  </si>
  <si>
    <t>D234980297 / 08112025</t>
  </si>
  <si>
    <t>ABDUL KASAM KHURESHI</t>
  </si>
  <si>
    <t>17-04-2026</t>
  </si>
  <si>
    <t>5 KALIKA PLOT MORVI MORVI MDG RAJKOT,Morbi363641</t>
  </si>
  <si>
    <t>GJ21W9558</t>
  </si>
  <si>
    <t>161122523340011375</t>
  </si>
  <si>
    <t>MARUTI SUZUKI SUPER CARRY &amp; STD.</t>
  </si>
  <si>
    <t>MR. IMRANBHAI KASMANI</t>
  </si>
  <si>
    <t>MEMAN KOLONI DARIYA APIR SHERI MORBI MORBI, RAJKOT, GUJARAT, India, 363641.</t>
  </si>
  <si>
    <t>GJ36X6618</t>
  </si>
  <si>
    <t>3003/416207334/00/B00</t>
  </si>
  <si>
    <t>BOLERO MAXX PUP CITY 1.3L VXID</t>
  </si>
  <si>
    <t>LORIA DILIP RAGHAVJIBHAI</t>
  </si>
  <si>
    <t>NH</t>
  </si>
  <si>
    <t>AT-NEKNAM , TA TANKARA, MORBI, MORBI, GUJARAT 363641</t>
  </si>
  <si>
    <t>GJ36X5448</t>
  </si>
  <si>
    <t>3003/416207360/00/B00</t>
  </si>
  <si>
    <t>LORIA JITESHBHAI AMARSHIBHAI</t>
  </si>
  <si>
    <t>28-08-2026</t>
  </si>
  <si>
    <t>28-08-2025</t>
  </si>
  <si>
    <t>AT NEKNAM, TAL TANKARA, MORBI, MORBI, GUJARAT 363641</t>
  </si>
  <si>
    <t>GJ21W3864</t>
  </si>
  <si>
    <t>3379/04513121/000/00</t>
  </si>
  <si>
    <t>BOLERO - PICK UP BS II</t>
  </si>
  <si>
    <t>VANI JUBERBHAI SAIYADBHAI</t>
  </si>
  <si>
    <t>94292 43431</t>
  </si>
  <si>
    <t>81602 57380</t>
  </si>
  <si>
    <t>29-12-2025</t>
  </si>
  <si>
    <t>MAHALPADA NANDANPEDA AHWA DANG THE DANGS,,,, AHWADANGS S.O,THE DANGS GUJARAT,PIN- 394710</t>
  </si>
  <si>
    <t>GJ03BX8537</t>
  </si>
  <si>
    <t>6303541779 00 00</t>
  </si>
  <si>
    <t>BAJAJ AUTO/RE/4S CNG FI BS6/Motorized Ricks haw/AUTO RICKSHAW</t>
  </si>
  <si>
    <t>Mr RATHOD RAMESHBHAI UKABHAI</t>
  </si>
  <si>
    <t>KHETLA APA NIVAS PU NIT NAGAR MAIN ROA D KOTHARIYA ROAD AP P SURA HANUMAN RAJ KOT BHAKTINAGAR, RA JKOT BHAKTINAGAR, G UJARAT, 360002</t>
  </si>
  <si>
    <t>GJ12CM1021</t>
  </si>
  <si>
    <t>6303541781 00 00</t>
  </si>
  <si>
    <t>JCB/432 ZX/WHEEL LOA DER/OPEN/CONSTRUC TION EQUIPMENTS</t>
  </si>
  <si>
    <t>Mr DANGAR ARJANBHAI DAYABHAI</t>
  </si>
  <si>
    <t>27/11/2026</t>
  </si>
  <si>
    <t>21-03-2026</t>
  </si>
  <si>
    <t>29-03-2025</t>
  </si>
  <si>
    <t>DANGAR VAS MATHAK KACHCHH ADIPUR, MO RBI, GUJARAT, 363641</t>
  </si>
  <si>
    <t>GJ03HK6190</t>
  </si>
  <si>
    <t>POPMCAR00102098768</t>
  </si>
  <si>
    <t>Hyundai,I20 &amp; 1.4 Sportz CRDi (O)</t>
  </si>
  <si>
    <t>Mr GADHAVARA MOHAMAD MERAJ</t>
  </si>
  <si>
    <t>29-04-2026</t>
  </si>
  <si>
    <t>0 ARNI TINBA WANKANER ARNITIMBA, ., Rajkot, Gujarat 363621</t>
  </si>
  <si>
    <t>GJ09BK0418</t>
  </si>
  <si>
    <t>POCMVMI0100315939</t>
  </si>
  <si>
    <t>John Deere 5105 &amp; V2</t>
  </si>
  <si>
    <t>Mr. DANGAR JATINKUMAR ARJANBHAI</t>
  </si>
  <si>
    <t>14/11/2026</t>
  </si>
  <si>
    <t>29-09-2037</t>
  </si>
  <si>
    <t>17-05-2025</t>
  </si>
  <si>
    <t>80 DANGARWAS , MATHAK, KACHCHH, , Kachchh, , Gujarat, 370205 India.</t>
  </si>
  <si>
    <t>GJ03KE4232</t>
  </si>
  <si>
    <t>D235177093 / 08112025</t>
  </si>
  <si>
    <t>ACTIVA/4G</t>
  </si>
  <si>
    <t>BHALGAMADIYA DEVJIBHAI PRAVINBHAI</t>
  </si>
  <si>
    <t>22-10-2032</t>
  </si>
  <si>
    <t>BHARAMPUR MORVI MORBI PPW RAJKOT GUJARAT 363642,Rajkot-360021</t>
  </si>
  <si>
    <t>GJ03FK7369</t>
  </si>
  <si>
    <t>D235224208 / 08112025</t>
  </si>
  <si>
    <t>SOLANKI ARIFBHAI HAJIBHAI</t>
  </si>
  <si>
    <t>20-10-2029</t>
  </si>
  <si>
    <t>NOORANI MANZIL ZAVERI STREET VANAND STREET MAIN ROAD RANG OF GADH MORVI MORBI,MORBI-363641</t>
  </si>
  <si>
    <t>GJ36T7010</t>
  </si>
  <si>
    <t>3003/416318001/00/000</t>
  </si>
  <si>
    <t>BOLERO PICK UP 1.29T PS</t>
  </si>
  <si>
    <t>BHARVAD PETHABHAI SATABHAI</t>
  </si>
  <si>
    <t>14-12-2027</t>
  </si>
  <si>
    <t>135 KH KOLIVAS, DUNGARPUR HALVAD MORBI, MORBI, GUJARAT 363641</t>
  </si>
  <si>
    <t>GJ11CH6622</t>
  </si>
  <si>
    <t>TATA MOTORS TIAGO</t>
  </si>
  <si>
    <t>Mr. RAHIMBHAI ISMAILBHAI BAREJIA</t>
  </si>
  <si>
    <t>ZUNO</t>
  </si>
  <si>
    <t>PB</t>
  </si>
  <si>
    <t>22-11-2026</t>
  </si>
  <si>
    <t>: 3 A 7172 WELCOME PARK GHANCHI PAT BEHIND SARDAR BAUG, JUNAGADH, RAJKOT, JUNAGADH 362001, Gujarat</t>
  </si>
  <si>
    <t>GJ36U7279</t>
  </si>
  <si>
    <t>6303546920 00 00</t>
  </si>
  <si>
    <t>Mr DEGAMA SURESHKUMAR KANJIBHAI</t>
  </si>
  <si>
    <t>23-11-2026</t>
  </si>
  <si>
    <t>KHARACHIYA JAMNAGA R, MORBI, GUJARAT, 36 3642</t>
  </si>
  <si>
    <t>_</t>
  </si>
  <si>
    <t>GJ03KP3390</t>
  </si>
  <si>
    <t>D235451283 / 10112025</t>
  </si>
  <si>
    <t>GRAND i10/1.2 SPORTZ O</t>
  </si>
  <si>
    <t>AGRAVAT DIPAKKUMAR TULJARAM</t>
  </si>
  <si>
    <t>16-11-2033</t>
  </si>
  <si>
    <t>JAY KHODIYAR SOC STREET NO 4 MARUTI KRUPA NEAR SAHKAR ROAD,MORBI-363642</t>
  </si>
  <si>
    <t>GJ36W2495</t>
  </si>
  <si>
    <t>6303546915 00 00</t>
  </si>
  <si>
    <t>Mr CHHANABHAI MANUBHAI RAVA</t>
  </si>
  <si>
    <t>14-11-2026</t>
  </si>
  <si>
    <t>14-11-2025</t>
  </si>
  <si>
    <t>SUNRISE TILES VIJAY NA GAR PRAKASH,PRAKAS H PARK MORVI RAJKOT MORBI, GUJARAT, 3636 41</t>
  </si>
  <si>
    <t>OFFICE</t>
  </si>
  <si>
    <t>13-12-2025</t>
  </si>
  <si>
    <t>DONE</t>
  </si>
  <si>
    <t>GJ36W2398</t>
  </si>
  <si>
    <t>6303546913 00 00</t>
  </si>
  <si>
    <t>Mr UPSARIYA AJAYBHAI HARJIVANBHAI</t>
  </si>
  <si>
    <t>19-10-2026</t>
  </si>
  <si>
    <t>19-10-2025</t>
  </si>
  <si>
    <t>24-10-2029</t>
  </si>
  <si>
    <t>25 KOLI VAS DHARAMP UR MORBI, MORBI, GUJ ARAT, 363642</t>
  </si>
  <si>
    <t>GJ36V4800</t>
  </si>
  <si>
    <t>3379/04139692/000/01</t>
  </si>
  <si>
    <t>BOLERO CAMPER - GOLD ZX 2WD BS VI</t>
  </si>
  <si>
    <t>RIYAJ VALIMAMADBHAI BHATTI</t>
  </si>
  <si>
    <t>20-08-2025</t>
  </si>
  <si>
    <t>20-08-2024</t>
  </si>
  <si>
    <t>BHATI NI VANDH VISTAR MALIYA MORBI GUJARAT, MALIYA MIYANA S.O,RAJKOT GUJARAT,PIN- 363670</t>
  </si>
  <si>
    <t>GJ36V5205</t>
  </si>
  <si>
    <t>3379/04514580/000/00</t>
  </si>
  <si>
    <t>BOL MAXX PUP - 1.5 CITY LX BSVI</t>
  </si>
  <si>
    <t>GHUGHABHAI BHARVAD</t>
  </si>
  <si>
    <t xml:space="preserve"> 81403 62932</t>
  </si>
  <si>
    <t>M 16 MACHCHHOMANAGAR PANELI ROAD RAFAILESHVAR JAMBUDIYA,, PANELI B.O,RAJKOT GUJARAT</t>
  </si>
  <si>
    <t>GJ36R5480</t>
  </si>
  <si>
    <t>VPT1012928000100</t>
  </si>
  <si>
    <t>EECO 5 STR STD O BSVI - 5 Seater</t>
  </si>
  <si>
    <t>Mr BHAVESHBHAI BHANUBHAI RATHOD</t>
  </si>
  <si>
    <t>13-11-2035</t>
  </si>
  <si>
    <t>22-12-2025</t>
  </si>
  <si>
    <t>MOTA DAHISARA, ., , , RAJKOT, 363660, GUJARAT</t>
  </si>
  <si>
    <t>GJ36V2873</t>
  </si>
  <si>
    <t>3003/416415016/00/B00</t>
  </si>
  <si>
    <t>BOLERO PICK-UP FB PS 1.7T XL</t>
  </si>
  <si>
    <t>PARMAR DHANSUKHBHAI KESHAVJIBHAI</t>
  </si>
  <si>
    <t>CHAMUNDA NAGAR NR CHAMUNDA MANDIR, TA-MORBI, MORBI, GUJARAT 36364</t>
  </si>
  <si>
    <t>GJ36V8876</t>
  </si>
  <si>
    <t>: 3003/416414873/00/000</t>
  </si>
  <si>
    <t>ISUZU MOTORS LTD PICK-UP VANS</t>
  </si>
  <si>
    <t>ANIYARIYA ASHOK</t>
  </si>
  <si>
    <t>MAHADEVNAGAR KISHAN SOCIETY, TA-WANKANER, MORBI, GUJARAT 363641</t>
  </si>
  <si>
    <t>GJ36J8365</t>
  </si>
  <si>
    <t>3005/A/416414677/00/B00</t>
  </si>
  <si>
    <t>Suzuki ACCESS</t>
  </si>
  <si>
    <t>THASARIYA JAIM SABIRBHAI</t>
  </si>
  <si>
    <t>LOMJIVAN PARK - 2, VAVDI ROAD, MORBI, RAJKOT, GUJARAT 363641</t>
  </si>
  <si>
    <t>GJ10TX5118</t>
  </si>
  <si>
    <t>161122523340011576</t>
  </si>
  <si>
    <t>MR. ASWAR KISHAN</t>
  </si>
  <si>
    <t>20-03-2025</t>
  </si>
  <si>
    <t>DIGVIJAY PLOT - 58 NEAR GOL GODOWN JAMNAGAR DANGARVADA JAMNAGAR, GUJARAT, India, 361005.</t>
  </si>
  <si>
    <t>GJ36V7902</t>
  </si>
  <si>
    <t>213001/31/26/015057</t>
  </si>
  <si>
    <t>MGV</t>
  </si>
  <si>
    <t>ASHOK LEYLAND - CA 1015/39 H CBC BS 6 TANKE</t>
  </si>
  <si>
    <t>SAI PETROLEUM</t>
  </si>
  <si>
    <t>14-12-2026</t>
  </si>
  <si>
    <t>25-11-2026</t>
  </si>
  <si>
    <t>14-12-2025</t>
  </si>
  <si>
    <t>MANABA, SURVEY NO 109 P 1 P 2, TA MALIYA,MALIYA ANIYARI ROAD STATE HIGHWAY 7, DIS MORBI, , - GALA , RAJKOT, GUJARAT - 363630</t>
  </si>
  <si>
    <t>GJ36AL7213</t>
  </si>
  <si>
    <t>3407/00258232/000/00</t>
  </si>
  <si>
    <t>GRAND I10 NIOS</t>
  </si>
  <si>
    <t>TUSHARBHAI BHAVESHBHAI PATEL</t>
  </si>
  <si>
    <t>13-11-2026</t>
  </si>
  <si>
    <t>FLATE NO 601 LAXMI HIGHTS HARIGUN RESIDENACY, MAHENDRANAGAR , LIMBDI S.O,SURENDRA NAGAR,GUJARAT, PIN - 363421</t>
  </si>
  <si>
    <t>GJ36AJ6868</t>
  </si>
  <si>
    <t>HYUNDAI CRETA</t>
  </si>
  <si>
    <t>Makwana Kamleshkumar Govindbhai</t>
  </si>
  <si>
    <t>17-08-2038</t>
  </si>
  <si>
    <t>16 POLICE LINE BEHIND GINI GUEST HOUSE RAILWAY STATION HALVAD SURENDRANAGAR 363330, Gujarat</t>
  </si>
  <si>
    <t>GJ36V7565</t>
  </si>
  <si>
    <t>3003/416549865/00/B00</t>
  </si>
  <si>
    <t>EICHER MOTOR TRUCKS PRO 2110</t>
  </si>
  <si>
    <t>KANJIYA VIPULBHAI BHUPATBHA</t>
  </si>
  <si>
    <t>19-09-2026</t>
  </si>
  <si>
    <t>29-10-2026</t>
  </si>
  <si>
    <t>26-11-2029</t>
  </si>
  <si>
    <t>26-11-2025</t>
  </si>
  <si>
    <t>DIGHADIYA, SURENDRANAGAR, GUJARAT 363330</t>
  </si>
  <si>
    <t>GJ36Q8420</t>
  </si>
  <si>
    <t>D235629239 / 11112025</t>
  </si>
  <si>
    <t>SPLENDOR PLUS/I3s CAST WHEEL BSVI</t>
  </si>
  <si>
    <t>GHONIYA MEHBUBBHAI USMANBHAI</t>
  </si>
  <si>
    <t>31-03-2035</t>
  </si>
  <si>
    <t>BHATIYA SOC, JALARAM JIN PACHAD WANKANER CHANDRAPUR MORBI,RAJKOT-363621</t>
  </si>
  <si>
    <t>GJ13J9379</t>
  </si>
  <si>
    <t>3005/A/416547228/00/B00</t>
  </si>
  <si>
    <t>HERO HONDA SPLENDOR</t>
  </si>
  <si>
    <t>MAKASANA KANJIBHAI HIRJIBHAI</t>
  </si>
  <si>
    <t>30-09-2024</t>
  </si>
  <si>
    <t>CHAITANY NAGAR, CHARADVA, CHARADVA, SURENDRA NAGAR, GUJARAT, 363330,, SURENDRANAGAR, GUJARAT 363330</t>
  </si>
  <si>
    <t>GJ36E7009</t>
  </si>
  <si>
    <t>3005/A/416547190/00/B00</t>
  </si>
  <si>
    <t>HONDA MOTORCYCLE ACTIVA 3G</t>
  </si>
  <si>
    <t>SODHIYA DINESHBHAI RAYDHANBHAI</t>
  </si>
  <si>
    <t>24-01-2032</t>
  </si>
  <si>
    <t>UMA RESIDENCY - 2, TULSI PARK, NEAR BYE PASS, HOUSE NO - 3, NEAR KRISHNA PROVISION STORE, MORBI MDG,, RAJKOT, GUJARAT 363641</t>
  </si>
  <si>
    <t>GJ36AF3744</t>
  </si>
  <si>
    <t>POPMCAR00102105801</t>
  </si>
  <si>
    <t>Hyundai,I20 &amp; Magna</t>
  </si>
  <si>
    <t>Mr ISMAILBHAI BADI</t>
  </si>
  <si>
    <t>25-09-2026</t>
  </si>
  <si>
    <t>AT ARNI TIMBA , ,Rajkot Rajkot, Gujarat 363621</t>
  </si>
  <si>
    <t>GJ13AR9260</t>
  </si>
  <si>
    <t>VPT1013755000100</t>
  </si>
  <si>
    <t>EECO 5 STR AC CNG O BSVI</t>
  </si>
  <si>
    <t>Mr SASLA DEVABHA. RAIYABHAI</t>
  </si>
  <si>
    <t>28-12-2036</t>
  </si>
  <si>
    <t>16-01-2025</t>
  </si>
  <si>
    <t>SHERI 1 NR NEW JUNCTION, RAMNAGAR SURENDRANAGAR, , , M5-Ahmedabad , SURENDRANAGAR, 363001, GUJARAT</t>
  </si>
  <si>
    <t>GJ36U5626</t>
  </si>
  <si>
    <t>D235531709 / 11112025</t>
  </si>
  <si>
    <t>MOGAL SAHIL ARIFSHA</t>
  </si>
  <si>
    <t>30-08-2025</t>
  </si>
  <si>
    <t>26-03-2024</t>
  </si>
  <si>
    <t>KUMBHARPARA SHERI NO 5 AMARSAR RAJKOT,Morbi-363623</t>
  </si>
  <si>
    <t>GJ11VV3749</t>
  </si>
  <si>
    <t>213049/31/26/009060</t>
  </si>
  <si>
    <t>LPV</t>
  </si>
  <si>
    <t>MAHINDRA AND MAHINDRA - BOLERO NEO N8 BS6</t>
  </si>
  <si>
    <t>MR. MUKESHBHAI LAXMANBHAI BORICHA</t>
  </si>
  <si>
    <t>29-09-2027</t>
  </si>
  <si>
    <t>18-08-2026</t>
  </si>
  <si>
    <t>NAVA DARVAJA AT CHORVAD, TAL MALIYA HATINA,, JUNAGADH-GUJARAT-362250 , CHORVAD , JUNAGADH, GUJARAT - 36225</t>
  </si>
  <si>
    <t>GJ36T5600</t>
  </si>
  <si>
    <t>213049/31/26/009052</t>
  </si>
  <si>
    <t>ASHOK LEYLAND - 2518 IL 6*2 4902 MM (193") W</t>
  </si>
  <si>
    <t>16-11-2025</t>
  </si>
  <si>
    <t>AT - MANABA,SURVEY NO.109,PI P 2,TA - MALIYA ( MI) , - AT - MANABA,SURVEY NO.109,PI P 2,TA - MALIYA ( MI)- MORBI , MORBI, GUJARAT - 36367</t>
  </si>
  <si>
    <t>GJ36V7530</t>
  </si>
  <si>
    <t>3379/04515683/000/00</t>
  </si>
  <si>
    <t>MAHESHBHAI AMARSHIBHAI VAGHELA</t>
  </si>
  <si>
    <t>INDIRA VAS NEAR SAIBABA TEMPLE AT SHAKAT SANALA DIS MORBI, MORBI,MORBI GUJARAT,PIN- 363641</t>
  </si>
  <si>
    <t>GJ36J8951</t>
  </si>
  <si>
    <t>3005/A/416472390/00/B00</t>
  </si>
  <si>
    <t>HONDA MOTORCYCLE ACTIVA 4G</t>
  </si>
  <si>
    <t>CHAUHAN SALIM JUMABHAI</t>
  </si>
  <si>
    <t>28-01-2033</t>
  </si>
  <si>
    <t>OPP OLD BUS STAND NAVADELA ROAD MORVI MORBI, RAJKOT, GUJARAT 363641</t>
  </si>
  <si>
    <t>GJ39TB1319</t>
  </si>
  <si>
    <t>213049/31/26/009041</t>
  </si>
  <si>
    <t>TATA MOTORS - SIGNA 4623 S BS</t>
  </si>
  <si>
    <t>SHAKTI ENTERPRISE</t>
  </si>
  <si>
    <t>16-11-2030</t>
  </si>
  <si>
    <t>OPP. SHIV SHAKTI PIPE, PLOT NO.3 P, SHOP NO.119, FIRST FLOOR,ANAND COMPLEX, 8 A NATIONAL , SADULKANAVA , RAJKOT, GUJARAT - 363642</t>
  </si>
  <si>
    <t>GJ39TB2570</t>
  </si>
  <si>
    <t>213049/31/26/009040</t>
  </si>
  <si>
    <t>TATA MOTORS - SIGNA 4623 S BS 6</t>
  </si>
  <si>
    <t>OPP. SHIV SHAKTI PIPE, PLOT NO.3 P, SHOP NO.119, FIRST FLOOR,ANAND COMPLEX, 8 A NATIONAL , SADULKANAVA , RAJKOT, GUJARAT - 36364</t>
  </si>
  <si>
    <t>GJ03FD2037</t>
  </si>
  <si>
    <t>OG-26-9906-1801-00101600</t>
  </si>
  <si>
    <t>MARUTI - EECO</t>
  </si>
  <si>
    <t>ODHAVJIBHAI DEVJIBHAI BAREJIYA</t>
  </si>
  <si>
    <t>26-04-2026</t>
  </si>
  <si>
    <t>CHAMUNDA NAGAR SO ORDI MORBI, MORBI , , RAJKOT, GUJARAT-363641</t>
  </si>
  <si>
    <t>GJ03BZ2008</t>
  </si>
  <si>
    <t>132/02/21/1126/MTP/1010237810</t>
  </si>
  <si>
    <t>MARUTI SUZUKI DZIRE VXI CNG</t>
  </si>
  <si>
    <t>MR GHELABHAI VISABHAI ZAPADA</t>
  </si>
  <si>
    <t>24-11-2025</t>
  </si>
  <si>
    <t>BORSI NALA VISTAR AT TARGHARI, TAL PADDHARI, RAJKOT, GUJARAT, INDIA, Pincode : 360110</t>
  </si>
  <si>
    <t>GJ03FD2786</t>
  </si>
  <si>
    <t>D235770479 / 12112025</t>
  </si>
  <si>
    <t>SWIFT/VDi</t>
  </si>
  <si>
    <t>KATIYA KARIMBHAI HUSENBHAI</t>
  </si>
  <si>
    <t>91065 03964</t>
  </si>
  <si>
    <t>26-12-2025</t>
  </si>
  <si>
    <t>KHARI TRAJPAR MORVI MORBI PPW RAJKOT GUJARAT 363642,Rajkot-360021</t>
  </si>
  <si>
    <t>GJ10TV7009</t>
  </si>
  <si>
    <t>3379/04516469/000/00</t>
  </si>
  <si>
    <t>ASHOK LEYLAND</t>
  </si>
  <si>
    <t>DODERA NAUSADBHAI VALIBHAI</t>
  </si>
  <si>
    <t>29-05-2029</t>
  </si>
  <si>
    <t>RABARI PA,AT MULI,TA MULI,SURENDRANAGAR,GUJARAT,,, MULI S.O,SURENDRA NAGAR GUJARAT,PIN- 363510</t>
  </si>
  <si>
    <t>13/11/2025</t>
  </si>
  <si>
    <t>GJ36U5943</t>
  </si>
  <si>
    <t>D235781100 / 12112025</t>
  </si>
  <si>
    <t>HAIDAR OSMAN KATIYA</t>
  </si>
  <si>
    <t>13/11/2026</t>
  </si>
  <si>
    <t>MORBI, 363641,Rajkot-360005</t>
  </si>
  <si>
    <t>GJ36AF8500</t>
  </si>
  <si>
    <t>OG-26-1105-1805-00006163</t>
  </si>
  <si>
    <t>MARUTI SWIFT</t>
  </si>
  <si>
    <t>RAFIKBHAI R BADI</t>
  </si>
  <si>
    <t>97730 57213</t>
  </si>
  <si>
    <t>99243 80933</t>
  </si>
  <si>
    <t>21-09-2037</t>
  </si>
  <si>
    <t>14-02-2026</t>
  </si>
  <si>
    <t>AMRAPAR TOL, , ,, RAJKOT - 363650</t>
  </si>
  <si>
    <t>GJ27V8365</t>
  </si>
  <si>
    <t>3379/04516992/000/00</t>
  </si>
  <si>
    <t>CHANIYA ISMAIL ALARAKHABHAI</t>
  </si>
  <si>
    <t>25-06-2026</t>
  </si>
  <si>
    <t>VAGHAPARA STREET NUMBER 4 MORBI, MORBI,,, MORBI,RAJKOT GUJARAT,PIN- 363641</t>
  </si>
  <si>
    <t>GJ36W1245</t>
  </si>
  <si>
    <t>6303554492 00 00</t>
  </si>
  <si>
    <t>Mr RABARI DEVABHAI JESANGBHAI</t>
  </si>
  <si>
    <t>BORICHAVAS SUB JAIL, J AIL ROAD MORVI RAJK OT MDG, MORBI, GUJA RAT, 363641</t>
  </si>
  <si>
    <t>RUBRU</t>
  </si>
  <si>
    <t>25-11-2025</t>
  </si>
  <si>
    <t>GJ36R4687</t>
  </si>
  <si>
    <t>HONDA AMAZE 1.2 S MT PETROL SPECIAL EDITION</t>
  </si>
  <si>
    <t>Zalariya Himanshubhai Mansukhbhai</t>
  </si>
  <si>
    <t>SK</t>
  </si>
  <si>
    <t>17-11-2035</t>
  </si>
  <si>
    <t>601 SHIVAY HEIGHTS ONY PARK AT RAVAPAR DIST MORBI Rajkot 363641, Gujarat</t>
  </si>
  <si>
    <t>14/11/2025</t>
  </si>
  <si>
    <t>GJ36V0753</t>
  </si>
  <si>
    <t>3003/416722106/00/000</t>
  </si>
  <si>
    <t>SANAVADA GAUTAMBHAI HIRAJIBHA</t>
  </si>
  <si>
    <t>15/11/2026</t>
  </si>
  <si>
    <t>21-11-2026</t>
  </si>
  <si>
    <t>AT VANKADA, TA MORBI, MORBI, MORBI, GUJARAT 363641</t>
  </si>
  <si>
    <t>GJ36AP1505</t>
  </si>
  <si>
    <t>3001/O/416721959/00/000</t>
  </si>
  <si>
    <t>HYUNDAI CRETA S OPTION DIESEL</t>
  </si>
  <si>
    <t>: MR. BHARAVAD NARAYAN VALABHAI</t>
  </si>
  <si>
    <t>13-11-2039</t>
  </si>
  <si>
    <t>AT CHITRODI TA HALVAD MORBI MORBI MORBI, MORBI, GUJARAT 363641</t>
  </si>
  <si>
    <t>GJ36V2996</t>
  </si>
  <si>
    <t>213049/31/26/009130</t>
  </si>
  <si>
    <t>MARUTI SUZUKI - SUPER CARRY</t>
  </si>
  <si>
    <t>MR. JADEJA RAVINDRSINH NATUBHA</t>
  </si>
  <si>
    <t>26-11-2027</t>
  </si>
  <si>
    <t>AT NAVA DHUVA, TA WANKANER MORBI,, MORBI-GUJARAT-363621 , DHUVA , RAJKOT, GUJARAT - 36362</t>
  </si>
  <si>
    <t>GJ01TB3447</t>
  </si>
  <si>
    <t>POCMVGC0100546906</t>
  </si>
  <si>
    <t>Piaggio,Ape &amp; Xtra LDX</t>
  </si>
  <si>
    <t>Mr.ARVINDBHAI BATUKBHAI KANJIYA</t>
  </si>
  <si>
    <t>16-05-2026</t>
  </si>
  <si>
    <t>KALIKA PLOT,STREET NO 2,MORVI PO MORBI MDG,Rajkot,Gujarat363641,India</t>
  </si>
  <si>
    <t>GJ36B0465</t>
  </si>
  <si>
    <t>VPT1015678000100</t>
  </si>
  <si>
    <t>Mr KHANDARIYA ZINABHAI RAMJIBHAI</t>
  </si>
  <si>
    <t>30-09-2030</t>
  </si>
  <si>
    <t>LAKHADHIR PUR LAKHADHIR MORDI, MDG, , , RAJKOT, 363641, GUJARAT</t>
  </si>
  <si>
    <t>GJ36U8601</t>
  </si>
  <si>
    <t>6303558589 00 00</t>
  </si>
  <si>
    <t>Mr GADESHIA KAMLESHBHAI BHAGVANJIBHAI</t>
  </si>
  <si>
    <t>6355 259 019</t>
  </si>
  <si>
    <t>28-10-2026</t>
  </si>
  <si>
    <t>23-10-2025</t>
  </si>
  <si>
    <t>AT VEJALPAR TA MORBI MORBI Gujarat 363630 RAJKOT, GUJARAT, 3636 30</t>
  </si>
  <si>
    <t>GJ36W1166</t>
  </si>
  <si>
    <t>0604003125P112988826</t>
  </si>
  <si>
    <t>ATUL AUTO LTD / ATUL SMART XD AQUA CNG</t>
  </si>
  <si>
    <t>MR DHARODIYA SHAILESHBHAI GOKALBHAI</t>
  </si>
  <si>
    <t>363642 RAJKOT GUJARAT</t>
  </si>
  <si>
    <t>15/11/2025</t>
  </si>
  <si>
    <t>GJ36T5910</t>
  </si>
  <si>
    <t>3379/04519638/000/00</t>
  </si>
  <si>
    <t>BOLERO - PICK UP 1.7</t>
  </si>
  <si>
    <t>MUNDHAVA GELANBHAI MAYABHAI</t>
  </si>
  <si>
    <t>19-01-2025</t>
  </si>
  <si>
    <t>27-04-2026</t>
  </si>
  <si>
    <t>BH MAJUR KALYAN KENDRA JIN PARA AT WANKANER DI MORBI,,, WANKANER S.O,RAJKOT GUJARAT,PIN- 363621</t>
  </si>
  <si>
    <t>GJ36V9713</t>
  </si>
  <si>
    <t>161122523340011780</t>
  </si>
  <si>
    <t>MR. SHERASIYA PARVEJ</t>
  </si>
  <si>
    <t>20/11/2026</t>
  </si>
  <si>
    <t>20-11-2025</t>
  </si>
  <si>
    <t>KOTHI WANKANER MORBI WANKANER, MORBI, GUJARAT, India, 363621.</t>
  </si>
  <si>
    <t>GJ10Y4613</t>
  </si>
  <si>
    <t>213049/31/26/009165</t>
  </si>
  <si>
    <t>MAHINDRA AND MAHINDRA - BOLERO PICK UP (XL/CAB)</t>
  </si>
  <si>
    <t>MR. CHAUHAN RAJESH FULABHAI</t>
  </si>
  <si>
    <t>97258 64111</t>
  </si>
  <si>
    <t>NAVAPARA, WANKANER, AMARSAR , RAJKOT , GUJARAT - 363621 , WANKANER , RAJKOT, GUJARAT - 363621</t>
  </si>
  <si>
    <t>GJ36B6677</t>
  </si>
  <si>
    <t>MARUTI SUZUKI SWIFT VDI NEW</t>
  </si>
  <si>
    <t>Mr. Bhalgamadiya Umesh Keshavjibhai</t>
  </si>
  <si>
    <t>21-03-2031</t>
  </si>
  <si>
    <t>GHUNTU MORBI,, MORBI 363641, Gujarat</t>
  </si>
  <si>
    <t>GJ36F0667</t>
  </si>
  <si>
    <t>MARUTI / ALTO 800 / L XI</t>
  </si>
  <si>
    <t>BABUBHAI HIRABHAI CHIPARA</t>
  </si>
  <si>
    <t>16-07-2032</t>
  </si>
  <si>
    <t>UMIYA NAGAR , B/H CERAMIC CITY, 8 A N/H MORBI, MORBI , MORBI-GUJARAT, 363641</t>
  </si>
  <si>
    <t>GJ36C6725</t>
  </si>
  <si>
    <t>OG-26-1105-1806-00023461</t>
  </si>
  <si>
    <t>HERO MOTOCORP SPLENDO</t>
  </si>
  <si>
    <t>CHANIYA ADAM ALARAKHABHAI</t>
  </si>
  <si>
    <t>23-05-2031</t>
  </si>
  <si>
    <t>18-01-2025</t>
  </si>
  <si>
    <t>NAVA SADULKA SADULKANAVA, , ,, RAJKOT - 363642</t>
  </si>
  <si>
    <t>GJ03FK7297</t>
  </si>
  <si>
    <t>D236149640 / 14112025</t>
  </si>
  <si>
    <t>ALTO 800/LXi (SE)</t>
  </si>
  <si>
    <t>JAYESHKUMAR CHHOTALAL KHAKHKHAR</t>
  </si>
  <si>
    <t>21-10-2029</t>
  </si>
  <si>
    <t>19-07-2024</t>
  </si>
  <si>
    <t>PLOT-13 VIDHYUT NAGAR SOCIETY MORBI-2 MORVI,MORBI-363642</t>
  </si>
  <si>
    <t>GJ23AF0418</t>
  </si>
  <si>
    <t>VPT1016553000100</t>
  </si>
  <si>
    <t>Mr JAYESHKUMAR CHHOTALAL KHAKHKHAR</t>
  </si>
  <si>
    <t>PLOT-13 VIDHYUT NAGAR SOCIETY, MORBI-2 MORVI, , , MC-Anand , RAJKOT, 363642, GUJARAT</t>
  </si>
  <si>
    <t>GJ12AW3151</t>
  </si>
  <si>
    <t>3379/04519639/000/00</t>
  </si>
  <si>
    <t>YASH VIJAYBHAI PARMAR</t>
  </si>
  <si>
    <t>25-04-2026</t>
  </si>
  <si>
    <t>30-11-2025</t>
  </si>
  <si>
    <t>30-05-2030</t>
  </si>
  <si>
    <t>AMBAJI KRUPA MAHESHWARI SOCIETY STREE NO 2 KOTHARIYA ROAD BEHIND VIVEKNAND NAGAR RAJKOT,,, KOTHARIA B.O,RAJKOT GUJARAT,PIN- 360002</t>
  </si>
  <si>
    <t>GJ36W2487</t>
  </si>
  <si>
    <t>POCMVGC0100548405</t>
  </si>
  <si>
    <t>Bajaj Auto Limited,Maxima &amp; Cargo CNG DAC</t>
  </si>
  <si>
    <t>Mr.BABO BHARATBHAI KHAMBHALA</t>
  </si>
  <si>
    <t>20-10-2026</t>
  </si>
  <si>
    <t>SHAKTI M ANA MANDIR PASE,SAKAT SANALA,MORBI,Rajkot,Gujarat363641,India</t>
  </si>
  <si>
    <t>GJ11VV2170</t>
  </si>
  <si>
    <t>213049/31/26/009201</t>
  </si>
  <si>
    <t>MAHINDRA AND MAHINDRA - BOLERO B4 BS 6</t>
  </si>
  <si>
    <t>23-12-2026</t>
  </si>
  <si>
    <t>23-12-2025</t>
  </si>
  <si>
    <t>NAVA DARVAJA , AT CHORVAD TAL MALIYA HATINA,, JUNAGADH -362250 , CHORVAD , JUNAGADH, GUJARAT - 362250 ,M</t>
  </si>
  <si>
    <t>16/11/2025</t>
  </si>
  <si>
    <t>GJ36W1312</t>
  </si>
  <si>
    <t>6303565622 00 00</t>
  </si>
  <si>
    <t>Mr ROHIT RAMESH BABRIYA</t>
  </si>
  <si>
    <t>25-12-2028</t>
  </si>
  <si>
    <t>MANIPARA SHERI P O K UMBHARIYA KUMBHAN YA MALIYA MIYANA RAJ KOT, MALIYA, GUJARAT 363670</t>
  </si>
  <si>
    <t>GJ03FK1290</t>
  </si>
  <si>
    <t>P0026200038/4101/100991</t>
  </si>
  <si>
    <t>MAHINDRA &amp; MAHINDRA XYLO</t>
  </si>
  <si>
    <t>Mr VAKALIYA TOFIK ABBASBHAI</t>
  </si>
  <si>
    <t>23-03-2024</t>
  </si>
  <si>
    <t>LAJAI, MORBI MDG, RAJKOT, GUJARAT, 363641 RAJKOT GUJARAT 363641</t>
  </si>
  <si>
    <t>GJ03AX6147</t>
  </si>
  <si>
    <t>3003/A/417083324/00/B00</t>
  </si>
  <si>
    <t>TATA MOTORS TRUCKS LPT 1109 TRUCK</t>
  </si>
  <si>
    <t>NARAYANLAL MANGILAL GUJAR</t>
  </si>
  <si>
    <t>22-11-2025</t>
  </si>
  <si>
    <t>SHIV COMPLEX RAJKOT ROAD SHOP NO2 AT DHROL, JUNAGADH, GUJARAT 362150</t>
  </si>
  <si>
    <t>17/11/2025</t>
  </si>
  <si>
    <t>GJ13AX6986</t>
  </si>
  <si>
    <t>3379/04520883/000/00</t>
  </si>
  <si>
    <t>ANILBHAI GOVINDBHAI SHIHORA</t>
  </si>
  <si>
    <t>21-11-2027</t>
  </si>
  <si>
    <t>19-02-2029</t>
  </si>
  <si>
    <t>MAHAKALI HOTAL PACHHAD.BAYPAS, ROAD RATANPAR, SURENDRANAGAR, GUJARAT, RATANPAR B.O,SURENDRA NAGAR GUJARAT,PIN- 363020</t>
  </si>
  <si>
    <t>18/11/2025</t>
  </si>
  <si>
    <t>GJ36W1491</t>
  </si>
  <si>
    <t>0604003125P113163724</t>
  </si>
  <si>
    <t>ATUL AUTO LTD / ATUL SHAKTI 435 CARGO XL (D)</t>
  </si>
  <si>
    <t>MR TOTA MAHESH BIJALBHAI</t>
  </si>
  <si>
    <t>22/11/2026</t>
  </si>
  <si>
    <t>23-11-2027</t>
  </si>
  <si>
    <t>LAKHDHIRPUR MORBI</t>
  </si>
  <si>
    <t>GJ36AC5737</t>
  </si>
  <si>
    <t>OG-26-1105-1805-00006269</t>
  </si>
  <si>
    <t>HONDA AMAZE</t>
  </si>
  <si>
    <t>NAYAKPRA BHAVIN PRAFULBHAI</t>
  </si>
  <si>
    <t>18/11/2026</t>
  </si>
  <si>
    <t>SHANTI NAGAR NAVI PIPALI, , ,, RAJKOT - 363641</t>
  </si>
  <si>
    <t>GJ01HJ1104</t>
  </si>
  <si>
    <t>VPT1018876000100</t>
  </si>
  <si>
    <t>Trax Cruiser</t>
  </si>
  <si>
    <t>Mr KERAM SINGH MEHDA</t>
  </si>
  <si>
    <t xml:space="preserve"> 98791 45816</t>
  </si>
  <si>
    <t>: SARVE NO-43 BANDHUKIYANA MARG OPP, RAJPAR GAUSHALA, SAKTASANALA, , M5- Ahmedabad , MORBI, 363641, GUJARAT</t>
  </si>
  <si>
    <t>GJ36Q4979</t>
  </si>
  <si>
    <t>OG-26-1105-1806-00023716</t>
  </si>
  <si>
    <t>HERO MOTOCORP SPLENDO R PLUS</t>
  </si>
  <si>
    <t>AMIT PRAVIN GADHIYA</t>
  </si>
  <si>
    <t>MALIYA (ME) MOTA BHELA, , ,, RAJKOT - 363660</t>
  </si>
  <si>
    <t>UP22BA6895</t>
  </si>
  <si>
    <t>POPM2W00103629868</t>
  </si>
  <si>
    <t>Hero MotoCorp Ltd, Splendor Plus &amp; i3s</t>
  </si>
  <si>
    <t>Mr.SARFARAZ</t>
  </si>
  <si>
    <t>80002 91655</t>
  </si>
  <si>
    <t>17/11/2026</t>
  </si>
  <si>
    <t>30-10-2038</t>
  </si>
  <si>
    <t>SHAHABAD MOHALLA ZILEDARAN, , , Rampur, Uttar Pradesh, 24492, , , Rampur, Uttar Pradesh - 244901, India.</t>
  </si>
  <si>
    <t>GJ05BT6021</t>
  </si>
  <si>
    <t>3003/A/417248176/00/000</t>
  </si>
  <si>
    <t>TATA MOTORS TIPPERS</t>
  </si>
  <si>
    <t>26-02-2026</t>
  </si>
  <si>
    <t>14-04-2030</t>
  </si>
  <si>
    <t>AT BHALGAM, TA WANKANER, RAJKOT, GUJARAT 363621</t>
  </si>
  <si>
    <t>GJ36AF5484</t>
  </si>
  <si>
    <t>666222523110017655</t>
  </si>
  <si>
    <t>MARUTI SUZUKI BREZZA SMART HYBRID LXI.</t>
  </si>
  <si>
    <t>Mr. RAJPUT MEGHARAJBHAI KANUBHAI</t>
  </si>
  <si>
    <t>92653 61741</t>
  </si>
  <si>
    <t>14-12-2037</t>
  </si>
  <si>
    <t>14-12-2023</t>
  </si>
  <si>
    <t>AT MATHAK TA HALVAD other DIST MORBI MAHUVA MAHUVA, SURAT, GUJARAT, India, 394250.</t>
  </si>
  <si>
    <t>POST</t>
  </si>
  <si>
    <t>EG596134813IN</t>
  </si>
  <si>
    <t xml:space="preserve">POST KARI </t>
  </si>
  <si>
    <t>GJ36W0729</t>
  </si>
  <si>
    <t>6303570581 00 00</t>
  </si>
  <si>
    <t>Mr BHATTI ALAUDIN ISHAK</t>
  </si>
  <si>
    <t>21-08-2025</t>
  </si>
  <si>
    <t>22-08-2028</t>
  </si>
  <si>
    <t>7 JUNA RELVE SRATIO V ADA VISTAR MALIYA M ORBI, MORBI, GUJARAT 363641</t>
  </si>
  <si>
    <t>GJ07YY7774</t>
  </si>
  <si>
    <t>3379/04522174/000/00</t>
  </si>
  <si>
    <t>MAKVANA GULAMMOINUDIN HANIFBHAI</t>
  </si>
  <si>
    <t>16/11/2026</t>
  </si>
  <si>
    <t>19-12-2024</t>
  </si>
  <si>
    <t>MEMAN CHOK HATKESHWAR MAHEDEV DHROL JAMANAGAR,,, DHROL S.O,JAMNAGAR GUJARAT,PIN- 361210</t>
  </si>
  <si>
    <t>GJ01WG7642</t>
  </si>
  <si>
    <t>3001/417246208/00/000</t>
  </si>
  <si>
    <t>HYUNDAI VERNA 1.5 VTVT S</t>
  </si>
  <si>
    <t>MR. KARANI SOYBSHA KADARSHA</t>
  </si>
  <si>
    <t>73836 47786</t>
  </si>
  <si>
    <t>30-05-2026</t>
  </si>
  <si>
    <t>MAKRANIVAS NR BRAHMAN VADI MORVI RAJKOT MORBI GUJARAT MAKRANIVAS NR BRAMAN VADI MORBIRAJKOT, AHMEDABAD, GUJARAT 380013</t>
  </si>
  <si>
    <t>GJ36U9216</t>
  </si>
  <si>
    <t>213049/31/26/009251</t>
  </si>
  <si>
    <t>BAJAJ AUTO - MAXIMA Z CNG BS 6 AUTO RICKSHAW /</t>
  </si>
  <si>
    <t>MR. CHHAGANBHAI DHARABHAI LAMBARIYA</t>
  </si>
  <si>
    <t>20-11-2024</t>
  </si>
  <si>
    <t>20-11-2023</t>
  </si>
  <si>
    <t>28-11-2027</t>
  </si>
  <si>
    <t>AT MANEKWADA TA MORBI, 363641, MORBI, GUJARAT, INDIA , MORBI , RAJKOT, GUJARAT - 36364</t>
  </si>
  <si>
    <t>GJ36V7685</t>
  </si>
  <si>
    <t>3379/04522184/000/00</t>
  </si>
  <si>
    <t>RAJESH DHIRUBHAI MIYATRA</t>
  </si>
  <si>
    <t>87587 82225</t>
  </si>
  <si>
    <t>97730 34312</t>
  </si>
  <si>
    <t>16-12-2029</t>
  </si>
  <si>
    <t>AT LALPAT TA- &amp; DIS MORBI GUJARAT, MORBI,MORBI GUJARAT,PIN- 363641</t>
  </si>
  <si>
    <t>GJ03ER5077</t>
  </si>
  <si>
    <t>D236867880 / 17112025</t>
  </si>
  <si>
    <t>ERTIGA/ZDI SHVS</t>
  </si>
  <si>
    <t>KUKAVAV SANJAYBHAI DEVJIBHAI</t>
  </si>
  <si>
    <t>83201 13804</t>
  </si>
  <si>
    <t>97265 03068</t>
  </si>
  <si>
    <t>14-03-2028</t>
  </si>
  <si>
    <t>KALIKANAGAR KALIKANAGAR MORBI MDG RAJKOT MORVI GUJARAT 363641,Morbi-363641</t>
  </si>
  <si>
    <t>GJ27X6867</t>
  </si>
  <si>
    <t>213049/31/26/009209</t>
  </si>
  <si>
    <t>MARUTI SUZUKI - EECO TOUR V 5 STR AC</t>
  </si>
  <si>
    <t>MR. PARMAR PANKAJ MADHABHAI</t>
  </si>
  <si>
    <t>14-08-2026</t>
  </si>
  <si>
    <t>17-09-2028</t>
  </si>
  <si>
    <t>551,NR.BHILVAS SWAMINARAYAN COLLEGE,SHAHALAM AHMEDABAD AHMEDABAD(EAST) GUJARAT 380022 , GITA MANDIR ROAD , AHMEDABAD, GUJARAT - 3800</t>
  </si>
  <si>
    <t>GJ37T7614</t>
  </si>
  <si>
    <t>213049/31/26/009255</t>
  </si>
  <si>
    <t>ASHOK LEYLAND - 3718 10*2 HAULAGE 6600 MM BS 4</t>
  </si>
  <si>
    <t>MR. DAL YASINBHAI IKBALBHAI</t>
  </si>
  <si>
    <t>22-03-2026</t>
  </si>
  <si>
    <t>AT LALPAR TA MORBI DIS MORBI MORBI, GUJARAT, INDIA, 363641. , MORBI , RAJKOT, GUJARAT - 363641</t>
  </si>
  <si>
    <t>19/11/2025</t>
  </si>
  <si>
    <t>GJ36V7908</t>
  </si>
  <si>
    <t>3379/04523324/000/00</t>
  </si>
  <si>
    <t>BOL MAXX PUP - 1.7 CITY LX BSV</t>
  </si>
  <si>
    <t>BALRAMSINGH BAGGA</t>
  </si>
  <si>
    <t>19-11-2025</t>
  </si>
  <si>
    <t>AT JAMBUDIYA TAL MORBI DIS MORBI , MORBI, MORBI PPW S.O,RAJKOT GUJARAT,PIN- 363642</t>
  </si>
  <si>
    <t xml:space="preserve">kale office file leva aavse </t>
  </si>
  <si>
    <t>GJ36U9173</t>
  </si>
  <si>
    <t>6303574742 00 00</t>
  </si>
  <si>
    <t>Mr UDHREJA KANJI BHIMJIBHAI</t>
  </si>
  <si>
    <t>24/11/2026</t>
  </si>
  <si>
    <t>29-11-2025</t>
  </si>
  <si>
    <t>13-12-2027</t>
  </si>
  <si>
    <t>VISHIPARA WANKANER AMARSAR RAJKOT, WA NKANER, GUJARAT, 363 621</t>
  </si>
  <si>
    <t>27-11-2025</t>
  </si>
  <si>
    <t>GJ12BT6933</t>
  </si>
  <si>
    <t>3003/A/417406269/00/B00</t>
  </si>
  <si>
    <t>TATA MOTORS TIPPERS LPK 2518 TC</t>
  </si>
  <si>
    <t>AMITKUMAR AMARNATH MISHRA</t>
  </si>
  <si>
    <t>70614 48119</t>
  </si>
  <si>
    <t>99793 11126</t>
  </si>
  <si>
    <t>18-05-2026</t>
  </si>
  <si>
    <t>19-10-2027</t>
  </si>
  <si>
    <t>SARVODAY PARK NR LAXMINARAYAN SOC NAVLAKHIROAD MORBI, MORBI, GUJARAT 363641</t>
  </si>
  <si>
    <t xml:space="preserve">kale office aavine policy lay jase </t>
  </si>
  <si>
    <t>GJ14Z3062</t>
  </si>
  <si>
    <t>6303574749 00 00</t>
  </si>
  <si>
    <t>TATA MOTORS/LPT 110 9/36 CAB EX/OPEN/TRU CK</t>
  </si>
  <si>
    <t>Mr KHATANA ASHOKKUMAR MOHANBHAI</t>
  </si>
  <si>
    <t>AT LAJAI , LAJAI,MORBI, MORBI -363641, 36364 1, MORBI, GUJARAT, IN DIA</t>
  </si>
  <si>
    <t>GJ36V7891</t>
  </si>
  <si>
    <t>213049/31/26/009297</t>
  </si>
  <si>
    <t>MAHINDRA AND MAHINDRA - BOLERO MAXX PICKUP HD 2.0L VXI</t>
  </si>
  <si>
    <t>MR. DAJEEBHAI PRABHUBHAI KOLI</t>
  </si>
  <si>
    <t>99134 46989</t>
  </si>
  <si>
    <t>AT RAYDHRA, TA HALVAD, DIS MORBI, MORBI-GUJARAT-363330 , HALVAD , SURENDRA NAGAR, GUJARAT - 36333</t>
  </si>
  <si>
    <t xml:space="preserve">office aavine lay jase </t>
  </si>
  <si>
    <t>GJ13AV8350</t>
  </si>
  <si>
    <t>6303574752 00 00</t>
  </si>
  <si>
    <t>STAR/ELECTRIKA Z1/E C ART/OPEN/PICK UP VA N</t>
  </si>
  <si>
    <t>Mr DHRANGDHARIYA SANNIBHAI NATUBHAI</t>
  </si>
  <si>
    <t>7-47 1 RAMPURI ROAD DHRANGADHRA SUREN DRANAGAR, WADHWA N, GUJARAT, 363001</t>
  </si>
  <si>
    <t>GJ36V7901</t>
  </si>
  <si>
    <t>213049/31/26/009298</t>
  </si>
  <si>
    <t>TATA MOTORS - LPT 709 G DCR 39 HSD 85 B6 M5</t>
  </si>
  <si>
    <t>MR. PRAVINBHAI LAKHABHAI SABALIYA</t>
  </si>
  <si>
    <t xml:space="preserve"> 99134 46989</t>
  </si>
  <si>
    <t>25-12-2029</t>
  </si>
  <si>
    <t>JAMBUDIYA , MORBI,, MORBI -363642 , JAMBUDIYA , RAJKOT, GUJARAT - 363642</t>
  </si>
  <si>
    <t>GJ36P2805</t>
  </si>
  <si>
    <t>OG-26-1105-1806-00023800</t>
  </si>
  <si>
    <t>ROYAL ENFIELD BULLET</t>
  </si>
  <si>
    <t>SATHTHA SAMEER ABDULKARIMBHAI</t>
  </si>
  <si>
    <t xml:space="preserve"> 91061 91792</t>
  </si>
  <si>
    <t>19/11/2026</t>
  </si>
  <si>
    <t>27-05-2034</t>
  </si>
  <si>
    <t>18-11-2026</t>
  </si>
  <si>
    <t>S/O ABDULKARIM DAFTARI SOCIETY BEHIND ASHOKALY MORVI MORBI MDG SUB, , ,, RAJKOT - 363641</t>
  </si>
  <si>
    <t>GJ36B2424</t>
  </si>
  <si>
    <t>666222523110017699</t>
  </si>
  <si>
    <t>MAHINDRA SCORPIO S10 2WD</t>
  </si>
  <si>
    <t>Mr. PATHAN MOHSIN KARMKHA</t>
  </si>
  <si>
    <t>14-09-2030</t>
  </si>
  <si>
    <t>KABIR TEKRI STREET NO 3 JAIL ROAD MORBI MAHUVA MAHUVA, SURAT, GUJARAT, India, 394250.</t>
  </si>
  <si>
    <t>GJ33T8686</t>
  </si>
  <si>
    <t>3003/A/417397838/00/B00</t>
  </si>
  <si>
    <t>ASHOK LEYLAND TRUCKS 2516 TRUCKS</t>
  </si>
  <si>
    <t>JAGDISHBHAI BALUBHAI PARECHA</t>
  </si>
  <si>
    <t>99258 51972</t>
  </si>
  <si>
    <t>26-09-2026</t>
  </si>
  <si>
    <t>19-03-2026</t>
  </si>
  <si>
    <t>29-11-2026</t>
  </si>
  <si>
    <t>AT-GHUNTU TA MORBI,, RAJKOT, GUJARAT 363642</t>
  </si>
  <si>
    <t xml:space="preserve">te bhai file leva office aavse </t>
  </si>
  <si>
    <t>GJ36AF7226</t>
  </si>
  <si>
    <t>POPMCAR00102124592</t>
  </si>
  <si>
    <t>Toyota,Fortuner &amp; 2.8L 4*4 MT</t>
  </si>
  <si>
    <t>Mr RATDIYA NILESH JAGJIVANBHAI</t>
  </si>
  <si>
    <t>20-11-2037</t>
  </si>
  <si>
    <t>22-10-2026</t>
  </si>
  <si>
    <t>239 100 SQ VAR PLOT VANKADA, TA MORBI, Rajkot, Gujarat 363642</t>
  </si>
  <si>
    <t>GJ03HJ0011</t>
  </si>
  <si>
    <t>3005/A/417406183/00/B00</t>
  </si>
  <si>
    <t>HONDA MOTORCYCLE ACTIVA</t>
  </si>
  <si>
    <t>ZALA DIGVIJAYSINH JASHUBHA</t>
  </si>
  <si>
    <t>JASHUBHA, 280, MAIN SERI THI UTTAR NO BHAG, SAKATSANALA, RAJKOT, GUJARAT 363641</t>
  </si>
  <si>
    <t>GJ36W2018</t>
  </si>
  <si>
    <t>0604003125P113270964</t>
  </si>
  <si>
    <t>MR HARESHBHAI KESHUBHAI</t>
  </si>
  <si>
    <t>:19/11/2026</t>
  </si>
  <si>
    <t>19-12-2025</t>
  </si>
  <si>
    <t>91 HARIJAN VAS BHAVPAR RAJKOT</t>
  </si>
  <si>
    <t>GJ01HY1910</t>
  </si>
  <si>
    <t>POPMCAR00102125754</t>
  </si>
  <si>
    <t>Hyundai,Verna &amp; 1.6 CRDi SX Plus AT</t>
  </si>
  <si>
    <t>Mr RAJPARA KISHAN MANSHUKHBHAI</t>
  </si>
  <si>
    <t>26-01-2033</t>
  </si>
  <si>
    <t>SHIVPUR SHIVPUR, MATHAK, Surendra Nagar, Gujarat 363330</t>
  </si>
  <si>
    <t xml:space="preserve">KALE OFFICE AAVSE </t>
  </si>
  <si>
    <t>GJ10TV7711</t>
  </si>
  <si>
    <t>160622523340026964</t>
  </si>
  <si>
    <t>ASHOK LEYLAND U 3718 &amp; TRUCK BS IV</t>
  </si>
  <si>
    <t>MR. MAHIPALSINH DILIPSINH PINGAL</t>
  </si>
  <si>
    <t>16-12-2025</t>
  </si>
  <si>
    <t>RANDALNAGAR . JAMNAGAR CITY JAMNAGAR, GUJARAT, India, 361008.</t>
  </si>
  <si>
    <t>20/11/2025</t>
  </si>
  <si>
    <t>GJ36T8456</t>
  </si>
  <si>
    <t>213049/31/26/009327</t>
  </si>
  <si>
    <t>TATA MOTORS - LPT 1212 4200 MM CRX BS 4</t>
  </si>
  <si>
    <t>MR. THUNGA RAYMAL SAVABHAI</t>
  </si>
  <si>
    <t>21-11-2025</t>
  </si>
  <si>
    <t>AT 322 KOLI BHARVAD POL KADIYANA TAL HALVAD,RAJKOT, GUJARAT 363630 , HALVAD , SURENDRA NAGAR, GUJARAT - 363630 ,Mob</t>
  </si>
  <si>
    <t xml:space="preserve">OFFICE RAKHVA NU KIDHU </t>
  </si>
  <si>
    <t>UP43S0159</t>
  </si>
  <si>
    <t>201620020125709573800000</t>
  </si>
  <si>
    <t>HERO MOTOCORP/PASSION PRO/LTD EDITION/Solo with Pillion</t>
  </si>
  <si>
    <t>SHAKILKHAN NAZARMAHMAD PATHAN</t>
  </si>
  <si>
    <t>MADINA SOCIETY, VISHIPARA, MORVI, MORBI,,,GUJARAT,RAJKOT,LAJAI363641</t>
  </si>
  <si>
    <t>GJ36U8930</t>
  </si>
  <si>
    <t>6303578509 00 00</t>
  </si>
  <si>
    <t>Mr MUSANI EKBAL HAJI</t>
  </si>
  <si>
    <t>20-11-2027</t>
  </si>
  <si>
    <t>MUSANI VAS M P MALI YA RAJKOT, MORBI, GUJ ARAT, 363641</t>
  </si>
  <si>
    <t xml:space="preserve">MALIYA </t>
  </si>
  <si>
    <t>GJ36V5621</t>
  </si>
  <si>
    <t>3379/04524614/000/00</t>
  </si>
  <si>
    <t>YASIN ALLOYS LLP</t>
  </si>
  <si>
    <t>24-10-2027</t>
  </si>
  <si>
    <t>26-10-2028</t>
  </si>
  <si>
    <t>PLOT NO 3 SURVEY NO 121/1 AT KHERA TAL WANKANER, ,WANKANER S.O,RAJKOT,GUJARAT,PIN - 363621</t>
  </si>
  <si>
    <t>GJ36V5648</t>
  </si>
  <si>
    <t>3379/04525146/000/00</t>
  </si>
  <si>
    <t>BOL MAXX PUP - 1.3 CITY LX BSVI</t>
  </si>
  <si>
    <t>RAMOLIYA HIREN KANTILAL</t>
  </si>
  <si>
    <t>27-05-2026</t>
  </si>
  <si>
    <t>MANSAR JALIYA DEVANI JAMANAGAR,,, JALIADEVANI B.O,JAMNAGAR GUJARAT,PIN- 361130</t>
  </si>
  <si>
    <t>HARI RAJ THRU</t>
  </si>
  <si>
    <t>GJ03PA0200</t>
  </si>
  <si>
    <t>POPMCAR00102128799</t>
  </si>
  <si>
    <t>Kia Motors,Seltos - Diesel &amp; X Line 1.5 AT</t>
  </si>
  <si>
    <t>Mrs MARU BHARTI MITULBHAI</t>
  </si>
  <si>
    <t>26-11-2039</t>
  </si>
  <si>
    <t>RAMPARA BETI KUCHIYADAD, RAJKOT, Rajkot, Gujarat 360023</t>
  </si>
  <si>
    <t>GJ03BT1451</t>
  </si>
  <si>
    <t>213049/31/26/009340</t>
  </si>
  <si>
    <t>ASHOK LEYLAND - 2516 H3/4C CABIN</t>
  </si>
  <si>
    <t>MRS. YASMIN SALIM VADAVIYA</t>
  </si>
  <si>
    <t>AT RAJAVADLA TAL WANKANER DI RAJKOTWANKANER 363621 , WANKANER , RAJKOT, GUJARAT - 363621</t>
  </si>
  <si>
    <t>21/11/2025</t>
  </si>
  <si>
    <t>GJ36P1176</t>
  </si>
  <si>
    <t>3005/A/417632104/00/B00</t>
  </si>
  <si>
    <t>HONDA MOTORCYCLE ACTIVA 5G STD</t>
  </si>
  <si>
    <t>PRITI NARANBHAI BALASARA</t>
  </si>
  <si>
    <t>24-07-2034</t>
  </si>
  <si>
    <t>GOKULNAGAR, MAKANSAR, MAKANSAR, PO: MAKANSAR,, MORBI, GUJARAT 363642</t>
  </si>
  <si>
    <t>GJ36W1224</t>
  </si>
  <si>
    <t>6303582207 00 00</t>
  </si>
  <si>
    <t>Mr SARVAIYA KISHORBHAI DEVJIBHAI</t>
  </si>
  <si>
    <t>28-11-2028</t>
  </si>
  <si>
    <t>MAFATIYAPARA NEAR S AINT MATTY SCHOOL N AVLAKHI ROAD MORVI RAJKOT, MORBI, GUJAR AT, 363641</t>
  </si>
  <si>
    <t>GJ36U8345</t>
  </si>
  <si>
    <t>6303582405 00 00</t>
  </si>
  <si>
    <t>Mr PARMAR MANISHBHAI HAMIRBHAI</t>
  </si>
  <si>
    <t>NAVA PARA JETPAR RAJ KOT, MORBI, GUJARAT, 363641</t>
  </si>
  <si>
    <t>GJ36V7732</t>
  </si>
  <si>
    <t>213049/31/26/009365</t>
  </si>
  <si>
    <t>MR. IKBALBHAI ALYASBHAI SUMARA</t>
  </si>
  <si>
    <t>AT BILIYA PO BILIYA, TA DIST MORBI,, MORBI-GUJARAT-363641 , MORBI , RAJKOT, GUJARAT - 36364</t>
  </si>
  <si>
    <t>R</t>
  </si>
  <si>
    <t>GJ36R0518</t>
  </si>
  <si>
    <t>D237731301 / 20112025</t>
  </si>
  <si>
    <t>ELITE i20/1.2 KP DVTVT 5SP Sportz + DT</t>
  </si>
  <si>
    <t>ADROJA PRAKASH VALLABHBHAI</t>
  </si>
  <si>
    <t>18-03-2035</t>
  </si>
  <si>
    <t>DARBAR VAS PIPALIYA MORBI,RAJKOT363660</t>
  </si>
  <si>
    <t>GJ36V7974</t>
  </si>
  <si>
    <t>213049/31/26/009364</t>
  </si>
  <si>
    <t>MR. BHARAT DHIRUBHAI THARESA</t>
  </si>
  <si>
    <t>29/11/2026</t>
  </si>
  <si>
    <t>UNCHI MANDAL PO UNCHI MANDAL,TA DIST MORBI,,363641 , MORBI , RAJKOT, GUJARAT - 363641</t>
  </si>
  <si>
    <t>28-11-2025</t>
  </si>
  <si>
    <t>GJ36V0537</t>
  </si>
  <si>
    <t>3003/417629060/00/000</t>
  </si>
  <si>
    <t>TATA MOTORS TRUCKS</t>
  </si>
  <si>
    <t>SAMARPAN AUTOPACK LLP</t>
  </si>
  <si>
    <t>30-11-2024</t>
  </si>
  <si>
    <t>30-11-2026</t>
  </si>
  <si>
    <t>OPP TULSI MINERALS SURVEY NUMBER 162NEAR SEZON PAPER PV, T LTD LKHDHIRPUR ROADKALIKANAGAR MORBI, MORBI, GUJARAT 363641</t>
  </si>
  <si>
    <t xml:space="preserve">kk steel shree ram medical ma aapva ni chhe </t>
  </si>
  <si>
    <t>GJ36W1412</t>
  </si>
  <si>
    <t>:0604003125P113333471</t>
  </si>
  <si>
    <t>MR KHINT RANCHHODBHAI</t>
  </si>
  <si>
    <t>NAVA JAMBUDIYA NAVA JAMBUDIYA RAJKOT</t>
  </si>
  <si>
    <t>GJ36AC4112</t>
  </si>
  <si>
    <t>POPMCAR00102129712</t>
  </si>
  <si>
    <t>Maruti Suzuki,New Ertiga - Petrol &amp; ZXI Plus</t>
  </si>
  <si>
    <t>Mr MERAJBHAI MOBINBHAI ANSARI</t>
  </si>
  <si>
    <t xml:space="preserve"> 99095 63584</t>
  </si>
  <si>
    <t>98253 45510</t>
  </si>
  <si>
    <t>17-11-2036</t>
  </si>
  <si>
    <t>KANTINAGAR MAHENDRANAGAR, MORVI, Rajkot, Gujarat 363642</t>
  </si>
  <si>
    <t>GJ36V4536</t>
  </si>
  <si>
    <t>3379/04525690/000/00</t>
  </si>
  <si>
    <t>KHODABHAI JERAMBHAI MAKVANA</t>
  </si>
  <si>
    <t>INDIRA NAGAR AT ZINZUDA DIS MORBI, WANKANER S.O,RAJKOT GUJARAT,PIN- 363621</t>
  </si>
  <si>
    <t>GJ36AJ3707</t>
  </si>
  <si>
    <t>AVO/2367/12452230</t>
  </si>
  <si>
    <t>MARUTI EECO 5 STR AC CNG</t>
  </si>
  <si>
    <t>Bhanu Firozbhai Habibbhai</t>
  </si>
  <si>
    <t xml:space="preserve"> 6353 980 346</t>
  </si>
  <si>
    <t>27-08-2038</t>
  </si>
  <si>
    <t>kalyanpar, Kalyanpur, Tankara, Raj kot, Tankara, Gujarat, 363650 RAJKOT GUJARAT INDIA363650</t>
  </si>
  <si>
    <t>TANKARA</t>
  </si>
  <si>
    <t>22/11/2025</t>
  </si>
  <si>
    <t>GJ12BW4716</t>
  </si>
  <si>
    <t>AVO/2315/12456274</t>
  </si>
  <si>
    <t>ASHOK LEYLAND 4019 TT</t>
  </si>
  <si>
    <t>R.T.SHIPPING SERVICES</t>
  </si>
  <si>
    <t>25-12-2026</t>
  </si>
  <si>
    <t>PLOT NO-128 , NEAR OSLO CIRCLE, OFFICE NO-108, FIRST FLOOR , MADHUBHAN COMPLEX, SECTOR-8, GANDHIDHAM Gujarat,Kachchh,370201 KUTCH. GUJARAT INDIA370201</t>
  </si>
  <si>
    <t>GJ36W1358</t>
  </si>
  <si>
    <t>6303586632 00 00</t>
  </si>
  <si>
    <t>Mr SALANI VIJAY MADHABHAI</t>
  </si>
  <si>
    <t>21/11/2026</t>
  </si>
  <si>
    <t>NEAR SAINT MERRY SC HOOL NAVLAKHI ROAD MORVI RAJKOT, MORBI, GUJARAT, 363641</t>
  </si>
  <si>
    <t>GJ12BX9666</t>
  </si>
  <si>
    <t>213049/31/26/009403</t>
  </si>
  <si>
    <t>MR. BAMBHAVA KALPESH H</t>
  </si>
  <si>
    <t>AT ANDARNA, TA MORBI, DI MORBI, MORBI, GUJARAT, , MORBI , RAJKOT, GUJARAT - 363641 ,Mo</t>
  </si>
  <si>
    <t>GJ03DS8854</t>
  </si>
  <si>
    <t>201620020125709751300000</t>
  </si>
  <si>
    <t>HERO HONDA/KARIZMA/RED CAST/Solo with Pillion</t>
  </si>
  <si>
    <t>MERAJBHAI MOBINBHAI ANSARI</t>
  </si>
  <si>
    <t>21-09-2026</t>
  </si>
  <si>
    <t>KANTINAGAR MAHENDRANAGAR,,,GUJARAT,RAJKOT, BHADIYAD-363642</t>
  </si>
  <si>
    <t>GJ03EC1301</t>
  </si>
  <si>
    <t>VPT1022549000100</t>
  </si>
  <si>
    <t>EECO 7 STR STD BSVI</t>
  </si>
  <si>
    <t>Mr LADHANI SALIM ISHABHAI</t>
  </si>
  <si>
    <t>15-12-2026</t>
  </si>
  <si>
    <t>DHODIDHAR BEHIND RAILWAY, COLONI DHRANGADHRA, , , MB-Rajkot , SURENDRANAGAR, 363310, GUJARAT</t>
  </si>
  <si>
    <t xml:space="preserve">DHANDHARA POCHHADVA NI CHHE </t>
  </si>
  <si>
    <t>GJ36W1404</t>
  </si>
  <si>
    <t>0604003125P113393025</t>
  </si>
  <si>
    <t>MR KUNVARIYA VIBHABHAI DANABHAI</t>
  </si>
  <si>
    <t>24-11-2027</t>
  </si>
  <si>
    <t>OPP PRIMARY SCHOOL NEW DHARAMPUR MORBI</t>
  </si>
  <si>
    <t>GJ36V0606</t>
  </si>
  <si>
    <t>160622523340027325</t>
  </si>
  <si>
    <t>MR. HAKABHAI LALJIBHAI METALIYA</t>
  </si>
  <si>
    <t>SARODI THANQADB SURENDRANAGAR CHOTILA, SURENDRANAGAR, GUJARAT, India, 363530.</t>
  </si>
  <si>
    <t>GJ36V7550</t>
  </si>
  <si>
    <t>213049/31/26/009402</t>
  </si>
  <si>
    <t>MR. MAHESHKUMAR REVABHAI KHARAGIYA</t>
  </si>
  <si>
    <t>14-01-2026</t>
  </si>
  <si>
    <t>AT ANIYARI PO MORBI, MDG MORBI,, MORBI-GUJARAT-363641 , MORBI , RAJKOT, GUJARAT - 363641</t>
  </si>
  <si>
    <t>GJ03BA9551</t>
  </si>
  <si>
    <t>12-1805-0008448470-00</t>
  </si>
  <si>
    <t>Gurupad Sadashiva Hegde</t>
  </si>
  <si>
    <t>99098 38561</t>
  </si>
  <si>
    <t>Ground Floor, Shri Pattalamma Devi Nilaya, Gangamma Gudi Road, Kanakanagara, The Town Co Operative Bank Opposite Road, Ward No 08, Block No 32, Sir M Visvesvaraya Badavane, Hosakote, , , Hoskote,, Bangalore Rural,, Karnataka-562114</t>
  </si>
  <si>
    <t>GJ38BA7005</t>
  </si>
  <si>
    <t>HYUNDAI VERNA</t>
  </si>
  <si>
    <t>Amit Pravin Gadhiya</t>
  </si>
  <si>
    <t>MALIYA (M) MOTA BHELA Rajkot 363660, Gujarat</t>
  </si>
  <si>
    <t>GJ12BW4980</t>
  </si>
  <si>
    <t>AVO/2315/12456518</t>
  </si>
  <si>
    <t>20-07-2026</t>
  </si>
  <si>
    <t>GJ03W9154</t>
  </si>
  <si>
    <t>3003/A/417762528/00/B00</t>
  </si>
  <si>
    <t>SIPAI MANJURHUSEN VALIMAMAD</t>
  </si>
  <si>
    <t>BHATHI AREA VALASAN MORBI, RAJKOT, GUJARAT 363621</t>
  </si>
  <si>
    <t>GJ36AC4852</t>
  </si>
  <si>
    <t>HYUNDAI GRAND I10 NIOS</t>
  </si>
  <si>
    <t>Udhreja Rameshbhai Revabhai</t>
  </si>
  <si>
    <t>28-10-2025</t>
  </si>
  <si>
    <t>GALA GALA Rajkot 363630, Gujarat</t>
  </si>
  <si>
    <t>23/11/2025</t>
  </si>
  <si>
    <t>GJ03ER2192</t>
  </si>
  <si>
    <t>TOYOTA / INNOVA / 2.5 V</t>
  </si>
  <si>
    <t>Mr Manjurhushen Hanifbhai Khureshi</t>
  </si>
  <si>
    <t>31-10-2027</t>
  </si>
  <si>
    <t>VANAND STREET , NEAR KAPAD BAJAR, MORBI, RAJKOT-GUJARAT, 363641</t>
  </si>
  <si>
    <t>GJ02Z6757</t>
  </si>
  <si>
    <t>3379/04528219/000/00</t>
  </si>
  <si>
    <t>GADHAVI RAVI DEVRAJBHA</t>
  </si>
  <si>
    <t>13-06-2026</t>
  </si>
  <si>
    <t>RAFALESHAR ,MORVI MORBI MORBI PPW RAFALESHWAR RAJKOT,,,, MORBI PPW S.O,RAJKOT GUJARAT,PIN- 363642</t>
  </si>
  <si>
    <t>GJ03AZ4022</t>
  </si>
  <si>
    <t>213049/31/26/009432</t>
  </si>
  <si>
    <t>ASHOK LEYLAND - 3116 XL 5700 WB COWL</t>
  </si>
  <si>
    <t>MR. ABBASHBHAI NOORMAMADBHAI THEBA</t>
  </si>
  <si>
    <t>23-08-2026</t>
  </si>
  <si>
    <t>30-01-2026</t>
  </si>
  <si>
    <t>17-07-2028</t>
  </si>
  <si>
    <t>16-08-2026</t>
  </si>
  <si>
    <t>AT MITANA TA TANKARA MORBI MORBI GUJARAT 363641 , MORBI , RAJKOT, GUJARAT - 363641 ,M</t>
  </si>
  <si>
    <t>GJ36R7550</t>
  </si>
  <si>
    <t>3001/A/417890250/00/000</t>
  </si>
  <si>
    <t>HYUNDAI I20 MAGNA</t>
  </si>
  <si>
    <t>AGHARA DEVJI NARANBHAI</t>
  </si>
  <si>
    <t>22-12-2024</t>
  </si>
  <si>
    <t>ANDARNA, ANDARNA, MORBI MDG,, RAJKOT, GUJARAT 363641</t>
  </si>
  <si>
    <t>GJ36W1195</t>
  </si>
  <si>
    <t>6303589741 00 00</t>
  </si>
  <si>
    <t>Mr BUKHARI SATARMIYA AHEMADMIYA</t>
  </si>
  <si>
    <t>AMRAN JAMNAGAR JODIYA, MORBI-GUJARAT, 363641</t>
  </si>
  <si>
    <t>213049/31/26/009430</t>
  </si>
  <si>
    <t>NAVA DARVAJA AT CHORVAD, TAL MALIYA HATINA,, JUNAGADH- GUJARAT-362250 , CHORVAD , JUNAGADH, GUJARAT - 362250 ,</t>
  </si>
  <si>
    <t>GJ36V5861</t>
  </si>
  <si>
    <t>160622523340027731</t>
  </si>
  <si>
    <t>MR. AMIRBHAI DAUDBHAI HALA</t>
  </si>
  <si>
    <t>17-05-2026</t>
  </si>
  <si>
    <t>VIRPAR VIRPAR(M) RAJKOT MORBI, RAJKOT, GUJARAT, India, 363641.</t>
  </si>
  <si>
    <t>GJ36V2975</t>
  </si>
  <si>
    <t>160622523340027627</t>
  </si>
  <si>
    <t>MR. PADALIA DHIRAJLAL GANGARAM</t>
  </si>
  <si>
    <t>KHEDALIYA MORBI . . . MORBI MORBI, RAJKOT, GUJARAT, India, 363641.</t>
  </si>
  <si>
    <t>GJ13AV8121</t>
  </si>
  <si>
    <t>POCMVGC0100560710</t>
  </si>
  <si>
    <t>Capital Auto Industries,Capital 599 &amp; Open Cargo Box</t>
  </si>
  <si>
    <t>Mr.CHOVASIYA DILIPBHAI HASUBHAI</t>
  </si>
  <si>
    <t>13-08-2026</t>
  </si>
  <si>
    <t>13-08-2025</t>
  </si>
  <si>
    <t>THAN ROAD ,MOHANPARA,CHOTILA,Surendra Nagar,Gujarat363520,India</t>
  </si>
  <si>
    <t>GJ13AW3949</t>
  </si>
  <si>
    <t>POCMVGC0100560703</t>
  </si>
  <si>
    <t>Mahindra &amp; Mahindra,Bolero &amp; Pik Up FB PS 1.7 T XL</t>
  </si>
  <si>
    <t>Mr.KATIYA AVESHBHAI ABDULBHAI</t>
  </si>
  <si>
    <t>96014 47786</t>
  </si>
  <si>
    <t>GANJA AREA ,NIMAKNAGAR,SURENDRANGAR,Surendra Nagar,Gujarat363310,India</t>
  </si>
  <si>
    <t>GJ36T8899</t>
  </si>
  <si>
    <t>POCMVGC0100560701</t>
  </si>
  <si>
    <t>Ashok Leyland,1616 &amp; XL - Tipper</t>
  </si>
  <si>
    <t>Mr.MAGVANIYA MANSUKHBHAI</t>
  </si>
  <si>
    <t>19-05-2026</t>
  </si>
  <si>
    <t>15-12-2025</t>
  </si>
  <si>
    <t>16-02-2027</t>
  </si>
  <si>
    <t>BEHIND JOGASHRAM THANGADH SURENDRANAGAR ,GUJARAT,CHOTILA,Surendra Nagar,Gujarat363530,India</t>
  </si>
  <si>
    <t>24/11/2025</t>
  </si>
  <si>
    <t>GJ36W1278</t>
  </si>
  <si>
    <t>6303590473 00 00</t>
  </si>
  <si>
    <t>Mr Hamirpara Ashokbhai Bachubhai</t>
  </si>
  <si>
    <t>MORBI, 363642, MORB I, GUJARAT, 363642</t>
  </si>
  <si>
    <t>GJ10TV8934</t>
  </si>
  <si>
    <t>3379/04528377/000/00</t>
  </si>
  <si>
    <t>BOLERO - MAXI TRUCK PLUS 1.2 T BS IV</t>
  </si>
  <si>
    <t>ASHOKBHAI GHELABHAI THARUKIYA</t>
  </si>
  <si>
    <t>28-11-2026</t>
  </si>
  <si>
    <t>329 DEVI PUJAK VAS AMRAN JODIYA, JAMNAGAR, GUJARAT, AMRAN S.O,JAMNAGAR GUJARAT,PIN- 363655</t>
  </si>
  <si>
    <t>GJ36V5979</t>
  </si>
  <si>
    <t>213049/31/26/009440</t>
  </si>
  <si>
    <t>MAHINDRA AND MAHINDRA - BOLERO B6 OPTION BS 6</t>
  </si>
  <si>
    <t>MR. NARENDRASINH BHOJUBHA ZALA</t>
  </si>
  <si>
    <t>29-11-2028</t>
  </si>
  <si>
    <t>AT - GHIYAVAD TAL - WANKANER DISTRICT - MORBI - 363621 , WANKANER , RAJKOT, GUJARAT - 363621</t>
  </si>
  <si>
    <t>GJ38T1051</t>
  </si>
  <si>
    <t>3379/04528375/000/00</t>
  </si>
  <si>
    <t>REVAR PRUTHVIRAJ VAGHJIBHA</t>
  </si>
  <si>
    <t>AS</t>
  </si>
  <si>
    <t>17-02-2027</t>
  </si>
  <si>
    <t>16-02-2026</t>
  </si>
  <si>
    <t>27-02-2030</t>
  </si>
  <si>
    <t>AT SHEKHPARA TA MULI MULI SURENDRANAGAR,,, MULI S.O,SURENDRA NAGAR GUJARAT,PIN- 363510</t>
  </si>
  <si>
    <t>GJ36V5626</t>
  </si>
  <si>
    <t>3379/04162354/000/01</t>
  </si>
  <si>
    <t>JILLU TARASI THARESA</t>
  </si>
  <si>
    <t>UNCHI MANDAL,, MORBI,RAJKOT GUJARAT,PIN- 363641</t>
  </si>
  <si>
    <t>GJ36F3411</t>
  </si>
  <si>
    <t>MARUTI / BALENO / SIG MA 1.2</t>
  </si>
  <si>
    <t>SACHINKUMAR PUJARA VIJAYBHA</t>
  </si>
  <si>
    <t>98242 42450</t>
  </si>
  <si>
    <t>28-11-2032</t>
  </si>
  <si>
    <t>115-24 SOMNATH SOCIETY , MORBI -34, MORBI,, MO RBI, MORBI-GUJARAT, 363641</t>
  </si>
  <si>
    <t>GJ36V3657</t>
  </si>
  <si>
    <t>213049/31/26/009460</t>
  </si>
  <si>
    <t>MR. SANJAY NANJIBHAI CHAROLA</t>
  </si>
  <si>
    <t>AT NAVA SADULKA, TA MORBI MORBI.. MORBI-GUJARAT-363642 , SADULKANAVA , RAJKOT, GUJARAT - 36364</t>
  </si>
  <si>
    <t>GJ36V7584</t>
  </si>
  <si>
    <t>213049/31/26/009450</t>
  </si>
  <si>
    <t>MARUTI SUZUKI - ERTIGA TOUR M (O) CNG</t>
  </si>
  <si>
    <t>MR. ROHIT HANSARAJBHAI SANANDIYA</t>
  </si>
  <si>
    <t>JANAK NAGAR VAVDI ROAD, MORVI MORBI, , MORBI, GUJARAT, , MORBI , RAJKOT, GUJARAT - 363641 ,Mob</t>
  </si>
  <si>
    <t>GJ36F9306</t>
  </si>
  <si>
    <t>160622523110062186</t>
  </si>
  <si>
    <t>MARUTI SUZUKI EECO 5 STR AC</t>
  </si>
  <si>
    <t>Mr. PARMAR KHENGARBHAI MULJIBHAI</t>
  </si>
  <si>
    <t>90162 55842</t>
  </si>
  <si>
    <t>092653 80276</t>
  </si>
  <si>
    <t>: ARUNODAYNAGAR 153 ARUNODAYNAGAR MAIN ROAD MORBI 2 MORVI MORVI, RAJKOT, GUJARAT, India, 363642.</t>
  </si>
  <si>
    <t>RUBRU POOJA BEN THRU</t>
  </si>
  <si>
    <t>25/11/2025</t>
  </si>
  <si>
    <t>MH48AG5252</t>
  </si>
  <si>
    <t>161522523340015055</t>
  </si>
  <si>
    <t>ASHOK LEYLAND 3718 &amp; IL 3 STR</t>
  </si>
  <si>
    <t>MR. WASIM IQBAL VADAWARIA</t>
  </si>
  <si>
    <t>G 204 BLG NO 5 YASHWANT SRUSHTI PALGHAR BOISAR CT PALGHAR PALGHAR, MAHARASHTRA, India, 401501.</t>
  </si>
  <si>
    <t>GJ36V2851</t>
  </si>
  <si>
    <t>3379/04162869/000/01</t>
  </si>
  <si>
    <t>BOLERO - PIKUP FB 1.7T PS XL CBC BSVI</t>
  </si>
  <si>
    <t>HARUNBHAI KASAMBHAI IBVANI</t>
  </si>
  <si>
    <t>13-12-2026</t>
  </si>
  <si>
    <t>TAL TOL TAL TANKARA ,DIST MORBI RAJKOT GUJARAT 363650, MOTA KHIJADIA B.O,RAJKOT GUJARAT,PIN- 363650</t>
  </si>
  <si>
    <t>GJ36V5916</t>
  </si>
  <si>
    <t>3379/04163675/000/01</t>
  </si>
  <si>
    <t>BOL MAXX PUP - 1.3 CITY VXI BSVI</t>
  </si>
  <si>
    <t>GEDANI DHANJIBHAI GORDHANBHAI</t>
  </si>
  <si>
    <t>AT BHADIYAD TA &amp; DI- MORBI GUJARAT, MORBI,RAJKOT GUJARAT,PIN- 363641</t>
  </si>
  <si>
    <t>GJ36R5439</t>
  </si>
  <si>
    <t>VPT1025303000100</t>
  </si>
  <si>
    <t>EECO 5 STR AC BSVI</t>
  </si>
  <si>
    <t>Mr MAHENDRASINH VERUBHA PARMAR</t>
  </si>
  <si>
    <t>26/11/2026</t>
  </si>
  <si>
    <t>BHARAT NAGAR SOC BH SERCITY HOUSE, MORBI, , , MORBI, 363641, GUJARAT</t>
  </si>
  <si>
    <t>GJ36S3319</t>
  </si>
  <si>
    <t>213049/31/26/009497</t>
  </si>
  <si>
    <t>JOHN DEERE - 5310 4WD WITH LOADER</t>
  </si>
  <si>
    <t>SOMANY MAX PRIVATE LIMITED</t>
  </si>
  <si>
    <t>SERVEY NO 466 P1, P3, P4, P5, SURVEY NO 465,467,468 P2,KHOKHRA HANUMAN ROAD, NEAR KHOKHR , BHADIYADRAJKOT , RAJKOT, GUJARAT - 36364</t>
  </si>
  <si>
    <t>GJ10TW7302</t>
  </si>
  <si>
    <t>D238480216 / 25112025</t>
  </si>
  <si>
    <t>SARVAIYA RAJUBHAI BAKULBHAI</t>
  </si>
  <si>
    <t>KALIKA PORT 4 MORVI RAJKOT,Jamnagar-361006</t>
  </si>
  <si>
    <t>GJ13AB6576</t>
  </si>
  <si>
    <t>3008/418287369/00/B00</t>
  </si>
  <si>
    <t>TRACTOR- USE ONLY FOR AGRICULTURE</t>
  </si>
  <si>
    <t>CHAVDA LALJIBHAI JESANGBHAI</t>
  </si>
  <si>
    <t>24/12/2025</t>
  </si>
  <si>
    <t>21-05-2026</t>
  </si>
  <si>
    <t>37 1 RAMJI MANDIR PACHAD MOTI BARAR MORBI, RAJKOT, GUJARAT 363670</t>
  </si>
  <si>
    <t>26/11/2025</t>
  </si>
  <si>
    <t>GJ36B1334</t>
  </si>
  <si>
    <t>D238666548 / 26112025</t>
  </si>
  <si>
    <t>ALTO 800/LXi</t>
  </si>
  <si>
    <t>RAMANANDI ARVINDBHAI JAMANADAS</t>
  </si>
  <si>
    <t>-</t>
  </si>
  <si>
    <t>JODHPUR NADI RAJKOT , GUJARAT, 363642,Morbi-363642</t>
  </si>
  <si>
    <t>GJ36W9955</t>
  </si>
  <si>
    <t>6303598174 00 00</t>
  </si>
  <si>
    <t>Mr DABHI SHAMJIBHAI RAMANIKBHAI</t>
  </si>
  <si>
    <t>CF</t>
  </si>
  <si>
    <t>TOQUE</t>
  </si>
  <si>
    <t>MAFATIYAPARU MORBI RAJKOT, MORBI, GUJAR AT, 363641</t>
  </si>
  <si>
    <t>MH46F3886</t>
  </si>
  <si>
    <t>6303598170 00 00</t>
  </si>
  <si>
    <t>TATA MOTORS/LPT 311 8/TC DIESEL/CLOSED/T RUCK</t>
  </si>
  <si>
    <t>Mr DEEPA RAVINDRA AGGARWAL</t>
  </si>
  <si>
    <t>99795 73793</t>
  </si>
  <si>
    <t>99794 50492</t>
  </si>
  <si>
    <t>ANGEL</t>
  </si>
  <si>
    <t>31-03-2025</t>
  </si>
  <si>
    <t>FLAT NO 503 BLAK SMI TH SQUARE-1 BUS DEP O PLOT 18 SECTOR 3E KALAMBOLI RAIGARH MAHARASHTRA, TNO18 3ARaigarhMaharashtr a,, 410218, KALAMBOL I, MAHARASHTRA, INDI A</t>
  </si>
  <si>
    <t>GJ36AF5032</t>
  </si>
  <si>
    <t>Dineshbhai Amarshibhai Dhoriyani</t>
  </si>
  <si>
    <t>FB</t>
  </si>
  <si>
    <t>TORQUE</t>
  </si>
  <si>
    <t>18-12-2037</t>
  </si>
  <si>
    <t>GHUNTU Rajkot 363641, Gujarat</t>
  </si>
  <si>
    <t>GJ36X3438</t>
  </si>
  <si>
    <t>VGC1447897000100</t>
  </si>
  <si>
    <t>Tata Motors Ltd.</t>
  </si>
  <si>
    <t>Mr.HARI LAL GURJAR</t>
  </si>
  <si>
    <t>C O PROP DHARATI SCRAP TRADING SHOP NO 1 TULSI PARK HALVAD ROAD OPP PRABHAT WAY BRIDGE MAHENDRANAGAR MORVI MORBI MORBI GUJARAT 363642</t>
  </si>
  <si>
    <t>GJ36T0086</t>
  </si>
  <si>
    <t>161522523340015125</t>
  </si>
  <si>
    <t>MAHINDRA JEETO &amp; X7-11 2STR</t>
  </si>
  <si>
    <t>MR. PRASHANTKUMAR RAMNIKLAL SANTOKI</t>
  </si>
  <si>
    <t>15-05-2026</t>
  </si>
  <si>
    <t>MATHAK SURENDRA NAGAR HALVAD, SURENDRANAGAR, GUJARAT, India, 363330.</t>
  </si>
  <si>
    <t>GJ01JT2548</t>
  </si>
  <si>
    <t>3003/A/418287188/00/B00</t>
  </si>
  <si>
    <t>EICHER MOTOR</t>
  </si>
  <si>
    <t>RAVAL SANJAY</t>
  </si>
  <si>
    <t>AMARPURA RANCHARADA GHANDHINAGAR, AHMEDABAD, GUJARAT 382115</t>
  </si>
  <si>
    <t>GJ13V4767</t>
  </si>
  <si>
    <t>3003/A/418287119/00/000</t>
  </si>
  <si>
    <t>MR KAIDA AFRID HASANBHAI</t>
  </si>
  <si>
    <t>26-11-2026</t>
  </si>
  <si>
    <t>23-05-2026</t>
  </si>
  <si>
    <t>KALIKA PLOT STREET NUMBER -4, MORVI, ,, NEAR MASJID,, MORBI, GUJARAT 363641</t>
  </si>
  <si>
    <t>GJ36U9329</t>
  </si>
  <si>
    <t>213049/31/26/009537</t>
  </si>
  <si>
    <t>BAJAJ AUTO - MAXIMA Z CNG BS 6</t>
  </si>
  <si>
    <t>MR. PARMAR RAJENDRAKUMAR ASHVINBHAI</t>
  </si>
  <si>
    <t>29-01-2027</t>
  </si>
  <si>
    <t>25-11-2029</t>
  </si>
  <si>
    <t>PLOT 89 DHARMSIDDHI SOCIETY AT JAMBUDIYA TA MORBI,MORBIGUJARAT, 363642 , JAMBUDIYA , RAJKOT, GUJARAT - 363642 ,Mob</t>
  </si>
  <si>
    <t>GJ36W1013</t>
  </si>
  <si>
    <t>MR CHAUHAN JITESH VALJIBHAI</t>
  </si>
  <si>
    <t>25-08-2026</t>
  </si>
  <si>
    <t>CHAKAMPAR JIVAPAR CHAKARMPAR RAJKOT</t>
  </si>
  <si>
    <t xml:space="preserve">ANISH TR\HRU ROBRU </t>
  </si>
  <si>
    <t>GJ25U8821</t>
  </si>
  <si>
    <t>213049/31/26/009536</t>
  </si>
  <si>
    <t>TATA MOTORS - LPT 3718 CR BS 4 10X2</t>
  </si>
  <si>
    <t>MR. CHHELANA SARMANBHAI MERAMANBHAI</t>
  </si>
  <si>
    <t>TO</t>
  </si>
  <si>
    <t>28/11/2026</t>
  </si>
  <si>
    <t>18-04-2026</t>
  </si>
  <si>
    <t>15-12-2029</t>
  </si>
  <si>
    <t>THOYANA 9913308895, RANAVAV PORBANDAR, PORBANDAR PORBANDAR -GUJARAT-360570 , THOYANA , PORBANDAR, GUJARAT - 360570</t>
  </si>
  <si>
    <t>GJ36X3033</t>
  </si>
  <si>
    <t>VGC1447864000100</t>
  </si>
  <si>
    <t>Ashok Leyland Ltd.</t>
  </si>
  <si>
    <t>M/s.SAHJANAND ROADLINES</t>
  </si>
  <si>
    <t>99040 31007</t>
  </si>
  <si>
    <t>PROP KAMLESH RAMESHBHAI JOSHI FRIST FLOOR SHOP NO 11 MARUTI CHAMBER OPP LALPUR BUS STOP NH NO 27 MORBI MORBI GUJARAT 363642</t>
  </si>
  <si>
    <t>GJ38T3805</t>
  </si>
  <si>
    <t>132/01/17/1126/MTP/1010255930</t>
  </si>
  <si>
    <t>MAHINDRA AND MAHINDRA BOLERO MAXITRUCK PLUS 1.2T PS</t>
  </si>
  <si>
    <t>MR PANKAJKUMAR RADHESHYAMBHAI PATEL</t>
  </si>
  <si>
    <t>UBHI SHERI AT CHARAL, TAL SANAND AHMEDABAD, AHMADABAD, GUJARAT, INDIA, Pincode : 382110</t>
  </si>
  <si>
    <t>GJ36V5594</t>
  </si>
  <si>
    <t>160622523340028633</t>
  </si>
  <si>
    <t>MR. UMESH KESHAVJIBHAI BHLAGAMDIYA</t>
  </si>
  <si>
    <t>GHUNTU MORBI GHUNTU MORBI, RAJKOT, GUJARAT, India, 363641.</t>
  </si>
  <si>
    <t>GJ36V7546</t>
  </si>
  <si>
    <t>160622523340028627</t>
  </si>
  <si>
    <t>TATA ACE &amp; CNG 2.0 S CLB BSVI</t>
  </si>
  <si>
    <t>MR. SHAILESHBHAI GELABHAI PARSADIYA</t>
  </si>
  <si>
    <t>PUC</t>
  </si>
  <si>
    <t>PANELI MORBI MORVI, RAJKOT, GUJARAT, India, 363642.</t>
  </si>
  <si>
    <t>GJ36V8994</t>
  </si>
  <si>
    <t>3379/04531051/000/00</t>
  </si>
  <si>
    <t>BADA DOST - I2 BSVI</t>
  </si>
  <si>
    <t>KHIMAJI GOVINDBHAI DAGAYA</t>
  </si>
  <si>
    <t>CF &amp; PUC</t>
  </si>
  <si>
    <t>30-11-2027</t>
  </si>
  <si>
    <t>KOYLI MORBI, MORBI,RAJKOT GUJARAT,PIN- 36364</t>
  </si>
  <si>
    <t xml:space="preserve">OFFICE AAVI NE LAY JASE </t>
  </si>
  <si>
    <t>213049/88/26/000030</t>
  </si>
  <si>
    <t>CLL POLICY</t>
  </si>
  <si>
    <t>M/S. SHAKTI ENTERPRISE</t>
  </si>
  <si>
    <t>PLOT NO 2 TO 9 FLAT NO F 9 FIRST,FLOOR SAMAKHYALI TALUKA BHACHAU,KACHCHH,KACHCHH, SAMKHIYALI, KACHCHH, GUJARAT 370150 , MOBILE NO. 8000811331</t>
  </si>
  <si>
    <t>213049/88/26/000031</t>
  </si>
  <si>
    <t>PLOT NO 2 TO 9 FLAT NO F 9 FIRST,FLOOR SAMAKHYALI TALUKA BHACHAU,KACHCHH,KACHCHH, SAMKHIYALI, KACHCHH, GUJARAT 370150</t>
  </si>
  <si>
    <t>213049/88/26/000032</t>
  </si>
  <si>
    <t>AT RAJAVADLA TAL WANKANER DI RAJKOT, GUJARAT, WANKANER, RAJKOT, GUJARAT 363621 ,</t>
  </si>
  <si>
    <t>GJ18AZ9984</t>
  </si>
  <si>
    <t>3003/A/418347259/00/B00</t>
  </si>
  <si>
    <t>PATEL HIRENKUMAR VALJIBHAI</t>
  </si>
  <si>
    <t>675, UMIYA NAGAR SOCIETY, NEAR BUS STATION, SINGARVA, DASKROI, PO KATHWADA, AHMEDABAD, GUJARAT 382430</t>
  </si>
  <si>
    <t>GJ035975</t>
  </si>
  <si>
    <t>0808013125P113547314</t>
  </si>
  <si>
    <t>EICHER MOTORS LTD / RAJDOOT</t>
  </si>
  <si>
    <t>MR ANISH</t>
  </si>
  <si>
    <t>96385 49939</t>
  </si>
  <si>
    <t>90992 22447</t>
  </si>
  <si>
    <t>16-01-2028</t>
  </si>
  <si>
    <t>S/O SMAIL BHAI THEBPOTRA AT HARBATIYALI TA MORBI DI NORGI 363650 RAJKOT GUJARAT</t>
  </si>
  <si>
    <t>27/11/2025</t>
  </si>
  <si>
    <t>GJ36W1642</t>
  </si>
  <si>
    <t>0604003125P113598778</t>
  </si>
  <si>
    <t>MR BHARVAD KARSHANBHAI BALABHAI</t>
  </si>
  <si>
    <t>CF&amp;PUC</t>
  </si>
  <si>
    <t>29-11-2027</t>
  </si>
  <si>
    <t>STREET OF SCHOOL BAGATHALA RAJKOT</t>
  </si>
  <si>
    <t>GJ36T5307</t>
  </si>
  <si>
    <t>3379/04532265/000/00</t>
  </si>
  <si>
    <t>BOLERO - MAXI TRUCK PLUS BS IV PS</t>
  </si>
  <si>
    <t>SAGARBHAI CHHAGANBHAI VAGHELA</t>
  </si>
  <si>
    <t>AT DEVACHADI TA GONDAL RAJKOT, DEVCHADI B.O,RAJKOT GUJARAT,PIN- 360330</t>
  </si>
  <si>
    <t>GJ36X2325</t>
  </si>
  <si>
    <t>3379/04532266/000/00</t>
  </si>
  <si>
    <t>SIGNA 3530.TK - TIPPER BSV</t>
  </si>
  <si>
    <t>DASHARATHKUKABHAI KUNAPARA</t>
  </si>
  <si>
    <t>96648 61257</t>
  </si>
  <si>
    <t>30-12-2029</t>
  </si>
  <si>
    <t>AT- PALANS, LUNSAR WANKANER MORBI,, WANKANER S.O,RAJKOT GUJARAT,PIN- 363621</t>
  </si>
  <si>
    <t>GJ36U9124</t>
  </si>
  <si>
    <t>0604003125P113599746</t>
  </si>
  <si>
    <t>BAJAJ AUTO LTD / BAJAJ MAXIMA C CNG</t>
  </si>
  <si>
    <t>MR ZALA MAYURSINH RAGHUVIRSINH</t>
  </si>
  <si>
    <t>16-12-2026</t>
  </si>
  <si>
    <t>KHERVA WANKANER KHERVA MORBI</t>
  </si>
  <si>
    <t>GJ25U3649</t>
  </si>
  <si>
    <t>3003/418580715/00/000</t>
  </si>
  <si>
    <t>NIMAVAT SATISH MAHESHBHAI</t>
  </si>
  <si>
    <t>AT ROHISHALA, TAL TANKARA,TANKARA MORBI, MORBI, GUJARAT 363641</t>
  </si>
  <si>
    <t>GJ03BW5425</t>
  </si>
  <si>
    <t>213049/31/26/009576</t>
  </si>
  <si>
    <t>MR. JIVANBHAI ZAPDA</t>
  </si>
  <si>
    <t>75044 44443</t>
  </si>
  <si>
    <t>13-06-2027</t>
  </si>
  <si>
    <t>28-02-2026</t>
  </si>
  <si>
    <t>30-04-2029</t>
  </si>
  <si>
    <t>TARGHARI RAJKOT , ADBALKARAJKOT , RAJKOT, GUJARAT - 3601</t>
  </si>
  <si>
    <t>GJ36T8169</t>
  </si>
  <si>
    <t>213049/31/26/009575</t>
  </si>
  <si>
    <t>TATA MOTORS - INTRA V30 NON-AC BS 6</t>
  </si>
  <si>
    <t>MR. MAGANBHAI VALJIBHAI NARIYANA</t>
  </si>
  <si>
    <t>81601 81106</t>
  </si>
  <si>
    <t>14-07-2026</t>
  </si>
  <si>
    <t>JABALPUR, JABALPUR, TANKARA, MORBI-GUJARAT-363650 , JABALPUR , RAJKOT, GUJARAT - 363650</t>
  </si>
  <si>
    <t>GJ36AP4343</t>
  </si>
  <si>
    <t>160622523090015998</t>
  </si>
  <si>
    <t>MARUTI SUZUKI GRAND VITARA DELTA CNG 1.5L 5MT</t>
  </si>
  <si>
    <t>Mr. FANGLIYA GHELABHAI MEPABHAI</t>
  </si>
  <si>
    <t>27-11-2039</t>
  </si>
  <si>
    <t>TOL TOL other WANKANER S O RAJKOT GUJARAT MAHUVA MAHUVA, SURAT, GUJARAT, India, 394250.</t>
  </si>
  <si>
    <t>GJ36W9382</t>
  </si>
  <si>
    <t>6303601924 00 00</t>
  </si>
  <si>
    <t>Mr DHIRJGIRI BHAGVANGIRI GOSAI</t>
  </si>
  <si>
    <t xml:space="preserve">CF </t>
  </si>
  <si>
    <t>BLOCK NO 17 SHOBHE SHVAR ROAD MADHUS MRUTI MORBI PPW RAJ KOT, MALIYA, GUJARAT 363660</t>
  </si>
  <si>
    <t>GJ36V7818</t>
  </si>
  <si>
    <t>160622523340028934</t>
  </si>
  <si>
    <t>MR. FATE MAMAD,KARIM BHATTI</t>
  </si>
  <si>
    <t>17-10-2026</t>
  </si>
  <si>
    <t>MADINA SOCIETY V C PARA MORVI MORBI, RAJKOT, GUJARAT, India, 363641</t>
  </si>
  <si>
    <t>GJ18BB2251</t>
  </si>
  <si>
    <t>P0026100023/4190/169675</t>
  </si>
  <si>
    <t>VOLKSWAGEN/ POLO 1.2L COMFORTLINE (DIESEL)</t>
  </si>
  <si>
    <t>Mr VAGHELA PRAKASHBHAI RAMESHBHAI</t>
  </si>
  <si>
    <t>079847 50858</t>
  </si>
  <si>
    <t>17-01-2028</t>
  </si>
  <si>
    <t>OM PARK LAXMI NAGAR NAVA SADULKA MORBI MUMBAI GUJARAT 363642</t>
  </si>
  <si>
    <t>GJ36W2625</t>
  </si>
  <si>
    <t>6303601895 00 00</t>
  </si>
  <si>
    <t>Mr DAFDA PRAKASHBHAI DINESHBHAI</t>
  </si>
  <si>
    <t>MORVI RAJKOT RAFALE SHWAR, MORBI, GUJAR AT, 363641</t>
  </si>
  <si>
    <t>GJ10TZ4239</t>
  </si>
  <si>
    <t>6303601893 00 00</t>
  </si>
  <si>
    <t>Mr VEKARIYA GOPAL KANTILAL</t>
  </si>
  <si>
    <t>13/12/2026</t>
  </si>
  <si>
    <t>19-12-2029</t>
  </si>
  <si>
    <t>115 DHBAAREA MANA MORA JAMNAGAR, JAM NAGAR, GUJARAT, 3636 55</t>
  </si>
  <si>
    <t>GJ36V5751</t>
  </si>
  <si>
    <t>3379/04532237/000/00</t>
  </si>
  <si>
    <t>SIGNA 3530.TK - TIPPER BSVI</t>
  </si>
  <si>
    <t>17-12-2025</t>
  </si>
  <si>
    <t>18-12-2028</t>
  </si>
  <si>
    <t>BHABHALUBHAI MANSHIBHAI KHACHAR, ,BHALGAM, WANKANER, BHAVNAGAR,,,, BOTAD TOWN S.O,BHAVNAGAR GUJARAT,PIN- 364710</t>
  </si>
  <si>
    <t>CPM</t>
  </si>
  <si>
    <t>601762522150052459</t>
  </si>
  <si>
    <t>HYDRAULIC</t>
  </si>
  <si>
    <t>DASHARATHBHAI KUKABHAI KUNAPARA</t>
  </si>
  <si>
    <t>PALAMSLUNSAR,RAJKOT,GUJARAT-363621</t>
  </si>
  <si>
    <t>GJ12BW6458</t>
  </si>
  <si>
    <t>AVO/2315/12471567</t>
  </si>
  <si>
    <t>ASHOK LEYLAND 4923 TT MULTIAXEL TRAILOR</t>
  </si>
  <si>
    <t>Odedara Ramde Bhikha</t>
  </si>
  <si>
    <t>98245 43333</t>
  </si>
  <si>
    <t>97377 68383</t>
  </si>
  <si>
    <t>17-03-2029</t>
  </si>
  <si>
    <t>17-03-2026</t>
  </si>
  <si>
    <t>Godedar, Porbandar, PO Porbandar, DIST Porbandar, Gujarat - 360575 PORBANDAR GUJARAT INDIA360575</t>
  </si>
  <si>
    <t>GJ36X9461</t>
  </si>
  <si>
    <t>3003/MI-16228642/00/000</t>
  </si>
  <si>
    <t>MARUTI SUPER CARRY STD CNG 1.2L 5MT BS6</t>
  </si>
  <si>
    <t>Mr. Faim Jahangirbhai Dhundha</t>
  </si>
  <si>
    <t>6353 312 139</t>
  </si>
  <si>
    <t>3 LATI PLOT,MORVI, PO- MORBI MDG,MORBI, OTHER, GUJARAT-363641</t>
  </si>
  <si>
    <t>GJ36T8768</t>
  </si>
  <si>
    <t>3003/418625649/00/000</t>
  </si>
  <si>
    <t>JAYDEEP ASSOCIATES PRIVATE LIMITED</t>
  </si>
  <si>
    <t>JAYDEEP</t>
  </si>
  <si>
    <t>20-1-2027</t>
  </si>
  <si>
    <t>20-01-2026</t>
  </si>
  <si>
    <t>MALIYA, AT VAVANIYA, MORBI, GUJARAT 363641</t>
  </si>
  <si>
    <t>GJ36U8901</t>
  </si>
  <si>
    <t>6303604845 00 00</t>
  </si>
  <si>
    <t>Mr HINGALA KIRAN PUNAMCHAND</t>
  </si>
  <si>
    <t>ROHIDAS PARA -6 BEHI ND RAIL WAY STATION MORBI MDG RAJKOT, M ORBI, GUJARAT, 363641</t>
  </si>
  <si>
    <t>GJ12BW4706</t>
  </si>
  <si>
    <t>AVO/2315/12473600</t>
  </si>
  <si>
    <t>27-12-2026</t>
  </si>
  <si>
    <t>28/11/2025</t>
  </si>
  <si>
    <t>GJ36AF5936</t>
  </si>
  <si>
    <t>201140020325700702700000</t>
  </si>
  <si>
    <t>KIA/SONET/GRAVI TY 1.2 PETROL MT/Suv</t>
  </si>
  <si>
    <t>MR ASHRAF HUSENBHAI KALADIYA</t>
  </si>
  <si>
    <t>STATION ROAD, JAMATKHANA SHERI, THANGADH,,,,GUJARAT,SURENDRA NAGAR,CHORVIRA-363530</t>
  </si>
  <si>
    <t>GJ36X0440</t>
  </si>
  <si>
    <t>3379/04533619/000/00</t>
  </si>
  <si>
    <t>KAROTRA BABU KARANABHAI</t>
  </si>
  <si>
    <t>AT SAJANPAR TA TANKARA DIS MORBI MORBI, MORBI,RAJKOT GUJARAT,PIN- 363641</t>
  </si>
  <si>
    <t>GJ36AL7860</t>
  </si>
  <si>
    <t>3001/O/418694280/00/000</t>
  </si>
  <si>
    <t>M &amp; M XUV 700 AX7 DIESEL 7 STR</t>
  </si>
  <si>
    <t>VAKALIYA TOFIK ABBASBHAI</t>
  </si>
  <si>
    <t>99793 13116</t>
  </si>
  <si>
    <t>26-12-2038</t>
  </si>
  <si>
    <t>26-12-2024</t>
  </si>
  <si>
    <t>AT-LALJAI, TA AND DI-MORBI, MORBI, GUJARAT 363641</t>
  </si>
  <si>
    <t>GJ18BB9947</t>
  </si>
  <si>
    <t>P0026100023/4190/170228</t>
  </si>
  <si>
    <t>VOLKSWAGEN/ POLO 1.2L COMFORTLINE (DIESEL</t>
  </si>
  <si>
    <t>Mr RANPARA KARAN SURESHBHA</t>
  </si>
  <si>
    <t>KANSARA STREET NEAR GREEN CHOWK MORVI MUMBAI GUJARAT 363641</t>
  </si>
  <si>
    <t>GJ03AT1029</t>
  </si>
  <si>
    <t>6303605709 00 00</t>
  </si>
  <si>
    <t>TATA MOTORS/LPT 90 9/EX/CLOSED/TANKER</t>
  </si>
  <si>
    <t>Mr MUNDHVA KARSHAN LALABHAI</t>
  </si>
  <si>
    <t>17-11-2021</t>
  </si>
  <si>
    <t>18-05-2021</t>
  </si>
  <si>
    <t>RANAKPAR WANKANER RAJKOT, 363621, WANK ANER, GUJARAT, INDIA</t>
  </si>
  <si>
    <t>GJ36R5302</t>
  </si>
  <si>
    <t>OG-26-1105-1801-00004595</t>
  </si>
  <si>
    <t>HYUNDAI i 20</t>
  </si>
  <si>
    <t>MUKESH DHANJIBHAI HALAPARA</t>
  </si>
  <si>
    <t>JIVAN JYOT SOCIETY VAVDI ROAD MORVI MORBI, , , RAJKOT, GUJARAT-363641</t>
  </si>
  <si>
    <t>GJ36W2930</t>
  </si>
  <si>
    <t>0604003125P113653572</t>
  </si>
  <si>
    <t>MR MANISH HARKANTBHAI PARMAR</t>
  </si>
  <si>
    <t>SHAKTIPARA HASANPAR RAJKOR</t>
  </si>
  <si>
    <t>GJ03BU7104</t>
  </si>
  <si>
    <t>POCMVGC0100567919</t>
  </si>
  <si>
    <t>Bajaj Auto Limited,Maxima C &amp; CNG</t>
  </si>
  <si>
    <t>Mr.HARESHBHAI MOHANBHAI CHAUHAN</t>
  </si>
  <si>
    <t>PLOT NO 48,BHAKTINAGAR SOCIETY,INDIRA NAGAR MAHENDRA NAGAR PART,Rajkot,Gujarat363642,India</t>
  </si>
  <si>
    <t>GJ36T6319</t>
  </si>
  <si>
    <t>POCMVGC0100567925</t>
  </si>
  <si>
    <t>Tata Motors,Ultra 1518 &amp; 5L/45WB</t>
  </si>
  <si>
    <t>Mr.VADAVIYA IMRANBHAI MAMADBHAI</t>
  </si>
  <si>
    <t>25-04-2027</t>
  </si>
  <si>
    <t>29-09-2026</t>
  </si>
  <si>
    <t>AT RAJVADLA,TAL WANKANER,MORBI,Rajkot,Gujarat363621,India</t>
  </si>
  <si>
    <t>GJ36V3586</t>
  </si>
  <si>
    <t>N5393275</t>
  </si>
  <si>
    <t>FORCE MOTOR TRA</t>
  </si>
  <si>
    <t>: UMEDSINH KANCHAVA</t>
  </si>
  <si>
    <t>IFFCO</t>
  </si>
  <si>
    <t>27-10-2025</t>
  </si>
  <si>
    <t>401/5, GSECL TPS COLONY, AT SI KKA, JAMNAGAR</t>
  </si>
  <si>
    <t>29/11/2025</t>
  </si>
  <si>
    <t>GJ10TX2529</t>
  </si>
  <si>
    <t>132/01/17/1226/MTP/1010260988</t>
  </si>
  <si>
    <t>MR ASHVIN MAVAJIBHAI DUDHAGARA</t>
  </si>
  <si>
    <t>GENERALI</t>
  </si>
  <si>
    <t>AT ISHWARIYA TAL LALPUR, DI JAMNAGAR, JAMNAGAR, GUJARAT, INDIA, Pincode : 361280</t>
  </si>
  <si>
    <t>GJ36V7879</t>
  </si>
  <si>
    <t>160622523490002338</t>
  </si>
  <si>
    <t>TATA/ACE/CNG 2.0 S CLB BSVI</t>
  </si>
  <si>
    <t>Mr. RAJESHBHAI JADAVJIBHAI KANZARIYA</t>
  </si>
  <si>
    <t>97277 77029</t>
  </si>
  <si>
    <t>BLOCK - 57 ANANT NAGAR MORBI-2 MORVI, RAJKOT, GUJARAT, India, 363642</t>
  </si>
  <si>
    <t>GJ36V5905</t>
  </si>
  <si>
    <t>160622523340029358</t>
  </si>
  <si>
    <t>MR. KIRITBHAI GANGARAMBHAI KANZARIYA</t>
  </si>
  <si>
    <t>30/12/2026</t>
  </si>
  <si>
    <t>NEAR KANYA SCHOOL GHANSHYAMPUR HALVAD, SURENDRANAGAR, GUJARAT, India, 363330</t>
  </si>
  <si>
    <t>GJ36U7783</t>
  </si>
  <si>
    <t>POCMVGC0100569429</t>
  </si>
  <si>
    <t>Piaggio Vehicles Pvt. Ltd.,Ape &amp; Xtra HT LDX Plus CNG PU</t>
  </si>
  <si>
    <t>Mr.KATARIYA HASAMBHAI ISMAILBHAI</t>
  </si>
  <si>
    <t>88494 36331</t>
  </si>
  <si>
    <t>17-04-2024</t>
  </si>
  <si>
    <t>17-04-2023</t>
  </si>
  <si>
    <t>DHROL,KHATKIVAS,.,Jamnagar,Gujarat361210,In dia</t>
  </si>
  <si>
    <t>GJ03CL9061</t>
  </si>
  <si>
    <t>3382/00391931/000/00</t>
  </si>
  <si>
    <t>OTH</t>
  </si>
  <si>
    <t>FORK LIFT TRUCK</t>
  </si>
  <si>
    <t>JAYDEEP CHEM FOOD PRIVATE LIMITED</t>
  </si>
  <si>
    <t>14-03-2013</t>
  </si>
  <si>
    <t>WOWANIYA MORBI, MORBI,MORBI GUJARAT,PIN- 363641</t>
  </si>
  <si>
    <t>GJ03DQ5332</t>
  </si>
  <si>
    <t>201620020125710287100000</t>
  </si>
  <si>
    <t>HERO MOTOCORP/SPLENDOR PRO/CAST/Solo with Pillion</t>
  </si>
  <si>
    <t>TAHIRBHAI ABHARAMBHAI KAIDA</t>
  </si>
  <si>
    <t>15-07-2025</t>
  </si>
  <si>
    <t>4 KALIKA PLOT, NEAR MASJID, MORVI, RAJKOT, MORBI MDG,,,,GUJARAT,RAJKOT,LAJAI-363641</t>
  </si>
  <si>
    <t>GJ31T3160</t>
  </si>
  <si>
    <t>213049/31/26/009637</t>
  </si>
  <si>
    <t>MR. JADAV ROHITKUMAR NANJIBHAI</t>
  </si>
  <si>
    <t>VANKAR VAS UGAMNA NAKA, AT TANKARA, DI MORBI, MORBI-GUJARAT-363650 , TANKARA , RAJKOT, GUJARAT - 363650</t>
  </si>
  <si>
    <t>GJ36AC5426</t>
  </si>
  <si>
    <t>132/01/11/1126/MTP/2410107603</t>
  </si>
  <si>
    <t>MARUTI SUZUKI VITARA BREZZA VXI</t>
  </si>
  <si>
    <t>MR RAJESHBHAI JIVRAJBHAI SHANIYARA</t>
  </si>
  <si>
    <t>166 Bharvadvas Baisabgadh, Baisabgadh Soladi Dhrangadhra, SURENDRANAGAR, GUJARAT, INDIA, Pincode : 363310</t>
  </si>
  <si>
    <t>GJ36V5735</t>
  </si>
  <si>
    <t>3379/04169134/000/01</t>
  </si>
  <si>
    <t>MERABHAI RAGHABHAI DEKAVADIYA</t>
  </si>
  <si>
    <t>KHETARDI, MORBI, DHRANGADHRA S.O,SURENDRA NAGAR GUJARAT,PIN- 363310</t>
  </si>
  <si>
    <t>WAKANER</t>
  </si>
  <si>
    <t>GJ03BY0423</t>
  </si>
  <si>
    <t>AVO/2315/12479492</t>
  </si>
  <si>
    <t>ASHOK LEYLAND GP 4825 66 H CO</t>
  </si>
  <si>
    <t>Multani Asfak Jusabbhai</t>
  </si>
  <si>
    <t>26-10-2027</t>
  </si>
  <si>
    <t>14-03-2026</t>
  </si>
  <si>
    <t>ghanchivad, Chotila, PO Chotila, DIST Surendra Nagar, Gujarat - 36 3520 CHOTILA GUJARAT INDIA363520</t>
  </si>
  <si>
    <t>30/11/2025</t>
  </si>
  <si>
    <t>GJ36V5931</t>
  </si>
  <si>
    <t>160622523340030152</t>
  </si>
  <si>
    <t>MARUTI SUZUKI SUPER CARRY &amp; STD..</t>
  </si>
  <si>
    <t>MR. DILIP MANASUKHBHAI JANJAVADIA</t>
  </si>
  <si>
    <t>V C PARA MORBI BEHIND CITY HOSPITAL MORVI MORBI, GUJARAT, India, 363641.</t>
  </si>
  <si>
    <t>GJ36U6695</t>
  </si>
  <si>
    <t>213049/31/26/009681</t>
  </si>
  <si>
    <t>MR. RANJIT MANDAVIYA</t>
  </si>
  <si>
    <t>21-06-2026</t>
  </si>
  <si>
    <t>21-06-2025</t>
  </si>
  <si>
    <t>GRAMPANCHACHAYAT ENTERENCE DHUNDA AT SAJANPARA MORBI GUJARAT 363641 , MORBI , RAJKOT, GUJARAT - 3636</t>
  </si>
  <si>
    <t>GJ36W1219</t>
  </si>
  <si>
    <t>213049/31/26/009682</t>
  </si>
  <si>
    <t>MR. CHETAN VARANIA</t>
  </si>
  <si>
    <t>27-12-2025</t>
  </si>
  <si>
    <t>DHAR KHATRI VISTAR, TRAJPAR PPW, , MORBI, GUJARAT, 363642 , SAKAT SANALA SOMORBI , MORBI, GUJARAT - 363643 ,Mo</t>
  </si>
  <si>
    <t xml:space="preserve">OTHER WORK </t>
  </si>
  <si>
    <t>GJ01HT3088</t>
  </si>
  <si>
    <t>3379/04536589/000/00</t>
  </si>
  <si>
    <t>TISABHAI KALUBHAI BHARVAD</t>
  </si>
  <si>
    <t>30/11/2026</t>
  </si>
  <si>
    <t>13-02-2027</t>
  </si>
  <si>
    <t>13-02-2026</t>
  </si>
  <si>
    <t>AT-KEDARIYA, TA-HALVAD, HALVAD, MORBI, , SAKAT SANALA SO , MORBI, GUJARAT, MORBI,RAJKOT GUJARAT,PIN- 363641</t>
  </si>
  <si>
    <t>GJ36B9094</t>
  </si>
  <si>
    <t>VPT1029317000100</t>
  </si>
  <si>
    <t>Mr JUNEJA SULTAN IBRAHIM</t>
  </si>
  <si>
    <t>15-05-2032</t>
  </si>
  <si>
    <t>21-04-2026</t>
  </si>
  <si>
    <t>VANKIYA RAJKOT, ., , , MB-Rajkot , RAJKOT, 363621, GUJARAT</t>
  </si>
  <si>
    <t>GJ36AL8462</t>
  </si>
  <si>
    <t>MARUTI DZIRE TOUR S CNG</t>
  </si>
  <si>
    <t>Riyaj Kasambhai Movar</t>
  </si>
  <si>
    <t>78028 16169</t>
  </si>
  <si>
    <t>VAGADIYA GAITE Maliya Rajkot 363670, Gujarat</t>
  </si>
  <si>
    <t xml:space="preserve">MALIYA MIYANA </t>
  </si>
  <si>
    <t>GJ03LR0887</t>
  </si>
  <si>
    <t>D239396847 / 29112025</t>
  </si>
  <si>
    <t>AMAZE/1.2 S (MT)</t>
  </si>
  <si>
    <t>JAYESH KAKKAD</t>
  </si>
  <si>
    <t>25-03-2026</t>
  </si>
  <si>
    <t>HEMPRABHA 6 RAMDHAM SOCIETY, KALAWAD ROAD RAJKOT NR PARIMAL SCHOOL,RAJKOT-360005</t>
  </si>
  <si>
    <t>BHARTI BEN THRU</t>
  </si>
  <si>
    <t>GJ13CC7026</t>
  </si>
  <si>
    <t>D239316778 / 29112025</t>
  </si>
  <si>
    <t>FIESTA/1.4 TDCi Classic CLXi</t>
  </si>
  <si>
    <t>KALDIYA RAJABBHAI RASULBHAI</t>
  </si>
  <si>
    <t>90230 17949</t>
  </si>
  <si>
    <t>KHWAJA PALACE 207 LATIPLOT 14 MAHENDRAPARA MORBI,MORBI-363641</t>
  </si>
  <si>
    <t xml:space="preserve">KALE OFFICE AAVI NE LAY JASE </t>
  </si>
  <si>
    <t>GJ36W2346</t>
  </si>
  <si>
    <t>213049/31/26/009680</t>
  </si>
  <si>
    <t>MR. ALIASGAR BUKHARI</t>
  </si>
  <si>
    <t>23-10-2026</t>
  </si>
  <si>
    <t>RANCHODNAGAR -2 , NIDHDHI PARK NI BAJUMA,, MORBI -363641 , MORBI , RAJKOT, GUJARAT - 36364</t>
  </si>
  <si>
    <t>GJ36AL8045</t>
  </si>
  <si>
    <t>160622523090016215</t>
  </si>
  <si>
    <t>MARUTI SUZUKI ALTO K10 VXI PLUS DREAM EDITION</t>
  </si>
  <si>
    <t>Mr. KAILASHBHAI MASHRUBHAI VESARA</t>
  </si>
  <si>
    <t>KUMBHAR STREET BHAVPAR MORBI RAJKOT DAHISARA NANA, RAJKOT, GUJARAT, India, 363660.</t>
  </si>
  <si>
    <t xml:space="preserve">PACHHI CALL KARSE </t>
  </si>
  <si>
    <t>GJ36U8924</t>
  </si>
  <si>
    <t>213049/31/26/009679</t>
  </si>
  <si>
    <t>MR. AJAY DINESHBHAI SAVASDIA</t>
  </si>
  <si>
    <t>SHAKTI SOCIETY MORBNI 2 NEAR VANALIYA, MORBI, ,MORBI PPW, MORBI- 363642 , MORBI PPW , RAJKOT, GUJARAT - 363642</t>
  </si>
  <si>
    <t>GJ03BW8593</t>
  </si>
  <si>
    <t>3379/04536545/000/00</t>
  </si>
  <si>
    <t>PITHAVA AKASH NARENDRABHAI</t>
  </si>
  <si>
    <t>POOJA PARK BLOCK NO 3 PLOT NO 6 B/H RELIANCE PETROL PUMP AHMEDABAD RAJKOT,,,, RAJKOT AJI IND ESTATE S.O,RAJKOT GUJARAT,PIN- 360003</t>
  </si>
  <si>
    <t xml:space="preserve">DHROL MANAGER NE PUCHHVA NU CHHE </t>
  </si>
  <si>
    <t>GJ36V7634</t>
  </si>
  <si>
    <t>3379/04536453/000/00</t>
  </si>
  <si>
    <t>FULABHAI BHIKHABHAI SHARANIYA</t>
  </si>
  <si>
    <t>24-10-2026</t>
  </si>
  <si>
    <t>24-10-2025</t>
  </si>
  <si>
    <t>MACHCHU NAGAR BEHIND KAMDHENU PARTY PLOT DIS MORBI, MORBI,MORBI GUJARAT,PIN- 363641</t>
  </si>
  <si>
    <t>GJ16AU9018</t>
  </si>
  <si>
    <t>160622523550001008</t>
  </si>
  <si>
    <t>MPV</t>
  </si>
  <si>
    <t>TATA / CITY RIDE / LP 909 SCHOOL BUS</t>
  </si>
  <si>
    <t>M/S THE RELIABLE EDUCATIONAL TRUST</t>
  </si>
  <si>
    <t>HARKHANI B/H POWER HOUSE WANKANER MITANA MAIN ROAD PIPALIYARAJ,WANKANER MORBI GUJARAT WANKANER, MORBI, GUJARAT, India, 363621.</t>
  </si>
  <si>
    <t xml:space="preserve">WAKANER </t>
  </si>
  <si>
    <t>GJ03BT2150</t>
  </si>
  <si>
    <t>160622523550001010</t>
  </si>
  <si>
    <t>ASHOK LEYLAND / ALPSV / 4/51 VIKING</t>
  </si>
  <si>
    <t>M/S CREATIVE EDUCATION TRUST</t>
  </si>
  <si>
    <t>15-07-2026</t>
  </si>
  <si>
    <t>MONALI CHAMBER 8A NH CHANDRAPUR MORBI WANKANER, RAJKOT, GUJARAT, India, 363621.</t>
  </si>
  <si>
    <t>GJ36W2745</t>
  </si>
  <si>
    <t>213049/31/26/009660</t>
  </si>
  <si>
    <t>MR. FARUK HASAN SUMRA</t>
  </si>
  <si>
    <t>99095 02121</t>
  </si>
  <si>
    <t>MADHAPAR-19,MORBI,,363641 , MORBI , RAJKOT, GUJARAT - 36364</t>
  </si>
  <si>
    <t xml:space="preserve">SHIV TREDING MA AAPVA NI CHHE </t>
  </si>
  <si>
    <t>GJ36W2616</t>
  </si>
  <si>
    <t>POCMVGC0100571332</t>
  </si>
  <si>
    <t>Mr.KHIMANIYA VIJAY PRABHATBHAI</t>
  </si>
  <si>
    <t>KRUSHNA NAGAR,GUNGAN,MORBI,Rajkot,Gujarat363642,I ndia</t>
  </si>
  <si>
    <t>GJ36V5668</t>
  </si>
  <si>
    <t>3379/04172754/000/01</t>
  </si>
  <si>
    <t>JAGDISHBHAI SADURBHAI VINZVADIYA</t>
  </si>
  <si>
    <t>MATEL MORBI GUJARAT, WANKANER S.O,RAJKOT GUJARAT,PIN- 363621</t>
  </si>
  <si>
    <t>KALE OFFICE AAVSE</t>
  </si>
  <si>
    <t>GJ36V5714</t>
  </si>
  <si>
    <t>3379/04170866/000/01</t>
  </si>
  <si>
    <t>KIRAN DHANJIBHAI MALANIYAT</t>
  </si>
  <si>
    <t>JUNA VAGHARI VAS AT JETPAR MORBI GUJARAT, JETPAR (M) S.O,RAJKOT GUJARAT,PIN- 363630</t>
  </si>
  <si>
    <t>jetpar gb ffice vari seri</t>
  </si>
  <si>
    <t>GJ21W3247</t>
  </si>
  <si>
    <t>3379/04537291/000/00</t>
  </si>
  <si>
    <t>SENKIYA HUSENBHAI RASIDBHAI</t>
  </si>
  <si>
    <t>94283 23418</t>
  </si>
  <si>
    <t>21-07-2021</t>
  </si>
  <si>
    <t>AT NANDANPEDA PO MAHALPADA TA AHWA DI DANAHWA THE DANGS,, DHAVLIDHOD B.O,THE DANGS GUJARAT,PIN- 394710</t>
  </si>
  <si>
    <t>CALL UPADYO NAY</t>
  </si>
  <si>
    <t>GJ36V4445</t>
  </si>
  <si>
    <t>3379/04537290/000/00</t>
  </si>
  <si>
    <t>BLAZO X 35 - BSVI</t>
  </si>
  <si>
    <t>GHANSHYAMBHAI KANJIBHAI RATHOD</t>
  </si>
  <si>
    <t>31-12-2026</t>
  </si>
  <si>
    <t>31-03-2026</t>
  </si>
  <si>
    <t>AT CHARADVA TAL, HALVAD MORBI,, HALVAD S.O,SURENDRA NAGAR GUJARAT,PIN- 363330</t>
  </si>
  <si>
    <t>GJ36T3320</t>
  </si>
  <si>
    <t>213049/31/26/009686</t>
  </si>
  <si>
    <t>MAHINDRA AND MAHINDRA - BOLERO MAXI TRUCK PLUS 1.2T PS</t>
  </si>
  <si>
    <t>MR. JAYESHBHAI KARAMSHIBHAI KATESIYA</t>
  </si>
  <si>
    <t>81606 63716</t>
  </si>
  <si>
    <t>AT-PANELI MORBI MORBI GJ 363642 , PANELI , RAJKOT, GUJARAT - 363642 ,</t>
  </si>
  <si>
    <t>GJ03BY0348</t>
  </si>
  <si>
    <t>213049/31/26/009685</t>
  </si>
  <si>
    <t>TATA MOTORS - ACE GOLD BS 6</t>
  </si>
  <si>
    <t>MR. SANJAY RAYSINGBHAI KUNDHIYA</t>
  </si>
  <si>
    <t>MORBI NAKU, TAL TANKARA, MORBI, MORBI-GUJARAT-363650 , TANKARA , RAJKOT, GUJARAT - 363650 ,M</t>
  </si>
  <si>
    <t>GJ36V5971</t>
  </si>
  <si>
    <t>3379/04537259/000/00</t>
  </si>
  <si>
    <t>BHADANIYA ASHVINBHAI SOMABHAI</t>
  </si>
  <si>
    <t>97235 60363</t>
  </si>
  <si>
    <t>AT SUNDARI BHAVNI TAL HALVAD MORBI,, HALVAD S.O,SURENDRA NAGAR GUJARAT,PIN- 363330</t>
  </si>
  <si>
    <t>GJ01CU7227</t>
  </si>
  <si>
    <t>161522523340015480</t>
  </si>
  <si>
    <t>ASHOK LEYLAND 1616 &amp; IL</t>
  </si>
  <si>
    <t>MR. HUSHEN ABDUL,BHAI SUMRA</t>
  </si>
  <si>
    <t>23-02-2026</t>
  </si>
  <si>
    <t>MILAN PARK MORBI VAVDI ROAD MORVI MORBI MORBI, GUJARAT, India, 363641.</t>
  </si>
  <si>
    <t>GJ36V3267</t>
  </si>
  <si>
    <t>213049/31/26/009705</t>
  </si>
  <si>
    <t>TATA MOTORS - LPT 1212 DCR 42 HSD 125B6M5</t>
  </si>
  <si>
    <t>MR. MANOJBHAI HIRABHAI BHARVAD</t>
  </si>
  <si>
    <t>19-02-2027</t>
  </si>
  <si>
    <t>20-02-2028</t>
  </si>
  <si>
    <t>KHAN AREA OPP BAL MANDIR, TRAJPAR MORBI, MORBI, MORBIGUJARAT-363642 , MORBI PPW , RAJKOT, GUJARAT - 36364</t>
  </si>
  <si>
    <t>GJ32T9311</t>
  </si>
  <si>
    <t>213049/31/26/009704</t>
  </si>
  <si>
    <t>ASHOK LEYLAND - 3718 IL (260") RADIAL 6600 MM</t>
  </si>
  <si>
    <t>MR. ODEDARA JIVABHAI MULUBHAI</t>
  </si>
  <si>
    <t>15-11-2027</t>
  </si>
  <si>
    <t>15-11-2023</t>
  </si>
  <si>
    <t>AT PRASALA TA UPLETA DIST RAJKOT 9925178025 RAJKOT GUJARAT 360490 , UPLETA , RAJKOT, GUJARAT - 360490 ,</t>
  </si>
  <si>
    <t xml:space="preserve">chotila, office dilevry tirupati ma karv anu chhe  </t>
  </si>
  <si>
    <t>GJ36W2383</t>
  </si>
  <si>
    <t>6303617898 00 00</t>
  </si>
  <si>
    <t>Mr KOLI RAJESHBHAI BHIKHABHAI</t>
  </si>
  <si>
    <t>13-11-2029</t>
  </si>
  <si>
    <t>MATHAK SURENDRA N AGAR, HALVAD, GUJAR AT, 363330</t>
  </si>
  <si>
    <t xml:space="preserve">MATHAK ,TA. HALAVD, JI MORBI </t>
  </si>
  <si>
    <t>GJ36X2969</t>
  </si>
  <si>
    <t>3379/04537511/000/00</t>
  </si>
  <si>
    <t>SIPAI ASIF YUNUSBHAI</t>
  </si>
  <si>
    <t xml:space="preserve"> 80003 01500</t>
  </si>
  <si>
    <t>25/12/2026</t>
  </si>
  <si>
    <t>LUVANA PARA STREET NO 3 AT MORBI,,, MORBI,RAJKOT GUJARAT,PIN- 363641</t>
  </si>
  <si>
    <t>GJ03BZ8612</t>
  </si>
  <si>
    <t>3379/04175594/000/01</t>
  </si>
  <si>
    <t>ANIL BACHUBHAI SUVA</t>
  </si>
  <si>
    <t>21-01-2030</t>
  </si>
  <si>
    <t>SITARAM NAGAR, NR. GOKUL NAGAR, AT : MAKANSAR, TA : MORBI, DI. : MORBI, MORBI PPW S.O,RAJKOT GUJARAT,PIN- 363642</t>
  </si>
  <si>
    <t>UCHHI MANDALGJ36V 4445</t>
  </si>
  <si>
    <t xml:space="preserve">GJ36F9084  </t>
  </si>
  <si>
    <t>12-1805-0008501469-00</t>
  </si>
  <si>
    <t>MARUTI ALTO 800</t>
  </si>
  <si>
    <t>Kanzariya Dineshbhai Mohanbhai</t>
  </si>
  <si>
    <t>21-02-2026</t>
  </si>
  <si>
    <t>Virani Ni Vadi Opp Ramji Temple Shanala Morvi Rajkot Morvi Mdg Mdg, , , Morbi Mdg,, Rajkot,, Gujarat-363641</t>
  </si>
  <si>
    <t>GJ36X8874</t>
  </si>
  <si>
    <t>3379/04538940/000/00</t>
  </si>
  <si>
    <t>GOPALBHAI JIVABHAI KERSIYA</t>
  </si>
  <si>
    <t>25-05-2030</t>
  </si>
  <si>
    <t>MILAN PARK STREET NO 2, VAVDI ROAD,MORBI,,,,, MORBI,RAJKOT GUJARAT,PIN- 363641</t>
  </si>
  <si>
    <t>GJ36V2162</t>
  </si>
  <si>
    <t>3379/04539405/000/00</t>
  </si>
  <si>
    <t>PATEL JAYESH RANCHHODBHAI</t>
  </si>
  <si>
    <t>22-09-2025</t>
  </si>
  <si>
    <t>1043 A JANAKPUR MAFATIYAPARA GHUNTU MORBI, MORBI,MORBI GUJARAT,PIN- 363641</t>
  </si>
  <si>
    <t>GJ36T7349</t>
  </si>
  <si>
    <t>3379/04539406/000/00</t>
  </si>
  <si>
    <t>BOLERO - MAXI TRUCK PLUS 1.2 BS VI</t>
  </si>
  <si>
    <t>JANJAVADIYA DILIPBHAI RADHUBHAI</t>
  </si>
  <si>
    <t>AT JODHAPAR NADI JODHPAR NADI MORBI, MORBI PPW S.O,RAJKOT GUJARAT,PIN- 363642</t>
  </si>
  <si>
    <t>GJ36V7547</t>
  </si>
  <si>
    <t>3379/04539377/000/00</t>
  </si>
  <si>
    <t>GAMARA VIJAY KUVARABHAI</t>
  </si>
  <si>
    <t>AT SAMTHERVA TA WANKANER DIS MORBI MORBI, WANKANER S.O,RAJKOT GUJARAT,PIN- 363621</t>
  </si>
  <si>
    <t>GJ36V5856</t>
  </si>
  <si>
    <t>3003/419734083/00/000</t>
  </si>
  <si>
    <t>BOLERO MAXX PUP HD 2.0L LX</t>
  </si>
  <si>
    <t>PRAJAPATI VIJAYKUMAR LALJIBHAI</t>
  </si>
  <si>
    <t>18-09-2026</t>
  </si>
  <si>
    <t>AT JUNA DEVALIYA, TA -HALVAD, MORBI, GUJARAT 363641</t>
  </si>
  <si>
    <t>GJ19T0918</t>
  </si>
  <si>
    <t>3003/A/419697312/00/000</t>
  </si>
  <si>
    <t>MOHSINBHAI USHMANBHAI BHATTI</t>
  </si>
  <si>
    <t>31-05-2026</t>
  </si>
  <si>
    <t>A1 MAFATIYA PARA KHIRAI, TA MALIYA, MORBI, GUJARAT 363641</t>
  </si>
  <si>
    <t>GJ01HU6791</t>
  </si>
  <si>
    <t>D239821981 / 03122025</t>
  </si>
  <si>
    <t>DZIRE/VDi</t>
  </si>
  <si>
    <t>TOYATA KASHYAP</t>
  </si>
  <si>
    <t>CHELA-3 GODAUN VISTAR MALDHARI PAN DARED,JAMNAGAR-361012</t>
  </si>
  <si>
    <t>GJ23W4212</t>
  </si>
  <si>
    <t>201340020725700087700000</t>
  </si>
  <si>
    <t>TATA MOTORS LTD/ACE/HT</t>
  </si>
  <si>
    <t>MOHAMMAD JABIR DALWADI</t>
  </si>
  <si>
    <t>S/O: ABDUL MAJID DALWADI, SALVA, KHAMBHAT, KHAMBHAT, KHAMBHAT, ANAND, GUJARAT, 388620,,,GUJARAT,ANAND,SHAKARPUR388620</t>
  </si>
  <si>
    <t>GJ03BV4924</t>
  </si>
  <si>
    <t>3379/04540264/000/00</t>
  </si>
  <si>
    <t>BOLERO - PICK UP FB 1.2</t>
  </si>
  <si>
    <t>BHARVAD VIPULKUMAR BECHARBHAI</t>
  </si>
  <si>
    <t>30-01-2024</t>
  </si>
  <si>
    <t>MACHHUNAGAR NEAR SARDAR 3 MORBI MORBI,, MORBI,RAJKOT GUJARAT,PIN- 363641</t>
  </si>
  <si>
    <t>GJ13AX6189</t>
  </si>
  <si>
    <t>213049/31/26/009918</t>
  </si>
  <si>
    <t>MAHINDRA AND MAHINDRA - BOLERO B6 BS 6</t>
  </si>
  <si>
    <t>MR. DIPENKUMAR SANJAYKUMAR SHAH</t>
  </si>
  <si>
    <t>83473 42547</t>
  </si>
  <si>
    <t>92656 86791</t>
  </si>
  <si>
    <t>18/12/2026</t>
  </si>
  <si>
    <t>18-12-2026</t>
  </si>
  <si>
    <t>18-12-2025</t>
  </si>
  <si>
    <t>26-12-2029</t>
  </si>
  <si>
    <t>FLAT NO 103 NEW SUVIDHI APRT PART-B, 80 FEET ROAD AT DUDHREJ, TAL WADHWAN, SURENDRANAGAR, , SURENDRANAGAR , SURENDRA NAGAR, GUJARAT - 363001</t>
  </si>
  <si>
    <t xml:space="preserve">OFFICE AAVINE LAY JASE </t>
  </si>
  <si>
    <t>17/10/2025</t>
  </si>
  <si>
    <t>GJ36X8010</t>
  </si>
  <si>
    <t>213049/31/26/008205</t>
  </si>
  <si>
    <t>ASHOK LEYLAND - GP 4825 6600 MM H CO BS 6</t>
  </si>
  <si>
    <t>PARASARA MAHMADZAHID HUSHENBHAI</t>
  </si>
  <si>
    <t>16/10/2026</t>
  </si>
  <si>
    <t>SINDHAVADAR, SINDHAVADAR. RAJKOT, GUJARAT, 363621 , SINDHAVADAR , RAJKOT, GUJARAT</t>
  </si>
  <si>
    <t>18/10/2025</t>
  </si>
  <si>
    <t>NEW</t>
  </si>
  <si>
    <t>213049/31/26/008210</t>
  </si>
  <si>
    <t>ASHOK LEYLAND - GM 4220 6600 MM BS 6</t>
  </si>
  <si>
    <t>RAMKUMAR JENTIBHAI MALAN</t>
  </si>
  <si>
    <t>GHADHVIVAS JAMBUDA, JAMBUDA, JAMBUDA, JAMBUDA JAMNAGAR, GUJARAT, 361120 , JAMBUDA , JAMNAGAR, GUJARAT</t>
  </si>
  <si>
    <t>213049/31/26/008204</t>
  </si>
  <si>
    <t>213049/31/26/008221</t>
  </si>
  <si>
    <t>28/10/2025</t>
  </si>
  <si>
    <t xml:space="preserve"> GJ36X2559</t>
  </si>
  <si>
    <t>VGC1433777000100</t>
  </si>
  <si>
    <t>Tata Motors Ltd</t>
  </si>
  <si>
    <t>Mr.GOPAL POPATBHAI SIYAR</t>
  </si>
  <si>
    <t>27/10/2026</t>
  </si>
  <si>
    <t>29-10-2027</t>
  </si>
  <si>
    <t>SARDARNAGAR PO KHAKHRECHI KHAKHRECHI RAJKOT MORBI - 363630, GUJARAT</t>
  </si>
  <si>
    <t xml:space="preserve">COVAR </t>
  </si>
  <si>
    <t>FILE</t>
  </si>
  <si>
    <t>COVER</t>
  </si>
  <si>
    <t>RUBARU</t>
  </si>
  <si>
    <t xml:space="preserve">LMV CAR -OF , RN GAME TE HOY TO PAN COVAR </t>
  </si>
  <si>
    <t>STAFF</t>
  </si>
  <si>
    <t>MORBI CITY</t>
  </si>
  <si>
    <t>GAMDA NU ADDRESS</t>
  </si>
  <si>
    <t>CITY</t>
  </si>
  <si>
    <t>OFFICE THI LAI JAIS</t>
  </si>
  <si>
    <t>RIXA</t>
  </si>
  <si>
    <t>LMV - CAR</t>
  </si>
  <si>
    <t>RN - LCV, MGV, HGV</t>
  </si>
  <si>
    <t>NO.</t>
  </si>
  <si>
    <t>POLICY DELIVERY DATE</t>
  </si>
  <si>
    <t>CATEGIRY</t>
  </si>
  <si>
    <t>REMARK</t>
  </si>
  <si>
    <t>CURIOR</t>
  </si>
  <si>
    <t>DONE file ma jama</t>
  </si>
  <si>
    <t xml:space="preserve">OFFICE AAVINE LAY JA SE </t>
  </si>
  <si>
    <t xml:space="preserve">KALE SAVARE OFFICE AAVI NE LAY JASE </t>
  </si>
  <si>
    <t>AAROGYA NAGAR NAVA BUS SAND BHARVAD PARA WAKANER (COURIER KARVA NI CHHE )</t>
  </si>
  <si>
    <t xml:space="preserve">LALBAG  SARKARI PORTR MA MOKALVA NI CHHE RUBRU POCHADVA NI CHHE </t>
  </si>
  <si>
    <t xml:space="preserve">GHUTU ROAD RUBRU POCHADVA NI CHHE </t>
  </si>
  <si>
    <t xml:space="preserve">SAMA KATHE  KRISHNA FOOT WEAR RUBRU POCHADVA NI CHHE </t>
  </si>
  <si>
    <t xml:space="preserve">RAVAPAR ROAD V MART RUBRU POCHADVA NI CHHE </t>
  </si>
  <si>
    <t xml:space="preserve">RAVAPAR ROAD KRISHNA SCOOL NI PASE RUBRU POCHADVA NI CHHE </t>
  </si>
  <si>
    <t xml:space="preserve">BHARAT NAGAR KESAU PLAZA OFFICE NO 131 RUBRU POCHHAD VA NI CHHE </t>
  </si>
  <si>
    <t xml:space="preserve">UMYA TAOUNSHIP RUBRU POCHHAD VA NI CHHE </t>
  </si>
  <si>
    <t xml:space="preserve">HARBATIYA </t>
  </si>
  <si>
    <t xml:space="preserve">COURIER </t>
  </si>
  <si>
    <t xml:space="preserve">Upleta kalunalu murkhdani gari gokul nagar sosayti vijvasan mataji na mandir same COURIER KARAVA NI CHHE </t>
  </si>
  <si>
    <t xml:space="preserve">office aavi ne lay jase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</si>
</sst>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m-d-yyyy"/>
    <numFmt numFmtId="167" formatCode="m/d/yyyy"/>
  </numFmts>
  <fonts count="11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b/>
      <sz val="11.0"/>
      <color rgb="FF351C75"/>
      <name val="Arial"/>
    </font>
    <font>
      <color theme="1"/>
      <name val="Arial"/>
    </font>
    <font>
      <color theme="1"/>
      <name val="Arial"/>
      <scheme val="minor"/>
    </font>
    <font>
      <b/>
      <sz val="14.0"/>
      <color rgb="FF1F2937"/>
      <name val="Figtree"/>
    </font>
    <font>
      <sz val="11.0"/>
      <color rgb="FF000000"/>
      <name val="Calibri"/>
    </font>
    <font>
      <b/>
      <color theme="1"/>
      <name val="Arial"/>
      <scheme val="minor"/>
    </font>
    <font>
      <color rgb="FF000000"/>
      <name val="Arial"/>
    </font>
    <font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1" fillId="0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4" numFmtId="165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horizontal="center" vertical="bottom"/>
    </xf>
    <xf borderId="1" fillId="3" fontId="4" numFmtId="4" xfId="0" applyAlignment="1" applyBorder="1" applyFill="1" applyFont="1" applyNumberFormat="1">
      <alignment horizontal="center" vertical="bottom"/>
    </xf>
    <xf borderId="1" fillId="3" fontId="4" numFmtId="3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4" xfId="0" applyAlignment="1" applyBorder="1" applyFont="1" applyNumberFormat="1">
      <alignment horizontal="center" readingOrder="0"/>
    </xf>
    <xf borderId="1" fillId="0" fontId="5" numFmtId="0" xfId="0" applyBorder="1" applyFont="1"/>
    <xf borderId="1" fillId="0" fontId="5" numFmtId="166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4" fontId="5" numFmtId="164" xfId="0" applyAlignment="1" applyBorder="1" applyFill="1" applyFont="1" applyNumberFormat="1">
      <alignment horizontal="center" readingOrder="0"/>
    </xf>
    <xf borderId="1" fillId="4" fontId="5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5" numFmtId="165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center"/>
    </xf>
    <xf borderId="1" fillId="4" fontId="5" numFmtId="4" xfId="0" applyAlignment="1" applyBorder="1" applyFont="1" applyNumberFormat="1">
      <alignment horizontal="center" readingOrder="0"/>
    </xf>
    <xf borderId="1" fillId="4" fontId="5" numFmtId="3" xfId="0" applyAlignment="1" applyBorder="1" applyFont="1" applyNumberFormat="1">
      <alignment horizontal="center" readingOrder="0"/>
    </xf>
    <xf borderId="1" fillId="4" fontId="4" numFmtId="4" xfId="0" applyAlignment="1" applyBorder="1" applyFont="1" applyNumberFormat="1">
      <alignment horizontal="center" vertical="bottom"/>
    </xf>
    <xf borderId="1" fillId="4" fontId="5" numFmtId="0" xfId="0" applyBorder="1" applyFont="1"/>
    <xf borderId="0" fillId="4" fontId="5" numFmtId="0" xfId="0" applyFont="1"/>
    <xf borderId="1" fillId="3" fontId="4" numFmtId="3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0" fillId="4" fontId="5" numFmtId="0" xfId="0" applyAlignment="1" applyFont="1">
      <alignment readingOrder="0"/>
    </xf>
    <xf borderId="0" fillId="4" fontId="5" numFmtId="4" xfId="0" applyAlignment="1" applyFont="1" applyNumberFormat="1">
      <alignment horizontal="center" readingOrder="0"/>
    </xf>
    <xf borderId="0" fillId="4" fontId="5" numFmtId="164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1" fillId="4" fontId="4" numFmtId="0" xfId="0" applyAlignment="1" applyBorder="1" applyFont="1">
      <alignment horizontal="center" vertical="bottom"/>
    </xf>
    <xf borderId="1" fillId="4" fontId="4" numFmtId="3" xfId="0" applyAlignment="1" applyBorder="1" applyFont="1" applyNumberFormat="1">
      <alignment horizontal="center" vertical="bottom"/>
    </xf>
    <xf borderId="1" fillId="3" fontId="5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3" fontId="5" numFmtId="164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5" fontId="5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readingOrder="0"/>
    </xf>
    <xf borderId="0" fillId="0" fontId="5" numFmtId="3" xfId="0" applyAlignment="1" applyFont="1" applyNumberForma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1" fillId="0" fontId="5" numFmtId="167" xfId="0" applyAlignment="1" applyBorder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1" fillId="4" fontId="5" numFmtId="167" xfId="0" applyAlignment="1" applyBorder="1" applyFont="1" applyNumberFormat="1">
      <alignment horizontal="center" readingOrder="0"/>
    </xf>
    <xf borderId="0" fillId="4" fontId="5" numFmtId="167" xfId="0" applyAlignment="1" applyFont="1" applyNumberForma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left" readingOrder="0"/>
    </xf>
    <xf borderId="1" fillId="4" fontId="5" numFmtId="166" xfId="0" applyAlignment="1" applyBorder="1" applyFont="1" applyNumberFormat="1">
      <alignment horizontal="center" readingOrder="0"/>
    </xf>
    <xf borderId="0" fillId="3" fontId="6" numFmtId="0" xfId="0" applyAlignment="1" applyFont="1">
      <alignment readingOrder="0" shrinkToFit="0" wrapText="0"/>
    </xf>
    <xf borderId="1" fillId="3" fontId="5" numFmtId="0" xfId="0" applyAlignment="1" applyBorder="1" applyFont="1">
      <alignment horizontal="center" readingOrder="0"/>
    </xf>
    <xf borderId="1" fillId="7" fontId="7" numFmtId="0" xfId="0" applyAlignment="1" applyBorder="1" applyFill="1" applyFont="1">
      <alignment horizontal="right" readingOrder="0" shrinkToFit="0" vertical="bottom" wrapText="0"/>
    </xf>
    <xf borderId="1" fillId="0" fontId="5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5" numFmtId="165" xfId="0" applyAlignment="1" applyBorder="1" applyFont="1" applyNumberFormat="1">
      <alignment horizontal="left" readingOrder="0"/>
    </xf>
    <xf quotePrefix="1"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1" fillId="0" fontId="5" numFmtId="3" xfId="0" applyAlignment="1" applyBorder="1" applyFont="1" applyNumberFormat="1">
      <alignment horizontal="center"/>
    </xf>
    <xf borderId="0" fillId="0" fontId="5" numFmtId="166" xfId="0" applyFont="1" applyNumberFormat="1"/>
    <xf borderId="1" fillId="4" fontId="5" numFmtId="3" xfId="0" applyAlignment="1" applyBorder="1" applyFont="1" applyNumberFormat="1">
      <alignment horizontal="center"/>
    </xf>
    <xf borderId="0" fillId="5" fontId="5" numFmtId="164" xfId="0" applyAlignment="1" applyFont="1" applyNumberForma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4" numFmtId="166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7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" fillId="3" fontId="5" numFmtId="0" xfId="0" applyBorder="1" applyFont="1"/>
    <xf borderId="1" fillId="4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/>
    </xf>
    <xf borderId="1" fillId="0" fontId="5" numFmtId="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1" fillId="2" fontId="7" numFmtId="0" xfId="0" applyAlignment="1" applyBorder="1" applyFont="1">
      <alignment readingOrder="0" shrinkToFit="0" vertical="bottom" wrapText="0"/>
    </xf>
    <xf borderId="1" fillId="7" fontId="7" numFmtId="0" xfId="0" applyAlignment="1" applyBorder="1" applyFont="1">
      <alignment readingOrder="0" shrinkToFit="0" vertical="bottom" wrapText="0"/>
    </xf>
    <xf borderId="1" fillId="7" fontId="7" numFmtId="0" xfId="0" applyAlignment="1" applyBorder="1" applyFont="1">
      <alignment shrinkToFit="0" vertical="bottom" wrapText="0"/>
    </xf>
    <xf borderId="1" fillId="7" fontId="9" numFmtId="0" xfId="0" applyAlignment="1" applyBorder="1" applyFont="1">
      <alignment readingOrder="0" shrinkToFit="0" vertical="bottom" wrapText="0"/>
    </xf>
    <xf borderId="1" fillId="7" fontId="10" numFmtId="0" xfId="0" applyAlignment="1" applyBorder="1" applyFont="1">
      <alignment shrinkToFit="0" vertical="bottom" wrapText="0"/>
    </xf>
    <xf borderId="0" fillId="7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38"/>
    <col customWidth="1" min="2" max="2" width="13.75"/>
    <col customWidth="1" min="3" max="3" width="13.63"/>
    <col customWidth="1" min="4" max="4" width="19.63"/>
    <col customWidth="1" min="5" max="5" width="8.38"/>
    <col customWidth="1" min="6" max="6" width="28.63"/>
    <col customWidth="1" min="7" max="7" width="29.5"/>
    <col customWidth="1" min="10" max="10" width="8.63"/>
    <col customWidth="1" min="11" max="11" width="6.63"/>
    <col customWidth="1" min="12" max="12" width="11.88"/>
    <col customWidth="1" min="13" max="13" width="12.75"/>
    <col customWidth="1" min="14" max="14" width="13.5"/>
    <col customWidth="1" min="15" max="15" width="4.88"/>
    <col customWidth="1" min="16" max="16" width="7.88"/>
    <col customWidth="1" min="17" max="17" width="9.5"/>
    <col customWidth="1" min="18" max="18" width="11.0"/>
    <col customWidth="1" min="19" max="19" width="10.63"/>
    <col customWidth="1" min="20" max="20" width="11.63"/>
    <col customWidth="1" min="25" max="27" width="14.38"/>
    <col customWidth="1" min="29" max="29" width="115.63"/>
    <col customWidth="1" min="30" max="30" width="38.38"/>
    <col customWidth="1" min="31" max="31" width="25.25"/>
    <col customWidth="1" min="32" max="33" width="13.88"/>
  </cols>
  <sheetData>
    <row r="1" ht="40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  <c r="AD1" s="7" t="s">
        <v>29</v>
      </c>
      <c r="AE1" s="7" t="s">
        <v>30</v>
      </c>
      <c r="AF1" s="8" t="s">
        <v>31</v>
      </c>
      <c r="AG1" s="8"/>
    </row>
    <row r="2">
      <c r="A2" s="9"/>
      <c r="B2" s="10"/>
      <c r="C2" s="11"/>
      <c r="D2" s="11"/>
      <c r="E2" s="12"/>
      <c r="F2" s="11"/>
      <c r="G2" s="11"/>
      <c r="H2" s="12"/>
      <c r="I2" s="12"/>
      <c r="J2" s="12"/>
      <c r="K2" s="12"/>
      <c r="L2" s="10"/>
      <c r="M2" s="12"/>
      <c r="N2" s="13"/>
      <c r="O2" s="12"/>
      <c r="P2" s="12"/>
      <c r="Q2" s="12"/>
      <c r="R2" s="14"/>
      <c r="S2" s="14"/>
      <c r="T2" s="12"/>
      <c r="U2" s="12"/>
      <c r="V2" s="15"/>
      <c r="W2" s="15"/>
      <c r="X2" s="12"/>
      <c r="Y2" s="12"/>
      <c r="Z2" s="16"/>
      <c r="AA2" s="17"/>
      <c r="AB2" s="12"/>
      <c r="AC2" s="11"/>
      <c r="AD2" s="11"/>
      <c r="AE2" s="11"/>
      <c r="AF2" s="18"/>
      <c r="AG2" s="18"/>
    </row>
    <row r="3" hidden="1">
      <c r="A3" s="19">
        <v>1.0</v>
      </c>
      <c r="B3" s="20">
        <v>45668.0</v>
      </c>
      <c r="C3" s="21" t="s">
        <v>32</v>
      </c>
      <c r="D3" s="21" t="s">
        <v>33</v>
      </c>
      <c r="E3" s="22" t="s">
        <v>34</v>
      </c>
      <c r="F3" s="21" t="s">
        <v>35</v>
      </c>
      <c r="G3" s="21" t="s">
        <v>36</v>
      </c>
      <c r="H3" s="22">
        <v>6.354185261E9</v>
      </c>
      <c r="I3" s="22">
        <v>6.351865214E9</v>
      </c>
      <c r="J3" s="22"/>
      <c r="K3" s="22">
        <v>3490.0</v>
      </c>
      <c r="L3" s="22" t="s">
        <v>37</v>
      </c>
      <c r="M3" s="22" t="s">
        <v>38</v>
      </c>
      <c r="N3" s="23" t="s">
        <v>39</v>
      </c>
      <c r="O3" s="22" t="s">
        <v>40</v>
      </c>
      <c r="P3" s="22" t="s">
        <v>41</v>
      </c>
      <c r="Q3" s="21"/>
      <c r="R3" s="24">
        <v>45696.0</v>
      </c>
      <c r="S3" s="24">
        <v>45330.0</v>
      </c>
      <c r="T3" s="24">
        <v>46820.0</v>
      </c>
      <c r="U3" s="25"/>
      <c r="V3" s="26">
        <v>22407.0</v>
      </c>
      <c r="W3" s="26">
        <v>24343.0</v>
      </c>
      <c r="X3" s="22">
        <v>15511.0</v>
      </c>
      <c r="Y3" s="22">
        <v>15500.0</v>
      </c>
      <c r="Z3" s="16">
        <f t="shared" ref="Z3:Z312" si="1">W3-Y3</f>
        <v>8843</v>
      </c>
      <c r="AA3" s="17">
        <f t="shared" ref="AA3:AA13" si="2">Y3-X3</f>
        <v>-11</v>
      </c>
      <c r="AB3" s="22" t="s">
        <v>42</v>
      </c>
      <c r="AC3" s="21" t="s">
        <v>43</v>
      </c>
      <c r="AD3" s="27"/>
      <c r="AE3" s="27"/>
    </row>
    <row r="4" hidden="1">
      <c r="A4" s="21">
        <v>2.0</v>
      </c>
      <c r="B4" s="20">
        <v>45668.0</v>
      </c>
      <c r="C4" s="21" t="s">
        <v>44</v>
      </c>
      <c r="D4" s="21" t="s">
        <v>45</v>
      </c>
      <c r="E4" s="22" t="s">
        <v>34</v>
      </c>
      <c r="F4" s="21" t="s">
        <v>46</v>
      </c>
      <c r="G4" s="21" t="s">
        <v>47</v>
      </c>
      <c r="H4" s="22">
        <v>9.724458985E9</v>
      </c>
      <c r="I4" s="22">
        <v>9.033348073E9</v>
      </c>
      <c r="J4" s="22"/>
      <c r="K4" s="22">
        <v>2750.0</v>
      </c>
      <c r="L4" s="20">
        <v>46033.0</v>
      </c>
      <c r="M4" s="22" t="s">
        <v>38</v>
      </c>
      <c r="N4" s="23" t="s">
        <v>39</v>
      </c>
      <c r="O4" s="22" t="s">
        <v>48</v>
      </c>
      <c r="P4" s="22" t="s">
        <v>41</v>
      </c>
      <c r="Q4" s="21"/>
      <c r="R4" s="22" t="s">
        <v>49</v>
      </c>
      <c r="S4" s="28">
        <v>45972.0</v>
      </c>
      <c r="T4" s="25"/>
      <c r="U4" s="25"/>
      <c r="V4" s="26">
        <v>19153.0</v>
      </c>
      <c r="W4" s="26">
        <v>20493.0</v>
      </c>
      <c r="X4" s="29">
        <v>13560.0</v>
      </c>
      <c r="Y4" s="29">
        <v>13000.0</v>
      </c>
      <c r="Z4" s="16">
        <f t="shared" si="1"/>
        <v>7493</v>
      </c>
      <c r="AA4" s="17">
        <f t="shared" si="2"/>
        <v>-560</v>
      </c>
      <c r="AB4" s="22" t="s">
        <v>42</v>
      </c>
      <c r="AC4" s="21" t="s">
        <v>50</v>
      </c>
      <c r="AD4" s="27"/>
      <c r="AE4" s="27"/>
    </row>
    <row r="5" hidden="1">
      <c r="A5" s="21">
        <v>3.0</v>
      </c>
      <c r="B5" s="20">
        <v>45668.0</v>
      </c>
      <c r="C5" s="21" t="s">
        <v>51</v>
      </c>
      <c r="D5" s="21" t="s">
        <v>52</v>
      </c>
      <c r="E5" s="22" t="s">
        <v>53</v>
      </c>
      <c r="F5" s="21" t="s">
        <v>54</v>
      </c>
      <c r="G5" s="21" t="s">
        <v>55</v>
      </c>
      <c r="H5" s="22">
        <v>9.727231209E9</v>
      </c>
      <c r="I5" s="22">
        <v>9.913221784E9</v>
      </c>
      <c r="J5" s="22"/>
      <c r="K5" s="22">
        <v>470.0</v>
      </c>
      <c r="L5" s="20">
        <v>46064.0</v>
      </c>
      <c r="M5" s="22" t="s">
        <v>56</v>
      </c>
      <c r="N5" s="23" t="s">
        <v>39</v>
      </c>
      <c r="O5" s="22" t="s">
        <v>48</v>
      </c>
      <c r="P5" s="22" t="s">
        <v>57</v>
      </c>
      <c r="Q5" s="21"/>
      <c r="R5" s="24">
        <v>46457.0</v>
      </c>
      <c r="S5" s="22" t="s">
        <v>58</v>
      </c>
      <c r="T5" s="24">
        <v>46976.0</v>
      </c>
      <c r="U5" s="25"/>
      <c r="V5" s="22">
        <v>6431.0</v>
      </c>
      <c r="W5" s="22">
        <v>7589.0</v>
      </c>
      <c r="X5" s="29">
        <v>6500.0</v>
      </c>
      <c r="Y5" s="29">
        <v>6500.0</v>
      </c>
      <c r="Z5" s="17">
        <f t="shared" si="1"/>
        <v>1089</v>
      </c>
      <c r="AA5" s="17">
        <f t="shared" si="2"/>
        <v>0</v>
      </c>
      <c r="AB5" s="22" t="s">
        <v>42</v>
      </c>
      <c r="AC5" s="21" t="s">
        <v>59</v>
      </c>
      <c r="AD5" s="27"/>
      <c r="AE5" s="27"/>
    </row>
    <row r="6" hidden="1">
      <c r="A6" s="19">
        <v>4.0</v>
      </c>
      <c r="B6" s="20">
        <v>45699.0</v>
      </c>
      <c r="C6" s="21" t="s">
        <v>60</v>
      </c>
      <c r="D6" s="21" t="s">
        <v>61</v>
      </c>
      <c r="E6" s="22" t="s">
        <v>34</v>
      </c>
      <c r="F6" s="21" t="s">
        <v>62</v>
      </c>
      <c r="G6" s="21" t="s">
        <v>63</v>
      </c>
      <c r="H6" s="22">
        <v>7.048648642E9</v>
      </c>
      <c r="I6" s="22">
        <v>9.22821445E9</v>
      </c>
      <c r="J6" s="22"/>
      <c r="K6" s="22">
        <v>1630.0</v>
      </c>
      <c r="L6" s="20">
        <v>46033.0</v>
      </c>
      <c r="M6" s="22" t="s">
        <v>64</v>
      </c>
      <c r="N6" s="23" t="s">
        <v>39</v>
      </c>
      <c r="O6" s="22" t="s">
        <v>40</v>
      </c>
      <c r="P6" s="22" t="s">
        <v>41</v>
      </c>
      <c r="Q6" s="21"/>
      <c r="R6" s="22" t="s">
        <v>65</v>
      </c>
      <c r="S6" s="24">
        <v>46214.0</v>
      </c>
      <c r="T6" s="25"/>
      <c r="U6" s="25"/>
      <c r="V6" s="26">
        <v>17928.0</v>
      </c>
      <c r="W6" s="26">
        <v>19069.0</v>
      </c>
      <c r="X6" s="22">
        <v>12997.0</v>
      </c>
      <c r="Y6" s="22">
        <v>12700.0</v>
      </c>
      <c r="Z6" s="16">
        <f t="shared" si="1"/>
        <v>6369</v>
      </c>
      <c r="AA6" s="17">
        <f t="shared" si="2"/>
        <v>-297</v>
      </c>
      <c r="AB6" s="22" t="s">
        <v>42</v>
      </c>
      <c r="AC6" s="21" t="s">
        <v>66</v>
      </c>
      <c r="AD6" s="27"/>
      <c r="AE6" s="27"/>
    </row>
    <row r="7" hidden="1">
      <c r="A7" s="21">
        <v>5.0</v>
      </c>
      <c r="B7" s="20">
        <v>45699.0</v>
      </c>
      <c r="C7" s="21" t="s">
        <v>67</v>
      </c>
      <c r="D7" s="21" t="s">
        <v>68</v>
      </c>
      <c r="E7" s="22" t="s">
        <v>69</v>
      </c>
      <c r="F7" s="21" t="s">
        <v>70</v>
      </c>
      <c r="G7" s="21" t="s">
        <v>71</v>
      </c>
      <c r="H7" s="22">
        <v>9.979627337E9</v>
      </c>
      <c r="I7" s="22">
        <v>8.160392305E9</v>
      </c>
      <c r="J7" s="22"/>
      <c r="K7" s="22">
        <v>1248.0</v>
      </c>
      <c r="L7" s="20">
        <v>46033.0</v>
      </c>
      <c r="M7" s="22" t="s">
        <v>72</v>
      </c>
      <c r="N7" s="23" t="s">
        <v>39</v>
      </c>
      <c r="O7" s="22" t="s">
        <v>48</v>
      </c>
      <c r="P7" s="22" t="s">
        <v>73</v>
      </c>
      <c r="Q7" s="21"/>
      <c r="R7" s="22" t="s">
        <v>74</v>
      </c>
      <c r="S7" s="25"/>
      <c r="T7" s="25"/>
      <c r="U7" s="25"/>
      <c r="V7" s="22">
        <v>4373.3</v>
      </c>
      <c r="W7" s="22">
        <v>5160.5</v>
      </c>
      <c r="X7" s="29">
        <v>5161.0</v>
      </c>
      <c r="Y7" s="29">
        <v>6161.0</v>
      </c>
      <c r="Z7" s="17">
        <f t="shared" si="1"/>
        <v>-1000.5</v>
      </c>
      <c r="AA7" s="17">
        <f t="shared" si="2"/>
        <v>1000</v>
      </c>
      <c r="AB7" s="22" t="s">
        <v>42</v>
      </c>
      <c r="AC7" s="21" t="s">
        <v>75</v>
      </c>
      <c r="AD7" s="27"/>
      <c r="AE7" s="27"/>
    </row>
    <row r="8" hidden="1">
      <c r="A8" s="21">
        <v>6.0</v>
      </c>
      <c r="B8" s="20">
        <v>45699.0</v>
      </c>
      <c r="C8" s="21" t="s">
        <v>76</v>
      </c>
      <c r="D8" s="21" t="s">
        <v>77</v>
      </c>
      <c r="E8" s="22" t="s">
        <v>78</v>
      </c>
      <c r="F8" s="21" t="s">
        <v>79</v>
      </c>
      <c r="G8" s="21" t="s">
        <v>80</v>
      </c>
      <c r="H8" s="22">
        <v>7.016184293E9</v>
      </c>
      <c r="I8" s="22">
        <v>9.909596056E9</v>
      </c>
      <c r="J8" s="22"/>
      <c r="K8" s="25"/>
      <c r="L8" s="20">
        <v>46033.0</v>
      </c>
      <c r="M8" s="22" t="s">
        <v>38</v>
      </c>
      <c r="N8" s="23" t="s">
        <v>81</v>
      </c>
      <c r="O8" s="22" t="s">
        <v>48</v>
      </c>
      <c r="P8" s="22" t="s">
        <v>57</v>
      </c>
      <c r="Q8" s="21"/>
      <c r="R8" s="22" t="s">
        <v>82</v>
      </c>
      <c r="S8" s="25"/>
      <c r="T8" s="25"/>
      <c r="U8" s="25"/>
      <c r="V8" s="26">
        <v>7317.0</v>
      </c>
      <c r="W8" s="26">
        <v>8634.0</v>
      </c>
      <c r="X8" s="29">
        <v>8500.0</v>
      </c>
      <c r="Y8" s="29">
        <v>8500.0</v>
      </c>
      <c r="Z8" s="16">
        <f t="shared" si="1"/>
        <v>134</v>
      </c>
      <c r="AA8" s="17">
        <f t="shared" si="2"/>
        <v>0</v>
      </c>
      <c r="AB8" s="22" t="s">
        <v>42</v>
      </c>
      <c r="AC8" s="21" t="s">
        <v>83</v>
      </c>
      <c r="AD8" s="27"/>
      <c r="AE8" s="27"/>
    </row>
    <row r="9" hidden="1">
      <c r="A9" s="19">
        <v>7.0</v>
      </c>
      <c r="B9" s="20">
        <v>45727.0</v>
      </c>
      <c r="C9" s="21" t="s">
        <v>84</v>
      </c>
      <c r="D9" s="21" t="s">
        <v>85</v>
      </c>
      <c r="E9" s="22" t="s">
        <v>86</v>
      </c>
      <c r="F9" s="21" t="s">
        <v>87</v>
      </c>
      <c r="G9" s="21" t="s">
        <v>88</v>
      </c>
      <c r="H9" s="22">
        <v>9.979642929E9</v>
      </c>
      <c r="I9" s="25"/>
      <c r="J9" s="25"/>
      <c r="K9" s="22">
        <v>28000.0</v>
      </c>
      <c r="L9" s="20">
        <v>46064.0</v>
      </c>
      <c r="M9" s="22" t="s">
        <v>38</v>
      </c>
      <c r="N9" s="23" t="s">
        <v>39</v>
      </c>
      <c r="O9" s="22" t="s">
        <v>48</v>
      </c>
      <c r="P9" s="22" t="s">
        <v>41</v>
      </c>
      <c r="Q9" s="21"/>
      <c r="R9" s="22" t="s">
        <v>89</v>
      </c>
      <c r="S9" s="22" t="s">
        <v>90</v>
      </c>
      <c r="T9" s="22" t="s">
        <v>91</v>
      </c>
      <c r="U9" s="25"/>
      <c r="V9" s="26">
        <v>47003.0</v>
      </c>
      <c r="W9" s="26">
        <v>49736.0</v>
      </c>
      <c r="X9" s="29">
        <v>39553.0</v>
      </c>
      <c r="Y9" s="22">
        <v>39500.0</v>
      </c>
      <c r="Z9" s="16">
        <f t="shared" si="1"/>
        <v>10236</v>
      </c>
      <c r="AA9" s="17">
        <f t="shared" si="2"/>
        <v>-53</v>
      </c>
      <c r="AB9" s="22" t="s">
        <v>42</v>
      </c>
      <c r="AC9" s="21" t="s">
        <v>92</v>
      </c>
      <c r="AD9" s="27"/>
      <c r="AE9" s="27"/>
    </row>
    <row r="10" hidden="1">
      <c r="A10" s="21">
        <v>8.0</v>
      </c>
      <c r="B10" s="30">
        <v>45727.0</v>
      </c>
      <c r="C10" s="31" t="s">
        <v>93</v>
      </c>
      <c r="D10" s="31" t="s">
        <v>94</v>
      </c>
      <c r="E10" s="32" t="s">
        <v>34</v>
      </c>
      <c r="F10" s="31" t="s">
        <v>95</v>
      </c>
      <c r="G10" s="31" t="s">
        <v>96</v>
      </c>
      <c r="H10" s="32">
        <v>7.565014519E9</v>
      </c>
      <c r="I10" s="32">
        <v>9.97890006E9</v>
      </c>
      <c r="J10" s="32"/>
      <c r="K10" s="32">
        <v>2960.0</v>
      </c>
      <c r="L10" s="32" t="s">
        <v>97</v>
      </c>
      <c r="M10" s="32" t="s">
        <v>98</v>
      </c>
      <c r="N10" s="33" t="s">
        <v>39</v>
      </c>
      <c r="O10" s="32" t="s">
        <v>48</v>
      </c>
      <c r="P10" s="32" t="s">
        <v>41</v>
      </c>
      <c r="Q10" s="31"/>
      <c r="R10" s="32" t="s">
        <v>99</v>
      </c>
      <c r="S10" s="34">
        <v>46147.0</v>
      </c>
      <c r="T10" s="35"/>
      <c r="U10" s="35"/>
      <c r="V10" s="36">
        <v>17665.0</v>
      </c>
      <c r="W10" s="36">
        <v>18758.0</v>
      </c>
      <c r="X10" s="37">
        <v>13499.0</v>
      </c>
      <c r="Y10" s="37">
        <v>13500.0</v>
      </c>
      <c r="Z10" s="38">
        <f t="shared" si="1"/>
        <v>5258</v>
      </c>
      <c r="AA10" s="17">
        <f t="shared" si="2"/>
        <v>1</v>
      </c>
      <c r="AB10" s="32" t="s">
        <v>42</v>
      </c>
      <c r="AC10" s="31" t="s">
        <v>100</v>
      </c>
      <c r="AD10" s="39"/>
      <c r="AE10" s="39"/>
      <c r="AF10" s="40"/>
      <c r="AG10" s="40"/>
    </row>
    <row r="11" hidden="1">
      <c r="A11" s="21">
        <v>9.0</v>
      </c>
      <c r="B11" s="20">
        <v>45727.0</v>
      </c>
      <c r="C11" s="21" t="s">
        <v>101</v>
      </c>
      <c r="D11" s="21" t="s">
        <v>102</v>
      </c>
      <c r="E11" s="22" t="s">
        <v>86</v>
      </c>
      <c r="F11" s="21" t="s">
        <v>103</v>
      </c>
      <c r="G11" s="21" t="s">
        <v>104</v>
      </c>
      <c r="H11" s="22">
        <v>9.723754448E9</v>
      </c>
      <c r="I11" s="22">
        <v>9.998438486E9</v>
      </c>
      <c r="J11" s="22"/>
      <c r="K11" s="22">
        <v>12500.0</v>
      </c>
      <c r="L11" s="20">
        <v>46064.0</v>
      </c>
      <c r="M11" s="22" t="s">
        <v>105</v>
      </c>
      <c r="N11" s="23" t="s">
        <v>39</v>
      </c>
      <c r="O11" s="22" t="s">
        <v>106</v>
      </c>
      <c r="P11" s="22" t="s">
        <v>57</v>
      </c>
      <c r="Q11" s="21"/>
      <c r="R11" s="24">
        <v>46181.0</v>
      </c>
      <c r="S11" s="22" t="s">
        <v>107</v>
      </c>
      <c r="T11" s="22" t="s">
        <v>108</v>
      </c>
      <c r="U11" s="25"/>
      <c r="V11" s="26">
        <v>37182.0</v>
      </c>
      <c r="W11" s="26">
        <v>39284.0</v>
      </c>
      <c r="X11" s="22">
        <v>31500.0</v>
      </c>
      <c r="Y11" s="22">
        <v>31500.0</v>
      </c>
      <c r="Z11" s="16">
        <f t="shared" si="1"/>
        <v>7784</v>
      </c>
      <c r="AA11" s="17">
        <f t="shared" si="2"/>
        <v>0</v>
      </c>
      <c r="AB11" s="22" t="s">
        <v>42</v>
      </c>
      <c r="AC11" s="21" t="s">
        <v>109</v>
      </c>
      <c r="AD11" s="27"/>
      <c r="AE11" s="27"/>
    </row>
    <row r="12" hidden="1">
      <c r="A12" s="19">
        <v>10.0</v>
      </c>
      <c r="B12" s="20">
        <v>45727.0</v>
      </c>
      <c r="C12" s="21" t="s">
        <v>110</v>
      </c>
      <c r="D12" s="21" t="s">
        <v>111</v>
      </c>
      <c r="E12" s="22" t="s">
        <v>34</v>
      </c>
      <c r="F12" s="21" t="s">
        <v>112</v>
      </c>
      <c r="G12" s="21" t="s">
        <v>113</v>
      </c>
      <c r="H12" s="22">
        <v>9.687055774E9</v>
      </c>
      <c r="I12" s="22">
        <v>9.033565777E9</v>
      </c>
      <c r="J12" s="22"/>
      <c r="K12" s="22">
        <v>1850.0</v>
      </c>
      <c r="L12" s="20">
        <v>46184.0</v>
      </c>
      <c r="M12" s="22" t="s">
        <v>64</v>
      </c>
      <c r="N12" s="23" t="s">
        <v>39</v>
      </c>
      <c r="O12" s="22" t="s">
        <v>114</v>
      </c>
      <c r="P12" s="22" t="s">
        <v>41</v>
      </c>
      <c r="Q12" s="21"/>
      <c r="R12" s="24">
        <v>46641.0</v>
      </c>
      <c r="S12" s="24">
        <v>46064.0</v>
      </c>
      <c r="T12" s="25"/>
      <c r="U12" s="25"/>
      <c r="V12" s="26">
        <v>19947.0</v>
      </c>
      <c r="W12" s="26">
        <v>21451.0</v>
      </c>
      <c r="X12" s="22">
        <v>14065.0</v>
      </c>
      <c r="Y12" s="22">
        <v>14000.0</v>
      </c>
      <c r="Z12" s="16">
        <f t="shared" si="1"/>
        <v>7451</v>
      </c>
      <c r="AA12" s="17">
        <f t="shared" si="2"/>
        <v>-65</v>
      </c>
      <c r="AB12" s="22" t="s">
        <v>42</v>
      </c>
      <c r="AC12" s="21" t="s">
        <v>115</v>
      </c>
      <c r="AD12" s="27"/>
      <c r="AE12" s="27"/>
    </row>
    <row r="13" hidden="1">
      <c r="A13" s="21">
        <v>11.0</v>
      </c>
      <c r="B13" s="20">
        <v>45727.0</v>
      </c>
      <c r="C13" s="21" t="s">
        <v>116</v>
      </c>
      <c r="D13" s="21" t="s">
        <v>117</v>
      </c>
      <c r="E13" s="22" t="s">
        <v>34</v>
      </c>
      <c r="F13" s="21" t="s">
        <v>118</v>
      </c>
      <c r="G13" s="21" t="s">
        <v>119</v>
      </c>
      <c r="H13" s="22">
        <v>9.725331367E9</v>
      </c>
      <c r="I13" s="22">
        <v>6.354731511E9</v>
      </c>
      <c r="J13" s="22"/>
      <c r="K13" s="22">
        <v>3895.0</v>
      </c>
      <c r="L13" s="20">
        <v>46064.0</v>
      </c>
      <c r="M13" s="22" t="s">
        <v>98</v>
      </c>
      <c r="N13" s="23" t="s">
        <v>39</v>
      </c>
      <c r="O13" s="22" t="s">
        <v>120</v>
      </c>
      <c r="P13" s="22" t="s">
        <v>57</v>
      </c>
      <c r="Q13" s="21"/>
      <c r="R13" s="24">
        <v>46153.0</v>
      </c>
      <c r="S13" s="22" t="s">
        <v>121</v>
      </c>
      <c r="T13" s="22" t="s">
        <v>122</v>
      </c>
      <c r="U13" s="25"/>
      <c r="V13" s="26">
        <v>24408.0</v>
      </c>
      <c r="W13" s="26">
        <v>26715.0</v>
      </c>
      <c r="X13" s="22">
        <v>21000.0</v>
      </c>
      <c r="Y13" s="22">
        <v>20500.0</v>
      </c>
      <c r="Z13" s="16">
        <f t="shared" si="1"/>
        <v>6215</v>
      </c>
      <c r="AA13" s="17">
        <f t="shared" si="2"/>
        <v>-500</v>
      </c>
      <c r="AB13" s="22" t="s">
        <v>42</v>
      </c>
      <c r="AC13" s="21" t="s">
        <v>123</v>
      </c>
      <c r="AD13" s="27"/>
      <c r="AE13" s="27"/>
    </row>
    <row r="14" hidden="1">
      <c r="A14" s="21">
        <v>12.0</v>
      </c>
      <c r="B14" s="20">
        <v>45727.0</v>
      </c>
      <c r="C14" s="21" t="s">
        <v>124</v>
      </c>
      <c r="D14" s="21" t="s">
        <v>125</v>
      </c>
      <c r="E14" s="22" t="s">
        <v>86</v>
      </c>
      <c r="F14" s="21" t="s">
        <v>126</v>
      </c>
      <c r="G14" s="21" t="s">
        <v>127</v>
      </c>
      <c r="H14" s="22">
        <v>8.320666175E9</v>
      </c>
      <c r="I14" s="25"/>
      <c r="J14" s="25"/>
      <c r="K14" s="22">
        <v>45500.0</v>
      </c>
      <c r="L14" s="20">
        <v>46092.0</v>
      </c>
      <c r="M14" s="22" t="s">
        <v>64</v>
      </c>
      <c r="N14" s="23" t="s">
        <v>39</v>
      </c>
      <c r="O14" s="22" t="s">
        <v>128</v>
      </c>
      <c r="P14" s="22" t="s">
        <v>41</v>
      </c>
      <c r="Q14" s="21"/>
      <c r="R14" s="24">
        <v>46569.0</v>
      </c>
      <c r="S14" s="22" t="s">
        <v>129</v>
      </c>
      <c r="T14" s="24">
        <v>47760.0</v>
      </c>
      <c r="U14" s="25"/>
      <c r="V14" s="26">
        <v>47540.0</v>
      </c>
      <c r="W14" s="26">
        <v>50346.0</v>
      </c>
      <c r="X14" s="22">
        <v>40851.0</v>
      </c>
      <c r="Y14" s="22">
        <v>43000.0</v>
      </c>
      <c r="Z14" s="16">
        <f t="shared" si="1"/>
        <v>7346</v>
      </c>
      <c r="AA14" s="41">
        <v>1000.0</v>
      </c>
      <c r="AB14" s="22" t="s">
        <v>42</v>
      </c>
      <c r="AC14" s="21" t="s">
        <v>130</v>
      </c>
      <c r="AD14" s="27"/>
      <c r="AE14" s="27"/>
    </row>
    <row r="15" hidden="1">
      <c r="A15" s="19">
        <v>13.0</v>
      </c>
      <c r="B15" s="20">
        <v>45727.0</v>
      </c>
      <c r="C15" s="21" t="s">
        <v>131</v>
      </c>
      <c r="D15" s="21" t="s">
        <v>132</v>
      </c>
      <c r="E15" s="22" t="s">
        <v>86</v>
      </c>
      <c r="F15" s="21" t="s">
        <v>126</v>
      </c>
      <c r="G15" s="21" t="s">
        <v>127</v>
      </c>
      <c r="H15" s="22">
        <v>8.320666175E9</v>
      </c>
      <c r="I15" s="25"/>
      <c r="J15" s="25"/>
      <c r="K15" s="22">
        <v>45500.0</v>
      </c>
      <c r="L15" s="20">
        <v>46064.0</v>
      </c>
      <c r="M15" s="22" t="s">
        <v>64</v>
      </c>
      <c r="N15" s="23" t="s">
        <v>39</v>
      </c>
      <c r="O15" s="22" t="s">
        <v>128</v>
      </c>
      <c r="P15" s="22" t="s">
        <v>41</v>
      </c>
      <c r="Q15" s="21"/>
      <c r="R15" s="22" t="s">
        <v>133</v>
      </c>
      <c r="S15" s="24">
        <v>46302.0</v>
      </c>
      <c r="T15" s="24">
        <v>47760.0</v>
      </c>
      <c r="U15" s="25"/>
      <c r="V15" s="26">
        <v>50453.0</v>
      </c>
      <c r="W15" s="26">
        <v>53783.0</v>
      </c>
      <c r="X15" s="22">
        <v>45000.0</v>
      </c>
      <c r="Y15" s="22">
        <v>45000.0</v>
      </c>
      <c r="Z15" s="16">
        <f t="shared" si="1"/>
        <v>8783</v>
      </c>
      <c r="AA15" s="17">
        <f t="shared" ref="AA15:AA162" si="3">Y15-X15</f>
        <v>0</v>
      </c>
      <c r="AB15" s="22" t="s">
        <v>42</v>
      </c>
      <c r="AC15" s="21" t="s">
        <v>134</v>
      </c>
      <c r="AD15" s="27"/>
      <c r="AE15" s="27"/>
    </row>
    <row r="16" hidden="1">
      <c r="A16" s="21">
        <v>14.0</v>
      </c>
      <c r="B16" s="20">
        <v>45758.0</v>
      </c>
      <c r="C16" s="21" t="s">
        <v>135</v>
      </c>
      <c r="D16" s="21" t="s">
        <v>136</v>
      </c>
      <c r="E16" s="22" t="s">
        <v>34</v>
      </c>
      <c r="F16" s="21" t="s">
        <v>137</v>
      </c>
      <c r="G16" s="21" t="s">
        <v>138</v>
      </c>
      <c r="H16" s="22" t="s">
        <v>139</v>
      </c>
      <c r="I16" s="25"/>
      <c r="J16" s="25"/>
      <c r="K16" s="22">
        <v>1600.0</v>
      </c>
      <c r="L16" s="20">
        <v>46092.0</v>
      </c>
      <c r="M16" s="22" t="s">
        <v>64</v>
      </c>
      <c r="N16" s="23" t="s">
        <v>39</v>
      </c>
      <c r="O16" s="22" t="s">
        <v>140</v>
      </c>
      <c r="P16" s="22" t="s">
        <v>41</v>
      </c>
      <c r="Q16" s="21"/>
      <c r="R16" s="22" t="s">
        <v>141</v>
      </c>
      <c r="S16" s="25"/>
      <c r="T16" s="25"/>
      <c r="U16" s="25"/>
      <c r="V16" s="26">
        <v>20397.0</v>
      </c>
      <c r="W16" s="26">
        <v>21982.0</v>
      </c>
      <c r="X16" s="22">
        <v>14000.0</v>
      </c>
      <c r="Y16" s="22">
        <v>14000.0</v>
      </c>
      <c r="Z16" s="16">
        <f t="shared" si="1"/>
        <v>7982</v>
      </c>
      <c r="AA16" s="17">
        <f t="shared" si="3"/>
        <v>0</v>
      </c>
      <c r="AB16" s="22" t="s">
        <v>42</v>
      </c>
      <c r="AC16" s="21" t="s">
        <v>142</v>
      </c>
      <c r="AD16" s="27"/>
      <c r="AE16" s="27"/>
    </row>
    <row r="17" hidden="1">
      <c r="A17" s="21">
        <v>15.0</v>
      </c>
      <c r="B17" s="20">
        <v>45758.0</v>
      </c>
      <c r="C17" s="21" t="s">
        <v>143</v>
      </c>
      <c r="D17" s="21" t="s">
        <v>144</v>
      </c>
      <c r="E17" s="22" t="s">
        <v>69</v>
      </c>
      <c r="F17" s="21" t="s">
        <v>145</v>
      </c>
      <c r="G17" s="21" t="s">
        <v>146</v>
      </c>
      <c r="H17" s="22">
        <v>7.600253566E9</v>
      </c>
      <c r="I17" s="22">
        <v>7.600598533E9</v>
      </c>
      <c r="J17" s="22"/>
      <c r="K17" s="22">
        <v>1197.0</v>
      </c>
      <c r="L17" s="20">
        <v>46123.0</v>
      </c>
      <c r="M17" s="22" t="s">
        <v>147</v>
      </c>
      <c r="N17" s="23" t="s">
        <v>81</v>
      </c>
      <c r="O17" s="22" t="s">
        <v>40</v>
      </c>
      <c r="P17" s="22" t="s">
        <v>41</v>
      </c>
      <c r="Q17" s="21"/>
      <c r="R17" s="28">
        <v>50324.0</v>
      </c>
      <c r="S17" s="24">
        <v>46153.0</v>
      </c>
      <c r="T17" s="25"/>
      <c r="U17" s="25"/>
      <c r="V17" s="26">
        <v>4106.0</v>
      </c>
      <c r="W17" s="26">
        <v>4845.0</v>
      </c>
      <c r="X17" s="22">
        <v>4800.0</v>
      </c>
      <c r="Y17" s="22">
        <v>4800.0</v>
      </c>
      <c r="Z17" s="16">
        <f t="shared" si="1"/>
        <v>45</v>
      </c>
      <c r="AA17" s="17">
        <f t="shared" si="3"/>
        <v>0</v>
      </c>
      <c r="AB17" s="22" t="s">
        <v>42</v>
      </c>
      <c r="AC17" s="21" t="s">
        <v>148</v>
      </c>
      <c r="AD17" s="27"/>
      <c r="AE17" s="27"/>
    </row>
    <row r="18" hidden="1">
      <c r="A18" s="19">
        <v>16.0</v>
      </c>
      <c r="B18" s="20">
        <v>45758.0</v>
      </c>
      <c r="C18" s="21" t="s">
        <v>149</v>
      </c>
      <c r="D18" s="21" t="s">
        <v>150</v>
      </c>
      <c r="E18" s="22" t="s">
        <v>86</v>
      </c>
      <c r="F18" s="21" t="s">
        <v>151</v>
      </c>
      <c r="G18" s="21" t="s">
        <v>152</v>
      </c>
      <c r="H18" s="22">
        <v>9.879515715E9</v>
      </c>
      <c r="I18" s="25"/>
      <c r="J18" s="25"/>
      <c r="K18" s="22">
        <v>28000.0</v>
      </c>
      <c r="L18" s="20">
        <v>46064.0</v>
      </c>
      <c r="M18" s="22" t="s">
        <v>153</v>
      </c>
      <c r="N18" s="23" t="s">
        <v>39</v>
      </c>
      <c r="O18" s="22" t="s">
        <v>48</v>
      </c>
      <c r="P18" s="22" t="s">
        <v>57</v>
      </c>
      <c r="Q18" s="21"/>
      <c r="R18" s="24">
        <v>46092.0</v>
      </c>
      <c r="S18" s="25"/>
      <c r="T18" s="25"/>
      <c r="U18" s="25"/>
      <c r="V18" s="22">
        <v>48200.35</v>
      </c>
      <c r="W18" s="22">
        <v>51162.91</v>
      </c>
      <c r="X18" s="22">
        <v>46000.0</v>
      </c>
      <c r="Y18" s="22">
        <v>46000.0</v>
      </c>
      <c r="Z18" s="42">
        <f t="shared" si="1"/>
        <v>5162.91</v>
      </c>
      <c r="AA18" s="17">
        <f t="shared" si="3"/>
        <v>0</v>
      </c>
      <c r="AB18" s="22" t="s">
        <v>42</v>
      </c>
      <c r="AC18" s="21" t="s">
        <v>154</v>
      </c>
      <c r="AD18" s="27"/>
      <c r="AE18" s="27"/>
    </row>
    <row r="19" hidden="1">
      <c r="A19" s="21">
        <v>17.0</v>
      </c>
      <c r="B19" s="30">
        <v>45758.0</v>
      </c>
      <c r="C19" s="31" t="s">
        <v>155</v>
      </c>
      <c r="D19" s="43" t="s">
        <v>156</v>
      </c>
      <c r="E19" s="32" t="s">
        <v>157</v>
      </c>
      <c r="F19" s="43" t="s">
        <v>158</v>
      </c>
      <c r="G19" s="43" t="s">
        <v>159</v>
      </c>
      <c r="H19" s="32">
        <v>9.727046299E9</v>
      </c>
      <c r="I19" s="32">
        <v>9.510842199E9</v>
      </c>
      <c r="J19" s="32"/>
      <c r="K19" s="32">
        <v>2825.0</v>
      </c>
      <c r="L19" s="30">
        <v>46123.0</v>
      </c>
      <c r="M19" s="32" t="s">
        <v>98</v>
      </c>
      <c r="N19" s="33" t="s">
        <v>39</v>
      </c>
      <c r="O19" s="32" t="s">
        <v>48</v>
      </c>
      <c r="P19" s="32" t="s">
        <v>41</v>
      </c>
      <c r="Q19" s="31"/>
      <c r="R19" s="32" t="s">
        <v>160</v>
      </c>
      <c r="S19" s="32" t="s">
        <v>161</v>
      </c>
      <c r="T19" s="35"/>
      <c r="U19" s="35"/>
      <c r="V19" s="44">
        <v>20115.0</v>
      </c>
      <c r="W19" s="44">
        <v>21649.0</v>
      </c>
      <c r="X19" s="32">
        <v>15086.0</v>
      </c>
      <c r="Y19" s="32">
        <v>14700.0</v>
      </c>
      <c r="Z19" s="38">
        <f t="shared" si="1"/>
        <v>6949</v>
      </c>
      <c r="AA19" s="17">
        <f t="shared" si="3"/>
        <v>-386</v>
      </c>
      <c r="AB19" s="32" t="s">
        <v>42</v>
      </c>
      <c r="AC19" s="43" t="s">
        <v>162</v>
      </c>
      <c r="AD19" s="39"/>
      <c r="AE19" s="39"/>
      <c r="AF19" s="40"/>
      <c r="AG19" s="40"/>
    </row>
    <row r="20" hidden="1">
      <c r="A20" s="21">
        <v>18.0</v>
      </c>
      <c r="B20" s="30">
        <v>45758.0</v>
      </c>
      <c r="C20" s="43" t="s">
        <v>163</v>
      </c>
      <c r="D20" s="43" t="s">
        <v>164</v>
      </c>
      <c r="E20" s="32" t="s">
        <v>86</v>
      </c>
      <c r="F20" s="43" t="s">
        <v>165</v>
      </c>
      <c r="G20" s="43" t="s">
        <v>166</v>
      </c>
      <c r="H20" s="32">
        <v>7.98467355E9</v>
      </c>
      <c r="I20" s="35"/>
      <c r="J20" s="35"/>
      <c r="K20" s="32">
        <v>35000.0</v>
      </c>
      <c r="L20" s="45">
        <v>46123.0</v>
      </c>
      <c r="M20" s="32" t="s">
        <v>167</v>
      </c>
      <c r="N20" s="33" t="s">
        <v>39</v>
      </c>
      <c r="O20" s="32" t="s">
        <v>140</v>
      </c>
      <c r="P20" s="32" t="s">
        <v>41</v>
      </c>
      <c r="Q20" s="31"/>
      <c r="R20" s="32" t="s">
        <v>168</v>
      </c>
      <c r="S20" s="34">
        <v>46147.0</v>
      </c>
      <c r="T20" s="32" t="s">
        <v>169</v>
      </c>
      <c r="U20" s="35"/>
      <c r="V20" s="44">
        <v>46890.82</v>
      </c>
      <c r="W20" s="46">
        <v>49618.0</v>
      </c>
      <c r="X20" s="32">
        <v>40613.0</v>
      </c>
      <c r="Y20" s="32">
        <v>42000.0</v>
      </c>
      <c r="Z20" s="47">
        <f t="shared" si="1"/>
        <v>7618</v>
      </c>
      <c r="AA20" s="17">
        <f t="shared" si="3"/>
        <v>1387</v>
      </c>
      <c r="AB20" s="32" t="s">
        <v>42</v>
      </c>
      <c r="AC20" s="43" t="s">
        <v>170</v>
      </c>
      <c r="AD20" s="39"/>
      <c r="AE20" s="39"/>
      <c r="AF20" s="40"/>
      <c r="AG20" s="40"/>
    </row>
    <row r="21" hidden="1">
      <c r="A21" s="19">
        <v>19.0</v>
      </c>
      <c r="B21" s="30">
        <v>45758.0</v>
      </c>
      <c r="C21" s="43" t="s">
        <v>171</v>
      </c>
      <c r="D21" s="43" t="s">
        <v>172</v>
      </c>
      <c r="E21" s="32" t="s">
        <v>86</v>
      </c>
      <c r="F21" s="43" t="s">
        <v>173</v>
      </c>
      <c r="G21" s="43" t="s">
        <v>174</v>
      </c>
      <c r="H21" s="32">
        <v>9.265178277E9</v>
      </c>
      <c r="I21" s="35"/>
      <c r="J21" s="35"/>
      <c r="K21" s="32">
        <v>16020.0</v>
      </c>
      <c r="L21" s="45">
        <v>46123.0</v>
      </c>
      <c r="M21" s="32" t="s">
        <v>167</v>
      </c>
      <c r="N21" s="33" t="s">
        <v>39</v>
      </c>
      <c r="O21" s="32" t="s">
        <v>48</v>
      </c>
      <c r="P21" s="32" t="s">
        <v>41</v>
      </c>
      <c r="Q21" s="31"/>
      <c r="R21" s="34">
        <v>46093.0</v>
      </c>
      <c r="S21" s="32" t="s">
        <v>175</v>
      </c>
      <c r="T21" s="32" t="s">
        <v>176</v>
      </c>
      <c r="U21" s="35"/>
      <c r="V21" s="44">
        <v>40130.36</v>
      </c>
      <c r="W21" s="46">
        <v>42763.0</v>
      </c>
      <c r="X21" s="37">
        <v>37320.0</v>
      </c>
      <c r="Y21" s="37">
        <v>36500.0</v>
      </c>
      <c r="Z21" s="48">
        <f t="shared" si="1"/>
        <v>6263</v>
      </c>
      <c r="AA21" s="17">
        <f t="shared" si="3"/>
        <v>-820</v>
      </c>
      <c r="AB21" s="32" t="s">
        <v>42</v>
      </c>
      <c r="AC21" s="43" t="s">
        <v>177</v>
      </c>
      <c r="AD21" s="39"/>
      <c r="AE21" s="39"/>
      <c r="AF21" s="40"/>
      <c r="AG21" s="40"/>
    </row>
    <row r="22" hidden="1">
      <c r="A22" s="21">
        <v>20.0</v>
      </c>
      <c r="B22" s="49">
        <v>45758.0</v>
      </c>
      <c r="C22" s="50" t="s">
        <v>178</v>
      </c>
      <c r="D22" s="51">
        <v>6.203694082E9</v>
      </c>
      <c r="E22" s="22" t="s">
        <v>69</v>
      </c>
      <c r="F22" s="50" t="s">
        <v>179</v>
      </c>
      <c r="G22" s="50" t="s">
        <v>180</v>
      </c>
      <c r="H22" s="22">
        <v>9.978498222E9</v>
      </c>
      <c r="I22" s="22">
        <v>9.909281565E9</v>
      </c>
      <c r="J22" s="22"/>
      <c r="K22" s="22">
        <v>998.0</v>
      </c>
      <c r="L22" s="52">
        <v>46092.0</v>
      </c>
      <c r="M22" s="22" t="s">
        <v>56</v>
      </c>
      <c r="N22" s="23" t="s">
        <v>181</v>
      </c>
      <c r="O22" s="22" t="s">
        <v>48</v>
      </c>
      <c r="P22" s="22" t="s">
        <v>41</v>
      </c>
      <c r="Q22" s="21"/>
      <c r="R22" s="24">
        <v>50628.0</v>
      </c>
      <c r="S22" s="24">
        <v>46145.0</v>
      </c>
      <c r="T22" s="25"/>
      <c r="U22" s="25"/>
      <c r="V22" s="53">
        <v>5696.0</v>
      </c>
      <c r="W22" s="54">
        <v>6859.0</v>
      </c>
      <c r="X22" s="29">
        <v>6869.0</v>
      </c>
      <c r="Y22" s="29">
        <v>6869.0</v>
      </c>
      <c r="Z22" s="17">
        <f t="shared" si="1"/>
        <v>-10</v>
      </c>
      <c r="AA22" s="17">
        <f t="shared" si="3"/>
        <v>0</v>
      </c>
      <c r="AB22" s="22" t="s">
        <v>42</v>
      </c>
      <c r="AC22" s="50" t="s">
        <v>182</v>
      </c>
      <c r="AD22" s="27"/>
      <c r="AE22" s="27"/>
    </row>
    <row r="23" hidden="1">
      <c r="A23" s="21">
        <v>21.0</v>
      </c>
      <c r="B23" s="20">
        <v>45788.0</v>
      </c>
      <c r="C23" s="50" t="s">
        <v>183</v>
      </c>
      <c r="D23" s="50" t="s">
        <v>184</v>
      </c>
      <c r="E23" s="22" t="s">
        <v>86</v>
      </c>
      <c r="F23" s="50" t="s">
        <v>185</v>
      </c>
      <c r="G23" s="50" t="s">
        <v>186</v>
      </c>
      <c r="H23" s="22">
        <v>9.913052068E9</v>
      </c>
      <c r="I23" s="25"/>
      <c r="J23" s="25"/>
      <c r="K23" s="22">
        <v>28000.0</v>
      </c>
      <c r="L23" s="55">
        <v>46123.0</v>
      </c>
      <c r="M23" s="22" t="s">
        <v>98</v>
      </c>
      <c r="N23" s="23" t="s">
        <v>81</v>
      </c>
      <c r="O23" s="22" t="s">
        <v>140</v>
      </c>
      <c r="P23" s="22" t="s">
        <v>187</v>
      </c>
      <c r="Q23" s="21"/>
      <c r="R23" s="24">
        <v>46184.0</v>
      </c>
      <c r="S23" s="24">
        <v>46147.0</v>
      </c>
      <c r="T23" s="24">
        <v>46936.0</v>
      </c>
      <c r="U23" s="25"/>
      <c r="V23" s="53">
        <v>44100.0</v>
      </c>
      <c r="W23" s="53">
        <v>46325.0</v>
      </c>
      <c r="X23" s="22">
        <v>29500.0</v>
      </c>
      <c r="Y23" s="22">
        <v>28000.0</v>
      </c>
      <c r="Z23" s="42">
        <f t="shared" si="1"/>
        <v>18325</v>
      </c>
      <c r="AA23" s="17">
        <f t="shared" si="3"/>
        <v>-1500</v>
      </c>
      <c r="AB23" s="22" t="s">
        <v>42</v>
      </c>
      <c r="AC23" s="50" t="s">
        <v>188</v>
      </c>
      <c r="AD23" s="27"/>
      <c r="AE23" s="27"/>
    </row>
    <row r="24" hidden="1">
      <c r="A24" s="19">
        <v>22.0</v>
      </c>
      <c r="B24" s="20">
        <v>45788.0</v>
      </c>
      <c r="C24" s="50" t="s">
        <v>189</v>
      </c>
      <c r="D24" s="50" t="s">
        <v>190</v>
      </c>
      <c r="E24" s="22" t="s">
        <v>69</v>
      </c>
      <c r="F24" s="50" t="s">
        <v>191</v>
      </c>
      <c r="G24" s="50" t="s">
        <v>192</v>
      </c>
      <c r="H24" s="22">
        <v>9.825820021E9</v>
      </c>
      <c r="I24" s="22">
        <v>8.320392568E9</v>
      </c>
      <c r="J24" s="22"/>
      <c r="K24" s="22">
        <v>1497.0</v>
      </c>
      <c r="L24" s="52">
        <v>46153.0</v>
      </c>
      <c r="M24" s="22" t="s">
        <v>147</v>
      </c>
      <c r="N24" s="23" t="s">
        <v>39</v>
      </c>
      <c r="O24" s="22" t="s">
        <v>48</v>
      </c>
      <c r="P24" s="22" t="s">
        <v>41</v>
      </c>
      <c r="Q24" s="21"/>
      <c r="R24" s="28">
        <v>49624.0</v>
      </c>
      <c r="S24" s="22" t="s">
        <v>193</v>
      </c>
      <c r="T24" s="25"/>
      <c r="U24" s="25"/>
      <c r="V24" s="56">
        <v>12118.0</v>
      </c>
      <c r="W24" s="56">
        <v>14299.0</v>
      </c>
      <c r="X24" s="22">
        <v>14299.0</v>
      </c>
      <c r="Y24" s="22">
        <v>14299.0</v>
      </c>
      <c r="Z24" s="16">
        <f t="shared" si="1"/>
        <v>0</v>
      </c>
      <c r="AA24" s="17">
        <f t="shared" si="3"/>
        <v>0</v>
      </c>
      <c r="AB24" s="22" t="s">
        <v>42</v>
      </c>
      <c r="AC24" s="50" t="s">
        <v>194</v>
      </c>
      <c r="AD24" s="27"/>
      <c r="AE24" s="27"/>
    </row>
    <row r="25" hidden="1">
      <c r="A25" s="21">
        <v>23.0</v>
      </c>
      <c r="B25" s="20">
        <v>45788.0</v>
      </c>
      <c r="C25" s="21" t="s">
        <v>195</v>
      </c>
      <c r="D25" s="50" t="s">
        <v>196</v>
      </c>
      <c r="E25" s="22" t="s">
        <v>69</v>
      </c>
      <c r="F25" s="50" t="s">
        <v>197</v>
      </c>
      <c r="G25" s="50" t="s">
        <v>198</v>
      </c>
      <c r="H25" s="22">
        <v>9.92572561E9</v>
      </c>
      <c r="I25" s="22">
        <v>9.427268583E9</v>
      </c>
      <c r="J25" s="22"/>
      <c r="K25" s="22">
        <v>1061.0</v>
      </c>
      <c r="L25" s="52">
        <v>46153.0</v>
      </c>
      <c r="M25" s="22" t="s">
        <v>199</v>
      </c>
      <c r="N25" s="23" t="s">
        <v>81</v>
      </c>
      <c r="O25" s="22" t="s">
        <v>48</v>
      </c>
      <c r="P25" s="22" t="s">
        <v>73</v>
      </c>
      <c r="Q25" s="21"/>
      <c r="R25" s="24">
        <v>46640.0</v>
      </c>
      <c r="S25" s="22" t="s">
        <v>200</v>
      </c>
      <c r="T25" s="25"/>
      <c r="U25" s="25"/>
      <c r="V25" s="22">
        <v>3476.0</v>
      </c>
      <c r="W25" s="22">
        <v>4102.0</v>
      </c>
      <c r="X25" s="22">
        <v>4000.0</v>
      </c>
      <c r="Y25" s="22">
        <v>4000.0</v>
      </c>
      <c r="Z25" s="42">
        <f t="shared" si="1"/>
        <v>102</v>
      </c>
      <c r="AA25" s="17">
        <f t="shared" si="3"/>
        <v>0</v>
      </c>
      <c r="AB25" s="22" t="s">
        <v>42</v>
      </c>
      <c r="AC25" s="50" t="s">
        <v>201</v>
      </c>
      <c r="AD25" s="27"/>
      <c r="AE25" s="27"/>
    </row>
    <row r="26" hidden="1">
      <c r="A26" s="21">
        <v>24.0</v>
      </c>
      <c r="B26" s="20">
        <v>45788.0</v>
      </c>
      <c r="C26" s="50" t="s">
        <v>202</v>
      </c>
      <c r="D26" s="50" t="s">
        <v>203</v>
      </c>
      <c r="E26" s="22" t="s">
        <v>69</v>
      </c>
      <c r="F26" s="50" t="s">
        <v>204</v>
      </c>
      <c r="G26" s="50" t="s">
        <v>205</v>
      </c>
      <c r="H26" s="22">
        <v>9.825218572E9</v>
      </c>
      <c r="I26" s="22">
        <v>9.978410572E9</v>
      </c>
      <c r="J26" s="22"/>
      <c r="K26" s="22">
        <v>1396.0</v>
      </c>
      <c r="L26" s="52">
        <v>46092.0</v>
      </c>
      <c r="M26" s="22" t="s">
        <v>167</v>
      </c>
      <c r="N26" s="23" t="s">
        <v>39</v>
      </c>
      <c r="O26" s="22" t="s">
        <v>40</v>
      </c>
      <c r="P26" s="22" t="s">
        <v>41</v>
      </c>
      <c r="Q26" s="21"/>
      <c r="R26" s="22" t="s">
        <v>206</v>
      </c>
      <c r="S26" s="24">
        <v>46331.0</v>
      </c>
      <c r="T26" s="25"/>
      <c r="U26" s="25"/>
      <c r="V26" s="53">
        <v>12200.0</v>
      </c>
      <c r="W26" s="53">
        <v>14397.0</v>
      </c>
      <c r="X26" s="22">
        <v>14398.0</v>
      </c>
      <c r="Y26" s="22">
        <v>14200.0</v>
      </c>
      <c r="Z26" s="42">
        <f t="shared" si="1"/>
        <v>197</v>
      </c>
      <c r="AA26" s="17">
        <f t="shared" si="3"/>
        <v>-198</v>
      </c>
      <c r="AB26" s="22" t="s">
        <v>42</v>
      </c>
      <c r="AC26" s="50" t="s">
        <v>207</v>
      </c>
      <c r="AD26" s="27"/>
      <c r="AE26" s="27"/>
    </row>
    <row r="27" hidden="1">
      <c r="A27" s="19">
        <v>25.0</v>
      </c>
      <c r="B27" s="20">
        <v>45788.0</v>
      </c>
      <c r="C27" s="50" t="s">
        <v>208</v>
      </c>
      <c r="D27" s="50" t="s">
        <v>209</v>
      </c>
      <c r="E27" s="22" t="s">
        <v>157</v>
      </c>
      <c r="F27" s="50" t="s">
        <v>210</v>
      </c>
      <c r="G27" s="50" t="s">
        <v>211</v>
      </c>
      <c r="H27" s="22">
        <v>9.664837223E9</v>
      </c>
      <c r="I27" s="25"/>
      <c r="J27" s="57"/>
      <c r="K27" s="54">
        <v>3425.0</v>
      </c>
      <c r="L27" s="52">
        <v>46092.0</v>
      </c>
      <c r="M27" s="22" t="s">
        <v>38</v>
      </c>
      <c r="N27" s="23" t="s">
        <v>39</v>
      </c>
      <c r="O27" s="22" t="s">
        <v>140</v>
      </c>
      <c r="P27" s="22" t="s">
        <v>41</v>
      </c>
      <c r="Q27" s="21"/>
      <c r="R27" s="22" t="s">
        <v>212</v>
      </c>
      <c r="S27" s="22" t="s">
        <v>213</v>
      </c>
      <c r="T27" s="25"/>
      <c r="U27" s="25"/>
      <c r="V27" s="56">
        <v>21564.0</v>
      </c>
      <c r="W27" s="56">
        <v>23340.0</v>
      </c>
      <c r="X27" s="29">
        <v>15883.0</v>
      </c>
      <c r="Y27" s="29">
        <v>16000.0</v>
      </c>
      <c r="Z27" s="16">
        <f t="shared" si="1"/>
        <v>7340</v>
      </c>
      <c r="AA27" s="17">
        <f t="shared" si="3"/>
        <v>117</v>
      </c>
      <c r="AB27" s="22" t="s">
        <v>42</v>
      </c>
      <c r="AC27" s="50" t="s">
        <v>214</v>
      </c>
      <c r="AD27" s="27"/>
      <c r="AE27" s="27"/>
    </row>
    <row r="28" hidden="1">
      <c r="A28" s="21">
        <v>26.0</v>
      </c>
      <c r="B28" s="20">
        <v>45788.0</v>
      </c>
      <c r="C28" s="50" t="s">
        <v>215</v>
      </c>
      <c r="D28" s="50" t="s">
        <v>216</v>
      </c>
      <c r="E28" s="22" t="s">
        <v>86</v>
      </c>
      <c r="F28" s="50" t="s">
        <v>217</v>
      </c>
      <c r="G28" s="50" t="s">
        <v>218</v>
      </c>
      <c r="H28" s="22">
        <v>9.913052068E9</v>
      </c>
      <c r="I28" s="25"/>
      <c r="J28" s="57"/>
      <c r="K28" s="53">
        <v>16200.0</v>
      </c>
      <c r="L28" s="52">
        <v>46153.0</v>
      </c>
      <c r="M28" s="22" t="s">
        <v>98</v>
      </c>
      <c r="N28" s="23" t="s">
        <v>81</v>
      </c>
      <c r="O28" s="22" t="s">
        <v>140</v>
      </c>
      <c r="P28" s="22" t="s">
        <v>187</v>
      </c>
      <c r="Q28" s="21"/>
      <c r="R28" s="28">
        <v>45638.0</v>
      </c>
      <c r="S28" s="24">
        <v>46147.0</v>
      </c>
      <c r="T28" s="24">
        <v>46880.0</v>
      </c>
      <c r="U28" s="25"/>
      <c r="V28" s="53">
        <v>35463.0</v>
      </c>
      <c r="W28" s="53">
        <v>37256.0</v>
      </c>
      <c r="X28" s="22">
        <v>25500.0</v>
      </c>
      <c r="Y28" s="22">
        <v>24000.0</v>
      </c>
      <c r="Z28" s="42">
        <f t="shared" si="1"/>
        <v>13256</v>
      </c>
      <c r="AA28" s="17">
        <f t="shared" si="3"/>
        <v>-1500</v>
      </c>
      <c r="AB28" s="22" t="s">
        <v>42</v>
      </c>
      <c r="AC28" s="50" t="s">
        <v>188</v>
      </c>
      <c r="AD28" s="27"/>
      <c r="AE28" s="27"/>
    </row>
    <row r="29" hidden="1">
      <c r="A29" s="21">
        <v>27.0</v>
      </c>
      <c r="B29" s="20">
        <v>45788.0</v>
      </c>
      <c r="C29" s="50" t="s">
        <v>219</v>
      </c>
      <c r="D29" s="50" t="s">
        <v>220</v>
      </c>
      <c r="E29" s="22" t="s">
        <v>86</v>
      </c>
      <c r="F29" s="50" t="s">
        <v>221</v>
      </c>
      <c r="G29" s="50" t="s">
        <v>222</v>
      </c>
      <c r="H29" s="22">
        <v>9.824486786E9</v>
      </c>
      <c r="I29" s="22">
        <v>9.979450492E9</v>
      </c>
      <c r="J29" s="22"/>
      <c r="K29" s="22">
        <v>35000.0</v>
      </c>
      <c r="L29" s="20">
        <v>46184.0</v>
      </c>
      <c r="M29" s="22" t="s">
        <v>98</v>
      </c>
      <c r="N29" s="23" t="s">
        <v>81</v>
      </c>
      <c r="O29" s="22" t="s">
        <v>223</v>
      </c>
      <c r="P29" s="22" t="s">
        <v>187</v>
      </c>
      <c r="Q29" s="22"/>
      <c r="R29" s="24">
        <v>46207.0</v>
      </c>
      <c r="S29" s="22" t="s">
        <v>224</v>
      </c>
      <c r="T29" s="22" t="s">
        <v>225</v>
      </c>
      <c r="U29" s="25"/>
      <c r="V29" s="53">
        <v>44100.0</v>
      </c>
      <c r="W29" s="53">
        <v>46325.0</v>
      </c>
      <c r="X29" s="22">
        <v>28500.0</v>
      </c>
      <c r="Y29" s="22">
        <v>27500.0</v>
      </c>
      <c r="Z29" s="42">
        <f t="shared" si="1"/>
        <v>18825</v>
      </c>
      <c r="AA29" s="17">
        <f t="shared" si="3"/>
        <v>-1000</v>
      </c>
      <c r="AB29" s="22" t="s">
        <v>42</v>
      </c>
      <c r="AC29" s="50" t="s">
        <v>226</v>
      </c>
      <c r="AD29" s="27"/>
      <c r="AE29" s="27"/>
    </row>
    <row r="30" hidden="1">
      <c r="A30" s="19">
        <v>28.0</v>
      </c>
      <c r="B30" s="20">
        <v>45819.0</v>
      </c>
      <c r="C30" s="50" t="s">
        <v>227</v>
      </c>
      <c r="D30" s="50" t="s">
        <v>228</v>
      </c>
      <c r="E30" s="22" t="s">
        <v>69</v>
      </c>
      <c r="F30" s="50" t="s">
        <v>229</v>
      </c>
      <c r="G30" s="50" t="s">
        <v>230</v>
      </c>
      <c r="H30" s="22">
        <v>7.622018951E9</v>
      </c>
      <c r="I30" s="22">
        <v>9.687048257E9</v>
      </c>
      <c r="J30" s="22"/>
      <c r="K30" s="22">
        <v>2184.0</v>
      </c>
      <c r="L30" s="52">
        <v>46153.0</v>
      </c>
      <c r="M30" s="22" t="s">
        <v>167</v>
      </c>
      <c r="N30" s="23" t="s">
        <v>181</v>
      </c>
      <c r="O30" s="22" t="s">
        <v>140</v>
      </c>
      <c r="P30" s="22" t="s">
        <v>41</v>
      </c>
      <c r="Q30" s="21"/>
      <c r="R30" s="24">
        <v>50839.0</v>
      </c>
      <c r="S30" s="24">
        <v>46123.0</v>
      </c>
      <c r="T30" s="25"/>
      <c r="U30" s="25"/>
      <c r="V30" s="53">
        <v>15335.97</v>
      </c>
      <c r="W30" s="53">
        <v>18096.0</v>
      </c>
      <c r="X30" s="22">
        <v>18500.0</v>
      </c>
      <c r="Y30" s="22">
        <v>18500.0</v>
      </c>
      <c r="Z30" s="42">
        <f t="shared" si="1"/>
        <v>-404</v>
      </c>
      <c r="AA30" s="17">
        <f t="shared" si="3"/>
        <v>0</v>
      </c>
      <c r="AB30" s="22" t="s">
        <v>42</v>
      </c>
      <c r="AC30" s="50" t="s">
        <v>231</v>
      </c>
      <c r="AD30" s="27"/>
      <c r="AE30" s="27"/>
    </row>
    <row r="31" hidden="1">
      <c r="A31" s="21">
        <v>29.0</v>
      </c>
      <c r="B31" s="20">
        <v>45819.0</v>
      </c>
      <c r="C31" s="50" t="s">
        <v>232</v>
      </c>
      <c r="D31" s="50" t="s">
        <v>233</v>
      </c>
      <c r="E31" s="22" t="s">
        <v>69</v>
      </c>
      <c r="F31" s="50" t="s">
        <v>234</v>
      </c>
      <c r="G31" s="50" t="s">
        <v>235</v>
      </c>
      <c r="H31" s="22">
        <v>9.727594866E9</v>
      </c>
      <c r="I31" s="22">
        <v>6.359038105E9</v>
      </c>
      <c r="J31" s="53"/>
      <c r="K31" s="53">
        <v>1086.0</v>
      </c>
      <c r="L31" s="52">
        <v>46153.0</v>
      </c>
      <c r="M31" s="22" t="s">
        <v>153</v>
      </c>
      <c r="N31" s="23" t="s">
        <v>81</v>
      </c>
      <c r="O31" s="22" t="s">
        <v>236</v>
      </c>
      <c r="P31" s="22" t="s">
        <v>73</v>
      </c>
      <c r="Q31" s="21"/>
      <c r="R31" s="22" t="s">
        <v>237</v>
      </c>
      <c r="S31" s="28">
        <v>46023.0</v>
      </c>
      <c r="T31" s="25"/>
      <c r="U31" s="25"/>
      <c r="V31" s="53">
        <v>3806.0</v>
      </c>
      <c r="W31" s="53">
        <v>4491.08</v>
      </c>
      <c r="X31" s="22">
        <v>4500.0</v>
      </c>
      <c r="Y31" s="22">
        <v>4300.0</v>
      </c>
      <c r="Z31" s="42">
        <f t="shared" si="1"/>
        <v>191.08</v>
      </c>
      <c r="AA31" s="17">
        <f t="shared" si="3"/>
        <v>-200</v>
      </c>
      <c r="AB31" s="22" t="s">
        <v>42</v>
      </c>
      <c r="AC31" s="50" t="s">
        <v>238</v>
      </c>
      <c r="AD31" s="27"/>
      <c r="AE31" s="27"/>
    </row>
    <row r="32" hidden="1">
      <c r="A32" s="21">
        <v>30.0</v>
      </c>
      <c r="B32" s="20">
        <v>45819.0</v>
      </c>
      <c r="C32" s="50" t="s">
        <v>239</v>
      </c>
      <c r="D32" s="50" t="s">
        <v>240</v>
      </c>
      <c r="E32" s="22" t="s">
        <v>53</v>
      </c>
      <c r="F32" s="50" t="s">
        <v>241</v>
      </c>
      <c r="G32" s="50" t="s">
        <v>242</v>
      </c>
      <c r="H32" s="22">
        <v>8.849108179E9</v>
      </c>
      <c r="I32" s="22">
        <v>9.327688447E9</v>
      </c>
      <c r="J32" s="22"/>
      <c r="K32" s="22">
        <v>756.0</v>
      </c>
      <c r="L32" s="20">
        <v>46184.0</v>
      </c>
      <c r="M32" s="22" t="s">
        <v>153</v>
      </c>
      <c r="N32" s="23" t="s">
        <v>39</v>
      </c>
      <c r="O32" s="22" t="s">
        <v>48</v>
      </c>
      <c r="P32" s="22" t="s">
        <v>57</v>
      </c>
      <c r="Q32" s="21"/>
      <c r="R32" s="24">
        <v>46362.0</v>
      </c>
      <c r="S32" s="24">
        <v>46123.0</v>
      </c>
      <c r="T32" s="22" t="s">
        <v>243</v>
      </c>
      <c r="U32" s="25"/>
      <c r="V32" s="53">
        <v>6083.0</v>
      </c>
      <c r="W32" s="53">
        <v>7177.94</v>
      </c>
      <c r="X32" s="22">
        <v>6500.0</v>
      </c>
      <c r="Y32" s="22">
        <v>6500.0</v>
      </c>
      <c r="Z32" s="42">
        <f t="shared" si="1"/>
        <v>677.94</v>
      </c>
      <c r="AA32" s="17">
        <f t="shared" si="3"/>
        <v>0</v>
      </c>
      <c r="AB32" s="22" t="s">
        <v>42</v>
      </c>
      <c r="AC32" s="50" t="s">
        <v>244</v>
      </c>
      <c r="AD32" s="27"/>
      <c r="AE32" s="27"/>
    </row>
    <row r="33" hidden="1">
      <c r="A33" s="19">
        <v>31.0</v>
      </c>
      <c r="B33" s="20">
        <v>45819.0</v>
      </c>
      <c r="C33" s="50" t="s">
        <v>245</v>
      </c>
      <c r="D33" s="50" t="s">
        <v>246</v>
      </c>
      <c r="E33" s="22" t="s">
        <v>69</v>
      </c>
      <c r="F33" s="50" t="s">
        <v>247</v>
      </c>
      <c r="G33" s="50" t="s">
        <v>248</v>
      </c>
      <c r="H33" s="22">
        <v>7.990900275E9</v>
      </c>
      <c r="I33" s="25"/>
      <c r="J33" s="25"/>
      <c r="K33" s="22">
        <v>1196.0</v>
      </c>
      <c r="L33" s="52">
        <v>46184.0</v>
      </c>
      <c r="M33" s="22" t="s">
        <v>249</v>
      </c>
      <c r="N33" s="23" t="s">
        <v>81</v>
      </c>
      <c r="O33" s="22" t="s">
        <v>140</v>
      </c>
      <c r="P33" s="22" t="s">
        <v>73</v>
      </c>
      <c r="Q33" s="21"/>
      <c r="R33" s="22" t="s">
        <v>250</v>
      </c>
      <c r="S33" s="22" t="s">
        <v>251</v>
      </c>
      <c r="T33" s="25"/>
      <c r="U33" s="25"/>
      <c r="V33" s="53">
        <v>3476.0</v>
      </c>
      <c r="W33" s="53">
        <v>4101.68</v>
      </c>
      <c r="X33" s="22">
        <v>4000.0</v>
      </c>
      <c r="Y33" s="22">
        <v>4000.0</v>
      </c>
      <c r="Z33" s="42">
        <f t="shared" si="1"/>
        <v>101.68</v>
      </c>
      <c r="AA33" s="17">
        <f t="shared" si="3"/>
        <v>0</v>
      </c>
      <c r="AB33" s="22" t="s">
        <v>42</v>
      </c>
      <c r="AC33" s="50" t="s">
        <v>252</v>
      </c>
      <c r="AD33" s="27"/>
      <c r="AE33" s="27"/>
    </row>
    <row r="34" hidden="1">
      <c r="A34" s="21">
        <v>32.0</v>
      </c>
      <c r="B34" s="20">
        <v>45819.0</v>
      </c>
      <c r="C34" s="50" t="s">
        <v>253</v>
      </c>
      <c r="D34" s="50" t="s">
        <v>254</v>
      </c>
      <c r="E34" s="22" t="s">
        <v>255</v>
      </c>
      <c r="F34" s="50" t="s">
        <v>256</v>
      </c>
      <c r="G34" s="50" t="s">
        <v>257</v>
      </c>
      <c r="H34" s="22">
        <v>6.352886233E9</v>
      </c>
      <c r="I34" s="22">
        <v>9.714231016E9</v>
      </c>
      <c r="J34" s="22"/>
      <c r="K34" s="22">
        <v>995.0</v>
      </c>
      <c r="L34" s="52">
        <v>46214.0</v>
      </c>
      <c r="M34" s="22" t="s">
        <v>258</v>
      </c>
      <c r="N34" s="23" t="s">
        <v>39</v>
      </c>
      <c r="O34" s="22" t="s">
        <v>259</v>
      </c>
      <c r="P34" s="22" t="s">
        <v>57</v>
      </c>
      <c r="Q34" s="22"/>
      <c r="R34" s="24">
        <v>46245.0</v>
      </c>
      <c r="S34" s="24">
        <v>45880.0</v>
      </c>
      <c r="T34" s="25"/>
      <c r="U34" s="25"/>
      <c r="V34" s="56">
        <v>5418.0</v>
      </c>
      <c r="W34" s="56">
        <v>5802.0</v>
      </c>
      <c r="X34" s="22">
        <v>5000.0</v>
      </c>
      <c r="Y34" s="22">
        <v>5000.0</v>
      </c>
      <c r="Z34" s="16">
        <f t="shared" si="1"/>
        <v>802</v>
      </c>
      <c r="AA34" s="17">
        <f t="shared" si="3"/>
        <v>0</v>
      </c>
      <c r="AB34" s="22" t="s">
        <v>42</v>
      </c>
      <c r="AC34" s="50" t="s">
        <v>260</v>
      </c>
      <c r="AD34" s="27"/>
      <c r="AE34" s="27"/>
    </row>
    <row r="35" ht="21.75" hidden="1" customHeight="1">
      <c r="A35" s="21">
        <v>33.0</v>
      </c>
      <c r="B35" s="20">
        <v>45819.0</v>
      </c>
      <c r="C35" s="50" t="s">
        <v>261</v>
      </c>
      <c r="D35" s="50" t="s">
        <v>262</v>
      </c>
      <c r="E35" s="22" t="s">
        <v>157</v>
      </c>
      <c r="F35" s="50" t="s">
        <v>263</v>
      </c>
      <c r="G35" s="50" t="s">
        <v>264</v>
      </c>
      <c r="H35" s="22">
        <v>9.913309829E9</v>
      </c>
      <c r="I35" s="22">
        <v>7.984966463E9</v>
      </c>
      <c r="J35" s="22"/>
      <c r="K35" s="22">
        <v>1600.0</v>
      </c>
      <c r="L35" s="52">
        <v>46245.0</v>
      </c>
      <c r="M35" s="22" t="s">
        <v>265</v>
      </c>
      <c r="N35" s="23" t="s">
        <v>39</v>
      </c>
      <c r="O35" s="22" t="s">
        <v>140</v>
      </c>
      <c r="P35" s="22" t="s">
        <v>41</v>
      </c>
      <c r="Q35" s="21"/>
      <c r="R35" s="24">
        <v>46610.0</v>
      </c>
      <c r="S35" s="22" t="s">
        <v>266</v>
      </c>
      <c r="T35" s="25"/>
      <c r="U35" s="25"/>
      <c r="V35" s="53">
        <v>19273.0</v>
      </c>
      <c r="W35" s="53">
        <v>20655.0</v>
      </c>
      <c r="X35" s="22">
        <v>13898.0</v>
      </c>
      <c r="Y35" s="22">
        <v>14000.0</v>
      </c>
      <c r="Z35" s="42">
        <f t="shared" si="1"/>
        <v>6655</v>
      </c>
      <c r="AA35" s="17">
        <f t="shared" si="3"/>
        <v>102</v>
      </c>
      <c r="AB35" s="22" t="s">
        <v>42</v>
      </c>
      <c r="AC35" s="50" t="s">
        <v>267</v>
      </c>
      <c r="AD35" s="27"/>
      <c r="AE35" s="27"/>
    </row>
    <row r="36" hidden="1">
      <c r="A36" s="19">
        <v>34.0</v>
      </c>
      <c r="B36" s="20">
        <v>45819.0</v>
      </c>
      <c r="C36" s="50" t="s">
        <v>268</v>
      </c>
      <c r="D36" s="50" t="s">
        <v>269</v>
      </c>
      <c r="E36" s="22" t="s">
        <v>53</v>
      </c>
      <c r="F36" s="50" t="s">
        <v>270</v>
      </c>
      <c r="G36" s="50" t="s">
        <v>271</v>
      </c>
      <c r="H36" s="22">
        <v>9.825317437E9</v>
      </c>
      <c r="I36" s="22">
        <v>9.276352817E9</v>
      </c>
      <c r="J36" s="22"/>
      <c r="K36" s="22">
        <v>818.0</v>
      </c>
      <c r="L36" s="52">
        <v>46184.0</v>
      </c>
      <c r="M36" s="22" t="s">
        <v>56</v>
      </c>
      <c r="N36" s="23" t="s">
        <v>39</v>
      </c>
      <c r="O36" s="22" t="s">
        <v>48</v>
      </c>
      <c r="P36" s="22" t="s">
        <v>57</v>
      </c>
      <c r="Q36" s="21"/>
      <c r="R36" s="24">
        <v>46610.0</v>
      </c>
      <c r="S36" s="24">
        <v>46064.0</v>
      </c>
      <c r="T36" s="22" t="s">
        <v>272</v>
      </c>
      <c r="U36" s="25"/>
      <c r="V36" s="53">
        <v>6328.0</v>
      </c>
      <c r="W36" s="53">
        <v>7468.0</v>
      </c>
      <c r="X36" s="22">
        <v>6500.0</v>
      </c>
      <c r="Y36" s="22">
        <v>6200.0</v>
      </c>
      <c r="Z36" s="42">
        <f t="shared" si="1"/>
        <v>1268</v>
      </c>
      <c r="AA36" s="17">
        <f t="shared" si="3"/>
        <v>-300</v>
      </c>
      <c r="AB36" s="22" t="s">
        <v>42</v>
      </c>
      <c r="AC36" s="50" t="s">
        <v>273</v>
      </c>
      <c r="AD36" s="27"/>
      <c r="AE36" s="27"/>
    </row>
    <row r="37" hidden="1">
      <c r="A37" s="21">
        <v>35.0</v>
      </c>
      <c r="B37" s="20">
        <v>45819.0</v>
      </c>
      <c r="C37" s="50" t="s">
        <v>274</v>
      </c>
      <c r="D37" s="50" t="s">
        <v>275</v>
      </c>
      <c r="E37" s="22" t="s">
        <v>276</v>
      </c>
      <c r="F37" s="50" t="s">
        <v>277</v>
      </c>
      <c r="G37" s="50" t="s">
        <v>278</v>
      </c>
      <c r="H37" s="22" t="s">
        <v>279</v>
      </c>
      <c r="I37" s="25"/>
      <c r="J37" s="25"/>
      <c r="K37" s="25"/>
      <c r="L37" s="52">
        <v>46153.0</v>
      </c>
      <c r="M37" s="22" t="s">
        <v>153</v>
      </c>
      <c r="N37" s="23" t="s">
        <v>81</v>
      </c>
      <c r="O37" s="22" t="s">
        <v>140</v>
      </c>
      <c r="P37" s="22" t="s">
        <v>73</v>
      </c>
      <c r="Q37" s="21"/>
      <c r="R37" s="22" t="s">
        <v>280</v>
      </c>
      <c r="S37" s="24">
        <v>46030.0</v>
      </c>
      <c r="T37" s="25"/>
      <c r="U37" s="25"/>
      <c r="V37" s="53">
        <v>714.0</v>
      </c>
      <c r="W37" s="53">
        <v>842.52</v>
      </c>
      <c r="X37" s="22">
        <v>850.0</v>
      </c>
      <c r="Y37" s="22">
        <v>800.0</v>
      </c>
      <c r="Z37" s="42">
        <f t="shared" si="1"/>
        <v>42.52</v>
      </c>
      <c r="AA37" s="17">
        <f t="shared" si="3"/>
        <v>-50</v>
      </c>
      <c r="AB37" s="22" t="s">
        <v>42</v>
      </c>
      <c r="AC37" s="50" t="s">
        <v>281</v>
      </c>
      <c r="AD37" s="27"/>
      <c r="AE37" s="27"/>
    </row>
    <row r="38" hidden="1">
      <c r="A38" s="21">
        <v>36.0</v>
      </c>
      <c r="B38" s="20">
        <v>45819.0</v>
      </c>
      <c r="C38" s="50" t="s">
        <v>282</v>
      </c>
      <c r="D38" s="50" t="s">
        <v>283</v>
      </c>
      <c r="E38" s="22" t="s">
        <v>276</v>
      </c>
      <c r="F38" s="50" t="s">
        <v>284</v>
      </c>
      <c r="G38" s="50" t="s">
        <v>285</v>
      </c>
      <c r="H38" s="22">
        <v>9.327783126E9</v>
      </c>
      <c r="I38" s="25"/>
      <c r="J38" s="25"/>
      <c r="K38" s="22">
        <v>121.0</v>
      </c>
      <c r="L38" s="52">
        <v>46214.0</v>
      </c>
      <c r="M38" s="22" t="s">
        <v>167</v>
      </c>
      <c r="N38" s="23" t="s">
        <v>181</v>
      </c>
      <c r="O38" s="22" t="s">
        <v>48</v>
      </c>
      <c r="P38" s="22" t="s">
        <v>73</v>
      </c>
      <c r="Q38" s="21"/>
      <c r="R38" s="24">
        <v>50567.0</v>
      </c>
      <c r="S38" s="25"/>
      <c r="T38" s="25"/>
      <c r="U38" s="25"/>
      <c r="V38" s="53">
        <v>815.95</v>
      </c>
      <c r="W38" s="53">
        <v>963.0</v>
      </c>
      <c r="X38" s="22">
        <v>1038.0</v>
      </c>
      <c r="Y38" s="22">
        <v>1038.0</v>
      </c>
      <c r="Z38" s="42">
        <f t="shared" si="1"/>
        <v>-75</v>
      </c>
      <c r="AA38" s="17">
        <f t="shared" si="3"/>
        <v>0</v>
      </c>
      <c r="AB38" s="22" t="s">
        <v>42</v>
      </c>
      <c r="AC38" s="50" t="s">
        <v>286</v>
      </c>
      <c r="AD38" s="27"/>
      <c r="AE38" s="27"/>
    </row>
    <row r="39" hidden="1">
      <c r="A39" s="19">
        <v>37.0</v>
      </c>
      <c r="B39" s="20">
        <v>45819.0</v>
      </c>
      <c r="C39" s="50" t="s">
        <v>287</v>
      </c>
      <c r="D39" s="50" t="s">
        <v>288</v>
      </c>
      <c r="E39" s="58" t="s">
        <v>86</v>
      </c>
      <c r="F39" s="50" t="s">
        <v>289</v>
      </c>
      <c r="G39" s="50" t="s">
        <v>290</v>
      </c>
      <c r="H39" s="22">
        <v>9.825295756E9</v>
      </c>
      <c r="I39" s="22">
        <v>8.200848447E9</v>
      </c>
      <c r="J39" s="53"/>
      <c r="K39" s="53">
        <v>7200.0</v>
      </c>
      <c r="L39" s="52">
        <v>46184.0</v>
      </c>
      <c r="M39" s="22" t="s">
        <v>98</v>
      </c>
      <c r="N39" s="23" t="s">
        <v>39</v>
      </c>
      <c r="O39" s="22" t="s">
        <v>140</v>
      </c>
      <c r="P39" s="22" t="s">
        <v>57</v>
      </c>
      <c r="Q39" s="21"/>
      <c r="R39" s="22" t="s">
        <v>212</v>
      </c>
      <c r="S39" s="24">
        <v>46084.0</v>
      </c>
      <c r="T39" s="24">
        <v>47704.0</v>
      </c>
      <c r="U39" s="25"/>
      <c r="V39" s="56">
        <v>18219.0</v>
      </c>
      <c r="W39" s="56">
        <v>19412.0</v>
      </c>
      <c r="X39" s="22">
        <v>17765.0</v>
      </c>
      <c r="Y39" s="22">
        <v>17500.0</v>
      </c>
      <c r="Z39" s="16">
        <f t="shared" si="1"/>
        <v>1912</v>
      </c>
      <c r="AA39" s="17">
        <f t="shared" si="3"/>
        <v>-265</v>
      </c>
      <c r="AB39" s="22" t="s">
        <v>42</v>
      </c>
      <c r="AC39" s="50" t="s">
        <v>291</v>
      </c>
      <c r="AD39" s="27"/>
      <c r="AE39" s="27"/>
    </row>
    <row r="40" hidden="1">
      <c r="A40" s="21">
        <v>38.0</v>
      </c>
      <c r="B40" s="20">
        <v>45849.0</v>
      </c>
      <c r="C40" s="50" t="s">
        <v>292</v>
      </c>
      <c r="D40" s="50" t="s">
        <v>293</v>
      </c>
      <c r="E40" s="22" t="s">
        <v>53</v>
      </c>
      <c r="F40" s="50" t="s">
        <v>270</v>
      </c>
      <c r="G40" s="50" t="s">
        <v>294</v>
      </c>
      <c r="H40" s="22" t="s">
        <v>295</v>
      </c>
      <c r="I40" s="22">
        <v>8.4900999E9</v>
      </c>
      <c r="J40" s="22"/>
      <c r="K40" s="22">
        <v>488.0</v>
      </c>
      <c r="L40" s="52">
        <v>46184.0</v>
      </c>
      <c r="M40" s="22" t="s">
        <v>56</v>
      </c>
      <c r="N40" s="23" t="s">
        <v>39</v>
      </c>
      <c r="O40" s="22" t="s">
        <v>140</v>
      </c>
      <c r="P40" s="22" t="s">
        <v>57</v>
      </c>
      <c r="Q40" s="21"/>
      <c r="R40" s="24">
        <v>45546.0</v>
      </c>
      <c r="S40" s="24">
        <v>45180.0</v>
      </c>
      <c r="T40" s="25"/>
      <c r="U40" s="25"/>
      <c r="V40" s="53">
        <v>6568.0</v>
      </c>
      <c r="W40" s="53">
        <v>7750.0</v>
      </c>
      <c r="X40" s="22">
        <v>6500.0</v>
      </c>
      <c r="Y40" s="22">
        <v>6500.0</v>
      </c>
      <c r="Z40" s="42">
        <f t="shared" si="1"/>
        <v>1250</v>
      </c>
      <c r="AA40" s="17">
        <f t="shared" si="3"/>
        <v>0</v>
      </c>
      <c r="AB40" s="22" t="s">
        <v>42</v>
      </c>
      <c r="AC40" s="50" t="s">
        <v>296</v>
      </c>
      <c r="AD40" s="21" t="s">
        <v>297</v>
      </c>
      <c r="AE40" s="27"/>
      <c r="AF40" s="59">
        <v>45881.0</v>
      </c>
      <c r="AG40" s="50" t="s">
        <v>298</v>
      </c>
    </row>
    <row r="41" hidden="1">
      <c r="A41" s="21">
        <v>39.0</v>
      </c>
      <c r="B41" s="20">
        <v>45849.0</v>
      </c>
      <c r="C41" s="50" t="s">
        <v>299</v>
      </c>
      <c r="D41" s="50" t="s">
        <v>300</v>
      </c>
      <c r="E41" s="22" t="s">
        <v>157</v>
      </c>
      <c r="F41" s="50" t="s">
        <v>301</v>
      </c>
      <c r="G41" s="50" t="s">
        <v>302</v>
      </c>
      <c r="H41" s="22">
        <v>9.974446653E9</v>
      </c>
      <c r="I41" s="22">
        <v>9.687021621E9</v>
      </c>
      <c r="J41" s="22"/>
      <c r="K41" s="22">
        <v>3460.0</v>
      </c>
      <c r="L41" s="52">
        <v>46214.0</v>
      </c>
      <c r="M41" s="22" t="s">
        <v>38</v>
      </c>
      <c r="N41" s="23" t="s">
        <v>39</v>
      </c>
      <c r="O41" s="22" t="s">
        <v>128</v>
      </c>
      <c r="P41" s="22" t="s">
        <v>41</v>
      </c>
      <c r="Q41" s="21"/>
      <c r="R41" s="24">
        <v>46641.0</v>
      </c>
      <c r="S41" s="22" t="s">
        <v>303</v>
      </c>
      <c r="T41" s="22" t="s">
        <v>304</v>
      </c>
      <c r="U41" s="25"/>
      <c r="V41" s="56">
        <v>21617.0</v>
      </c>
      <c r="W41" s="56">
        <v>23403.0</v>
      </c>
      <c r="X41" s="22">
        <v>15012.0</v>
      </c>
      <c r="Y41" s="22">
        <v>14300.0</v>
      </c>
      <c r="Z41" s="16">
        <f t="shared" si="1"/>
        <v>9103</v>
      </c>
      <c r="AA41" s="17">
        <f t="shared" si="3"/>
        <v>-712</v>
      </c>
      <c r="AB41" s="22" t="s">
        <v>42</v>
      </c>
      <c r="AC41" s="50" t="s">
        <v>305</v>
      </c>
      <c r="AD41" s="27"/>
      <c r="AE41" s="27"/>
    </row>
    <row r="42" hidden="1">
      <c r="A42" s="19">
        <v>40.0</v>
      </c>
      <c r="B42" s="20">
        <v>45849.0</v>
      </c>
      <c r="C42" s="50" t="s">
        <v>306</v>
      </c>
      <c r="D42" s="50" t="s">
        <v>307</v>
      </c>
      <c r="E42" s="22" t="s">
        <v>53</v>
      </c>
      <c r="F42" s="50" t="s">
        <v>308</v>
      </c>
      <c r="G42" s="50" t="s">
        <v>309</v>
      </c>
      <c r="H42" s="22">
        <v>9.724677305E9</v>
      </c>
      <c r="I42" s="22">
        <v>9.773029603E9</v>
      </c>
      <c r="J42" s="22"/>
      <c r="K42" s="22">
        <v>818.0</v>
      </c>
      <c r="L42" s="52">
        <v>46184.0</v>
      </c>
      <c r="M42" s="22" t="s">
        <v>310</v>
      </c>
      <c r="N42" s="23" t="s">
        <v>39</v>
      </c>
      <c r="O42" s="22" t="s">
        <v>311</v>
      </c>
      <c r="P42" s="22" t="s">
        <v>57</v>
      </c>
      <c r="Q42" s="21"/>
      <c r="R42" s="24">
        <v>46245.0</v>
      </c>
      <c r="S42" s="24">
        <v>45880.0</v>
      </c>
      <c r="T42" s="25"/>
      <c r="U42" s="25"/>
      <c r="V42" s="60">
        <v>7140.0</v>
      </c>
      <c r="W42" s="56">
        <v>8425.0</v>
      </c>
      <c r="X42" s="22">
        <v>7500.0</v>
      </c>
      <c r="Y42" s="22">
        <v>7200.0</v>
      </c>
      <c r="Z42" s="16">
        <f t="shared" si="1"/>
        <v>1225</v>
      </c>
      <c r="AA42" s="17">
        <f t="shared" si="3"/>
        <v>-300</v>
      </c>
      <c r="AB42" s="22" t="s">
        <v>42</v>
      </c>
      <c r="AC42" s="50" t="s">
        <v>312</v>
      </c>
      <c r="AD42" s="27"/>
      <c r="AE42" s="27"/>
    </row>
    <row r="43" hidden="1">
      <c r="A43" s="21">
        <v>41.0</v>
      </c>
      <c r="B43" s="20">
        <v>45880.0</v>
      </c>
      <c r="C43" s="50" t="s">
        <v>313</v>
      </c>
      <c r="D43" s="50" t="s">
        <v>314</v>
      </c>
      <c r="E43" s="22" t="s">
        <v>276</v>
      </c>
      <c r="F43" s="50" t="s">
        <v>315</v>
      </c>
      <c r="G43" s="50" t="s">
        <v>316</v>
      </c>
      <c r="H43" s="22" t="s">
        <v>317</v>
      </c>
      <c r="I43" s="25"/>
      <c r="J43" s="25"/>
      <c r="K43" s="22">
        <v>125.0</v>
      </c>
      <c r="L43" s="52">
        <v>46214.0</v>
      </c>
      <c r="M43" s="22" t="s">
        <v>167</v>
      </c>
      <c r="N43" s="23" t="s">
        <v>181</v>
      </c>
      <c r="O43" s="22" t="s">
        <v>48</v>
      </c>
      <c r="P43" s="22" t="s">
        <v>73</v>
      </c>
      <c r="Q43" s="21"/>
      <c r="R43" s="22" t="s">
        <v>318</v>
      </c>
      <c r="S43" s="22" t="s">
        <v>319</v>
      </c>
      <c r="T43" s="25"/>
      <c r="U43" s="25"/>
      <c r="V43" s="53">
        <v>377.24</v>
      </c>
      <c r="W43" s="53">
        <v>445.0</v>
      </c>
      <c r="X43" s="22">
        <v>445.0</v>
      </c>
      <c r="Y43" s="22">
        <v>445.0</v>
      </c>
      <c r="Z43" s="42">
        <f t="shared" si="1"/>
        <v>0</v>
      </c>
      <c r="AA43" s="17">
        <f t="shared" si="3"/>
        <v>0</v>
      </c>
      <c r="AB43" s="22" t="s">
        <v>42</v>
      </c>
      <c r="AC43" s="50" t="s">
        <v>320</v>
      </c>
      <c r="AD43" s="27"/>
      <c r="AE43" s="27"/>
    </row>
    <row r="44" hidden="1">
      <c r="A44" s="21">
        <v>42.0</v>
      </c>
      <c r="B44" s="20">
        <v>45880.0</v>
      </c>
      <c r="C44" s="50" t="s">
        <v>321</v>
      </c>
      <c r="D44" s="50" t="s">
        <v>322</v>
      </c>
      <c r="E44" s="22" t="s">
        <v>53</v>
      </c>
      <c r="F44" s="50" t="s">
        <v>54</v>
      </c>
      <c r="G44" s="50" t="s">
        <v>323</v>
      </c>
      <c r="H44" s="22">
        <v>9.638417745E9</v>
      </c>
      <c r="I44" s="25"/>
      <c r="J44" s="25"/>
      <c r="K44" s="25"/>
      <c r="L44" s="52">
        <v>46276.0</v>
      </c>
      <c r="M44" s="22" t="s">
        <v>56</v>
      </c>
      <c r="N44" s="23" t="s">
        <v>39</v>
      </c>
      <c r="O44" s="22" t="s">
        <v>48</v>
      </c>
      <c r="P44" s="22" t="s">
        <v>57</v>
      </c>
      <c r="Q44" s="21"/>
      <c r="R44" s="24">
        <v>46641.0</v>
      </c>
      <c r="S44" s="22" t="s">
        <v>121</v>
      </c>
      <c r="T44" s="22" t="s">
        <v>272</v>
      </c>
      <c r="U44" s="25"/>
      <c r="V44" s="53">
        <v>6326.0</v>
      </c>
      <c r="W44" s="53">
        <v>7464.0</v>
      </c>
      <c r="X44" s="22">
        <v>6500.0</v>
      </c>
      <c r="Y44" s="22">
        <v>6000.0</v>
      </c>
      <c r="Z44" s="42">
        <f t="shared" si="1"/>
        <v>1464</v>
      </c>
      <c r="AA44" s="17">
        <f t="shared" si="3"/>
        <v>-500</v>
      </c>
      <c r="AB44" s="22" t="s">
        <v>42</v>
      </c>
      <c r="AC44" s="50" t="s">
        <v>324</v>
      </c>
      <c r="AD44" s="27"/>
      <c r="AE44" s="27"/>
    </row>
    <row r="45" hidden="1">
      <c r="A45" s="19">
        <v>43.0</v>
      </c>
      <c r="B45" s="20">
        <v>45880.0</v>
      </c>
      <c r="C45" s="50" t="s">
        <v>325</v>
      </c>
      <c r="D45" s="50" t="s">
        <v>326</v>
      </c>
      <c r="E45" s="22" t="s">
        <v>276</v>
      </c>
      <c r="F45" s="50" t="s">
        <v>327</v>
      </c>
      <c r="G45" s="50" t="s">
        <v>328</v>
      </c>
      <c r="H45" s="22" t="s">
        <v>317</v>
      </c>
      <c r="I45" s="25"/>
      <c r="J45" s="25"/>
      <c r="K45" s="22">
        <v>125.0</v>
      </c>
      <c r="L45" s="52">
        <v>46276.0</v>
      </c>
      <c r="M45" s="22" t="s">
        <v>329</v>
      </c>
      <c r="N45" s="23" t="s">
        <v>39</v>
      </c>
      <c r="O45" s="22" t="s">
        <v>48</v>
      </c>
      <c r="P45" s="22" t="s">
        <v>73</v>
      </c>
      <c r="Q45" s="21"/>
      <c r="R45" s="28">
        <v>47462.0</v>
      </c>
      <c r="S45" s="22" t="s">
        <v>330</v>
      </c>
      <c r="T45" s="25"/>
      <c r="U45" s="25"/>
      <c r="V45" s="53">
        <v>764.0</v>
      </c>
      <c r="W45" s="53">
        <v>902.0</v>
      </c>
      <c r="X45" s="22">
        <v>902.0</v>
      </c>
      <c r="Y45" s="22">
        <v>902.0</v>
      </c>
      <c r="Z45" s="42">
        <f t="shared" si="1"/>
        <v>0</v>
      </c>
      <c r="AA45" s="17">
        <f t="shared" si="3"/>
        <v>0</v>
      </c>
      <c r="AB45" s="22" t="s">
        <v>42</v>
      </c>
      <c r="AC45" s="50" t="s">
        <v>331</v>
      </c>
      <c r="AD45" s="27"/>
      <c r="AE45" s="27"/>
    </row>
    <row r="46" hidden="1">
      <c r="A46" s="21">
        <v>44.0</v>
      </c>
      <c r="B46" s="20">
        <v>45880.0</v>
      </c>
      <c r="C46" s="50" t="s">
        <v>332</v>
      </c>
      <c r="D46" s="50" t="s">
        <v>333</v>
      </c>
      <c r="E46" s="22" t="s">
        <v>78</v>
      </c>
      <c r="F46" s="50" t="s">
        <v>334</v>
      </c>
      <c r="G46" s="50" t="s">
        <v>335</v>
      </c>
      <c r="H46" s="22">
        <v>8.404000099E9</v>
      </c>
      <c r="I46" s="22">
        <v>8.980805252E9</v>
      </c>
      <c r="J46" s="22"/>
      <c r="K46" s="22">
        <v>2110.0</v>
      </c>
      <c r="L46" s="53" t="s">
        <v>336</v>
      </c>
      <c r="M46" s="22" t="s">
        <v>265</v>
      </c>
      <c r="N46" s="23" t="s">
        <v>81</v>
      </c>
      <c r="O46" s="22" t="s">
        <v>337</v>
      </c>
      <c r="P46" s="22" t="s">
        <v>41</v>
      </c>
      <c r="Q46" s="21"/>
      <c r="R46" s="22" t="s">
        <v>338</v>
      </c>
      <c r="S46" s="22" t="s">
        <v>339</v>
      </c>
      <c r="T46" s="25"/>
      <c r="U46" s="25"/>
      <c r="V46" s="53">
        <v>7317.0</v>
      </c>
      <c r="W46" s="53">
        <v>8635.0</v>
      </c>
      <c r="X46" s="22">
        <v>8600.0</v>
      </c>
      <c r="Y46" s="22">
        <v>8500.0</v>
      </c>
      <c r="Z46" s="42">
        <f t="shared" si="1"/>
        <v>135</v>
      </c>
      <c r="AA46" s="17">
        <f t="shared" si="3"/>
        <v>-100</v>
      </c>
      <c r="AB46" s="22" t="s">
        <v>340</v>
      </c>
      <c r="AC46" s="50" t="s">
        <v>341</v>
      </c>
      <c r="AD46" s="27"/>
      <c r="AE46" s="27"/>
    </row>
    <row r="47" hidden="1">
      <c r="A47" s="21">
        <v>45.0</v>
      </c>
      <c r="B47" s="20">
        <v>45880.0</v>
      </c>
      <c r="C47" s="50" t="s">
        <v>342</v>
      </c>
      <c r="D47" s="50" t="s">
        <v>343</v>
      </c>
      <c r="E47" s="22" t="s">
        <v>78</v>
      </c>
      <c r="F47" s="50" t="s">
        <v>344</v>
      </c>
      <c r="G47" s="50" t="s">
        <v>335</v>
      </c>
      <c r="H47" s="22">
        <v>8.404000099E9</v>
      </c>
      <c r="I47" s="22">
        <v>8.980805252E9</v>
      </c>
      <c r="J47" s="22"/>
      <c r="K47" s="22">
        <v>11300.0</v>
      </c>
      <c r="L47" s="52">
        <v>46214.0</v>
      </c>
      <c r="M47" s="22" t="s">
        <v>265</v>
      </c>
      <c r="N47" s="23" t="s">
        <v>81</v>
      </c>
      <c r="O47" s="22" t="s">
        <v>337</v>
      </c>
      <c r="P47" s="22" t="s">
        <v>41</v>
      </c>
      <c r="Q47" s="21"/>
      <c r="R47" s="22" t="s">
        <v>345</v>
      </c>
      <c r="S47" s="24">
        <v>46209.0</v>
      </c>
      <c r="T47" s="25"/>
      <c r="U47" s="25"/>
      <c r="V47" s="53">
        <v>7317.0</v>
      </c>
      <c r="W47" s="53">
        <v>8635.0</v>
      </c>
      <c r="X47" s="22">
        <v>8600.0</v>
      </c>
      <c r="Y47" s="22">
        <v>8500.0</v>
      </c>
      <c r="Z47" s="42">
        <f t="shared" si="1"/>
        <v>135</v>
      </c>
      <c r="AA47" s="17">
        <f t="shared" si="3"/>
        <v>-100</v>
      </c>
      <c r="AB47" s="22" t="s">
        <v>42</v>
      </c>
      <c r="AC47" s="50" t="s">
        <v>346</v>
      </c>
      <c r="AD47" s="27"/>
      <c r="AE47" s="27"/>
    </row>
    <row r="48" hidden="1">
      <c r="A48" s="19">
        <v>46.0</v>
      </c>
      <c r="B48" s="20">
        <v>45880.0</v>
      </c>
      <c r="C48" s="50" t="s">
        <v>347</v>
      </c>
      <c r="D48" s="50" t="s">
        <v>348</v>
      </c>
      <c r="E48" s="22" t="s">
        <v>86</v>
      </c>
      <c r="F48" s="50" t="s">
        <v>349</v>
      </c>
      <c r="G48" s="50" t="s">
        <v>350</v>
      </c>
      <c r="H48" s="22">
        <v>9.725036831E9</v>
      </c>
      <c r="I48" s="22">
        <v>9.925361971E9</v>
      </c>
      <c r="J48" s="22"/>
      <c r="K48" s="22">
        <v>45000.0</v>
      </c>
      <c r="L48" s="52">
        <v>46214.0</v>
      </c>
      <c r="M48" s="22" t="s">
        <v>351</v>
      </c>
      <c r="N48" s="23" t="s">
        <v>39</v>
      </c>
      <c r="O48" s="22" t="s">
        <v>352</v>
      </c>
      <c r="P48" s="22" t="s">
        <v>57</v>
      </c>
      <c r="Q48" s="21"/>
      <c r="R48" s="22" t="s">
        <v>353</v>
      </c>
      <c r="S48" s="22" t="s">
        <v>354</v>
      </c>
      <c r="T48" s="22" t="s">
        <v>355</v>
      </c>
      <c r="U48" s="25"/>
      <c r="V48" s="53">
        <v>47189.0</v>
      </c>
      <c r="W48" s="53">
        <v>49932.0</v>
      </c>
      <c r="X48" s="22">
        <v>44255.0</v>
      </c>
      <c r="Y48" s="22">
        <v>44255.0</v>
      </c>
      <c r="Z48" s="42">
        <f t="shared" si="1"/>
        <v>5677</v>
      </c>
      <c r="AA48" s="17">
        <f t="shared" si="3"/>
        <v>0</v>
      </c>
      <c r="AB48" s="22" t="s">
        <v>42</v>
      </c>
      <c r="AC48" s="50" t="s">
        <v>356</v>
      </c>
      <c r="AD48" s="21" t="s">
        <v>357</v>
      </c>
      <c r="AE48" s="21">
        <v>1.477758445E9</v>
      </c>
    </row>
    <row r="49" hidden="1">
      <c r="A49" s="21">
        <v>47.0</v>
      </c>
      <c r="B49" s="20">
        <v>45880.0</v>
      </c>
      <c r="C49" s="50" t="s">
        <v>358</v>
      </c>
      <c r="D49" s="50" t="s">
        <v>359</v>
      </c>
      <c r="E49" s="22" t="s">
        <v>53</v>
      </c>
      <c r="F49" s="50" t="s">
        <v>54</v>
      </c>
      <c r="G49" s="50" t="s">
        <v>360</v>
      </c>
      <c r="H49" s="22">
        <v>6.353574101E9</v>
      </c>
      <c r="I49" s="25"/>
      <c r="J49" s="25"/>
      <c r="K49" s="22">
        <v>818.0</v>
      </c>
      <c r="L49" s="52">
        <v>46245.0</v>
      </c>
      <c r="M49" s="22" t="s">
        <v>56</v>
      </c>
      <c r="N49" s="23" t="s">
        <v>39</v>
      </c>
      <c r="O49" s="22" t="s">
        <v>48</v>
      </c>
      <c r="P49" s="22" t="s">
        <v>57</v>
      </c>
      <c r="Q49" s="21"/>
      <c r="R49" s="24">
        <v>46549.0</v>
      </c>
      <c r="S49" s="22" t="s">
        <v>361</v>
      </c>
      <c r="T49" s="22" t="s">
        <v>362</v>
      </c>
      <c r="U49" s="25"/>
      <c r="V49" s="53">
        <v>6328.0</v>
      </c>
      <c r="W49" s="53">
        <v>7468.0</v>
      </c>
      <c r="X49" s="22">
        <v>6500.0</v>
      </c>
      <c r="Y49" s="22">
        <v>6500.0</v>
      </c>
      <c r="Z49" s="42">
        <f t="shared" si="1"/>
        <v>968</v>
      </c>
      <c r="AA49" s="17">
        <f t="shared" si="3"/>
        <v>0</v>
      </c>
      <c r="AB49" s="22" t="s">
        <v>42</v>
      </c>
      <c r="AC49" s="50" t="s">
        <v>363</v>
      </c>
      <c r="AD49" s="27"/>
      <c r="AE49" s="27"/>
    </row>
    <row r="50" hidden="1">
      <c r="A50" s="21">
        <v>48.0</v>
      </c>
      <c r="B50" s="20">
        <v>45880.0</v>
      </c>
      <c r="C50" s="50" t="s">
        <v>364</v>
      </c>
      <c r="D50" s="50" t="s">
        <v>365</v>
      </c>
      <c r="E50" s="22" t="s">
        <v>157</v>
      </c>
      <c r="F50" s="50" t="s">
        <v>62</v>
      </c>
      <c r="G50" s="50" t="s">
        <v>366</v>
      </c>
      <c r="H50" s="22">
        <v>6.353766794E9</v>
      </c>
      <c r="I50" s="22">
        <v>9.925118139E9</v>
      </c>
      <c r="J50" s="22"/>
      <c r="K50" s="22">
        <v>1630.0</v>
      </c>
      <c r="L50" s="52">
        <v>46214.0</v>
      </c>
      <c r="M50" s="22" t="s">
        <v>64</v>
      </c>
      <c r="N50" s="23" t="s">
        <v>39</v>
      </c>
      <c r="O50" s="22" t="s">
        <v>48</v>
      </c>
      <c r="P50" s="22" t="s">
        <v>41</v>
      </c>
      <c r="Q50" s="21"/>
      <c r="R50" s="22" t="s">
        <v>367</v>
      </c>
      <c r="S50" s="22" t="s">
        <v>58</v>
      </c>
      <c r="T50" s="25"/>
      <c r="U50" s="25"/>
      <c r="V50" s="60">
        <v>19944.0</v>
      </c>
      <c r="W50" s="56">
        <v>21448.0</v>
      </c>
      <c r="X50" s="22">
        <v>14299.0</v>
      </c>
      <c r="Y50" s="22">
        <v>13000.0</v>
      </c>
      <c r="Z50" s="16">
        <f t="shared" si="1"/>
        <v>8448</v>
      </c>
      <c r="AA50" s="17">
        <f t="shared" si="3"/>
        <v>-1299</v>
      </c>
      <c r="AB50" s="22" t="s">
        <v>42</v>
      </c>
      <c r="AC50" s="50" t="s">
        <v>368</v>
      </c>
      <c r="AD50" s="27"/>
      <c r="AE50" s="27"/>
    </row>
    <row r="51" hidden="1">
      <c r="A51" s="19">
        <v>49.0</v>
      </c>
      <c r="B51" s="20">
        <v>45880.0</v>
      </c>
      <c r="C51" s="50" t="s">
        <v>369</v>
      </c>
      <c r="D51" s="50" t="s">
        <v>370</v>
      </c>
      <c r="E51" s="22" t="s">
        <v>157</v>
      </c>
      <c r="F51" s="50" t="s">
        <v>371</v>
      </c>
      <c r="G51" s="50" t="s">
        <v>372</v>
      </c>
      <c r="H51" s="22">
        <v>9.925011762E9</v>
      </c>
      <c r="I51" s="22">
        <v>9.924443454E9</v>
      </c>
      <c r="J51" s="22"/>
      <c r="K51" s="22">
        <v>2565.0</v>
      </c>
      <c r="L51" s="52">
        <v>46276.0</v>
      </c>
      <c r="M51" s="22" t="s">
        <v>38</v>
      </c>
      <c r="N51" s="23" t="s">
        <v>39</v>
      </c>
      <c r="O51" s="22" t="s">
        <v>140</v>
      </c>
      <c r="P51" s="22" t="s">
        <v>41</v>
      </c>
      <c r="Q51" s="21"/>
      <c r="R51" s="28">
        <v>46671.0</v>
      </c>
      <c r="S51" s="24">
        <v>46276.0</v>
      </c>
      <c r="T51" s="25"/>
      <c r="U51" s="25"/>
      <c r="V51" s="60">
        <v>18422.0</v>
      </c>
      <c r="W51" s="56">
        <v>19640.0</v>
      </c>
      <c r="X51" s="22">
        <v>13500.0</v>
      </c>
      <c r="Y51" s="22">
        <v>13500.0</v>
      </c>
      <c r="Z51" s="16">
        <f t="shared" si="1"/>
        <v>6140</v>
      </c>
      <c r="AA51" s="17">
        <f t="shared" si="3"/>
        <v>0</v>
      </c>
      <c r="AB51" s="22" t="s">
        <v>42</v>
      </c>
      <c r="AC51" s="50" t="s">
        <v>373</v>
      </c>
      <c r="AD51" s="27"/>
      <c r="AE51" s="27"/>
    </row>
    <row r="52" hidden="1">
      <c r="A52" s="21">
        <v>50.0</v>
      </c>
      <c r="B52" s="20">
        <v>45880.0</v>
      </c>
      <c r="C52" s="50" t="s">
        <v>374</v>
      </c>
      <c r="D52" s="50" t="s">
        <v>375</v>
      </c>
      <c r="E52" s="22" t="s">
        <v>53</v>
      </c>
      <c r="F52" s="50" t="s">
        <v>241</v>
      </c>
      <c r="G52" s="50" t="s">
        <v>376</v>
      </c>
      <c r="H52" s="22">
        <v>9.316881096E9</v>
      </c>
      <c r="I52" s="22">
        <v>9.712344656E9</v>
      </c>
      <c r="J52" s="22"/>
      <c r="K52" s="22">
        <v>751.0</v>
      </c>
      <c r="L52" s="52">
        <v>46245.0</v>
      </c>
      <c r="M52" s="22" t="s">
        <v>153</v>
      </c>
      <c r="N52" s="23" t="s">
        <v>39</v>
      </c>
      <c r="O52" s="22" t="s">
        <v>140</v>
      </c>
      <c r="P52" s="22" t="s">
        <v>57</v>
      </c>
      <c r="Q52" s="21"/>
      <c r="R52" s="24">
        <v>46276.0</v>
      </c>
      <c r="S52" s="22" t="s">
        <v>377</v>
      </c>
      <c r="T52" s="25"/>
      <c r="U52" s="25"/>
      <c r="V52" s="53">
        <v>6083.0</v>
      </c>
      <c r="W52" s="53">
        <v>7177.0</v>
      </c>
      <c r="X52" s="22">
        <v>6500.0</v>
      </c>
      <c r="Y52" s="22">
        <v>6500.0</v>
      </c>
      <c r="Z52" s="42">
        <f t="shared" si="1"/>
        <v>677</v>
      </c>
      <c r="AA52" s="17">
        <f t="shared" si="3"/>
        <v>0</v>
      </c>
      <c r="AB52" s="22" t="s">
        <v>42</v>
      </c>
      <c r="AC52" s="50" t="s">
        <v>378</v>
      </c>
      <c r="AD52" s="27"/>
      <c r="AE52" s="27"/>
    </row>
    <row r="53" hidden="1">
      <c r="A53" s="21">
        <v>51.0</v>
      </c>
      <c r="B53" s="20">
        <v>45880.0</v>
      </c>
      <c r="C53" s="50" t="s">
        <v>379</v>
      </c>
      <c r="D53" s="50" t="s">
        <v>380</v>
      </c>
      <c r="E53" s="22" t="s">
        <v>157</v>
      </c>
      <c r="F53" s="50" t="s">
        <v>381</v>
      </c>
      <c r="G53" s="50" t="s">
        <v>382</v>
      </c>
      <c r="H53" s="22">
        <v>9.512545057E9</v>
      </c>
      <c r="I53" s="25"/>
      <c r="J53" s="25"/>
      <c r="K53" s="22">
        <v>1600.0</v>
      </c>
      <c r="L53" s="52">
        <v>46214.0</v>
      </c>
      <c r="M53" s="22" t="s">
        <v>64</v>
      </c>
      <c r="N53" s="23" t="s">
        <v>39</v>
      </c>
      <c r="O53" s="22" t="s">
        <v>140</v>
      </c>
      <c r="P53" s="22" t="s">
        <v>41</v>
      </c>
      <c r="Q53" s="21"/>
      <c r="R53" s="24">
        <v>46088.0</v>
      </c>
      <c r="S53" s="24">
        <v>46116.0</v>
      </c>
      <c r="T53" s="25"/>
      <c r="U53" s="25"/>
      <c r="V53" s="60">
        <v>18466.0</v>
      </c>
      <c r="W53" s="56">
        <v>19704.0</v>
      </c>
      <c r="X53" s="22">
        <v>12657.0</v>
      </c>
      <c r="Y53" s="22">
        <v>12000.0</v>
      </c>
      <c r="Z53" s="16">
        <f t="shared" si="1"/>
        <v>7704</v>
      </c>
      <c r="AA53" s="17">
        <f t="shared" si="3"/>
        <v>-657</v>
      </c>
      <c r="AB53" s="22" t="s">
        <v>42</v>
      </c>
      <c r="AC53" s="50" t="s">
        <v>383</v>
      </c>
      <c r="AD53" s="27"/>
      <c r="AE53" s="27"/>
    </row>
    <row r="54" hidden="1">
      <c r="A54" s="19">
        <v>52.0</v>
      </c>
      <c r="B54" s="20">
        <v>45911.0</v>
      </c>
      <c r="C54" s="50" t="s">
        <v>384</v>
      </c>
      <c r="D54" s="50" t="s">
        <v>385</v>
      </c>
      <c r="E54" s="22" t="s">
        <v>157</v>
      </c>
      <c r="F54" s="50" t="s">
        <v>386</v>
      </c>
      <c r="G54" s="50" t="s">
        <v>387</v>
      </c>
      <c r="H54" s="22">
        <v>9.909817828E9</v>
      </c>
      <c r="I54" s="22">
        <v>9.624435448E9</v>
      </c>
      <c r="J54" s="22"/>
      <c r="K54" s="22">
        <v>2825.0</v>
      </c>
      <c r="L54" s="52">
        <v>46214.0</v>
      </c>
      <c r="M54" s="22" t="s">
        <v>98</v>
      </c>
      <c r="N54" s="23" t="s">
        <v>39</v>
      </c>
      <c r="O54" s="22" t="s">
        <v>388</v>
      </c>
      <c r="P54" s="22" t="s">
        <v>41</v>
      </c>
      <c r="Q54" s="21"/>
      <c r="R54" s="24">
        <v>46184.0</v>
      </c>
      <c r="S54" s="24">
        <v>46276.0</v>
      </c>
      <c r="T54" s="25"/>
      <c r="U54" s="25"/>
      <c r="V54" s="56">
        <v>22633.0</v>
      </c>
      <c r="W54" s="56">
        <v>24621.0</v>
      </c>
      <c r="X54" s="22">
        <v>16583.0</v>
      </c>
      <c r="Y54" s="22">
        <v>15500.0</v>
      </c>
      <c r="Z54" s="16">
        <f t="shared" si="1"/>
        <v>9121</v>
      </c>
      <c r="AA54" s="17">
        <f t="shared" si="3"/>
        <v>-1083</v>
      </c>
      <c r="AB54" s="22" t="s">
        <v>42</v>
      </c>
      <c r="AC54" s="50" t="s">
        <v>389</v>
      </c>
      <c r="AD54" s="27"/>
      <c r="AE54" s="27"/>
    </row>
    <row r="55" hidden="1">
      <c r="A55" s="21">
        <v>53.0</v>
      </c>
      <c r="B55" s="20">
        <v>45911.0</v>
      </c>
      <c r="C55" s="50" t="s">
        <v>390</v>
      </c>
      <c r="D55" s="50" t="s">
        <v>391</v>
      </c>
      <c r="E55" s="22" t="s">
        <v>157</v>
      </c>
      <c r="F55" s="50" t="s">
        <v>386</v>
      </c>
      <c r="G55" s="50" t="s">
        <v>392</v>
      </c>
      <c r="H55" s="22">
        <v>9.909817828E9</v>
      </c>
      <c r="I55" s="22">
        <v>9.624435448E9</v>
      </c>
      <c r="J55" s="22"/>
      <c r="K55" s="22">
        <v>2825.0</v>
      </c>
      <c r="L55" s="52">
        <v>46214.0</v>
      </c>
      <c r="M55" s="22" t="s">
        <v>98</v>
      </c>
      <c r="N55" s="23" t="s">
        <v>39</v>
      </c>
      <c r="O55" s="22" t="s">
        <v>388</v>
      </c>
      <c r="P55" s="22" t="s">
        <v>41</v>
      </c>
      <c r="Q55" s="21"/>
      <c r="R55" s="22" t="s">
        <v>393</v>
      </c>
      <c r="S55" s="22" t="s">
        <v>394</v>
      </c>
      <c r="T55" s="25"/>
      <c r="U55" s="25"/>
      <c r="V55" s="56">
        <v>22683.0</v>
      </c>
      <c r="W55" s="56">
        <v>24680.0</v>
      </c>
      <c r="X55" s="22">
        <v>16704.0</v>
      </c>
      <c r="Y55" s="22">
        <v>15500.0</v>
      </c>
      <c r="Z55" s="16">
        <f t="shared" si="1"/>
        <v>9180</v>
      </c>
      <c r="AA55" s="17">
        <f t="shared" si="3"/>
        <v>-1204</v>
      </c>
      <c r="AB55" s="22" t="s">
        <v>42</v>
      </c>
      <c r="AC55" s="50" t="s">
        <v>395</v>
      </c>
      <c r="AD55" s="27"/>
      <c r="AE55" s="27"/>
    </row>
    <row r="56" hidden="1">
      <c r="A56" s="21">
        <v>54.0</v>
      </c>
      <c r="B56" s="20">
        <v>45911.0</v>
      </c>
      <c r="C56" s="50" t="s">
        <v>396</v>
      </c>
      <c r="D56" s="50" t="s">
        <v>397</v>
      </c>
      <c r="E56" s="22" t="s">
        <v>157</v>
      </c>
      <c r="F56" s="50" t="s">
        <v>398</v>
      </c>
      <c r="G56" s="50" t="s">
        <v>399</v>
      </c>
      <c r="H56" s="22" t="s">
        <v>400</v>
      </c>
      <c r="I56" s="22" t="s">
        <v>401</v>
      </c>
      <c r="J56" s="22"/>
      <c r="K56" s="22">
        <v>2880.0</v>
      </c>
      <c r="L56" s="53" t="s">
        <v>97</v>
      </c>
      <c r="M56" s="22" t="s">
        <v>38</v>
      </c>
      <c r="N56" s="23" t="s">
        <v>39</v>
      </c>
      <c r="O56" s="22" t="s">
        <v>223</v>
      </c>
      <c r="P56" s="22" t="s">
        <v>41</v>
      </c>
      <c r="Q56" s="22"/>
      <c r="R56" s="22" t="s">
        <v>402</v>
      </c>
      <c r="S56" s="24">
        <v>46058.0</v>
      </c>
      <c r="T56" s="25"/>
      <c r="U56" s="25"/>
      <c r="V56" s="56">
        <v>18378.0</v>
      </c>
      <c r="W56" s="56">
        <v>19588.0</v>
      </c>
      <c r="X56" s="22">
        <v>11000.0</v>
      </c>
      <c r="Y56" s="22">
        <v>11000.0</v>
      </c>
      <c r="Z56" s="16">
        <f t="shared" si="1"/>
        <v>8588</v>
      </c>
      <c r="AA56" s="17">
        <f t="shared" si="3"/>
        <v>0</v>
      </c>
      <c r="AB56" s="22" t="s">
        <v>42</v>
      </c>
      <c r="AC56" s="50" t="s">
        <v>403</v>
      </c>
      <c r="AD56" s="27"/>
      <c r="AE56" s="27"/>
    </row>
    <row r="57" hidden="1">
      <c r="A57" s="19">
        <v>55.0</v>
      </c>
      <c r="B57" s="20">
        <v>45911.0</v>
      </c>
      <c r="C57" s="50" t="s">
        <v>404</v>
      </c>
      <c r="D57" s="50" t="s">
        <v>405</v>
      </c>
      <c r="E57" s="22" t="s">
        <v>53</v>
      </c>
      <c r="F57" s="50" t="s">
        <v>406</v>
      </c>
      <c r="G57" s="50" t="s">
        <v>407</v>
      </c>
      <c r="H57" s="22">
        <v>6.353912079E9</v>
      </c>
      <c r="I57" s="22">
        <v>9.537167808E9</v>
      </c>
      <c r="J57" s="22"/>
      <c r="K57" s="22">
        <v>717.0</v>
      </c>
      <c r="L57" s="52">
        <v>46276.0</v>
      </c>
      <c r="M57" s="22" t="s">
        <v>56</v>
      </c>
      <c r="N57" s="23" t="s">
        <v>39</v>
      </c>
      <c r="O57" s="22" t="s">
        <v>128</v>
      </c>
      <c r="P57" s="22" t="s">
        <v>57</v>
      </c>
      <c r="Q57" s="21"/>
      <c r="R57" s="24">
        <v>45846.0</v>
      </c>
      <c r="S57" s="24">
        <v>45481.0</v>
      </c>
      <c r="T57" s="25"/>
      <c r="U57" s="25"/>
      <c r="V57" s="53">
        <v>6636.0</v>
      </c>
      <c r="W57" s="53">
        <v>7830.0</v>
      </c>
      <c r="X57" s="22">
        <v>5500.0</v>
      </c>
      <c r="Y57" s="22">
        <v>5500.0</v>
      </c>
      <c r="Z57" s="42">
        <f t="shared" si="1"/>
        <v>2330</v>
      </c>
      <c r="AA57" s="17">
        <f t="shared" si="3"/>
        <v>0</v>
      </c>
      <c r="AB57" s="22" t="s">
        <v>42</v>
      </c>
      <c r="AC57" s="50" t="s">
        <v>408</v>
      </c>
      <c r="AD57" s="27"/>
      <c r="AE57" s="27"/>
    </row>
    <row r="58" hidden="1">
      <c r="A58" s="21">
        <v>56.0</v>
      </c>
      <c r="B58" s="20">
        <v>45911.0</v>
      </c>
      <c r="C58" s="50" t="s">
        <v>409</v>
      </c>
      <c r="D58" s="50" t="s">
        <v>410</v>
      </c>
      <c r="E58" s="61" t="s">
        <v>78</v>
      </c>
      <c r="F58" s="50" t="s">
        <v>411</v>
      </c>
      <c r="G58" s="50" t="s">
        <v>412</v>
      </c>
      <c r="H58" s="22">
        <v>9.725036831E9</v>
      </c>
      <c r="I58" s="22">
        <v>9.925361971E9</v>
      </c>
      <c r="J58" s="22"/>
      <c r="K58" s="22">
        <v>11335.0</v>
      </c>
      <c r="L58" s="53" t="s">
        <v>413</v>
      </c>
      <c r="M58" s="22" t="s">
        <v>56</v>
      </c>
      <c r="N58" s="23" t="s">
        <v>39</v>
      </c>
      <c r="O58" s="22" t="s">
        <v>352</v>
      </c>
      <c r="P58" s="22" t="s">
        <v>57</v>
      </c>
      <c r="Q58" s="21"/>
      <c r="R58" s="22" t="s">
        <v>414</v>
      </c>
      <c r="S58" s="22" t="s">
        <v>415</v>
      </c>
      <c r="T58" s="25"/>
      <c r="U58" s="25"/>
      <c r="V58" s="53">
        <v>9088.0</v>
      </c>
      <c r="W58" s="53">
        <v>10724.0</v>
      </c>
      <c r="X58" s="22">
        <v>13295.0</v>
      </c>
      <c r="Y58" s="22">
        <v>13295.0</v>
      </c>
      <c r="Z58" s="42">
        <f t="shared" si="1"/>
        <v>-2571</v>
      </c>
      <c r="AA58" s="17">
        <f t="shared" si="3"/>
        <v>0</v>
      </c>
      <c r="AB58" s="22" t="s">
        <v>340</v>
      </c>
      <c r="AC58" s="50" t="s">
        <v>416</v>
      </c>
      <c r="AD58" s="27"/>
      <c r="AE58" s="27"/>
    </row>
    <row r="59" hidden="1">
      <c r="A59" s="21">
        <v>57.0</v>
      </c>
      <c r="B59" s="20">
        <v>45911.0</v>
      </c>
      <c r="C59" s="50" t="s">
        <v>417</v>
      </c>
      <c r="D59" s="50" t="s">
        <v>418</v>
      </c>
      <c r="E59" s="22" t="s">
        <v>69</v>
      </c>
      <c r="F59" s="50" t="s">
        <v>419</v>
      </c>
      <c r="G59" s="50" t="s">
        <v>420</v>
      </c>
      <c r="H59" s="22">
        <v>7.043696132E9</v>
      </c>
      <c r="I59" s="22">
        <v>7.265044294E9</v>
      </c>
      <c r="J59" s="22"/>
      <c r="K59" s="22">
        <v>1396.0</v>
      </c>
      <c r="L59" s="52">
        <v>46214.0</v>
      </c>
      <c r="M59" s="22" t="s">
        <v>167</v>
      </c>
      <c r="N59" s="23" t="s">
        <v>81</v>
      </c>
      <c r="O59" s="22" t="s">
        <v>337</v>
      </c>
      <c r="P59" s="22" t="s">
        <v>73</v>
      </c>
      <c r="Q59" s="21"/>
      <c r="R59" s="24">
        <v>47795.0</v>
      </c>
      <c r="S59" s="22" t="s">
        <v>421</v>
      </c>
      <c r="T59" s="25"/>
      <c r="U59" s="25"/>
      <c r="V59" s="53">
        <v>4041.0</v>
      </c>
      <c r="W59" s="53">
        <v>4768.0</v>
      </c>
      <c r="X59" s="22">
        <v>4800.0</v>
      </c>
      <c r="Y59" s="22">
        <v>4500.0</v>
      </c>
      <c r="Z59" s="42">
        <f t="shared" si="1"/>
        <v>268</v>
      </c>
      <c r="AA59" s="17">
        <f t="shared" si="3"/>
        <v>-300</v>
      </c>
      <c r="AB59" s="22" t="s">
        <v>42</v>
      </c>
      <c r="AC59" s="50" t="s">
        <v>422</v>
      </c>
      <c r="AD59" s="27"/>
      <c r="AE59" s="27"/>
    </row>
    <row r="60" hidden="1">
      <c r="A60" s="19">
        <v>58.0</v>
      </c>
      <c r="B60" s="20">
        <v>45911.0</v>
      </c>
      <c r="C60" s="50" t="s">
        <v>423</v>
      </c>
      <c r="D60" s="50" t="s">
        <v>424</v>
      </c>
      <c r="E60" s="61" t="s">
        <v>78</v>
      </c>
      <c r="F60" s="50" t="s">
        <v>425</v>
      </c>
      <c r="G60" s="50" t="s">
        <v>426</v>
      </c>
      <c r="H60" s="22">
        <v>9.725036831E9</v>
      </c>
      <c r="I60" s="22">
        <v>9.925361971E9</v>
      </c>
      <c r="J60" s="22"/>
      <c r="K60" s="22">
        <v>2940.0</v>
      </c>
      <c r="L60" s="53" t="s">
        <v>427</v>
      </c>
      <c r="M60" s="22" t="s">
        <v>167</v>
      </c>
      <c r="N60" s="23" t="s">
        <v>39</v>
      </c>
      <c r="O60" s="22" t="s">
        <v>352</v>
      </c>
      <c r="P60" s="22" t="s">
        <v>57</v>
      </c>
      <c r="Q60" s="21"/>
      <c r="R60" s="22" t="s">
        <v>428</v>
      </c>
      <c r="S60" s="22" t="s">
        <v>429</v>
      </c>
      <c r="T60" s="25"/>
      <c r="U60" s="25"/>
      <c r="V60" s="56">
        <v>8189.4</v>
      </c>
      <c r="W60" s="56">
        <v>9664.0</v>
      </c>
      <c r="X60" s="22">
        <v>9663.0</v>
      </c>
      <c r="Y60" s="22">
        <v>9663.0</v>
      </c>
      <c r="Z60" s="16">
        <f t="shared" si="1"/>
        <v>1</v>
      </c>
      <c r="AA60" s="17">
        <f t="shared" si="3"/>
        <v>0</v>
      </c>
      <c r="AB60" s="22" t="s">
        <v>42</v>
      </c>
      <c r="AC60" s="50" t="s">
        <v>430</v>
      </c>
      <c r="AD60" s="21" t="s">
        <v>357</v>
      </c>
      <c r="AE60" s="21">
        <v>1.477758445E9</v>
      </c>
    </row>
    <row r="61" hidden="1">
      <c r="A61" s="21">
        <v>59.0</v>
      </c>
      <c r="B61" s="20">
        <v>45911.0</v>
      </c>
      <c r="C61" s="50" t="s">
        <v>431</v>
      </c>
      <c r="D61" s="50" t="s">
        <v>432</v>
      </c>
      <c r="E61" s="22" t="s">
        <v>276</v>
      </c>
      <c r="F61" s="50" t="s">
        <v>433</v>
      </c>
      <c r="G61" s="50" t="s">
        <v>434</v>
      </c>
      <c r="H61" s="22">
        <v>9.909236459E9</v>
      </c>
      <c r="I61" s="22">
        <v>7.567541829E9</v>
      </c>
      <c r="J61" s="22"/>
      <c r="K61" s="22">
        <v>109.0</v>
      </c>
      <c r="L61" s="52">
        <v>46245.0</v>
      </c>
      <c r="M61" s="22" t="s">
        <v>153</v>
      </c>
      <c r="N61" s="23" t="s">
        <v>81</v>
      </c>
      <c r="O61" s="22" t="s">
        <v>140</v>
      </c>
      <c r="P61" s="22" t="s">
        <v>73</v>
      </c>
      <c r="Q61" s="21"/>
      <c r="R61" s="22" t="s">
        <v>435</v>
      </c>
      <c r="S61" s="24">
        <v>46184.0</v>
      </c>
      <c r="T61" s="25"/>
      <c r="U61" s="25"/>
      <c r="V61" s="53">
        <v>714.0</v>
      </c>
      <c r="W61" s="53">
        <v>842.52</v>
      </c>
      <c r="X61" s="22">
        <v>850.0</v>
      </c>
      <c r="Y61" s="22">
        <v>850.0</v>
      </c>
      <c r="Z61" s="42">
        <f t="shared" si="1"/>
        <v>-7.48</v>
      </c>
      <c r="AA61" s="17">
        <f t="shared" si="3"/>
        <v>0</v>
      </c>
      <c r="AB61" s="22" t="s">
        <v>42</v>
      </c>
      <c r="AC61" s="50" t="s">
        <v>436</v>
      </c>
      <c r="AD61" s="27"/>
      <c r="AE61" s="27"/>
    </row>
    <row r="62" hidden="1">
      <c r="A62" s="21">
        <v>60.0</v>
      </c>
      <c r="B62" s="62">
        <v>45941.0</v>
      </c>
      <c r="C62" s="50" t="s">
        <v>437</v>
      </c>
      <c r="D62" s="50" t="s">
        <v>438</v>
      </c>
      <c r="E62" s="22" t="s">
        <v>69</v>
      </c>
      <c r="F62" s="50" t="s">
        <v>234</v>
      </c>
      <c r="G62" s="50" t="s">
        <v>439</v>
      </c>
      <c r="H62" s="22">
        <v>9.979312886E9</v>
      </c>
      <c r="I62" s="25"/>
      <c r="J62" s="25"/>
      <c r="K62" s="22">
        <v>1086.0</v>
      </c>
      <c r="L62" s="52">
        <v>46245.0</v>
      </c>
      <c r="M62" s="22" t="s">
        <v>153</v>
      </c>
      <c r="N62" s="23" t="s">
        <v>81</v>
      </c>
      <c r="O62" s="22" t="s">
        <v>140</v>
      </c>
      <c r="P62" s="22" t="s">
        <v>73</v>
      </c>
      <c r="Q62" s="21"/>
      <c r="R62" s="22" t="s">
        <v>440</v>
      </c>
      <c r="S62" s="24">
        <v>45668.0</v>
      </c>
      <c r="T62" s="25"/>
      <c r="U62" s="25"/>
      <c r="V62" s="53">
        <v>3476.0</v>
      </c>
      <c r="W62" s="53">
        <v>4101.68</v>
      </c>
      <c r="X62" s="22">
        <v>4000.0</v>
      </c>
      <c r="Y62" s="22">
        <v>4000.0</v>
      </c>
      <c r="Z62" s="42">
        <f t="shared" si="1"/>
        <v>101.68</v>
      </c>
      <c r="AA62" s="17">
        <f t="shared" si="3"/>
        <v>0</v>
      </c>
      <c r="AB62" s="22" t="s">
        <v>42</v>
      </c>
      <c r="AC62" s="50" t="s">
        <v>441</v>
      </c>
      <c r="AD62" s="27"/>
      <c r="AE62" s="27"/>
    </row>
    <row r="63" hidden="1">
      <c r="A63" s="19">
        <v>61.0</v>
      </c>
      <c r="B63" s="62">
        <v>45941.0</v>
      </c>
      <c r="C63" s="50" t="s">
        <v>442</v>
      </c>
      <c r="D63" s="50" t="s">
        <v>443</v>
      </c>
      <c r="E63" s="22" t="s">
        <v>157</v>
      </c>
      <c r="F63" s="50" t="s">
        <v>444</v>
      </c>
      <c r="G63" s="50" t="s">
        <v>445</v>
      </c>
      <c r="H63" s="22">
        <v>9.870057877E9</v>
      </c>
      <c r="I63" s="22">
        <v>9.106766345E9</v>
      </c>
      <c r="J63" s="22"/>
      <c r="K63" s="22">
        <v>2990.0</v>
      </c>
      <c r="L63" s="52">
        <v>46245.0</v>
      </c>
      <c r="M63" s="22" t="s">
        <v>98</v>
      </c>
      <c r="N63" s="23" t="s">
        <v>39</v>
      </c>
      <c r="O63" s="22" t="s">
        <v>48</v>
      </c>
      <c r="P63" s="22" t="s">
        <v>41</v>
      </c>
      <c r="Q63" s="21"/>
      <c r="R63" s="22" t="s">
        <v>446</v>
      </c>
      <c r="S63" s="24">
        <v>46277.0</v>
      </c>
      <c r="T63" s="25"/>
      <c r="U63" s="25"/>
      <c r="V63" s="60">
        <v>17715.0</v>
      </c>
      <c r="W63" s="56">
        <v>18817.0</v>
      </c>
      <c r="X63" s="22">
        <v>13431.0</v>
      </c>
      <c r="Y63" s="22">
        <v>13500.0</v>
      </c>
      <c r="Z63" s="16">
        <f t="shared" si="1"/>
        <v>5317</v>
      </c>
      <c r="AA63" s="17">
        <f t="shared" si="3"/>
        <v>69</v>
      </c>
      <c r="AB63" s="22" t="s">
        <v>42</v>
      </c>
      <c r="AC63" s="50" t="s">
        <v>447</v>
      </c>
      <c r="AD63" s="27"/>
      <c r="AE63" s="27"/>
    </row>
    <row r="64" hidden="1">
      <c r="A64" s="21">
        <v>62.0</v>
      </c>
      <c r="B64" s="62">
        <v>45972.0</v>
      </c>
      <c r="C64" s="50" t="s">
        <v>448</v>
      </c>
      <c r="D64" s="51">
        <v>9.00909351E8</v>
      </c>
      <c r="E64" s="22" t="s">
        <v>69</v>
      </c>
      <c r="F64" s="50" t="s">
        <v>449</v>
      </c>
      <c r="G64" s="50" t="s">
        <v>450</v>
      </c>
      <c r="H64" s="22">
        <v>9.409527078E9</v>
      </c>
      <c r="I64" s="22">
        <v>8.849800687E9</v>
      </c>
      <c r="J64" s="53"/>
      <c r="K64" s="53">
        <v>1199.0</v>
      </c>
      <c r="L64" s="63">
        <v>46306.0</v>
      </c>
      <c r="M64" s="22" t="s">
        <v>451</v>
      </c>
      <c r="N64" s="23" t="s">
        <v>39</v>
      </c>
      <c r="O64" s="22" t="s">
        <v>48</v>
      </c>
      <c r="P64" s="22" t="s">
        <v>452</v>
      </c>
      <c r="Q64" s="21"/>
      <c r="R64" s="24">
        <v>50079.0</v>
      </c>
      <c r="S64" s="22" t="s">
        <v>453</v>
      </c>
      <c r="T64" s="25"/>
      <c r="U64" s="25"/>
      <c r="V64" s="56">
        <v>11030.36</v>
      </c>
      <c r="W64" s="56">
        <v>13015.82</v>
      </c>
      <c r="X64" s="22">
        <v>13015.0</v>
      </c>
      <c r="Y64" s="22">
        <v>13015.0</v>
      </c>
      <c r="Z64" s="16">
        <f t="shared" si="1"/>
        <v>0.82</v>
      </c>
      <c r="AA64" s="17">
        <f t="shared" si="3"/>
        <v>0</v>
      </c>
      <c r="AB64" s="22" t="s">
        <v>42</v>
      </c>
      <c r="AC64" s="50" t="s">
        <v>454</v>
      </c>
      <c r="AD64" s="27"/>
      <c r="AE64" s="27"/>
    </row>
    <row r="65" hidden="1">
      <c r="A65" s="21">
        <v>63.0</v>
      </c>
      <c r="B65" s="62">
        <v>45972.0</v>
      </c>
      <c r="C65" s="50" t="s">
        <v>455</v>
      </c>
      <c r="D65" s="50" t="s">
        <v>456</v>
      </c>
      <c r="E65" s="22" t="s">
        <v>53</v>
      </c>
      <c r="F65" s="50" t="s">
        <v>54</v>
      </c>
      <c r="G65" s="50" t="s">
        <v>457</v>
      </c>
      <c r="H65" s="22">
        <v>8.160594939E9</v>
      </c>
      <c r="I65" s="22">
        <v>8.780550396E9</v>
      </c>
      <c r="J65" s="22"/>
      <c r="K65" s="22">
        <v>818.0</v>
      </c>
      <c r="L65" s="63">
        <v>46306.0</v>
      </c>
      <c r="M65" s="22" t="s">
        <v>56</v>
      </c>
      <c r="N65" s="23" t="s">
        <v>39</v>
      </c>
      <c r="O65" s="22" t="s">
        <v>140</v>
      </c>
      <c r="P65" s="22" t="s">
        <v>57</v>
      </c>
      <c r="Q65" s="21"/>
      <c r="R65" s="28">
        <v>46367.0</v>
      </c>
      <c r="S65" s="24">
        <v>46276.0</v>
      </c>
      <c r="T65" s="22" t="s">
        <v>458</v>
      </c>
      <c r="U65" s="25"/>
      <c r="V65" s="53">
        <v>6482.0</v>
      </c>
      <c r="W65" s="53">
        <v>7648.0</v>
      </c>
      <c r="X65" s="22">
        <v>6500.0</v>
      </c>
      <c r="Y65" s="22">
        <v>6500.0</v>
      </c>
      <c r="Z65" s="42">
        <f t="shared" si="1"/>
        <v>1148</v>
      </c>
      <c r="AA65" s="17">
        <f t="shared" si="3"/>
        <v>0</v>
      </c>
      <c r="AB65" s="22" t="s">
        <v>42</v>
      </c>
      <c r="AC65" s="50" t="s">
        <v>459</v>
      </c>
      <c r="AD65" s="27"/>
      <c r="AE65" s="27"/>
      <c r="AF65" s="50" t="s">
        <v>460</v>
      </c>
      <c r="AG65" s="50" t="s">
        <v>298</v>
      </c>
    </row>
    <row r="66" hidden="1">
      <c r="A66" s="19">
        <v>64.0</v>
      </c>
      <c r="B66" s="62">
        <v>45972.0</v>
      </c>
      <c r="C66" s="50" t="s">
        <v>461</v>
      </c>
      <c r="D66" s="50" t="s">
        <v>462</v>
      </c>
      <c r="E66" s="22" t="s">
        <v>69</v>
      </c>
      <c r="F66" s="50" t="s">
        <v>463</v>
      </c>
      <c r="G66" s="50" t="s">
        <v>464</v>
      </c>
      <c r="H66" s="22">
        <v>9.328764995E9</v>
      </c>
      <c r="I66" s="22">
        <v>9.90493831E9</v>
      </c>
      <c r="J66" s="22"/>
      <c r="K66" s="22">
        <v>1197.0</v>
      </c>
      <c r="L66" s="62">
        <v>46337.0</v>
      </c>
      <c r="M66" s="22" t="s">
        <v>153</v>
      </c>
      <c r="N66" s="23" t="s">
        <v>39</v>
      </c>
      <c r="O66" s="22" t="s">
        <v>48</v>
      </c>
      <c r="P66" s="22" t="s">
        <v>73</v>
      </c>
      <c r="Q66" s="21"/>
      <c r="R66" s="22" t="s">
        <v>465</v>
      </c>
      <c r="S66" s="24">
        <v>46034.0</v>
      </c>
      <c r="T66" s="25"/>
      <c r="U66" s="25"/>
      <c r="V66" s="53">
        <v>7559.69</v>
      </c>
      <c r="W66" s="53">
        <v>8920.43</v>
      </c>
      <c r="X66" s="22">
        <v>9019.0</v>
      </c>
      <c r="Y66" s="22">
        <v>9000.0</v>
      </c>
      <c r="Z66" s="42">
        <f t="shared" si="1"/>
        <v>-79.57</v>
      </c>
      <c r="AA66" s="17">
        <f t="shared" si="3"/>
        <v>-19</v>
      </c>
      <c r="AB66" s="22" t="s">
        <v>42</v>
      </c>
      <c r="AC66" s="50" t="s">
        <v>466</v>
      </c>
      <c r="AD66" s="27"/>
      <c r="AE66" s="27"/>
    </row>
    <row r="67" hidden="1">
      <c r="A67" s="21">
        <v>65.0</v>
      </c>
      <c r="B67" s="62">
        <v>45972.0</v>
      </c>
      <c r="C67" s="50" t="s">
        <v>467</v>
      </c>
      <c r="D67" s="50" t="s">
        <v>468</v>
      </c>
      <c r="E67" s="22" t="s">
        <v>53</v>
      </c>
      <c r="F67" s="50" t="s">
        <v>54</v>
      </c>
      <c r="G67" s="50" t="s">
        <v>469</v>
      </c>
      <c r="H67" s="22">
        <v>6.35903697E9</v>
      </c>
      <c r="I67" s="22">
        <v>9.06960419E9</v>
      </c>
      <c r="J67" s="22"/>
      <c r="K67" s="22">
        <v>818.0</v>
      </c>
      <c r="L67" s="53" t="s">
        <v>427</v>
      </c>
      <c r="M67" s="22" t="s">
        <v>56</v>
      </c>
      <c r="N67" s="23" t="s">
        <v>39</v>
      </c>
      <c r="O67" s="22" t="s">
        <v>223</v>
      </c>
      <c r="P67" s="22" t="s">
        <v>57</v>
      </c>
      <c r="Q67" s="22"/>
      <c r="R67" s="22" t="s">
        <v>470</v>
      </c>
      <c r="S67" s="22" t="s">
        <v>471</v>
      </c>
      <c r="T67" s="24">
        <v>47130.0</v>
      </c>
      <c r="U67" s="25"/>
      <c r="V67" s="53">
        <v>6443.0</v>
      </c>
      <c r="W67" s="53">
        <v>7603.0</v>
      </c>
      <c r="X67" s="22">
        <v>6500.0</v>
      </c>
      <c r="Y67" s="22">
        <v>6500.0</v>
      </c>
      <c r="Z67" s="42">
        <f t="shared" si="1"/>
        <v>1103</v>
      </c>
      <c r="AA67" s="17">
        <f t="shared" si="3"/>
        <v>0</v>
      </c>
      <c r="AB67" s="22" t="s">
        <v>42</v>
      </c>
      <c r="AC67" s="50" t="s">
        <v>472</v>
      </c>
      <c r="AD67" s="21" t="s">
        <v>473</v>
      </c>
      <c r="AE67" s="27"/>
      <c r="AF67" s="50" t="s">
        <v>474</v>
      </c>
      <c r="AG67" s="50" t="s">
        <v>475</v>
      </c>
    </row>
    <row r="68" hidden="1">
      <c r="A68" s="21">
        <v>66.0</v>
      </c>
      <c r="B68" s="62">
        <v>45972.0</v>
      </c>
      <c r="C68" s="50" t="s">
        <v>476</v>
      </c>
      <c r="D68" s="50" t="s">
        <v>477</v>
      </c>
      <c r="E68" s="22" t="s">
        <v>53</v>
      </c>
      <c r="F68" s="50" t="s">
        <v>54</v>
      </c>
      <c r="G68" s="50" t="s">
        <v>478</v>
      </c>
      <c r="H68" s="22">
        <v>7.984756387E9</v>
      </c>
      <c r="I68" s="22">
        <v>9.925839475E9</v>
      </c>
      <c r="J68" s="22"/>
      <c r="K68" s="22">
        <v>818.0</v>
      </c>
      <c r="L68" s="63">
        <v>46306.0</v>
      </c>
      <c r="M68" s="22" t="s">
        <v>56</v>
      </c>
      <c r="N68" s="23" t="s">
        <v>39</v>
      </c>
      <c r="O68" s="22" t="s">
        <v>140</v>
      </c>
      <c r="P68" s="22" t="s">
        <v>57</v>
      </c>
      <c r="Q68" s="21"/>
      <c r="R68" s="22" t="s">
        <v>479</v>
      </c>
      <c r="S68" s="22" t="s">
        <v>480</v>
      </c>
      <c r="T68" s="22" t="s">
        <v>481</v>
      </c>
      <c r="U68" s="25"/>
      <c r="V68" s="53">
        <v>6540.0</v>
      </c>
      <c r="W68" s="53">
        <v>7718.0</v>
      </c>
      <c r="X68" s="22">
        <v>6500.0</v>
      </c>
      <c r="Y68" s="22">
        <v>6500.0</v>
      </c>
      <c r="Z68" s="42">
        <f t="shared" si="1"/>
        <v>1218</v>
      </c>
      <c r="AA68" s="17">
        <f t="shared" si="3"/>
        <v>0</v>
      </c>
      <c r="AB68" s="22" t="s">
        <v>42</v>
      </c>
      <c r="AC68" s="50" t="s">
        <v>482</v>
      </c>
      <c r="AD68" s="27"/>
      <c r="AE68" s="27"/>
    </row>
    <row r="69" hidden="1">
      <c r="A69" s="19">
        <v>67.0</v>
      </c>
      <c r="B69" s="62">
        <v>45972.0</v>
      </c>
      <c r="C69" s="50" t="s">
        <v>483</v>
      </c>
      <c r="D69" s="50" t="s">
        <v>484</v>
      </c>
      <c r="E69" s="22" t="s">
        <v>157</v>
      </c>
      <c r="F69" s="50" t="s">
        <v>485</v>
      </c>
      <c r="G69" s="50" t="s">
        <v>486</v>
      </c>
      <c r="H69" s="22">
        <v>7.990375476E9</v>
      </c>
      <c r="I69" s="25"/>
      <c r="J69" s="25"/>
      <c r="K69" s="22">
        <v>2735.0</v>
      </c>
      <c r="L69" s="52">
        <v>46276.0</v>
      </c>
      <c r="M69" s="22" t="s">
        <v>38</v>
      </c>
      <c r="N69" s="23" t="s">
        <v>39</v>
      </c>
      <c r="O69" s="22" t="s">
        <v>48</v>
      </c>
      <c r="P69" s="22" t="s">
        <v>57</v>
      </c>
      <c r="Q69" s="21"/>
      <c r="R69" s="22" t="s">
        <v>487</v>
      </c>
      <c r="S69" s="22" t="s">
        <v>488</v>
      </c>
      <c r="T69" s="25"/>
      <c r="U69" s="25"/>
      <c r="V69" s="56">
        <v>19295.0</v>
      </c>
      <c r="W69" s="56">
        <v>20671.0</v>
      </c>
      <c r="X69" s="22">
        <v>16000.0</v>
      </c>
      <c r="Y69" s="22">
        <v>16000.0</v>
      </c>
      <c r="Z69" s="16">
        <f t="shared" si="1"/>
        <v>4671</v>
      </c>
      <c r="AA69" s="17">
        <f t="shared" si="3"/>
        <v>0</v>
      </c>
      <c r="AB69" s="22" t="s">
        <v>42</v>
      </c>
      <c r="AC69" s="50" t="s">
        <v>489</v>
      </c>
      <c r="AD69" s="27"/>
      <c r="AE69" s="27"/>
    </row>
    <row r="70" hidden="1">
      <c r="A70" s="21">
        <v>68.0</v>
      </c>
      <c r="B70" s="62">
        <v>45972.0</v>
      </c>
      <c r="C70" s="50" t="s">
        <v>490</v>
      </c>
      <c r="D70" s="50" t="s">
        <v>491</v>
      </c>
      <c r="E70" s="22" t="s">
        <v>157</v>
      </c>
      <c r="F70" s="50" t="s">
        <v>492</v>
      </c>
      <c r="G70" s="50" t="s">
        <v>493</v>
      </c>
      <c r="H70" s="22" t="s">
        <v>494</v>
      </c>
      <c r="I70" s="25"/>
      <c r="J70" s="25"/>
      <c r="K70" s="22">
        <v>3120.0</v>
      </c>
      <c r="L70" s="52">
        <v>46276.0</v>
      </c>
      <c r="M70" s="22" t="s">
        <v>38</v>
      </c>
      <c r="N70" s="23" t="s">
        <v>39</v>
      </c>
      <c r="O70" s="22" t="s">
        <v>140</v>
      </c>
      <c r="P70" s="22" t="s">
        <v>41</v>
      </c>
      <c r="Q70" s="21"/>
      <c r="R70" s="24">
        <v>46000.0</v>
      </c>
      <c r="S70" s="24">
        <v>45635.0</v>
      </c>
      <c r="T70" s="25"/>
      <c r="U70" s="25"/>
      <c r="V70" s="60">
        <v>21715.0</v>
      </c>
      <c r="W70" s="60">
        <v>23525.0</v>
      </c>
      <c r="X70" s="22">
        <v>16000.0</v>
      </c>
      <c r="Y70" s="22">
        <v>16000.0</v>
      </c>
      <c r="Z70" s="17">
        <f t="shared" si="1"/>
        <v>7525</v>
      </c>
      <c r="AA70" s="17">
        <f t="shared" si="3"/>
        <v>0</v>
      </c>
      <c r="AB70" s="22" t="s">
        <v>42</v>
      </c>
      <c r="AC70" s="50" t="s">
        <v>495</v>
      </c>
      <c r="AD70" s="27"/>
      <c r="AE70" s="27"/>
    </row>
    <row r="71" hidden="1">
      <c r="A71" s="21">
        <v>69.0</v>
      </c>
      <c r="B71" s="62">
        <v>45972.0</v>
      </c>
      <c r="C71" s="50" t="s">
        <v>496</v>
      </c>
      <c r="D71" s="50" t="s">
        <v>497</v>
      </c>
      <c r="E71" s="22" t="s">
        <v>69</v>
      </c>
      <c r="F71" s="50" t="s">
        <v>498</v>
      </c>
      <c r="G71" s="50" t="s">
        <v>499</v>
      </c>
      <c r="H71" s="22">
        <v>7.984041646E9</v>
      </c>
      <c r="I71" s="22">
        <v>9.033333157E9</v>
      </c>
      <c r="J71" s="22"/>
      <c r="K71" s="22">
        <v>1196.0</v>
      </c>
      <c r="L71" s="63">
        <v>46306.0</v>
      </c>
      <c r="M71" s="22" t="s">
        <v>249</v>
      </c>
      <c r="N71" s="23" t="s">
        <v>81</v>
      </c>
      <c r="O71" s="22" t="s">
        <v>140</v>
      </c>
      <c r="P71" s="22" t="s">
        <v>73</v>
      </c>
      <c r="Q71" s="21"/>
      <c r="R71" s="22" t="s">
        <v>500</v>
      </c>
      <c r="S71" s="22" t="s">
        <v>501</v>
      </c>
      <c r="T71" s="25"/>
      <c r="U71" s="25"/>
      <c r="V71" s="53">
        <v>3476.0</v>
      </c>
      <c r="W71" s="53">
        <v>4101.68</v>
      </c>
      <c r="X71" s="22">
        <v>4000.0</v>
      </c>
      <c r="Y71" s="22">
        <v>4000.0</v>
      </c>
      <c r="Z71" s="42">
        <f t="shared" si="1"/>
        <v>101.68</v>
      </c>
      <c r="AA71" s="17">
        <f t="shared" si="3"/>
        <v>0</v>
      </c>
      <c r="AB71" s="22" t="s">
        <v>42</v>
      </c>
      <c r="AC71" s="50" t="s">
        <v>502</v>
      </c>
      <c r="AD71" s="27"/>
      <c r="AE71" s="27"/>
    </row>
    <row r="72" hidden="1">
      <c r="A72" s="19">
        <v>70.0</v>
      </c>
      <c r="B72" s="62">
        <v>45972.0</v>
      </c>
      <c r="C72" s="50" t="s">
        <v>503</v>
      </c>
      <c r="D72" s="50" t="s">
        <v>504</v>
      </c>
      <c r="E72" s="22" t="s">
        <v>157</v>
      </c>
      <c r="F72" s="50" t="s">
        <v>505</v>
      </c>
      <c r="G72" s="50" t="s">
        <v>506</v>
      </c>
      <c r="H72" s="22">
        <v>9.512588013E9</v>
      </c>
      <c r="I72" s="22">
        <v>9.638318481E9</v>
      </c>
      <c r="J72" s="22"/>
      <c r="K72" s="22">
        <v>3490.0</v>
      </c>
      <c r="L72" s="52">
        <v>46276.0</v>
      </c>
      <c r="M72" s="22" t="s">
        <v>98</v>
      </c>
      <c r="N72" s="23" t="s">
        <v>39</v>
      </c>
      <c r="O72" s="22" t="s">
        <v>48</v>
      </c>
      <c r="P72" s="22" t="s">
        <v>41</v>
      </c>
      <c r="Q72" s="21"/>
      <c r="R72" s="24">
        <v>46154.0</v>
      </c>
      <c r="S72" s="24">
        <v>45789.0</v>
      </c>
      <c r="T72" s="25"/>
      <c r="U72" s="25"/>
      <c r="V72" s="56">
        <v>21332.0</v>
      </c>
      <c r="W72" s="56">
        <v>23085.0</v>
      </c>
      <c r="X72" s="29">
        <v>15780.0</v>
      </c>
      <c r="Y72" s="22">
        <v>15000.0</v>
      </c>
      <c r="Z72" s="16">
        <f t="shared" si="1"/>
        <v>8085</v>
      </c>
      <c r="AA72" s="17">
        <f t="shared" si="3"/>
        <v>-780</v>
      </c>
      <c r="AB72" s="22" t="s">
        <v>42</v>
      </c>
      <c r="AC72" s="50" t="s">
        <v>507</v>
      </c>
      <c r="AD72" s="27"/>
      <c r="AE72" s="27"/>
    </row>
    <row r="73" hidden="1">
      <c r="A73" s="21">
        <v>71.0</v>
      </c>
      <c r="B73" s="62">
        <v>45972.0</v>
      </c>
      <c r="C73" s="50" t="s">
        <v>508</v>
      </c>
      <c r="D73" s="50" t="s">
        <v>509</v>
      </c>
      <c r="E73" s="22" t="s">
        <v>157</v>
      </c>
      <c r="F73" s="50" t="s">
        <v>510</v>
      </c>
      <c r="G73" s="50" t="s">
        <v>511</v>
      </c>
      <c r="H73" s="22">
        <v>9.979699743E9</v>
      </c>
      <c r="I73" s="25"/>
      <c r="J73" s="25"/>
      <c r="K73" s="22">
        <v>2850.0</v>
      </c>
      <c r="L73" s="63">
        <v>46306.0</v>
      </c>
      <c r="M73" s="22" t="s">
        <v>98</v>
      </c>
      <c r="N73" s="23" t="s">
        <v>39</v>
      </c>
      <c r="O73" s="22" t="s">
        <v>106</v>
      </c>
      <c r="P73" s="22" t="s">
        <v>41</v>
      </c>
      <c r="Q73" s="21"/>
      <c r="R73" s="24">
        <v>46570.0</v>
      </c>
      <c r="S73" s="22" t="s">
        <v>175</v>
      </c>
      <c r="T73" s="25"/>
      <c r="U73" s="25"/>
      <c r="V73" s="56">
        <v>25710.0</v>
      </c>
      <c r="W73" s="56">
        <v>28251.0</v>
      </c>
      <c r="X73" s="22">
        <v>18611.0</v>
      </c>
      <c r="Y73" s="22">
        <v>18800.0</v>
      </c>
      <c r="Z73" s="16">
        <f t="shared" si="1"/>
        <v>9451</v>
      </c>
      <c r="AA73" s="17">
        <f t="shared" si="3"/>
        <v>189</v>
      </c>
      <c r="AB73" s="22" t="s">
        <v>42</v>
      </c>
      <c r="AC73" s="50" t="s">
        <v>512</v>
      </c>
      <c r="AD73" s="27"/>
      <c r="AE73" s="27"/>
    </row>
    <row r="74" hidden="1">
      <c r="A74" s="21">
        <v>72.0</v>
      </c>
      <c r="B74" s="62">
        <v>45972.0</v>
      </c>
      <c r="C74" s="50" t="s">
        <v>513</v>
      </c>
      <c r="D74" s="50" t="s">
        <v>514</v>
      </c>
      <c r="E74" s="22" t="s">
        <v>276</v>
      </c>
      <c r="F74" s="50" t="s">
        <v>515</v>
      </c>
      <c r="G74" s="50" t="s">
        <v>516</v>
      </c>
      <c r="H74" s="22">
        <v>9.725629874E9</v>
      </c>
      <c r="I74" s="22">
        <v>9.033546975E9</v>
      </c>
      <c r="J74" s="22"/>
      <c r="K74" s="22">
        <v>124.0</v>
      </c>
      <c r="L74" s="63">
        <v>46306.0</v>
      </c>
      <c r="M74" s="22" t="s">
        <v>98</v>
      </c>
      <c r="N74" s="23" t="s">
        <v>81</v>
      </c>
      <c r="O74" s="22" t="s">
        <v>140</v>
      </c>
      <c r="P74" s="22" t="s">
        <v>73</v>
      </c>
      <c r="Q74" s="21"/>
      <c r="R74" s="24">
        <v>48885.0</v>
      </c>
      <c r="S74" s="28">
        <v>46366.0</v>
      </c>
      <c r="T74" s="25"/>
      <c r="U74" s="25"/>
      <c r="V74" s="53">
        <v>714.0</v>
      </c>
      <c r="W74" s="53">
        <v>843.0</v>
      </c>
      <c r="X74" s="22">
        <v>850.0</v>
      </c>
      <c r="Y74" s="22">
        <v>800.0</v>
      </c>
      <c r="Z74" s="42">
        <f t="shared" si="1"/>
        <v>43</v>
      </c>
      <c r="AA74" s="17">
        <f t="shared" si="3"/>
        <v>-50</v>
      </c>
      <c r="AB74" s="22" t="s">
        <v>42</v>
      </c>
      <c r="AC74" s="50" t="s">
        <v>517</v>
      </c>
      <c r="AD74" s="27"/>
      <c r="AE74" s="27"/>
    </row>
    <row r="75" hidden="1">
      <c r="A75" s="19">
        <v>73.0</v>
      </c>
      <c r="B75" s="62">
        <v>45972.0</v>
      </c>
      <c r="C75" s="50" t="s">
        <v>518</v>
      </c>
      <c r="D75" s="50" t="s">
        <v>519</v>
      </c>
      <c r="E75" s="22" t="s">
        <v>157</v>
      </c>
      <c r="F75" s="50" t="s">
        <v>62</v>
      </c>
      <c r="G75" s="50" t="s">
        <v>520</v>
      </c>
      <c r="H75" s="22">
        <v>6.354745787E9</v>
      </c>
      <c r="I75" s="25"/>
      <c r="J75" s="25"/>
      <c r="K75" s="22">
        <v>1630.0</v>
      </c>
      <c r="L75" s="63">
        <v>46306.0</v>
      </c>
      <c r="M75" s="22" t="s">
        <v>64</v>
      </c>
      <c r="N75" s="23" t="s">
        <v>39</v>
      </c>
      <c r="O75" s="22" t="s">
        <v>140</v>
      </c>
      <c r="P75" s="22" t="s">
        <v>41</v>
      </c>
      <c r="Q75" s="21"/>
      <c r="R75" s="24">
        <v>45911.0</v>
      </c>
      <c r="S75" s="22" t="s">
        <v>521</v>
      </c>
      <c r="T75" s="25"/>
      <c r="U75" s="25"/>
      <c r="V75" s="56">
        <v>17834.0</v>
      </c>
      <c r="W75" s="56">
        <v>18958.0</v>
      </c>
      <c r="X75" s="22">
        <v>12876.0</v>
      </c>
      <c r="Y75" s="22">
        <v>13000.0</v>
      </c>
      <c r="Z75" s="16">
        <f t="shared" si="1"/>
        <v>5958</v>
      </c>
      <c r="AA75" s="17">
        <f t="shared" si="3"/>
        <v>124</v>
      </c>
      <c r="AB75" s="22" t="s">
        <v>42</v>
      </c>
      <c r="AC75" s="50" t="s">
        <v>522</v>
      </c>
      <c r="AD75" s="27"/>
      <c r="AE75" s="27"/>
    </row>
    <row r="76" hidden="1">
      <c r="A76" s="21">
        <v>74.0</v>
      </c>
      <c r="B76" s="62">
        <v>45972.0</v>
      </c>
      <c r="C76" s="50" t="s">
        <v>523</v>
      </c>
      <c r="D76" s="50" t="s">
        <v>524</v>
      </c>
      <c r="E76" s="22" t="s">
        <v>525</v>
      </c>
      <c r="F76" s="50" t="s">
        <v>526</v>
      </c>
      <c r="G76" s="50" t="s">
        <v>527</v>
      </c>
      <c r="H76" s="22">
        <v>8.758777865E9</v>
      </c>
      <c r="I76" s="25"/>
      <c r="J76" s="25"/>
      <c r="K76" s="22">
        <v>11220.0</v>
      </c>
      <c r="L76" s="63">
        <v>46306.0</v>
      </c>
      <c r="M76" s="22" t="s">
        <v>265</v>
      </c>
      <c r="N76" s="23" t="s">
        <v>39</v>
      </c>
      <c r="O76" s="22" t="s">
        <v>48</v>
      </c>
      <c r="P76" s="22" t="s">
        <v>57</v>
      </c>
      <c r="Q76" s="21"/>
      <c r="R76" s="22" t="s">
        <v>528</v>
      </c>
      <c r="S76" s="22" t="s">
        <v>529</v>
      </c>
      <c r="T76" s="22" t="s">
        <v>530</v>
      </c>
      <c r="U76" s="25"/>
      <c r="V76" s="53">
        <v>32483.0</v>
      </c>
      <c r="W76" s="53">
        <v>34797.0</v>
      </c>
      <c r="X76" s="29">
        <v>31527.0</v>
      </c>
      <c r="Y76" s="22">
        <v>32500.0</v>
      </c>
      <c r="Z76" s="42">
        <f t="shared" si="1"/>
        <v>2297</v>
      </c>
      <c r="AA76" s="17">
        <f t="shared" si="3"/>
        <v>973</v>
      </c>
      <c r="AB76" s="22" t="s">
        <v>42</v>
      </c>
      <c r="AC76" s="50" t="s">
        <v>531</v>
      </c>
      <c r="AD76" s="21" t="s">
        <v>473</v>
      </c>
      <c r="AE76" s="27"/>
      <c r="AF76" s="50" t="s">
        <v>474</v>
      </c>
      <c r="AG76" s="50" t="s">
        <v>475</v>
      </c>
    </row>
    <row r="77" hidden="1">
      <c r="A77" s="21">
        <v>75.0</v>
      </c>
      <c r="B77" s="62">
        <v>45972.0</v>
      </c>
      <c r="C77" s="50" t="s">
        <v>532</v>
      </c>
      <c r="D77" s="50" t="s">
        <v>533</v>
      </c>
      <c r="E77" s="22" t="s">
        <v>69</v>
      </c>
      <c r="F77" s="50" t="s">
        <v>534</v>
      </c>
      <c r="G77" s="50" t="s">
        <v>535</v>
      </c>
      <c r="H77" s="22">
        <v>8.460059828E9</v>
      </c>
      <c r="I77" s="22">
        <v>9.879145201E9</v>
      </c>
      <c r="J77" s="22"/>
      <c r="K77" s="22">
        <v>1197.0</v>
      </c>
      <c r="L77" s="63">
        <v>46337.0</v>
      </c>
      <c r="M77" s="22" t="s">
        <v>38</v>
      </c>
      <c r="N77" s="23" t="s">
        <v>181</v>
      </c>
      <c r="O77" s="22" t="s">
        <v>337</v>
      </c>
      <c r="P77" s="22" t="s">
        <v>41</v>
      </c>
      <c r="Q77" s="21"/>
      <c r="R77" s="28">
        <v>51115.0</v>
      </c>
      <c r="S77" s="22" t="s">
        <v>536</v>
      </c>
      <c r="T77" s="25"/>
      <c r="U77" s="25"/>
      <c r="V77" s="53">
        <v>8858.0</v>
      </c>
      <c r="W77" s="60">
        <v>10452.0</v>
      </c>
      <c r="X77" s="22">
        <v>10750.0</v>
      </c>
      <c r="Y77" s="22">
        <v>10750.0</v>
      </c>
      <c r="Z77" s="17">
        <f t="shared" si="1"/>
        <v>-298</v>
      </c>
      <c r="AA77" s="17">
        <f t="shared" si="3"/>
        <v>0</v>
      </c>
      <c r="AB77" s="22" t="s">
        <v>42</v>
      </c>
      <c r="AC77" s="50" t="s">
        <v>537</v>
      </c>
      <c r="AD77" s="27"/>
      <c r="AE77" s="27"/>
    </row>
    <row r="78" hidden="1">
      <c r="A78" s="19">
        <v>76.0</v>
      </c>
      <c r="B78" s="62">
        <v>45972.0</v>
      </c>
      <c r="C78" s="50" t="s">
        <v>538</v>
      </c>
      <c r="D78" s="51">
        <v>7.10025013E8</v>
      </c>
      <c r="E78" s="22" t="s">
        <v>69</v>
      </c>
      <c r="F78" s="50" t="s">
        <v>539</v>
      </c>
      <c r="G78" s="50" t="s">
        <v>540</v>
      </c>
      <c r="H78" s="22">
        <v>9.707059999E9</v>
      </c>
      <c r="I78" s="25"/>
      <c r="J78" s="25"/>
      <c r="K78" s="22">
        <v>1497.0</v>
      </c>
      <c r="L78" s="63">
        <v>46306.0</v>
      </c>
      <c r="M78" s="22" t="s">
        <v>451</v>
      </c>
      <c r="N78" s="23" t="s">
        <v>181</v>
      </c>
      <c r="O78" s="22" t="s">
        <v>140</v>
      </c>
      <c r="P78" s="22" t="s">
        <v>73</v>
      </c>
      <c r="Q78" s="21"/>
      <c r="R78" s="22" t="s">
        <v>541</v>
      </c>
      <c r="S78" s="28">
        <v>46367.0</v>
      </c>
      <c r="T78" s="25"/>
      <c r="U78" s="25"/>
      <c r="V78" s="53">
        <v>12567.96</v>
      </c>
      <c r="W78" s="56">
        <v>14830.19</v>
      </c>
      <c r="X78" s="22">
        <v>14830.0</v>
      </c>
      <c r="Y78" s="22">
        <v>15000.0</v>
      </c>
      <c r="Z78" s="16">
        <f t="shared" si="1"/>
        <v>-169.81</v>
      </c>
      <c r="AA78" s="17">
        <f t="shared" si="3"/>
        <v>170</v>
      </c>
      <c r="AB78" s="22" t="s">
        <v>42</v>
      </c>
      <c r="AC78" s="50" t="s">
        <v>542</v>
      </c>
      <c r="AD78" s="27"/>
      <c r="AE78" s="27"/>
    </row>
    <row r="79" hidden="1">
      <c r="A79" s="21">
        <v>77.0</v>
      </c>
      <c r="B79" s="64">
        <v>46002.0</v>
      </c>
      <c r="C79" s="43" t="s">
        <v>543</v>
      </c>
      <c r="D79" s="43" t="s">
        <v>544</v>
      </c>
      <c r="E79" s="32" t="s">
        <v>525</v>
      </c>
      <c r="F79" s="43" t="s">
        <v>545</v>
      </c>
      <c r="G79" s="43" t="s">
        <v>546</v>
      </c>
      <c r="H79" s="32">
        <v>8.758870374E9</v>
      </c>
      <c r="I79" s="32">
        <v>9.023391091E9</v>
      </c>
      <c r="J79" s="32"/>
      <c r="K79" s="32">
        <v>11990.0</v>
      </c>
      <c r="L79" s="65">
        <v>46306.0</v>
      </c>
      <c r="M79" s="32" t="s">
        <v>98</v>
      </c>
      <c r="N79" s="33" t="s">
        <v>39</v>
      </c>
      <c r="O79" s="32" t="s">
        <v>140</v>
      </c>
      <c r="P79" s="32" t="s">
        <v>57</v>
      </c>
      <c r="Q79" s="31"/>
      <c r="R79" s="32" t="s">
        <v>547</v>
      </c>
      <c r="S79" s="32" t="s">
        <v>548</v>
      </c>
      <c r="T79" s="32" t="s">
        <v>549</v>
      </c>
      <c r="U79" s="32" t="s">
        <v>550</v>
      </c>
      <c r="V79" s="44">
        <v>43718.0</v>
      </c>
      <c r="W79" s="44">
        <v>48053.0</v>
      </c>
      <c r="X79" s="32">
        <v>41162.0</v>
      </c>
      <c r="Y79" s="32">
        <v>42000.0</v>
      </c>
      <c r="Z79" s="38">
        <f t="shared" si="1"/>
        <v>6053</v>
      </c>
      <c r="AA79" s="17">
        <f t="shared" si="3"/>
        <v>838</v>
      </c>
      <c r="AB79" s="32" t="s">
        <v>42</v>
      </c>
      <c r="AC79" s="43" t="s">
        <v>551</v>
      </c>
      <c r="AD79" s="39"/>
      <c r="AE79" s="39"/>
      <c r="AF79" s="40"/>
      <c r="AG79" s="40"/>
    </row>
    <row r="80" hidden="1">
      <c r="A80" s="21">
        <v>78.0</v>
      </c>
      <c r="B80" s="62">
        <v>46002.0</v>
      </c>
      <c r="C80" s="50" t="s">
        <v>552</v>
      </c>
      <c r="D80" s="50" t="s">
        <v>553</v>
      </c>
      <c r="E80" s="22" t="s">
        <v>276</v>
      </c>
      <c r="F80" s="50" t="s">
        <v>554</v>
      </c>
      <c r="G80" s="50" t="s">
        <v>555</v>
      </c>
      <c r="H80" s="22">
        <v>9.879272786E9</v>
      </c>
      <c r="I80" s="25"/>
      <c r="J80" s="25"/>
      <c r="K80" s="22">
        <v>97.0</v>
      </c>
      <c r="L80" s="63">
        <v>46337.0</v>
      </c>
      <c r="M80" s="22" t="s">
        <v>153</v>
      </c>
      <c r="N80" s="23" t="s">
        <v>81</v>
      </c>
      <c r="O80" s="22" t="s">
        <v>140</v>
      </c>
      <c r="P80" s="53" t="s">
        <v>73</v>
      </c>
      <c r="Q80" s="50"/>
      <c r="R80" s="21" t="s">
        <v>556</v>
      </c>
      <c r="S80" s="25"/>
      <c r="T80" s="25"/>
      <c r="U80" s="25"/>
      <c r="V80" s="53">
        <v>714.0</v>
      </c>
      <c r="W80" s="53">
        <v>842.52</v>
      </c>
      <c r="X80" s="22">
        <v>850.0</v>
      </c>
      <c r="Y80" s="22">
        <v>900.0</v>
      </c>
      <c r="Z80" s="42">
        <f t="shared" si="1"/>
        <v>-57.48</v>
      </c>
      <c r="AA80" s="17">
        <f t="shared" si="3"/>
        <v>50</v>
      </c>
      <c r="AB80" s="22" t="s">
        <v>42</v>
      </c>
      <c r="AC80" s="50" t="s">
        <v>557</v>
      </c>
      <c r="AD80" s="27"/>
      <c r="AE80" s="27"/>
    </row>
    <row r="81" hidden="1">
      <c r="A81" s="19">
        <v>79.0</v>
      </c>
      <c r="B81" s="62">
        <v>46002.0</v>
      </c>
      <c r="C81" s="50" t="s">
        <v>558</v>
      </c>
      <c r="D81" s="50" t="s">
        <v>559</v>
      </c>
      <c r="E81" s="22" t="s">
        <v>276</v>
      </c>
      <c r="F81" s="50" t="s">
        <v>560</v>
      </c>
      <c r="G81" s="50" t="s">
        <v>561</v>
      </c>
      <c r="H81" s="22">
        <v>9.909501009E9</v>
      </c>
      <c r="I81" s="22">
        <v>9.898242723E9</v>
      </c>
      <c r="J81" s="22"/>
      <c r="K81" s="22">
        <v>100.0</v>
      </c>
      <c r="L81" s="63">
        <v>46337.0</v>
      </c>
      <c r="M81" s="22" t="s">
        <v>98</v>
      </c>
      <c r="N81" s="23" t="s">
        <v>81</v>
      </c>
      <c r="O81" s="22" t="s">
        <v>140</v>
      </c>
      <c r="P81" s="22" t="s">
        <v>73</v>
      </c>
      <c r="Q81" s="21"/>
      <c r="R81" s="22" t="s">
        <v>562</v>
      </c>
      <c r="S81" s="25"/>
      <c r="T81" s="25"/>
      <c r="U81" s="25"/>
      <c r="V81" s="53">
        <v>714.0</v>
      </c>
      <c r="W81" s="53">
        <v>843.0</v>
      </c>
      <c r="X81" s="22">
        <v>850.0</v>
      </c>
      <c r="Y81" s="22">
        <v>850.0</v>
      </c>
      <c r="Z81" s="42">
        <f t="shared" si="1"/>
        <v>-7</v>
      </c>
      <c r="AA81" s="17">
        <f t="shared" si="3"/>
        <v>0</v>
      </c>
      <c r="AB81" s="22" t="s">
        <v>42</v>
      </c>
      <c r="AC81" s="50" t="s">
        <v>563</v>
      </c>
      <c r="AD81" s="27"/>
      <c r="AE81" s="27"/>
    </row>
    <row r="82" hidden="1">
      <c r="A82" s="21">
        <v>80.0</v>
      </c>
      <c r="B82" s="62">
        <v>46002.0</v>
      </c>
      <c r="C82" s="50" t="s">
        <v>564</v>
      </c>
      <c r="D82" s="50" t="s">
        <v>565</v>
      </c>
      <c r="E82" s="22" t="s">
        <v>276</v>
      </c>
      <c r="F82" s="50" t="s">
        <v>566</v>
      </c>
      <c r="G82" s="50" t="s">
        <v>567</v>
      </c>
      <c r="H82" s="22">
        <v>7.096997799E9</v>
      </c>
      <c r="I82" s="22">
        <v>7.698745578E9</v>
      </c>
      <c r="J82" s="22"/>
      <c r="K82" s="22">
        <v>109.0</v>
      </c>
      <c r="L82" s="63">
        <v>46337.0</v>
      </c>
      <c r="M82" s="22" t="s">
        <v>98</v>
      </c>
      <c r="N82" s="23" t="s">
        <v>81</v>
      </c>
      <c r="O82" s="22" t="s">
        <v>140</v>
      </c>
      <c r="P82" s="22" t="s">
        <v>73</v>
      </c>
      <c r="Q82" s="21"/>
      <c r="R82" s="22" t="s">
        <v>568</v>
      </c>
      <c r="S82" s="24">
        <v>46205.0</v>
      </c>
      <c r="T82" s="25"/>
      <c r="U82" s="25"/>
      <c r="V82" s="53">
        <v>714.0</v>
      </c>
      <c r="W82" s="53">
        <v>843.0</v>
      </c>
      <c r="X82" s="22">
        <v>850.0</v>
      </c>
      <c r="Y82" s="22">
        <v>850.0</v>
      </c>
      <c r="Z82" s="42">
        <f t="shared" si="1"/>
        <v>-7</v>
      </c>
      <c r="AA82" s="17">
        <f t="shared" si="3"/>
        <v>0</v>
      </c>
      <c r="AB82" s="22" t="s">
        <v>42</v>
      </c>
      <c r="AC82" s="50" t="s">
        <v>569</v>
      </c>
      <c r="AD82" s="27"/>
      <c r="AE82" s="27"/>
    </row>
    <row r="83" hidden="1">
      <c r="A83" s="21">
        <v>81.0</v>
      </c>
      <c r="B83" s="62">
        <v>46002.0</v>
      </c>
      <c r="C83" s="50" t="s">
        <v>570</v>
      </c>
      <c r="D83" s="50" t="s">
        <v>571</v>
      </c>
      <c r="E83" s="22" t="s">
        <v>69</v>
      </c>
      <c r="F83" s="50" t="s">
        <v>572</v>
      </c>
      <c r="G83" s="50" t="s">
        <v>573</v>
      </c>
      <c r="H83" s="22">
        <v>9.737883128E9</v>
      </c>
      <c r="I83" s="25"/>
      <c r="J83" s="25"/>
      <c r="K83" s="22">
        <v>1197.0</v>
      </c>
      <c r="L83" s="63">
        <v>46337.0</v>
      </c>
      <c r="M83" s="22" t="s">
        <v>167</v>
      </c>
      <c r="N83" s="23" t="s">
        <v>81</v>
      </c>
      <c r="O83" s="22" t="s">
        <v>259</v>
      </c>
      <c r="P83" s="22" t="s">
        <v>73</v>
      </c>
      <c r="Q83" s="22"/>
      <c r="R83" s="24">
        <v>50294.0</v>
      </c>
      <c r="S83" s="22" t="s">
        <v>574</v>
      </c>
      <c r="T83" s="25"/>
      <c r="U83" s="25"/>
      <c r="V83" s="53">
        <v>3416.0</v>
      </c>
      <c r="W83" s="53">
        <v>4031.0</v>
      </c>
      <c r="X83" s="22">
        <v>4000.0</v>
      </c>
      <c r="Y83" s="22">
        <v>4000.0</v>
      </c>
      <c r="Z83" s="42">
        <f t="shared" si="1"/>
        <v>31</v>
      </c>
      <c r="AA83" s="17">
        <f t="shared" si="3"/>
        <v>0</v>
      </c>
      <c r="AB83" s="22" t="s">
        <v>42</v>
      </c>
      <c r="AC83" s="50" t="s">
        <v>575</v>
      </c>
      <c r="AD83" s="27"/>
      <c r="AE83" s="27"/>
    </row>
    <row r="84" hidden="1">
      <c r="A84" s="19">
        <v>82.0</v>
      </c>
      <c r="B84" s="62">
        <v>46002.0</v>
      </c>
      <c r="C84" s="50" t="s">
        <v>576</v>
      </c>
      <c r="D84" s="50" t="s">
        <v>577</v>
      </c>
      <c r="E84" s="22" t="s">
        <v>69</v>
      </c>
      <c r="F84" s="50" t="s">
        <v>578</v>
      </c>
      <c r="G84" s="50" t="s">
        <v>579</v>
      </c>
      <c r="H84" s="22">
        <v>7.990900275E9</v>
      </c>
      <c r="I84" s="25"/>
      <c r="J84" s="25"/>
      <c r="K84" s="22">
        <v>1196.0</v>
      </c>
      <c r="L84" s="63">
        <v>46367.0</v>
      </c>
      <c r="M84" s="22" t="s">
        <v>249</v>
      </c>
      <c r="N84" s="23" t="s">
        <v>81</v>
      </c>
      <c r="O84" s="22" t="s">
        <v>140</v>
      </c>
      <c r="P84" s="22" t="s">
        <v>73</v>
      </c>
      <c r="Q84" s="21"/>
      <c r="R84" s="22" t="s">
        <v>580</v>
      </c>
      <c r="S84" s="22" t="s">
        <v>581</v>
      </c>
      <c r="T84" s="25"/>
      <c r="U84" s="25"/>
      <c r="V84" s="53">
        <v>3476.0</v>
      </c>
      <c r="W84" s="53">
        <v>4101.68</v>
      </c>
      <c r="X84" s="22">
        <v>4000.0</v>
      </c>
      <c r="Y84" s="22">
        <v>4000.0</v>
      </c>
      <c r="Z84" s="42">
        <f t="shared" si="1"/>
        <v>101.68</v>
      </c>
      <c r="AA84" s="17">
        <f t="shared" si="3"/>
        <v>0</v>
      </c>
      <c r="AB84" s="22" t="s">
        <v>42</v>
      </c>
      <c r="AC84" s="50" t="s">
        <v>582</v>
      </c>
      <c r="AD84" s="27"/>
      <c r="AE84" s="27"/>
    </row>
    <row r="85" hidden="1">
      <c r="A85" s="21">
        <v>83.0</v>
      </c>
      <c r="B85" s="62">
        <v>46002.0</v>
      </c>
      <c r="C85" s="50" t="s">
        <v>583</v>
      </c>
      <c r="D85" s="50" t="s">
        <v>584</v>
      </c>
      <c r="E85" s="22" t="s">
        <v>53</v>
      </c>
      <c r="F85" s="50" t="s">
        <v>241</v>
      </c>
      <c r="G85" s="50" t="s">
        <v>585</v>
      </c>
      <c r="H85" s="22">
        <v>9.725864111E9</v>
      </c>
      <c r="I85" s="22">
        <v>9.809812317E9</v>
      </c>
      <c r="J85" s="22"/>
      <c r="K85" s="22">
        <v>806.0</v>
      </c>
      <c r="L85" s="63">
        <v>46367.0</v>
      </c>
      <c r="M85" s="22" t="s">
        <v>153</v>
      </c>
      <c r="N85" s="23" t="s">
        <v>39</v>
      </c>
      <c r="O85" s="22" t="s">
        <v>140</v>
      </c>
      <c r="P85" s="22" t="s">
        <v>57</v>
      </c>
      <c r="Q85" s="21"/>
      <c r="R85" s="22" t="s">
        <v>586</v>
      </c>
      <c r="S85" s="22" t="s">
        <v>587</v>
      </c>
      <c r="T85" s="25"/>
      <c r="U85" s="25"/>
      <c r="V85" s="53">
        <v>6208.29</v>
      </c>
      <c r="W85" s="53">
        <v>7325.79</v>
      </c>
      <c r="X85" s="22">
        <v>6500.0</v>
      </c>
      <c r="Y85" s="22">
        <v>6000.0</v>
      </c>
      <c r="Z85" s="42">
        <f t="shared" si="1"/>
        <v>1325.79</v>
      </c>
      <c r="AA85" s="17">
        <f t="shared" si="3"/>
        <v>-500</v>
      </c>
      <c r="AB85" s="22" t="s">
        <v>42</v>
      </c>
      <c r="AC85" s="50" t="s">
        <v>588</v>
      </c>
      <c r="AD85" s="27"/>
      <c r="AE85" s="27"/>
    </row>
    <row r="86" hidden="1">
      <c r="A86" s="21">
        <v>84.0</v>
      </c>
      <c r="B86" s="64">
        <v>46002.0</v>
      </c>
      <c r="C86" s="43" t="s">
        <v>589</v>
      </c>
      <c r="D86" s="43" t="s">
        <v>590</v>
      </c>
      <c r="E86" s="32" t="s">
        <v>591</v>
      </c>
      <c r="F86" s="43" t="s">
        <v>592</v>
      </c>
      <c r="G86" s="43" t="s">
        <v>593</v>
      </c>
      <c r="H86" s="32">
        <v>7.9907858E9</v>
      </c>
      <c r="I86" s="32">
        <v>9.879428428E9</v>
      </c>
      <c r="J86" s="32"/>
      <c r="K86" s="32">
        <v>1493.0</v>
      </c>
      <c r="L86" s="65">
        <v>46337.0</v>
      </c>
      <c r="M86" s="32" t="s">
        <v>265</v>
      </c>
      <c r="N86" s="23" t="s">
        <v>39</v>
      </c>
      <c r="O86" s="32" t="s">
        <v>311</v>
      </c>
      <c r="P86" s="32" t="s">
        <v>41</v>
      </c>
      <c r="Q86" s="31"/>
      <c r="R86" s="32" t="s">
        <v>594</v>
      </c>
      <c r="S86" s="32" t="s">
        <v>595</v>
      </c>
      <c r="T86" s="34">
        <v>47362.0</v>
      </c>
      <c r="U86" s="35"/>
      <c r="V86" s="46">
        <v>17660.0</v>
      </c>
      <c r="W86" s="46">
        <v>20839.0</v>
      </c>
      <c r="X86" s="32">
        <v>20000.0</v>
      </c>
      <c r="Y86" s="32">
        <v>19000.0</v>
      </c>
      <c r="Z86" s="42">
        <f t="shared" si="1"/>
        <v>1839</v>
      </c>
      <c r="AA86" s="17">
        <f t="shared" si="3"/>
        <v>-1000</v>
      </c>
      <c r="AB86" s="32" t="s">
        <v>42</v>
      </c>
      <c r="AC86" s="43" t="s">
        <v>596</v>
      </c>
      <c r="AD86" s="39"/>
      <c r="AE86" s="39"/>
      <c r="AF86" s="40"/>
      <c r="AG86" s="40"/>
    </row>
    <row r="87" hidden="1">
      <c r="A87" s="19">
        <v>85.0</v>
      </c>
      <c r="B87" s="62">
        <v>46002.0</v>
      </c>
      <c r="C87" s="50" t="s">
        <v>597</v>
      </c>
      <c r="D87" s="50" t="s">
        <v>598</v>
      </c>
      <c r="E87" s="22" t="s">
        <v>86</v>
      </c>
      <c r="F87" s="50" t="s">
        <v>599</v>
      </c>
      <c r="G87" s="50" t="s">
        <v>527</v>
      </c>
      <c r="H87" s="22">
        <v>8.758777865E9</v>
      </c>
      <c r="I87" s="22">
        <v>6.354835701E9</v>
      </c>
      <c r="J87" s="22"/>
      <c r="K87" s="22">
        <v>28000.0</v>
      </c>
      <c r="L87" s="63">
        <v>46337.0</v>
      </c>
      <c r="M87" s="22" t="s">
        <v>265</v>
      </c>
      <c r="N87" s="23" t="s">
        <v>39</v>
      </c>
      <c r="O87" s="22" t="s">
        <v>48</v>
      </c>
      <c r="P87" s="22" t="s">
        <v>41</v>
      </c>
      <c r="Q87" s="21"/>
      <c r="R87" s="22" t="s">
        <v>600</v>
      </c>
      <c r="S87" s="24">
        <v>46359.0</v>
      </c>
      <c r="T87" s="22" t="s">
        <v>355</v>
      </c>
      <c r="U87" s="25"/>
      <c r="V87" s="53">
        <v>48189.0</v>
      </c>
      <c r="W87" s="53">
        <v>51151.0</v>
      </c>
      <c r="X87" s="22">
        <v>42416.0</v>
      </c>
      <c r="Y87" s="22">
        <v>42500.0</v>
      </c>
      <c r="Z87" s="42">
        <f t="shared" si="1"/>
        <v>8651</v>
      </c>
      <c r="AA87" s="17">
        <f t="shared" si="3"/>
        <v>84</v>
      </c>
      <c r="AB87" s="22" t="s">
        <v>42</v>
      </c>
      <c r="AC87" s="50" t="s">
        <v>601</v>
      </c>
      <c r="AD87" s="21" t="s">
        <v>473</v>
      </c>
      <c r="AE87" s="27"/>
      <c r="AF87" s="50" t="s">
        <v>474</v>
      </c>
      <c r="AG87" s="50" t="s">
        <v>475</v>
      </c>
    </row>
    <row r="88" hidden="1">
      <c r="A88" s="21">
        <v>86.0</v>
      </c>
      <c r="B88" s="62">
        <v>46002.0</v>
      </c>
      <c r="C88" s="50" t="s">
        <v>602</v>
      </c>
      <c r="D88" s="50" t="s">
        <v>603</v>
      </c>
      <c r="E88" s="22" t="s">
        <v>157</v>
      </c>
      <c r="F88" s="50" t="s">
        <v>301</v>
      </c>
      <c r="G88" s="50" t="s">
        <v>604</v>
      </c>
      <c r="H88" s="22">
        <v>8.238577023E9</v>
      </c>
      <c r="I88" s="22">
        <v>9.687075363E9</v>
      </c>
      <c r="J88" s="22"/>
      <c r="K88" s="22">
        <v>3460.0</v>
      </c>
      <c r="L88" s="53" t="s">
        <v>427</v>
      </c>
      <c r="M88" s="22" t="s">
        <v>38</v>
      </c>
      <c r="N88" s="23" t="s">
        <v>39</v>
      </c>
      <c r="O88" s="22" t="s">
        <v>40</v>
      </c>
      <c r="P88" s="22" t="s">
        <v>41</v>
      </c>
      <c r="Q88" s="21"/>
      <c r="R88" s="22" t="s">
        <v>470</v>
      </c>
      <c r="S88" s="22" t="s">
        <v>471</v>
      </c>
      <c r="T88" s="22" t="s">
        <v>122</v>
      </c>
      <c r="U88" s="25"/>
      <c r="V88" s="56">
        <v>22901.0</v>
      </c>
      <c r="W88" s="56">
        <v>24925.0</v>
      </c>
      <c r="X88" s="22">
        <v>15791.0</v>
      </c>
      <c r="Y88" s="22">
        <v>16000.0</v>
      </c>
      <c r="Z88" s="16">
        <f t="shared" si="1"/>
        <v>8925</v>
      </c>
      <c r="AA88" s="17">
        <f t="shared" si="3"/>
        <v>209</v>
      </c>
      <c r="AB88" s="22" t="s">
        <v>42</v>
      </c>
      <c r="AC88" s="50" t="s">
        <v>605</v>
      </c>
      <c r="AD88" s="27"/>
      <c r="AE88" s="27"/>
    </row>
    <row r="89" hidden="1">
      <c r="A89" s="21">
        <v>87.0</v>
      </c>
      <c r="B89" s="62">
        <v>46002.0</v>
      </c>
      <c r="C89" s="50" t="s">
        <v>606</v>
      </c>
      <c r="D89" s="50" t="s">
        <v>607</v>
      </c>
      <c r="E89" s="22" t="s">
        <v>276</v>
      </c>
      <c r="F89" s="50" t="s">
        <v>608</v>
      </c>
      <c r="G89" s="50" t="s">
        <v>609</v>
      </c>
      <c r="H89" s="22">
        <v>9.825847661E9</v>
      </c>
      <c r="I89" s="25"/>
      <c r="J89" s="25"/>
      <c r="K89" s="22">
        <v>109.0</v>
      </c>
      <c r="L89" s="63">
        <v>46337.0</v>
      </c>
      <c r="M89" s="22" t="s">
        <v>98</v>
      </c>
      <c r="N89" s="23" t="s">
        <v>81</v>
      </c>
      <c r="O89" s="22" t="s">
        <v>140</v>
      </c>
      <c r="P89" s="22" t="s">
        <v>73</v>
      </c>
      <c r="Q89" s="21"/>
      <c r="R89" s="22" t="s">
        <v>610</v>
      </c>
      <c r="S89" s="25"/>
      <c r="T89" s="25"/>
      <c r="U89" s="25"/>
      <c r="V89" s="53">
        <v>714.0</v>
      </c>
      <c r="W89" s="53">
        <v>843.0</v>
      </c>
      <c r="X89" s="22">
        <v>850.0</v>
      </c>
      <c r="Y89" s="22">
        <v>850.0</v>
      </c>
      <c r="Z89" s="42">
        <f t="shared" si="1"/>
        <v>-7</v>
      </c>
      <c r="AA89" s="17">
        <f t="shared" si="3"/>
        <v>0</v>
      </c>
      <c r="AB89" s="22" t="s">
        <v>42</v>
      </c>
      <c r="AC89" s="50" t="s">
        <v>611</v>
      </c>
      <c r="AD89" s="27"/>
      <c r="AE89" s="27"/>
    </row>
    <row r="90" hidden="1">
      <c r="A90" s="19">
        <v>88.0</v>
      </c>
      <c r="B90" s="62">
        <v>46002.0</v>
      </c>
      <c r="C90" s="21" t="s">
        <v>612</v>
      </c>
      <c r="D90" s="50" t="s">
        <v>613</v>
      </c>
      <c r="E90" s="22" t="s">
        <v>86</v>
      </c>
      <c r="F90" s="50" t="s">
        <v>614</v>
      </c>
      <c r="G90" s="50" t="s">
        <v>615</v>
      </c>
      <c r="H90" s="22">
        <v>9.727825319E9</v>
      </c>
      <c r="I90" s="22">
        <v>8.86630903E9</v>
      </c>
      <c r="J90" s="22"/>
      <c r="K90" s="22">
        <v>45500.0</v>
      </c>
      <c r="L90" s="63">
        <v>46306.0</v>
      </c>
      <c r="M90" s="22" t="s">
        <v>265</v>
      </c>
      <c r="N90" s="23" t="s">
        <v>39</v>
      </c>
      <c r="O90" s="22" t="s">
        <v>337</v>
      </c>
      <c r="P90" s="22" t="s">
        <v>41</v>
      </c>
      <c r="Q90" s="21"/>
      <c r="R90" s="22" t="s">
        <v>176</v>
      </c>
      <c r="S90" s="22" t="s">
        <v>470</v>
      </c>
      <c r="T90" s="22" t="s">
        <v>616</v>
      </c>
      <c r="U90" s="25"/>
      <c r="V90" s="53">
        <v>75342.0</v>
      </c>
      <c r="W90" s="53">
        <v>83154.0</v>
      </c>
      <c r="X90" s="22">
        <v>80000.0</v>
      </c>
      <c r="Y90" s="22">
        <v>80000.0</v>
      </c>
      <c r="Z90" s="42">
        <f t="shared" si="1"/>
        <v>3154</v>
      </c>
      <c r="AA90" s="17">
        <f t="shared" si="3"/>
        <v>0</v>
      </c>
      <c r="AB90" s="22" t="s">
        <v>42</v>
      </c>
      <c r="AC90" s="50" t="s">
        <v>617</v>
      </c>
      <c r="AD90" s="21" t="s">
        <v>473</v>
      </c>
      <c r="AE90" s="27"/>
      <c r="AF90" s="59">
        <v>45881.0</v>
      </c>
      <c r="AG90" s="50" t="s">
        <v>475</v>
      </c>
    </row>
    <row r="91" hidden="1">
      <c r="A91" s="21">
        <v>89.0</v>
      </c>
      <c r="B91" s="62">
        <v>46002.0</v>
      </c>
      <c r="C91" s="21" t="s">
        <v>618</v>
      </c>
      <c r="D91" s="50" t="s">
        <v>619</v>
      </c>
      <c r="E91" s="22" t="s">
        <v>86</v>
      </c>
      <c r="F91" s="50" t="s">
        <v>620</v>
      </c>
      <c r="G91" s="50" t="s">
        <v>615</v>
      </c>
      <c r="H91" s="22">
        <v>9.727825319E9</v>
      </c>
      <c r="I91" s="22">
        <v>8.86630903E9</v>
      </c>
      <c r="J91" s="22"/>
      <c r="K91" s="22">
        <v>45500.0</v>
      </c>
      <c r="L91" s="63">
        <v>46306.0</v>
      </c>
      <c r="M91" s="22" t="s">
        <v>265</v>
      </c>
      <c r="N91" s="23" t="s">
        <v>39</v>
      </c>
      <c r="O91" s="22" t="s">
        <v>337</v>
      </c>
      <c r="P91" s="22" t="s">
        <v>41</v>
      </c>
      <c r="Q91" s="21"/>
      <c r="R91" s="22" t="s">
        <v>176</v>
      </c>
      <c r="S91" s="22" t="s">
        <v>470</v>
      </c>
      <c r="T91" s="22" t="s">
        <v>616</v>
      </c>
      <c r="U91" s="25"/>
      <c r="V91" s="53">
        <v>75342.0</v>
      </c>
      <c r="W91" s="53">
        <v>83154.0</v>
      </c>
      <c r="X91" s="22">
        <v>80000.0</v>
      </c>
      <c r="Y91" s="22">
        <v>80000.0</v>
      </c>
      <c r="Z91" s="42">
        <f t="shared" si="1"/>
        <v>3154</v>
      </c>
      <c r="AA91" s="17">
        <f t="shared" si="3"/>
        <v>0</v>
      </c>
      <c r="AB91" s="22" t="s">
        <v>42</v>
      </c>
      <c r="AC91" s="50" t="s">
        <v>621</v>
      </c>
      <c r="AD91" s="21" t="s">
        <v>473</v>
      </c>
      <c r="AE91" s="27"/>
      <c r="AF91" s="59">
        <v>45881.0</v>
      </c>
      <c r="AG91" s="50" t="s">
        <v>475</v>
      </c>
    </row>
    <row r="92" hidden="1">
      <c r="A92" s="21">
        <v>90.0</v>
      </c>
      <c r="B92" s="62">
        <v>46002.0</v>
      </c>
      <c r="C92" s="50" t="s">
        <v>622</v>
      </c>
      <c r="D92" s="50" t="s">
        <v>623</v>
      </c>
      <c r="E92" s="22" t="s">
        <v>69</v>
      </c>
      <c r="F92" s="50" t="s">
        <v>624</v>
      </c>
      <c r="G92" s="50" t="s">
        <v>625</v>
      </c>
      <c r="H92" s="22">
        <v>6.356110902E9</v>
      </c>
      <c r="I92" s="22">
        <v>9.909530125E9</v>
      </c>
      <c r="J92" s="22"/>
      <c r="K92" s="22">
        <v>1195.0</v>
      </c>
      <c r="L92" s="63">
        <v>46337.0</v>
      </c>
      <c r="M92" s="22" t="s">
        <v>329</v>
      </c>
      <c r="N92" s="23" t="s">
        <v>39</v>
      </c>
      <c r="O92" s="22" t="s">
        <v>48</v>
      </c>
      <c r="P92" s="22" t="s">
        <v>452</v>
      </c>
      <c r="Q92" s="21"/>
      <c r="R92" s="22" t="s">
        <v>74</v>
      </c>
      <c r="S92" s="22" t="s">
        <v>626</v>
      </c>
      <c r="T92" s="25"/>
      <c r="U92" s="25"/>
      <c r="V92" s="56">
        <v>8477.0</v>
      </c>
      <c r="W92" s="56">
        <v>10003.0</v>
      </c>
      <c r="X92" s="22">
        <v>10003.0</v>
      </c>
      <c r="Y92" s="22">
        <v>10000.0</v>
      </c>
      <c r="Z92" s="16">
        <f t="shared" si="1"/>
        <v>3</v>
      </c>
      <c r="AA92" s="17">
        <f t="shared" si="3"/>
        <v>-3</v>
      </c>
      <c r="AB92" s="22" t="s">
        <v>42</v>
      </c>
      <c r="AC92" s="50" t="s">
        <v>627</v>
      </c>
      <c r="AD92" s="27"/>
      <c r="AE92" s="27"/>
    </row>
    <row r="93" hidden="1">
      <c r="A93" s="19">
        <v>91.0</v>
      </c>
      <c r="B93" s="62">
        <v>46002.0</v>
      </c>
      <c r="C93" s="21" t="s">
        <v>628</v>
      </c>
      <c r="D93" s="50" t="s">
        <v>629</v>
      </c>
      <c r="E93" s="22" t="s">
        <v>591</v>
      </c>
      <c r="F93" s="50" t="s">
        <v>630</v>
      </c>
      <c r="G93" s="50" t="s">
        <v>631</v>
      </c>
      <c r="H93" s="22">
        <v>7.777997704E9</v>
      </c>
      <c r="I93" s="22">
        <v>7.504444443E9</v>
      </c>
      <c r="J93" s="22"/>
      <c r="K93" s="22">
        <v>1197.0</v>
      </c>
      <c r="L93" s="63">
        <v>46367.0</v>
      </c>
      <c r="M93" s="22" t="s">
        <v>147</v>
      </c>
      <c r="N93" s="23" t="s">
        <v>39</v>
      </c>
      <c r="O93" s="22" t="s">
        <v>48</v>
      </c>
      <c r="P93" s="22" t="s">
        <v>41</v>
      </c>
      <c r="Q93" s="21"/>
      <c r="R93" s="28">
        <v>46671.0</v>
      </c>
      <c r="S93" s="22" t="s">
        <v>632</v>
      </c>
      <c r="T93" s="24">
        <v>46855.0</v>
      </c>
      <c r="U93" s="25"/>
      <c r="V93" s="56">
        <v>20615.0</v>
      </c>
      <c r="W93" s="56">
        <v>24326.0</v>
      </c>
      <c r="X93" s="22">
        <v>22642.0</v>
      </c>
      <c r="Y93" s="22">
        <v>22000.0</v>
      </c>
      <c r="Z93" s="16">
        <f t="shared" si="1"/>
        <v>2326</v>
      </c>
      <c r="AA93" s="17">
        <f t="shared" si="3"/>
        <v>-642</v>
      </c>
      <c r="AB93" s="22" t="s">
        <v>42</v>
      </c>
      <c r="AC93" s="50" t="s">
        <v>633</v>
      </c>
      <c r="AD93" s="27"/>
      <c r="AE93" s="27"/>
    </row>
    <row r="94" hidden="1">
      <c r="A94" s="21">
        <v>92.0</v>
      </c>
      <c r="B94" s="62">
        <v>46002.0</v>
      </c>
      <c r="C94" s="50" t="s">
        <v>634</v>
      </c>
      <c r="D94" s="50" t="s">
        <v>635</v>
      </c>
      <c r="E94" s="22" t="s">
        <v>69</v>
      </c>
      <c r="F94" s="50" t="s">
        <v>636</v>
      </c>
      <c r="G94" s="50" t="s">
        <v>637</v>
      </c>
      <c r="H94" s="22" t="s">
        <v>638</v>
      </c>
      <c r="I94" s="25"/>
      <c r="J94" s="25"/>
      <c r="K94" s="22">
        <v>1248.0</v>
      </c>
      <c r="L94" s="63">
        <v>46367.0</v>
      </c>
      <c r="M94" s="22" t="s">
        <v>153</v>
      </c>
      <c r="N94" s="23" t="s">
        <v>81</v>
      </c>
      <c r="O94" s="22" t="s">
        <v>140</v>
      </c>
      <c r="P94" s="22" t="s">
        <v>73</v>
      </c>
      <c r="Q94" s="21"/>
      <c r="R94" s="24">
        <v>47002.0</v>
      </c>
      <c r="S94" s="22" t="s">
        <v>639</v>
      </c>
      <c r="T94" s="25"/>
      <c r="U94" s="25"/>
      <c r="V94" s="53">
        <v>3416.0</v>
      </c>
      <c r="W94" s="53">
        <v>4030.88</v>
      </c>
      <c r="X94" s="22">
        <v>4000.0</v>
      </c>
      <c r="Y94" s="22">
        <v>4000.0</v>
      </c>
      <c r="Z94" s="42">
        <f t="shared" si="1"/>
        <v>30.88</v>
      </c>
      <c r="AA94" s="17">
        <f t="shared" si="3"/>
        <v>0</v>
      </c>
      <c r="AB94" s="22" t="s">
        <v>42</v>
      </c>
      <c r="AC94" s="50" t="s">
        <v>640</v>
      </c>
      <c r="AD94" s="27"/>
      <c r="AE94" s="27"/>
    </row>
    <row r="95" hidden="1">
      <c r="A95" s="21">
        <v>93.0</v>
      </c>
      <c r="B95" s="62">
        <v>46002.0</v>
      </c>
      <c r="C95" s="50" t="s">
        <v>641</v>
      </c>
      <c r="D95" s="50" t="s">
        <v>642</v>
      </c>
      <c r="E95" s="22" t="s">
        <v>86</v>
      </c>
      <c r="F95" s="50" t="s">
        <v>643</v>
      </c>
      <c r="G95" s="50" t="s">
        <v>644</v>
      </c>
      <c r="H95" s="22">
        <v>7.98467355E9</v>
      </c>
      <c r="I95" s="25"/>
      <c r="J95" s="25"/>
      <c r="K95" s="22">
        <v>28000.0</v>
      </c>
      <c r="L95" s="63">
        <v>46337.0</v>
      </c>
      <c r="M95" s="22" t="s">
        <v>38</v>
      </c>
      <c r="N95" s="23" t="s">
        <v>39</v>
      </c>
      <c r="O95" s="22" t="s">
        <v>140</v>
      </c>
      <c r="P95" s="22" t="s">
        <v>41</v>
      </c>
      <c r="Q95" s="21"/>
      <c r="R95" s="22" t="s">
        <v>536</v>
      </c>
      <c r="S95" s="24">
        <v>46178.0</v>
      </c>
      <c r="T95" s="22" t="s">
        <v>645</v>
      </c>
      <c r="U95" s="25"/>
      <c r="V95" s="56">
        <v>48674.0</v>
      </c>
      <c r="W95" s="56">
        <v>51710.0</v>
      </c>
      <c r="X95" s="22">
        <v>40000.0</v>
      </c>
      <c r="Y95" s="22">
        <v>40000.0</v>
      </c>
      <c r="Z95" s="16">
        <f t="shared" si="1"/>
        <v>11710</v>
      </c>
      <c r="AA95" s="17">
        <f t="shared" si="3"/>
        <v>0</v>
      </c>
      <c r="AB95" s="22" t="s">
        <v>42</v>
      </c>
      <c r="AC95" s="50" t="s">
        <v>646</v>
      </c>
      <c r="AD95" s="27"/>
      <c r="AE95" s="27"/>
    </row>
    <row r="96" hidden="1">
      <c r="A96" s="19">
        <v>94.0</v>
      </c>
      <c r="B96" s="22" t="s">
        <v>647</v>
      </c>
      <c r="C96" s="50" t="s">
        <v>648</v>
      </c>
      <c r="D96" s="50" t="s">
        <v>649</v>
      </c>
      <c r="E96" s="22" t="s">
        <v>53</v>
      </c>
      <c r="F96" s="50" t="s">
        <v>241</v>
      </c>
      <c r="G96" s="50" t="s">
        <v>650</v>
      </c>
      <c r="H96" s="22">
        <v>9.0998391E9</v>
      </c>
      <c r="I96" s="25"/>
      <c r="J96" s="25"/>
      <c r="K96" s="22">
        <v>805.0</v>
      </c>
      <c r="L96" s="22" t="s">
        <v>651</v>
      </c>
      <c r="M96" s="22" t="s">
        <v>153</v>
      </c>
      <c r="N96" s="23" t="s">
        <v>39</v>
      </c>
      <c r="O96" s="22" t="s">
        <v>140</v>
      </c>
      <c r="P96" s="22" t="s">
        <v>57</v>
      </c>
      <c r="Q96" s="21"/>
      <c r="R96" s="22" t="s">
        <v>176</v>
      </c>
      <c r="S96" s="22" t="s">
        <v>536</v>
      </c>
      <c r="T96" s="24">
        <v>47188.0</v>
      </c>
      <c r="U96" s="25"/>
      <c r="V96" s="53">
        <v>6206.26</v>
      </c>
      <c r="W96" s="53">
        <v>7323.38</v>
      </c>
      <c r="X96" s="22">
        <v>6500.0</v>
      </c>
      <c r="Y96" s="22">
        <v>6500.0</v>
      </c>
      <c r="Z96" s="42">
        <f t="shared" si="1"/>
        <v>823.38</v>
      </c>
      <c r="AA96" s="17">
        <f t="shared" si="3"/>
        <v>0</v>
      </c>
      <c r="AB96" s="22" t="s">
        <v>42</v>
      </c>
      <c r="AC96" s="50" t="s">
        <v>652</v>
      </c>
      <c r="AD96" s="27"/>
      <c r="AE96" s="27"/>
    </row>
    <row r="97" hidden="1">
      <c r="A97" s="21">
        <v>95.0</v>
      </c>
      <c r="B97" s="22" t="s">
        <v>647</v>
      </c>
      <c r="C97" s="50" t="s">
        <v>653</v>
      </c>
      <c r="D97" s="50" t="s">
        <v>654</v>
      </c>
      <c r="E97" s="22" t="s">
        <v>69</v>
      </c>
      <c r="F97" s="50" t="s">
        <v>655</v>
      </c>
      <c r="G97" s="50" t="s">
        <v>656</v>
      </c>
      <c r="H97" s="22" t="s">
        <v>657</v>
      </c>
      <c r="I97" s="22" t="s">
        <v>658</v>
      </c>
      <c r="J97" s="22"/>
      <c r="K97" s="22">
        <v>1197.0</v>
      </c>
      <c r="L97" s="22" t="s">
        <v>651</v>
      </c>
      <c r="M97" s="22" t="s">
        <v>329</v>
      </c>
      <c r="N97" s="23" t="s">
        <v>81</v>
      </c>
      <c r="O97" s="22" t="s">
        <v>40</v>
      </c>
      <c r="P97" s="22" t="s">
        <v>73</v>
      </c>
      <c r="Q97" s="21"/>
      <c r="R97" s="22" t="s">
        <v>659</v>
      </c>
      <c r="S97" s="22" t="s">
        <v>660</v>
      </c>
      <c r="T97" s="25"/>
      <c r="U97" s="25"/>
      <c r="V97" s="56">
        <v>3416.0</v>
      </c>
      <c r="W97" s="56">
        <v>4031.0</v>
      </c>
      <c r="X97" s="22">
        <v>4000.0</v>
      </c>
      <c r="Y97" s="22">
        <v>4000.0</v>
      </c>
      <c r="Z97" s="16">
        <f t="shared" si="1"/>
        <v>31</v>
      </c>
      <c r="AA97" s="17">
        <f t="shared" si="3"/>
        <v>0</v>
      </c>
      <c r="AB97" s="22" t="s">
        <v>42</v>
      </c>
      <c r="AC97" s="50" t="s">
        <v>661</v>
      </c>
      <c r="AD97" s="27"/>
      <c r="AE97" s="27"/>
    </row>
    <row r="98" hidden="1">
      <c r="A98" s="21">
        <v>96.0</v>
      </c>
      <c r="B98" s="22" t="s">
        <v>647</v>
      </c>
      <c r="C98" s="50" t="s">
        <v>662</v>
      </c>
      <c r="D98" s="50" t="s">
        <v>663</v>
      </c>
      <c r="E98" s="22" t="s">
        <v>86</v>
      </c>
      <c r="F98" s="50" t="s">
        <v>643</v>
      </c>
      <c r="G98" s="50" t="s">
        <v>664</v>
      </c>
      <c r="H98" s="22">
        <v>9.72309883E9</v>
      </c>
      <c r="I98" s="22">
        <v>9.904783999E9</v>
      </c>
      <c r="J98" s="22"/>
      <c r="K98" s="22">
        <v>28000.0</v>
      </c>
      <c r="L98" s="63">
        <v>46367.0</v>
      </c>
      <c r="M98" s="22" t="s">
        <v>38</v>
      </c>
      <c r="N98" s="23" t="s">
        <v>39</v>
      </c>
      <c r="O98" s="22" t="s">
        <v>48</v>
      </c>
      <c r="P98" s="22" t="s">
        <v>41</v>
      </c>
      <c r="Q98" s="66"/>
      <c r="R98" s="22" t="s">
        <v>665</v>
      </c>
      <c r="S98" s="24">
        <v>46270.0</v>
      </c>
      <c r="T98" s="28">
        <v>47403.0</v>
      </c>
      <c r="U98" s="28">
        <v>45942.0</v>
      </c>
      <c r="V98" s="56">
        <v>49365.0</v>
      </c>
      <c r="W98" s="56">
        <v>52525.0</v>
      </c>
      <c r="X98" s="22">
        <v>41656.0</v>
      </c>
      <c r="Y98" s="22">
        <v>42000.0</v>
      </c>
      <c r="Z98" s="16">
        <f t="shared" si="1"/>
        <v>10525</v>
      </c>
      <c r="AA98" s="17">
        <f t="shared" si="3"/>
        <v>344</v>
      </c>
      <c r="AB98" s="22" t="s">
        <v>42</v>
      </c>
      <c r="AC98" s="50" t="s">
        <v>666</v>
      </c>
      <c r="AD98" s="27"/>
      <c r="AE98" s="27"/>
    </row>
    <row r="99" hidden="1">
      <c r="A99" s="19">
        <v>97.0</v>
      </c>
      <c r="B99" s="22" t="s">
        <v>647</v>
      </c>
      <c r="C99" s="50" t="s">
        <v>667</v>
      </c>
      <c r="D99" s="50" t="s">
        <v>668</v>
      </c>
      <c r="E99" s="22" t="s">
        <v>53</v>
      </c>
      <c r="F99" s="50" t="s">
        <v>54</v>
      </c>
      <c r="G99" s="50" t="s">
        <v>669</v>
      </c>
      <c r="H99" s="22">
        <v>9.879997473E9</v>
      </c>
      <c r="I99" s="22">
        <v>7.043570788E9</v>
      </c>
      <c r="J99" s="22"/>
      <c r="K99" s="22">
        <v>818.0</v>
      </c>
      <c r="L99" s="63">
        <v>46367.0</v>
      </c>
      <c r="M99" s="22" t="s">
        <v>56</v>
      </c>
      <c r="N99" s="23" t="s">
        <v>39</v>
      </c>
      <c r="O99" s="22" t="s">
        <v>48</v>
      </c>
      <c r="P99" s="22" t="s">
        <v>57</v>
      </c>
      <c r="Q99" s="66"/>
      <c r="R99" s="22" t="s">
        <v>176</v>
      </c>
      <c r="S99" s="22" t="s">
        <v>470</v>
      </c>
      <c r="T99" s="24">
        <v>46915.0</v>
      </c>
      <c r="U99" s="25"/>
      <c r="V99" s="53">
        <v>6384.0</v>
      </c>
      <c r="W99" s="53">
        <v>7534.0</v>
      </c>
      <c r="X99" s="22">
        <v>6500.0</v>
      </c>
      <c r="Y99" s="22">
        <v>6500.0</v>
      </c>
      <c r="Z99" s="42">
        <f t="shared" si="1"/>
        <v>1034</v>
      </c>
      <c r="AA99" s="17">
        <f t="shared" si="3"/>
        <v>0</v>
      </c>
      <c r="AB99" s="22" t="s">
        <v>42</v>
      </c>
      <c r="AC99" s="50" t="s">
        <v>670</v>
      </c>
      <c r="AD99" s="21" t="s">
        <v>671</v>
      </c>
      <c r="AE99" s="27"/>
      <c r="AF99" s="50" t="s">
        <v>672</v>
      </c>
      <c r="AG99" s="50" t="s">
        <v>298</v>
      </c>
    </row>
    <row r="100" hidden="1">
      <c r="A100" s="21">
        <v>98.0</v>
      </c>
      <c r="B100" s="22" t="s">
        <v>647</v>
      </c>
      <c r="C100" s="50" t="s">
        <v>673</v>
      </c>
      <c r="D100" s="51">
        <v>7.10026126E8</v>
      </c>
      <c r="E100" s="22" t="s">
        <v>69</v>
      </c>
      <c r="F100" s="50" t="s">
        <v>674</v>
      </c>
      <c r="G100" s="50" t="s">
        <v>675</v>
      </c>
      <c r="H100" s="22">
        <v>9.898383861E9</v>
      </c>
      <c r="I100" s="22">
        <v>9.60169864E9</v>
      </c>
      <c r="J100" s="22"/>
      <c r="K100" s="22">
        <v>1199.0</v>
      </c>
      <c r="L100" s="63">
        <v>46367.0</v>
      </c>
      <c r="M100" s="22" t="s">
        <v>451</v>
      </c>
      <c r="N100" s="23" t="s">
        <v>39</v>
      </c>
      <c r="O100" s="22" t="s">
        <v>676</v>
      </c>
      <c r="P100" s="22" t="s">
        <v>73</v>
      </c>
      <c r="Q100" s="66"/>
      <c r="R100" s="22" t="s">
        <v>677</v>
      </c>
      <c r="S100" s="22" t="s">
        <v>168</v>
      </c>
      <c r="T100" s="25"/>
      <c r="U100" s="25"/>
      <c r="V100" s="53">
        <v>10584.02</v>
      </c>
      <c r="W100" s="56">
        <v>12489.14</v>
      </c>
      <c r="X100" s="22">
        <v>12987.0</v>
      </c>
      <c r="Y100" s="22">
        <v>12987.0</v>
      </c>
      <c r="Z100" s="16">
        <f t="shared" si="1"/>
        <v>-497.86</v>
      </c>
      <c r="AA100" s="17">
        <f t="shared" si="3"/>
        <v>0</v>
      </c>
      <c r="AB100" s="22" t="s">
        <v>42</v>
      </c>
      <c r="AC100" s="50" t="s">
        <v>678</v>
      </c>
      <c r="AD100" s="27"/>
      <c r="AE100" s="27"/>
    </row>
    <row r="101" hidden="1">
      <c r="A101" s="21">
        <v>99.0</v>
      </c>
      <c r="B101" s="22" t="s">
        <v>679</v>
      </c>
      <c r="C101" s="50" t="s">
        <v>680</v>
      </c>
      <c r="D101" s="50" t="s">
        <v>681</v>
      </c>
      <c r="E101" s="22" t="s">
        <v>157</v>
      </c>
      <c r="F101" s="50" t="s">
        <v>505</v>
      </c>
      <c r="G101" s="50" t="s">
        <v>682</v>
      </c>
      <c r="H101" s="22">
        <v>9.925126689E9</v>
      </c>
      <c r="I101" s="22">
        <v>9.898135971E9</v>
      </c>
      <c r="J101" s="22"/>
      <c r="K101" s="22">
        <v>3490.0</v>
      </c>
      <c r="L101" s="22" t="s">
        <v>683</v>
      </c>
      <c r="M101" s="22" t="s">
        <v>98</v>
      </c>
      <c r="N101" s="23" t="s">
        <v>39</v>
      </c>
      <c r="O101" s="22" t="s">
        <v>48</v>
      </c>
      <c r="P101" s="22" t="s">
        <v>41</v>
      </c>
      <c r="Q101" s="66"/>
      <c r="R101" s="22" t="s">
        <v>684</v>
      </c>
      <c r="S101" s="28">
        <v>46367.0</v>
      </c>
      <c r="T101" s="25"/>
      <c r="U101" s="25"/>
      <c r="V101" s="56">
        <v>21980.0</v>
      </c>
      <c r="W101" s="56">
        <v>23850.0</v>
      </c>
      <c r="X101" s="22">
        <v>16261.0</v>
      </c>
      <c r="Y101" s="22">
        <v>16500.0</v>
      </c>
      <c r="Z101" s="16">
        <f t="shared" si="1"/>
        <v>7350</v>
      </c>
      <c r="AA101" s="17">
        <f t="shared" si="3"/>
        <v>239</v>
      </c>
      <c r="AB101" s="22" t="s">
        <v>42</v>
      </c>
      <c r="AC101" s="50" t="s">
        <v>685</v>
      </c>
      <c r="AD101" s="27"/>
      <c r="AE101" s="27"/>
    </row>
    <row r="102" hidden="1">
      <c r="A102" s="19">
        <v>100.0</v>
      </c>
      <c r="B102" s="22" t="s">
        <v>679</v>
      </c>
      <c r="C102" s="50" t="s">
        <v>686</v>
      </c>
      <c r="D102" s="50" t="s">
        <v>687</v>
      </c>
      <c r="E102" s="22" t="s">
        <v>69</v>
      </c>
      <c r="F102" s="50" t="s">
        <v>688</v>
      </c>
      <c r="G102" s="50" t="s">
        <v>689</v>
      </c>
      <c r="H102" s="22">
        <v>9.265001739E9</v>
      </c>
      <c r="I102" s="22">
        <v>9.512583509E9</v>
      </c>
      <c r="J102" s="53"/>
      <c r="K102" s="53">
        <v>1493.0</v>
      </c>
      <c r="L102" s="22" t="s">
        <v>651</v>
      </c>
      <c r="M102" s="22" t="s">
        <v>98</v>
      </c>
      <c r="N102" s="23" t="s">
        <v>181</v>
      </c>
      <c r="O102" s="22" t="s">
        <v>140</v>
      </c>
      <c r="P102" s="22" t="s">
        <v>452</v>
      </c>
      <c r="Q102" s="66"/>
      <c r="R102" s="22" t="s">
        <v>690</v>
      </c>
      <c r="S102" s="22" t="s">
        <v>213</v>
      </c>
      <c r="T102" s="25"/>
      <c r="U102" s="25"/>
      <c r="V102" s="56">
        <v>14565.0</v>
      </c>
      <c r="W102" s="56">
        <v>17187.0</v>
      </c>
      <c r="X102" s="22">
        <v>20146.0</v>
      </c>
      <c r="Y102" s="22">
        <v>20146.0</v>
      </c>
      <c r="Z102" s="16">
        <f t="shared" si="1"/>
        <v>-2959</v>
      </c>
      <c r="AA102" s="17">
        <f t="shared" si="3"/>
        <v>0</v>
      </c>
      <c r="AB102" s="22" t="s">
        <v>42</v>
      </c>
      <c r="AC102" s="50" t="s">
        <v>691</v>
      </c>
      <c r="AD102" s="27"/>
      <c r="AE102" s="27"/>
    </row>
    <row r="103" hidden="1">
      <c r="A103" s="21">
        <v>101.0</v>
      </c>
      <c r="B103" s="22" t="s">
        <v>679</v>
      </c>
      <c r="C103" s="50" t="s">
        <v>692</v>
      </c>
      <c r="D103" s="50" t="s">
        <v>693</v>
      </c>
      <c r="E103" s="22" t="s">
        <v>157</v>
      </c>
      <c r="F103" s="50" t="s">
        <v>694</v>
      </c>
      <c r="G103" s="50" t="s">
        <v>695</v>
      </c>
      <c r="H103" s="22">
        <v>9.979286757E9</v>
      </c>
      <c r="I103" s="22">
        <v>8.460069089E9</v>
      </c>
      <c r="J103" s="22"/>
      <c r="K103" s="22">
        <v>1600.0</v>
      </c>
      <c r="L103" s="53" t="s">
        <v>427</v>
      </c>
      <c r="M103" s="22" t="s">
        <v>265</v>
      </c>
      <c r="N103" s="23" t="s">
        <v>39</v>
      </c>
      <c r="O103" s="22" t="s">
        <v>140</v>
      </c>
      <c r="P103" s="22" t="s">
        <v>41</v>
      </c>
      <c r="Q103" s="66"/>
      <c r="R103" s="22" t="s">
        <v>696</v>
      </c>
      <c r="S103" s="22" t="s">
        <v>529</v>
      </c>
      <c r="T103" s="25"/>
      <c r="U103" s="25"/>
      <c r="V103" s="53">
        <v>19184.0</v>
      </c>
      <c r="W103" s="53">
        <v>20551.0</v>
      </c>
      <c r="X103" s="22">
        <v>13856.0</v>
      </c>
      <c r="Y103" s="22">
        <v>14000.0</v>
      </c>
      <c r="Z103" s="42">
        <f t="shared" si="1"/>
        <v>6551</v>
      </c>
      <c r="AA103" s="17">
        <f t="shared" si="3"/>
        <v>144</v>
      </c>
      <c r="AB103" s="22" t="s">
        <v>42</v>
      </c>
      <c r="AC103" s="50" t="s">
        <v>697</v>
      </c>
      <c r="AD103" s="27"/>
      <c r="AE103" s="27"/>
    </row>
    <row r="104" hidden="1">
      <c r="A104" s="21">
        <v>102.0</v>
      </c>
      <c r="B104" s="22" t="s">
        <v>679</v>
      </c>
      <c r="C104" s="50" t="s">
        <v>698</v>
      </c>
      <c r="D104" s="50" t="s">
        <v>699</v>
      </c>
      <c r="E104" s="22" t="s">
        <v>255</v>
      </c>
      <c r="F104" s="50" t="s">
        <v>700</v>
      </c>
      <c r="G104" s="50" t="s">
        <v>701</v>
      </c>
      <c r="H104" s="22">
        <v>9.099703609E9</v>
      </c>
      <c r="I104" s="22">
        <v>8.75819077E9</v>
      </c>
      <c r="J104" s="22"/>
      <c r="K104" s="50">
        <v>975.0</v>
      </c>
      <c r="L104" s="53" t="s">
        <v>651</v>
      </c>
      <c r="M104" s="22" t="s">
        <v>167</v>
      </c>
      <c r="N104" s="23" t="s">
        <v>39</v>
      </c>
      <c r="O104" s="22" t="s">
        <v>311</v>
      </c>
      <c r="P104" s="22" t="s">
        <v>41</v>
      </c>
      <c r="Q104" s="51"/>
      <c r="R104" s="50" t="s">
        <v>49</v>
      </c>
      <c r="S104" s="22" t="s">
        <v>702</v>
      </c>
      <c r="T104" s="25"/>
      <c r="U104" s="25"/>
      <c r="V104" s="56">
        <v>4928.16</v>
      </c>
      <c r="W104" s="53">
        <v>5231.0</v>
      </c>
      <c r="X104" s="22">
        <v>5000.0</v>
      </c>
      <c r="Y104" s="22">
        <v>5000.0</v>
      </c>
      <c r="Z104" s="42">
        <f t="shared" si="1"/>
        <v>231</v>
      </c>
      <c r="AA104" s="17">
        <f t="shared" si="3"/>
        <v>0</v>
      </c>
      <c r="AB104" s="22" t="s">
        <v>42</v>
      </c>
      <c r="AC104" s="50" t="s">
        <v>703</v>
      </c>
      <c r="AD104" s="21" t="s">
        <v>473</v>
      </c>
      <c r="AE104" s="27"/>
      <c r="AF104" s="59">
        <v>45759.0</v>
      </c>
      <c r="AG104" s="50" t="s">
        <v>475</v>
      </c>
    </row>
    <row r="105" hidden="1">
      <c r="A105" s="19">
        <v>103.0</v>
      </c>
      <c r="B105" s="22" t="s">
        <v>679</v>
      </c>
      <c r="C105" s="50" t="s">
        <v>704</v>
      </c>
      <c r="D105" s="50" t="s">
        <v>705</v>
      </c>
      <c r="E105" s="22" t="s">
        <v>69</v>
      </c>
      <c r="F105" s="50" t="s">
        <v>498</v>
      </c>
      <c r="G105" s="50" t="s">
        <v>706</v>
      </c>
      <c r="H105" s="22">
        <v>9.978860945E9</v>
      </c>
      <c r="I105" s="25"/>
      <c r="J105" s="25"/>
      <c r="K105" s="22">
        <v>1196.0</v>
      </c>
      <c r="L105" s="53" t="s">
        <v>427</v>
      </c>
      <c r="M105" s="22" t="s">
        <v>249</v>
      </c>
      <c r="N105" s="23" t="s">
        <v>81</v>
      </c>
      <c r="O105" s="22" t="s">
        <v>48</v>
      </c>
      <c r="P105" s="22" t="s">
        <v>73</v>
      </c>
      <c r="Q105" s="66"/>
      <c r="R105" s="22" t="s">
        <v>707</v>
      </c>
      <c r="S105" s="22" t="s">
        <v>536</v>
      </c>
      <c r="T105" s="25"/>
      <c r="U105" s="25"/>
      <c r="V105" s="53">
        <v>3476.0</v>
      </c>
      <c r="W105" s="53">
        <v>4101.68</v>
      </c>
      <c r="X105" s="22">
        <v>4000.0</v>
      </c>
      <c r="Y105" s="22">
        <v>4000.0</v>
      </c>
      <c r="Z105" s="42">
        <f t="shared" si="1"/>
        <v>101.68</v>
      </c>
      <c r="AA105" s="17">
        <f t="shared" si="3"/>
        <v>0</v>
      </c>
      <c r="AB105" s="22" t="s">
        <v>42</v>
      </c>
      <c r="AC105" s="50" t="s">
        <v>708</v>
      </c>
      <c r="AD105" s="27"/>
      <c r="AE105" s="27"/>
    </row>
    <row r="106" hidden="1">
      <c r="A106" s="21">
        <v>104.0</v>
      </c>
      <c r="B106" s="22" t="s">
        <v>679</v>
      </c>
      <c r="C106" s="50" t="s">
        <v>709</v>
      </c>
      <c r="D106" s="50" t="s">
        <v>710</v>
      </c>
      <c r="E106" s="22" t="s">
        <v>53</v>
      </c>
      <c r="F106" s="50" t="s">
        <v>54</v>
      </c>
      <c r="G106" s="50" t="s">
        <v>711</v>
      </c>
      <c r="H106" s="22" t="s">
        <v>712</v>
      </c>
      <c r="I106" s="22">
        <v>8.140007495E9</v>
      </c>
      <c r="J106" s="22"/>
      <c r="K106" s="22">
        <v>818.0</v>
      </c>
      <c r="L106" s="53" t="s">
        <v>651</v>
      </c>
      <c r="M106" s="22" t="s">
        <v>56</v>
      </c>
      <c r="N106" s="23" t="s">
        <v>39</v>
      </c>
      <c r="O106" s="22" t="s">
        <v>388</v>
      </c>
      <c r="P106" s="22" t="s">
        <v>57</v>
      </c>
      <c r="Q106" s="66"/>
      <c r="R106" s="22" t="s">
        <v>713</v>
      </c>
      <c r="S106" s="22" t="s">
        <v>714</v>
      </c>
      <c r="T106" s="24">
        <v>46549.0</v>
      </c>
      <c r="U106" s="25"/>
      <c r="V106" s="53">
        <v>6339.0</v>
      </c>
      <c r="W106" s="53">
        <v>7481.0</v>
      </c>
      <c r="X106" s="22">
        <v>6500.0</v>
      </c>
      <c r="Y106" s="22">
        <v>6500.0</v>
      </c>
      <c r="Z106" s="42">
        <f t="shared" si="1"/>
        <v>981</v>
      </c>
      <c r="AA106" s="17">
        <f t="shared" si="3"/>
        <v>0</v>
      </c>
      <c r="AB106" s="22" t="s">
        <v>42</v>
      </c>
      <c r="AC106" s="50" t="s">
        <v>715</v>
      </c>
      <c r="AD106" s="27"/>
      <c r="AE106" s="27"/>
    </row>
    <row r="107" hidden="1">
      <c r="A107" s="21">
        <v>105.0</v>
      </c>
      <c r="B107" s="22" t="s">
        <v>679</v>
      </c>
      <c r="C107" s="50" t="s">
        <v>716</v>
      </c>
      <c r="D107" s="50" t="s">
        <v>717</v>
      </c>
      <c r="E107" s="22" t="s">
        <v>255</v>
      </c>
      <c r="F107" s="50" t="s">
        <v>718</v>
      </c>
      <c r="G107" s="50" t="s">
        <v>719</v>
      </c>
      <c r="H107" s="22">
        <v>9.825450751E9</v>
      </c>
      <c r="I107" s="22">
        <v>7.990930303E9</v>
      </c>
      <c r="J107" s="22"/>
      <c r="K107" s="22">
        <v>995.0</v>
      </c>
      <c r="L107" s="53" t="s">
        <v>651</v>
      </c>
      <c r="M107" s="22" t="s">
        <v>258</v>
      </c>
      <c r="N107" s="23" t="s">
        <v>39</v>
      </c>
      <c r="O107" s="22" t="s">
        <v>48</v>
      </c>
      <c r="P107" s="22" t="s">
        <v>57</v>
      </c>
      <c r="Q107" s="66"/>
      <c r="R107" s="22" t="s">
        <v>176</v>
      </c>
      <c r="S107" s="22" t="s">
        <v>470</v>
      </c>
      <c r="T107" s="25"/>
      <c r="U107" s="25"/>
      <c r="V107" s="56">
        <v>5207.0</v>
      </c>
      <c r="W107" s="56">
        <v>5553.0</v>
      </c>
      <c r="X107" s="22">
        <v>5000.0</v>
      </c>
      <c r="Y107" s="22">
        <v>4500.0</v>
      </c>
      <c r="Z107" s="16">
        <f t="shared" si="1"/>
        <v>1053</v>
      </c>
      <c r="AA107" s="17">
        <f t="shared" si="3"/>
        <v>-500</v>
      </c>
      <c r="AB107" s="22" t="s">
        <v>42</v>
      </c>
      <c r="AC107" s="50" t="s">
        <v>720</v>
      </c>
      <c r="AD107" s="27"/>
      <c r="AE107" s="27"/>
    </row>
    <row r="108" hidden="1">
      <c r="A108" s="19">
        <v>106.0</v>
      </c>
      <c r="B108" s="22" t="s">
        <v>721</v>
      </c>
      <c r="C108" s="50" t="s">
        <v>722</v>
      </c>
      <c r="D108" s="50" t="s">
        <v>723</v>
      </c>
      <c r="E108" s="22" t="s">
        <v>157</v>
      </c>
      <c r="F108" s="50" t="s">
        <v>724</v>
      </c>
      <c r="G108" s="50" t="s">
        <v>725</v>
      </c>
      <c r="H108" s="22">
        <v>9.978545174E9</v>
      </c>
      <c r="I108" s="25"/>
      <c r="J108" s="25"/>
      <c r="K108" s="22">
        <v>3425.0</v>
      </c>
      <c r="L108" s="53" t="s">
        <v>651</v>
      </c>
      <c r="M108" s="22" t="s">
        <v>38</v>
      </c>
      <c r="N108" s="23" t="s">
        <v>39</v>
      </c>
      <c r="O108" s="22" t="s">
        <v>259</v>
      </c>
      <c r="P108" s="22" t="s">
        <v>41</v>
      </c>
      <c r="Q108" s="66"/>
      <c r="R108" s="22" t="s">
        <v>726</v>
      </c>
      <c r="S108" s="22" t="s">
        <v>727</v>
      </c>
      <c r="T108" s="25"/>
      <c r="U108" s="25"/>
      <c r="V108" s="56">
        <v>18912.0</v>
      </c>
      <c r="W108" s="56">
        <v>20218.0</v>
      </c>
      <c r="X108" s="22">
        <v>13398.0</v>
      </c>
      <c r="Y108" s="22">
        <v>14000.0</v>
      </c>
      <c r="Z108" s="16">
        <f t="shared" si="1"/>
        <v>6218</v>
      </c>
      <c r="AA108" s="17">
        <f t="shared" si="3"/>
        <v>602</v>
      </c>
      <c r="AB108" s="22" t="s">
        <v>42</v>
      </c>
      <c r="AC108" s="50" t="s">
        <v>728</v>
      </c>
      <c r="AD108" s="27"/>
      <c r="AE108" s="27"/>
    </row>
    <row r="109" hidden="1">
      <c r="A109" s="21">
        <v>107.0</v>
      </c>
      <c r="B109" s="22" t="s">
        <v>721</v>
      </c>
      <c r="C109" s="50" t="s">
        <v>729</v>
      </c>
      <c r="D109" s="50" t="s">
        <v>730</v>
      </c>
      <c r="E109" s="22" t="s">
        <v>157</v>
      </c>
      <c r="F109" s="50" t="s">
        <v>137</v>
      </c>
      <c r="G109" s="50" t="s">
        <v>731</v>
      </c>
      <c r="H109" s="22">
        <v>8.849436331E9</v>
      </c>
      <c r="I109" s="22">
        <v>7.405592792E9</v>
      </c>
      <c r="J109" s="25"/>
      <c r="K109" s="22">
        <v>1600.0</v>
      </c>
      <c r="L109" s="22" t="s">
        <v>732</v>
      </c>
      <c r="M109" s="22" t="s">
        <v>64</v>
      </c>
      <c r="N109" s="23" t="s">
        <v>39</v>
      </c>
      <c r="O109" s="22" t="s">
        <v>40</v>
      </c>
      <c r="P109" s="22" t="s">
        <v>41</v>
      </c>
      <c r="Q109" s="66"/>
      <c r="R109" s="22" t="s">
        <v>49</v>
      </c>
      <c r="S109" s="22" t="s">
        <v>733</v>
      </c>
      <c r="T109" s="25"/>
      <c r="U109" s="25"/>
      <c r="V109" s="56">
        <v>20180.0</v>
      </c>
      <c r="W109" s="56">
        <v>21726.0</v>
      </c>
      <c r="X109" s="22">
        <v>14013.0</v>
      </c>
      <c r="Y109" s="22">
        <v>14000.0</v>
      </c>
      <c r="Z109" s="16">
        <f t="shared" si="1"/>
        <v>7726</v>
      </c>
      <c r="AA109" s="17">
        <f t="shared" si="3"/>
        <v>-13</v>
      </c>
      <c r="AB109" s="22" t="s">
        <v>42</v>
      </c>
      <c r="AC109" s="50" t="s">
        <v>734</v>
      </c>
      <c r="AD109" s="27"/>
      <c r="AE109" s="27"/>
    </row>
    <row r="110" hidden="1">
      <c r="A110" s="21">
        <v>108.0</v>
      </c>
      <c r="B110" s="22" t="s">
        <v>721</v>
      </c>
      <c r="C110" s="50" t="s">
        <v>735</v>
      </c>
      <c r="D110" s="50" t="s">
        <v>736</v>
      </c>
      <c r="E110" s="22" t="s">
        <v>157</v>
      </c>
      <c r="F110" s="50" t="s">
        <v>737</v>
      </c>
      <c r="G110" s="50" t="s">
        <v>738</v>
      </c>
      <c r="H110" s="22" t="s">
        <v>739</v>
      </c>
      <c r="I110" s="25"/>
      <c r="J110" s="25"/>
      <c r="K110" s="22">
        <v>2750.0</v>
      </c>
      <c r="L110" s="53" t="s">
        <v>683</v>
      </c>
      <c r="M110" s="22" t="s">
        <v>265</v>
      </c>
      <c r="N110" s="23" t="s">
        <v>39</v>
      </c>
      <c r="O110" s="22" t="s">
        <v>140</v>
      </c>
      <c r="P110" s="22" t="s">
        <v>41</v>
      </c>
      <c r="Q110" s="66"/>
      <c r="R110" s="24">
        <v>45149.0</v>
      </c>
      <c r="S110" s="25"/>
      <c r="T110" s="25"/>
      <c r="U110" s="25"/>
      <c r="V110" s="53">
        <v>17448.0</v>
      </c>
      <c r="W110" s="53">
        <v>18502.0</v>
      </c>
      <c r="X110" s="22">
        <v>15000.0</v>
      </c>
      <c r="Y110" s="22">
        <v>15000.0</v>
      </c>
      <c r="Z110" s="42">
        <f t="shared" si="1"/>
        <v>3502</v>
      </c>
      <c r="AA110" s="17">
        <f t="shared" si="3"/>
        <v>0</v>
      </c>
      <c r="AB110" s="22" t="s">
        <v>42</v>
      </c>
      <c r="AC110" s="50" t="s">
        <v>740</v>
      </c>
      <c r="AD110" s="27"/>
      <c r="AE110" s="27"/>
    </row>
    <row r="111" hidden="1">
      <c r="A111" s="19">
        <v>109.0</v>
      </c>
      <c r="B111" s="22" t="s">
        <v>721</v>
      </c>
      <c r="C111" s="50" t="s">
        <v>741</v>
      </c>
      <c r="D111" s="51">
        <v>7.1002723E8</v>
      </c>
      <c r="E111" s="22" t="s">
        <v>69</v>
      </c>
      <c r="F111" s="50" t="s">
        <v>742</v>
      </c>
      <c r="G111" s="50" t="s">
        <v>743</v>
      </c>
      <c r="H111" s="22">
        <v>8.866646304E9</v>
      </c>
      <c r="I111" s="22">
        <v>9.32711708E9</v>
      </c>
      <c r="J111" s="25"/>
      <c r="K111" s="22">
        <v>1248.0</v>
      </c>
      <c r="L111" s="53" t="s">
        <v>427</v>
      </c>
      <c r="M111" s="22" t="s">
        <v>451</v>
      </c>
      <c r="N111" s="23" t="s">
        <v>81</v>
      </c>
      <c r="O111" s="22" t="s">
        <v>337</v>
      </c>
      <c r="P111" s="22" t="s">
        <v>73</v>
      </c>
      <c r="Q111" s="66"/>
      <c r="R111" s="22" t="s">
        <v>744</v>
      </c>
      <c r="S111" s="22" t="s">
        <v>474</v>
      </c>
      <c r="T111" s="25"/>
      <c r="U111" s="25"/>
      <c r="V111" s="56">
        <v>3416.0</v>
      </c>
      <c r="W111" s="56">
        <v>4030.88</v>
      </c>
      <c r="X111" s="22">
        <v>4000.0</v>
      </c>
      <c r="Y111" s="22">
        <v>4000.0</v>
      </c>
      <c r="Z111" s="16">
        <f t="shared" si="1"/>
        <v>30.88</v>
      </c>
      <c r="AA111" s="17">
        <f t="shared" si="3"/>
        <v>0</v>
      </c>
      <c r="AB111" s="22" t="s">
        <v>42</v>
      </c>
      <c r="AC111" s="50" t="s">
        <v>745</v>
      </c>
      <c r="AD111" s="27"/>
      <c r="AE111" s="27"/>
    </row>
    <row r="112" hidden="1">
      <c r="A112" s="21">
        <v>110.0</v>
      </c>
      <c r="B112" s="22" t="s">
        <v>721</v>
      </c>
      <c r="C112" s="50" t="s">
        <v>746</v>
      </c>
      <c r="D112" s="51">
        <v>6.203746955E9</v>
      </c>
      <c r="E112" s="22" t="s">
        <v>69</v>
      </c>
      <c r="F112" s="50" t="s">
        <v>747</v>
      </c>
      <c r="G112" s="50" t="s">
        <v>748</v>
      </c>
      <c r="H112" s="22">
        <v>9.726596737E9</v>
      </c>
      <c r="I112" s="22">
        <v>8.320082208E9</v>
      </c>
      <c r="J112" s="25"/>
      <c r="K112" s="22">
        <v>796.0</v>
      </c>
      <c r="L112" s="53" t="s">
        <v>651</v>
      </c>
      <c r="M112" s="22" t="s">
        <v>56</v>
      </c>
      <c r="N112" s="23" t="s">
        <v>39</v>
      </c>
      <c r="O112" s="22" t="s">
        <v>48</v>
      </c>
      <c r="P112" s="22" t="s">
        <v>41</v>
      </c>
      <c r="Q112" s="66"/>
      <c r="R112" s="22" t="s">
        <v>749</v>
      </c>
      <c r="S112" s="24">
        <v>45507.0</v>
      </c>
      <c r="T112" s="25"/>
      <c r="U112" s="25"/>
      <c r="V112" s="53">
        <v>4380.0</v>
      </c>
      <c r="W112" s="53">
        <v>5168.0</v>
      </c>
      <c r="X112" s="22">
        <v>5169.0</v>
      </c>
      <c r="Y112" s="22">
        <v>5000.0</v>
      </c>
      <c r="Z112" s="42">
        <f t="shared" si="1"/>
        <v>168</v>
      </c>
      <c r="AA112" s="17">
        <f t="shared" si="3"/>
        <v>-169</v>
      </c>
      <c r="AB112" s="22" t="s">
        <v>42</v>
      </c>
      <c r="AC112" s="50" t="s">
        <v>750</v>
      </c>
      <c r="AD112" s="27"/>
      <c r="AE112" s="27"/>
    </row>
    <row r="113" hidden="1">
      <c r="A113" s="21">
        <v>111.0</v>
      </c>
      <c r="B113" s="22" t="s">
        <v>721</v>
      </c>
      <c r="C113" s="50" t="s">
        <v>751</v>
      </c>
      <c r="D113" s="50" t="s">
        <v>752</v>
      </c>
      <c r="E113" s="22" t="s">
        <v>276</v>
      </c>
      <c r="F113" s="50" t="s">
        <v>753</v>
      </c>
      <c r="G113" s="50" t="s">
        <v>754</v>
      </c>
      <c r="H113" s="22">
        <v>9.978095654E9</v>
      </c>
      <c r="I113" s="22">
        <v>9.31354331E9</v>
      </c>
      <c r="J113" s="25"/>
      <c r="K113" s="22">
        <v>100.0</v>
      </c>
      <c r="L113" s="53" t="s">
        <v>683</v>
      </c>
      <c r="M113" s="22" t="s">
        <v>329</v>
      </c>
      <c r="N113" s="23" t="s">
        <v>81</v>
      </c>
      <c r="O113" s="22" t="s">
        <v>140</v>
      </c>
      <c r="P113" s="22" t="s">
        <v>73</v>
      </c>
      <c r="Q113" s="66"/>
      <c r="R113" s="22" t="s">
        <v>755</v>
      </c>
      <c r="S113" s="22" t="s">
        <v>756</v>
      </c>
      <c r="T113" s="25"/>
      <c r="U113" s="25"/>
      <c r="V113" s="53">
        <v>714.0</v>
      </c>
      <c r="W113" s="53">
        <v>843.0</v>
      </c>
      <c r="X113" s="22">
        <v>850.0</v>
      </c>
      <c r="Y113" s="22">
        <v>850.0</v>
      </c>
      <c r="Z113" s="42">
        <f t="shared" si="1"/>
        <v>-7</v>
      </c>
      <c r="AA113" s="17">
        <f t="shared" si="3"/>
        <v>0</v>
      </c>
      <c r="AB113" s="22" t="s">
        <v>42</v>
      </c>
      <c r="AC113" s="50" t="s">
        <v>757</v>
      </c>
      <c r="AD113" s="27"/>
      <c r="AE113" s="27"/>
    </row>
    <row r="114" hidden="1">
      <c r="A114" s="19">
        <v>112.0</v>
      </c>
      <c r="B114" s="22" t="s">
        <v>721</v>
      </c>
      <c r="C114" s="50" t="s">
        <v>758</v>
      </c>
      <c r="D114" s="50" t="s">
        <v>759</v>
      </c>
      <c r="E114" s="22" t="s">
        <v>69</v>
      </c>
      <c r="F114" s="21" t="s">
        <v>760</v>
      </c>
      <c r="G114" s="50" t="s">
        <v>761</v>
      </c>
      <c r="H114" s="22">
        <v>7.984756387E9</v>
      </c>
      <c r="I114" s="25"/>
      <c r="J114" s="25"/>
      <c r="K114" s="22">
        <v>796.0</v>
      </c>
      <c r="L114" s="53" t="s">
        <v>427</v>
      </c>
      <c r="M114" s="22" t="s">
        <v>153</v>
      </c>
      <c r="N114" s="23" t="s">
        <v>81</v>
      </c>
      <c r="O114" s="22" t="s">
        <v>140</v>
      </c>
      <c r="P114" s="22" t="s">
        <v>73</v>
      </c>
      <c r="Q114" s="66"/>
      <c r="R114" s="22" t="s">
        <v>762</v>
      </c>
      <c r="S114" s="22" t="s">
        <v>763</v>
      </c>
      <c r="T114" s="25"/>
      <c r="U114" s="25"/>
      <c r="V114" s="53">
        <v>2154.0</v>
      </c>
      <c r="W114" s="53">
        <v>2541.72</v>
      </c>
      <c r="X114" s="22">
        <v>2500.0</v>
      </c>
      <c r="Y114" s="22">
        <v>2300.0</v>
      </c>
      <c r="Z114" s="42">
        <f t="shared" si="1"/>
        <v>241.72</v>
      </c>
      <c r="AA114" s="17">
        <f t="shared" si="3"/>
        <v>-200</v>
      </c>
      <c r="AB114" s="22" t="s">
        <v>42</v>
      </c>
      <c r="AC114" s="50" t="s">
        <v>764</v>
      </c>
      <c r="AD114" s="27"/>
      <c r="AE114" s="27"/>
    </row>
    <row r="115" hidden="1">
      <c r="A115" s="21">
        <v>113.0</v>
      </c>
      <c r="B115" s="22" t="s">
        <v>721</v>
      </c>
      <c r="C115" s="50" t="s">
        <v>765</v>
      </c>
      <c r="D115" s="50" t="s">
        <v>766</v>
      </c>
      <c r="E115" s="22" t="s">
        <v>69</v>
      </c>
      <c r="F115" s="50" t="s">
        <v>498</v>
      </c>
      <c r="G115" s="50" t="s">
        <v>767</v>
      </c>
      <c r="H115" s="22">
        <v>7.984756387E9</v>
      </c>
      <c r="I115" s="25"/>
      <c r="J115" s="25"/>
      <c r="K115" s="22">
        <v>1195.0</v>
      </c>
      <c r="L115" s="53" t="s">
        <v>683</v>
      </c>
      <c r="M115" s="22" t="s">
        <v>249</v>
      </c>
      <c r="N115" s="23" t="s">
        <v>81</v>
      </c>
      <c r="O115" s="22" t="s">
        <v>140</v>
      </c>
      <c r="P115" s="22" t="s">
        <v>73</v>
      </c>
      <c r="Q115" s="66"/>
      <c r="R115" s="24">
        <v>46937.0</v>
      </c>
      <c r="S115" s="24">
        <v>43962.0</v>
      </c>
      <c r="T115" s="25"/>
      <c r="U115" s="25"/>
      <c r="V115" s="53">
        <v>3476.0</v>
      </c>
      <c r="W115" s="53">
        <v>4101.68</v>
      </c>
      <c r="X115" s="22">
        <v>4000.0</v>
      </c>
      <c r="Y115" s="22">
        <v>3800.0</v>
      </c>
      <c r="Z115" s="42">
        <f t="shared" si="1"/>
        <v>301.68</v>
      </c>
      <c r="AA115" s="17">
        <f t="shared" si="3"/>
        <v>-200</v>
      </c>
      <c r="AB115" s="22" t="s">
        <v>42</v>
      </c>
      <c r="AC115" s="50" t="s">
        <v>768</v>
      </c>
      <c r="AD115" s="27"/>
      <c r="AE115" s="27"/>
    </row>
    <row r="116" hidden="1">
      <c r="A116" s="21">
        <v>114.0</v>
      </c>
      <c r="B116" s="22" t="s">
        <v>721</v>
      </c>
      <c r="C116" s="50" t="s">
        <v>769</v>
      </c>
      <c r="D116" s="50" t="s">
        <v>770</v>
      </c>
      <c r="E116" s="22" t="s">
        <v>86</v>
      </c>
      <c r="F116" s="50" t="s">
        <v>643</v>
      </c>
      <c r="G116" s="50" t="s">
        <v>771</v>
      </c>
      <c r="H116" s="22">
        <v>7.98467355E9</v>
      </c>
      <c r="I116" s="25"/>
      <c r="J116" s="25"/>
      <c r="K116" s="22">
        <v>35000.0</v>
      </c>
      <c r="L116" s="53" t="s">
        <v>683</v>
      </c>
      <c r="M116" s="22" t="s">
        <v>38</v>
      </c>
      <c r="N116" s="23" t="s">
        <v>39</v>
      </c>
      <c r="O116" s="22" t="s">
        <v>140</v>
      </c>
      <c r="P116" s="22" t="s">
        <v>41</v>
      </c>
      <c r="Q116" s="66"/>
      <c r="R116" s="22" t="s">
        <v>772</v>
      </c>
      <c r="S116" s="22" t="s">
        <v>773</v>
      </c>
      <c r="T116" s="22" t="s">
        <v>774</v>
      </c>
      <c r="U116" s="25"/>
      <c r="V116" s="56">
        <v>49259.0</v>
      </c>
      <c r="W116" s="56">
        <v>52399.0</v>
      </c>
      <c r="X116" s="22">
        <v>41002.0</v>
      </c>
      <c r="Y116" s="22">
        <v>40000.0</v>
      </c>
      <c r="Z116" s="16">
        <f t="shared" si="1"/>
        <v>12399</v>
      </c>
      <c r="AA116" s="17">
        <f t="shared" si="3"/>
        <v>-1002</v>
      </c>
      <c r="AB116" s="22" t="s">
        <v>42</v>
      </c>
      <c r="AC116" s="50" t="s">
        <v>775</v>
      </c>
      <c r="AD116" s="27"/>
      <c r="AE116" s="27"/>
    </row>
    <row r="117" hidden="1">
      <c r="A117" s="19">
        <v>115.0</v>
      </c>
      <c r="B117" s="22" t="s">
        <v>721</v>
      </c>
      <c r="C117" s="50" t="s">
        <v>776</v>
      </c>
      <c r="D117" s="50" t="s">
        <v>777</v>
      </c>
      <c r="E117" s="22" t="s">
        <v>255</v>
      </c>
      <c r="F117" s="50" t="s">
        <v>778</v>
      </c>
      <c r="G117" s="50" t="s">
        <v>779</v>
      </c>
      <c r="H117" s="22">
        <v>6.354731511E9</v>
      </c>
      <c r="I117" s="22">
        <v>9.879818982E9</v>
      </c>
      <c r="J117" s="25"/>
      <c r="K117" s="22">
        <v>995.0</v>
      </c>
      <c r="L117" s="53" t="s">
        <v>427</v>
      </c>
      <c r="M117" s="22" t="s">
        <v>167</v>
      </c>
      <c r="N117" s="23" t="s">
        <v>39</v>
      </c>
      <c r="O117" s="22" t="s">
        <v>352</v>
      </c>
      <c r="P117" s="22" t="s">
        <v>41</v>
      </c>
      <c r="Q117" s="66"/>
      <c r="R117" s="22" t="s">
        <v>780</v>
      </c>
      <c r="S117" s="22" t="s">
        <v>536</v>
      </c>
      <c r="T117" s="25"/>
      <c r="U117" s="25"/>
      <c r="V117" s="56">
        <v>5362.44</v>
      </c>
      <c r="W117" s="53">
        <v>5744.0</v>
      </c>
      <c r="X117" s="22">
        <v>5000.0</v>
      </c>
      <c r="Y117" s="22">
        <v>4800.0</v>
      </c>
      <c r="Z117" s="42">
        <f t="shared" si="1"/>
        <v>944</v>
      </c>
      <c r="AA117" s="17">
        <f t="shared" si="3"/>
        <v>-200</v>
      </c>
      <c r="AB117" s="22" t="s">
        <v>42</v>
      </c>
      <c r="AC117" s="50" t="s">
        <v>781</v>
      </c>
      <c r="AD117" s="27"/>
      <c r="AE117" s="27"/>
    </row>
    <row r="118" hidden="1">
      <c r="A118" s="21">
        <v>116.0</v>
      </c>
      <c r="B118" s="32" t="s">
        <v>721</v>
      </c>
      <c r="C118" s="43" t="s">
        <v>782</v>
      </c>
      <c r="D118" s="43" t="s">
        <v>783</v>
      </c>
      <c r="E118" s="32" t="s">
        <v>157</v>
      </c>
      <c r="F118" s="43" t="s">
        <v>784</v>
      </c>
      <c r="G118" s="43" t="s">
        <v>593</v>
      </c>
      <c r="H118" s="32">
        <v>7.9907858E9</v>
      </c>
      <c r="I118" s="32">
        <v>9.879428428E9</v>
      </c>
      <c r="J118" s="35"/>
      <c r="K118" s="32">
        <v>2220.0</v>
      </c>
      <c r="L118" s="46" t="s">
        <v>683</v>
      </c>
      <c r="M118" s="32" t="s">
        <v>265</v>
      </c>
      <c r="N118" s="33" t="s">
        <v>39</v>
      </c>
      <c r="O118" s="32" t="s">
        <v>311</v>
      </c>
      <c r="P118" s="32" t="s">
        <v>41</v>
      </c>
      <c r="Q118" s="67"/>
      <c r="R118" s="32" t="s">
        <v>785</v>
      </c>
      <c r="S118" s="32" t="s">
        <v>786</v>
      </c>
      <c r="T118" s="68">
        <v>46731.0</v>
      </c>
      <c r="U118" s="35"/>
      <c r="V118" s="46">
        <v>16472.0</v>
      </c>
      <c r="W118" s="46">
        <v>19437.0</v>
      </c>
      <c r="X118" s="32">
        <v>19000.0</v>
      </c>
      <c r="Y118" s="32">
        <v>18000.0</v>
      </c>
      <c r="Z118" s="47">
        <f t="shared" si="1"/>
        <v>1437</v>
      </c>
      <c r="AA118" s="48">
        <f t="shared" si="3"/>
        <v>-1000</v>
      </c>
      <c r="AB118" s="32" t="s">
        <v>42</v>
      </c>
      <c r="AC118" s="43" t="s">
        <v>787</v>
      </c>
      <c r="AD118" s="39"/>
      <c r="AE118" s="39"/>
      <c r="AF118" s="40"/>
      <c r="AG118" s="40"/>
    </row>
    <row r="119" hidden="1">
      <c r="A119" s="21">
        <v>117.0</v>
      </c>
      <c r="B119" s="22" t="s">
        <v>788</v>
      </c>
      <c r="C119" s="50" t="s">
        <v>789</v>
      </c>
      <c r="D119" s="50" t="s">
        <v>790</v>
      </c>
      <c r="E119" s="22" t="s">
        <v>53</v>
      </c>
      <c r="F119" s="50" t="s">
        <v>54</v>
      </c>
      <c r="G119" s="50" t="s">
        <v>791</v>
      </c>
      <c r="H119" s="22">
        <v>8.79966487E9</v>
      </c>
      <c r="I119" s="22">
        <v>8.98066487E9</v>
      </c>
      <c r="J119" s="25"/>
      <c r="K119" s="22">
        <v>818.0</v>
      </c>
      <c r="L119" s="53" t="s">
        <v>683</v>
      </c>
      <c r="M119" s="22" t="s">
        <v>56</v>
      </c>
      <c r="N119" s="23" t="s">
        <v>39</v>
      </c>
      <c r="O119" s="22" t="s">
        <v>48</v>
      </c>
      <c r="P119" s="22" t="s">
        <v>57</v>
      </c>
      <c r="Q119" s="66"/>
      <c r="R119" s="28">
        <v>45941.0</v>
      </c>
      <c r="S119" s="24">
        <v>45748.0</v>
      </c>
      <c r="T119" s="22" t="s">
        <v>792</v>
      </c>
      <c r="U119" s="25"/>
      <c r="V119" s="53">
        <v>6345.0</v>
      </c>
      <c r="W119" s="53">
        <v>7487.0</v>
      </c>
      <c r="X119" s="22">
        <v>6500.0</v>
      </c>
      <c r="Y119" s="22">
        <v>6500.0</v>
      </c>
      <c r="Z119" s="42">
        <f t="shared" si="1"/>
        <v>987</v>
      </c>
      <c r="AA119" s="17">
        <f t="shared" si="3"/>
        <v>0</v>
      </c>
      <c r="AB119" s="22" t="s">
        <v>42</v>
      </c>
      <c r="AC119" s="50" t="s">
        <v>793</v>
      </c>
      <c r="AD119" s="27"/>
      <c r="AE119" s="27"/>
    </row>
    <row r="120" hidden="1">
      <c r="A120" s="19">
        <v>118.0</v>
      </c>
      <c r="B120" s="22" t="s">
        <v>788</v>
      </c>
      <c r="C120" s="21" t="s">
        <v>794</v>
      </c>
      <c r="D120" s="50" t="s">
        <v>795</v>
      </c>
      <c r="E120" s="22" t="s">
        <v>69</v>
      </c>
      <c r="F120" s="50" t="s">
        <v>796</v>
      </c>
      <c r="G120" s="50" t="s">
        <v>797</v>
      </c>
      <c r="H120" s="22">
        <v>9.998925072E9</v>
      </c>
      <c r="I120" s="22">
        <v>9.979313116E9</v>
      </c>
      <c r="J120" s="25"/>
      <c r="K120" s="22">
        <v>2498.0</v>
      </c>
      <c r="L120" s="53" t="s">
        <v>683</v>
      </c>
      <c r="M120" s="22" t="s">
        <v>199</v>
      </c>
      <c r="N120" s="23" t="s">
        <v>39</v>
      </c>
      <c r="O120" s="22" t="s">
        <v>48</v>
      </c>
      <c r="P120" s="22" t="s">
        <v>452</v>
      </c>
      <c r="Q120" s="66"/>
      <c r="R120" s="24">
        <v>47306.0</v>
      </c>
      <c r="S120" s="22" t="s">
        <v>798</v>
      </c>
      <c r="T120" s="25"/>
      <c r="U120" s="25"/>
      <c r="V120" s="22">
        <v>9482.0</v>
      </c>
      <c r="W120" s="22">
        <v>11189.0</v>
      </c>
      <c r="X120" s="22">
        <v>11100.0</v>
      </c>
      <c r="Y120" s="22">
        <v>11100.0</v>
      </c>
      <c r="Z120" s="42">
        <f t="shared" si="1"/>
        <v>89</v>
      </c>
      <c r="AA120" s="17">
        <f t="shared" si="3"/>
        <v>0</v>
      </c>
      <c r="AB120" s="22" t="s">
        <v>42</v>
      </c>
      <c r="AC120" s="50" t="s">
        <v>799</v>
      </c>
      <c r="AD120" s="27"/>
      <c r="AE120" s="27"/>
    </row>
    <row r="121" hidden="1">
      <c r="A121" s="21">
        <v>119.0</v>
      </c>
      <c r="B121" s="22" t="s">
        <v>788</v>
      </c>
      <c r="C121" s="50" t="s">
        <v>800</v>
      </c>
      <c r="D121" s="50" t="s">
        <v>801</v>
      </c>
      <c r="E121" s="22" t="s">
        <v>86</v>
      </c>
      <c r="F121" s="50" t="s">
        <v>802</v>
      </c>
      <c r="G121" s="50" t="s">
        <v>803</v>
      </c>
      <c r="H121" s="22">
        <v>7.98467355E9</v>
      </c>
      <c r="I121" s="25"/>
      <c r="J121" s="25"/>
      <c r="K121" s="22">
        <v>12500.0</v>
      </c>
      <c r="L121" s="53" t="s">
        <v>683</v>
      </c>
      <c r="M121" s="22" t="s">
        <v>98</v>
      </c>
      <c r="N121" s="23" t="s">
        <v>81</v>
      </c>
      <c r="O121" s="22" t="s">
        <v>57</v>
      </c>
      <c r="P121" s="22" t="s">
        <v>187</v>
      </c>
      <c r="Q121" s="66"/>
      <c r="R121" s="22" t="s">
        <v>266</v>
      </c>
      <c r="S121" s="22" t="s">
        <v>804</v>
      </c>
      <c r="T121" s="24">
        <v>47425.0</v>
      </c>
      <c r="U121" s="25"/>
      <c r="V121" s="53">
        <v>36012.0</v>
      </c>
      <c r="W121" s="53">
        <v>37903.0</v>
      </c>
      <c r="X121" s="22">
        <v>23500.0</v>
      </c>
      <c r="Y121" s="22">
        <v>23500.0</v>
      </c>
      <c r="Z121" s="42">
        <f t="shared" si="1"/>
        <v>14403</v>
      </c>
      <c r="AA121" s="17">
        <f t="shared" si="3"/>
        <v>0</v>
      </c>
      <c r="AB121" s="22" t="s">
        <v>42</v>
      </c>
      <c r="AC121" s="50" t="s">
        <v>805</v>
      </c>
      <c r="AD121" s="27"/>
      <c r="AE121" s="27"/>
    </row>
    <row r="122" hidden="1">
      <c r="A122" s="21">
        <v>120.0</v>
      </c>
      <c r="B122" s="22" t="s">
        <v>806</v>
      </c>
      <c r="C122" s="50" t="s">
        <v>807</v>
      </c>
      <c r="D122" s="50" t="s">
        <v>808</v>
      </c>
      <c r="E122" s="22" t="s">
        <v>157</v>
      </c>
      <c r="F122" s="50" t="s">
        <v>301</v>
      </c>
      <c r="G122" s="50" t="s">
        <v>809</v>
      </c>
      <c r="H122" s="22">
        <v>8.780802888E9</v>
      </c>
      <c r="I122" s="22">
        <v>8.73500391E9</v>
      </c>
      <c r="J122" s="25"/>
      <c r="K122" s="22">
        <v>3480.0</v>
      </c>
      <c r="L122" s="53" t="s">
        <v>683</v>
      </c>
      <c r="M122" s="22" t="s">
        <v>38</v>
      </c>
      <c r="N122" s="23" t="s">
        <v>39</v>
      </c>
      <c r="O122" s="22" t="s">
        <v>352</v>
      </c>
      <c r="P122" s="22" t="s">
        <v>41</v>
      </c>
      <c r="Q122" s="66"/>
      <c r="R122" s="22" t="s">
        <v>810</v>
      </c>
      <c r="S122" s="22" t="s">
        <v>121</v>
      </c>
      <c r="T122" s="22" t="s">
        <v>811</v>
      </c>
      <c r="U122" s="25"/>
      <c r="V122" s="56">
        <v>21274.0</v>
      </c>
      <c r="W122" s="56">
        <v>23007.0</v>
      </c>
      <c r="X122" s="22">
        <v>14850.0</v>
      </c>
      <c r="Y122" s="22">
        <v>14500.0</v>
      </c>
      <c r="Z122" s="16">
        <f t="shared" si="1"/>
        <v>8507</v>
      </c>
      <c r="AA122" s="17">
        <f t="shared" si="3"/>
        <v>-350</v>
      </c>
      <c r="AB122" s="22" t="s">
        <v>42</v>
      </c>
      <c r="AC122" s="50" t="s">
        <v>812</v>
      </c>
      <c r="AD122" s="21" t="s">
        <v>357</v>
      </c>
      <c r="AE122" s="21">
        <v>1.475028095E9</v>
      </c>
      <c r="AF122" s="50" t="s">
        <v>672</v>
      </c>
      <c r="AG122" s="21" t="s">
        <v>298</v>
      </c>
    </row>
    <row r="123" hidden="1">
      <c r="A123" s="19">
        <v>121.0</v>
      </c>
      <c r="B123" s="22" t="s">
        <v>813</v>
      </c>
      <c r="C123" s="50" t="s">
        <v>814</v>
      </c>
      <c r="D123" s="50" t="s">
        <v>815</v>
      </c>
      <c r="E123" s="22" t="s">
        <v>255</v>
      </c>
      <c r="F123" s="50" t="s">
        <v>816</v>
      </c>
      <c r="G123" s="50" t="s">
        <v>817</v>
      </c>
      <c r="H123" s="22">
        <v>9.328635924E9</v>
      </c>
      <c r="I123" s="22">
        <v>8.140804856E9</v>
      </c>
      <c r="J123" s="25"/>
      <c r="K123" s="22">
        <v>995.0</v>
      </c>
      <c r="L123" s="53" t="s">
        <v>818</v>
      </c>
      <c r="M123" s="22" t="s">
        <v>258</v>
      </c>
      <c r="N123" s="23" t="s">
        <v>39</v>
      </c>
      <c r="O123" s="22" t="s">
        <v>48</v>
      </c>
      <c r="P123" s="22" t="s">
        <v>57</v>
      </c>
      <c r="Q123" s="66"/>
      <c r="R123" s="22" t="s">
        <v>819</v>
      </c>
      <c r="S123" s="22" t="s">
        <v>212</v>
      </c>
      <c r="T123" s="25"/>
      <c r="U123" s="25"/>
      <c r="V123" s="60">
        <v>5193.0</v>
      </c>
      <c r="W123" s="56">
        <v>5543.0</v>
      </c>
      <c r="X123" s="22">
        <v>5000.0</v>
      </c>
      <c r="Y123" s="22">
        <v>5000.0</v>
      </c>
      <c r="Z123" s="16">
        <f t="shared" si="1"/>
        <v>543</v>
      </c>
      <c r="AA123" s="17">
        <f t="shared" si="3"/>
        <v>0</v>
      </c>
      <c r="AB123" s="22" t="s">
        <v>340</v>
      </c>
      <c r="AC123" s="50" t="s">
        <v>820</v>
      </c>
      <c r="AD123" s="27"/>
      <c r="AE123" s="21" t="s">
        <v>671</v>
      </c>
      <c r="AF123" s="50" t="s">
        <v>804</v>
      </c>
      <c r="AG123" s="50" t="s">
        <v>298</v>
      </c>
    </row>
    <row r="124" hidden="1">
      <c r="A124" s="21">
        <v>122.0</v>
      </c>
      <c r="B124" s="22" t="s">
        <v>813</v>
      </c>
      <c r="C124" s="50" t="s">
        <v>821</v>
      </c>
      <c r="D124" s="50" t="s">
        <v>822</v>
      </c>
      <c r="E124" s="22" t="s">
        <v>69</v>
      </c>
      <c r="F124" s="50" t="s">
        <v>823</v>
      </c>
      <c r="G124" s="50" t="s">
        <v>824</v>
      </c>
      <c r="H124" s="22">
        <v>6.355541751E9</v>
      </c>
      <c r="I124" s="22">
        <v>6.354632943E9</v>
      </c>
      <c r="J124" s="25"/>
      <c r="K124" s="22">
        <v>2470.0</v>
      </c>
      <c r="L124" s="22" t="s">
        <v>825</v>
      </c>
      <c r="M124" s="22" t="s">
        <v>329</v>
      </c>
      <c r="N124" s="23" t="s">
        <v>81</v>
      </c>
      <c r="O124" s="22" t="s">
        <v>236</v>
      </c>
      <c r="P124" s="22" t="s">
        <v>73</v>
      </c>
      <c r="Q124" s="66"/>
      <c r="R124" s="24">
        <v>50345.0</v>
      </c>
      <c r="S124" s="22" t="s">
        <v>168</v>
      </c>
      <c r="T124" s="25"/>
      <c r="U124" s="25"/>
      <c r="V124" s="56">
        <v>3797.0</v>
      </c>
      <c r="W124" s="56">
        <v>4480.0</v>
      </c>
      <c r="X124" s="22">
        <v>4500.0</v>
      </c>
      <c r="Y124" s="22">
        <v>4500.0</v>
      </c>
      <c r="Z124" s="16">
        <f t="shared" si="1"/>
        <v>-20</v>
      </c>
      <c r="AA124" s="17">
        <f t="shared" si="3"/>
        <v>0</v>
      </c>
      <c r="AB124" s="22" t="s">
        <v>42</v>
      </c>
      <c r="AC124" s="50" t="s">
        <v>826</v>
      </c>
      <c r="AD124" s="27"/>
      <c r="AE124" s="27"/>
    </row>
    <row r="125" hidden="1">
      <c r="A125" s="21">
        <v>123.0</v>
      </c>
      <c r="B125" s="22" t="s">
        <v>813</v>
      </c>
      <c r="C125" s="50" t="s">
        <v>827</v>
      </c>
      <c r="D125" s="50" t="s">
        <v>828</v>
      </c>
      <c r="E125" s="22" t="s">
        <v>69</v>
      </c>
      <c r="F125" s="50" t="s">
        <v>829</v>
      </c>
      <c r="G125" s="50" t="s">
        <v>830</v>
      </c>
      <c r="H125" s="22" t="s">
        <v>831</v>
      </c>
      <c r="I125" s="25"/>
      <c r="J125" s="25"/>
      <c r="K125" s="22">
        <v>2596.0</v>
      </c>
      <c r="L125" s="22" t="s">
        <v>825</v>
      </c>
      <c r="M125" s="22" t="s">
        <v>249</v>
      </c>
      <c r="N125" s="23" t="s">
        <v>81</v>
      </c>
      <c r="O125" s="22" t="s">
        <v>140</v>
      </c>
      <c r="P125" s="22" t="s">
        <v>73</v>
      </c>
      <c r="Q125" s="66"/>
      <c r="R125" s="22" t="s">
        <v>99</v>
      </c>
      <c r="S125" s="22" t="s">
        <v>702</v>
      </c>
      <c r="T125" s="25"/>
      <c r="U125" s="25"/>
      <c r="V125" s="53">
        <v>7897.0</v>
      </c>
      <c r="W125" s="53">
        <v>9318.46</v>
      </c>
      <c r="X125" s="22">
        <v>9500.0</v>
      </c>
      <c r="Y125" s="22">
        <v>9500.0</v>
      </c>
      <c r="Z125" s="42">
        <f t="shared" si="1"/>
        <v>-181.54</v>
      </c>
      <c r="AA125" s="17">
        <f t="shared" si="3"/>
        <v>0</v>
      </c>
      <c r="AB125" s="22" t="s">
        <v>42</v>
      </c>
      <c r="AC125" s="50" t="s">
        <v>832</v>
      </c>
      <c r="AD125" s="27"/>
      <c r="AE125" s="27"/>
    </row>
    <row r="126" hidden="1">
      <c r="A126" s="19">
        <v>124.0</v>
      </c>
      <c r="B126" s="22" t="s">
        <v>813</v>
      </c>
      <c r="C126" s="50" t="s">
        <v>833</v>
      </c>
      <c r="D126" s="50" t="s">
        <v>834</v>
      </c>
      <c r="E126" s="22" t="s">
        <v>276</v>
      </c>
      <c r="F126" s="50" t="s">
        <v>835</v>
      </c>
      <c r="G126" s="50" t="s">
        <v>836</v>
      </c>
      <c r="H126" s="22">
        <v>8.32085025E9</v>
      </c>
      <c r="I126" s="25"/>
      <c r="J126" s="25"/>
      <c r="K126" s="22">
        <v>112.0</v>
      </c>
      <c r="L126" s="22" t="s">
        <v>825</v>
      </c>
      <c r="M126" s="22" t="s">
        <v>329</v>
      </c>
      <c r="N126" s="23" t="s">
        <v>81</v>
      </c>
      <c r="O126" s="22" t="s">
        <v>140</v>
      </c>
      <c r="P126" s="22" t="s">
        <v>73</v>
      </c>
      <c r="Q126" s="66"/>
      <c r="R126" s="24">
        <v>49584.0</v>
      </c>
      <c r="S126" s="22" t="s">
        <v>212</v>
      </c>
      <c r="T126" s="25"/>
      <c r="U126" s="25"/>
      <c r="V126" s="53">
        <v>714.0</v>
      </c>
      <c r="W126" s="53">
        <v>843.0</v>
      </c>
      <c r="X126" s="22">
        <v>850.0</v>
      </c>
      <c r="Y126" s="22">
        <v>850.0</v>
      </c>
      <c r="Z126" s="42">
        <f t="shared" si="1"/>
        <v>-7</v>
      </c>
      <c r="AA126" s="17">
        <f t="shared" si="3"/>
        <v>0</v>
      </c>
      <c r="AB126" s="22" t="s">
        <v>42</v>
      </c>
      <c r="AC126" s="50" t="s">
        <v>837</v>
      </c>
      <c r="AD126" s="27"/>
      <c r="AE126" s="27"/>
      <c r="AF126" s="50" t="s">
        <v>804</v>
      </c>
      <c r="AG126" s="50" t="s">
        <v>475</v>
      </c>
    </row>
    <row r="127" hidden="1">
      <c r="A127" s="21">
        <v>125.0</v>
      </c>
      <c r="B127" s="22" t="s">
        <v>813</v>
      </c>
      <c r="C127" s="50" t="s">
        <v>838</v>
      </c>
      <c r="D127" s="50" t="s">
        <v>839</v>
      </c>
      <c r="E127" s="22" t="s">
        <v>276</v>
      </c>
      <c r="F127" s="50" t="s">
        <v>840</v>
      </c>
      <c r="G127" s="50" t="s">
        <v>841</v>
      </c>
      <c r="H127" s="22" t="s">
        <v>842</v>
      </c>
      <c r="I127" s="25"/>
      <c r="J127" s="25"/>
      <c r="K127" s="22">
        <v>97.0</v>
      </c>
      <c r="L127" s="53" t="s">
        <v>843</v>
      </c>
      <c r="M127" s="22" t="s">
        <v>167</v>
      </c>
      <c r="N127" s="23" t="s">
        <v>181</v>
      </c>
      <c r="O127" s="22" t="s">
        <v>48</v>
      </c>
      <c r="P127" s="22" t="s">
        <v>452</v>
      </c>
      <c r="Q127" s="66"/>
      <c r="R127" s="22" t="s">
        <v>844</v>
      </c>
      <c r="S127" s="24">
        <v>45909.0</v>
      </c>
      <c r="T127" s="25"/>
      <c r="U127" s="25"/>
      <c r="V127" s="53">
        <v>495.12</v>
      </c>
      <c r="W127" s="53">
        <v>584.0</v>
      </c>
      <c r="X127" s="22">
        <v>869.0</v>
      </c>
      <c r="Y127" s="22">
        <v>1000.0</v>
      </c>
      <c r="Z127" s="42">
        <f t="shared" si="1"/>
        <v>-416</v>
      </c>
      <c r="AA127" s="17">
        <f t="shared" si="3"/>
        <v>131</v>
      </c>
      <c r="AB127" s="22" t="s">
        <v>42</v>
      </c>
      <c r="AC127" s="50" t="s">
        <v>845</v>
      </c>
      <c r="AD127" s="27"/>
      <c r="AE127" s="27"/>
    </row>
    <row r="128" hidden="1">
      <c r="A128" s="21">
        <v>126.0</v>
      </c>
      <c r="B128" s="22" t="s">
        <v>813</v>
      </c>
      <c r="C128" s="50" t="s">
        <v>846</v>
      </c>
      <c r="D128" s="50" t="s">
        <v>847</v>
      </c>
      <c r="E128" s="22" t="s">
        <v>86</v>
      </c>
      <c r="F128" s="50" t="s">
        <v>848</v>
      </c>
      <c r="G128" s="50" t="s">
        <v>335</v>
      </c>
      <c r="H128" s="22">
        <v>8.980805252E9</v>
      </c>
      <c r="I128" s="22">
        <v>8.404000099E9</v>
      </c>
      <c r="J128" s="25"/>
      <c r="K128" s="22">
        <v>25000.0</v>
      </c>
      <c r="L128" s="22" t="s">
        <v>825</v>
      </c>
      <c r="M128" s="22" t="s">
        <v>98</v>
      </c>
      <c r="N128" s="23" t="s">
        <v>81</v>
      </c>
      <c r="O128" s="22" t="s">
        <v>48</v>
      </c>
      <c r="P128" s="22" t="s">
        <v>187</v>
      </c>
      <c r="Q128" s="66"/>
      <c r="R128" s="22" t="s">
        <v>849</v>
      </c>
      <c r="S128" s="28">
        <v>45942.0</v>
      </c>
      <c r="T128" s="22" t="s">
        <v>850</v>
      </c>
      <c r="U128" s="25"/>
      <c r="V128" s="53">
        <v>44050.0</v>
      </c>
      <c r="W128" s="53">
        <v>46266.0</v>
      </c>
      <c r="X128" s="22">
        <v>29500.0</v>
      </c>
      <c r="Y128" s="22">
        <v>29000.0</v>
      </c>
      <c r="Z128" s="42">
        <f t="shared" si="1"/>
        <v>17266</v>
      </c>
      <c r="AA128" s="17">
        <f t="shared" si="3"/>
        <v>-500</v>
      </c>
      <c r="AB128" s="22" t="s">
        <v>42</v>
      </c>
      <c r="AC128" s="50" t="s">
        <v>851</v>
      </c>
      <c r="AD128" s="27"/>
      <c r="AE128" s="27"/>
    </row>
    <row r="129" hidden="1">
      <c r="A129" s="19">
        <v>127.0</v>
      </c>
      <c r="B129" s="22" t="s">
        <v>813</v>
      </c>
      <c r="C129" s="50" t="s">
        <v>852</v>
      </c>
      <c r="D129" s="50" t="s">
        <v>853</v>
      </c>
      <c r="E129" s="22" t="s">
        <v>69</v>
      </c>
      <c r="F129" s="50" t="s">
        <v>854</v>
      </c>
      <c r="G129" s="50" t="s">
        <v>855</v>
      </c>
      <c r="H129" s="22" t="s">
        <v>856</v>
      </c>
      <c r="I129" s="22">
        <v>9.97907422E9</v>
      </c>
      <c r="J129" s="25"/>
      <c r="K129" s="22">
        <v>1462.0</v>
      </c>
      <c r="L129" s="53" t="s">
        <v>843</v>
      </c>
      <c r="M129" s="22" t="s">
        <v>64</v>
      </c>
      <c r="N129" s="23" t="s">
        <v>39</v>
      </c>
      <c r="O129" s="22" t="s">
        <v>388</v>
      </c>
      <c r="P129" s="22" t="s">
        <v>452</v>
      </c>
      <c r="Q129" s="66"/>
      <c r="R129" s="22" t="s">
        <v>857</v>
      </c>
      <c r="S129" s="22" t="s">
        <v>858</v>
      </c>
      <c r="T129" s="25"/>
      <c r="U129" s="25"/>
      <c r="V129" s="56">
        <v>10851.0</v>
      </c>
      <c r="W129" s="56">
        <v>12804.0</v>
      </c>
      <c r="X129" s="22">
        <v>12803.0</v>
      </c>
      <c r="Y129" s="22">
        <v>12800.0</v>
      </c>
      <c r="Z129" s="16">
        <f t="shared" si="1"/>
        <v>4</v>
      </c>
      <c r="AA129" s="17">
        <f t="shared" si="3"/>
        <v>-3</v>
      </c>
      <c r="AB129" s="22" t="s">
        <v>42</v>
      </c>
      <c r="AC129" s="50" t="s">
        <v>859</v>
      </c>
      <c r="AD129" s="21" t="s">
        <v>860</v>
      </c>
      <c r="AE129" s="69" t="s">
        <v>861</v>
      </c>
      <c r="AG129" s="50" t="s">
        <v>862</v>
      </c>
    </row>
    <row r="130" hidden="1">
      <c r="A130" s="21">
        <v>128.0</v>
      </c>
      <c r="B130" s="22" t="s">
        <v>813</v>
      </c>
      <c r="C130" s="50" t="s">
        <v>863</v>
      </c>
      <c r="D130" s="50" t="s">
        <v>864</v>
      </c>
      <c r="E130" s="22" t="s">
        <v>53</v>
      </c>
      <c r="F130" s="50" t="s">
        <v>54</v>
      </c>
      <c r="G130" s="50" t="s">
        <v>865</v>
      </c>
      <c r="H130" s="22">
        <v>9.726564768E9</v>
      </c>
      <c r="I130" s="22">
        <v>7.621892414E9</v>
      </c>
      <c r="J130" s="25"/>
      <c r="K130" s="22">
        <v>818.0</v>
      </c>
      <c r="L130" s="53" t="s">
        <v>843</v>
      </c>
      <c r="M130" s="22" t="s">
        <v>56</v>
      </c>
      <c r="N130" s="23" t="s">
        <v>39</v>
      </c>
      <c r="O130" s="22" t="s">
        <v>140</v>
      </c>
      <c r="P130" s="22" t="s">
        <v>57</v>
      </c>
      <c r="Q130" s="66"/>
      <c r="R130" s="22" t="s">
        <v>866</v>
      </c>
      <c r="S130" s="22" t="s">
        <v>212</v>
      </c>
      <c r="T130" s="22" t="s">
        <v>867</v>
      </c>
      <c r="U130" s="25"/>
      <c r="V130" s="53">
        <v>6568.0</v>
      </c>
      <c r="W130" s="53">
        <v>7750.0</v>
      </c>
      <c r="X130" s="22">
        <v>6500.0</v>
      </c>
      <c r="Y130" s="22">
        <v>6000.0</v>
      </c>
      <c r="Z130" s="42">
        <f t="shared" si="1"/>
        <v>1750</v>
      </c>
      <c r="AA130" s="17">
        <f t="shared" si="3"/>
        <v>-500</v>
      </c>
      <c r="AB130" s="22" t="s">
        <v>42</v>
      </c>
      <c r="AC130" s="50" t="s">
        <v>868</v>
      </c>
      <c r="AD130" s="27"/>
      <c r="AE130" s="27"/>
    </row>
    <row r="131" hidden="1">
      <c r="A131" s="21">
        <v>129.0</v>
      </c>
      <c r="B131" s="22" t="s">
        <v>813</v>
      </c>
      <c r="C131" s="50" t="s">
        <v>869</v>
      </c>
      <c r="D131" s="50" t="s">
        <v>870</v>
      </c>
      <c r="E131" s="22" t="s">
        <v>86</v>
      </c>
      <c r="F131" s="50" t="s">
        <v>643</v>
      </c>
      <c r="G131" s="50" t="s">
        <v>871</v>
      </c>
      <c r="H131" s="22">
        <v>7.98467355E9</v>
      </c>
      <c r="I131" s="25"/>
      <c r="J131" s="25"/>
      <c r="K131" s="22">
        <v>35000.0</v>
      </c>
      <c r="L131" s="53" t="s">
        <v>872</v>
      </c>
      <c r="M131" s="22" t="s">
        <v>38</v>
      </c>
      <c r="N131" s="23" t="s">
        <v>39</v>
      </c>
      <c r="O131" s="22" t="s">
        <v>140</v>
      </c>
      <c r="P131" s="22" t="s">
        <v>41</v>
      </c>
      <c r="Q131" s="66"/>
      <c r="R131" s="22" t="s">
        <v>873</v>
      </c>
      <c r="S131" s="22" t="s">
        <v>702</v>
      </c>
      <c r="T131" s="24">
        <v>46754.0</v>
      </c>
      <c r="U131" s="25"/>
      <c r="V131" s="56">
        <v>49755.0</v>
      </c>
      <c r="W131" s="56">
        <v>52979.0</v>
      </c>
      <c r="X131" s="22">
        <v>42500.0</v>
      </c>
      <c r="Y131" s="22">
        <v>42500.0</v>
      </c>
      <c r="Z131" s="16">
        <f t="shared" si="1"/>
        <v>10479</v>
      </c>
      <c r="AA131" s="17">
        <f t="shared" si="3"/>
        <v>0</v>
      </c>
      <c r="AB131" s="22" t="s">
        <v>42</v>
      </c>
      <c r="AC131" s="50" t="s">
        <v>874</v>
      </c>
      <c r="AD131" s="27"/>
      <c r="AE131" s="27"/>
    </row>
    <row r="132" hidden="1">
      <c r="A132" s="19">
        <v>130.0</v>
      </c>
      <c r="B132" s="22" t="s">
        <v>813</v>
      </c>
      <c r="C132" s="50" t="s">
        <v>875</v>
      </c>
      <c r="D132" s="50" t="s">
        <v>876</v>
      </c>
      <c r="E132" s="22" t="s">
        <v>69</v>
      </c>
      <c r="F132" s="50" t="s">
        <v>877</v>
      </c>
      <c r="G132" s="50" t="s">
        <v>878</v>
      </c>
      <c r="H132" s="22" t="s">
        <v>879</v>
      </c>
      <c r="I132" s="25"/>
      <c r="J132" s="25"/>
      <c r="K132" s="22">
        <v>1497.0</v>
      </c>
      <c r="L132" s="53" t="s">
        <v>843</v>
      </c>
      <c r="M132" s="22" t="s">
        <v>98</v>
      </c>
      <c r="N132" s="23" t="s">
        <v>39</v>
      </c>
      <c r="O132" s="22" t="s">
        <v>140</v>
      </c>
      <c r="P132" s="22" t="s">
        <v>452</v>
      </c>
      <c r="Q132" s="66"/>
      <c r="R132" s="24">
        <v>50049.0</v>
      </c>
      <c r="S132" s="22" t="s">
        <v>880</v>
      </c>
      <c r="T132" s="25"/>
      <c r="U132" s="25"/>
      <c r="V132" s="53">
        <v>12609.0</v>
      </c>
      <c r="W132" s="53">
        <v>14879.0</v>
      </c>
      <c r="X132" s="53">
        <v>14879.0</v>
      </c>
      <c r="Y132" s="22">
        <v>14500.0</v>
      </c>
      <c r="Z132" s="42">
        <f t="shared" si="1"/>
        <v>379</v>
      </c>
      <c r="AA132" s="17">
        <f t="shared" si="3"/>
        <v>-379</v>
      </c>
      <c r="AB132" s="22" t="s">
        <v>42</v>
      </c>
      <c r="AC132" s="50" t="s">
        <v>881</v>
      </c>
      <c r="AD132" s="27"/>
      <c r="AE132" s="27"/>
    </row>
    <row r="133" hidden="1">
      <c r="A133" s="21">
        <v>131.0</v>
      </c>
      <c r="B133" s="22" t="s">
        <v>813</v>
      </c>
      <c r="C133" s="50" t="s">
        <v>882</v>
      </c>
      <c r="D133" s="50" t="s">
        <v>883</v>
      </c>
      <c r="E133" s="22" t="s">
        <v>53</v>
      </c>
      <c r="F133" s="50" t="s">
        <v>884</v>
      </c>
      <c r="G133" s="50" t="s">
        <v>885</v>
      </c>
      <c r="H133" s="22">
        <v>8.799182223E9</v>
      </c>
      <c r="I133" s="22">
        <v>9.638155422E9</v>
      </c>
      <c r="J133" s="25"/>
      <c r="K133" s="22">
        <v>818.0</v>
      </c>
      <c r="L133" s="53" t="s">
        <v>825</v>
      </c>
      <c r="M133" s="22" t="s">
        <v>265</v>
      </c>
      <c r="N133" s="23" t="s">
        <v>39</v>
      </c>
      <c r="O133" s="22" t="s">
        <v>352</v>
      </c>
      <c r="P133" s="22" t="s">
        <v>41</v>
      </c>
      <c r="Q133" s="66"/>
      <c r="R133" s="22" t="s">
        <v>886</v>
      </c>
      <c r="S133" s="22" t="s">
        <v>887</v>
      </c>
      <c r="T133" s="22" t="s">
        <v>888</v>
      </c>
      <c r="U133" s="25"/>
      <c r="V133" s="53">
        <v>6328.0</v>
      </c>
      <c r="W133" s="53">
        <v>7468.0</v>
      </c>
      <c r="X133" s="22">
        <v>6500.0</v>
      </c>
      <c r="Y133" s="22">
        <v>6500.0</v>
      </c>
      <c r="Z133" s="42">
        <f t="shared" si="1"/>
        <v>968</v>
      </c>
      <c r="AA133" s="17">
        <f t="shared" si="3"/>
        <v>0</v>
      </c>
      <c r="AB133" s="22" t="s">
        <v>42</v>
      </c>
      <c r="AC133" s="50" t="s">
        <v>889</v>
      </c>
      <c r="AD133" s="27"/>
      <c r="AE133" s="27"/>
    </row>
    <row r="134" hidden="1">
      <c r="A134" s="21">
        <v>132.0</v>
      </c>
      <c r="B134" s="22" t="s">
        <v>813</v>
      </c>
      <c r="C134" s="50" t="s">
        <v>890</v>
      </c>
      <c r="D134" s="50" t="s">
        <v>891</v>
      </c>
      <c r="E134" s="22" t="s">
        <v>157</v>
      </c>
      <c r="F134" s="50" t="s">
        <v>301</v>
      </c>
      <c r="G134" s="50" t="s">
        <v>892</v>
      </c>
      <c r="H134" s="22" t="s">
        <v>893</v>
      </c>
      <c r="I134" s="22" t="s">
        <v>894</v>
      </c>
      <c r="J134" s="25"/>
      <c r="K134" s="22">
        <v>3480.0</v>
      </c>
      <c r="L134" s="53" t="s">
        <v>872</v>
      </c>
      <c r="M134" s="22" t="s">
        <v>38</v>
      </c>
      <c r="N134" s="23" t="s">
        <v>39</v>
      </c>
      <c r="O134" s="22" t="s">
        <v>388</v>
      </c>
      <c r="P134" s="22" t="s">
        <v>41</v>
      </c>
      <c r="Q134" s="66"/>
      <c r="R134" s="22" t="s">
        <v>470</v>
      </c>
      <c r="S134" s="22" t="s">
        <v>212</v>
      </c>
      <c r="T134" s="22" t="s">
        <v>895</v>
      </c>
      <c r="U134" s="25"/>
      <c r="V134" s="56">
        <v>22901.0</v>
      </c>
      <c r="W134" s="56">
        <v>24925.0</v>
      </c>
      <c r="X134" s="22">
        <v>15791.0</v>
      </c>
      <c r="Y134" s="22">
        <v>15800.0</v>
      </c>
      <c r="Z134" s="16">
        <f t="shared" si="1"/>
        <v>9125</v>
      </c>
      <c r="AA134" s="17">
        <f t="shared" si="3"/>
        <v>9</v>
      </c>
      <c r="AB134" s="22" t="s">
        <v>42</v>
      </c>
      <c r="AC134" s="50" t="s">
        <v>896</v>
      </c>
      <c r="AD134" s="27"/>
      <c r="AE134" s="27"/>
    </row>
    <row r="135" hidden="1">
      <c r="A135" s="19">
        <v>133.0</v>
      </c>
      <c r="B135" s="22" t="s">
        <v>813</v>
      </c>
      <c r="C135" s="50" t="s">
        <v>897</v>
      </c>
      <c r="D135" s="50" t="s">
        <v>898</v>
      </c>
      <c r="E135" s="22" t="s">
        <v>69</v>
      </c>
      <c r="F135" s="50" t="s">
        <v>899</v>
      </c>
      <c r="G135" s="50" t="s">
        <v>900</v>
      </c>
      <c r="H135" s="22" t="s">
        <v>901</v>
      </c>
      <c r="I135" s="22" t="s">
        <v>902</v>
      </c>
      <c r="J135" s="25"/>
      <c r="K135" s="22">
        <v>1248.0</v>
      </c>
      <c r="L135" s="53" t="s">
        <v>872</v>
      </c>
      <c r="M135" s="22" t="s">
        <v>153</v>
      </c>
      <c r="N135" s="23" t="s">
        <v>39</v>
      </c>
      <c r="O135" s="22" t="s">
        <v>140</v>
      </c>
      <c r="P135" s="22" t="s">
        <v>73</v>
      </c>
      <c r="Q135" s="66"/>
      <c r="R135" s="22" t="s">
        <v>903</v>
      </c>
      <c r="S135" s="24">
        <v>46299.0</v>
      </c>
      <c r="T135" s="25"/>
      <c r="U135" s="25"/>
      <c r="V135" s="53">
        <v>5436.37</v>
      </c>
      <c r="W135" s="53">
        <v>6414.91</v>
      </c>
      <c r="X135" s="22">
        <v>6414.0</v>
      </c>
      <c r="Y135" s="22">
        <v>6400.0</v>
      </c>
      <c r="Z135" s="42">
        <f t="shared" si="1"/>
        <v>14.91</v>
      </c>
      <c r="AA135" s="17">
        <f t="shared" si="3"/>
        <v>-14</v>
      </c>
      <c r="AB135" s="22" t="s">
        <v>42</v>
      </c>
      <c r="AC135" s="50" t="s">
        <v>904</v>
      </c>
      <c r="AD135" s="27"/>
      <c r="AE135" s="27"/>
    </row>
    <row r="136" hidden="1">
      <c r="A136" s="21">
        <v>134.0</v>
      </c>
      <c r="B136" s="22" t="s">
        <v>813</v>
      </c>
      <c r="C136" s="50" t="s">
        <v>905</v>
      </c>
      <c r="D136" s="50" t="s">
        <v>906</v>
      </c>
      <c r="E136" s="22" t="s">
        <v>591</v>
      </c>
      <c r="F136" s="50" t="s">
        <v>907</v>
      </c>
      <c r="G136" s="50" t="s">
        <v>908</v>
      </c>
      <c r="H136" s="22">
        <v>9.099394051E9</v>
      </c>
      <c r="I136" s="25"/>
      <c r="J136" s="25"/>
      <c r="K136" s="22">
        <v>1196.0</v>
      </c>
      <c r="L136" s="53" t="s">
        <v>872</v>
      </c>
      <c r="M136" s="22" t="s">
        <v>265</v>
      </c>
      <c r="N136" s="23" t="s">
        <v>39</v>
      </c>
      <c r="O136" s="22" t="s">
        <v>140</v>
      </c>
      <c r="P136" s="22" t="s">
        <v>41</v>
      </c>
      <c r="Q136" s="66"/>
      <c r="R136" s="22" t="s">
        <v>536</v>
      </c>
      <c r="S136" s="22" t="s">
        <v>909</v>
      </c>
      <c r="T136" s="22" t="s">
        <v>910</v>
      </c>
      <c r="U136" s="25"/>
      <c r="V136" s="53">
        <v>14603.0</v>
      </c>
      <c r="W136" s="53">
        <v>17232.0</v>
      </c>
      <c r="X136" s="22">
        <v>15730.0</v>
      </c>
      <c r="Y136" s="22">
        <v>15730.0</v>
      </c>
      <c r="Z136" s="42">
        <f t="shared" si="1"/>
        <v>1502</v>
      </c>
      <c r="AA136" s="17">
        <f t="shared" si="3"/>
        <v>0</v>
      </c>
      <c r="AB136" s="22" t="s">
        <v>42</v>
      </c>
      <c r="AC136" s="50" t="s">
        <v>911</v>
      </c>
      <c r="AD136" s="27"/>
      <c r="AE136" s="27"/>
    </row>
    <row r="137" hidden="1">
      <c r="A137" s="21">
        <v>135.0</v>
      </c>
      <c r="B137" s="22" t="s">
        <v>813</v>
      </c>
      <c r="C137" s="50" t="s">
        <v>912</v>
      </c>
      <c r="D137" s="50" t="s">
        <v>913</v>
      </c>
      <c r="E137" s="22" t="s">
        <v>86</v>
      </c>
      <c r="F137" s="50" t="s">
        <v>914</v>
      </c>
      <c r="G137" s="50" t="s">
        <v>915</v>
      </c>
      <c r="H137" s="22">
        <v>9.879125633E9</v>
      </c>
      <c r="I137" s="22">
        <v>9.925565744E9</v>
      </c>
      <c r="J137" s="25"/>
      <c r="K137" s="22">
        <v>42000.0</v>
      </c>
      <c r="L137" s="53" t="s">
        <v>825</v>
      </c>
      <c r="M137" s="22" t="s">
        <v>265</v>
      </c>
      <c r="N137" s="23" t="s">
        <v>39</v>
      </c>
      <c r="O137" s="22" t="s">
        <v>140</v>
      </c>
      <c r="P137" s="22" t="s">
        <v>41</v>
      </c>
      <c r="Q137" s="66"/>
      <c r="R137" s="24">
        <v>45850.0</v>
      </c>
      <c r="S137" s="22" t="s">
        <v>916</v>
      </c>
      <c r="T137" s="24">
        <v>47275.0</v>
      </c>
      <c r="U137" s="25"/>
      <c r="V137" s="53">
        <v>48253.0</v>
      </c>
      <c r="W137" s="53">
        <v>51187.0</v>
      </c>
      <c r="X137" s="22">
        <v>43659.0</v>
      </c>
      <c r="Y137" s="22">
        <v>43700.0</v>
      </c>
      <c r="Z137" s="42">
        <f t="shared" si="1"/>
        <v>7487</v>
      </c>
      <c r="AA137" s="17">
        <f t="shared" si="3"/>
        <v>41</v>
      </c>
      <c r="AB137" s="22" t="s">
        <v>42</v>
      </c>
      <c r="AC137" s="50" t="s">
        <v>917</v>
      </c>
      <c r="AD137" s="27"/>
      <c r="AE137" s="27"/>
    </row>
    <row r="138" hidden="1">
      <c r="A138" s="19">
        <v>136.0</v>
      </c>
      <c r="B138" s="22" t="s">
        <v>918</v>
      </c>
      <c r="C138" s="50" t="s">
        <v>919</v>
      </c>
      <c r="D138" s="50" t="s">
        <v>920</v>
      </c>
      <c r="E138" s="22" t="s">
        <v>157</v>
      </c>
      <c r="F138" s="50" t="s">
        <v>921</v>
      </c>
      <c r="G138" s="50" t="s">
        <v>922</v>
      </c>
      <c r="H138" s="22">
        <v>9.924190255E9</v>
      </c>
      <c r="I138" s="22">
        <v>9.016126367E9</v>
      </c>
      <c r="J138" s="25"/>
      <c r="K138" s="22">
        <v>3480.0</v>
      </c>
      <c r="L138" s="53" t="s">
        <v>825</v>
      </c>
      <c r="M138" s="22" t="s">
        <v>38</v>
      </c>
      <c r="N138" s="23" t="s">
        <v>39</v>
      </c>
      <c r="O138" s="22" t="s">
        <v>337</v>
      </c>
      <c r="P138" s="22" t="s">
        <v>41</v>
      </c>
      <c r="Q138" s="66"/>
      <c r="R138" s="22" t="s">
        <v>121</v>
      </c>
      <c r="S138" s="22" t="s">
        <v>923</v>
      </c>
      <c r="T138" s="24">
        <v>47484.0</v>
      </c>
      <c r="U138" s="25"/>
      <c r="V138" s="56">
        <v>21964.0</v>
      </c>
      <c r="W138" s="56">
        <v>23819.0</v>
      </c>
      <c r="X138" s="22">
        <v>15354.0</v>
      </c>
      <c r="Y138" s="22">
        <v>15500.0</v>
      </c>
      <c r="Z138" s="16">
        <f t="shared" si="1"/>
        <v>8319</v>
      </c>
      <c r="AA138" s="17">
        <f t="shared" si="3"/>
        <v>146</v>
      </c>
      <c r="AB138" s="22" t="s">
        <v>42</v>
      </c>
      <c r="AC138" s="50" t="s">
        <v>924</v>
      </c>
      <c r="AD138" s="27"/>
      <c r="AF138" s="50"/>
      <c r="AG138" s="21" t="s">
        <v>925</v>
      </c>
    </row>
    <row r="139" hidden="1">
      <c r="A139" s="21">
        <v>137.0</v>
      </c>
      <c r="B139" s="22" t="s">
        <v>918</v>
      </c>
      <c r="C139" s="50" t="s">
        <v>926</v>
      </c>
      <c r="D139" s="50" t="s">
        <v>927</v>
      </c>
      <c r="E139" s="22" t="s">
        <v>53</v>
      </c>
      <c r="F139" s="50" t="s">
        <v>54</v>
      </c>
      <c r="G139" s="50" t="s">
        <v>928</v>
      </c>
      <c r="H139" s="22">
        <v>7.622095866E9</v>
      </c>
      <c r="I139" s="22">
        <v>9.925260113E9</v>
      </c>
      <c r="J139" s="25"/>
      <c r="K139" s="22">
        <v>818.0</v>
      </c>
      <c r="L139" s="53" t="s">
        <v>929</v>
      </c>
      <c r="M139" s="22" t="s">
        <v>56</v>
      </c>
      <c r="N139" s="23" t="s">
        <v>39</v>
      </c>
      <c r="O139" s="22" t="s">
        <v>48</v>
      </c>
      <c r="P139" s="22" t="s">
        <v>57</v>
      </c>
      <c r="Q139" s="66"/>
      <c r="R139" s="24">
        <v>46154.0</v>
      </c>
      <c r="S139" s="22" t="s">
        <v>930</v>
      </c>
      <c r="T139" s="22" t="s">
        <v>931</v>
      </c>
      <c r="U139" s="25"/>
      <c r="V139" s="53">
        <v>6923.0</v>
      </c>
      <c r="W139" s="53">
        <v>8169.0</v>
      </c>
      <c r="X139" s="22">
        <v>7500.0</v>
      </c>
      <c r="Y139" s="22">
        <v>7500.0</v>
      </c>
      <c r="Z139" s="42">
        <f t="shared" si="1"/>
        <v>669</v>
      </c>
      <c r="AA139" s="17">
        <f t="shared" si="3"/>
        <v>0</v>
      </c>
      <c r="AB139" s="22" t="s">
        <v>340</v>
      </c>
      <c r="AC139" s="50" t="s">
        <v>932</v>
      </c>
      <c r="AD139" s="21" t="s">
        <v>671</v>
      </c>
      <c r="AF139" s="50" t="s">
        <v>933</v>
      </c>
      <c r="AG139" s="21" t="s">
        <v>298</v>
      </c>
    </row>
    <row r="140" hidden="1">
      <c r="A140" s="21">
        <v>138.0</v>
      </c>
      <c r="B140" s="22" t="s">
        <v>918</v>
      </c>
      <c r="C140" s="50" t="s">
        <v>934</v>
      </c>
      <c r="D140" s="50" t="s">
        <v>935</v>
      </c>
      <c r="E140" s="22" t="s">
        <v>86</v>
      </c>
      <c r="F140" s="50" t="s">
        <v>936</v>
      </c>
      <c r="G140" s="50" t="s">
        <v>937</v>
      </c>
      <c r="H140" s="22" t="s">
        <v>938</v>
      </c>
      <c r="I140" s="22" t="s">
        <v>939</v>
      </c>
      <c r="J140" s="25"/>
      <c r="K140" s="22">
        <v>28000.0</v>
      </c>
      <c r="L140" s="53" t="s">
        <v>825</v>
      </c>
      <c r="M140" s="22" t="s">
        <v>98</v>
      </c>
      <c r="N140" s="23" t="s">
        <v>81</v>
      </c>
      <c r="O140" s="22" t="s">
        <v>40</v>
      </c>
      <c r="P140" s="22" t="s">
        <v>187</v>
      </c>
      <c r="Q140" s="66"/>
      <c r="R140" s="24">
        <v>46277.0</v>
      </c>
      <c r="S140" s="22" t="s">
        <v>940</v>
      </c>
      <c r="T140" s="22" t="s">
        <v>941</v>
      </c>
      <c r="U140" s="25"/>
      <c r="V140" s="53">
        <v>44050.0</v>
      </c>
      <c r="W140" s="53">
        <v>46266.0</v>
      </c>
      <c r="X140" s="22">
        <v>29500.0</v>
      </c>
      <c r="Y140" s="22">
        <v>29500.0</v>
      </c>
      <c r="Z140" s="42">
        <f t="shared" si="1"/>
        <v>16766</v>
      </c>
      <c r="AA140" s="17">
        <f t="shared" si="3"/>
        <v>0</v>
      </c>
      <c r="AB140" s="22" t="s">
        <v>42</v>
      </c>
      <c r="AC140" s="50" t="s">
        <v>942</v>
      </c>
      <c r="AD140" s="27"/>
      <c r="AF140" s="50"/>
      <c r="AG140" s="21" t="s">
        <v>943</v>
      </c>
    </row>
    <row r="141" hidden="1">
      <c r="A141" s="19">
        <v>139.0</v>
      </c>
      <c r="B141" s="70" t="s">
        <v>918</v>
      </c>
      <c r="C141" s="50" t="s">
        <v>944</v>
      </c>
      <c r="D141" s="50" t="s">
        <v>945</v>
      </c>
      <c r="E141" s="22" t="s">
        <v>525</v>
      </c>
      <c r="F141" s="50" t="s">
        <v>946</v>
      </c>
      <c r="G141" s="50" t="s">
        <v>947</v>
      </c>
      <c r="H141" s="22">
        <v>9.979441515E9</v>
      </c>
      <c r="I141" s="25"/>
      <c r="J141" s="25"/>
      <c r="K141" s="22">
        <v>11990.0</v>
      </c>
      <c r="L141" s="53" t="s">
        <v>825</v>
      </c>
      <c r="M141" s="22" t="s">
        <v>56</v>
      </c>
      <c r="N141" s="23" t="s">
        <v>81</v>
      </c>
      <c r="O141" s="22" t="s">
        <v>352</v>
      </c>
      <c r="P141" s="22" t="s">
        <v>57</v>
      </c>
      <c r="Q141" s="66"/>
      <c r="R141" s="22" t="s">
        <v>49</v>
      </c>
      <c r="S141" s="24">
        <v>46205.0</v>
      </c>
      <c r="T141" s="24">
        <v>46883.0</v>
      </c>
      <c r="U141" s="25"/>
      <c r="V141" s="53">
        <v>27186.0</v>
      </c>
      <c r="W141" s="53">
        <v>28546.0</v>
      </c>
      <c r="X141" s="22">
        <v>21000.0</v>
      </c>
      <c r="Y141" s="22">
        <v>20500.0</v>
      </c>
      <c r="Z141" s="42">
        <f t="shared" si="1"/>
        <v>8046</v>
      </c>
      <c r="AA141" s="17">
        <f t="shared" si="3"/>
        <v>-500</v>
      </c>
      <c r="AB141" s="22" t="s">
        <v>42</v>
      </c>
      <c r="AC141" s="50" t="s">
        <v>948</v>
      </c>
      <c r="AD141" s="21" t="s">
        <v>357</v>
      </c>
      <c r="AE141" s="50">
        <v>3.7277295E7</v>
      </c>
      <c r="AF141" s="50"/>
      <c r="AG141" s="21" t="s">
        <v>298</v>
      </c>
    </row>
    <row r="142" hidden="1">
      <c r="A142" s="21">
        <v>140.0</v>
      </c>
      <c r="B142" s="22" t="s">
        <v>918</v>
      </c>
      <c r="C142" s="50" t="s">
        <v>949</v>
      </c>
      <c r="D142" s="50" t="s">
        <v>950</v>
      </c>
      <c r="E142" s="22" t="s">
        <v>157</v>
      </c>
      <c r="F142" s="50" t="s">
        <v>951</v>
      </c>
      <c r="G142" s="50" t="s">
        <v>952</v>
      </c>
      <c r="H142" s="22" t="s">
        <v>953</v>
      </c>
      <c r="I142" s="25"/>
      <c r="J142" s="25"/>
      <c r="K142" s="22">
        <v>3895.0</v>
      </c>
      <c r="L142" s="53" t="s">
        <v>843</v>
      </c>
      <c r="M142" s="22" t="s">
        <v>265</v>
      </c>
      <c r="N142" s="23" t="s">
        <v>39</v>
      </c>
      <c r="O142" s="22" t="s">
        <v>140</v>
      </c>
      <c r="P142" s="22" t="s">
        <v>41</v>
      </c>
      <c r="Q142" s="66"/>
      <c r="R142" s="22" t="s">
        <v>536</v>
      </c>
      <c r="S142" s="22" t="s">
        <v>213</v>
      </c>
      <c r="T142" s="22" t="s">
        <v>122</v>
      </c>
      <c r="U142" s="25"/>
      <c r="V142" s="53">
        <v>22377.0</v>
      </c>
      <c r="W142" s="53">
        <v>24318.0</v>
      </c>
      <c r="X142" s="22">
        <v>21000.0</v>
      </c>
      <c r="Y142" s="22">
        <v>21000.0</v>
      </c>
      <c r="Z142" s="42">
        <f t="shared" si="1"/>
        <v>3318</v>
      </c>
      <c r="AA142" s="17">
        <f t="shared" si="3"/>
        <v>0</v>
      </c>
      <c r="AB142" s="22" t="s">
        <v>42</v>
      </c>
      <c r="AC142" s="50" t="s">
        <v>954</v>
      </c>
      <c r="AD142" s="27"/>
      <c r="AF142" s="50"/>
      <c r="AG142" s="21" t="s">
        <v>955</v>
      </c>
    </row>
    <row r="143" hidden="1">
      <c r="A143" s="21">
        <v>141.0</v>
      </c>
      <c r="B143" s="22" t="s">
        <v>918</v>
      </c>
      <c r="C143" s="50" t="s">
        <v>956</v>
      </c>
      <c r="D143" s="50" t="s">
        <v>957</v>
      </c>
      <c r="E143" s="22" t="s">
        <v>255</v>
      </c>
      <c r="F143" s="50" t="s">
        <v>958</v>
      </c>
      <c r="G143" s="50" t="s">
        <v>959</v>
      </c>
      <c r="H143" s="22">
        <v>9.879829448E9</v>
      </c>
      <c r="I143" s="22">
        <v>9.724613304E9</v>
      </c>
      <c r="J143" s="25"/>
      <c r="K143" s="22">
        <v>757.0</v>
      </c>
      <c r="L143" s="53" t="s">
        <v>825</v>
      </c>
      <c r="M143" s="22" t="s">
        <v>56</v>
      </c>
      <c r="N143" s="23" t="s">
        <v>39</v>
      </c>
      <c r="O143" s="22" t="s">
        <v>140</v>
      </c>
      <c r="P143" s="22" t="s">
        <v>57</v>
      </c>
      <c r="Q143" s="66"/>
      <c r="R143" s="24">
        <v>46275.0</v>
      </c>
      <c r="S143" s="25"/>
      <c r="T143" s="25"/>
      <c r="U143" s="25"/>
      <c r="V143" s="53">
        <v>4254.0</v>
      </c>
      <c r="W143" s="53">
        <v>4612.0</v>
      </c>
      <c r="X143" s="22">
        <v>5000.0</v>
      </c>
      <c r="Y143" s="22">
        <v>5000.0</v>
      </c>
      <c r="Z143" s="42">
        <f t="shared" si="1"/>
        <v>-388</v>
      </c>
      <c r="AA143" s="17">
        <f t="shared" si="3"/>
        <v>0</v>
      </c>
      <c r="AB143" s="22" t="s">
        <v>42</v>
      </c>
      <c r="AC143" s="50" t="s">
        <v>960</v>
      </c>
      <c r="AD143" s="21" t="s">
        <v>671</v>
      </c>
      <c r="AF143" s="71" t="s">
        <v>923</v>
      </c>
      <c r="AG143" s="21" t="s">
        <v>298</v>
      </c>
    </row>
    <row r="144" hidden="1">
      <c r="A144" s="19">
        <v>142.0</v>
      </c>
      <c r="B144" s="22" t="s">
        <v>918</v>
      </c>
      <c r="C144" s="51" t="s">
        <v>961</v>
      </c>
      <c r="D144" s="51" t="s">
        <v>962</v>
      </c>
      <c r="E144" s="22" t="s">
        <v>157</v>
      </c>
      <c r="F144" s="51" t="s">
        <v>963</v>
      </c>
      <c r="G144" s="51" t="s">
        <v>964</v>
      </c>
      <c r="H144" s="66" t="s">
        <v>965</v>
      </c>
      <c r="I144" s="72"/>
      <c r="J144" s="72"/>
      <c r="K144" s="66">
        <v>7490.0</v>
      </c>
      <c r="L144" s="51" t="s">
        <v>825</v>
      </c>
      <c r="M144" s="66" t="s">
        <v>265</v>
      </c>
      <c r="N144" s="73" t="s">
        <v>39</v>
      </c>
      <c r="O144" s="22" t="s">
        <v>140</v>
      </c>
      <c r="P144" s="22" t="s">
        <v>41</v>
      </c>
      <c r="Q144" s="66"/>
      <c r="R144" s="66" t="s">
        <v>684</v>
      </c>
      <c r="S144" s="74">
        <v>46034.0</v>
      </c>
      <c r="T144" s="66" t="s">
        <v>966</v>
      </c>
      <c r="U144" s="72"/>
      <c r="V144" s="53">
        <v>23628.0</v>
      </c>
      <c r="W144" s="53">
        <v>25795.0</v>
      </c>
      <c r="X144" s="22">
        <v>23500.0</v>
      </c>
      <c r="Y144" s="22">
        <v>23500.0</v>
      </c>
      <c r="Z144" s="42">
        <f t="shared" si="1"/>
        <v>2295</v>
      </c>
      <c r="AA144" s="17">
        <f t="shared" si="3"/>
        <v>0</v>
      </c>
      <c r="AB144" s="22" t="s">
        <v>42</v>
      </c>
      <c r="AC144" s="51" t="s">
        <v>967</v>
      </c>
      <c r="AD144" s="72"/>
      <c r="AF144" s="51"/>
      <c r="AG144" s="66" t="s">
        <v>955</v>
      </c>
    </row>
    <row r="145" hidden="1">
      <c r="A145" s="21">
        <v>143.0</v>
      </c>
      <c r="B145" s="22" t="s">
        <v>918</v>
      </c>
      <c r="C145" s="50" t="s">
        <v>968</v>
      </c>
      <c r="D145" s="75" t="s">
        <v>969</v>
      </c>
      <c r="E145" s="22" t="s">
        <v>276</v>
      </c>
      <c r="F145" s="50" t="s">
        <v>970</v>
      </c>
      <c r="G145" s="50" t="s">
        <v>971</v>
      </c>
      <c r="H145" s="22" t="s">
        <v>972</v>
      </c>
      <c r="I145" s="25"/>
      <c r="J145" s="25"/>
      <c r="K145" s="22">
        <v>346.0</v>
      </c>
      <c r="L145" s="22" t="s">
        <v>973</v>
      </c>
      <c r="M145" s="22" t="s">
        <v>329</v>
      </c>
      <c r="N145" s="23" t="s">
        <v>81</v>
      </c>
      <c r="O145" s="22" t="s">
        <v>140</v>
      </c>
      <c r="P145" s="22" t="s">
        <v>73</v>
      </c>
      <c r="Q145" s="66"/>
      <c r="R145" s="22" t="s">
        <v>974</v>
      </c>
      <c r="S145" s="22" t="s">
        <v>975</v>
      </c>
      <c r="T145" s="25"/>
      <c r="U145" s="25"/>
      <c r="V145" s="56">
        <v>1366.0</v>
      </c>
      <c r="W145" s="56">
        <v>1612.0</v>
      </c>
      <c r="X145" s="22">
        <v>1600.0</v>
      </c>
      <c r="Y145" s="22">
        <v>1600.0</v>
      </c>
      <c r="Z145" s="16">
        <f t="shared" si="1"/>
        <v>12</v>
      </c>
      <c r="AA145" s="17">
        <f t="shared" si="3"/>
        <v>0</v>
      </c>
      <c r="AB145" s="22" t="s">
        <v>42</v>
      </c>
      <c r="AC145" s="50" t="s">
        <v>976</v>
      </c>
      <c r="AD145" s="21" t="s">
        <v>671</v>
      </c>
      <c r="AF145" s="71" t="s">
        <v>733</v>
      </c>
      <c r="AG145" s="21" t="s">
        <v>298</v>
      </c>
    </row>
    <row r="146" hidden="1">
      <c r="A146" s="21">
        <v>144.0</v>
      </c>
      <c r="B146" s="22" t="s">
        <v>918</v>
      </c>
      <c r="C146" s="50" t="s">
        <v>977</v>
      </c>
      <c r="D146" s="50" t="s">
        <v>978</v>
      </c>
      <c r="E146" s="22" t="s">
        <v>69</v>
      </c>
      <c r="F146" s="50" t="s">
        <v>979</v>
      </c>
      <c r="G146" s="50" t="s">
        <v>980</v>
      </c>
      <c r="H146" s="22">
        <v>8.735047E9</v>
      </c>
      <c r="I146" s="22">
        <v>7.600174991E9</v>
      </c>
      <c r="J146" s="25"/>
      <c r="K146" s="22">
        <v>2179.0</v>
      </c>
      <c r="L146" s="22" t="s">
        <v>973</v>
      </c>
      <c r="M146" s="22" t="s">
        <v>64</v>
      </c>
      <c r="N146" s="23" t="s">
        <v>39</v>
      </c>
      <c r="O146" s="22" t="s">
        <v>48</v>
      </c>
      <c r="P146" s="22" t="s">
        <v>452</v>
      </c>
      <c r="Q146" s="66"/>
      <c r="R146" s="22" t="s">
        <v>981</v>
      </c>
      <c r="S146" s="24">
        <v>46023.0</v>
      </c>
      <c r="T146" s="25"/>
      <c r="U146" s="25"/>
      <c r="V146" s="56">
        <v>11570.0</v>
      </c>
      <c r="W146" s="56">
        <v>13653.0</v>
      </c>
      <c r="X146" s="22">
        <v>14653.0</v>
      </c>
      <c r="Y146" s="22">
        <v>14653.0</v>
      </c>
      <c r="Z146" s="16">
        <f t="shared" si="1"/>
        <v>-1000</v>
      </c>
      <c r="AA146" s="17">
        <f t="shared" si="3"/>
        <v>0</v>
      </c>
      <c r="AB146" s="22" t="s">
        <v>42</v>
      </c>
      <c r="AC146" s="50" t="s">
        <v>982</v>
      </c>
      <c r="AD146" s="21" t="s">
        <v>671</v>
      </c>
      <c r="AF146" s="71" t="s">
        <v>733</v>
      </c>
      <c r="AG146" s="21" t="s">
        <v>298</v>
      </c>
    </row>
    <row r="147" hidden="1">
      <c r="A147" s="19">
        <v>145.0</v>
      </c>
      <c r="B147" s="22" t="s">
        <v>918</v>
      </c>
      <c r="C147" s="50" t="s">
        <v>983</v>
      </c>
      <c r="D147" s="50" t="s">
        <v>984</v>
      </c>
      <c r="E147" s="22" t="s">
        <v>86</v>
      </c>
      <c r="F147" s="50" t="s">
        <v>985</v>
      </c>
      <c r="G147" s="50" t="s">
        <v>986</v>
      </c>
      <c r="H147" s="22" t="s">
        <v>987</v>
      </c>
      <c r="I147" s="22">
        <v>9.913528185E9</v>
      </c>
      <c r="J147" s="25"/>
      <c r="K147" s="22">
        <v>28000.0</v>
      </c>
      <c r="L147" s="53" t="s">
        <v>825</v>
      </c>
      <c r="M147" s="22" t="s">
        <v>98</v>
      </c>
      <c r="N147" s="23" t="s">
        <v>81</v>
      </c>
      <c r="O147" s="22" t="s">
        <v>40</v>
      </c>
      <c r="P147" s="22" t="s">
        <v>187</v>
      </c>
      <c r="Q147" s="66"/>
      <c r="R147" s="22" t="s">
        <v>988</v>
      </c>
      <c r="S147" s="22" t="s">
        <v>989</v>
      </c>
      <c r="T147" s="22" t="s">
        <v>990</v>
      </c>
      <c r="U147" s="25"/>
      <c r="V147" s="53">
        <v>44050.0</v>
      </c>
      <c r="W147" s="53">
        <v>46266.0</v>
      </c>
      <c r="X147" s="22">
        <v>29500.0</v>
      </c>
      <c r="Y147" s="22">
        <v>29500.0</v>
      </c>
      <c r="Z147" s="42">
        <f t="shared" si="1"/>
        <v>16766</v>
      </c>
      <c r="AA147" s="17">
        <f t="shared" si="3"/>
        <v>0</v>
      </c>
      <c r="AB147" s="22" t="s">
        <v>42</v>
      </c>
      <c r="AC147" s="50" t="s">
        <v>991</v>
      </c>
      <c r="AD147" s="27"/>
      <c r="AF147" s="50"/>
      <c r="AG147" s="21" t="s">
        <v>992</v>
      </c>
    </row>
    <row r="148" hidden="1">
      <c r="A148" s="21">
        <v>146.0</v>
      </c>
      <c r="B148" s="32" t="s">
        <v>918</v>
      </c>
      <c r="C148" s="43" t="s">
        <v>993</v>
      </c>
      <c r="D148" s="43" t="s">
        <v>994</v>
      </c>
      <c r="E148" s="32" t="s">
        <v>69</v>
      </c>
      <c r="F148" s="43" t="s">
        <v>995</v>
      </c>
      <c r="G148" s="43" t="s">
        <v>996</v>
      </c>
      <c r="H148" s="32">
        <v>9.726920399E9</v>
      </c>
      <c r="I148" s="35"/>
      <c r="J148" s="35"/>
      <c r="K148" s="32">
        <v>2755.0</v>
      </c>
      <c r="L148" s="46" t="s">
        <v>825</v>
      </c>
      <c r="M148" s="32" t="s">
        <v>167</v>
      </c>
      <c r="N148" s="33" t="s">
        <v>39</v>
      </c>
      <c r="O148" s="32" t="s">
        <v>48</v>
      </c>
      <c r="P148" s="32" t="s">
        <v>41</v>
      </c>
      <c r="Q148" s="67"/>
      <c r="R148" s="32" t="s">
        <v>997</v>
      </c>
      <c r="S148" s="32" t="s">
        <v>998</v>
      </c>
      <c r="T148" s="35"/>
      <c r="U148" s="35"/>
      <c r="V148" s="46">
        <v>38421.76</v>
      </c>
      <c r="W148" s="46">
        <v>55512.0</v>
      </c>
      <c r="X148" s="32">
        <v>55500.0</v>
      </c>
      <c r="Y148" s="32">
        <v>55500.0</v>
      </c>
      <c r="Z148" s="47">
        <f t="shared" si="1"/>
        <v>12</v>
      </c>
      <c r="AA148" s="48">
        <f t="shared" si="3"/>
        <v>0</v>
      </c>
      <c r="AB148" s="32" t="s">
        <v>42</v>
      </c>
      <c r="AC148" s="43" t="s">
        <v>999</v>
      </c>
      <c r="AD148" s="31" t="s">
        <v>671</v>
      </c>
      <c r="AF148" s="71" t="s">
        <v>733</v>
      </c>
      <c r="AG148" s="31" t="s">
        <v>298</v>
      </c>
    </row>
    <row r="149" hidden="1">
      <c r="A149" s="21">
        <v>147.0</v>
      </c>
      <c r="B149" s="22" t="s">
        <v>918</v>
      </c>
      <c r="C149" s="76" t="s">
        <v>1000</v>
      </c>
      <c r="D149" s="50" t="s">
        <v>1001</v>
      </c>
      <c r="E149" s="22" t="s">
        <v>276</v>
      </c>
      <c r="F149" s="50" t="s">
        <v>1002</v>
      </c>
      <c r="G149" s="50" t="s">
        <v>1003</v>
      </c>
      <c r="H149" s="22">
        <v>9.809200999E9</v>
      </c>
      <c r="I149" s="22">
        <v>9.998996668E9</v>
      </c>
      <c r="J149" s="25"/>
      <c r="K149" s="22">
        <v>109.0</v>
      </c>
      <c r="L149" s="53" t="s">
        <v>825</v>
      </c>
      <c r="M149" s="22" t="s">
        <v>98</v>
      </c>
      <c r="N149" s="23" t="s">
        <v>81</v>
      </c>
      <c r="O149" s="22" t="s">
        <v>140</v>
      </c>
      <c r="P149" s="22" t="s">
        <v>73</v>
      </c>
      <c r="Q149" s="66"/>
      <c r="R149" s="24">
        <v>47696.0</v>
      </c>
      <c r="S149" s="25"/>
      <c r="T149" s="25"/>
      <c r="U149" s="25"/>
      <c r="V149" s="53">
        <v>714.0</v>
      </c>
      <c r="W149" s="53">
        <v>843.0</v>
      </c>
      <c r="X149" s="22">
        <v>850.0</v>
      </c>
      <c r="Y149" s="22">
        <v>850.0</v>
      </c>
      <c r="Z149" s="42">
        <f t="shared" si="1"/>
        <v>-7</v>
      </c>
      <c r="AA149" s="17">
        <f t="shared" si="3"/>
        <v>0</v>
      </c>
      <c r="AB149" s="22" t="s">
        <v>42</v>
      </c>
      <c r="AC149" s="50" t="s">
        <v>1004</v>
      </c>
      <c r="AD149" s="27"/>
      <c r="AF149" s="50" t="s">
        <v>804</v>
      </c>
      <c r="AG149" s="21" t="s">
        <v>298</v>
      </c>
    </row>
    <row r="150" hidden="1">
      <c r="A150" s="19">
        <v>148.0</v>
      </c>
      <c r="B150" s="22" t="s">
        <v>918</v>
      </c>
      <c r="C150" s="50" t="s">
        <v>1005</v>
      </c>
      <c r="D150" s="50" t="s">
        <v>1006</v>
      </c>
      <c r="E150" s="22" t="s">
        <v>255</v>
      </c>
      <c r="F150" s="50" t="s">
        <v>256</v>
      </c>
      <c r="G150" s="50" t="s">
        <v>1007</v>
      </c>
      <c r="H150" s="22">
        <v>8.200595965E9</v>
      </c>
      <c r="I150" s="22">
        <v>9.727520842E9</v>
      </c>
      <c r="J150" s="25"/>
      <c r="K150" s="22">
        <v>995.0</v>
      </c>
      <c r="L150" s="53" t="s">
        <v>1008</v>
      </c>
      <c r="M150" s="22" t="s">
        <v>258</v>
      </c>
      <c r="N150" s="23" t="s">
        <v>39</v>
      </c>
      <c r="O150" s="22" t="s">
        <v>114</v>
      </c>
      <c r="P150" s="22" t="s">
        <v>57</v>
      </c>
      <c r="Q150" s="66"/>
      <c r="R150" s="22" t="s">
        <v>886</v>
      </c>
      <c r="S150" s="22" t="s">
        <v>1009</v>
      </c>
      <c r="T150" s="25"/>
      <c r="U150" s="25"/>
      <c r="V150" s="60">
        <v>5987.0</v>
      </c>
      <c r="W150" s="60">
        <v>6473.0</v>
      </c>
      <c r="X150" s="22">
        <v>6000.0</v>
      </c>
      <c r="Y150" s="22">
        <v>6000.0</v>
      </c>
      <c r="Z150" s="17">
        <f t="shared" si="1"/>
        <v>473</v>
      </c>
      <c r="AA150" s="17">
        <f t="shared" si="3"/>
        <v>0</v>
      </c>
      <c r="AB150" s="22" t="s">
        <v>42</v>
      </c>
      <c r="AC150" s="50" t="s">
        <v>1010</v>
      </c>
      <c r="AD150" s="21" t="s">
        <v>671</v>
      </c>
      <c r="AF150" s="71" t="s">
        <v>733</v>
      </c>
      <c r="AG150" s="21" t="s">
        <v>298</v>
      </c>
    </row>
    <row r="151" hidden="1">
      <c r="A151" s="21">
        <v>149.0</v>
      </c>
      <c r="B151" s="22" t="s">
        <v>918</v>
      </c>
      <c r="C151" s="50" t="s">
        <v>1011</v>
      </c>
      <c r="D151" s="50" t="s">
        <v>1012</v>
      </c>
      <c r="E151" s="22" t="s">
        <v>69</v>
      </c>
      <c r="F151" s="50" t="s">
        <v>1013</v>
      </c>
      <c r="G151" s="50" t="s">
        <v>1014</v>
      </c>
      <c r="H151" s="22">
        <v>6.353367408E9</v>
      </c>
      <c r="I151" s="22">
        <v>7.990581079E9</v>
      </c>
      <c r="J151" s="25"/>
      <c r="K151" s="22">
        <v>1582.0</v>
      </c>
      <c r="L151" s="53" t="s">
        <v>973</v>
      </c>
      <c r="M151" s="22" t="s">
        <v>167</v>
      </c>
      <c r="N151" s="23" t="s">
        <v>81</v>
      </c>
      <c r="O151" s="22" t="s">
        <v>140</v>
      </c>
      <c r="P151" s="22" t="s">
        <v>73</v>
      </c>
      <c r="Q151" s="66"/>
      <c r="R151" s="22" t="s">
        <v>1015</v>
      </c>
      <c r="S151" s="22" t="s">
        <v>402</v>
      </c>
      <c r="T151" s="25"/>
      <c r="U151" s="25"/>
      <c r="V151" s="53">
        <v>7897.0</v>
      </c>
      <c r="W151" s="53">
        <v>9318.0</v>
      </c>
      <c r="X151" s="22">
        <v>9300.0</v>
      </c>
      <c r="Y151" s="22">
        <v>9300.0</v>
      </c>
      <c r="Z151" s="42">
        <f t="shared" si="1"/>
        <v>18</v>
      </c>
      <c r="AA151" s="17">
        <f t="shared" si="3"/>
        <v>0</v>
      </c>
      <c r="AB151" s="22" t="s">
        <v>42</v>
      </c>
      <c r="AC151" s="50" t="s">
        <v>1016</v>
      </c>
      <c r="AD151" s="27"/>
      <c r="AF151" s="50"/>
      <c r="AG151" s="21" t="s">
        <v>1017</v>
      </c>
    </row>
    <row r="152" hidden="1">
      <c r="A152" s="21">
        <v>150.0</v>
      </c>
      <c r="B152" s="32" t="s">
        <v>918</v>
      </c>
      <c r="C152" s="43" t="s">
        <v>1018</v>
      </c>
      <c r="D152" s="43" t="s">
        <v>1019</v>
      </c>
      <c r="E152" s="32" t="s">
        <v>86</v>
      </c>
      <c r="F152" s="43" t="s">
        <v>1020</v>
      </c>
      <c r="G152" s="43" t="s">
        <v>1021</v>
      </c>
      <c r="H152" s="32">
        <v>7.98467355E9</v>
      </c>
      <c r="I152" s="32"/>
      <c r="J152" s="35"/>
      <c r="K152" s="32">
        <v>42000.0</v>
      </c>
      <c r="L152" s="46" t="s">
        <v>732</v>
      </c>
      <c r="M152" s="32" t="s">
        <v>64</v>
      </c>
      <c r="N152" s="33" t="s">
        <v>39</v>
      </c>
      <c r="O152" s="32" t="s">
        <v>140</v>
      </c>
      <c r="P152" s="32" t="s">
        <v>41</v>
      </c>
      <c r="Q152" s="67"/>
      <c r="R152" s="34">
        <v>45759.0</v>
      </c>
      <c r="S152" s="32" t="s">
        <v>1022</v>
      </c>
      <c r="T152" s="34">
        <v>46916.0</v>
      </c>
      <c r="U152" s="34">
        <v>45820.0</v>
      </c>
      <c r="V152" s="44">
        <v>48994.0</v>
      </c>
      <c r="W152" s="44">
        <v>52062.0</v>
      </c>
      <c r="X152" s="32">
        <v>42500.0</v>
      </c>
      <c r="Y152" s="32">
        <v>42500.0</v>
      </c>
      <c r="Z152" s="38">
        <f t="shared" si="1"/>
        <v>9562</v>
      </c>
      <c r="AA152" s="48">
        <f t="shared" si="3"/>
        <v>0</v>
      </c>
      <c r="AB152" s="32" t="s">
        <v>42</v>
      </c>
      <c r="AC152" s="43" t="s">
        <v>1023</v>
      </c>
      <c r="AD152" s="39"/>
      <c r="AE152" s="40"/>
      <c r="AF152" s="40"/>
      <c r="AG152" s="43"/>
    </row>
    <row r="153" hidden="1">
      <c r="A153" s="19">
        <v>151.0</v>
      </c>
      <c r="B153" s="22" t="s">
        <v>1024</v>
      </c>
      <c r="C153" s="50" t="s">
        <v>1025</v>
      </c>
      <c r="D153" s="50" t="s">
        <v>1026</v>
      </c>
      <c r="E153" s="22" t="s">
        <v>525</v>
      </c>
      <c r="F153" s="50" t="s">
        <v>1027</v>
      </c>
      <c r="G153" s="50" t="s">
        <v>1028</v>
      </c>
      <c r="H153" s="22">
        <v>9.925968917E9</v>
      </c>
      <c r="I153" s="22">
        <v>9.913149743E9</v>
      </c>
      <c r="J153" s="25"/>
      <c r="K153" s="22">
        <v>11990.0</v>
      </c>
      <c r="L153" s="53" t="s">
        <v>973</v>
      </c>
      <c r="M153" s="22" t="s">
        <v>265</v>
      </c>
      <c r="N153" s="23" t="s">
        <v>39</v>
      </c>
      <c r="O153" s="22" t="s">
        <v>48</v>
      </c>
      <c r="P153" s="22" t="s">
        <v>41</v>
      </c>
      <c r="Q153" s="66"/>
      <c r="R153" s="22" t="s">
        <v>684</v>
      </c>
      <c r="S153" s="22" t="s">
        <v>1029</v>
      </c>
      <c r="T153" s="24">
        <v>47486.0</v>
      </c>
      <c r="U153" s="25"/>
      <c r="V153" s="53">
        <v>29637.0</v>
      </c>
      <c r="W153" s="53">
        <v>31437.0</v>
      </c>
      <c r="X153" s="22">
        <v>28935.0</v>
      </c>
      <c r="Y153" s="22">
        <v>29000.0</v>
      </c>
      <c r="Z153" s="42">
        <f t="shared" si="1"/>
        <v>2437</v>
      </c>
      <c r="AA153" s="17">
        <f t="shared" si="3"/>
        <v>65</v>
      </c>
      <c r="AB153" s="22" t="s">
        <v>42</v>
      </c>
      <c r="AC153" s="50" t="s">
        <v>1030</v>
      </c>
      <c r="AD153" s="27"/>
      <c r="AE153" s="27"/>
      <c r="AG153" s="50" t="s">
        <v>1031</v>
      </c>
    </row>
    <row r="154" hidden="1">
      <c r="A154" s="21">
        <v>152.0</v>
      </c>
      <c r="B154" s="22" t="s">
        <v>1024</v>
      </c>
      <c r="C154" s="50" t="s">
        <v>1032</v>
      </c>
      <c r="D154" s="50" t="s">
        <v>1033</v>
      </c>
      <c r="E154" s="22" t="s">
        <v>276</v>
      </c>
      <c r="F154" s="50" t="s">
        <v>1034</v>
      </c>
      <c r="G154" s="50" t="s">
        <v>1035</v>
      </c>
      <c r="H154" s="22">
        <v>9.898321556E9</v>
      </c>
      <c r="I154" s="22">
        <v>9.427236237E9</v>
      </c>
      <c r="J154" s="25"/>
      <c r="K154" s="22">
        <v>97.0</v>
      </c>
      <c r="L154" s="53" t="s">
        <v>732</v>
      </c>
      <c r="M154" s="22" t="s">
        <v>105</v>
      </c>
      <c r="N154" s="23" t="s">
        <v>81</v>
      </c>
      <c r="O154" s="22" t="s">
        <v>140</v>
      </c>
      <c r="P154" s="22" t="s">
        <v>73</v>
      </c>
      <c r="Q154" s="66"/>
      <c r="R154" s="24">
        <v>46489.0</v>
      </c>
      <c r="S154" s="25"/>
      <c r="T154" s="25"/>
      <c r="U154" s="25"/>
      <c r="V154" s="53">
        <v>714.0</v>
      </c>
      <c r="W154" s="53">
        <v>843.0</v>
      </c>
      <c r="X154" s="22">
        <v>850.0</v>
      </c>
      <c r="Y154" s="22">
        <v>1000.0</v>
      </c>
      <c r="Z154" s="42">
        <f t="shared" si="1"/>
        <v>-157</v>
      </c>
      <c r="AA154" s="17">
        <f t="shared" si="3"/>
        <v>150</v>
      </c>
      <c r="AB154" s="22" t="s">
        <v>42</v>
      </c>
      <c r="AC154" s="50" t="s">
        <v>1036</v>
      </c>
      <c r="AD154" s="21" t="s">
        <v>671</v>
      </c>
      <c r="AE154" s="27"/>
      <c r="AF154" s="50" t="s">
        <v>804</v>
      </c>
      <c r="AG154" s="50" t="s">
        <v>475</v>
      </c>
    </row>
    <row r="155" hidden="1">
      <c r="A155" s="21">
        <v>153.0</v>
      </c>
      <c r="B155" s="22" t="s">
        <v>1024</v>
      </c>
      <c r="C155" s="50" t="s">
        <v>1037</v>
      </c>
      <c r="D155" s="50" t="s">
        <v>1038</v>
      </c>
      <c r="E155" s="22" t="s">
        <v>53</v>
      </c>
      <c r="F155" s="50" t="s">
        <v>54</v>
      </c>
      <c r="G155" s="50" t="s">
        <v>1039</v>
      </c>
      <c r="H155" s="22">
        <v>9.054486747E9</v>
      </c>
      <c r="I155" s="22">
        <v>9.537217935E9</v>
      </c>
      <c r="J155" s="25"/>
      <c r="K155" s="22">
        <v>818.0</v>
      </c>
      <c r="L155" s="53" t="s">
        <v>825</v>
      </c>
      <c r="M155" s="22" t="s">
        <v>56</v>
      </c>
      <c r="N155" s="23" t="s">
        <v>39</v>
      </c>
      <c r="O155" s="22" t="s">
        <v>140</v>
      </c>
      <c r="P155" s="22" t="s">
        <v>57</v>
      </c>
      <c r="Q155" s="66"/>
      <c r="R155" s="22" t="s">
        <v>1040</v>
      </c>
      <c r="S155" s="22" t="s">
        <v>547</v>
      </c>
      <c r="T155" s="28">
        <v>46670.0</v>
      </c>
      <c r="U155" s="25"/>
      <c r="V155" s="53">
        <v>6568.0</v>
      </c>
      <c r="W155" s="53">
        <v>7750.0</v>
      </c>
      <c r="X155" s="22">
        <v>6500.0</v>
      </c>
      <c r="Y155" s="22">
        <v>6000.0</v>
      </c>
      <c r="Z155" s="42">
        <f t="shared" si="1"/>
        <v>1750</v>
      </c>
      <c r="AA155" s="17">
        <f t="shared" si="3"/>
        <v>-500</v>
      </c>
      <c r="AB155" s="22" t="s">
        <v>42</v>
      </c>
      <c r="AC155" s="50" t="s">
        <v>1041</v>
      </c>
      <c r="AD155" s="27"/>
      <c r="AE155" s="27"/>
      <c r="AG155" s="50" t="s">
        <v>1042</v>
      </c>
    </row>
    <row r="156" hidden="1">
      <c r="A156" s="19">
        <v>154.0</v>
      </c>
      <c r="B156" s="22" t="s">
        <v>1024</v>
      </c>
      <c r="C156" s="50" t="s">
        <v>1043</v>
      </c>
      <c r="D156" s="50" t="s">
        <v>1044</v>
      </c>
      <c r="E156" s="22" t="s">
        <v>86</v>
      </c>
      <c r="F156" s="50" t="s">
        <v>643</v>
      </c>
      <c r="G156" s="50" t="s">
        <v>1045</v>
      </c>
      <c r="H156" s="22">
        <v>7.041966999E9</v>
      </c>
      <c r="I156" s="22">
        <v>7.62408371E9</v>
      </c>
      <c r="J156" s="25"/>
      <c r="K156" s="22">
        <v>35000.0</v>
      </c>
      <c r="L156" s="52">
        <v>46124.0</v>
      </c>
      <c r="M156" s="70" t="s">
        <v>38</v>
      </c>
      <c r="N156" s="23" t="s">
        <v>39</v>
      </c>
      <c r="O156" s="22" t="s">
        <v>48</v>
      </c>
      <c r="P156" s="22" t="s">
        <v>41</v>
      </c>
      <c r="Q156" s="66"/>
      <c r="R156" s="22" t="s">
        <v>1046</v>
      </c>
      <c r="S156" s="24">
        <v>45759.0</v>
      </c>
      <c r="T156" s="22" t="s">
        <v>1047</v>
      </c>
      <c r="U156" s="25"/>
      <c r="V156" s="56">
        <v>69734.0</v>
      </c>
      <c r="W156" s="56">
        <v>76560.0</v>
      </c>
      <c r="X156" s="22">
        <v>58920.0</v>
      </c>
      <c r="Y156" s="22">
        <v>59000.0</v>
      </c>
      <c r="Z156" s="16">
        <f t="shared" si="1"/>
        <v>17560</v>
      </c>
      <c r="AA156" s="17">
        <f t="shared" si="3"/>
        <v>80</v>
      </c>
      <c r="AB156" s="22" t="s">
        <v>42</v>
      </c>
      <c r="AC156" s="50" t="s">
        <v>1048</v>
      </c>
      <c r="AD156" s="21" t="s">
        <v>357</v>
      </c>
      <c r="AE156" s="21">
        <v>1.475028094E9</v>
      </c>
      <c r="AF156" s="50" t="s">
        <v>632</v>
      </c>
      <c r="AG156" s="50" t="s">
        <v>298</v>
      </c>
    </row>
    <row r="157" hidden="1">
      <c r="A157" s="21">
        <v>155.0</v>
      </c>
      <c r="B157" s="22" t="s">
        <v>1024</v>
      </c>
      <c r="C157" s="50" t="s">
        <v>1049</v>
      </c>
      <c r="D157" s="50" t="s">
        <v>1050</v>
      </c>
      <c r="E157" s="22" t="s">
        <v>157</v>
      </c>
      <c r="F157" s="50" t="s">
        <v>1051</v>
      </c>
      <c r="G157" s="50" t="s">
        <v>1052</v>
      </c>
      <c r="H157" s="22">
        <v>9.313233271E9</v>
      </c>
      <c r="I157" s="22">
        <v>9.313693285E9</v>
      </c>
      <c r="J157" s="25"/>
      <c r="K157" s="22">
        <v>2825.0</v>
      </c>
      <c r="L157" s="53" t="s">
        <v>973</v>
      </c>
      <c r="M157" s="70" t="s">
        <v>38</v>
      </c>
      <c r="N157" s="23" t="s">
        <v>39</v>
      </c>
      <c r="O157" s="22" t="s">
        <v>48</v>
      </c>
      <c r="P157" s="22" t="s">
        <v>41</v>
      </c>
      <c r="Q157" s="66"/>
      <c r="R157" s="22" t="s">
        <v>1040</v>
      </c>
      <c r="S157" s="22" t="s">
        <v>1053</v>
      </c>
      <c r="T157" s="25"/>
      <c r="U157" s="25"/>
      <c r="V157" s="56">
        <v>19650.0</v>
      </c>
      <c r="W157" s="56">
        <v>21090.0</v>
      </c>
      <c r="X157" s="22">
        <v>13826.0</v>
      </c>
      <c r="Y157" s="22">
        <v>14000.0</v>
      </c>
      <c r="Z157" s="16">
        <f t="shared" si="1"/>
        <v>7090</v>
      </c>
      <c r="AA157" s="17">
        <f t="shared" si="3"/>
        <v>174</v>
      </c>
      <c r="AB157" s="22" t="s">
        <v>42</v>
      </c>
      <c r="AC157" s="50" t="s">
        <v>1054</v>
      </c>
      <c r="AD157" s="21" t="s">
        <v>1055</v>
      </c>
      <c r="AE157" s="27"/>
      <c r="AF157" s="50" t="s">
        <v>804</v>
      </c>
      <c r="AG157" s="50" t="s">
        <v>298</v>
      </c>
    </row>
    <row r="158" hidden="1">
      <c r="A158" s="21">
        <v>156.0</v>
      </c>
      <c r="B158" s="22" t="s">
        <v>1024</v>
      </c>
      <c r="C158" s="50" t="s">
        <v>1056</v>
      </c>
      <c r="D158" s="50" t="s">
        <v>1057</v>
      </c>
      <c r="E158" s="22" t="s">
        <v>69</v>
      </c>
      <c r="F158" s="50" t="s">
        <v>1058</v>
      </c>
      <c r="G158" s="50" t="s">
        <v>1059</v>
      </c>
      <c r="H158" s="22" t="s">
        <v>739</v>
      </c>
      <c r="I158" s="25"/>
      <c r="J158" s="25"/>
      <c r="K158" s="22">
        <v>1493.0</v>
      </c>
      <c r="L158" s="53" t="s">
        <v>973</v>
      </c>
      <c r="M158" s="70" t="s">
        <v>167</v>
      </c>
      <c r="N158" s="23" t="s">
        <v>181</v>
      </c>
      <c r="O158" s="22" t="s">
        <v>140</v>
      </c>
      <c r="P158" s="22" t="s">
        <v>41</v>
      </c>
      <c r="Q158" s="66"/>
      <c r="R158" s="22" t="s">
        <v>1060</v>
      </c>
      <c r="S158" s="22" t="s">
        <v>550</v>
      </c>
      <c r="T158" s="25"/>
      <c r="U158" s="25"/>
      <c r="V158" s="53">
        <v>11643.82</v>
      </c>
      <c r="W158" s="53">
        <v>13740.0</v>
      </c>
      <c r="X158" s="22">
        <v>12300.0</v>
      </c>
      <c r="Y158" s="22">
        <v>12300.0</v>
      </c>
      <c r="Z158" s="42">
        <f t="shared" si="1"/>
        <v>1440</v>
      </c>
      <c r="AA158" s="17">
        <f t="shared" si="3"/>
        <v>0</v>
      </c>
      <c r="AB158" s="22" t="s">
        <v>42</v>
      </c>
      <c r="AC158" s="50" t="s">
        <v>1061</v>
      </c>
      <c r="AD158" s="27"/>
      <c r="AE158" s="27"/>
    </row>
    <row r="159" hidden="1">
      <c r="A159" s="19">
        <v>157.0</v>
      </c>
      <c r="B159" s="32" t="s">
        <v>1024</v>
      </c>
      <c r="C159" s="43" t="s">
        <v>1062</v>
      </c>
      <c r="D159" s="43" t="s">
        <v>1063</v>
      </c>
      <c r="E159" s="32" t="s">
        <v>86</v>
      </c>
      <c r="F159" s="43" t="s">
        <v>1064</v>
      </c>
      <c r="G159" s="43" t="s">
        <v>1065</v>
      </c>
      <c r="H159" s="32">
        <v>9.725794288E9</v>
      </c>
      <c r="I159" s="32">
        <v>9.727381783E9</v>
      </c>
      <c r="J159" s="35"/>
      <c r="K159" s="32">
        <v>25000.0</v>
      </c>
      <c r="L159" s="46" t="s">
        <v>732</v>
      </c>
      <c r="M159" s="31" t="s">
        <v>265</v>
      </c>
      <c r="N159" s="33" t="s">
        <v>39</v>
      </c>
      <c r="O159" s="32" t="s">
        <v>140</v>
      </c>
      <c r="P159" s="32" t="s">
        <v>41</v>
      </c>
      <c r="Q159" s="67"/>
      <c r="R159" s="68">
        <v>46003.0</v>
      </c>
      <c r="S159" s="32" t="s">
        <v>121</v>
      </c>
      <c r="T159" s="34">
        <v>47161.0</v>
      </c>
      <c r="U159" s="35"/>
      <c r="V159" s="46">
        <v>45398.0</v>
      </c>
      <c r="W159" s="46">
        <v>47857.0</v>
      </c>
      <c r="X159" s="32">
        <v>43000.0</v>
      </c>
      <c r="Y159" s="32">
        <v>42000.0</v>
      </c>
      <c r="Z159" s="47">
        <f t="shared" si="1"/>
        <v>5857</v>
      </c>
      <c r="AA159" s="48">
        <f t="shared" si="3"/>
        <v>-1000</v>
      </c>
      <c r="AB159" s="32" t="s">
        <v>42</v>
      </c>
      <c r="AC159" s="43" t="s">
        <v>1066</v>
      </c>
      <c r="AD159" s="31" t="s">
        <v>671</v>
      </c>
      <c r="AE159" s="39"/>
      <c r="AF159" s="50" t="s">
        <v>672</v>
      </c>
      <c r="AG159" s="43" t="s">
        <v>298</v>
      </c>
    </row>
    <row r="160" hidden="1">
      <c r="A160" s="21">
        <v>158.0</v>
      </c>
      <c r="B160" s="22" t="s">
        <v>1067</v>
      </c>
      <c r="C160" s="50" t="s">
        <v>1068</v>
      </c>
      <c r="D160" s="50" t="s">
        <v>1069</v>
      </c>
      <c r="E160" s="22" t="s">
        <v>276</v>
      </c>
      <c r="F160" s="50" t="s">
        <v>1070</v>
      </c>
      <c r="G160" s="50" t="s">
        <v>1071</v>
      </c>
      <c r="H160" s="22">
        <v>9.824207902E9</v>
      </c>
      <c r="I160" s="22">
        <v>9.033333157E9</v>
      </c>
      <c r="J160" s="25"/>
      <c r="K160" s="22">
        <v>109.0</v>
      </c>
      <c r="L160" s="53" t="s">
        <v>732</v>
      </c>
      <c r="M160" s="22" t="s">
        <v>98</v>
      </c>
      <c r="N160" s="23" t="s">
        <v>81</v>
      </c>
      <c r="O160" s="22" t="s">
        <v>140</v>
      </c>
      <c r="P160" s="22" t="s">
        <v>73</v>
      </c>
      <c r="Q160" s="66"/>
      <c r="R160" s="22" t="s">
        <v>1072</v>
      </c>
      <c r="S160" s="24">
        <v>45849.0</v>
      </c>
      <c r="T160" s="25"/>
      <c r="U160" s="25"/>
      <c r="V160" s="53">
        <v>714.0</v>
      </c>
      <c r="W160" s="53">
        <v>843.0</v>
      </c>
      <c r="X160" s="22">
        <v>850.0</v>
      </c>
      <c r="Y160" s="22">
        <v>850.0</v>
      </c>
      <c r="Z160" s="42">
        <f t="shared" si="1"/>
        <v>-7</v>
      </c>
      <c r="AA160" s="17">
        <f t="shared" si="3"/>
        <v>0</v>
      </c>
      <c r="AB160" s="22" t="s">
        <v>42</v>
      </c>
      <c r="AC160" s="50" t="s">
        <v>1073</v>
      </c>
      <c r="AD160" s="21" t="s">
        <v>671</v>
      </c>
      <c r="AE160" s="27"/>
      <c r="AF160" s="50" t="s">
        <v>632</v>
      </c>
      <c r="AG160" s="50" t="s">
        <v>298</v>
      </c>
    </row>
    <row r="161" hidden="1">
      <c r="A161" s="21">
        <v>159.0</v>
      </c>
      <c r="B161" s="22" t="s">
        <v>1067</v>
      </c>
      <c r="C161" s="50" t="s">
        <v>1074</v>
      </c>
      <c r="D161" s="50" t="s">
        <v>1075</v>
      </c>
      <c r="E161" s="22" t="s">
        <v>53</v>
      </c>
      <c r="F161" s="50" t="s">
        <v>54</v>
      </c>
      <c r="G161" s="50" t="s">
        <v>1076</v>
      </c>
      <c r="H161" s="22">
        <v>9.510031734E9</v>
      </c>
      <c r="I161" s="22">
        <v>9.72364933E9</v>
      </c>
      <c r="J161" s="25"/>
      <c r="K161" s="22">
        <v>818.0</v>
      </c>
      <c r="L161" s="53" t="s">
        <v>732</v>
      </c>
      <c r="M161" s="22" t="s">
        <v>56</v>
      </c>
      <c r="N161" s="23" t="s">
        <v>39</v>
      </c>
      <c r="O161" s="22" t="s">
        <v>48</v>
      </c>
      <c r="P161" s="22" t="s">
        <v>57</v>
      </c>
      <c r="Q161" s="66"/>
      <c r="R161" s="22" t="s">
        <v>819</v>
      </c>
      <c r="S161" s="22" t="s">
        <v>49</v>
      </c>
      <c r="T161" s="22" t="s">
        <v>1077</v>
      </c>
      <c r="U161" s="25"/>
      <c r="V161" s="53">
        <v>6362.0</v>
      </c>
      <c r="W161" s="53">
        <v>7508.0</v>
      </c>
      <c r="X161" s="22">
        <v>6500.0</v>
      </c>
      <c r="Y161" s="22">
        <v>6500.0</v>
      </c>
      <c r="Z161" s="42">
        <f t="shared" si="1"/>
        <v>1008</v>
      </c>
      <c r="AA161" s="17">
        <f t="shared" si="3"/>
        <v>0</v>
      </c>
      <c r="AB161" s="22" t="s">
        <v>42</v>
      </c>
      <c r="AC161" s="50" t="s">
        <v>1078</v>
      </c>
      <c r="AD161" s="21" t="s">
        <v>671</v>
      </c>
      <c r="AF161" s="71" t="s">
        <v>1029</v>
      </c>
      <c r="AG161" s="21" t="s">
        <v>298</v>
      </c>
    </row>
    <row r="162" hidden="1">
      <c r="A162" s="19">
        <v>160.0</v>
      </c>
      <c r="B162" s="22" t="s">
        <v>1067</v>
      </c>
      <c r="C162" s="50" t="s">
        <v>1079</v>
      </c>
      <c r="D162" s="50" t="s">
        <v>1080</v>
      </c>
      <c r="E162" s="22" t="s">
        <v>53</v>
      </c>
      <c r="F162" s="50" t="s">
        <v>54</v>
      </c>
      <c r="G162" s="50" t="s">
        <v>1081</v>
      </c>
      <c r="H162" s="22">
        <v>9.106012504E9</v>
      </c>
      <c r="I162" s="25"/>
      <c r="J162" s="25"/>
      <c r="K162" s="22">
        <v>818.0</v>
      </c>
      <c r="L162" s="53" t="s">
        <v>732</v>
      </c>
      <c r="M162" s="22" t="s">
        <v>56</v>
      </c>
      <c r="N162" s="23" t="s">
        <v>39</v>
      </c>
      <c r="O162" s="22" t="s">
        <v>352</v>
      </c>
      <c r="P162" s="22" t="s">
        <v>57</v>
      </c>
      <c r="Q162" s="66"/>
      <c r="R162" s="22" t="s">
        <v>810</v>
      </c>
      <c r="S162" s="22" t="s">
        <v>684</v>
      </c>
      <c r="T162" s="24">
        <v>46398.0</v>
      </c>
      <c r="U162" s="25"/>
      <c r="V162" s="53">
        <v>6602.0</v>
      </c>
      <c r="W162" s="53">
        <v>7790.0</v>
      </c>
      <c r="X162" s="22">
        <v>6500.0</v>
      </c>
      <c r="Y162" s="22">
        <v>6500.0</v>
      </c>
      <c r="Z162" s="42">
        <f t="shared" si="1"/>
        <v>1290</v>
      </c>
      <c r="AA162" s="17">
        <f t="shared" si="3"/>
        <v>0</v>
      </c>
      <c r="AB162" s="22" t="s">
        <v>42</v>
      </c>
      <c r="AC162" s="50" t="s">
        <v>1082</v>
      </c>
      <c r="AD162" s="21" t="s">
        <v>671</v>
      </c>
      <c r="AF162" s="71" t="s">
        <v>1029</v>
      </c>
      <c r="AG162" s="21" t="s">
        <v>298</v>
      </c>
    </row>
    <row r="163" hidden="1">
      <c r="A163" s="21">
        <v>161.0</v>
      </c>
      <c r="B163" s="22" t="s">
        <v>1067</v>
      </c>
      <c r="C163" s="50" t="s">
        <v>1083</v>
      </c>
      <c r="D163" s="50" t="s">
        <v>1084</v>
      </c>
      <c r="E163" s="22" t="s">
        <v>157</v>
      </c>
      <c r="F163" s="50" t="s">
        <v>694</v>
      </c>
      <c r="G163" s="50" t="s">
        <v>1085</v>
      </c>
      <c r="H163" s="22">
        <v>9.9744475E8</v>
      </c>
      <c r="I163" s="22">
        <v>9.998438763E9</v>
      </c>
      <c r="J163" s="25"/>
      <c r="K163" s="22">
        <v>1600.0</v>
      </c>
      <c r="L163" s="53" t="s">
        <v>732</v>
      </c>
      <c r="M163" s="22" t="s">
        <v>265</v>
      </c>
      <c r="N163" s="23" t="s">
        <v>39</v>
      </c>
      <c r="O163" s="22" t="s">
        <v>236</v>
      </c>
      <c r="P163" s="22" t="s">
        <v>41</v>
      </c>
      <c r="Q163" s="66"/>
      <c r="R163" s="22" t="s">
        <v>49</v>
      </c>
      <c r="S163" s="24">
        <v>46085.0</v>
      </c>
      <c r="T163" s="25"/>
      <c r="U163" s="25"/>
      <c r="V163" s="53">
        <v>20218.0</v>
      </c>
      <c r="W163" s="53">
        <v>21771.0</v>
      </c>
      <c r="X163" s="22">
        <v>14200.0</v>
      </c>
      <c r="Y163" s="22">
        <v>13500.0</v>
      </c>
      <c r="Z163" s="42">
        <f t="shared" si="1"/>
        <v>8271</v>
      </c>
      <c r="AA163" s="41">
        <v>-900.0</v>
      </c>
      <c r="AB163" s="22" t="s">
        <v>42</v>
      </c>
      <c r="AC163" s="50" t="s">
        <v>1086</v>
      </c>
      <c r="AD163" s="21" t="s">
        <v>671</v>
      </c>
      <c r="AE163" s="21" t="s">
        <v>1087</v>
      </c>
      <c r="AF163" s="71" t="s">
        <v>1029</v>
      </c>
      <c r="AG163" s="50" t="s">
        <v>298</v>
      </c>
    </row>
    <row r="164" hidden="1">
      <c r="A164" s="21">
        <v>162.0</v>
      </c>
      <c r="B164" s="22" t="s">
        <v>1067</v>
      </c>
      <c r="C164" s="50" t="s">
        <v>1088</v>
      </c>
      <c r="D164" s="50" t="s">
        <v>1089</v>
      </c>
      <c r="E164" s="22" t="s">
        <v>69</v>
      </c>
      <c r="F164" s="50" t="s">
        <v>1090</v>
      </c>
      <c r="G164" s="50" t="s">
        <v>1091</v>
      </c>
      <c r="H164" s="22">
        <v>9.727112624E9</v>
      </c>
      <c r="I164" s="22">
        <v>7.567068606E9</v>
      </c>
      <c r="J164" s="25"/>
      <c r="K164" s="22">
        <v>1197.0</v>
      </c>
      <c r="L164" s="53" t="s">
        <v>732</v>
      </c>
      <c r="M164" s="22" t="s">
        <v>153</v>
      </c>
      <c r="N164" s="23" t="s">
        <v>81</v>
      </c>
      <c r="O164" s="22" t="s">
        <v>48</v>
      </c>
      <c r="P164" s="22" t="s">
        <v>73</v>
      </c>
      <c r="Q164" s="66"/>
      <c r="R164" s="22" t="s">
        <v>1092</v>
      </c>
      <c r="S164" s="24">
        <v>46205.0</v>
      </c>
      <c r="T164" s="25"/>
      <c r="U164" s="25"/>
      <c r="V164" s="53">
        <v>4106.0</v>
      </c>
      <c r="W164" s="53">
        <v>4845.08</v>
      </c>
      <c r="X164" s="22">
        <v>4800.0</v>
      </c>
      <c r="Y164" s="22">
        <v>4600.0</v>
      </c>
      <c r="Z164" s="42">
        <f t="shared" si="1"/>
        <v>245.08</v>
      </c>
      <c r="AA164" s="17">
        <f t="shared" ref="AA164:AA171" si="4">Y164-X164</f>
        <v>-200</v>
      </c>
      <c r="AB164" s="22" t="s">
        <v>42</v>
      </c>
      <c r="AC164" s="50" t="s">
        <v>1093</v>
      </c>
      <c r="AD164" s="21" t="s">
        <v>671</v>
      </c>
      <c r="AE164" s="27"/>
      <c r="AF164" s="50" t="s">
        <v>632</v>
      </c>
      <c r="AG164" s="50" t="s">
        <v>298</v>
      </c>
    </row>
    <row r="165" hidden="1">
      <c r="A165" s="19">
        <v>163.0</v>
      </c>
      <c r="B165" s="22" t="s">
        <v>1067</v>
      </c>
      <c r="C165" s="50" t="s">
        <v>1094</v>
      </c>
      <c r="D165" s="50" t="s">
        <v>1095</v>
      </c>
      <c r="E165" s="22" t="s">
        <v>157</v>
      </c>
      <c r="F165" s="50" t="s">
        <v>694</v>
      </c>
      <c r="G165" s="50" t="s">
        <v>1096</v>
      </c>
      <c r="H165" s="22">
        <v>9.712037974E9</v>
      </c>
      <c r="I165" s="22">
        <v>9.601039394E9</v>
      </c>
      <c r="J165" s="25"/>
      <c r="K165" s="22">
        <v>1600.0</v>
      </c>
      <c r="L165" s="53" t="s">
        <v>1097</v>
      </c>
      <c r="M165" s="22" t="s">
        <v>265</v>
      </c>
      <c r="N165" s="23" t="s">
        <v>39</v>
      </c>
      <c r="O165" s="22" t="s">
        <v>140</v>
      </c>
      <c r="P165" s="22" t="s">
        <v>41</v>
      </c>
      <c r="Q165" s="66"/>
      <c r="R165" s="24">
        <v>46034.0</v>
      </c>
      <c r="S165" s="22" t="s">
        <v>121</v>
      </c>
      <c r="T165" s="25"/>
      <c r="U165" s="25"/>
      <c r="V165" s="53">
        <v>19386.0</v>
      </c>
      <c r="W165" s="53">
        <v>20790.0</v>
      </c>
      <c r="X165" s="22">
        <v>14163.0</v>
      </c>
      <c r="Y165" s="22">
        <v>14200.0</v>
      </c>
      <c r="Z165" s="42">
        <f t="shared" si="1"/>
        <v>6590</v>
      </c>
      <c r="AA165" s="17">
        <f t="shared" si="4"/>
        <v>37</v>
      </c>
      <c r="AB165" s="22" t="s">
        <v>340</v>
      </c>
      <c r="AC165" s="50" t="s">
        <v>1098</v>
      </c>
      <c r="AD165" s="21" t="s">
        <v>297</v>
      </c>
      <c r="AE165" s="27"/>
      <c r="AF165" s="50" t="s">
        <v>1099</v>
      </c>
      <c r="AG165" s="50" t="s">
        <v>298</v>
      </c>
    </row>
    <row r="166" hidden="1">
      <c r="A166" s="21">
        <v>164.0</v>
      </c>
      <c r="B166" s="22" t="s">
        <v>1067</v>
      </c>
      <c r="C166" s="50" t="s">
        <v>1100</v>
      </c>
      <c r="D166" s="50" t="s">
        <v>1101</v>
      </c>
      <c r="E166" s="22" t="s">
        <v>525</v>
      </c>
      <c r="F166" s="50" t="s">
        <v>1102</v>
      </c>
      <c r="G166" s="50" t="s">
        <v>1103</v>
      </c>
      <c r="H166" s="22">
        <v>9.712817003E9</v>
      </c>
      <c r="I166" s="25"/>
      <c r="J166" s="25"/>
      <c r="K166" s="22">
        <v>11250.0</v>
      </c>
      <c r="L166" s="22" t="s">
        <v>97</v>
      </c>
      <c r="M166" s="22" t="s">
        <v>98</v>
      </c>
      <c r="N166" s="23" t="s">
        <v>39</v>
      </c>
      <c r="O166" s="22" t="s">
        <v>259</v>
      </c>
      <c r="P166" s="22" t="s">
        <v>41</v>
      </c>
      <c r="Q166" s="66"/>
      <c r="R166" s="22" t="s">
        <v>773</v>
      </c>
      <c r="S166" s="22" t="s">
        <v>1104</v>
      </c>
      <c r="T166" s="22" t="s">
        <v>1105</v>
      </c>
      <c r="U166" s="25"/>
      <c r="V166" s="56">
        <v>30308.0</v>
      </c>
      <c r="W166" s="56">
        <v>32229.0</v>
      </c>
      <c r="X166" s="22">
        <v>27976.0</v>
      </c>
      <c r="Y166" s="22">
        <v>28000.0</v>
      </c>
      <c r="Z166" s="16">
        <f t="shared" si="1"/>
        <v>4229</v>
      </c>
      <c r="AA166" s="17">
        <f t="shared" si="4"/>
        <v>24</v>
      </c>
      <c r="AB166" s="22" t="s">
        <v>42</v>
      </c>
      <c r="AC166" s="50" t="s">
        <v>1106</v>
      </c>
      <c r="AD166" s="27"/>
      <c r="AE166" s="27"/>
      <c r="AG166" s="50" t="s">
        <v>1107</v>
      </c>
    </row>
    <row r="167" hidden="1">
      <c r="A167" s="21">
        <v>165.0</v>
      </c>
      <c r="B167" s="22" t="s">
        <v>1067</v>
      </c>
      <c r="C167" s="50" t="s">
        <v>1108</v>
      </c>
      <c r="D167" s="50" t="s">
        <v>1109</v>
      </c>
      <c r="E167" s="22" t="s">
        <v>255</v>
      </c>
      <c r="F167" s="50" t="s">
        <v>256</v>
      </c>
      <c r="G167" s="50" t="s">
        <v>1110</v>
      </c>
      <c r="H167" s="22">
        <v>9.586545772E9</v>
      </c>
      <c r="I167" s="25"/>
      <c r="J167" s="25"/>
      <c r="K167" s="22">
        <v>995.0</v>
      </c>
      <c r="L167" s="22" t="s">
        <v>97</v>
      </c>
      <c r="M167" s="22" t="s">
        <v>258</v>
      </c>
      <c r="N167" s="23" t="s">
        <v>39</v>
      </c>
      <c r="O167" s="22" t="s">
        <v>48</v>
      </c>
      <c r="P167" s="22" t="s">
        <v>57</v>
      </c>
      <c r="Q167" s="66"/>
      <c r="R167" s="22" t="s">
        <v>632</v>
      </c>
      <c r="S167" s="22" t="s">
        <v>121</v>
      </c>
      <c r="T167" s="25"/>
      <c r="U167" s="25"/>
      <c r="V167" s="60">
        <v>5178.0</v>
      </c>
      <c r="W167" s="60">
        <v>5518.0</v>
      </c>
      <c r="X167" s="22">
        <v>5000.0</v>
      </c>
      <c r="Y167" s="22">
        <v>5000.0</v>
      </c>
      <c r="Z167" s="17">
        <f t="shared" si="1"/>
        <v>518</v>
      </c>
      <c r="AA167" s="17">
        <f t="shared" si="4"/>
        <v>0</v>
      </c>
      <c r="AB167" s="22" t="s">
        <v>42</v>
      </c>
      <c r="AC167" s="50" t="s">
        <v>1111</v>
      </c>
      <c r="AD167" s="21" t="s">
        <v>671</v>
      </c>
      <c r="AE167" s="27"/>
      <c r="AF167" s="50" t="s">
        <v>550</v>
      </c>
      <c r="AG167" s="50" t="s">
        <v>298</v>
      </c>
    </row>
    <row r="168" hidden="1">
      <c r="A168" s="19">
        <v>166.0</v>
      </c>
      <c r="B168" s="22" t="s">
        <v>1067</v>
      </c>
      <c r="C168" s="50" t="s">
        <v>1112</v>
      </c>
      <c r="D168" s="50" t="s">
        <v>1113</v>
      </c>
      <c r="E168" s="22" t="s">
        <v>69</v>
      </c>
      <c r="F168" s="50" t="s">
        <v>1114</v>
      </c>
      <c r="G168" s="50" t="s">
        <v>1115</v>
      </c>
      <c r="H168" s="22" t="s">
        <v>1116</v>
      </c>
      <c r="I168" s="22" t="s">
        <v>1117</v>
      </c>
      <c r="J168" s="25"/>
      <c r="K168" s="22">
        <v>1462.0</v>
      </c>
      <c r="L168" s="53" t="s">
        <v>929</v>
      </c>
      <c r="M168" s="22" t="s">
        <v>167</v>
      </c>
      <c r="N168" s="23" t="s">
        <v>39</v>
      </c>
      <c r="O168" s="22" t="s">
        <v>140</v>
      </c>
      <c r="P168" s="22" t="s">
        <v>41</v>
      </c>
      <c r="Q168" s="66"/>
      <c r="R168" s="22" t="s">
        <v>1118</v>
      </c>
      <c r="S168" s="22" t="s">
        <v>672</v>
      </c>
      <c r="T168" s="25"/>
      <c r="U168" s="25"/>
      <c r="V168" s="53">
        <v>13177.0</v>
      </c>
      <c r="W168" s="53">
        <v>15549.0</v>
      </c>
      <c r="X168" s="22">
        <v>15500.0</v>
      </c>
      <c r="Y168" s="22">
        <v>15500.0</v>
      </c>
      <c r="Z168" s="42">
        <f t="shared" si="1"/>
        <v>49</v>
      </c>
      <c r="AA168" s="17">
        <f t="shared" si="4"/>
        <v>0</v>
      </c>
      <c r="AB168" s="22" t="s">
        <v>42</v>
      </c>
      <c r="AC168" s="50" t="s">
        <v>1119</v>
      </c>
      <c r="AD168" s="21" t="s">
        <v>671</v>
      </c>
      <c r="AE168" s="27"/>
      <c r="AF168" s="50" t="s">
        <v>804</v>
      </c>
      <c r="AG168" s="50" t="s">
        <v>298</v>
      </c>
    </row>
    <row r="169" hidden="1">
      <c r="A169" s="21">
        <v>167.0</v>
      </c>
      <c r="B169" s="22" t="s">
        <v>1067</v>
      </c>
      <c r="C169" s="50" t="s">
        <v>1120</v>
      </c>
      <c r="D169" s="50" t="s">
        <v>1121</v>
      </c>
      <c r="E169" s="22" t="s">
        <v>157</v>
      </c>
      <c r="F169" s="50" t="s">
        <v>1051</v>
      </c>
      <c r="G169" s="50" t="s">
        <v>1122</v>
      </c>
      <c r="H169" s="22">
        <v>6.352670587E9</v>
      </c>
      <c r="I169" s="25"/>
      <c r="J169" s="25"/>
      <c r="K169" s="22">
        <v>2825.0</v>
      </c>
      <c r="L169" s="53" t="s">
        <v>973</v>
      </c>
      <c r="M169" s="22" t="s">
        <v>38</v>
      </c>
      <c r="N169" s="23" t="s">
        <v>39</v>
      </c>
      <c r="O169" s="22" t="s">
        <v>140</v>
      </c>
      <c r="P169" s="22" t="s">
        <v>41</v>
      </c>
      <c r="Q169" s="66"/>
      <c r="R169" s="22" t="s">
        <v>810</v>
      </c>
      <c r="S169" s="22" t="s">
        <v>989</v>
      </c>
      <c r="T169" s="25"/>
      <c r="U169" s="25"/>
      <c r="V169" s="56">
        <v>21370.0</v>
      </c>
      <c r="W169" s="56">
        <v>23118.0</v>
      </c>
      <c r="X169" s="22">
        <v>15500.0</v>
      </c>
      <c r="Y169" s="22">
        <v>15500.0</v>
      </c>
      <c r="Z169" s="16">
        <f t="shared" si="1"/>
        <v>7618</v>
      </c>
      <c r="AA169" s="17">
        <f t="shared" si="4"/>
        <v>0</v>
      </c>
      <c r="AB169" s="22" t="s">
        <v>42</v>
      </c>
      <c r="AC169" s="50" t="s">
        <v>1123</v>
      </c>
      <c r="AD169" s="21" t="s">
        <v>671</v>
      </c>
      <c r="AE169" s="27"/>
      <c r="AF169" s="50" t="s">
        <v>632</v>
      </c>
      <c r="AG169" s="50" t="s">
        <v>298</v>
      </c>
    </row>
    <row r="170" hidden="1">
      <c r="A170" s="21">
        <v>168.0</v>
      </c>
      <c r="B170" s="22" t="s">
        <v>1067</v>
      </c>
      <c r="C170" s="50" t="s">
        <v>1124</v>
      </c>
      <c r="D170" s="50" t="s">
        <v>1125</v>
      </c>
      <c r="E170" s="22" t="s">
        <v>69</v>
      </c>
      <c r="F170" s="50" t="s">
        <v>1126</v>
      </c>
      <c r="G170" s="50" t="s">
        <v>1127</v>
      </c>
      <c r="H170" s="22" t="s">
        <v>1128</v>
      </c>
      <c r="I170" s="25"/>
      <c r="J170" s="25"/>
      <c r="K170" s="22">
        <v>1197.0</v>
      </c>
      <c r="L170" s="53" t="s">
        <v>973</v>
      </c>
      <c r="M170" s="22" t="s">
        <v>351</v>
      </c>
      <c r="N170" s="23" t="s">
        <v>181</v>
      </c>
      <c r="O170" s="22" t="s">
        <v>140</v>
      </c>
      <c r="P170" s="22" t="s">
        <v>57</v>
      </c>
      <c r="Q170" s="66"/>
      <c r="R170" s="22" t="s">
        <v>1129</v>
      </c>
      <c r="S170" s="24">
        <v>46063.0</v>
      </c>
      <c r="T170" s="25"/>
      <c r="U170" s="25"/>
      <c r="V170" s="60">
        <v>9401.0</v>
      </c>
      <c r="W170" s="60">
        <v>11093.0</v>
      </c>
      <c r="X170" s="60">
        <v>11093.0</v>
      </c>
      <c r="Y170" s="22">
        <v>11000.0</v>
      </c>
      <c r="Z170" s="17">
        <f t="shared" si="1"/>
        <v>93</v>
      </c>
      <c r="AA170" s="17">
        <f t="shared" si="4"/>
        <v>-93</v>
      </c>
      <c r="AB170" s="22" t="s">
        <v>42</v>
      </c>
      <c r="AC170" s="50" t="s">
        <v>1130</v>
      </c>
      <c r="AD170" s="27"/>
      <c r="AE170" s="27"/>
      <c r="AG170" s="50" t="s">
        <v>1131</v>
      </c>
    </row>
    <row r="171" hidden="1">
      <c r="A171" s="19">
        <v>169.0</v>
      </c>
      <c r="B171" s="22" t="s">
        <v>1132</v>
      </c>
      <c r="C171" s="50" t="s">
        <v>1133</v>
      </c>
      <c r="D171" s="50" t="s">
        <v>1134</v>
      </c>
      <c r="E171" s="22" t="s">
        <v>86</v>
      </c>
      <c r="F171" s="50" t="s">
        <v>1135</v>
      </c>
      <c r="G171" s="50" t="s">
        <v>1136</v>
      </c>
      <c r="H171" s="22">
        <v>8.329666175E9</v>
      </c>
      <c r="I171" s="25"/>
      <c r="J171" s="25"/>
      <c r="K171" s="22">
        <v>45500.0</v>
      </c>
      <c r="L171" s="53" t="s">
        <v>818</v>
      </c>
      <c r="M171" s="22" t="s">
        <v>351</v>
      </c>
      <c r="N171" s="23" t="s">
        <v>39</v>
      </c>
      <c r="O171" s="22" t="s">
        <v>128</v>
      </c>
      <c r="P171" s="22" t="s">
        <v>57</v>
      </c>
      <c r="Q171" s="66"/>
      <c r="R171" s="22" t="s">
        <v>1137</v>
      </c>
      <c r="S171" s="24">
        <v>46302.0</v>
      </c>
      <c r="T171" s="24">
        <v>47760.0</v>
      </c>
      <c r="U171" s="25"/>
      <c r="V171" s="53">
        <v>46990.0</v>
      </c>
      <c r="W171" s="53">
        <v>49697.0</v>
      </c>
      <c r="X171" s="22">
        <v>41771.0</v>
      </c>
      <c r="Y171" s="22">
        <v>41500.0</v>
      </c>
      <c r="Z171" s="42">
        <f t="shared" si="1"/>
        <v>8197</v>
      </c>
      <c r="AA171" s="17">
        <f t="shared" si="4"/>
        <v>-271</v>
      </c>
      <c r="AB171" s="22" t="s">
        <v>42</v>
      </c>
      <c r="AC171" s="50" t="s">
        <v>1138</v>
      </c>
      <c r="AD171" s="27"/>
      <c r="AE171" s="27"/>
    </row>
    <row r="172" hidden="1">
      <c r="A172" s="21">
        <v>170.0</v>
      </c>
      <c r="B172" s="22" t="s">
        <v>1132</v>
      </c>
      <c r="C172" s="50" t="s">
        <v>1139</v>
      </c>
      <c r="D172" s="50" t="s">
        <v>1140</v>
      </c>
      <c r="E172" s="22" t="s">
        <v>53</v>
      </c>
      <c r="F172" s="50" t="s">
        <v>270</v>
      </c>
      <c r="G172" s="50" t="s">
        <v>1141</v>
      </c>
      <c r="H172" s="22">
        <v>9.099081072E9</v>
      </c>
      <c r="I172" s="22">
        <v>7.600585405E9</v>
      </c>
      <c r="J172" s="25"/>
      <c r="K172" s="22">
        <v>818.0</v>
      </c>
      <c r="L172" s="53" t="s">
        <v>1142</v>
      </c>
      <c r="M172" s="22" t="s">
        <v>56</v>
      </c>
      <c r="N172" s="23" t="s">
        <v>39</v>
      </c>
      <c r="O172" s="22" t="s">
        <v>48</v>
      </c>
      <c r="P172" s="22" t="s">
        <v>57</v>
      </c>
      <c r="Q172" s="66"/>
      <c r="R172" s="22" t="s">
        <v>819</v>
      </c>
      <c r="S172" s="22" t="s">
        <v>684</v>
      </c>
      <c r="T172" s="22" t="s">
        <v>1077</v>
      </c>
      <c r="U172" s="25"/>
      <c r="V172" s="53">
        <v>6339.0</v>
      </c>
      <c r="W172" s="53">
        <v>7481.0</v>
      </c>
      <c r="X172" s="22">
        <v>6500.0</v>
      </c>
      <c r="Y172" s="22">
        <v>5700.0</v>
      </c>
      <c r="Z172" s="42">
        <f t="shared" si="1"/>
        <v>1781</v>
      </c>
      <c r="AA172" s="77"/>
      <c r="AB172" s="22" t="s">
        <v>42</v>
      </c>
      <c r="AC172" s="50" t="s">
        <v>1143</v>
      </c>
      <c r="AD172" s="27"/>
      <c r="AE172" s="27"/>
    </row>
    <row r="173" hidden="1">
      <c r="A173" s="21">
        <v>171.0</v>
      </c>
      <c r="B173" s="22" t="s">
        <v>1132</v>
      </c>
      <c r="C173" s="50" t="s">
        <v>1144</v>
      </c>
      <c r="D173" s="50" t="s">
        <v>1145</v>
      </c>
      <c r="E173" s="22" t="s">
        <v>525</v>
      </c>
      <c r="F173" s="50" t="s">
        <v>1027</v>
      </c>
      <c r="G173" s="50" t="s">
        <v>1146</v>
      </c>
      <c r="H173" s="22">
        <v>9.925968917E9</v>
      </c>
      <c r="I173" s="22">
        <v>9.913149743E9</v>
      </c>
      <c r="J173" s="25"/>
      <c r="K173" s="22">
        <v>11990.0</v>
      </c>
      <c r="L173" s="53" t="s">
        <v>1142</v>
      </c>
      <c r="M173" s="22" t="s">
        <v>265</v>
      </c>
      <c r="N173" s="23" t="s">
        <v>39</v>
      </c>
      <c r="O173" s="22" t="s">
        <v>48</v>
      </c>
      <c r="P173" s="22" t="s">
        <v>41</v>
      </c>
      <c r="Q173" s="66"/>
      <c r="R173" s="24">
        <v>46054.0</v>
      </c>
      <c r="S173" s="24">
        <v>46054.0</v>
      </c>
      <c r="T173" s="24">
        <v>47727.0</v>
      </c>
      <c r="U173" s="25"/>
      <c r="V173" s="53">
        <v>29729.0</v>
      </c>
      <c r="W173" s="53">
        <v>31547.0</v>
      </c>
      <c r="X173" s="22">
        <v>29019.0</v>
      </c>
      <c r="Y173" s="22">
        <v>28500.0</v>
      </c>
      <c r="Z173" s="42">
        <f t="shared" si="1"/>
        <v>3047</v>
      </c>
      <c r="AA173" s="77"/>
      <c r="AB173" s="22" t="s">
        <v>42</v>
      </c>
      <c r="AC173" s="50" t="s">
        <v>1147</v>
      </c>
      <c r="AD173" s="27"/>
      <c r="AE173" s="27"/>
    </row>
    <row r="174" hidden="1">
      <c r="A174" s="19">
        <v>172.0</v>
      </c>
      <c r="B174" s="22" t="s">
        <v>1132</v>
      </c>
      <c r="C174" s="50" t="s">
        <v>1148</v>
      </c>
      <c r="D174" s="50" t="s">
        <v>1149</v>
      </c>
      <c r="E174" s="22" t="s">
        <v>276</v>
      </c>
      <c r="F174" s="50" t="s">
        <v>1150</v>
      </c>
      <c r="G174" s="50" t="s">
        <v>1151</v>
      </c>
      <c r="H174" s="22">
        <v>9.909563584E9</v>
      </c>
      <c r="I174" s="25"/>
      <c r="J174" s="25"/>
      <c r="K174" s="22">
        <v>223.0</v>
      </c>
      <c r="L174" s="53" t="s">
        <v>818</v>
      </c>
      <c r="M174" s="22" t="s">
        <v>105</v>
      </c>
      <c r="N174" s="23" t="s">
        <v>81</v>
      </c>
      <c r="O174" s="22" t="s">
        <v>140</v>
      </c>
      <c r="P174" s="22" t="s">
        <v>73</v>
      </c>
      <c r="Q174" s="66"/>
      <c r="R174" s="22" t="s">
        <v>1152</v>
      </c>
      <c r="S174" s="24">
        <v>46114.0</v>
      </c>
      <c r="T174" s="24"/>
      <c r="U174" s="25"/>
      <c r="V174" s="56">
        <v>1366.0</v>
      </c>
      <c r="W174" s="56">
        <v>1612.0</v>
      </c>
      <c r="X174" s="22">
        <v>1600.0</v>
      </c>
      <c r="Y174" s="22">
        <v>1600.0</v>
      </c>
      <c r="Z174" s="16">
        <f t="shared" si="1"/>
        <v>12</v>
      </c>
      <c r="AA174" s="77"/>
      <c r="AB174" s="22" t="s">
        <v>42</v>
      </c>
      <c r="AC174" s="50" t="s">
        <v>1153</v>
      </c>
      <c r="AD174" s="21" t="s">
        <v>473</v>
      </c>
      <c r="AE174" s="27"/>
      <c r="AF174" s="59">
        <v>45973.0</v>
      </c>
      <c r="AG174" s="50" t="s">
        <v>475</v>
      </c>
    </row>
    <row r="175" hidden="1">
      <c r="A175" s="21">
        <v>173.0</v>
      </c>
      <c r="B175" s="22" t="s">
        <v>1132</v>
      </c>
      <c r="C175" s="50" t="s">
        <v>1154</v>
      </c>
      <c r="D175" s="50" t="s">
        <v>1155</v>
      </c>
      <c r="E175" s="22" t="s">
        <v>69</v>
      </c>
      <c r="F175" s="50" t="s">
        <v>1156</v>
      </c>
      <c r="G175" s="50" t="s">
        <v>1157</v>
      </c>
      <c r="H175" s="22">
        <v>6.353227517E9</v>
      </c>
      <c r="I175" s="22">
        <v>9.265391647E9</v>
      </c>
      <c r="J175" s="25"/>
      <c r="K175" s="22">
        <v>1195.0</v>
      </c>
      <c r="L175" s="53" t="s">
        <v>1097</v>
      </c>
      <c r="M175" s="22" t="s">
        <v>249</v>
      </c>
      <c r="N175" s="23" t="s">
        <v>81</v>
      </c>
      <c r="O175" s="22" t="s">
        <v>48</v>
      </c>
      <c r="P175" s="22" t="s">
        <v>73</v>
      </c>
      <c r="Q175" s="66"/>
      <c r="R175" s="22" t="s">
        <v>1158</v>
      </c>
      <c r="S175" s="24">
        <v>45994.0</v>
      </c>
      <c r="T175" s="25"/>
      <c r="U175" s="25"/>
      <c r="V175" s="53">
        <v>3476.0</v>
      </c>
      <c r="W175" s="53">
        <v>4101.68</v>
      </c>
      <c r="X175" s="22">
        <v>4000.0</v>
      </c>
      <c r="Y175" s="22">
        <v>4000.0</v>
      </c>
      <c r="Z175" s="42">
        <f t="shared" si="1"/>
        <v>101.68</v>
      </c>
      <c r="AA175" s="77"/>
      <c r="AB175" s="22" t="s">
        <v>340</v>
      </c>
      <c r="AC175" s="50" t="s">
        <v>1159</v>
      </c>
      <c r="AD175" s="27"/>
      <c r="AE175" s="27"/>
      <c r="AG175" s="50" t="s">
        <v>1160</v>
      </c>
    </row>
    <row r="176" hidden="1">
      <c r="A176" s="21">
        <v>174.0</v>
      </c>
      <c r="B176" s="22" t="s">
        <v>1132</v>
      </c>
      <c r="C176" s="50" t="s">
        <v>1161</v>
      </c>
      <c r="D176" s="50" t="s">
        <v>1162</v>
      </c>
      <c r="E176" s="22" t="s">
        <v>255</v>
      </c>
      <c r="F176" s="50" t="s">
        <v>256</v>
      </c>
      <c r="G176" s="50" t="s">
        <v>1163</v>
      </c>
      <c r="H176" s="22">
        <v>9.978278186E9</v>
      </c>
      <c r="I176" s="25"/>
      <c r="J176" s="25"/>
      <c r="K176" s="22">
        <v>995.0</v>
      </c>
      <c r="L176" s="53" t="s">
        <v>929</v>
      </c>
      <c r="M176" s="22" t="s">
        <v>258</v>
      </c>
      <c r="N176" s="23" t="s">
        <v>39</v>
      </c>
      <c r="O176" s="22" t="s">
        <v>48</v>
      </c>
      <c r="P176" s="22" t="s">
        <v>57</v>
      </c>
      <c r="Q176" s="66"/>
      <c r="R176" s="22" t="s">
        <v>1164</v>
      </c>
      <c r="S176" s="22" t="s">
        <v>458</v>
      </c>
      <c r="T176" s="25"/>
      <c r="U176" s="25"/>
      <c r="V176" s="60">
        <v>5295.0</v>
      </c>
      <c r="W176" s="60">
        <v>5657.0</v>
      </c>
      <c r="X176" s="22">
        <v>5000.0</v>
      </c>
      <c r="Y176" s="22">
        <v>5000.0</v>
      </c>
      <c r="Z176" s="17">
        <f t="shared" si="1"/>
        <v>657</v>
      </c>
      <c r="AA176" s="77"/>
      <c r="AB176" s="22" t="s">
        <v>42</v>
      </c>
      <c r="AC176" s="50" t="s">
        <v>1165</v>
      </c>
      <c r="AD176" s="27"/>
      <c r="AE176" s="27"/>
    </row>
    <row r="177" hidden="1">
      <c r="A177" s="19">
        <v>175.0</v>
      </c>
      <c r="B177" s="22" t="s">
        <v>1132</v>
      </c>
      <c r="C177" s="50" t="s">
        <v>1166</v>
      </c>
      <c r="D177" s="50" t="s">
        <v>1167</v>
      </c>
      <c r="E177" s="22" t="s">
        <v>157</v>
      </c>
      <c r="F177" s="50" t="s">
        <v>137</v>
      </c>
      <c r="G177" s="50" t="s">
        <v>1168</v>
      </c>
      <c r="H177" s="22">
        <v>9.016497487E9</v>
      </c>
      <c r="I177" s="22">
        <v>8.758812526E9</v>
      </c>
      <c r="J177" s="25"/>
      <c r="K177" s="22">
        <v>1600.0</v>
      </c>
      <c r="L177" s="53" t="s">
        <v>732</v>
      </c>
      <c r="M177" s="22" t="s">
        <v>64</v>
      </c>
      <c r="N177" s="23" t="s">
        <v>39</v>
      </c>
      <c r="O177" s="22" t="s">
        <v>48</v>
      </c>
      <c r="P177" s="22" t="s">
        <v>41</v>
      </c>
      <c r="Q177" s="66"/>
      <c r="R177" s="24">
        <v>45728.0</v>
      </c>
      <c r="S177" s="24">
        <v>46054.0</v>
      </c>
      <c r="T177" s="25"/>
      <c r="U177" s="25"/>
      <c r="V177" s="60">
        <v>19574.0</v>
      </c>
      <c r="W177" s="60">
        <v>21011.0</v>
      </c>
      <c r="X177" s="22">
        <v>13679.0</v>
      </c>
      <c r="Y177" s="22">
        <v>14000.0</v>
      </c>
      <c r="Z177" s="17">
        <f t="shared" si="1"/>
        <v>7011</v>
      </c>
      <c r="AA177" s="77"/>
      <c r="AB177" s="22" t="s">
        <v>42</v>
      </c>
      <c r="AC177" s="50" t="s">
        <v>1169</v>
      </c>
      <c r="AD177" s="21" t="s">
        <v>671</v>
      </c>
      <c r="AE177" s="27"/>
      <c r="AF177" s="50" t="s">
        <v>672</v>
      </c>
      <c r="AG177" s="50" t="s">
        <v>475</v>
      </c>
    </row>
    <row r="178" hidden="1">
      <c r="A178" s="21">
        <v>176.0</v>
      </c>
      <c r="B178" s="22" t="s">
        <v>1132</v>
      </c>
      <c r="C178" s="50" t="s">
        <v>1170</v>
      </c>
      <c r="D178" s="50" t="s">
        <v>1171</v>
      </c>
      <c r="E178" s="22" t="s">
        <v>157</v>
      </c>
      <c r="F178" s="50" t="s">
        <v>694</v>
      </c>
      <c r="G178" s="50" t="s">
        <v>1172</v>
      </c>
      <c r="H178" s="22">
        <v>9.265579667E9</v>
      </c>
      <c r="I178" s="22">
        <v>7.041538941E9</v>
      </c>
      <c r="J178" s="25"/>
      <c r="K178" s="22">
        <v>1600.0</v>
      </c>
      <c r="L178" s="53" t="s">
        <v>1097</v>
      </c>
      <c r="M178" s="22" t="s">
        <v>265</v>
      </c>
      <c r="N178" s="23" t="s">
        <v>39</v>
      </c>
      <c r="O178" s="22" t="s">
        <v>106</v>
      </c>
      <c r="P178" s="22" t="s">
        <v>41</v>
      </c>
      <c r="Q178" s="66"/>
      <c r="R178" s="22" t="s">
        <v>990</v>
      </c>
      <c r="S178" s="22" t="s">
        <v>1173</v>
      </c>
      <c r="T178" s="25"/>
      <c r="U178" s="25"/>
      <c r="V178" s="53">
        <v>19723.0</v>
      </c>
      <c r="W178" s="53">
        <v>21187.0</v>
      </c>
      <c r="X178" s="22">
        <v>13948.0</v>
      </c>
      <c r="Y178" s="22">
        <v>14000.0</v>
      </c>
      <c r="Z178" s="42">
        <f t="shared" si="1"/>
        <v>7187</v>
      </c>
      <c r="AA178" s="17">
        <f>Y178-X178</f>
        <v>52</v>
      </c>
      <c r="AB178" s="22" t="s">
        <v>340</v>
      </c>
      <c r="AC178" s="50" t="s">
        <v>1174</v>
      </c>
      <c r="AD178" s="21" t="s">
        <v>297</v>
      </c>
      <c r="AE178" s="27"/>
      <c r="AF178" s="50" t="s">
        <v>1099</v>
      </c>
      <c r="AG178" s="50" t="s">
        <v>298</v>
      </c>
    </row>
    <row r="179" hidden="1">
      <c r="A179" s="21">
        <v>177.0</v>
      </c>
      <c r="B179" s="22" t="s">
        <v>1132</v>
      </c>
      <c r="C179" s="50" t="s">
        <v>1175</v>
      </c>
      <c r="D179" s="50" t="s">
        <v>1176</v>
      </c>
      <c r="E179" s="22" t="s">
        <v>69</v>
      </c>
      <c r="F179" s="50" t="s">
        <v>655</v>
      </c>
      <c r="G179" s="50" t="s">
        <v>1177</v>
      </c>
      <c r="H179" s="22" t="s">
        <v>1178</v>
      </c>
      <c r="I179" s="25"/>
      <c r="J179" s="25"/>
      <c r="K179" s="22">
        <v>1298.0</v>
      </c>
      <c r="L179" s="22" t="s">
        <v>1142</v>
      </c>
      <c r="M179" s="22" t="s">
        <v>329</v>
      </c>
      <c r="N179" s="23" t="s">
        <v>81</v>
      </c>
      <c r="O179" s="22" t="s">
        <v>140</v>
      </c>
      <c r="P179" s="22" t="s">
        <v>73</v>
      </c>
      <c r="Q179" s="66"/>
      <c r="R179" s="28">
        <v>46306.0</v>
      </c>
      <c r="S179" s="22" t="s">
        <v>402</v>
      </c>
      <c r="T179" s="25"/>
      <c r="U179" s="25"/>
      <c r="V179" s="53">
        <v>3416.0</v>
      </c>
      <c r="W179" s="53">
        <v>4031.0</v>
      </c>
      <c r="X179" s="22">
        <v>4000.0</v>
      </c>
      <c r="Y179" s="22">
        <v>4000.0</v>
      </c>
      <c r="Z179" s="42">
        <f t="shared" si="1"/>
        <v>31</v>
      </c>
      <c r="AA179" s="77"/>
      <c r="AB179" s="22" t="s">
        <v>42</v>
      </c>
      <c r="AC179" s="50" t="s">
        <v>1179</v>
      </c>
      <c r="AD179" s="27"/>
      <c r="AE179" s="27"/>
    </row>
    <row r="180" hidden="1">
      <c r="A180" s="19">
        <v>178.0</v>
      </c>
      <c r="B180" s="22" t="s">
        <v>1132</v>
      </c>
      <c r="C180" s="50" t="s">
        <v>1180</v>
      </c>
      <c r="D180" s="51">
        <v>7.1003124E8</v>
      </c>
      <c r="E180" s="22" t="s">
        <v>69</v>
      </c>
      <c r="F180" s="50" t="s">
        <v>1181</v>
      </c>
      <c r="G180" s="50" t="s">
        <v>1182</v>
      </c>
      <c r="H180" s="22">
        <v>8.32085025E9</v>
      </c>
      <c r="I180" s="22">
        <v>7.575011611E9</v>
      </c>
      <c r="J180" s="25"/>
      <c r="K180" s="22">
        <v>1591.0</v>
      </c>
      <c r="L180" s="53" t="s">
        <v>732</v>
      </c>
      <c r="M180" s="22" t="s">
        <v>451</v>
      </c>
      <c r="N180" s="23" t="s">
        <v>39</v>
      </c>
      <c r="O180" s="22" t="s">
        <v>259</v>
      </c>
      <c r="P180" s="22" t="s">
        <v>73</v>
      </c>
      <c r="Q180" s="66"/>
      <c r="R180" s="24">
        <v>49257.0</v>
      </c>
      <c r="S180" s="28">
        <v>46305.0</v>
      </c>
      <c r="T180" s="25"/>
      <c r="U180" s="25"/>
      <c r="V180" s="53">
        <v>13505.07</v>
      </c>
      <c r="W180" s="56">
        <v>15935.98</v>
      </c>
      <c r="X180" s="22">
        <v>15935.0</v>
      </c>
      <c r="Y180" s="22">
        <v>15900.0</v>
      </c>
      <c r="Z180" s="16">
        <f t="shared" si="1"/>
        <v>35.98</v>
      </c>
      <c r="AA180" s="17">
        <f t="shared" ref="AA180:AA181" si="5">Y180-X180</f>
        <v>-35</v>
      </c>
      <c r="AB180" s="22" t="s">
        <v>42</v>
      </c>
      <c r="AC180" s="50" t="s">
        <v>1183</v>
      </c>
      <c r="AD180" s="21" t="s">
        <v>671</v>
      </c>
      <c r="AE180" s="27"/>
      <c r="AF180" s="50" t="s">
        <v>804</v>
      </c>
      <c r="AG180" s="50" t="s">
        <v>475</v>
      </c>
    </row>
    <row r="181" hidden="1">
      <c r="A181" s="21">
        <v>179.0</v>
      </c>
      <c r="B181" s="22" t="s">
        <v>1132</v>
      </c>
      <c r="C181" s="50" t="s">
        <v>1184</v>
      </c>
      <c r="D181" s="50" t="s">
        <v>1185</v>
      </c>
      <c r="E181" s="22" t="s">
        <v>86</v>
      </c>
      <c r="F181" s="50" t="s">
        <v>1135</v>
      </c>
      <c r="G181" s="50" t="s">
        <v>1136</v>
      </c>
      <c r="H181" s="22">
        <v>8.329666175E9</v>
      </c>
      <c r="I181" s="25"/>
      <c r="J181" s="25"/>
      <c r="K181" s="22">
        <v>45500.0</v>
      </c>
      <c r="L181" s="53" t="s">
        <v>818</v>
      </c>
      <c r="M181" s="22" t="s">
        <v>351</v>
      </c>
      <c r="N181" s="23" t="s">
        <v>39</v>
      </c>
      <c r="O181" s="22" t="s">
        <v>128</v>
      </c>
      <c r="P181" s="22" t="s">
        <v>57</v>
      </c>
      <c r="Q181" s="66"/>
      <c r="R181" s="24">
        <v>46419.0</v>
      </c>
      <c r="S181" s="22" t="s">
        <v>1186</v>
      </c>
      <c r="T181" s="24">
        <v>47760.0</v>
      </c>
      <c r="U181" s="25"/>
      <c r="V181" s="53">
        <v>46990.0</v>
      </c>
      <c r="W181" s="53">
        <v>49697.0</v>
      </c>
      <c r="X181" s="22">
        <v>41771.0</v>
      </c>
      <c r="Y181" s="22">
        <v>41500.0</v>
      </c>
      <c r="Z181" s="42">
        <f t="shared" si="1"/>
        <v>8197</v>
      </c>
      <c r="AA181" s="17">
        <f t="shared" si="5"/>
        <v>-271</v>
      </c>
      <c r="AB181" s="22" t="s">
        <v>42</v>
      </c>
      <c r="AC181" s="50" t="s">
        <v>1138</v>
      </c>
      <c r="AD181" s="27"/>
      <c r="AE181" s="27"/>
    </row>
    <row r="182" hidden="1">
      <c r="A182" s="21">
        <v>180.0</v>
      </c>
      <c r="B182" s="22" t="s">
        <v>1132</v>
      </c>
      <c r="C182" s="50" t="s">
        <v>1187</v>
      </c>
      <c r="D182" s="50" t="s">
        <v>1188</v>
      </c>
      <c r="E182" s="22" t="s">
        <v>86</v>
      </c>
      <c r="F182" s="50" t="s">
        <v>643</v>
      </c>
      <c r="G182" s="50" t="s">
        <v>1189</v>
      </c>
      <c r="H182" s="22">
        <v>9.601329164E9</v>
      </c>
      <c r="I182" s="22">
        <v>9.998252863E9</v>
      </c>
      <c r="J182" s="25"/>
      <c r="K182" s="22">
        <v>28000.0</v>
      </c>
      <c r="L182" s="53" t="s">
        <v>818</v>
      </c>
      <c r="M182" s="22" t="s">
        <v>98</v>
      </c>
      <c r="N182" s="23" t="s">
        <v>81</v>
      </c>
      <c r="O182" s="22" t="s">
        <v>48</v>
      </c>
      <c r="P182" s="22" t="s">
        <v>57</v>
      </c>
      <c r="Q182" s="66"/>
      <c r="R182" s="22" t="s">
        <v>453</v>
      </c>
      <c r="S182" s="22" t="s">
        <v>727</v>
      </c>
      <c r="T182" s="24">
        <v>46114.0</v>
      </c>
      <c r="U182" s="25"/>
      <c r="V182" s="53">
        <v>44050.0</v>
      </c>
      <c r="W182" s="53">
        <v>46266.0</v>
      </c>
      <c r="X182" s="22">
        <v>29500.0</v>
      </c>
      <c r="Y182" s="22">
        <v>28500.0</v>
      </c>
      <c r="Z182" s="42">
        <f t="shared" si="1"/>
        <v>17766</v>
      </c>
      <c r="AA182" s="77"/>
      <c r="AB182" s="22" t="s">
        <v>42</v>
      </c>
      <c r="AC182" s="50" t="s">
        <v>1190</v>
      </c>
      <c r="AD182" s="21" t="s">
        <v>671</v>
      </c>
      <c r="AE182" s="27"/>
      <c r="AF182" s="50" t="s">
        <v>933</v>
      </c>
      <c r="AG182" s="50" t="s">
        <v>298</v>
      </c>
    </row>
    <row r="183" hidden="1">
      <c r="A183" s="19">
        <v>181.0</v>
      </c>
      <c r="B183" s="22" t="s">
        <v>1132</v>
      </c>
      <c r="C183" s="50" t="s">
        <v>1191</v>
      </c>
      <c r="D183" s="51">
        <v>7.10031943E8</v>
      </c>
      <c r="E183" s="22" t="s">
        <v>69</v>
      </c>
      <c r="F183" s="50" t="s">
        <v>1192</v>
      </c>
      <c r="G183" s="50" t="s">
        <v>1193</v>
      </c>
      <c r="H183" s="22">
        <v>8.128309609E9</v>
      </c>
      <c r="I183" s="22">
        <v>8.238384789E9</v>
      </c>
      <c r="J183" s="25"/>
      <c r="K183" s="22">
        <v>1197.0</v>
      </c>
      <c r="L183" s="53" t="s">
        <v>929</v>
      </c>
      <c r="M183" s="22" t="s">
        <v>451</v>
      </c>
      <c r="N183" s="23" t="s">
        <v>39</v>
      </c>
      <c r="O183" s="22" t="s">
        <v>40</v>
      </c>
      <c r="P183" s="22" t="s">
        <v>73</v>
      </c>
      <c r="Q183" s="66"/>
      <c r="R183" s="28">
        <v>50021.0</v>
      </c>
      <c r="S183" s="22" t="s">
        <v>1194</v>
      </c>
      <c r="T183" s="25"/>
      <c r="U183" s="25"/>
      <c r="V183" s="53">
        <v>9438.62</v>
      </c>
      <c r="W183" s="56">
        <v>11137.57</v>
      </c>
      <c r="X183" s="22">
        <v>11137.0</v>
      </c>
      <c r="Y183" s="22">
        <v>11137.0</v>
      </c>
      <c r="Z183" s="16">
        <f t="shared" si="1"/>
        <v>0.57</v>
      </c>
      <c r="AA183" s="17">
        <f>Y183-X183</f>
        <v>0</v>
      </c>
      <c r="AB183" s="22" t="s">
        <v>42</v>
      </c>
      <c r="AC183" s="50" t="s">
        <v>1195</v>
      </c>
      <c r="AD183" s="27"/>
      <c r="AE183" s="27"/>
    </row>
    <row r="184" hidden="1">
      <c r="A184" s="21">
        <v>182.0</v>
      </c>
      <c r="B184" s="22" t="s">
        <v>1196</v>
      </c>
      <c r="C184" s="50" t="s">
        <v>1197</v>
      </c>
      <c r="D184" s="51">
        <v>6.205534927E9</v>
      </c>
      <c r="E184" s="22" t="s">
        <v>69</v>
      </c>
      <c r="F184" s="50" t="s">
        <v>1198</v>
      </c>
      <c r="G184" s="50" t="s">
        <v>1199</v>
      </c>
      <c r="H184" s="22">
        <v>8.320992206E9</v>
      </c>
      <c r="I184" s="25"/>
      <c r="J184" s="25"/>
      <c r="K184" s="22">
        <v>2494.0</v>
      </c>
      <c r="L184" s="53" t="s">
        <v>97</v>
      </c>
      <c r="M184" s="22" t="s">
        <v>56</v>
      </c>
      <c r="N184" s="23" t="s">
        <v>39</v>
      </c>
      <c r="O184" s="22" t="s">
        <v>48</v>
      </c>
      <c r="P184" s="22" t="s">
        <v>41</v>
      </c>
      <c r="Q184" s="66"/>
      <c r="R184" s="22" t="s">
        <v>1200</v>
      </c>
      <c r="S184" s="24">
        <v>45333.0</v>
      </c>
      <c r="T184" s="25"/>
      <c r="U184" s="25"/>
      <c r="V184" s="53">
        <v>9998.0</v>
      </c>
      <c r="W184" s="53">
        <v>11798.0</v>
      </c>
      <c r="X184" s="29">
        <v>11798.0</v>
      </c>
      <c r="Y184" s="29">
        <v>11798.0</v>
      </c>
      <c r="Z184" s="17">
        <f t="shared" si="1"/>
        <v>0</v>
      </c>
      <c r="AA184" s="77"/>
      <c r="AB184" s="22" t="s">
        <v>42</v>
      </c>
      <c r="AC184" s="50" t="s">
        <v>1201</v>
      </c>
      <c r="AD184" s="21" t="s">
        <v>671</v>
      </c>
      <c r="AE184" s="27"/>
      <c r="AF184" s="50" t="s">
        <v>672</v>
      </c>
      <c r="AG184" s="50" t="s">
        <v>298</v>
      </c>
    </row>
    <row r="185" hidden="1">
      <c r="A185" s="21">
        <v>183.0</v>
      </c>
      <c r="B185" s="22" t="s">
        <v>1196</v>
      </c>
      <c r="C185" s="50" t="s">
        <v>1202</v>
      </c>
      <c r="D185" s="50" t="s">
        <v>1203</v>
      </c>
      <c r="E185" s="22" t="s">
        <v>86</v>
      </c>
      <c r="F185" s="50" t="s">
        <v>643</v>
      </c>
      <c r="G185" s="50" t="s">
        <v>1204</v>
      </c>
      <c r="H185" s="22">
        <v>9.925112789E9</v>
      </c>
      <c r="I185" s="22">
        <v>7.016331195E9</v>
      </c>
      <c r="J185" s="25"/>
      <c r="K185" s="22">
        <v>35000.0</v>
      </c>
      <c r="L185" s="53" t="s">
        <v>97</v>
      </c>
      <c r="M185" s="22" t="s">
        <v>38</v>
      </c>
      <c r="N185" s="23" t="s">
        <v>39</v>
      </c>
      <c r="O185" s="22" t="s">
        <v>140</v>
      </c>
      <c r="P185" s="22" t="s">
        <v>41</v>
      </c>
      <c r="Q185" s="66"/>
      <c r="R185" s="24">
        <v>46357.0</v>
      </c>
      <c r="S185" s="24">
        <v>46331.0</v>
      </c>
      <c r="T185" s="22" t="s">
        <v>1205</v>
      </c>
      <c r="U185" s="22" t="s">
        <v>1205</v>
      </c>
      <c r="V185" s="56">
        <v>47668.0</v>
      </c>
      <c r="W185" s="56">
        <v>50523.0</v>
      </c>
      <c r="X185" s="22">
        <v>40422.0</v>
      </c>
      <c r="Y185" s="22">
        <v>40000.0</v>
      </c>
      <c r="Z185" s="16">
        <f t="shared" si="1"/>
        <v>10523</v>
      </c>
      <c r="AA185" s="77"/>
      <c r="AB185" s="22" t="s">
        <v>42</v>
      </c>
      <c r="AC185" s="50" t="s">
        <v>1206</v>
      </c>
      <c r="AD185" s="27"/>
      <c r="AE185" s="27"/>
    </row>
    <row r="186" hidden="1">
      <c r="A186" s="19">
        <v>184.0</v>
      </c>
      <c r="B186" s="22" t="s">
        <v>1196</v>
      </c>
      <c r="C186" s="50" t="s">
        <v>1207</v>
      </c>
      <c r="D186" s="50" t="s">
        <v>1208</v>
      </c>
      <c r="E186" s="22" t="s">
        <v>86</v>
      </c>
      <c r="F186" s="50" t="s">
        <v>1209</v>
      </c>
      <c r="G186" s="50" t="s">
        <v>1210</v>
      </c>
      <c r="H186" s="22">
        <v>9.978677987E9</v>
      </c>
      <c r="I186" s="22">
        <v>7.990190149E9</v>
      </c>
      <c r="J186" s="25"/>
      <c r="K186" s="22">
        <v>31000.0</v>
      </c>
      <c r="L186" s="53" t="s">
        <v>336</v>
      </c>
      <c r="M186" s="22" t="s">
        <v>265</v>
      </c>
      <c r="N186" s="23" t="s">
        <v>39</v>
      </c>
      <c r="O186" s="22" t="s">
        <v>259</v>
      </c>
      <c r="P186" s="22" t="s">
        <v>41</v>
      </c>
      <c r="Q186" s="66"/>
      <c r="R186" s="22" t="s">
        <v>1211</v>
      </c>
      <c r="S186" s="22" t="s">
        <v>1212</v>
      </c>
      <c r="T186" s="22" t="s">
        <v>1213</v>
      </c>
      <c r="U186" s="22" t="s">
        <v>1214</v>
      </c>
      <c r="V186" s="53">
        <v>47189.0</v>
      </c>
      <c r="W186" s="53">
        <v>49971.0</v>
      </c>
      <c r="X186" s="22">
        <v>43729.0</v>
      </c>
      <c r="Y186" s="22">
        <v>43500.0</v>
      </c>
      <c r="Z186" s="42">
        <f t="shared" si="1"/>
        <v>6471</v>
      </c>
      <c r="AA186" s="17">
        <f>Y186-X186</f>
        <v>-229</v>
      </c>
      <c r="AB186" s="22" t="s">
        <v>42</v>
      </c>
      <c r="AC186" s="50" t="s">
        <v>1215</v>
      </c>
      <c r="AD186" s="27"/>
      <c r="AE186" s="27"/>
    </row>
    <row r="187" hidden="1">
      <c r="A187" s="21">
        <v>185.0</v>
      </c>
      <c r="B187" s="22" t="s">
        <v>1196</v>
      </c>
      <c r="C187" s="50" t="s">
        <v>1216</v>
      </c>
      <c r="D187" s="50" t="s">
        <v>1217</v>
      </c>
      <c r="E187" s="22" t="s">
        <v>69</v>
      </c>
      <c r="F187" s="50" t="s">
        <v>1218</v>
      </c>
      <c r="G187" s="50" t="s">
        <v>1219</v>
      </c>
      <c r="H187" s="22">
        <v>9.512515E9</v>
      </c>
      <c r="I187" s="22">
        <v>9.63867771E9</v>
      </c>
      <c r="J187" s="25"/>
      <c r="K187" s="22">
        <v>1197.0</v>
      </c>
      <c r="L187" s="53" t="s">
        <v>818</v>
      </c>
      <c r="M187" s="22" t="s">
        <v>98</v>
      </c>
      <c r="N187" s="23" t="s">
        <v>81</v>
      </c>
      <c r="O187" s="22" t="s">
        <v>140</v>
      </c>
      <c r="P187" s="22" t="s">
        <v>73</v>
      </c>
      <c r="Q187" s="66"/>
      <c r="R187" s="24">
        <v>49015.0</v>
      </c>
      <c r="S187" s="22" t="s">
        <v>1220</v>
      </c>
      <c r="T187" s="25"/>
      <c r="U187" s="22" t="s">
        <v>1214</v>
      </c>
      <c r="V187" s="56">
        <v>3476.0</v>
      </c>
      <c r="W187" s="56">
        <v>4102.0</v>
      </c>
      <c r="X187" s="22">
        <v>4000.0</v>
      </c>
      <c r="Y187" s="22">
        <v>4000.0</v>
      </c>
      <c r="Z187" s="16">
        <f t="shared" si="1"/>
        <v>102</v>
      </c>
      <c r="AA187" s="77"/>
      <c r="AB187" s="22" t="s">
        <v>42</v>
      </c>
      <c r="AC187" s="50" t="s">
        <v>1221</v>
      </c>
      <c r="AD187" s="27"/>
      <c r="AE187" s="27"/>
    </row>
    <row r="188" hidden="1">
      <c r="A188" s="21">
        <v>186.0</v>
      </c>
      <c r="B188" s="22" t="s">
        <v>1196</v>
      </c>
      <c r="C188" s="50" t="s">
        <v>1222</v>
      </c>
      <c r="D188" s="50" t="s">
        <v>1223</v>
      </c>
      <c r="E188" s="22" t="s">
        <v>53</v>
      </c>
      <c r="F188" s="50" t="s">
        <v>54</v>
      </c>
      <c r="G188" s="50" t="s">
        <v>1224</v>
      </c>
      <c r="H188" s="22">
        <v>9.978436826E9</v>
      </c>
      <c r="I188" s="22">
        <v>9.879583037E9</v>
      </c>
      <c r="J188" s="25"/>
      <c r="K188" s="22">
        <v>818.0</v>
      </c>
      <c r="L188" s="53" t="s">
        <v>818</v>
      </c>
      <c r="M188" s="22" t="s">
        <v>56</v>
      </c>
      <c r="N188" s="23" t="s">
        <v>39</v>
      </c>
      <c r="O188" s="22" t="s">
        <v>140</v>
      </c>
      <c r="P188" s="22" t="s">
        <v>57</v>
      </c>
      <c r="Q188" s="66"/>
      <c r="R188" s="22" t="s">
        <v>819</v>
      </c>
      <c r="S188" s="22" t="s">
        <v>684</v>
      </c>
      <c r="T188" s="24">
        <v>47119.0</v>
      </c>
      <c r="U188" s="25"/>
      <c r="V188" s="53">
        <v>7011.0</v>
      </c>
      <c r="W188" s="53">
        <v>8273.0</v>
      </c>
      <c r="X188" s="22">
        <v>6800.0</v>
      </c>
      <c r="Y188" s="22">
        <v>6500.0</v>
      </c>
      <c r="Z188" s="42">
        <f t="shared" si="1"/>
        <v>1773</v>
      </c>
      <c r="AA188" s="77"/>
      <c r="AB188" s="22" t="s">
        <v>42</v>
      </c>
      <c r="AC188" s="50" t="s">
        <v>1225</v>
      </c>
      <c r="AD188" s="21" t="s">
        <v>297</v>
      </c>
      <c r="AE188" s="27"/>
      <c r="AF188" s="59">
        <v>45728.0</v>
      </c>
      <c r="AG188" s="50" t="s">
        <v>298</v>
      </c>
    </row>
    <row r="189" hidden="1">
      <c r="A189" s="19">
        <v>187.0</v>
      </c>
      <c r="B189" s="22" t="s">
        <v>1196</v>
      </c>
      <c r="C189" s="50" t="s">
        <v>589</v>
      </c>
      <c r="D189" s="50" t="s">
        <v>1226</v>
      </c>
      <c r="E189" s="22" t="s">
        <v>591</v>
      </c>
      <c r="F189" s="50" t="s">
        <v>592</v>
      </c>
      <c r="G189" s="50" t="s">
        <v>593</v>
      </c>
      <c r="H189" s="22">
        <v>7.9907858E9</v>
      </c>
      <c r="I189" s="22">
        <v>9.879428428E9</v>
      </c>
      <c r="J189" s="25"/>
      <c r="K189" s="22">
        <v>1493.0</v>
      </c>
      <c r="L189" s="22" t="s">
        <v>1142</v>
      </c>
      <c r="M189" s="22" t="s">
        <v>265</v>
      </c>
      <c r="N189" s="23" t="s">
        <v>39</v>
      </c>
      <c r="O189" s="22" t="s">
        <v>311</v>
      </c>
      <c r="P189" s="22" t="s">
        <v>41</v>
      </c>
      <c r="Q189" s="66"/>
      <c r="R189" s="22" t="s">
        <v>594</v>
      </c>
      <c r="S189" s="22" t="s">
        <v>595</v>
      </c>
      <c r="T189" s="24">
        <v>47362.0</v>
      </c>
      <c r="U189" s="25"/>
      <c r="V189" s="53">
        <v>17660.0</v>
      </c>
      <c r="W189" s="53">
        <v>20839.0</v>
      </c>
      <c r="X189" s="22">
        <v>20041.0</v>
      </c>
      <c r="Y189" s="22">
        <v>19000.0</v>
      </c>
      <c r="Z189" s="42">
        <f t="shared" si="1"/>
        <v>1839</v>
      </c>
      <c r="AA189" s="17">
        <f>Y189-X189</f>
        <v>-1041</v>
      </c>
      <c r="AB189" s="22" t="s">
        <v>42</v>
      </c>
      <c r="AC189" s="50" t="s">
        <v>1227</v>
      </c>
      <c r="AD189" s="27"/>
      <c r="AE189" s="27"/>
    </row>
    <row r="190" hidden="1">
      <c r="A190" s="21">
        <v>188.0</v>
      </c>
      <c r="B190" s="22" t="s">
        <v>1196</v>
      </c>
      <c r="C190" s="50" t="s">
        <v>1228</v>
      </c>
      <c r="D190" s="50" t="s">
        <v>1229</v>
      </c>
      <c r="E190" s="22" t="s">
        <v>157</v>
      </c>
      <c r="F190" s="50" t="s">
        <v>137</v>
      </c>
      <c r="G190" s="50" t="s">
        <v>1230</v>
      </c>
      <c r="H190" s="22">
        <v>8.866800092E9</v>
      </c>
      <c r="I190" s="22">
        <v>9.904200092E9</v>
      </c>
      <c r="J190" s="25"/>
      <c r="K190" s="22">
        <v>1600.0</v>
      </c>
      <c r="L190" s="53" t="s">
        <v>818</v>
      </c>
      <c r="M190" s="22" t="s">
        <v>64</v>
      </c>
      <c r="N190" s="23" t="s">
        <v>39</v>
      </c>
      <c r="O190" s="22" t="s">
        <v>48</v>
      </c>
      <c r="P190" s="22" t="s">
        <v>41</v>
      </c>
      <c r="Q190" s="66"/>
      <c r="R190" s="22" t="s">
        <v>819</v>
      </c>
      <c r="S190" s="22" t="s">
        <v>1231</v>
      </c>
      <c r="T190" s="25"/>
      <c r="U190" s="25"/>
      <c r="V190" s="60">
        <v>19776.0</v>
      </c>
      <c r="W190" s="56">
        <v>21249.0</v>
      </c>
      <c r="X190" s="22">
        <v>13970.0</v>
      </c>
      <c r="Y190" s="22">
        <v>13000.0</v>
      </c>
      <c r="Z190" s="16">
        <f t="shared" si="1"/>
        <v>8249</v>
      </c>
      <c r="AA190" s="77"/>
      <c r="AB190" s="22" t="s">
        <v>42</v>
      </c>
      <c r="AC190" s="50" t="s">
        <v>1232</v>
      </c>
      <c r="AD190" s="27"/>
      <c r="AE190" s="27"/>
    </row>
    <row r="191" hidden="1">
      <c r="A191" s="21">
        <v>189.0</v>
      </c>
      <c r="B191" s="22" t="s">
        <v>1196</v>
      </c>
      <c r="C191" s="50" t="s">
        <v>1233</v>
      </c>
      <c r="D191" s="50" t="s">
        <v>1234</v>
      </c>
      <c r="E191" s="22" t="s">
        <v>157</v>
      </c>
      <c r="F191" s="50" t="s">
        <v>137</v>
      </c>
      <c r="G191" s="50" t="s">
        <v>1235</v>
      </c>
      <c r="H191" s="22">
        <v>7.984223804E9</v>
      </c>
      <c r="I191" s="22">
        <v>9.409254553E9</v>
      </c>
      <c r="J191" s="25"/>
      <c r="K191" s="22">
        <v>1600.0</v>
      </c>
      <c r="L191" s="22" t="s">
        <v>1142</v>
      </c>
      <c r="M191" s="22" t="s">
        <v>64</v>
      </c>
      <c r="N191" s="23" t="s">
        <v>39</v>
      </c>
      <c r="O191" s="22" t="s">
        <v>48</v>
      </c>
      <c r="P191" s="22" t="s">
        <v>41</v>
      </c>
      <c r="Q191" s="66"/>
      <c r="R191" s="22" t="s">
        <v>355</v>
      </c>
      <c r="S191" s="24">
        <v>45788.0</v>
      </c>
      <c r="T191" s="25"/>
      <c r="U191" s="25"/>
      <c r="V191" s="56">
        <v>19496.0</v>
      </c>
      <c r="W191" s="56">
        <v>20919.0</v>
      </c>
      <c r="X191" s="22">
        <v>13637.0</v>
      </c>
      <c r="Y191" s="22">
        <v>13000.0</v>
      </c>
      <c r="Z191" s="16">
        <f t="shared" si="1"/>
        <v>7919</v>
      </c>
      <c r="AA191" s="77"/>
      <c r="AB191" s="22" t="s">
        <v>42</v>
      </c>
      <c r="AC191" s="50" t="s">
        <v>1236</v>
      </c>
      <c r="AD191" s="21" t="s">
        <v>473</v>
      </c>
      <c r="AE191" s="27"/>
      <c r="AF191" s="59">
        <v>45728.0</v>
      </c>
      <c r="AG191" s="50" t="s">
        <v>298</v>
      </c>
    </row>
    <row r="192" hidden="1">
      <c r="A192" s="19">
        <v>190.0</v>
      </c>
      <c r="B192" s="22" t="s">
        <v>1196</v>
      </c>
      <c r="C192" s="76" t="s">
        <v>1237</v>
      </c>
      <c r="D192" s="50" t="s">
        <v>1238</v>
      </c>
      <c r="E192" s="22" t="s">
        <v>255</v>
      </c>
      <c r="F192" s="50" t="s">
        <v>1239</v>
      </c>
      <c r="G192" s="50" t="s">
        <v>1240</v>
      </c>
      <c r="H192" s="22">
        <v>9.426236304E9</v>
      </c>
      <c r="I192" s="22">
        <v>9.428836694E9</v>
      </c>
      <c r="J192" s="25"/>
      <c r="K192" s="22">
        <v>882.0</v>
      </c>
      <c r="L192" s="53" t="s">
        <v>818</v>
      </c>
      <c r="M192" s="22" t="s">
        <v>167</v>
      </c>
      <c r="N192" s="23" t="s">
        <v>39</v>
      </c>
      <c r="O192" s="22" t="s">
        <v>311</v>
      </c>
      <c r="P192" s="22" t="s">
        <v>57</v>
      </c>
      <c r="Q192" s="66"/>
      <c r="R192" s="22" t="s">
        <v>1241</v>
      </c>
      <c r="S192" s="22" t="s">
        <v>1242</v>
      </c>
      <c r="T192" s="25"/>
      <c r="U192" s="25"/>
      <c r="V192" s="56">
        <v>5772.28</v>
      </c>
      <c r="W192" s="53">
        <v>6227.0</v>
      </c>
      <c r="X192" s="22">
        <v>5300.0</v>
      </c>
      <c r="Y192" s="22">
        <v>4800.0</v>
      </c>
      <c r="Z192" s="42">
        <f t="shared" si="1"/>
        <v>1427</v>
      </c>
      <c r="AA192" s="17">
        <f>Y192-X192</f>
        <v>-500</v>
      </c>
      <c r="AB192" s="22" t="s">
        <v>42</v>
      </c>
      <c r="AC192" s="50" t="s">
        <v>1243</v>
      </c>
      <c r="AD192" s="27"/>
      <c r="AE192" s="27"/>
    </row>
    <row r="193" hidden="1">
      <c r="A193" s="21">
        <v>191.0</v>
      </c>
      <c r="B193" s="22" t="s">
        <v>1196</v>
      </c>
      <c r="C193" s="50" t="s">
        <v>1244</v>
      </c>
      <c r="D193" s="50" t="s">
        <v>1245</v>
      </c>
      <c r="E193" s="22" t="s">
        <v>157</v>
      </c>
      <c r="F193" s="50" t="s">
        <v>1246</v>
      </c>
      <c r="G193" s="50" t="s">
        <v>1247</v>
      </c>
      <c r="H193" s="22" t="s">
        <v>1248</v>
      </c>
      <c r="I193" s="22">
        <v>9.944777492E9</v>
      </c>
      <c r="J193" s="25"/>
      <c r="K193" s="22">
        <v>3425.0</v>
      </c>
      <c r="L193" s="53" t="s">
        <v>413</v>
      </c>
      <c r="M193" s="22" t="s">
        <v>167</v>
      </c>
      <c r="N193" s="23" t="s">
        <v>39</v>
      </c>
      <c r="O193" s="22" t="s">
        <v>140</v>
      </c>
      <c r="P193" s="22" t="s">
        <v>57</v>
      </c>
      <c r="Q193" s="66"/>
      <c r="R193" s="28">
        <v>46732.0</v>
      </c>
      <c r="S193" s="28">
        <v>46367.0</v>
      </c>
      <c r="T193" s="25"/>
      <c r="U193" s="25"/>
      <c r="V193" s="56">
        <v>17730.92</v>
      </c>
      <c r="W193" s="53">
        <v>18836.0</v>
      </c>
      <c r="X193" s="22">
        <v>13578.0</v>
      </c>
      <c r="Y193" s="22">
        <v>13500.0</v>
      </c>
      <c r="Z193" s="42">
        <f t="shared" si="1"/>
        <v>5336</v>
      </c>
      <c r="AA193" s="77"/>
      <c r="AB193" s="22" t="s">
        <v>42</v>
      </c>
      <c r="AC193" s="50" t="s">
        <v>1249</v>
      </c>
      <c r="AD193" s="27"/>
      <c r="AE193" s="27"/>
    </row>
    <row r="194" hidden="1">
      <c r="A194" s="21">
        <v>192.0</v>
      </c>
      <c r="B194" s="22" t="s">
        <v>1196</v>
      </c>
      <c r="C194" s="50" t="s">
        <v>1250</v>
      </c>
      <c r="D194" s="50" t="s">
        <v>1251</v>
      </c>
      <c r="E194" s="22" t="s">
        <v>86</v>
      </c>
      <c r="F194" s="50" t="s">
        <v>1252</v>
      </c>
      <c r="G194" s="50" t="s">
        <v>1253</v>
      </c>
      <c r="H194" s="22">
        <v>9.737526585E9</v>
      </c>
      <c r="I194" s="22">
        <v>9.87931764E9</v>
      </c>
      <c r="J194" s="25"/>
      <c r="K194" s="22">
        <v>16200.0</v>
      </c>
      <c r="L194" s="53" t="s">
        <v>818</v>
      </c>
      <c r="M194" s="22" t="s">
        <v>167</v>
      </c>
      <c r="N194" s="23" t="s">
        <v>39</v>
      </c>
      <c r="O194" s="22" t="s">
        <v>48</v>
      </c>
      <c r="P194" s="22" t="s">
        <v>57</v>
      </c>
      <c r="Q194" s="66"/>
      <c r="R194" s="22" t="s">
        <v>1254</v>
      </c>
      <c r="S194" s="22" t="s">
        <v>1255</v>
      </c>
      <c r="T194" s="22" t="s">
        <v>1256</v>
      </c>
      <c r="U194" s="25"/>
      <c r="V194" s="56">
        <v>37217.79</v>
      </c>
      <c r="W194" s="53">
        <v>39326.0</v>
      </c>
      <c r="X194" s="22">
        <v>33409.0</v>
      </c>
      <c r="Y194" s="22">
        <v>32500.0</v>
      </c>
      <c r="Z194" s="42">
        <f t="shared" si="1"/>
        <v>6826</v>
      </c>
      <c r="AA194" s="77"/>
      <c r="AB194" s="22" t="s">
        <v>42</v>
      </c>
      <c r="AC194" s="50" t="s">
        <v>1257</v>
      </c>
      <c r="AD194" s="27"/>
      <c r="AE194" s="27"/>
    </row>
    <row r="195" hidden="1">
      <c r="A195" s="19">
        <v>193.0</v>
      </c>
      <c r="B195" s="22" t="s">
        <v>1258</v>
      </c>
      <c r="C195" s="50" t="s">
        <v>1259</v>
      </c>
      <c r="D195" s="50" t="s">
        <v>1260</v>
      </c>
      <c r="E195" s="22" t="s">
        <v>53</v>
      </c>
      <c r="F195" s="50" t="s">
        <v>270</v>
      </c>
      <c r="G195" s="50" t="s">
        <v>1261</v>
      </c>
      <c r="H195" s="22">
        <v>9.73777464E9</v>
      </c>
      <c r="I195" s="22">
        <v>9.974383179E9</v>
      </c>
      <c r="J195" s="25"/>
      <c r="K195" s="22">
        <v>818.0</v>
      </c>
      <c r="L195" s="53" t="s">
        <v>818</v>
      </c>
      <c r="M195" s="22" t="s">
        <v>56</v>
      </c>
      <c r="N195" s="23" t="s">
        <v>39</v>
      </c>
      <c r="O195" s="22" t="s">
        <v>106</v>
      </c>
      <c r="P195" s="22" t="s">
        <v>57</v>
      </c>
      <c r="Q195" s="66"/>
      <c r="R195" s="22" t="s">
        <v>1164</v>
      </c>
      <c r="S195" s="22" t="s">
        <v>988</v>
      </c>
      <c r="T195" s="24">
        <v>46855.0</v>
      </c>
      <c r="U195" s="25"/>
      <c r="V195" s="53">
        <v>6339.0</v>
      </c>
      <c r="W195" s="53">
        <v>7481.0</v>
      </c>
      <c r="X195" s="22">
        <v>6500.0</v>
      </c>
      <c r="Y195" s="22">
        <v>6500.0</v>
      </c>
      <c r="Z195" s="42">
        <f t="shared" si="1"/>
        <v>981</v>
      </c>
      <c r="AA195" s="17">
        <f t="shared" ref="AA195:AA197" si="6">Y195-X195</f>
        <v>0</v>
      </c>
      <c r="AB195" s="22" t="s">
        <v>42</v>
      </c>
      <c r="AC195" s="50" t="s">
        <v>1262</v>
      </c>
      <c r="AD195" s="27"/>
      <c r="AE195" s="27"/>
    </row>
    <row r="196" hidden="1">
      <c r="A196" s="21">
        <v>194.0</v>
      </c>
      <c r="B196" s="22" t="s">
        <v>1258</v>
      </c>
      <c r="C196" s="50" t="s">
        <v>1263</v>
      </c>
      <c r="D196" s="50" t="s">
        <v>1264</v>
      </c>
      <c r="E196" s="22" t="s">
        <v>157</v>
      </c>
      <c r="F196" s="50" t="s">
        <v>1265</v>
      </c>
      <c r="G196" s="50" t="s">
        <v>1266</v>
      </c>
      <c r="H196" s="22">
        <v>8.84938555E9</v>
      </c>
      <c r="I196" s="22">
        <v>7.984757284E9</v>
      </c>
      <c r="J196" s="25"/>
      <c r="K196" s="22">
        <v>2620.0</v>
      </c>
      <c r="L196" s="53" t="s">
        <v>336</v>
      </c>
      <c r="M196" s="22" t="s">
        <v>38</v>
      </c>
      <c r="N196" s="23" t="s">
        <v>39</v>
      </c>
      <c r="O196" s="22" t="s">
        <v>259</v>
      </c>
      <c r="P196" s="22" t="s">
        <v>41</v>
      </c>
      <c r="Q196" s="66"/>
      <c r="R196" s="24">
        <v>46034.0</v>
      </c>
      <c r="S196" s="22" t="s">
        <v>1267</v>
      </c>
      <c r="T196" s="25"/>
      <c r="U196" s="25"/>
      <c r="V196" s="56">
        <v>17311.0</v>
      </c>
      <c r="W196" s="56">
        <v>18329.0</v>
      </c>
      <c r="X196" s="22">
        <v>12462.0</v>
      </c>
      <c r="Y196" s="22">
        <v>12500.0</v>
      </c>
      <c r="Z196" s="16">
        <f t="shared" si="1"/>
        <v>5829</v>
      </c>
      <c r="AA196" s="17">
        <f t="shared" si="6"/>
        <v>38</v>
      </c>
      <c r="AB196" s="22" t="s">
        <v>42</v>
      </c>
      <c r="AC196" s="50" t="s">
        <v>1268</v>
      </c>
      <c r="AD196" s="27"/>
      <c r="AE196" s="27"/>
    </row>
    <row r="197" hidden="1">
      <c r="A197" s="21">
        <v>195.0</v>
      </c>
      <c r="B197" s="22" t="s">
        <v>1258</v>
      </c>
      <c r="C197" s="50" t="s">
        <v>1269</v>
      </c>
      <c r="D197" s="50" t="s">
        <v>1270</v>
      </c>
      <c r="E197" s="22" t="s">
        <v>591</v>
      </c>
      <c r="F197" s="50" t="s">
        <v>1271</v>
      </c>
      <c r="G197" s="50" t="s">
        <v>1272</v>
      </c>
      <c r="H197" s="22">
        <v>7.046358458E9</v>
      </c>
      <c r="I197" s="22">
        <v>7.046806587E9</v>
      </c>
      <c r="J197" s="25"/>
      <c r="K197" s="22">
        <v>2220.0</v>
      </c>
      <c r="L197" s="53" t="s">
        <v>97</v>
      </c>
      <c r="M197" s="22" t="s">
        <v>265</v>
      </c>
      <c r="N197" s="23" t="s">
        <v>39</v>
      </c>
      <c r="O197" s="22" t="s">
        <v>337</v>
      </c>
      <c r="P197" s="22" t="s">
        <v>41</v>
      </c>
      <c r="Q197" s="66"/>
      <c r="R197" s="22" t="s">
        <v>1164</v>
      </c>
      <c r="S197" s="22" t="s">
        <v>786</v>
      </c>
      <c r="T197" s="22" t="s">
        <v>1273</v>
      </c>
      <c r="U197" s="25"/>
      <c r="V197" s="53">
        <v>17754.0</v>
      </c>
      <c r="W197" s="53">
        <v>20950.0</v>
      </c>
      <c r="X197" s="22">
        <v>20000.0</v>
      </c>
      <c r="Y197" s="22">
        <v>20000.0</v>
      </c>
      <c r="Z197" s="42">
        <f t="shared" si="1"/>
        <v>950</v>
      </c>
      <c r="AA197" s="17">
        <f t="shared" si="6"/>
        <v>0</v>
      </c>
      <c r="AB197" s="22" t="s">
        <v>42</v>
      </c>
      <c r="AC197" s="50" t="s">
        <v>1274</v>
      </c>
      <c r="AD197" s="27"/>
      <c r="AE197" s="27"/>
    </row>
    <row r="198">
      <c r="A198" s="19">
        <v>196.0</v>
      </c>
      <c r="B198" s="22" t="s">
        <v>1258</v>
      </c>
      <c r="C198" s="50" t="s">
        <v>1275</v>
      </c>
      <c r="D198" s="50" t="s">
        <v>1276</v>
      </c>
      <c r="E198" s="22" t="s">
        <v>86</v>
      </c>
      <c r="F198" s="50" t="s">
        <v>643</v>
      </c>
      <c r="G198" s="50" t="s">
        <v>1277</v>
      </c>
      <c r="H198" s="22">
        <v>9.60111105E8</v>
      </c>
      <c r="I198" s="22">
        <v>7.567979531E9</v>
      </c>
      <c r="J198" s="25"/>
      <c r="K198" s="50">
        <v>28000.0</v>
      </c>
      <c r="L198" s="53" t="s">
        <v>97</v>
      </c>
      <c r="M198" s="22" t="s">
        <v>38</v>
      </c>
      <c r="N198" s="23" t="s">
        <v>39</v>
      </c>
      <c r="O198" s="22" t="s">
        <v>1278</v>
      </c>
      <c r="P198" s="22" t="s">
        <v>41</v>
      </c>
      <c r="Q198" s="66"/>
      <c r="R198" s="22" t="s">
        <v>1279</v>
      </c>
      <c r="S198" s="22" t="s">
        <v>1280</v>
      </c>
      <c r="T198" s="22" t="s">
        <v>1281</v>
      </c>
      <c r="U198" s="25"/>
      <c r="V198" s="56">
        <v>49846.0</v>
      </c>
      <c r="W198" s="56">
        <v>53092.0</v>
      </c>
      <c r="X198" s="22">
        <v>42000.0</v>
      </c>
      <c r="Y198" s="22">
        <v>42000.0</v>
      </c>
      <c r="Z198" s="16">
        <f t="shared" si="1"/>
        <v>11092</v>
      </c>
      <c r="AA198" s="77"/>
      <c r="AB198" s="22" t="s">
        <v>42</v>
      </c>
      <c r="AC198" s="50" t="s">
        <v>1282</v>
      </c>
      <c r="AD198" s="27"/>
      <c r="AE198" s="27"/>
    </row>
    <row r="199" hidden="1">
      <c r="A199" s="21">
        <v>197.0</v>
      </c>
      <c r="B199" s="22" t="s">
        <v>1258</v>
      </c>
      <c r="C199" s="50" t="s">
        <v>1283</v>
      </c>
      <c r="D199" s="50" t="s">
        <v>1284</v>
      </c>
      <c r="E199" s="22" t="s">
        <v>157</v>
      </c>
      <c r="F199" s="50" t="s">
        <v>1051</v>
      </c>
      <c r="G199" s="50" t="s">
        <v>1285</v>
      </c>
      <c r="H199" s="22">
        <v>7.984018698E9</v>
      </c>
      <c r="I199" s="22">
        <v>9.601430581E9</v>
      </c>
      <c r="J199" s="25"/>
      <c r="K199" s="22">
        <v>2825.0</v>
      </c>
      <c r="L199" s="53" t="s">
        <v>97</v>
      </c>
      <c r="M199" s="22" t="s">
        <v>38</v>
      </c>
      <c r="N199" s="23" t="s">
        <v>39</v>
      </c>
      <c r="O199" s="22" t="s">
        <v>48</v>
      </c>
      <c r="P199" s="22" t="s">
        <v>57</v>
      </c>
      <c r="Q199" s="66"/>
      <c r="R199" s="22" t="s">
        <v>1164</v>
      </c>
      <c r="S199" s="22" t="s">
        <v>129</v>
      </c>
      <c r="T199" s="25"/>
      <c r="U199" s="25"/>
      <c r="V199" s="56">
        <v>20030.0</v>
      </c>
      <c r="W199" s="56">
        <v>21539.0</v>
      </c>
      <c r="X199" s="22">
        <v>14582.0</v>
      </c>
      <c r="Y199" s="22">
        <v>15000.0</v>
      </c>
      <c r="Z199" s="16">
        <f t="shared" si="1"/>
        <v>6539</v>
      </c>
      <c r="AA199" s="77"/>
      <c r="AB199" s="22" t="s">
        <v>42</v>
      </c>
      <c r="AC199" s="50" t="s">
        <v>1286</v>
      </c>
      <c r="AD199" s="27"/>
      <c r="AE199" s="27"/>
    </row>
    <row r="200" hidden="1">
      <c r="A200" s="21">
        <v>198.0</v>
      </c>
      <c r="B200" s="22" t="s">
        <v>1258</v>
      </c>
      <c r="C200" s="50" t="s">
        <v>1287</v>
      </c>
      <c r="D200" s="51">
        <v>6.203804167E9</v>
      </c>
      <c r="E200" s="22" t="s">
        <v>69</v>
      </c>
      <c r="F200" s="50" t="s">
        <v>1288</v>
      </c>
      <c r="G200" s="50" t="s">
        <v>1289</v>
      </c>
      <c r="H200" s="22" t="s">
        <v>1290</v>
      </c>
      <c r="I200" s="22">
        <v>9.82430078E9</v>
      </c>
      <c r="J200" s="25"/>
      <c r="K200" s="22">
        <v>1197.0</v>
      </c>
      <c r="L200" s="53" t="s">
        <v>97</v>
      </c>
      <c r="M200" s="22" t="s">
        <v>56</v>
      </c>
      <c r="N200" s="23" t="s">
        <v>39</v>
      </c>
      <c r="O200" s="22" t="s">
        <v>48</v>
      </c>
      <c r="P200" s="22" t="s">
        <v>41</v>
      </c>
      <c r="Q200" s="66"/>
      <c r="R200" s="22" t="s">
        <v>1291</v>
      </c>
      <c r="S200" s="24">
        <v>46204.0</v>
      </c>
      <c r="T200" s="25"/>
      <c r="U200" s="25"/>
      <c r="V200" s="53">
        <v>5015.0</v>
      </c>
      <c r="W200" s="53">
        <v>5917.0</v>
      </c>
      <c r="X200" s="22">
        <v>5916.0</v>
      </c>
      <c r="Y200" s="22">
        <v>5900.0</v>
      </c>
      <c r="Z200" s="42">
        <f t="shared" si="1"/>
        <v>17</v>
      </c>
      <c r="AA200" s="77"/>
      <c r="AB200" s="22" t="s">
        <v>42</v>
      </c>
      <c r="AC200" s="50" t="s">
        <v>1292</v>
      </c>
      <c r="AD200" s="21" t="s">
        <v>671</v>
      </c>
      <c r="AE200" s="27"/>
      <c r="AF200" s="50" t="s">
        <v>632</v>
      </c>
      <c r="AG200" s="50" t="s">
        <v>298</v>
      </c>
    </row>
    <row r="201" hidden="1">
      <c r="A201" s="19">
        <v>199.0</v>
      </c>
      <c r="B201" s="22" t="s">
        <v>1258</v>
      </c>
      <c r="C201" s="50" t="s">
        <v>1293</v>
      </c>
      <c r="D201" s="50" t="s">
        <v>1294</v>
      </c>
      <c r="E201" s="22" t="s">
        <v>157</v>
      </c>
      <c r="F201" s="50" t="s">
        <v>694</v>
      </c>
      <c r="G201" s="50" t="s">
        <v>1295</v>
      </c>
      <c r="H201" s="22">
        <v>9.662560197E9</v>
      </c>
      <c r="I201" s="22">
        <v>9.726503068E9</v>
      </c>
      <c r="J201" s="25"/>
      <c r="K201" s="22">
        <v>1600.0</v>
      </c>
      <c r="L201" s="53" t="s">
        <v>97</v>
      </c>
      <c r="M201" s="22" t="s">
        <v>265</v>
      </c>
      <c r="N201" s="23" t="s">
        <v>39</v>
      </c>
      <c r="O201" s="22" t="s">
        <v>140</v>
      </c>
      <c r="P201" s="22" t="s">
        <v>41</v>
      </c>
      <c r="Q201" s="66"/>
      <c r="R201" s="22" t="s">
        <v>696</v>
      </c>
      <c r="S201" s="22" t="s">
        <v>355</v>
      </c>
      <c r="T201" s="25"/>
      <c r="U201" s="25"/>
      <c r="V201" s="53">
        <v>19908.0</v>
      </c>
      <c r="W201" s="53">
        <v>21406.0</v>
      </c>
      <c r="X201" s="22">
        <v>14263.0</v>
      </c>
      <c r="Y201" s="22">
        <v>14000.0</v>
      </c>
      <c r="Z201" s="42">
        <f t="shared" si="1"/>
        <v>7406</v>
      </c>
      <c r="AA201" s="77"/>
      <c r="AB201" s="22" t="s">
        <v>42</v>
      </c>
      <c r="AC201" s="50" t="s">
        <v>1296</v>
      </c>
      <c r="AD201" s="21" t="s">
        <v>671</v>
      </c>
      <c r="AE201" s="27"/>
      <c r="AF201" s="50" t="s">
        <v>672</v>
      </c>
      <c r="AG201" s="50" t="s">
        <v>298</v>
      </c>
    </row>
    <row r="202" hidden="1">
      <c r="A202" s="21">
        <v>200.0</v>
      </c>
      <c r="B202" s="22" t="s">
        <v>1258</v>
      </c>
      <c r="C202" s="50" t="s">
        <v>1297</v>
      </c>
      <c r="D202" s="50" t="s">
        <v>1298</v>
      </c>
      <c r="E202" s="22" t="s">
        <v>591</v>
      </c>
      <c r="F202" s="50" t="s">
        <v>1299</v>
      </c>
      <c r="G202" s="50" t="s">
        <v>1300</v>
      </c>
      <c r="H202" s="22">
        <v>9.825488327E9</v>
      </c>
      <c r="I202" s="22">
        <v>8.780993603E9</v>
      </c>
      <c r="J202" s="25"/>
      <c r="K202" s="22">
        <v>1820.0</v>
      </c>
      <c r="L202" s="53" t="s">
        <v>929</v>
      </c>
      <c r="M202" s="22" t="s">
        <v>265</v>
      </c>
      <c r="N202" s="23" t="s">
        <v>39</v>
      </c>
      <c r="O202" s="22" t="s">
        <v>337</v>
      </c>
      <c r="P202" s="22" t="s">
        <v>41</v>
      </c>
      <c r="Q202" s="66"/>
      <c r="R202" s="22" t="s">
        <v>529</v>
      </c>
      <c r="S202" s="22" t="s">
        <v>1105</v>
      </c>
      <c r="T202" s="24">
        <v>47161.0</v>
      </c>
      <c r="U202" s="25"/>
      <c r="V202" s="53">
        <v>28011.0</v>
      </c>
      <c r="W202" s="53">
        <v>33053.0</v>
      </c>
      <c r="X202" s="22">
        <v>30000.0</v>
      </c>
      <c r="Y202" s="22">
        <v>30000.0</v>
      </c>
      <c r="Z202" s="42">
        <f t="shared" si="1"/>
        <v>3053</v>
      </c>
      <c r="AA202" s="17">
        <f t="shared" ref="AA202:AA203" si="7">Y202-X202</f>
        <v>0</v>
      </c>
      <c r="AB202" s="22" t="s">
        <v>42</v>
      </c>
      <c r="AC202" s="50" t="s">
        <v>1301</v>
      </c>
      <c r="AD202" s="27"/>
      <c r="AE202" s="27"/>
    </row>
    <row r="203" hidden="1">
      <c r="A203" s="21">
        <v>201.0</v>
      </c>
      <c r="B203" s="22" t="s">
        <v>1258</v>
      </c>
      <c r="C203" s="50" t="s">
        <v>1302</v>
      </c>
      <c r="D203" s="50" t="s">
        <v>1303</v>
      </c>
      <c r="E203" s="22" t="s">
        <v>69</v>
      </c>
      <c r="F203" s="50" t="s">
        <v>1304</v>
      </c>
      <c r="G203" s="50" t="s">
        <v>1305</v>
      </c>
      <c r="H203" s="22" t="s">
        <v>1306</v>
      </c>
      <c r="I203" s="22" t="s">
        <v>1307</v>
      </c>
      <c r="J203" s="25"/>
      <c r="K203" s="22">
        <v>1196.0</v>
      </c>
      <c r="L203" s="53" t="s">
        <v>97</v>
      </c>
      <c r="M203" s="22" t="s">
        <v>64</v>
      </c>
      <c r="N203" s="23" t="s">
        <v>39</v>
      </c>
      <c r="O203" s="22" t="s">
        <v>223</v>
      </c>
      <c r="P203" s="22" t="s">
        <v>73</v>
      </c>
      <c r="Q203" s="22"/>
      <c r="R203" s="24">
        <v>48799.0</v>
      </c>
      <c r="S203" s="24">
        <v>46358.0</v>
      </c>
      <c r="T203" s="25"/>
      <c r="U203" s="25"/>
      <c r="V203" s="56">
        <v>8811.0</v>
      </c>
      <c r="W203" s="56">
        <v>10397.0</v>
      </c>
      <c r="X203" s="22">
        <v>10615.0</v>
      </c>
      <c r="Y203" s="22">
        <v>10615.0</v>
      </c>
      <c r="Z203" s="16">
        <f t="shared" si="1"/>
        <v>-218</v>
      </c>
      <c r="AA203" s="17">
        <f t="shared" si="7"/>
        <v>0</v>
      </c>
      <c r="AB203" s="22" t="s">
        <v>42</v>
      </c>
      <c r="AC203" s="50" t="s">
        <v>1308</v>
      </c>
      <c r="AD203" s="21" t="s">
        <v>1309</v>
      </c>
      <c r="AE203" s="27"/>
      <c r="AF203" s="50" t="s">
        <v>550</v>
      </c>
      <c r="AG203" s="50" t="s">
        <v>298</v>
      </c>
    </row>
    <row r="204" hidden="1">
      <c r="A204" s="19">
        <v>202.0</v>
      </c>
      <c r="B204" s="22" t="s">
        <v>1310</v>
      </c>
      <c r="C204" s="50" t="s">
        <v>1311</v>
      </c>
      <c r="D204" s="50" t="s">
        <v>1312</v>
      </c>
      <c r="E204" s="22" t="s">
        <v>86</v>
      </c>
      <c r="F204" s="50" t="s">
        <v>1313</v>
      </c>
      <c r="G204" s="50" t="s">
        <v>1314</v>
      </c>
      <c r="H204" s="22">
        <v>9.724860034E9</v>
      </c>
      <c r="I204" s="22">
        <v>8.128110812E9</v>
      </c>
      <c r="J204" s="25"/>
      <c r="K204" s="22">
        <v>42000.0</v>
      </c>
      <c r="L204" s="53" t="s">
        <v>97</v>
      </c>
      <c r="M204" s="22" t="s">
        <v>64</v>
      </c>
      <c r="N204" s="23" t="s">
        <v>39</v>
      </c>
      <c r="O204" s="22" t="s">
        <v>48</v>
      </c>
      <c r="P204" s="22" t="s">
        <v>57</v>
      </c>
      <c r="Q204" s="66"/>
      <c r="R204" s="24">
        <v>46144.0</v>
      </c>
      <c r="S204" s="22" t="s">
        <v>940</v>
      </c>
      <c r="T204" s="25"/>
      <c r="U204" s="25"/>
      <c r="V204" s="56">
        <v>47964.0</v>
      </c>
      <c r="W204" s="56">
        <v>50846.0</v>
      </c>
      <c r="X204" s="22">
        <v>43896.0</v>
      </c>
      <c r="Y204" s="22">
        <v>45500.0</v>
      </c>
      <c r="Z204" s="16">
        <f t="shared" si="1"/>
        <v>5346</v>
      </c>
      <c r="AA204" s="77"/>
      <c r="AB204" s="22" t="s">
        <v>42</v>
      </c>
      <c r="AC204" s="50" t="s">
        <v>1315</v>
      </c>
      <c r="AD204" s="27"/>
      <c r="AE204" s="27"/>
    </row>
    <row r="205" hidden="1">
      <c r="A205" s="21">
        <v>203.0</v>
      </c>
      <c r="B205" s="22" t="s">
        <v>1310</v>
      </c>
      <c r="C205" s="50" t="s">
        <v>1316</v>
      </c>
      <c r="D205" s="50" t="s">
        <v>1317</v>
      </c>
      <c r="E205" s="22" t="s">
        <v>157</v>
      </c>
      <c r="F205" s="50" t="s">
        <v>1318</v>
      </c>
      <c r="G205" s="50" t="s">
        <v>1319</v>
      </c>
      <c r="H205" s="22">
        <v>9.723139472E9</v>
      </c>
      <c r="I205" s="22">
        <v>9.824822243E9</v>
      </c>
      <c r="J205" s="25"/>
      <c r="K205" s="22">
        <v>3490.0</v>
      </c>
      <c r="L205" s="53" t="s">
        <v>97</v>
      </c>
      <c r="M205" s="22" t="s">
        <v>38</v>
      </c>
      <c r="N205" s="23" t="s">
        <v>39</v>
      </c>
      <c r="O205" s="22" t="s">
        <v>48</v>
      </c>
      <c r="P205" s="22" t="s">
        <v>187</v>
      </c>
      <c r="Q205" s="66"/>
      <c r="R205" s="22" t="s">
        <v>1320</v>
      </c>
      <c r="S205" s="22" t="s">
        <v>1267</v>
      </c>
      <c r="T205" s="24">
        <v>46966.0</v>
      </c>
      <c r="U205" s="25"/>
      <c r="V205" s="56">
        <v>21383.0</v>
      </c>
      <c r="W205" s="56">
        <v>23136.0</v>
      </c>
      <c r="X205" s="22">
        <v>14767.0</v>
      </c>
      <c r="Y205" s="25"/>
      <c r="Z205" s="16">
        <f t="shared" si="1"/>
        <v>23136</v>
      </c>
      <c r="AA205" s="77"/>
      <c r="AB205" s="22" t="s">
        <v>42</v>
      </c>
      <c r="AC205" s="50" t="s">
        <v>1321</v>
      </c>
      <c r="AD205" s="21" t="s">
        <v>671</v>
      </c>
      <c r="AE205" s="27"/>
      <c r="AF205" s="50" t="s">
        <v>672</v>
      </c>
      <c r="AG205" s="50" t="s">
        <v>298</v>
      </c>
    </row>
    <row r="206" hidden="1">
      <c r="A206" s="21">
        <v>204.0</v>
      </c>
      <c r="B206" s="22" t="s">
        <v>1310</v>
      </c>
      <c r="C206" s="50" t="s">
        <v>1322</v>
      </c>
      <c r="D206" s="50" t="s">
        <v>1323</v>
      </c>
      <c r="E206" s="22" t="s">
        <v>157</v>
      </c>
      <c r="F206" s="50" t="s">
        <v>1324</v>
      </c>
      <c r="G206" s="50" t="s">
        <v>1325</v>
      </c>
      <c r="H206" s="22">
        <v>9.574850735E9</v>
      </c>
      <c r="I206" s="22">
        <v>9.904630495E9</v>
      </c>
      <c r="J206" s="25"/>
      <c r="K206" s="22">
        <v>2825.0</v>
      </c>
      <c r="L206" s="53" t="s">
        <v>929</v>
      </c>
      <c r="M206" s="22" t="s">
        <v>38</v>
      </c>
      <c r="N206" s="23" t="s">
        <v>39</v>
      </c>
      <c r="O206" s="22" t="s">
        <v>48</v>
      </c>
      <c r="P206" s="22" t="s">
        <v>187</v>
      </c>
      <c r="Q206" s="66"/>
      <c r="R206" s="22" t="s">
        <v>65</v>
      </c>
      <c r="S206" s="28">
        <v>46246.0</v>
      </c>
      <c r="T206" s="25"/>
      <c r="U206" s="25"/>
      <c r="V206" s="56">
        <v>19832.0</v>
      </c>
      <c r="W206" s="56">
        <v>21304.0</v>
      </c>
      <c r="X206" s="22">
        <v>14417.0</v>
      </c>
      <c r="Y206" s="22">
        <v>15500.0</v>
      </c>
      <c r="Z206" s="16">
        <f t="shared" si="1"/>
        <v>5804</v>
      </c>
      <c r="AA206" s="77"/>
      <c r="AB206" s="22" t="s">
        <v>42</v>
      </c>
      <c r="AC206" s="50" t="s">
        <v>1326</v>
      </c>
      <c r="AD206" s="27"/>
      <c r="AE206" s="27"/>
    </row>
    <row r="207" hidden="1">
      <c r="A207" s="19">
        <v>205.0</v>
      </c>
      <c r="B207" s="22" t="s">
        <v>1310</v>
      </c>
      <c r="C207" s="50" t="s">
        <v>1327</v>
      </c>
      <c r="D207" s="50" t="s">
        <v>1328</v>
      </c>
      <c r="E207" s="22" t="s">
        <v>69</v>
      </c>
      <c r="F207" s="50" t="s">
        <v>1329</v>
      </c>
      <c r="G207" s="50" t="s">
        <v>1330</v>
      </c>
      <c r="H207" s="22">
        <v>9.712233676E9</v>
      </c>
      <c r="I207" s="25"/>
      <c r="J207" s="25"/>
      <c r="K207" s="22">
        <v>1196.0</v>
      </c>
      <c r="L207" s="53" t="s">
        <v>1331</v>
      </c>
      <c r="M207" s="22" t="s">
        <v>249</v>
      </c>
      <c r="N207" s="23" t="s">
        <v>81</v>
      </c>
      <c r="O207" s="22" t="s">
        <v>352</v>
      </c>
      <c r="P207" s="22" t="s">
        <v>73</v>
      </c>
      <c r="Q207" s="66"/>
      <c r="R207" s="28">
        <v>49593.0</v>
      </c>
      <c r="S207" s="22" t="s">
        <v>786</v>
      </c>
      <c r="T207" s="25"/>
      <c r="U207" s="25"/>
      <c r="V207" s="53">
        <v>4091.0</v>
      </c>
      <c r="W207" s="53">
        <v>4827.38</v>
      </c>
      <c r="X207" s="22">
        <v>4800.0</v>
      </c>
      <c r="Y207" s="22">
        <v>4700.0</v>
      </c>
      <c r="Z207" s="42">
        <f t="shared" si="1"/>
        <v>127.38</v>
      </c>
      <c r="AA207" s="17">
        <f>Y207-X207</f>
        <v>-100</v>
      </c>
      <c r="AB207" s="22" t="s">
        <v>42</v>
      </c>
      <c r="AC207" s="50" t="s">
        <v>1332</v>
      </c>
      <c r="AD207" s="27"/>
      <c r="AE207" s="27"/>
    </row>
    <row r="208" hidden="1">
      <c r="A208" s="21">
        <v>206.0</v>
      </c>
      <c r="B208" s="22" t="s">
        <v>1310</v>
      </c>
      <c r="C208" s="50" t="s">
        <v>1333</v>
      </c>
      <c r="D208" s="50" t="s">
        <v>1334</v>
      </c>
      <c r="E208" s="22" t="s">
        <v>78</v>
      </c>
      <c r="F208" s="50" t="s">
        <v>1335</v>
      </c>
      <c r="G208" s="50" t="s">
        <v>1336</v>
      </c>
      <c r="H208" s="22">
        <v>9.99807E8</v>
      </c>
      <c r="I208" s="22">
        <v>8.448271621E9</v>
      </c>
      <c r="J208" s="25"/>
      <c r="K208" s="22">
        <v>2300.0</v>
      </c>
      <c r="L208" s="53" t="s">
        <v>336</v>
      </c>
      <c r="M208" s="22" t="s">
        <v>265</v>
      </c>
      <c r="N208" s="23" t="s">
        <v>39</v>
      </c>
      <c r="O208" s="22" t="s">
        <v>48</v>
      </c>
      <c r="P208" s="22" t="s">
        <v>41</v>
      </c>
      <c r="Q208" s="66"/>
      <c r="R208" s="22" t="s">
        <v>303</v>
      </c>
      <c r="S208" s="24">
        <v>45782.0</v>
      </c>
      <c r="T208" s="25"/>
      <c r="U208" s="25"/>
      <c r="V208" s="53">
        <v>9235.0</v>
      </c>
      <c r="W208" s="53">
        <v>10897.0</v>
      </c>
      <c r="X208" s="22">
        <v>10897.0</v>
      </c>
      <c r="Y208" s="22">
        <v>10897.0</v>
      </c>
      <c r="Z208" s="42">
        <f t="shared" si="1"/>
        <v>0</v>
      </c>
      <c r="AA208" s="77"/>
      <c r="AB208" s="22" t="s">
        <v>42</v>
      </c>
      <c r="AC208" s="50" t="s">
        <v>1337</v>
      </c>
      <c r="AD208" s="27"/>
      <c r="AE208" s="27"/>
    </row>
    <row r="209" hidden="1">
      <c r="A209" s="21">
        <v>207.0</v>
      </c>
      <c r="B209" s="22" t="s">
        <v>1310</v>
      </c>
      <c r="C209" s="50" t="s">
        <v>1338</v>
      </c>
      <c r="D209" s="50" t="s">
        <v>1339</v>
      </c>
      <c r="E209" s="22" t="s">
        <v>53</v>
      </c>
      <c r="F209" s="50" t="s">
        <v>241</v>
      </c>
      <c r="G209" s="50" t="s">
        <v>1340</v>
      </c>
      <c r="H209" s="22">
        <v>9.824554865E9</v>
      </c>
      <c r="I209" s="22">
        <v>8.530298302E9</v>
      </c>
      <c r="J209" s="25"/>
      <c r="K209" s="22">
        <v>681.0</v>
      </c>
      <c r="L209" s="53" t="s">
        <v>1331</v>
      </c>
      <c r="M209" s="22" t="s">
        <v>153</v>
      </c>
      <c r="N209" s="23" t="s">
        <v>39</v>
      </c>
      <c r="O209" s="22" t="s">
        <v>140</v>
      </c>
      <c r="P209" s="22" t="s">
        <v>57</v>
      </c>
      <c r="Q209" s="66"/>
      <c r="R209" s="22" t="s">
        <v>696</v>
      </c>
      <c r="S209" s="22" t="s">
        <v>470</v>
      </c>
      <c r="T209" s="25"/>
      <c r="U209" s="25"/>
      <c r="V209" s="53">
        <v>6090.85</v>
      </c>
      <c r="W209" s="53">
        <v>7187.21</v>
      </c>
      <c r="X209" s="22">
        <v>6500.0</v>
      </c>
      <c r="Y209" s="22">
        <v>6500.0</v>
      </c>
      <c r="Z209" s="42">
        <f t="shared" si="1"/>
        <v>687.21</v>
      </c>
      <c r="AA209" s="77"/>
      <c r="AB209" s="22" t="s">
        <v>42</v>
      </c>
      <c r="AC209" s="50" t="s">
        <v>1341</v>
      </c>
      <c r="AD209" s="21" t="s">
        <v>473</v>
      </c>
      <c r="AE209" s="27"/>
      <c r="AF209" s="59">
        <v>45912.0</v>
      </c>
      <c r="AG209" s="50" t="s">
        <v>475</v>
      </c>
    </row>
    <row r="210" hidden="1">
      <c r="A210" s="19">
        <v>208.0</v>
      </c>
      <c r="B210" s="22" t="s">
        <v>1310</v>
      </c>
      <c r="C210" s="50" t="s">
        <v>1342</v>
      </c>
      <c r="D210" s="50" t="s">
        <v>1343</v>
      </c>
      <c r="E210" s="22" t="s">
        <v>78</v>
      </c>
      <c r="F210" s="50" t="s">
        <v>1344</v>
      </c>
      <c r="G210" s="50" t="s">
        <v>1345</v>
      </c>
      <c r="H210" s="22">
        <v>9.824049753E9</v>
      </c>
      <c r="I210" s="22">
        <v>8.905217399E9</v>
      </c>
      <c r="J210" s="25"/>
      <c r="K210" s="22">
        <v>2734.0</v>
      </c>
      <c r="L210" s="22" t="s">
        <v>1346</v>
      </c>
      <c r="M210" s="22" t="s">
        <v>98</v>
      </c>
      <c r="N210" s="23" t="s">
        <v>39</v>
      </c>
      <c r="O210" s="22" t="s">
        <v>140</v>
      </c>
      <c r="P210" s="22" t="s">
        <v>57</v>
      </c>
      <c r="Q210" s="66"/>
      <c r="R210" s="24">
        <v>48216.0</v>
      </c>
      <c r="S210" s="22" t="s">
        <v>1347</v>
      </c>
      <c r="T210" s="25"/>
      <c r="U210" s="25"/>
      <c r="V210" s="53">
        <v>919.0</v>
      </c>
      <c r="W210" s="56">
        <v>1085.0</v>
      </c>
      <c r="X210" s="22">
        <v>2500.0</v>
      </c>
      <c r="Y210" s="22">
        <v>2500.0</v>
      </c>
      <c r="Z210" s="16">
        <f t="shared" si="1"/>
        <v>-1415</v>
      </c>
      <c r="AA210" s="77"/>
      <c r="AB210" s="22" t="s">
        <v>340</v>
      </c>
      <c r="AC210" s="50" t="s">
        <v>1348</v>
      </c>
      <c r="AD210" s="27"/>
      <c r="AE210" s="27"/>
    </row>
    <row r="211" hidden="1">
      <c r="A211" s="21">
        <v>209.0</v>
      </c>
      <c r="B211" s="22" t="s">
        <v>1349</v>
      </c>
      <c r="C211" s="50" t="s">
        <v>1350</v>
      </c>
      <c r="D211" s="50" t="s">
        <v>1351</v>
      </c>
      <c r="E211" s="22" t="s">
        <v>69</v>
      </c>
      <c r="F211" s="50" t="s">
        <v>1352</v>
      </c>
      <c r="G211" s="50" t="s">
        <v>1353</v>
      </c>
      <c r="H211" s="22">
        <v>9.90493832E9</v>
      </c>
      <c r="I211" s="22">
        <v>9.979082744E9</v>
      </c>
      <c r="J211" s="22" t="s">
        <v>1354</v>
      </c>
      <c r="K211" s="22">
        <v>796.0</v>
      </c>
      <c r="L211" s="22" t="s">
        <v>413</v>
      </c>
      <c r="M211" s="22" t="s">
        <v>153</v>
      </c>
      <c r="N211" s="23" t="s">
        <v>39</v>
      </c>
      <c r="O211" s="22" t="s">
        <v>48</v>
      </c>
      <c r="P211" s="22" t="s">
        <v>73</v>
      </c>
      <c r="Q211" s="66"/>
      <c r="R211" s="28">
        <v>47768.0</v>
      </c>
      <c r="S211" s="22" t="s">
        <v>1009</v>
      </c>
      <c r="T211" s="25"/>
      <c r="U211" s="25"/>
      <c r="V211" s="53">
        <v>2627.73</v>
      </c>
      <c r="W211" s="53">
        <v>3100.73</v>
      </c>
      <c r="X211" s="22">
        <v>3105.0</v>
      </c>
      <c r="Y211" s="22">
        <v>3105.0</v>
      </c>
      <c r="Z211" s="42">
        <f t="shared" si="1"/>
        <v>-4.27</v>
      </c>
      <c r="AA211" s="77"/>
      <c r="AB211" s="22" t="s">
        <v>42</v>
      </c>
      <c r="AC211" s="50" t="s">
        <v>1355</v>
      </c>
      <c r="AD211" s="27"/>
      <c r="AE211" s="27"/>
    </row>
    <row r="212" hidden="1">
      <c r="A212" s="21">
        <v>210.0</v>
      </c>
      <c r="B212" s="22" t="s">
        <v>1349</v>
      </c>
      <c r="C212" s="50" t="s">
        <v>1356</v>
      </c>
      <c r="D212" s="50" t="s">
        <v>1357</v>
      </c>
      <c r="E212" s="22" t="s">
        <v>53</v>
      </c>
      <c r="F212" s="50" t="s">
        <v>54</v>
      </c>
      <c r="G212" s="50" t="s">
        <v>1358</v>
      </c>
      <c r="H212" s="22">
        <v>9.978715751E9</v>
      </c>
      <c r="I212" s="22">
        <v>8.799084563E9</v>
      </c>
      <c r="J212" s="22" t="s">
        <v>1359</v>
      </c>
      <c r="K212" s="22">
        <v>818.0</v>
      </c>
      <c r="L212" s="53" t="s">
        <v>1331</v>
      </c>
      <c r="M212" s="22" t="s">
        <v>56</v>
      </c>
      <c r="N212" s="23" t="s">
        <v>39</v>
      </c>
      <c r="O212" s="22" t="s">
        <v>48</v>
      </c>
      <c r="P212" s="22" t="s">
        <v>57</v>
      </c>
      <c r="Q212" s="66" t="s">
        <v>1360</v>
      </c>
      <c r="R212" s="22" t="s">
        <v>65</v>
      </c>
      <c r="S212" s="24">
        <v>46082.0</v>
      </c>
      <c r="T212" s="28">
        <v>47038.0</v>
      </c>
      <c r="U212" s="25"/>
      <c r="V212" s="53">
        <v>6362.0</v>
      </c>
      <c r="W212" s="53">
        <v>7508.0</v>
      </c>
      <c r="X212" s="22">
        <v>6500.0</v>
      </c>
      <c r="Y212" s="22">
        <v>6500.0</v>
      </c>
      <c r="Z212" s="42">
        <f t="shared" si="1"/>
        <v>1008</v>
      </c>
      <c r="AA212" s="77"/>
      <c r="AB212" s="22" t="s">
        <v>42</v>
      </c>
      <c r="AC212" s="50" t="s">
        <v>1361</v>
      </c>
      <c r="AD212" s="21" t="s">
        <v>671</v>
      </c>
      <c r="AE212" s="27"/>
      <c r="AF212" s="50" t="s">
        <v>930</v>
      </c>
      <c r="AG212" s="50" t="s">
        <v>298</v>
      </c>
    </row>
    <row r="213" hidden="1">
      <c r="A213" s="19">
        <v>211.0</v>
      </c>
      <c r="B213" s="22" t="s">
        <v>1349</v>
      </c>
      <c r="C213" s="50" t="s">
        <v>1362</v>
      </c>
      <c r="D213" s="50" t="s">
        <v>1363</v>
      </c>
      <c r="E213" s="22" t="s">
        <v>86</v>
      </c>
      <c r="F213" s="50" t="s">
        <v>1364</v>
      </c>
      <c r="G213" s="50" t="s">
        <v>1365</v>
      </c>
      <c r="H213" s="22" t="s">
        <v>1366</v>
      </c>
      <c r="I213" s="22" t="s">
        <v>1367</v>
      </c>
      <c r="J213" s="22" t="s">
        <v>1354</v>
      </c>
      <c r="K213" s="22">
        <v>35000.0</v>
      </c>
      <c r="L213" s="53" t="s">
        <v>336</v>
      </c>
      <c r="M213" s="22" t="s">
        <v>56</v>
      </c>
      <c r="N213" s="23" t="s">
        <v>81</v>
      </c>
      <c r="O213" s="22" t="s">
        <v>223</v>
      </c>
      <c r="P213" s="22" t="s">
        <v>57</v>
      </c>
      <c r="Q213" s="22" t="s">
        <v>1368</v>
      </c>
      <c r="R213" s="22" t="s">
        <v>1369</v>
      </c>
      <c r="S213" s="22" t="s">
        <v>727</v>
      </c>
      <c r="T213" s="24">
        <v>46485.0</v>
      </c>
      <c r="U213" s="25"/>
      <c r="V213" s="53">
        <v>43950.0</v>
      </c>
      <c r="W213" s="53">
        <v>46148.0</v>
      </c>
      <c r="X213" s="22">
        <v>28000.0</v>
      </c>
      <c r="Y213" s="22">
        <v>27500.0</v>
      </c>
      <c r="Z213" s="42">
        <f t="shared" si="1"/>
        <v>18648</v>
      </c>
      <c r="AA213" s="17">
        <f t="shared" ref="AA213:AA215" si="8">Y213-X213</f>
        <v>-500</v>
      </c>
      <c r="AB213" s="22" t="s">
        <v>42</v>
      </c>
      <c r="AC213" s="50" t="s">
        <v>1370</v>
      </c>
      <c r="AD213" s="27"/>
      <c r="AE213" s="27"/>
    </row>
    <row r="214" hidden="1">
      <c r="A214" s="21">
        <v>212.0</v>
      </c>
      <c r="B214" s="22" t="s">
        <v>1349</v>
      </c>
      <c r="C214" s="50" t="s">
        <v>1371</v>
      </c>
      <c r="D214" s="51">
        <v>7.10033818E8</v>
      </c>
      <c r="E214" s="22" t="s">
        <v>69</v>
      </c>
      <c r="F214" s="50" t="s">
        <v>534</v>
      </c>
      <c r="G214" s="50" t="s">
        <v>1372</v>
      </c>
      <c r="H214" s="22">
        <v>9.92557837E9</v>
      </c>
      <c r="I214" s="22">
        <v>9.265420409E9</v>
      </c>
      <c r="J214" s="22" t="s">
        <v>1354</v>
      </c>
      <c r="K214" s="22">
        <v>1197.0</v>
      </c>
      <c r="L214" s="52">
        <v>46065.0</v>
      </c>
      <c r="M214" s="22" t="s">
        <v>451</v>
      </c>
      <c r="N214" s="23" t="s">
        <v>39</v>
      </c>
      <c r="O214" s="22" t="s">
        <v>1373</v>
      </c>
      <c r="P214" s="22" t="s">
        <v>73</v>
      </c>
      <c r="Q214" s="66" t="s">
        <v>1374</v>
      </c>
      <c r="R214" s="22" t="s">
        <v>1375</v>
      </c>
      <c r="S214" s="28">
        <v>45971.0</v>
      </c>
      <c r="T214" s="25"/>
      <c r="U214" s="25"/>
      <c r="V214" s="53">
        <v>8428.04</v>
      </c>
      <c r="W214" s="56">
        <v>9945.09</v>
      </c>
      <c r="X214" s="22">
        <v>10945.0</v>
      </c>
      <c r="Y214" s="22">
        <v>10000.0</v>
      </c>
      <c r="Z214" s="16">
        <f t="shared" si="1"/>
        <v>-54.91</v>
      </c>
      <c r="AA214" s="77">
        <f t="shared" si="8"/>
        <v>-945</v>
      </c>
      <c r="AB214" s="22" t="s">
        <v>340</v>
      </c>
      <c r="AC214" s="50" t="s">
        <v>1376</v>
      </c>
      <c r="AD214" s="27"/>
      <c r="AE214" s="27"/>
    </row>
    <row r="215" hidden="1">
      <c r="A215" s="21">
        <v>213.0</v>
      </c>
      <c r="B215" s="22" t="s">
        <v>1349</v>
      </c>
      <c r="C215" s="50" t="s">
        <v>1377</v>
      </c>
      <c r="D215" s="50" t="s">
        <v>1378</v>
      </c>
      <c r="E215" s="22" t="s">
        <v>86</v>
      </c>
      <c r="F215" s="50" t="s">
        <v>1379</v>
      </c>
      <c r="G215" s="50" t="s">
        <v>1380</v>
      </c>
      <c r="H215" s="22">
        <v>9.913233141E9</v>
      </c>
      <c r="I215" s="22">
        <v>9.313289593E9</v>
      </c>
      <c r="J215" s="22" t="s">
        <v>1354</v>
      </c>
      <c r="K215" s="22">
        <v>17750.0</v>
      </c>
      <c r="L215" s="53" t="s">
        <v>336</v>
      </c>
      <c r="M215" s="22" t="s">
        <v>249</v>
      </c>
      <c r="N215" s="23" t="s">
        <v>39</v>
      </c>
      <c r="O215" s="22" t="s">
        <v>352</v>
      </c>
      <c r="P215" s="22" t="s">
        <v>57</v>
      </c>
      <c r="Q215" s="66" t="s">
        <v>1374</v>
      </c>
      <c r="R215" s="22" t="s">
        <v>529</v>
      </c>
      <c r="S215" s="22" t="s">
        <v>672</v>
      </c>
      <c r="T215" s="24">
        <v>47373.0</v>
      </c>
      <c r="U215" s="25"/>
      <c r="V215" s="56">
        <v>41266.0</v>
      </c>
      <c r="W215" s="56">
        <v>44103.2</v>
      </c>
      <c r="X215" s="22">
        <v>38136.0</v>
      </c>
      <c r="Y215" s="22">
        <v>37000.0</v>
      </c>
      <c r="Z215" s="16">
        <f t="shared" si="1"/>
        <v>7103.2</v>
      </c>
      <c r="AA215" s="17">
        <f t="shared" si="8"/>
        <v>-1136</v>
      </c>
      <c r="AB215" s="22" t="s">
        <v>42</v>
      </c>
      <c r="AC215" s="50" t="s">
        <v>1381</v>
      </c>
      <c r="AD215" s="27"/>
      <c r="AE215" s="27"/>
    </row>
    <row r="216" hidden="1">
      <c r="A216" s="19">
        <v>214.0</v>
      </c>
      <c r="B216" s="22" t="s">
        <v>1349</v>
      </c>
      <c r="C216" s="50" t="s">
        <v>1382</v>
      </c>
      <c r="D216" s="50" t="s">
        <v>1383</v>
      </c>
      <c r="E216" s="22" t="s">
        <v>157</v>
      </c>
      <c r="F216" s="50" t="s">
        <v>1384</v>
      </c>
      <c r="G216" s="50" t="s">
        <v>1385</v>
      </c>
      <c r="H216" s="22">
        <v>9.016521035E9</v>
      </c>
      <c r="I216" s="22">
        <v>9.265568543E9</v>
      </c>
      <c r="J216" s="22" t="s">
        <v>1354</v>
      </c>
      <c r="K216" s="22">
        <v>1418.0</v>
      </c>
      <c r="L216" s="53" t="s">
        <v>336</v>
      </c>
      <c r="M216" s="22" t="s">
        <v>64</v>
      </c>
      <c r="N216" s="23" t="s">
        <v>39</v>
      </c>
      <c r="O216" s="22" t="s">
        <v>48</v>
      </c>
      <c r="P216" s="22" t="s">
        <v>57</v>
      </c>
      <c r="Q216" s="66" t="s">
        <v>1374</v>
      </c>
      <c r="R216" s="22" t="s">
        <v>1386</v>
      </c>
      <c r="S216" s="22" t="s">
        <v>1254</v>
      </c>
      <c r="T216" s="25"/>
      <c r="U216" s="25"/>
      <c r="V216" s="56">
        <v>17099.0</v>
      </c>
      <c r="W216" s="56">
        <v>18090.0</v>
      </c>
      <c r="X216" s="22">
        <v>12424.0</v>
      </c>
      <c r="Y216" s="22">
        <v>12000.0</v>
      </c>
      <c r="Z216" s="16">
        <f t="shared" si="1"/>
        <v>6090</v>
      </c>
      <c r="AA216" s="77"/>
      <c r="AB216" s="22" t="s">
        <v>42</v>
      </c>
      <c r="AC216" s="50" t="s">
        <v>1387</v>
      </c>
      <c r="AD216" s="21" t="s">
        <v>671</v>
      </c>
      <c r="AE216" s="27"/>
      <c r="AF216" s="59">
        <v>45820.0</v>
      </c>
      <c r="AG216" s="50" t="s">
        <v>475</v>
      </c>
    </row>
    <row r="217" hidden="1">
      <c r="A217" s="21">
        <v>215.0</v>
      </c>
      <c r="B217" s="22" t="s">
        <v>1349</v>
      </c>
      <c r="C217" s="50" t="s">
        <v>1388</v>
      </c>
      <c r="D217" s="50" t="s">
        <v>1389</v>
      </c>
      <c r="E217" s="22" t="s">
        <v>157</v>
      </c>
      <c r="F217" s="50" t="s">
        <v>1390</v>
      </c>
      <c r="G217" s="50" t="s">
        <v>1391</v>
      </c>
      <c r="H217" s="22">
        <v>8.469015106E9</v>
      </c>
      <c r="I217" s="22">
        <v>9.712987201E9</v>
      </c>
      <c r="J217" s="22" t="s">
        <v>1354</v>
      </c>
      <c r="K217" s="22">
        <v>7450.0</v>
      </c>
      <c r="L217" s="53" t="s">
        <v>336</v>
      </c>
      <c r="M217" s="22" t="s">
        <v>98</v>
      </c>
      <c r="N217" s="23" t="s">
        <v>81</v>
      </c>
      <c r="O217" s="22" t="s">
        <v>128</v>
      </c>
      <c r="P217" s="22" t="s">
        <v>57</v>
      </c>
      <c r="Q217" s="66" t="s">
        <v>1368</v>
      </c>
      <c r="R217" s="22" t="s">
        <v>1212</v>
      </c>
      <c r="S217" s="22" t="s">
        <v>458</v>
      </c>
      <c r="T217" s="25"/>
      <c r="U217" s="25"/>
      <c r="V217" s="53">
        <v>16149.0</v>
      </c>
      <c r="W217" s="53">
        <v>16969.0</v>
      </c>
      <c r="X217" s="22">
        <v>13000.0</v>
      </c>
      <c r="Y217" s="22">
        <v>12000.0</v>
      </c>
      <c r="Z217" s="42">
        <f t="shared" si="1"/>
        <v>4969</v>
      </c>
      <c r="AA217" s="17">
        <f>Y217-X217</f>
        <v>-1000</v>
      </c>
      <c r="AB217" s="22" t="s">
        <v>42</v>
      </c>
      <c r="AC217" s="50" t="s">
        <v>1392</v>
      </c>
      <c r="AD217" s="27"/>
      <c r="AE217" s="27"/>
    </row>
    <row r="218" hidden="1">
      <c r="A218" s="21">
        <v>216.0</v>
      </c>
      <c r="B218" s="22" t="s">
        <v>1349</v>
      </c>
      <c r="C218" s="50" t="s">
        <v>1393</v>
      </c>
      <c r="D218" s="50" t="s">
        <v>1394</v>
      </c>
      <c r="E218" s="22" t="s">
        <v>86</v>
      </c>
      <c r="F218" s="50" t="s">
        <v>643</v>
      </c>
      <c r="G218" s="50" t="s">
        <v>1395</v>
      </c>
      <c r="H218" s="22">
        <v>9.825278653E9</v>
      </c>
      <c r="I218" s="22">
        <v>7.01658661E9</v>
      </c>
      <c r="J218" s="22" t="s">
        <v>1354</v>
      </c>
      <c r="K218" s="22">
        <v>18500.0</v>
      </c>
      <c r="L218" s="53" t="s">
        <v>336</v>
      </c>
      <c r="M218" s="22" t="s">
        <v>98</v>
      </c>
      <c r="N218" s="23" t="s">
        <v>81</v>
      </c>
      <c r="O218" s="22" t="s">
        <v>48</v>
      </c>
      <c r="P218" s="22" t="s">
        <v>187</v>
      </c>
      <c r="Q218" s="66" t="s">
        <v>1374</v>
      </c>
      <c r="R218" s="22" t="s">
        <v>1396</v>
      </c>
      <c r="S218" s="22" t="s">
        <v>1397</v>
      </c>
      <c r="T218" s="22" t="s">
        <v>1077</v>
      </c>
      <c r="U218" s="25"/>
      <c r="V218" s="53">
        <v>35413.0</v>
      </c>
      <c r="W218" s="53">
        <v>37197.0</v>
      </c>
      <c r="X218" s="22">
        <v>25000.0</v>
      </c>
      <c r="Y218" s="22">
        <v>22000.0</v>
      </c>
      <c r="Z218" s="42">
        <f t="shared" si="1"/>
        <v>15197</v>
      </c>
      <c r="AA218" s="77"/>
      <c r="AB218" s="22" t="s">
        <v>42</v>
      </c>
      <c r="AC218" s="50" t="s">
        <v>1398</v>
      </c>
      <c r="AD218" s="21" t="s">
        <v>671</v>
      </c>
      <c r="AE218" s="27"/>
      <c r="AF218" s="59">
        <v>45820.0</v>
      </c>
      <c r="AG218" s="50" t="s">
        <v>298</v>
      </c>
    </row>
    <row r="219" hidden="1">
      <c r="A219" s="19">
        <v>217.0</v>
      </c>
      <c r="B219" s="22" t="s">
        <v>1349</v>
      </c>
      <c r="C219" s="50" t="s">
        <v>1399</v>
      </c>
      <c r="D219" s="50" t="s">
        <v>1400</v>
      </c>
      <c r="E219" s="22" t="s">
        <v>53</v>
      </c>
      <c r="F219" s="50" t="s">
        <v>1401</v>
      </c>
      <c r="G219" s="50" t="s">
        <v>1402</v>
      </c>
      <c r="H219" s="22">
        <v>7.990608626E9</v>
      </c>
      <c r="I219" s="22">
        <v>9.601315804E9</v>
      </c>
      <c r="J219" s="22" t="s">
        <v>1354</v>
      </c>
      <c r="K219" s="22">
        <v>818.0</v>
      </c>
      <c r="L219" s="53" t="s">
        <v>336</v>
      </c>
      <c r="M219" s="22" t="s">
        <v>265</v>
      </c>
      <c r="N219" s="23" t="s">
        <v>39</v>
      </c>
      <c r="O219" s="22" t="s">
        <v>48</v>
      </c>
      <c r="P219" s="22" t="s">
        <v>41</v>
      </c>
      <c r="Q219" s="66" t="s">
        <v>1374</v>
      </c>
      <c r="R219" s="22" t="s">
        <v>1403</v>
      </c>
      <c r="S219" s="22" t="s">
        <v>49</v>
      </c>
      <c r="T219" s="22" t="s">
        <v>1404</v>
      </c>
      <c r="U219" s="25"/>
      <c r="V219" s="53">
        <v>6332.0</v>
      </c>
      <c r="W219" s="53">
        <v>7472.0</v>
      </c>
      <c r="X219" s="22">
        <v>6500.0</v>
      </c>
      <c r="Y219" s="22">
        <v>6200.0</v>
      </c>
      <c r="Z219" s="42">
        <f t="shared" si="1"/>
        <v>1272</v>
      </c>
      <c r="AA219" s="77"/>
      <c r="AB219" s="22" t="s">
        <v>42</v>
      </c>
      <c r="AC219" s="50" t="s">
        <v>1405</v>
      </c>
      <c r="AD219" s="21" t="s">
        <v>473</v>
      </c>
      <c r="AE219" s="27"/>
      <c r="AF219" s="50" t="s">
        <v>930</v>
      </c>
      <c r="AG219" s="50" t="s">
        <v>298</v>
      </c>
    </row>
    <row r="220" hidden="1">
      <c r="A220" s="21">
        <v>218.0</v>
      </c>
      <c r="B220" s="22" t="s">
        <v>1349</v>
      </c>
      <c r="C220" s="50" t="s">
        <v>1406</v>
      </c>
      <c r="D220" s="51">
        <v>2.3529779616E10</v>
      </c>
      <c r="E220" s="22" t="s">
        <v>255</v>
      </c>
      <c r="F220" s="50" t="s">
        <v>256</v>
      </c>
      <c r="G220" s="50" t="s">
        <v>1407</v>
      </c>
      <c r="H220" s="22">
        <v>9.909548086E9</v>
      </c>
      <c r="I220" s="22">
        <v>7.283824414E9</v>
      </c>
      <c r="J220" s="22" t="s">
        <v>1354</v>
      </c>
      <c r="K220" s="22">
        <v>995.0</v>
      </c>
      <c r="L220" s="53" t="s">
        <v>336</v>
      </c>
      <c r="M220" s="22" t="s">
        <v>258</v>
      </c>
      <c r="N220" s="23" t="s">
        <v>39</v>
      </c>
      <c r="O220" s="22" t="s">
        <v>48</v>
      </c>
      <c r="P220" s="22" t="s">
        <v>57</v>
      </c>
      <c r="Q220" s="66" t="s">
        <v>1374</v>
      </c>
      <c r="R220" s="22" t="s">
        <v>1164</v>
      </c>
      <c r="S220" s="22" t="s">
        <v>1408</v>
      </c>
      <c r="T220" s="25"/>
      <c r="U220" s="25"/>
      <c r="V220" s="60">
        <v>5178.0</v>
      </c>
      <c r="W220" s="60">
        <v>5518.0</v>
      </c>
      <c r="X220" s="22">
        <v>5000.0</v>
      </c>
      <c r="Y220" s="22">
        <v>5000.0</v>
      </c>
      <c r="Z220" s="17">
        <f t="shared" si="1"/>
        <v>518</v>
      </c>
      <c r="AA220" s="77"/>
      <c r="AB220" s="22" t="s">
        <v>42</v>
      </c>
      <c r="AC220" s="50" t="s">
        <v>1409</v>
      </c>
      <c r="AD220" s="21" t="s">
        <v>1410</v>
      </c>
      <c r="AE220" s="27"/>
      <c r="AF220" s="50" t="s">
        <v>933</v>
      </c>
      <c r="AG220" s="50" t="s">
        <v>298</v>
      </c>
    </row>
    <row r="221" hidden="1">
      <c r="A221" s="21">
        <v>219.0</v>
      </c>
      <c r="B221" s="22" t="s">
        <v>1349</v>
      </c>
      <c r="C221" s="50" t="s">
        <v>1411</v>
      </c>
      <c r="D221" s="50" t="s">
        <v>1412</v>
      </c>
      <c r="E221" s="22" t="s">
        <v>86</v>
      </c>
      <c r="F221" s="50" t="s">
        <v>1413</v>
      </c>
      <c r="G221" s="50" t="s">
        <v>1414</v>
      </c>
      <c r="H221" s="22">
        <v>9.974836396E9</v>
      </c>
      <c r="I221" s="25"/>
      <c r="J221" s="22" t="s">
        <v>1415</v>
      </c>
      <c r="K221" s="22">
        <v>42000.0</v>
      </c>
      <c r="L221" s="53" t="s">
        <v>1416</v>
      </c>
      <c r="M221" s="22" t="s">
        <v>265</v>
      </c>
      <c r="N221" s="23" t="s">
        <v>39</v>
      </c>
      <c r="O221" s="22" t="s">
        <v>140</v>
      </c>
      <c r="P221" s="22" t="s">
        <v>41</v>
      </c>
      <c r="Q221" s="66" t="s">
        <v>1374</v>
      </c>
      <c r="R221" s="22" t="s">
        <v>931</v>
      </c>
      <c r="S221" s="22" t="s">
        <v>1417</v>
      </c>
      <c r="T221" s="22" t="s">
        <v>1418</v>
      </c>
      <c r="U221" s="25"/>
      <c r="V221" s="53">
        <v>50270.0</v>
      </c>
      <c r="W221" s="53">
        <v>53567.0</v>
      </c>
      <c r="X221" s="22">
        <v>45500.0</v>
      </c>
      <c r="Y221" s="22">
        <v>44500.0</v>
      </c>
      <c r="Z221" s="42">
        <f t="shared" si="1"/>
        <v>9067</v>
      </c>
      <c r="AA221" s="77"/>
      <c r="AB221" s="22" t="s">
        <v>42</v>
      </c>
      <c r="AC221" s="50" t="s">
        <v>1419</v>
      </c>
      <c r="AD221" s="27"/>
      <c r="AE221" s="27"/>
    </row>
    <row r="222" hidden="1">
      <c r="A222" s="19">
        <v>220.0</v>
      </c>
      <c r="B222" s="22" t="s">
        <v>1349</v>
      </c>
      <c r="C222" s="21" t="s">
        <v>1420</v>
      </c>
      <c r="D222" s="50" t="s">
        <v>1421</v>
      </c>
      <c r="E222" s="22" t="s">
        <v>86</v>
      </c>
      <c r="F222" s="50" t="s">
        <v>1422</v>
      </c>
      <c r="G222" s="50" t="s">
        <v>1423</v>
      </c>
      <c r="H222" s="22" t="s">
        <v>1424</v>
      </c>
      <c r="I222" s="25"/>
      <c r="J222" s="22" t="s">
        <v>1354</v>
      </c>
      <c r="K222" s="22">
        <v>18490.0</v>
      </c>
      <c r="L222" s="53" t="s">
        <v>929</v>
      </c>
      <c r="M222" s="22" t="s">
        <v>249</v>
      </c>
      <c r="N222" s="23" t="s">
        <v>39</v>
      </c>
      <c r="O222" s="22" t="s">
        <v>140</v>
      </c>
      <c r="P222" s="22" t="s">
        <v>57</v>
      </c>
      <c r="Q222" s="66" t="s">
        <v>1374</v>
      </c>
      <c r="R222" s="25"/>
      <c r="S222" s="25"/>
      <c r="T222" s="25"/>
      <c r="U222" s="25"/>
      <c r="V222" s="56">
        <v>56969.0</v>
      </c>
      <c r="W222" s="56">
        <v>62632.74</v>
      </c>
      <c r="X222" s="22">
        <v>56000.0</v>
      </c>
      <c r="Y222" s="22">
        <v>56000.0</v>
      </c>
      <c r="Z222" s="16">
        <f t="shared" si="1"/>
        <v>6632.74</v>
      </c>
      <c r="AA222" s="77"/>
      <c r="AB222" s="25"/>
      <c r="AC222" s="50" t="s">
        <v>1425</v>
      </c>
      <c r="AD222" s="21" t="s">
        <v>671</v>
      </c>
      <c r="AE222" s="27"/>
      <c r="AF222" s="59">
        <v>45820.0</v>
      </c>
      <c r="AG222" s="50" t="s">
        <v>475</v>
      </c>
    </row>
    <row r="223" hidden="1">
      <c r="A223" s="21">
        <v>221.0</v>
      </c>
      <c r="B223" s="22" t="s">
        <v>1349</v>
      </c>
      <c r="C223" s="50" t="s">
        <v>1426</v>
      </c>
      <c r="D223" s="50" t="s">
        <v>1427</v>
      </c>
      <c r="E223" s="22" t="s">
        <v>157</v>
      </c>
      <c r="F223" s="50" t="s">
        <v>1428</v>
      </c>
      <c r="G223" s="50" t="s">
        <v>1429</v>
      </c>
      <c r="H223" s="22">
        <v>8.469015106E9</v>
      </c>
      <c r="I223" s="22">
        <v>9.712987201E9</v>
      </c>
      <c r="J223" s="22" t="s">
        <v>1354</v>
      </c>
      <c r="K223" s="22">
        <v>2670.0</v>
      </c>
      <c r="L223" s="53" t="s">
        <v>1331</v>
      </c>
      <c r="M223" s="22" t="s">
        <v>147</v>
      </c>
      <c r="N223" s="23" t="s">
        <v>81</v>
      </c>
      <c r="O223" s="22" t="s">
        <v>128</v>
      </c>
      <c r="P223" s="22" t="s">
        <v>41</v>
      </c>
      <c r="Q223" s="66" t="s">
        <v>1368</v>
      </c>
      <c r="R223" s="22" t="s">
        <v>65</v>
      </c>
      <c r="S223" s="22" t="s">
        <v>1396</v>
      </c>
      <c r="T223" s="25"/>
      <c r="U223" s="25"/>
      <c r="V223" s="60">
        <v>16149.0</v>
      </c>
      <c r="W223" s="56">
        <v>16969.0</v>
      </c>
      <c r="X223" s="22">
        <v>9500.0</v>
      </c>
      <c r="Y223" s="22">
        <v>9000.0</v>
      </c>
      <c r="Z223" s="16">
        <f t="shared" si="1"/>
        <v>7969</v>
      </c>
      <c r="AA223" s="41">
        <v>0.0</v>
      </c>
      <c r="AB223" s="22" t="s">
        <v>42</v>
      </c>
      <c r="AC223" s="50" t="s">
        <v>1430</v>
      </c>
      <c r="AD223" s="27"/>
      <c r="AE223" s="27"/>
    </row>
    <row r="224" hidden="1">
      <c r="A224" s="21">
        <v>222.0</v>
      </c>
      <c r="B224" s="22" t="s">
        <v>1349</v>
      </c>
      <c r="C224" s="50" t="s">
        <v>1431</v>
      </c>
      <c r="D224" s="50" t="s">
        <v>1432</v>
      </c>
      <c r="E224" s="22" t="s">
        <v>157</v>
      </c>
      <c r="F224" s="50" t="s">
        <v>137</v>
      </c>
      <c r="G224" s="50" t="s">
        <v>1433</v>
      </c>
      <c r="H224" s="22">
        <v>8.866646304E9</v>
      </c>
      <c r="I224" s="22">
        <v>9.979674304E9</v>
      </c>
      <c r="J224" s="22" t="s">
        <v>1359</v>
      </c>
      <c r="K224" s="22">
        <v>1600.0</v>
      </c>
      <c r="L224" s="22" t="s">
        <v>1416</v>
      </c>
      <c r="M224" s="22" t="s">
        <v>64</v>
      </c>
      <c r="N224" s="23" t="s">
        <v>39</v>
      </c>
      <c r="O224" s="22" t="s">
        <v>48</v>
      </c>
      <c r="P224" s="22" t="s">
        <v>41</v>
      </c>
      <c r="Q224" s="66" t="s">
        <v>1374</v>
      </c>
      <c r="R224" s="22" t="s">
        <v>888</v>
      </c>
      <c r="S224" s="24">
        <v>45669.0</v>
      </c>
      <c r="T224" s="25"/>
      <c r="U224" s="25"/>
      <c r="V224" s="56">
        <v>19459.0</v>
      </c>
      <c r="W224" s="56">
        <v>20875.0</v>
      </c>
      <c r="X224" s="22">
        <v>13616.0</v>
      </c>
      <c r="Y224" s="22">
        <v>13500.0</v>
      </c>
      <c r="Z224" s="16">
        <f t="shared" si="1"/>
        <v>7375</v>
      </c>
      <c r="AA224" s="77"/>
      <c r="AB224" s="22" t="s">
        <v>42</v>
      </c>
      <c r="AC224" s="50" t="s">
        <v>1434</v>
      </c>
      <c r="AD224" s="27"/>
      <c r="AE224" s="27"/>
    </row>
    <row r="225" hidden="1">
      <c r="A225" s="19">
        <v>223.0</v>
      </c>
      <c r="B225" s="22" t="s">
        <v>1349</v>
      </c>
      <c r="C225" s="50" t="s">
        <v>1435</v>
      </c>
      <c r="D225" s="50" t="s">
        <v>1436</v>
      </c>
      <c r="E225" s="22" t="s">
        <v>157</v>
      </c>
      <c r="F225" s="50" t="s">
        <v>1437</v>
      </c>
      <c r="G225" s="50" t="s">
        <v>1438</v>
      </c>
      <c r="H225" s="22">
        <v>8.141223341E9</v>
      </c>
      <c r="I225" s="22">
        <v>9.601770053E9</v>
      </c>
      <c r="J225" s="22" t="s">
        <v>1439</v>
      </c>
      <c r="K225" s="22">
        <v>1790.0</v>
      </c>
      <c r="L225" s="53" t="s">
        <v>336</v>
      </c>
      <c r="M225" s="22" t="s">
        <v>64</v>
      </c>
      <c r="N225" s="23" t="s">
        <v>39</v>
      </c>
      <c r="O225" s="22" t="s">
        <v>388</v>
      </c>
      <c r="P225" s="22" t="s">
        <v>41</v>
      </c>
      <c r="Q225" s="66" t="s">
        <v>1374</v>
      </c>
      <c r="R225" s="22" t="s">
        <v>1396</v>
      </c>
      <c r="S225" s="22" t="s">
        <v>529</v>
      </c>
      <c r="T225" s="25"/>
      <c r="U225" s="25"/>
      <c r="V225" s="56">
        <v>20072.0</v>
      </c>
      <c r="W225" s="56">
        <v>21599.0</v>
      </c>
      <c r="X225" s="22">
        <v>13954.0</v>
      </c>
      <c r="Y225" s="22">
        <v>13500.0</v>
      </c>
      <c r="Z225" s="16">
        <f t="shared" si="1"/>
        <v>8099</v>
      </c>
      <c r="AA225" s="17">
        <f>Y225-X225</f>
        <v>-454</v>
      </c>
      <c r="AB225" s="22" t="s">
        <v>42</v>
      </c>
      <c r="AC225" s="50" t="s">
        <v>1440</v>
      </c>
      <c r="AD225" s="27"/>
      <c r="AE225" s="27"/>
    </row>
    <row r="226" hidden="1">
      <c r="A226" s="21">
        <v>224.0</v>
      </c>
      <c r="B226" s="22" t="s">
        <v>1349</v>
      </c>
      <c r="C226" s="50" t="s">
        <v>1441</v>
      </c>
      <c r="D226" s="50" t="s">
        <v>1442</v>
      </c>
      <c r="E226" s="22" t="s">
        <v>157</v>
      </c>
      <c r="F226" s="50" t="s">
        <v>1443</v>
      </c>
      <c r="G226" s="50" t="s">
        <v>1444</v>
      </c>
      <c r="H226" s="22">
        <v>9.913393644E9</v>
      </c>
      <c r="I226" s="22">
        <v>7.874667212E9</v>
      </c>
      <c r="J226" s="22" t="s">
        <v>1445</v>
      </c>
      <c r="K226" s="22">
        <v>2880.0</v>
      </c>
      <c r="L226" s="53" t="s">
        <v>1097</v>
      </c>
      <c r="M226" s="22" t="s">
        <v>38</v>
      </c>
      <c r="N226" s="23" t="s">
        <v>39</v>
      </c>
      <c r="O226" s="22" t="s">
        <v>48</v>
      </c>
      <c r="P226" s="22" t="s">
        <v>57</v>
      </c>
      <c r="Q226" s="66" t="s">
        <v>1374</v>
      </c>
      <c r="R226" s="22" t="s">
        <v>1446</v>
      </c>
      <c r="S226" s="22" t="s">
        <v>355</v>
      </c>
      <c r="T226" s="25"/>
      <c r="U226" s="25"/>
      <c r="V226" s="56">
        <v>20824.0</v>
      </c>
      <c r="W226" s="56">
        <v>22474.0</v>
      </c>
      <c r="X226" s="22">
        <v>14582.0</v>
      </c>
      <c r="Y226" s="22">
        <v>15000.0</v>
      </c>
      <c r="Z226" s="16">
        <f t="shared" si="1"/>
        <v>7474</v>
      </c>
      <c r="AA226" s="77"/>
      <c r="AB226" s="22" t="s">
        <v>340</v>
      </c>
      <c r="AC226" s="50" t="s">
        <v>1447</v>
      </c>
      <c r="AD226" s="27"/>
      <c r="AE226" s="27"/>
      <c r="AG226" s="50" t="s">
        <v>1448</v>
      </c>
    </row>
    <row r="227" hidden="1">
      <c r="A227" s="21">
        <v>225.0</v>
      </c>
      <c r="B227" s="22" t="s">
        <v>1349</v>
      </c>
      <c r="C227" s="50" t="s">
        <v>612</v>
      </c>
      <c r="D227" s="50" t="s">
        <v>1449</v>
      </c>
      <c r="E227" s="22" t="s">
        <v>86</v>
      </c>
      <c r="F227" s="50" t="s">
        <v>1450</v>
      </c>
      <c r="G227" s="50" t="s">
        <v>1451</v>
      </c>
      <c r="H227" s="22"/>
      <c r="I227" s="22"/>
      <c r="J227" s="22"/>
      <c r="K227" s="50">
        <v>45500.0</v>
      </c>
      <c r="L227" s="53" t="s">
        <v>97</v>
      </c>
      <c r="M227" s="22" t="s">
        <v>265</v>
      </c>
      <c r="N227" s="23"/>
      <c r="O227" s="22" t="s">
        <v>337</v>
      </c>
      <c r="P227" s="22" t="s">
        <v>41</v>
      </c>
      <c r="Q227" s="66" t="s">
        <v>1374</v>
      </c>
      <c r="R227" s="22" t="s">
        <v>176</v>
      </c>
      <c r="S227" s="22" t="s">
        <v>470</v>
      </c>
      <c r="T227" s="22" t="s">
        <v>616</v>
      </c>
      <c r="U227" s="25"/>
      <c r="V227" s="56">
        <v>5070.0</v>
      </c>
      <c r="W227" s="56">
        <v>5982.0</v>
      </c>
      <c r="X227" s="22"/>
      <c r="Y227" s="22"/>
      <c r="Z227" s="16">
        <f t="shared" si="1"/>
        <v>5982</v>
      </c>
      <c r="AA227" s="17">
        <f t="shared" ref="AA227:AA228" si="9">Y227-X227</f>
        <v>0</v>
      </c>
      <c r="AB227" s="22" t="s">
        <v>42</v>
      </c>
      <c r="AC227" s="50" t="s">
        <v>1452</v>
      </c>
      <c r="AD227" s="27"/>
      <c r="AE227" s="27"/>
    </row>
    <row r="228" hidden="1">
      <c r="A228" s="19">
        <v>226.0</v>
      </c>
      <c r="B228" s="22" t="s">
        <v>1349</v>
      </c>
      <c r="C228" s="50" t="s">
        <v>618</v>
      </c>
      <c r="D228" s="50" t="s">
        <v>1453</v>
      </c>
      <c r="E228" s="22" t="s">
        <v>86</v>
      </c>
      <c r="F228" s="50" t="s">
        <v>1450</v>
      </c>
      <c r="G228" s="50" t="s">
        <v>1451</v>
      </c>
      <c r="H228" s="22"/>
      <c r="I228" s="22"/>
      <c r="J228" s="22"/>
      <c r="K228" s="50">
        <v>45500.0</v>
      </c>
      <c r="L228" s="53" t="s">
        <v>929</v>
      </c>
      <c r="M228" s="22" t="s">
        <v>265</v>
      </c>
      <c r="N228" s="23"/>
      <c r="O228" s="22" t="s">
        <v>337</v>
      </c>
      <c r="P228" s="22" t="s">
        <v>41</v>
      </c>
      <c r="Q228" s="66" t="s">
        <v>1374</v>
      </c>
      <c r="R228" s="22" t="s">
        <v>176</v>
      </c>
      <c r="S228" s="22" t="s">
        <v>470</v>
      </c>
      <c r="T228" s="22" t="s">
        <v>616</v>
      </c>
      <c r="U228" s="25"/>
      <c r="V228" s="56">
        <v>5070.0</v>
      </c>
      <c r="W228" s="56">
        <v>5982.0</v>
      </c>
      <c r="X228" s="22"/>
      <c r="Y228" s="22"/>
      <c r="Z228" s="16">
        <f t="shared" si="1"/>
        <v>5982</v>
      </c>
      <c r="AA228" s="17">
        <f t="shared" si="9"/>
        <v>0</v>
      </c>
      <c r="AB228" s="22" t="s">
        <v>42</v>
      </c>
      <c r="AC228" s="50" t="s">
        <v>1454</v>
      </c>
      <c r="AD228" s="27"/>
      <c r="AE228" s="27"/>
    </row>
    <row r="229" hidden="1">
      <c r="A229" s="21">
        <v>227.0</v>
      </c>
      <c r="B229" s="22" t="s">
        <v>1349</v>
      </c>
      <c r="C229" s="50" t="s">
        <v>1062</v>
      </c>
      <c r="D229" s="50" t="s">
        <v>1455</v>
      </c>
      <c r="E229" s="22" t="s">
        <v>86</v>
      </c>
      <c r="F229" s="50" t="s">
        <v>1450</v>
      </c>
      <c r="G229" s="50" t="s">
        <v>1065</v>
      </c>
      <c r="H229" s="22"/>
      <c r="I229" s="22"/>
      <c r="J229" s="22"/>
      <c r="K229" s="50">
        <v>25000.0</v>
      </c>
      <c r="L229" s="53" t="s">
        <v>929</v>
      </c>
      <c r="M229" s="22" t="s">
        <v>265</v>
      </c>
      <c r="N229" s="23"/>
      <c r="O229" s="22" t="s">
        <v>140</v>
      </c>
      <c r="P229" s="22" t="s">
        <v>41</v>
      </c>
      <c r="Q229" s="66" t="s">
        <v>1374</v>
      </c>
      <c r="R229" s="28">
        <v>46003.0</v>
      </c>
      <c r="S229" s="22" t="s">
        <v>121</v>
      </c>
      <c r="T229" s="24">
        <v>47161.0</v>
      </c>
      <c r="U229" s="25"/>
      <c r="V229" s="56">
        <v>6630.0</v>
      </c>
      <c r="W229" s="56">
        <v>7824.0</v>
      </c>
      <c r="X229" s="22"/>
      <c r="Y229" s="22"/>
      <c r="Z229" s="16">
        <f t="shared" si="1"/>
        <v>7824</v>
      </c>
      <c r="AA229" s="77"/>
      <c r="AB229" s="22" t="s">
        <v>42</v>
      </c>
      <c r="AC229" s="50" t="s">
        <v>1456</v>
      </c>
      <c r="AD229" s="21" t="s">
        <v>671</v>
      </c>
      <c r="AE229" s="27"/>
      <c r="AF229" s="50" t="s">
        <v>550</v>
      </c>
      <c r="AG229" s="50" t="s">
        <v>298</v>
      </c>
    </row>
    <row r="230" hidden="1">
      <c r="A230" s="21">
        <v>228.0</v>
      </c>
      <c r="B230" s="22" t="s">
        <v>1349</v>
      </c>
      <c r="C230" s="50" t="s">
        <v>1457</v>
      </c>
      <c r="D230" s="50" t="s">
        <v>1458</v>
      </c>
      <c r="E230" s="22" t="s">
        <v>157</v>
      </c>
      <c r="F230" s="50" t="s">
        <v>1390</v>
      </c>
      <c r="G230" s="50" t="s">
        <v>1459</v>
      </c>
      <c r="H230" s="22">
        <v>8.469015106E9</v>
      </c>
      <c r="I230" s="22">
        <v>9.712987201E9</v>
      </c>
      <c r="J230" s="22" t="s">
        <v>1354</v>
      </c>
      <c r="K230" s="22">
        <v>7200.0</v>
      </c>
      <c r="L230" s="53" t="s">
        <v>1331</v>
      </c>
      <c r="M230" s="22" t="s">
        <v>98</v>
      </c>
      <c r="N230" s="23" t="s">
        <v>81</v>
      </c>
      <c r="O230" s="22" t="s">
        <v>128</v>
      </c>
      <c r="P230" s="22" t="s">
        <v>57</v>
      </c>
      <c r="Q230" s="66" t="s">
        <v>1368</v>
      </c>
      <c r="R230" s="22" t="s">
        <v>804</v>
      </c>
      <c r="S230" s="22" t="s">
        <v>421</v>
      </c>
      <c r="T230" s="24">
        <v>46916.0</v>
      </c>
      <c r="U230" s="25"/>
      <c r="V230" s="53">
        <v>16149.0</v>
      </c>
      <c r="W230" s="53">
        <v>16969.0</v>
      </c>
      <c r="X230" s="22">
        <v>12500.0</v>
      </c>
      <c r="Y230" s="22">
        <v>12000.0</v>
      </c>
      <c r="Z230" s="42">
        <f t="shared" si="1"/>
        <v>4969</v>
      </c>
      <c r="AA230" s="41">
        <v>0.0</v>
      </c>
      <c r="AB230" s="22" t="s">
        <v>42</v>
      </c>
      <c r="AC230" s="50" t="s">
        <v>1460</v>
      </c>
      <c r="AD230" s="27"/>
      <c r="AE230" s="27"/>
    </row>
    <row r="231" hidden="1">
      <c r="A231" s="19">
        <v>229.0</v>
      </c>
      <c r="B231" s="22" t="s">
        <v>1349</v>
      </c>
      <c r="C231" s="50" t="s">
        <v>1461</v>
      </c>
      <c r="D231" s="50" t="s">
        <v>1462</v>
      </c>
      <c r="E231" s="22" t="s">
        <v>276</v>
      </c>
      <c r="F231" s="50" t="s">
        <v>1463</v>
      </c>
      <c r="G231" s="50" t="s">
        <v>1464</v>
      </c>
      <c r="H231" s="22" t="s">
        <v>1465</v>
      </c>
      <c r="I231" s="22" t="s">
        <v>1466</v>
      </c>
      <c r="J231" s="22" t="s">
        <v>1354</v>
      </c>
      <c r="K231" s="22">
        <v>175.0</v>
      </c>
      <c r="L231" s="53" t="s">
        <v>336</v>
      </c>
      <c r="M231" s="22" t="s">
        <v>258</v>
      </c>
      <c r="N231" s="23" t="s">
        <v>81</v>
      </c>
      <c r="O231" s="22" t="s">
        <v>140</v>
      </c>
      <c r="P231" s="22" t="s">
        <v>73</v>
      </c>
      <c r="Q231" s="66" t="s">
        <v>1374</v>
      </c>
      <c r="R231" s="22" t="s">
        <v>1467</v>
      </c>
      <c r="S231" s="22" t="s">
        <v>421</v>
      </c>
      <c r="T231" s="25"/>
      <c r="U231" s="25"/>
      <c r="V231" s="60">
        <v>1366.0</v>
      </c>
      <c r="W231" s="56">
        <v>1612.0</v>
      </c>
      <c r="X231" s="22">
        <v>1600.0</v>
      </c>
      <c r="Y231" s="22">
        <v>1600.0</v>
      </c>
      <c r="Z231" s="16">
        <f t="shared" si="1"/>
        <v>12</v>
      </c>
      <c r="AA231" s="77"/>
      <c r="AB231" s="22" t="s">
        <v>42</v>
      </c>
      <c r="AC231" s="50" t="s">
        <v>1468</v>
      </c>
      <c r="AD231" s="27"/>
      <c r="AE231" s="27"/>
    </row>
    <row r="232" hidden="1">
      <c r="A232" s="21">
        <v>230.0</v>
      </c>
      <c r="B232" s="22" t="s">
        <v>1469</v>
      </c>
      <c r="C232" s="50" t="s">
        <v>1470</v>
      </c>
      <c r="D232" s="50" t="s">
        <v>1471</v>
      </c>
      <c r="E232" s="22" t="s">
        <v>255</v>
      </c>
      <c r="F232" s="50" t="s">
        <v>256</v>
      </c>
      <c r="G232" s="50" t="s">
        <v>1472</v>
      </c>
      <c r="H232" s="22">
        <v>9.099429987E9</v>
      </c>
      <c r="I232" s="22">
        <v>7.359922178E9</v>
      </c>
      <c r="J232" s="22" t="s">
        <v>1473</v>
      </c>
      <c r="K232" s="22">
        <v>995.0</v>
      </c>
      <c r="L232" s="53" t="s">
        <v>1416</v>
      </c>
      <c r="M232" s="22" t="s">
        <v>258</v>
      </c>
      <c r="N232" s="23" t="s">
        <v>39</v>
      </c>
      <c r="O232" s="22" t="s">
        <v>48</v>
      </c>
      <c r="P232" s="22" t="s">
        <v>57</v>
      </c>
      <c r="Q232" s="66" t="s">
        <v>1374</v>
      </c>
      <c r="R232" s="22" t="s">
        <v>1474</v>
      </c>
      <c r="S232" s="22" t="s">
        <v>529</v>
      </c>
      <c r="T232" s="25"/>
      <c r="U232" s="25"/>
      <c r="V232" s="60">
        <v>5163.0</v>
      </c>
      <c r="W232" s="60">
        <v>5501.0</v>
      </c>
      <c r="X232" s="22">
        <v>5000.0</v>
      </c>
      <c r="Y232" s="22">
        <v>5000.0</v>
      </c>
      <c r="Z232" s="17">
        <f t="shared" si="1"/>
        <v>501</v>
      </c>
      <c r="AA232" s="77"/>
      <c r="AB232" s="22" t="s">
        <v>42</v>
      </c>
      <c r="AC232" s="50" t="s">
        <v>1475</v>
      </c>
      <c r="AD232" s="21" t="s">
        <v>671</v>
      </c>
      <c r="AE232" s="27"/>
      <c r="AF232" s="59">
        <v>45912.0</v>
      </c>
      <c r="AG232" s="50" t="s">
        <v>298</v>
      </c>
    </row>
    <row r="233" hidden="1">
      <c r="A233" s="21">
        <v>231.0</v>
      </c>
      <c r="B233" s="22" t="s">
        <v>1469</v>
      </c>
      <c r="C233" s="50" t="s">
        <v>1476</v>
      </c>
      <c r="D233" s="50" t="s">
        <v>1477</v>
      </c>
      <c r="E233" s="22" t="s">
        <v>157</v>
      </c>
      <c r="F233" s="50" t="s">
        <v>1478</v>
      </c>
      <c r="G233" s="50" t="s">
        <v>1479</v>
      </c>
      <c r="H233" s="22">
        <v>9.510037256E9</v>
      </c>
      <c r="I233" s="22">
        <v>9.978124478E9</v>
      </c>
      <c r="J233" s="22" t="s">
        <v>1354</v>
      </c>
      <c r="K233" s="22">
        <v>2670.0</v>
      </c>
      <c r="L233" s="53" t="s">
        <v>336</v>
      </c>
      <c r="M233" s="22" t="s">
        <v>38</v>
      </c>
      <c r="N233" s="23" t="s">
        <v>39</v>
      </c>
      <c r="O233" s="22" t="s">
        <v>1373</v>
      </c>
      <c r="P233" s="22" t="s">
        <v>41</v>
      </c>
      <c r="Q233" s="22" t="s">
        <v>1374</v>
      </c>
      <c r="R233" s="24">
        <v>45875.0</v>
      </c>
      <c r="S233" s="22" t="s">
        <v>632</v>
      </c>
      <c r="T233" s="25"/>
      <c r="U233" s="25"/>
      <c r="V233" s="56">
        <v>19172.0</v>
      </c>
      <c r="W233" s="56">
        <v>20526.0</v>
      </c>
      <c r="X233" s="22">
        <v>13500.0</v>
      </c>
      <c r="Y233" s="22">
        <v>13500.0</v>
      </c>
      <c r="Z233" s="16">
        <f t="shared" si="1"/>
        <v>7026</v>
      </c>
      <c r="AA233" s="77">
        <f>Y233-X233</f>
        <v>0</v>
      </c>
      <c r="AB233" s="22" t="s">
        <v>42</v>
      </c>
      <c r="AC233" s="50" t="s">
        <v>1480</v>
      </c>
      <c r="AD233" s="27"/>
      <c r="AE233" s="27"/>
    </row>
    <row r="234" hidden="1">
      <c r="A234" s="19">
        <v>232.0</v>
      </c>
      <c r="B234" s="22" t="s">
        <v>1469</v>
      </c>
      <c r="C234" s="50" t="s">
        <v>1481</v>
      </c>
      <c r="D234" s="50" t="s">
        <v>1482</v>
      </c>
      <c r="E234" s="22" t="s">
        <v>86</v>
      </c>
      <c r="F234" s="50" t="s">
        <v>1483</v>
      </c>
      <c r="G234" s="50" t="s">
        <v>1484</v>
      </c>
      <c r="H234" s="22" t="s">
        <v>1485</v>
      </c>
      <c r="I234" s="22">
        <v>9.574032158E9</v>
      </c>
      <c r="J234" s="22" t="s">
        <v>1354</v>
      </c>
      <c r="K234" s="22">
        <v>35000.0</v>
      </c>
      <c r="L234" s="53" t="s">
        <v>413</v>
      </c>
      <c r="M234" s="22" t="s">
        <v>38</v>
      </c>
      <c r="N234" s="23" t="s">
        <v>39</v>
      </c>
      <c r="O234" s="22" t="s">
        <v>140</v>
      </c>
      <c r="P234" s="22" t="s">
        <v>41</v>
      </c>
      <c r="Q234" s="22" t="s">
        <v>1374</v>
      </c>
      <c r="R234" s="22" t="s">
        <v>1267</v>
      </c>
      <c r="S234" s="22" t="s">
        <v>1099</v>
      </c>
      <c r="T234" s="22" t="s">
        <v>1486</v>
      </c>
      <c r="U234" s="25"/>
      <c r="V234" s="56">
        <v>72589.0</v>
      </c>
      <c r="W234" s="56">
        <v>79923.0</v>
      </c>
      <c r="X234" s="22">
        <v>64271.0</v>
      </c>
      <c r="Y234" s="22">
        <v>64500.0</v>
      </c>
      <c r="Z234" s="16">
        <f t="shared" si="1"/>
        <v>15423</v>
      </c>
      <c r="AA234" s="77"/>
      <c r="AB234" s="22" t="s">
        <v>42</v>
      </c>
      <c r="AC234" s="50" t="s">
        <v>1487</v>
      </c>
      <c r="AD234" s="21" t="s">
        <v>297</v>
      </c>
      <c r="AE234" s="27"/>
      <c r="AF234" s="78"/>
      <c r="AG234" s="50" t="s">
        <v>298</v>
      </c>
    </row>
    <row r="235" hidden="1">
      <c r="A235" s="21">
        <v>233.0</v>
      </c>
      <c r="B235" s="22" t="s">
        <v>1469</v>
      </c>
      <c r="C235" s="50" t="s">
        <v>1488</v>
      </c>
      <c r="D235" s="50" t="s">
        <v>1489</v>
      </c>
      <c r="E235" s="22" t="s">
        <v>255</v>
      </c>
      <c r="F235" s="50" t="s">
        <v>1490</v>
      </c>
      <c r="G235" s="50" t="s">
        <v>1491</v>
      </c>
      <c r="H235" s="22">
        <v>9.879047844E9</v>
      </c>
      <c r="I235" s="22">
        <v>9.687171944E9</v>
      </c>
      <c r="J235" s="22" t="s">
        <v>1354</v>
      </c>
      <c r="K235" s="22">
        <v>990.0</v>
      </c>
      <c r="L235" s="52">
        <v>46277.0</v>
      </c>
      <c r="M235" s="22" t="s">
        <v>258</v>
      </c>
      <c r="N235" s="23" t="s">
        <v>39</v>
      </c>
      <c r="O235" s="22" t="s">
        <v>48</v>
      </c>
      <c r="P235" s="22" t="s">
        <v>57</v>
      </c>
      <c r="Q235" s="22" t="s">
        <v>1374</v>
      </c>
      <c r="R235" s="22" t="s">
        <v>1492</v>
      </c>
      <c r="S235" s="24">
        <v>46065.0</v>
      </c>
      <c r="T235" s="25"/>
      <c r="U235" s="25"/>
      <c r="V235" s="56">
        <v>5101.0</v>
      </c>
      <c r="W235" s="56">
        <v>5427.0</v>
      </c>
      <c r="X235" s="22">
        <v>5000.0</v>
      </c>
      <c r="Y235" s="22">
        <v>5000.0</v>
      </c>
      <c r="Z235" s="16">
        <f t="shared" si="1"/>
        <v>427</v>
      </c>
      <c r="AA235" s="77"/>
      <c r="AB235" s="22" t="s">
        <v>340</v>
      </c>
      <c r="AC235" s="50" t="s">
        <v>1493</v>
      </c>
      <c r="AD235" s="27"/>
      <c r="AE235" s="27"/>
    </row>
    <row r="236" hidden="1">
      <c r="A236" s="21">
        <v>234.0</v>
      </c>
      <c r="B236" s="22" t="s">
        <v>1469</v>
      </c>
      <c r="C236" s="50" t="s">
        <v>1494</v>
      </c>
      <c r="D236" s="50" t="s">
        <v>1495</v>
      </c>
      <c r="E236" s="22" t="s">
        <v>157</v>
      </c>
      <c r="F236" s="50" t="s">
        <v>505</v>
      </c>
      <c r="G236" s="50" t="s">
        <v>1496</v>
      </c>
      <c r="H236" s="22">
        <v>9.724938882E9</v>
      </c>
      <c r="I236" s="25"/>
      <c r="J236" s="22" t="s">
        <v>1354</v>
      </c>
      <c r="K236" s="22">
        <v>3425.0</v>
      </c>
      <c r="L236" s="53" t="s">
        <v>1331</v>
      </c>
      <c r="M236" s="22" t="s">
        <v>98</v>
      </c>
      <c r="N236" s="23" t="s">
        <v>39</v>
      </c>
      <c r="O236" s="22" t="s">
        <v>106</v>
      </c>
      <c r="P236" s="22" t="s">
        <v>41</v>
      </c>
      <c r="Q236" s="22" t="s">
        <v>1374</v>
      </c>
      <c r="R236" s="28">
        <v>46338.0</v>
      </c>
      <c r="S236" s="22" t="s">
        <v>58</v>
      </c>
      <c r="T236" s="25"/>
      <c r="U236" s="25"/>
      <c r="V236" s="56">
        <v>18767.0</v>
      </c>
      <c r="W236" s="56">
        <v>20059.0</v>
      </c>
      <c r="X236" s="22">
        <v>14237.0</v>
      </c>
      <c r="Y236" s="22">
        <v>13500.0</v>
      </c>
      <c r="Z236" s="16">
        <f t="shared" si="1"/>
        <v>6559</v>
      </c>
      <c r="AA236" s="17">
        <f>Y236-X236</f>
        <v>-737</v>
      </c>
      <c r="AB236" s="22" t="s">
        <v>42</v>
      </c>
      <c r="AC236" s="50" t="s">
        <v>1497</v>
      </c>
      <c r="AD236" s="27"/>
      <c r="AE236" s="27"/>
    </row>
    <row r="237" hidden="1">
      <c r="A237" s="19">
        <v>235.0</v>
      </c>
      <c r="B237" s="22" t="s">
        <v>1469</v>
      </c>
      <c r="C237" s="50" t="s">
        <v>1498</v>
      </c>
      <c r="D237" s="50" t="s">
        <v>1499</v>
      </c>
      <c r="E237" s="22" t="s">
        <v>591</v>
      </c>
      <c r="F237" s="50" t="s">
        <v>1299</v>
      </c>
      <c r="G237" s="50" t="s">
        <v>1500</v>
      </c>
      <c r="H237" s="22" t="s">
        <v>1501</v>
      </c>
      <c r="I237" s="22">
        <v>9.737089999E9</v>
      </c>
      <c r="J237" s="22" t="s">
        <v>1354</v>
      </c>
      <c r="K237" s="22">
        <v>1462.0</v>
      </c>
      <c r="L237" s="53" t="s">
        <v>336</v>
      </c>
      <c r="M237" s="22" t="s">
        <v>265</v>
      </c>
      <c r="N237" s="23" t="s">
        <v>39</v>
      </c>
      <c r="O237" s="22" t="s">
        <v>48</v>
      </c>
      <c r="P237" s="22" t="s">
        <v>41</v>
      </c>
      <c r="Q237" s="22" t="s">
        <v>1374</v>
      </c>
      <c r="R237" s="22" t="s">
        <v>1502</v>
      </c>
      <c r="S237" s="22" t="s">
        <v>1503</v>
      </c>
      <c r="T237" s="22" t="s">
        <v>1504</v>
      </c>
      <c r="U237" s="25"/>
      <c r="V237" s="53">
        <v>17479.0</v>
      </c>
      <c r="W237" s="53">
        <v>20625.0</v>
      </c>
      <c r="X237" s="22">
        <v>20000.0</v>
      </c>
      <c r="Y237" s="22">
        <v>20000.0</v>
      </c>
      <c r="Z237" s="42">
        <f t="shared" si="1"/>
        <v>625</v>
      </c>
      <c r="AA237" s="77"/>
      <c r="AB237" s="22" t="s">
        <v>42</v>
      </c>
      <c r="AC237" s="50" t="s">
        <v>1505</v>
      </c>
      <c r="AD237" s="27"/>
      <c r="AE237" s="27"/>
    </row>
    <row r="238" hidden="1">
      <c r="A238" s="21">
        <v>236.0</v>
      </c>
      <c r="B238" s="22" t="s">
        <v>1469</v>
      </c>
      <c r="C238" s="50" t="s">
        <v>1506</v>
      </c>
      <c r="D238" s="50" t="s">
        <v>1507</v>
      </c>
      <c r="E238" s="22" t="s">
        <v>157</v>
      </c>
      <c r="F238" s="50" t="s">
        <v>1508</v>
      </c>
      <c r="G238" s="50" t="s">
        <v>1509</v>
      </c>
      <c r="H238" s="22" t="s">
        <v>1510</v>
      </c>
      <c r="I238" s="22">
        <v>8.16007457E9</v>
      </c>
      <c r="J238" s="22" t="s">
        <v>1354</v>
      </c>
      <c r="K238" s="22">
        <v>2565.0</v>
      </c>
      <c r="L238" s="53" t="s">
        <v>336</v>
      </c>
      <c r="M238" s="22" t="s">
        <v>265</v>
      </c>
      <c r="N238" s="23" t="s">
        <v>39</v>
      </c>
      <c r="O238" s="22" t="s">
        <v>311</v>
      </c>
      <c r="P238" s="22" t="s">
        <v>41</v>
      </c>
      <c r="Q238" s="22" t="s">
        <v>1374</v>
      </c>
      <c r="R238" s="22" t="s">
        <v>1511</v>
      </c>
      <c r="S238" s="22" t="s">
        <v>1267</v>
      </c>
      <c r="T238" s="25"/>
      <c r="U238" s="25"/>
      <c r="V238" s="53">
        <v>18357.0</v>
      </c>
      <c r="W238" s="53">
        <v>19575.0</v>
      </c>
      <c r="X238" s="22">
        <v>13500.0</v>
      </c>
      <c r="Y238" s="22">
        <v>13500.0</v>
      </c>
      <c r="Z238" s="42">
        <f t="shared" si="1"/>
        <v>6075</v>
      </c>
      <c r="AA238" s="17">
        <f t="shared" ref="AA238:AA239" si="10">Y238-X238</f>
        <v>0</v>
      </c>
      <c r="AB238" s="22" t="s">
        <v>42</v>
      </c>
      <c r="AC238" s="50" t="s">
        <v>1512</v>
      </c>
      <c r="AD238" s="27"/>
      <c r="AE238" s="27"/>
    </row>
    <row r="239" hidden="1">
      <c r="A239" s="21">
        <v>237.0</v>
      </c>
      <c r="B239" s="22" t="s">
        <v>1469</v>
      </c>
      <c r="C239" s="50" t="s">
        <v>1513</v>
      </c>
      <c r="D239" s="50" t="s">
        <v>1514</v>
      </c>
      <c r="E239" s="22" t="s">
        <v>69</v>
      </c>
      <c r="F239" s="50" t="s">
        <v>1515</v>
      </c>
      <c r="G239" s="50" t="s">
        <v>1516</v>
      </c>
      <c r="H239" s="22">
        <v>9.825499994E9</v>
      </c>
      <c r="I239" s="22">
        <v>9.879888303E9</v>
      </c>
      <c r="J239" s="22" t="s">
        <v>1354</v>
      </c>
      <c r="K239" s="53">
        <v>1462.0</v>
      </c>
      <c r="L239" s="53" t="s">
        <v>1331</v>
      </c>
      <c r="M239" s="22" t="s">
        <v>64</v>
      </c>
      <c r="N239" s="23" t="s">
        <v>181</v>
      </c>
      <c r="O239" s="22" t="s">
        <v>236</v>
      </c>
      <c r="P239" s="22" t="s">
        <v>452</v>
      </c>
      <c r="Q239" s="22" t="s">
        <v>1374</v>
      </c>
      <c r="R239" s="22" t="s">
        <v>1517</v>
      </c>
      <c r="S239" s="22" t="s">
        <v>1396</v>
      </c>
      <c r="T239" s="25"/>
      <c r="U239" s="25"/>
      <c r="V239" s="56">
        <v>11778.0</v>
      </c>
      <c r="W239" s="56">
        <v>13898.0</v>
      </c>
      <c r="X239" s="22">
        <v>13800.0</v>
      </c>
      <c r="Y239" s="22">
        <v>13500.0</v>
      </c>
      <c r="Z239" s="16">
        <f t="shared" si="1"/>
        <v>398</v>
      </c>
      <c r="AA239" s="17">
        <f t="shared" si="10"/>
        <v>-300</v>
      </c>
      <c r="AB239" s="22" t="s">
        <v>42</v>
      </c>
      <c r="AC239" s="50" t="s">
        <v>1518</v>
      </c>
      <c r="AD239" s="27"/>
      <c r="AE239" s="27"/>
    </row>
    <row r="240" hidden="1">
      <c r="A240" s="19">
        <v>238.0</v>
      </c>
      <c r="B240" s="22" t="s">
        <v>1469</v>
      </c>
      <c r="C240" s="50" t="s">
        <v>1519</v>
      </c>
      <c r="D240" s="50" t="s">
        <v>1520</v>
      </c>
      <c r="E240" s="22" t="s">
        <v>53</v>
      </c>
      <c r="F240" s="50" t="s">
        <v>54</v>
      </c>
      <c r="G240" s="50" t="s">
        <v>1521</v>
      </c>
      <c r="H240" s="22">
        <v>9.979074423E9</v>
      </c>
      <c r="I240" s="22">
        <v>9.979095265E9</v>
      </c>
      <c r="J240" s="22" t="s">
        <v>1522</v>
      </c>
      <c r="K240" s="22">
        <v>818.0</v>
      </c>
      <c r="L240" s="52">
        <v>46215.0</v>
      </c>
      <c r="M240" s="22" t="s">
        <v>56</v>
      </c>
      <c r="N240" s="23" t="s">
        <v>39</v>
      </c>
      <c r="O240" s="22" t="s">
        <v>48</v>
      </c>
      <c r="P240" s="22" t="s">
        <v>57</v>
      </c>
      <c r="Q240" s="22" t="s">
        <v>1374</v>
      </c>
      <c r="R240" s="28">
        <v>46703.0</v>
      </c>
      <c r="S240" s="22" t="s">
        <v>529</v>
      </c>
      <c r="T240" s="24">
        <v>47515.0</v>
      </c>
      <c r="U240" s="25"/>
      <c r="V240" s="53">
        <v>6930.0</v>
      </c>
      <c r="W240" s="22">
        <v>8178.0</v>
      </c>
      <c r="X240" s="22">
        <v>7500.0</v>
      </c>
      <c r="Y240" s="22">
        <v>7500.0</v>
      </c>
      <c r="Z240" s="42">
        <f t="shared" si="1"/>
        <v>678</v>
      </c>
      <c r="AA240" s="77"/>
      <c r="AB240" s="22" t="s">
        <v>340</v>
      </c>
      <c r="AC240" s="50" t="s">
        <v>1523</v>
      </c>
      <c r="AD240" s="27"/>
      <c r="AE240" s="27"/>
    </row>
    <row r="241" hidden="1">
      <c r="A241" s="21">
        <v>239.0</v>
      </c>
      <c r="B241" s="22" t="s">
        <v>1469</v>
      </c>
      <c r="C241" s="50" t="s">
        <v>1524</v>
      </c>
      <c r="D241" s="50" t="s">
        <v>1525</v>
      </c>
      <c r="E241" s="22" t="s">
        <v>157</v>
      </c>
      <c r="F241" s="50" t="s">
        <v>137</v>
      </c>
      <c r="G241" s="50" t="s">
        <v>1526</v>
      </c>
      <c r="H241" s="22">
        <v>9.978715673E9</v>
      </c>
      <c r="I241" s="22">
        <v>9.979086056E9</v>
      </c>
      <c r="J241" s="22" t="s">
        <v>1354</v>
      </c>
      <c r="K241" s="22">
        <v>1600.0</v>
      </c>
      <c r="L241" s="53" t="s">
        <v>1331</v>
      </c>
      <c r="M241" s="22" t="s">
        <v>64</v>
      </c>
      <c r="N241" s="23" t="s">
        <v>39</v>
      </c>
      <c r="O241" s="22" t="s">
        <v>40</v>
      </c>
      <c r="P241" s="22" t="s">
        <v>41</v>
      </c>
      <c r="Q241" s="22" t="s">
        <v>1374</v>
      </c>
      <c r="R241" s="22" t="s">
        <v>1527</v>
      </c>
      <c r="S241" s="22" t="s">
        <v>212</v>
      </c>
      <c r="T241" s="25"/>
      <c r="U241" s="25"/>
      <c r="V241" s="56">
        <v>20102.0</v>
      </c>
      <c r="W241" s="56">
        <v>21634.0</v>
      </c>
      <c r="X241" s="22">
        <v>13970.0</v>
      </c>
      <c r="Y241" s="22">
        <v>14000.0</v>
      </c>
      <c r="Z241" s="16">
        <f t="shared" si="1"/>
        <v>7634</v>
      </c>
      <c r="AA241" s="17">
        <f>Y241-X241</f>
        <v>30</v>
      </c>
      <c r="AB241" s="22" t="s">
        <v>42</v>
      </c>
      <c r="AC241" s="50" t="s">
        <v>1528</v>
      </c>
      <c r="AD241" s="21" t="s">
        <v>297</v>
      </c>
      <c r="AE241" s="27"/>
      <c r="AF241" s="50" t="s">
        <v>1099</v>
      </c>
      <c r="AG241" s="50" t="s">
        <v>298</v>
      </c>
    </row>
    <row r="242" hidden="1">
      <c r="A242" s="21">
        <v>240.0</v>
      </c>
      <c r="B242" s="22" t="s">
        <v>1469</v>
      </c>
      <c r="C242" s="66" t="s">
        <v>1529</v>
      </c>
      <c r="D242" s="50" t="s">
        <v>1530</v>
      </c>
      <c r="E242" s="22" t="s">
        <v>69</v>
      </c>
      <c r="F242" s="50" t="s">
        <v>1531</v>
      </c>
      <c r="G242" s="50" t="s">
        <v>1532</v>
      </c>
      <c r="H242" s="22" t="s">
        <v>1533</v>
      </c>
      <c r="I242" s="25"/>
      <c r="J242" s="22" t="s">
        <v>1354</v>
      </c>
      <c r="K242" s="22">
        <v>1199.0</v>
      </c>
      <c r="L242" s="62">
        <v>46368.0</v>
      </c>
      <c r="M242" s="22" t="s">
        <v>199</v>
      </c>
      <c r="N242" s="23" t="s">
        <v>81</v>
      </c>
      <c r="O242" s="22" t="s">
        <v>140</v>
      </c>
      <c r="P242" s="22" t="s">
        <v>73</v>
      </c>
      <c r="Q242" s="22" t="s">
        <v>1374</v>
      </c>
      <c r="R242" s="22" t="s">
        <v>1534</v>
      </c>
      <c r="S242" s="24">
        <v>46119.0</v>
      </c>
      <c r="T242" s="25"/>
      <c r="U242" s="25"/>
      <c r="V242" s="22">
        <v>3841.0</v>
      </c>
      <c r="W242" s="22">
        <v>4532.0</v>
      </c>
      <c r="X242" s="22">
        <v>4500.0</v>
      </c>
      <c r="Y242" s="22">
        <v>4500.0</v>
      </c>
      <c r="Z242" s="42">
        <f t="shared" si="1"/>
        <v>32</v>
      </c>
      <c r="AA242" s="77"/>
      <c r="AB242" s="22" t="s">
        <v>340</v>
      </c>
      <c r="AC242" s="50" t="s">
        <v>1535</v>
      </c>
      <c r="AD242" s="27"/>
      <c r="AE242" s="27"/>
    </row>
    <row r="243" hidden="1">
      <c r="A243" s="19">
        <v>241.0</v>
      </c>
      <c r="B243" s="22" t="s">
        <v>1469</v>
      </c>
      <c r="C243" s="50" t="s">
        <v>1536</v>
      </c>
      <c r="D243" s="50" t="s">
        <v>1537</v>
      </c>
      <c r="E243" s="22" t="s">
        <v>53</v>
      </c>
      <c r="F243" s="50" t="s">
        <v>54</v>
      </c>
      <c r="G243" s="50" t="s">
        <v>1538</v>
      </c>
      <c r="H243" s="22">
        <v>9.998409969E9</v>
      </c>
      <c r="I243" s="22">
        <v>9.687199884E9</v>
      </c>
      <c r="J243" s="22" t="s">
        <v>1354</v>
      </c>
      <c r="K243" s="22">
        <v>818.0</v>
      </c>
      <c r="L243" s="53" t="s">
        <v>1416</v>
      </c>
      <c r="M243" s="22" t="s">
        <v>56</v>
      </c>
      <c r="N243" s="23" t="s">
        <v>39</v>
      </c>
      <c r="O243" s="22" t="s">
        <v>236</v>
      </c>
      <c r="P243" s="22" t="s">
        <v>57</v>
      </c>
      <c r="Q243" s="22" t="s">
        <v>1374</v>
      </c>
      <c r="R243" s="22" t="s">
        <v>1267</v>
      </c>
      <c r="S243" s="22" t="s">
        <v>1099</v>
      </c>
      <c r="T243" s="24">
        <v>47220.0</v>
      </c>
      <c r="U243" s="25"/>
      <c r="V243" s="53">
        <v>6926.0</v>
      </c>
      <c r="W243" s="53">
        <v>8172.0</v>
      </c>
      <c r="X243" s="22">
        <v>7500.0</v>
      </c>
      <c r="Y243" s="22">
        <v>7000.0</v>
      </c>
      <c r="Z243" s="42">
        <f t="shared" si="1"/>
        <v>1172</v>
      </c>
      <c r="AA243" s="17">
        <f t="shared" ref="AA243:AA244" si="11">Y243-X243</f>
        <v>-500</v>
      </c>
      <c r="AB243" s="22" t="s">
        <v>42</v>
      </c>
      <c r="AC243" s="50" t="s">
        <v>1539</v>
      </c>
      <c r="AD243" s="27"/>
      <c r="AE243" s="27"/>
    </row>
    <row r="244" hidden="1">
      <c r="A244" s="21">
        <v>242.0</v>
      </c>
      <c r="B244" s="22" t="s">
        <v>1469</v>
      </c>
      <c r="C244" s="50" t="s">
        <v>1540</v>
      </c>
      <c r="D244" s="50" t="s">
        <v>1541</v>
      </c>
      <c r="E244" s="22" t="s">
        <v>53</v>
      </c>
      <c r="F244" s="50" t="s">
        <v>54</v>
      </c>
      <c r="G244" s="50" t="s">
        <v>1542</v>
      </c>
      <c r="H244" s="22">
        <v>9.687914771E9</v>
      </c>
      <c r="I244" s="22">
        <v>9.974167517E9</v>
      </c>
      <c r="J244" s="22" t="s">
        <v>1354</v>
      </c>
      <c r="K244" s="22">
        <v>818.0</v>
      </c>
      <c r="L244" s="53" t="s">
        <v>1543</v>
      </c>
      <c r="M244" s="22" t="s">
        <v>56</v>
      </c>
      <c r="N244" s="23" t="s">
        <v>39</v>
      </c>
      <c r="O244" s="22" t="s">
        <v>40</v>
      </c>
      <c r="P244" s="22" t="s">
        <v>57</v>
      </c>
      <c r="Q244" s="22" t="s">
        <v>1374</v>
      </c>
      <c r="R244" s="22" t="s">
        <v>1158</v>
      </c>
      <c r="S244" s="22" t="s">
        <v>1255</v>
      </c>
      <c r="T244" s="22" t="s">
        <v>1544</v>
      </c>
      <c r="U244" s="25"/>
      <c r="V244" s="53">
        <v>6818.0</v>
      </c>
      <c r="W244" s="53">
        <v>8046.0</v>
      </c>
      <c r="X244" s="22">
        <v>6500.0</v>
      </c>
      <c r="Y244" s="22">
        <v>6500.0</v>
      </c>
      <c r="Z244" s="42">
        <f t="shared" si="1"/>
        <v>1546</v>
      </c>
      <c r="AA244" s="17">
        <f t="shared" si="11"/>
        <v>0</v>
      </c>
      <c r="AB244" s="22" t="s">
        <v>340</v>
      </c>
      <c r="AC244" s="50" t="s">
        <v>1545</v>
      </c>
      <c r="AD244" s="27"/>
      <c r="AE244" s="27"/>
    </row>
    <row r="245" hidden="1">
      <c r="A245" s="21">
        <v>243.0</v>
      </c>
      <c r="B245" s="22" t="s">
        <v>1469</v>
      </c>
      <c r="C245" s="50" t="s">
        <v>1546</v>
      </c>
      <c r="D245" s="50" t="s">
        <v>1547</v>
      </c>
      <c r="E245" s="22" t="s">
        <v>86</v>
      </c>
      <c r="F245" s="50" t="s">
        <v>1548</v>
      </c>
      <c r="G245" s="50" t="s">
        <v>335</v>
      </c>
      <c r="H245" s="22">
        <v>8.980805252E9</v>
      </c>
      <c r="I245" s="22">
        <v>8.404000099E9</v>
      </c>
      <c r="J245" s="22" t="s">
        <v>1354</v>
      </c>
      <c r="K245" s="22">
        <v>35000.0</v>
      </c>
      <c r="L245" s="53" t="s">
        <v>1097</v>
      </c>
      <c r="M245" s="22" t="s">
        <v>38</v>
      </c>
      <c r="N245" s="23" t="s">
        <v>39</v>
      </c>
      <c r="O245" s="22" t="s">
        <v>48</v>
      </c>
      <c r="P245" s="22" t="s">
        <v>41</v>
      </c>
      <c r="Q245" s="22" t="s">
        <v>1374</v>
      </c>
      <c r="R245" s="22" t="s">
        <v>1446</v>
      </c>
      <c r="S245" s="22" t="s">
        <v>1549</v>
      </c>
      <c r="T245" s="22" t="s">
        <v>1550</v>
      </c>
      <c r="U245" s="25"/>
      <c r="V245" s="56">
        <v>54473.0</v>
      </c>
      <c r="W245" s="56">
        <v>58547.0</v>
      </c>
      <c r="X245" s="22">
        <v>47203.0</v>
      </c>
      <c r="Y245" s="22">
        <v>47000.0</v>
      </c>
      <c r="Z245" s="16">
        <f t="shared" si="1"/>
        <v>11547</v>
      </c>
      <c r="AA245" s="77"/>
      <c r="AB245" s="22" t="s">
        <v>340</v>
      </c>
      <c r="AC245" s="50" t="s">
        <v>1551</v>
      </c>
      <c r="AD245" s="27"/>
      <c r="AE245" s="27"/>
    </row>
    <row r="246" hidden="1">
      <c r="A246" s="19">
        <v>244.0</v>
      </c>
      <c r="B246" s="22" t="s">
        <v>1469</v>
      </c>
      <c r="C246" s="21" t="s">
        <v>1552</v>
      </c>
      <c r="D246" s="50" t="s">
        <v>1553</v>
      </c>
      <c r="E246" s="25"/>
      <c r="F246" s="50" t="s">
        <v>1554</v>
      </c>
      <c r="G246" s="50" t="s">
        <v>1555</v>
      </c>
      <c r="H246" s="25"/>
      <c r="I246" s="25"/>
      <c r="J246" s="25"/>
      <c r="K246" s="25"/>
      <c r="L246" s="50" t="s">
        <v>929</v>
      </c>
      <c r="M246" s="22" t="s">
        <v>64</v>
      </c>
      <c r="N246" s="23"/>
      <c r="O246" s="22" t="s">
        <v>140</v>
      </c>
      <c r="P246" s="22" t="s">
        <v>57</v>
      </c>
      <c r="Q246" s="22" t="s">
        <v>1374</v>
      </c>
      <c r="R246" s="25"/>
      <c r="S246" s="25"/>
      <c r="T246" s="25"/>
      <c r="U246" s="25"/>
      <c r="V246" s="60">
        <v>7875.0</v>
      </c>
      <c r="W246" s="56">
        <v>9293.0</v>
      </c>
      <c r="X246" s="25"/>
      <c r="Y246" s="25"/>
      <c r="Z246" s="16">
        <f t="shared" si="1"/>
        <v>9293</v>
      </c>
      <c r="AA246" s="77"/>
      <c r="AB246" s="25"/>
      <c r="AC246" s="50" t="s">
        <v>1556</v>
      </c>
      <c r="AD246" s="27"/>
      <c r="AE246" s="27"/>
    </row>
    <row r="247" hidden="1">
      <c r="A247" s="21">
        <v>245.0</v>
      </c>
      <c r="B247" s="32" t="s">
        <v>1469</v>
      </c>
      <c r="C247" s="43" t="s">
        <v>1557</v>
      </c>
      <c r="D247" s="43" t="s">
        <v>1558</v>
      </c>
      <c r="E247" s="32" t="s">
        <v>86</v>
      </c>
      <c r="F247" s="43" t="s">
        <v>1559</v>
      </c>
      <c r="G247" s="43" t="s">
        <v>1560</v>
      </c>
      <c r="H247" s="32" t="s">
        <v>1561</v>
      </c>
      <c r="I247" s="32" t="s">
        <v>1562</v>
      </c>
      <c r="J247" s="32" t="s">
        <v>1354</v>
      </c>
      <c r="K247" s="32">
        <v>55000.0</v>
      </c>
      <c r="L247" s="46" t="s">
        <v>1331</v>
      </c>
      <c r="M247" s="32" t="s">
        <v>351</v>
      </c>
      <c r="N247" s="33" t="s">
        <v>39</v>
      </c>
      <c r="O247" s="32" t="s">
        <v>140</v>
      </c>
      <c r="P247" s="32" t="s">
        <v>57</v>
      </c>
      <c r="Q247" s="32" t="s">
        <v>1374</v>
      </c>
      <c r="R247" s="32" t="s">
        <v>990</v>
      </c>
      <c r="S247" s="32" t="s">
        <v>990</v>
      </c>
      <c r="T247" s="32" t="s">
        <v>1563</v>
      </c>
      <c r="U247" s="32" t="s">
        <v>1564</v>
      </c>
      <c r="V247" s="46">
        <v>48983.0</v>
      </c>
      <c r="W247" s="46">
        <v>52048.0</v>
      </c>
      <c r="X247" s="32">
        <v>45877.0</v>
      </c>
      <c r="Y247" s="32">
        <v>46000.0</v>
      </c>
      <c r="Z247" s="47">
        <f t="shared" si="1"/>
        <v>6048</v>
      </c>
      <c r="AA247" s="79"/>
      <c r="AB247" s="32" t="s">
        <v>42</v>
      </c>
      <c r="AC247" s="43" t="s">
        <v>1565</v>
      </c>
      <c r="AD247" s="39"/>
      <c r="AE247" s="39"/>
      <c r="AF247" s="40"/>
      <c r="AG247" s="40"/>
    </row>
    <row r="248" hidden="1">
      <c r="A248" s="21">
        <v>246.0</v>
      </c>
      <c r="B248" s="22" t="s">
        <v>1469</v>
      </c>
      <c r="C248" s="21" t="s">
        <v>1566</v>
      </c>
      <c r="D248" s="50" t="s">
        <v>1567</v>
      </c>
      <c r="E248" s="22" t="s">
        <v>157</v>
      </c>
      <c r="F248" s="50" t="s">
        <v>1568</v>
      </c>
      <c r="G248" s="50" t="s">
        <v>1569</v>
      </c>
      <c r="H248" s="22" t="s">
        <v>1570</v>
      </c>
      <c r="I248" s="22">
        <v>9.925351331E9</v>
      </c>
      <c r="J248" s="22" t="s">
        <v>1354</v>
      </c>
      <c r="K248" s="53">
        <v>1600.0</v>
      </c>
      <c r="L248" s="53" t="s">
        <v>1331</v>
      </c>
      <c r="M248" s="22" t="s">
        <v>98</v>
      </c>
      <c r="N248" s="23" t="s">
        <v>39</v>
      </c>
      <c r="O248" s="22" t="s">
        <v>140</v>
      </c>
      <c r="P248" s="25"/>
      <c r="Q248" s="22" t="s">
        <v>1374</v>
      </c>
      <c r="R248" s="25"/>
      <c r="S248" s="25"/>
      <c r="T248" s="25"/>
      <c r="U248" s="25"/>
      <c r="V248" s="53">
        <v>20000.0</v>
      </c>
      <c r="W248" s="53">
        <v>21514.0</v>
      </c>
      <c r="X248" s="53">
        <v>21514.0</v>
      </c>
      <c r="Y248" s="53">
        <v>21514.0</v>
      </c>
      <c r="Z248" s="42">
        <f t="shared" si="1"/>
        <v>0</v>
      </c>
      <c r="AA248" s="77"/>
      <c r="AB248" s="25"/>
      <c r="AC248" s="50" t="s">
        <v>1571</v>
      </c>
      <c r="AD248" s="27"/>
      <c r="AE248" s="27"/>
    </row>
    <row r="249" hidden="1">
      <c r="A249" s="19">
        <v>247.0</v>
      </c>
      <c r="B249" s="32" t="s">
        <v>1469</v>
      </c>
      <c r="C249" s="43" t="s">
        <v>1572</v>
      </c>
      <c r="D249" s="43" t="s">
        <v>1573</v>
      </c>
      <c r="E249" s="32" t="s">
        <v>157</v>
      </c>
      <c r="F249" s="43" t="s">
        <v>371</v>
      </c>
      <c r="G249" s="43" t="s">
        <v>1574</v>
      </c>
      <c r="H249" s="32" t="s">
        <v>1575</v>
      </c>
      <c r="I249" s="35"/>
      <c r="J249" s="32" t="s">
        <v>1354</v>
      </c>
      <c r="K249" s="46">
        <v>3490.0</v>
      </c>
      <c r="L249" s="32" t="s">
        <v>413</v>
      </c>
      <c r="M249" s="32" t="s">
        <v>98</v>
      </c>
      <c r="N249" s="33" t="s">
        <v>39</v>
      </c>
      <c r="O249" s="32" t="s">
        <v>140</v>
      </c>
      <c r="P249" s="32" t="s">
        <v>57</v>
      </c>
      <c r="Q249" s="32" t="s">
        <v>1374</v>
      </c>
      <c r="R249" s="32" t="s">
        <v>1576</v>
      </c>
      <c r="S249" s="32" t="s">
        <v>1577</v>
      </c>
      <c r="T249" s="35"/>
      <c r="U249" s="35"/>
      <c r="V249" s="44">
        <v>17538.0</v>
      </c>
      <c r="W249" s="44">
        <v>18608.0</v>
      </c>
      <c r="X249" s="32">
        <v>13453.0</v>
      </c>
      <c r="Y249" s="32">
        <v>13500.0</v>
      </c>
      <c r="Z249" s="38">
        <f t="shared" si="1"/>
        <v>5108</v>
      </c>
      <c r="AA249" s="79"/>
      <c r="AB249" s="32" t="s">
        <v>42</v>
      </c>
      <c r="AC249" s="43" t="s">
        <v>1578</v>
      </c>
      <c r="AD249" s="39"/>
      <c r="AE249" s="39"/>
      <c r="AF249" s="40"/>
      <c r="AG249" s="40"/>
    </row>
    <row r="250" hidden="1">
      <c r="A250" s="21">
        <v>248.0</v>
      </c>
      <c r="B250" s="22" t="s">
        <v>1469</v>
      </c>
      <c r="C250" s="50" t="s">
        <v>1579</v>
      </c>
      <c r="D250" s="50" t="s">
        <v>1580</v>
      </c>
      <c r="E250" s="22" t="s">
        <v>53</v>
      </c>
      <c r="F250" s="50" t="s">
        <v>54</v>
      </c>
      <c r="G250" s="50" t="s">
        <v>1581</v>
      </c>
      <c r="H250" s="22">
        <v>9.712648022E9</v>
      </c>
      <c r="I250" s="22">
        <v>7.201843738E9</v>
      </c>
      <c r="J250" s="22" t="s">
        <v>1354</v>
      </c>
      <c r="K250" s="22">
        <v>818.0</v>
      </c>
      <c r="L250" s="53" t="s">
        <v>1331</v>
      </c>
      <c r="M250" s="22" t="s">
        <v>56</v>
      </c>
      <c r="N250" s="23" t="s">
        <v>39</v>
      </c>
      <c r="O250" s="22" t="s">
        <v>337</v>
      </c>
      <c r="P250" s="22" t="s">
        <v>57</v>
      </c>
      <c r="Q250" s="22" t="s">
        <v>1374</v>
      </c>
      <c r="R250" s="22" t="s">
        <v>168</v>
      </c>
      <c r="S250" s="22" t="s">
        <v>536</v>
      </c>
      <c r="T250" s="22" t="s">
        <v>810</v>
      </c>
      <c r="U250" s="25"/>
      <c r="V250" s="53">
        <v>6279.0</v>
      </c>
      <c r="W250" s="53">
        <v>7409.0</v>
      </c>
      <c r="X250" s="22">
        <v>6500.0</v>
      </c>
      <c r="Y250" s="22">
        <v>6300.0</v>
      </c>
      <c r="Z250" s="42">
        <f t="shared" si="1"/>
        <v>1109</v>
      </c>
      <c r="AA250" s="17">
        <f t="shared" ref="AA250:AA253" si="12">Y250-X250</f>
        <v>-200</v>
      </c>
      <c r="AB250" s="22" t="s">
        <v>42</v>
      </c>
      <c r="AC250" s="50" t="s">
        <v>1582</v>
      </c>
      <c r="AD250" s="27"/>
      <c r="AE250" s="27"/>
    </row>
    <row r="251" hidden="1">
      <c r="A251" s="21">
        <v>249.0</v>
      </c>
      <c r="B251" s="22" t="s">
        <v>1469</v>
      </c>
      <c r="C251" s="50" t="s">
        <v>1583</v>
      </c>
      <c r="D251" s="50" t="s">
        <v>1584</v>
      </c>
      <c r="E251" s="22" t="s">
        <v>86</v>
      </c>
      <c r="F251" s="50" t="s">
        <v>1135</v>
      </c>
      <c r="G251" s="50" t="s">
        <v>1136</v>
      </c>
      <c r="H251" s="22">
        <v>8.329666175E9</v>
      </c>
      <c r="I251" s="25"/>
      <c r="J251" s="22" t="s">
        <v>1354</v>
      </c>
      <c r="K251" s="22">
        <v>45500.0</v>
      </c>
      <c r="L251" s="53" t="s">
        <v>413</v>
      </c>
      <c r="M251" s="22" t="s">
        <v>351</v>
      </c>
      <c r="N251" s="23" t="s">
        <v>39</v>
      </c>
      <c r="O251" s="22" t="s">
        <v>128</v>
      </c>
      <c r="P251" s="22" t="s">
        <v>57</v>
      </c>
      <c r="Q251" s="22" t="s">
        <v>1368</v>
      </c>
      <c r="R251" s="22" t="s">
        <v>1585</v>
      </c>
      <c r="S251" s="22" t="s">
        <v>1186</v>
      </c>
      <c r="T251" s="24">
        <v>47760.0</v>
      </c>
      <c r="U251" s="25"/>
      <c r="V251" s="53">
        <v>47784.0</v>
      </c>
      <c r="W251" s="53">
        <v>50634.0</v>
      </c>
      <c r="X251" s="22">
        <v>42517.0</v>
      </c>
      <c r="Y251" s="22">
        <v>42500.0</v>
      </c>
      <c r="Z251" s="42">
        <f t="shared" si="1"/>
        <v>8134</v>
      </c>
      <c r="AA251" s="17">
        <f t="shared" si="12"/>
        <v>-17</v>
      </c>
      <c r="AB251" s="22" t="s">
        <v>42</v>
      </c>
      <c r="AC251" s="50" t="s">
        <v>1138</v>
      </c>
      <c r="AD251" s="27"/>
      <c r="AE251" s="27"/>
    </row>
    <row r="252" hidden="1">
      <c r="A252" s="19">
        <v>250.0</v>
      </c>
      <c r="B252" s="22" t="s">
        <v>1586</v>
      </c>
      <c r="C252" s="50" t="s">
        <v>1587</v>
      </c>
      <c r="D252" s="50" t="s">
        <v>1588</v>
      </c>
      <c r="E252" s="22" t="s">
        <v>69</v>
      </c>
      <c r="F252" s="50" t="s">
        <v>1589</v>
      </c>
      <c r="G252" s="50" t="s">
        <v>1590</v>
      </c>
      <c r="H252" s="22">
        <v>9.979020556E9</v>
      </c>
      <c r="I252" s="22">
        <v>9.925786512E9</v>
      </c>
      <c r="J252" s="22" t="s">
        <v>1354</v>
      </c>
      <c r="K252" s="22">
        <v>1197.0</v>
      </c>
      <c r="L252" s="53" t="s">
        <v>413</v>
      </c>
      <c r="M252" s="22" t="s">
        <v>105</v>
      </c>
      <c r="N252" s="23" t="s">
        <v>39</v>
      </c>
      <c r="O252" s="22" t="s">
        <v>1373</v>
      </c>
      <c r="P252" s="22" t="s">
        <v>73</v>
      </c>
      <c r="Q252" s="22" t="s">
        <v>1374</v>
      </c>
      <c r="R252" s="24">
        <v>50406.0</v>
      </c>
      <c r="S252" s="24">
        <v>46063.0</v>
      </c>
      <c r="T252" s="25"/>
      <c r="U252" s="25"/>
      <c r="V252" s="56">
        <v>10335.0</v>
      </c>
      <c r="W252" s="56">
        <v>12195.0</v>
      </c>
      <c r="X252" s="22">
        <v>12195.0</v>
      </c>
      <c r="Y252" s="22">
        <v>11821.0</v>
      </c>
      <c r="Z252" s="16">
        <f t="shared" si="1"/>
        <v>374</v>
      </c>
      <c r="AA252" s="77">
        <f t="shared" si="12"/>
        <v>-374</v>
      </c>
      <c r="AB252" s="22" t="s">
        <v>42</v>
      </c>
      <c r="AC252" s="50" t="s">
        <v>1591</v>
      </c>
      <c r="AD252" s="21">
        <v>1.477758143E9</v>
      </c>
      <c r="AE252" s="27"/>
      <c r="AF252" s="50" t="s">
        <v>1099</v>
      </c>
    </row>
    <row r="253" hidden="1">
      <c r="A253" s="21">
        <v>251.0</v>
      </c>
      <c r="B253" s="22" t="s">
        <v>1586</v>
      </c>
      <c r="C253" s="50" t="s">
        <v>1592</v>
      </c>
      <c r="D253" s="50" t="s">
        <v>1593</v>
      </c>
      <c r="E253" s="22" t="s">
        <v>157</v>
      </c>
      <c r="F253" s="50" t="s">
        <v>301</v>
      </c>
      <c r="G253" s="50" t="s">
        <v>1594</v>
      </c>
      <c r="H253" s="22">
        <v>7.228983612E9</v>
      </c>
      <c r="I253" s="22">
        <v>8.758570689E9</v>
      </c>
      <c r="J253" s="22" t="s">
        <v>1354</v>
      </c>
      <c r="K253" s="22">
        <v>3460.0</v>
      </c>
      <c r="L253" s="52">
        <v>46034.0</v>
      </c>
      <c r="M253" s="22" t="s">
        <v>38</v>
      </c>
      <c r="N253" s="23" t="s">
        <v>39</v>
      </c>
      <c r="O253" s="22" t="s">
        <v>337</v>
      </c>
      <c r="P253" s="22" t="s">
        <v>41</v>
      </c>
      <c r="Q253" s="22" t="s">
        <v>1374</v>
      </c>
      <c r="R253" s="24">
        <v>46065.0</v>
      </c>
      <c r="S253" s="24">
        <v>45700.0</v>
      </c>
      <c r="T253" s="22" t="s">
        <v>122</v>
      </c>
      <c r="U253" s="25"/>
      <c r="V253" s="56">
        <v>21964.0</v>
      </c>
      <c r="W253" s="56">
        <v>23819.0</v>
      </c>
      <c r="X253" s="22">
        <v>15476.0</v>
      </c>
      <c r="Y253" s="22">
        <v>15500.0</v>
      </c>
      <c r="Z253" s="16">
        <f t="shared" si="1"/>
        <v>8319</v>
      </c>
      <c r="AA253" s="17">
        <f t="shared" si="12"/>
        <v>24</v>
      </c>
      <c r="AB253" s="22" t="s">
        <v>340</v>
      </c>
      <c r="AC253" s="50" t="s">
        <v>1595</v>
      </c>
      <c r="AD253" s="21" t="s">
        <v>671</v>
      </c>
      <c r="AE253" s="27"/>
      <c r="AF253" s="50" t="s">
        <v>1099</v>
      </c>
      <c r="AG253" s="50" t="s">
        <v>298</v>
      </c>
    </row>
    <row r="254" hidden="1">
      <c r="A254" s="21">
        <v>252.0</v>
      </c>
      <c r="B254" s="22" t="s">
        <v>1586</v>
      </c>
      <c r="C254" s="50" t="s">
        <v>1596</v>
      </c>
      <c r="D254" s="50" t="s">
        <v>1597</v>
      </c>
      <c r="E254" s="22" t="s">
        <v>69</v>
      </c>
      <c r="F254" s="50" t="s">
        <v>1598</v>
      </c>
      <c r="G254" s="50" t="s">
        <v>1599</v>
      </c>
      <c r="H254" s="22" t="s">
        <v>1600</v>
      </c>
      <c r="I254" s="25"/>
      <c r="J254" s="22" t="s">
        <v>1354</v>
      </c>
      <c r="K254" s="53">
        <v>2184.0</v>
      </c>
      <c r="L254" s="53" t="s">
        <v>1416</v>
      </c>
      <c r="M254" s="22" t="s">
        <v>98</v>
      </c>
      <c r="N254" s="23" t="s">
        <v>181</v>
      </c>
      <c r="O254" s="22" t="s">
        <v>140</v>
      </c>
      <c r="P254" s="22" t="s">
        <v>73</v>
      </c>
      <c r="Q254" s="22" t="s">
        <v>1374</v>
      </c>
      <c r="R254" s="22" t="s">
        <v>1601</v>
      </c>
      <c r="S254" s="22" t="s">
        <v>1602</v>
      </c>
      <c r="T254" s="25"/>
      <c r="U254" s="25"/>
      <c r="V254" s="56">
        <v>14579.0</v>
      </c>
      <c r="W254" s="56">
        <v>17203.0</v>
      </c>
      <c r="X254" s="22">
        <v>17200.0</v>
      </c>
      <c r="Y254" s="22">
        <v>17200.0</v>
      </c>
      <c r="Z254" s="16">
        <f t="shared" si="1"/>
        <v>3</v>
      </c>
      <c r="AA254" s="77"/>
      <c r="AB254" s="22" t="s">
        <v>42</v>
      </c>
      <c r="AC254" s="50" t="s">
        <v>1603</v>
      </c>
      <c r="AD254" s="21" t="s">
        <v>671</v>
      </c>
      <c r="AE254" s="27"/>
      <c r="AF254" s="59">
        <v>45912.0</v>
      </c>
      <c r="AG254" s="50"/>
    </row>
    <row r="255" hidden="1">
      <c r="A255" s="19">
        <v>253.0</v>
      </c>
      <c r="B255" s="22" t="s">
        <v>1586</v>
      </c>
      <c r="C255" s="50" t="s">
        <v>1604</v>
      </c>
      <c r="D255" s="50" t="s">
        <v>1605</v>
      </c>
      <c r="E255" s="22" t="s">
        <v>69</v>
      </c>
      <c r="F255" s="50" t="s">
        <v>1606</v>
      </c>
      <c r="G255" s="50" t="s">
        <v>1607</v>
      </c>
      <c r="H255" s="22">
        <v>9.601399137E9</v>
      </c>
      <c r="I255" s="25"/>
      <c r="J255" s="22" t="s">
        <v>1439</v>
      </c>
      <c r="K255" s="22">
        <v>1199.0</v>
      </c>
      <c r="L255" s="53" t="s">
        <v>1416</v>
      </c>
      <c r="M255" s="22" t="s">
        <v>199</v>
      </c>
      <c r="N255" s="23" t="s">
        <v>81</v>
      </c>
      <c r="O255" s="22" t="s">
        <v>140</v>
      </c>
      <c r="P255" s="22" t="s">
        <v>73</v>
      </c>
      <c r="Q255" s="22" t="s">
        <v>1374</v>
      </c>
      <c r="R255" s="24">
        <v>46816.0</v>
      </c>
      <c r="S255" s="22" t="s">
        <v>1396</v>
      </c>
      <c r="T255" s="25"/>
      <c r="U255" s="25"/>
      <c r="V255" s="22">
        <v>3416.0</v>
      </c>
      <c r="W255" s="22">
        <v>4031.0</v>
      </c>
      <c r="X255" s="22">
        <v>4000.0</v>
      </c>
      <c r="Y255" s="22">
        <v>4000.0</v>
      </c>
      <c r="Z255" s="42">
        <f t="shared" si="1"/>
        <v>31</v>
      </c>
      <c r="AA255" s="77"/>
      <c r="AB255" s="22" t="s">
        <v>42</v>
      </c>
      <c r="AC255" s="50" t="s">
        <v>1608</v>
      </c>
      <c r="AD255" s="21" t="s">
        <v>297</v>
      </c>
      <c r="AE255" s="27"/>
      <c r="AF255" s="50" t="s">
        <v>1099</v>
      </c>
      <c r="AG255" s="50" t="s">
        <v>298</v>
      </c>
    </row>
    <row r="256" hidden="1">
      <c r="A256" s="21">
        <v>254.0</v>
      </c>
      <c r="B256" s="22" t="s">
        <v>1586</v>
      </c>
      <c r="C256" s="50" t="s">
        <v>1609</v>
      </c>
      <c r="D256" s="50" t="s">
        <v>1610</v>
      </c>
      <c r="E256" s="22" t="s">
        <v>525</v>
      </c>
      <c r="F256" s="50" t="s">
        <v>1611</v>
      </c>
      <c r="G256" s="50" t="s">
        <v>1612</v>
      </c>
      <c r="H256" s="22">
        <v>9.586603743E9</v>
      </c>
      <c r="I256" s="22">
        <v>6.355053083E9</v>
      </c>
      <c r="J256" s="22" t="s">
        <v>1354</v>
      </c>
      <c r="K256" s="53">
        <v>9600.0</v>
      </c>
      <c r="L256" s="53" t="s">
        <v>413</v>
      </c>
      <c r="M256" s="22" t="s">
        <v>56</v>
      </c>
      <c r="N256" s="23" t="s">
        <v>81</v>
      </c>
      <c r="O256" s="22" t="s">
        <v>1373</v>
      </c>
      <c r="P256" s="22" t="s">
        <v>57</v>
      </c>
      <c r="Q256" s="22" t="s">
        <v>1374</v>
      </c>
      <c r="R256" s="22" t="s">
        <v>1613</v>
      </c>
      <c r="S256" s="22" t="s">
        <v>1614</v>
      </c>
      <c r="T256" s="25"/>
      <c r="U256" s="25"/>
      <c r="V256" s="53">
        <v>27286.0</v>
      </c>
      <c r="W256" s="53">
        <v>28664.0</v>
      </c>
      <c r="X256" s="22">
        <v>23500.0</v>
      </c>
      <c r="Y256" s="22">
        <v>23500.0</v>
      </c>
      <c r="Z256" s="42">
        <f t="shared" si="1"/>
        <v>5164</v>
      </c>
      <c r="AA256" s="77">
        <f t="shared" ref="AA256:AA258" si="13">Y256-X256</f>
        <v>0</v>
      </c>
      <c r="AB256" s="22" t="s">
        <v>42</v>
      </c>
      <c r="AC256" s="50" t="s">
        <v>1615</v>
      </c>
      <c r="AD256" s="27"/>
      <c r="AE256" s="27"/>
    </row>
    <row r="257" hidden="1">
      <c r="A257" s="21">
        <v>255.0</v>
      </c>
      <c r="B257" s="22" t="s">
        <v>1586</v>
      </c>
      <c r="C257" s="50" t="s">
        <v>1616</v>
      </c>
      <c r="D257" s="50" t="s">
        <v>1617</v>
      </c>
      <c r="E257" s="22" t="s">
        <v>69</v>
      </c>
      <c r="F257" s="50" t="s">
        <v>1618</v>
      </c>
      <c r="G257" s="50" t="s">
        <v>1619</v>
      </c>
      <c r="H257" s="22">
        <v>9.925770343E9</v>
      </c>
      <c r="I257" s="22">
        <v>9.879900971E9</v>
      </c>
      <c r="J257" s="22" t="s">
        <v>1354</v>
      </c>
      <c r="K257" s="22">
        <v>1197.0</v>
      </c>
      <c r="L257" s="22" t="s">
        <v>413</v>
      </c>
      <c r="M257" s="22" t="s">
        <v>329</v>
      </c>
      <c r="N257" s="23" t="s">
        <v>39</v>
      </c>
      <c r="O257" s="22" t="s">
        <v>352</v>
      </c>
      <c r="P257" s="22" t="s">
        <v>73</v>
      </c>
      <c r="Q257" s="22" t="s">
        <v>1374</v>
      </c>
      <c r="R257" s="24">
        <v>49321.0</v>
      </c>
      <c r="S257" s="24">
        <v>46088.0</v>
      </c>
      <c r="T257" s="25"/>
      <c r="U257" s="25"/>
      <c r="V257" s="60">
        <v>5486.0</v>
      </c>
      <c r="W257" s="56">
        <v>6473.0</v>
      </c>
      <c r="X257" s="22">
        <v>7472.0</v>
      </c>
      <c r="Y257" s="22">
        <v>7400.0</v>
      </c>
      <c r="Z257" s="16">
        <f t="shared" si="1"/>
        <v>-927</v>
      </c>
      <c r="AA257" s="17">
        <f t="shared" si="13"/>
        <v>-72</v>
      </c>
      <c r="AB257" s="22" t="s">
        <v>42</v>
      </c>
      <c r="AC257" s="50" t="s">
        <v>1620</v>
      </c>
      <c r="AD257" s="21" t="s">
        <v>671</v>
      </c>
      <c r="AE257" s="27"/>
      <c r="AF257" s="50" t="s">
        <v>1099</v>
      </c>
      <c r="AG257" s="50" t="s">
        <v>475</v>
      </c>
    </row>
    <row r="258" hidden="1">
      <c r="A258" s="19">
        <v>256.0</v>
      </c>
      <c r="B258" s="22" t="s">
        <v>1586</v>
      </c>
      <c r="C258" s="50" t="s">
        <v>1621</v>
      </c>
      <c r="D258" s="50" t="s">
        <v>1622</v>
      </c>
      <c r="E258" s="22" t="s">
        <v>255</v>
      </c>
      <c r="F258" s="50" t="s">
        <v>1623</v>
      </c>
      <c r="G258" s="50" t="s">
        <v>256</v>
      </c>
      <c r="H258" s="22">
        <v>9.408910259E9</v>
      </c>
      <c r="I258" s="22">
        <v>9.712049839E9</v>
      </c>
      <c r="J258" s="22" t="s">
        <v>1354</v>
      </c>
      <c r="K258" s="22">
        <v>995.0</v>
      </c>
      <c r="L258" s="53" t="s">
        <v>413</v>
      </c>
      <c r="M258" s="22" t="s">
        <v>258</v>
      </c>
      <c r="N258" s="23" t="s">
        <v>39</v>
      </c>
      <c r="O258" s="22" t="s">
        <v>311</v>
      </c>
      <c r="P258" s="22" t="s">
        <v>57</v>
      </c>
      <c r="Q258" s="22" t="s">
        <v>1374</v>
      </c>
      <c r="R258" s="22" t="s">
        <v>58</v>
      </c>
      <c r="S258" s="22" t="s">
        <v>933</v>
      </c>
      <c r="T258" s="25"/>
      <c r="U258" s="25"/>
      <c r="V258" s="56">
        <v>5987.0</v>
      </c>
      <c r="W258" s="56">
        <v>6473.0</v>
      </c>
      <c r="X258" s="22">
        <v>6000.0</v>
      </c>
      <c r="Y258" s="22">
        <v>6000.0</v>
      </c>
      <c r="Z258" s="16">
        <f t="shared" si="1"/>
        <v>473</v>
      </c>
      <c r="AA258" s="17">
        <f t="shared" si="13"/>
        <v>0</v>
      </c>
      <c r="AB258" s="22" t="s">
        <v>42</v>
      </c>
      <c r="AC258" s="50" t="s">
        <v>1624</v>
      </c>
      <c r="AD258" s="21" t="s">
        <v>297</v>
      </c>
      <c r="AE258" s="27"/>
      <c r="AF258" s="50" t="s">
        <v>930</v>
      </c>
      <c r="AG258" s="50" t="s">
        <v>298</v>
      </c>
    </row>
    <row r="259">
      <c r="A259" s="21">
        <v>257.0</v>
      </c>
      <c r="B259" s="22" t="s">
        <v>1586</v>
      </c>
      <c r="C259" s="50" t="s">
        <v>1625</v>
      </c>
      <c r="D259" s="50" t="s">
        <v>1626</v>
      </c>
      <c r="E259" s="22" t="s">
        <v>255</v>
      </c>
      <c r="F259" s="50" t="s">
        <v>1627</v>
      </c>
      <c r="G259" s="50" t="s">
        <v>1628</v>
      </c>
      <c r="H259" s="22">
        <v>9.909548086E9</v>
      </c>
      <c r="I259" s="22">
        <v>8.128794298E9</v>
      </c>
      <c r="J259" s="22" t="s">
        <v>1354</v>
      </c>
      <c r="K259" s="22">
        <v>990.0</v>
      </c>
      <c r="L259" s="53" t="s">
        <v>413</v>
      </c>
      <c r="M259" s="22" t="s">
        <v>167</v>
      </c>
      <c r="N259" s="23" t="s">
        <v>39</v>
      </c>
      <c r="O259" s="22" t="s">
        <v>1278</v>
      </c>
      <c r="P259" s="22" t="s">
        <v>41</v>
      </c>
      <c r="Q259" s="22" t="s">
        <v>1374</v>
      </c>
      <c r="R259" s="22" t="s">
        <v>888</v>
      </c>
      <c r="S259" s="22" t="s">
        <v>1267</v>
      </c>
      <c r="T259" s="25"/>
      <c r="U259" s="25"/>
      <c r="V259" s="56">
        <v>5089.15</v>
      </c>
      <c r="W259" s="53">
        <v>5421.0</v>
      </c>
      <c r="X259" s="22">
        <v>5000.0</v>
      </c>
      <c r="Y259" s="22">
        <v>5000.0</v>
      </c>
      <c r="Z259" s="42">
        <f t="shared" si="1"/>
        <v>421</v>
      </c>
      <c r="AA259" s="77"/>
      <c r="AB259" s="22" t="s">
        <v>42</v>
      </c>
      <c r="AC259" s="50" t="s">
        <v>1629</v>
      </c>
      <c r="AD259" s="21" t="s">
        <v>297</v>
      </c>
      <c r="AE259" s="27"/>
      <c r="AF259" s="59">
        <v>45700.0</v>
      </c>
      <c r="AG259" s="50" t="s">
        <v>298</v>
      </c>
    </row>
    <row r="260" hidden="1">
      <c r="A260" s="21">
        <v>258.0</v>
      </c>
      <c r="B260" s="22" t="s">
        <v>1586</v>
      </c>
      <c r="C260" s="50" t="s">
        <v>1630</v>
      </c>
      <c r="D260" s="50" t="s">
        <v>1631</v>
      </c>
      <c r="E260" s="22" t="s">
        <v>86</v>
      </c>
      <c r="F260" s="50" t="s">
        <v>1632</v>
      </c>
      <c r="G260" s="50" t="s">
        <v>1633</v>
      </c>
      <c r="H260" s="22">
        <v>9.664572296E9</v>
      </c>
      <c r="I260" s="22">
        <v>9.824771543E9</v>
      </c>
      <c r="J260" s="22" t="s">
        <v>1354</v>
      </c>
      <c r="K260" s="22">
        <v>18500.0</v>
      </c>
      <c r="L260" s="53" t="s">
        <v>1097</v>
      </c>
      <c r="M260" s="22" t="s">
        <v>167</v>
      </c>
      <c r="N260" s="23" t="s">
        <v>39</v>
      </c>
      <c r="O260" s="22" t="s">
        <v>259</v>
      </c>
      <c r="P260" s="22" t="s">
        <v>41</v>
      </c>
      <c r="Q260" s="22" t="s">
        <v>1374</v>
      </c>
      <c r="R260" s="22" t="s">
        <v>1634</v>
      </c>
      <c r="S260" s="22" t="s">
        <v>1635</v>
      </c>
      <c r="T260" s="24">
        <v>47518.0</v>
      </c>
      <c r="U260" s="25"/>
      <c r="V260" s="56">
        <v>37178.18</v>
      </c>
      <c r="W260" s="53">
        <v>39280.0</v>
      </c>
      <c r="X260" s="22">
        <v>33383.0</v>
      </c>
      <c r="Y260" s="22">
        <v>34000.0</v>
      </c>
      <c r="Z260" s="42">
        <f t="shared" si="1"/>
        <v>5280</v>
      </c>
      <c r="AA260" s="17">
        <f>Y260-X260</f>
        <v>617</v>
      </c>
      <c r="AB260" s="22" t="s">
        <v>340</v>
      </c>
      <c r="AC260" s="50" t="s">
        <v>1636</v>
      </c>
      <c r="AD260" s="27"/>
      <c r="AE260" s="27"/>
    </row>
    <row r="261" hidden="1">
      <c r="A261" s="19">
        <v>259.0</v>
      </c>
      <c r="B261" s="22" t="s">
        <v>1586</v>
      </c>
      <c r="C261" s="50" t="s">
        <v>1637</v>
      </c>
      <c r="D261" s="50" t="s">
        <v>1638</v>
      </c>
      <c r="E261" s="22" t="s">
        <v>591</v>
      </c>
      <c r="F261" s="50" t="s">
        <v>1639</v>
      </c>
      <c r="G261" s="50" t="s">
        <v>1640</v>
      </c>
      <c r="H261" s="22">
        <v>9.099665588E9</v>
      </c>
      <c r="I261" s="22">
        <v>9.925235057E9</v>
      </c>
      <c r="J261" s="22" t="s">
        <v>1354</v>
      </c>
      <c r="K261" s="22">
        <v>2596.0</v>
      </c>
      <c r="L261" s="53" t="s">
        <v>413</v>
      </c>
      <c r="M261" s="22" t="s">
        <v>1641</v>
      </c>
      <c r="N261" s="23" t="s">
        <v>81</v>
      </c>
      <c r="O261" s="22" t="s">
        <v>236</v>
      </c>
      <c r="P261" s="22" t="s">
        <v>57</v>
      </c>
      <c r="Q261" s="22" t="s">
        <v>1374</v>
      </c>
      <c r="R261" s="22" t="s">
        <v>1386</v>
      </c>
      <c r="S261" s="22" t="s">
        <v>1642</v>
      </c>
      <c r="T261" s="24">
        <v>47063.0</v>
      </c>
      <c r="U261" s="25"/>
      <c r="V261" s="56">
        <v>24967.0</v>
      </c>
      <c r="W261" s="53">
        <v>29461.06</v>
      </c>
      <c r="X261" s="22">
        <v>28500.0</v>
      </c>
      <c r="Y261" s="22">
        <v>28000.0</v>
      </c>
      <c r="Z261" s="42">
        <f t="shared" si="1"/>
        <v>1461.06</v>
      </c>
      <c r="AA261" s="41">
        <v>500.0</v>
      </c>
      <c r="AB261" s="22" t="s">
        <v>42</v>
      </c>
      <c r="AC261" s="50" t="s">
        <v>1643</v>
      </c>
      <c r="AD261" s="21" t="s">
        <v>357</v>
      </c>
      <c r="AE261" s="21">
        <v>1.477758142E9</v>
      </c>
      <c r="AF261" s="50" t="s">
        <v>1099</v>
      </c>
      <c r="AG261" s="50" t="s">
        <v>475</v>
      </c>
    </row>
    <row r="262" hidden="1">
      <c r="A262" s="21">
        <v>260.0</v>
      </c>
      <c r="B262" s="22" t="s">
        <v>1644</v>
      </c>
      <c r="C262" s="50" t="s">
        <v>1645</v>
      </c>
      <c r="D262" s="50" t="s">
        <v>1646</v>
      </c>
      <c r="E262" s="22" t="s">
        <v>157</v>
      </c>
      <c r="F262" s="50" t="s">
        <v>1428</v>
      </c>
      <c r="G262" s="50" t="s">
        <v>1647</v>
      </c>
      <c r="H262" s="22">
        <v>9.904316344E9</v>
      </c>
      <c r="I262" s="22">
        <v>9.377709555E9</v>
      </c>
      <c r="J262" s="22" t="s">
        <v>1354</v>
      </c>
      <c r="K262" s="53">
        <v>2670.0</v>
      </c>
      <c r="L262" s="63">
        <v>46338.0</v>
      </c>
      <c r="M262" s="22" t="s">
        <v>1648</v>
      </c>
      <c r="N262" s="23" t="s">
        <v>81</v>
      </c>
      <c r="O262" s="22" t="s">
        <v>236</v>
      </c>
      <c r="P262" s="22" t="s">
        <v>41</v>
      </c>
      <c r="Q262" s="22" t="s">
        <v>1374</v>
      </c>
      <c r="R262" s="22" t="s">
        <v>888</v>
      </c>
      <c r="S262" s="22" t="s">
        <v>1267</v>
      </c>
      <c r="T262" s="25"/>
      <c r="U262" s="25"/>
      <c r="V262" s="60">
        <v>16149.0</v>
      </c>
      <c r="W262" s="56">
        <v>16969.0</v>
      </c>
      <c r="X262" s="22">
        <v>11500.0</v>
      </c>
      <c r="Y262" s="22">
        <v>10500.0</v>
      </c>
      <c r="Z262" s="16">
        <f t="shared" si="1"/>
        <v>6469</v>
      </c>
      <c r="AA262" s="41">
        <v>0.0</v>
      </c>
      <c r="AB262" s="22" t="s">
        <v>340</v>
      </c>
      <c r="AC262" s="50" t="s">
        <v>1649</v>
      </c>
      <c r="AD262" s="27"/>
      <c r="AE262" s="27"/>
    </row>
    <row r="263" hidden="1">
      <c r="A263" s="21">
        <v>261.0</v>
      </c>
      <c r="B263" s="22" t="s">
        <v>1644</v>
      </c>
      <c r="C263" s="50" t="s">
        <v>1650</v>
      </c>
      <c r="D263" s="50" t="s">
        <v>1651</v>
      </c>
      <c r="E263" s="22" t="s">
        <v>157</v>
      </c>
      <c r="F263" s="50" t="s">
        <v>1652</v>
      </c>
      <c r="G263" s="50" t="s">
        <v>1653</v>
      </c>
      <c r="H263" s="22" t="s">
        <v>1654</v>
      </c>
      <c r="I263" s="22">
        <v>8.849091671E9</v>
      </c>
      <c r="J263" s="22" t="s">
        <v>1354</v>
      </c>
      <c r="K263" s="22">
        <v>1790.0</v>
      </c>
      <c r="L263" s="20">
        <v>46124.0</v>
      </c>
      <c r="M263" s="22" t="s">
        <v>64</v>
      </c>
      <c r="N263" s="23" t="s">
        <v>81</v>
      </c>
      <c r="O263" s="22" t="s">
        <v>223</v>
      </c>
      <c r="P263" s="22" t="s">
        <v>41</v>
      </c>
      <c r="Q263" s="22" t="s">
        <v>1374</v>
      </c>
      <c r="R263" s="24">
        <v>46154.0</v>
      </c>
      <c r="S263" s="22" t="s">
        <v>1267</v>
      </c>
      <c r="T263" s="25"/>
      <c r="U263" s="25"/>
      <c r="V263" s="56">
        <v>16209.0</v>
      </c>
      <c r="W263" s="56">
        <v>17040.0</v>
      </c>
      <c r="X263" s="22">
        <v>11500.0</v>
      </c>
      <c r="Y263" s="22">
        <v>11500.0</v>
      </c>
      <c r="Z263" s="16">
        <f t="shared" si="1"/>
        <v>5540</v>
      </c>
      <c r="AA263" s="17">
        <f>Y263-X263</f>
        <v>0</v>
      </c>
      <c r="AB263" s="22" t="s">
        <v>340</v>
      </c>
      <c r="AC263" s="50" t="s">
        <v>1655</v>
      </c>
      <c r="AD263" s="27"/>
      <c r="AE263" s="27"/>
    </row>
    <row r="264" hidden="1">
      <c r="A264" s="19">
        <v>262.0</v>
      </c>
      <c r="B264" s="22" t="s">
        <v>1644</v>
      </c>
      <c r="C264" s="50" t="s">
        <v>1656</v>
      </c>
      <c r="D264" s="50" t="s">
        <v>1657</v>
      </c>
      <c r="E264" s="22" t="s">
        <v>157</v>
      </c>
      <c r="F264" s="50" t="s">
        <v>137</v>
      </c>
      <c r="G264" s="50" t="s">
        <v>1658</v>
      </c>
      <c r="H264" s="22">
        <v>9.711355186E9</v>
      </c>
      <c r="I264" s="22">
        <v>9.265188265E9</v>
      </c>
      <c r="J264" s="22" t="s">
        <v>1354</v>
      </c>
      <c r="K264" s="22">
        <v>1600.0</v>
      </c>
      <c r="L264" s="22" t="s">
        <v>1659</v>
      </c>
      <c r="M264" s="22" t="s">
        <v>64</v>
      </c>
      <c r="N264" s="23" t="s">
        <v>39</v>
      </c>
      <c r="O264" s="22" t="s">
        <v>48</v>
      </c>
      <c r="P264" s="22" t="s">
        <v>41</v>
      </c>
      <c r="Q264" s="22" t="s">
        <v>1374</v>
      </c>
      <c r="R264" s="24">
        <v>46054.0</v>
      </c>
      <c r="S264" s="24">
        <v>45689.0</v>
      </c>
      <c r="T264" s="25"/>
      <c r="U264" s="25"/>
      <c r="V264" s="56">
        <v>19776.0</v>
      </c>
      <c r="W264" s="56">
        <v>21249.0</v>
      </c>
      <c r="X264" s="22">
        <v>13790.0</v>
      </c>
      <c r="Y264" s="22">
        <v>14000.0</v>
      </c>
      <c r="Z264" s="16">
        <f t="shared" si="1"/>
        <v>7249</v>
      </c>
      <c r="AA264" s="77"/>
      <c r="AB264" s="22" t="s">
        <v>340</v>
      </c>
      <c r="AC264" s="50" t="s">
        <v>1660</v>
      </c>
      <c r="AD264" s="27"/>
      <c r="AE264" s="27"/>
    </row>
    <row r="265" hidden="1">
      <c r="A265" s="21">
        <v>263.0</v>
      </c>
      <c r="B265" s="22" t="s">
        <v>1644</v>
      </c>
      <c r="C265" s="50" t="s">
        <v>1661</v>
      </c>
      <c r="D265" s="50" t="s">
        <v>1662</v>
      </c>
      <c r="E265" s="22" t="s">
        <v>255</v>
      </c>
      <c r="F265" s="50" t="s">
        <v>1663</v>
      </c>
      <c r="G265" s="50" t="s">
        <v>1664</v>
      </c>
      <c r="H265" s="22" t="s">
        <v>1665</v>
      </c>
      <c r="I265" s="22">
        <v>9.879149092E9</v>
      </c>
      <c r="J265" s="22" t="s">
        <v>1354</v>
      </c>
      <c r="K265" s="22">
        <v>975.0</v>
      </c>
      <c r="L265" s="53" t="s">
        <v>1416</v>
      </c>
      <c r="M265" s="22" t="s">
        <v>167</v>
      </c>
      <c r="N265" s="23" t="s">
        <v>39</v>
      </c>
      <c r="O265" s="22" t="s">
        <v>140</v>
      </c>
      <c r="P265" s="22" t="s">
        <v>41</v>
      </c>
      <c r="Q265" s="22" t="s">
        <v>1374</v>
      </c>
      <c r="R265" s="22" t="s">
        <v>1666</v>
      </c>
      <c r="S265" s="22" t="s">
        <v>1667</v>
      </c>
      <c r="T265" s="25"/>
      <c r="U265" s="25"/>
      <c r="V265" s="56">
        <v>5394.12</v>
      </c>
      <c r="W265" s="53">
        <v>5781.0</v>
      </c>
      <c r="X265" s="22">
        <v>5000.0</v>
      </c>
      <c r="Y265" s="22">
        <v>6000.0</v>
      </c>
      <c r="Z265" s="42">
        <f t="shared" si="1"/>
        <v>-219</v>
      </c>
      <c r="AA265" s="77"/>
      <c r="AB265" s="22" t="s">
        <v>42</v>
      </c>
      <c r="AC265" s="50" t="s">
        <v>1668</v>
      </c>
      <c r="AD265" s="27"/>
      <c r="AE265" s="27"/>
    </row>
    <row r="266" hidden="1">
      <c r="A266" s="21">
        <v>264.0</v>
      </c>
      <c r="B266" s="22" t="s">
        <v>1644</v>
      </c>
      <c r="C266" s="50" t="s">
        <v>1669</v>
      </c>
      <c r="D266" s="50" t="s">
        <v>1670</v>
      </c>
      <c r="E266" s="22" t="s">
        <v>1671</v>
      </c>
      <c r="F266" s="50" t="s">
        <v>1672</v>
      </c>
      <c r="G266" s="50" t="s">
        <v>1673</v>
      </c>
      <c r="H266" s="22" t="s">
        <v>1575</v>
      </c>
      <c r="I266" s="25"/>
      <c r="J266" s="22" t="s">
        <v>1354</v>
      </c>
      <c r="K266" s="22" t="s">
        <v>1354</v>
      </c>
      <c r="L266" s="53" t="s">
        <v>413</v>
      </c>
      <c r="M266" s="22" t="s">
        <v>38</v>
      </c>
      <c r="N266" s="23" t="s">
        <v>81</v>
      </c>
      <c r="O266" s="22" t="s">
        <v>140</v>
      </c>
      <c r="P266" s="22" t="s">
        <v>41</v>
      </c>
      <c r="Q266" s="22" t="s">
        <v>1374</v>
      </c>
      <c r="R266" s="22" t="s">
        <v>1674</v>
      </c>
      <c r="S266" s="25"/>
      <c r="T266" s="25"/>
      <c r="U266" s="25"/>
      <c r="V266" s="56">
        <v>7317.0</v>
      </c>
      <c r="W266" s="56">
        <v>8634.0</v>
      </c>
      <c r="X266" s="22">
        <v>8634.0</v>
      </c>
      <c r="Y266" s="22">
        <v>8000.0</v>
      </c>
      <c r="Z266" s="16">
        <f t="shared" si="1"/>
        <v>634</v>
      </c>
      <c r="AA266" s="77"/>
      <c r="AB266" s="22" t="s">
        <v>42</v>
      </c>
      <c r="AC266" s="50" t="s">
        <v>1675</v>
      </c>
      <c r="AD266" s="27"/>
      <c r="AE266" s="27"/>
    </row>
    <row r="267" hidden="1">
      <c r="A267" s="19">
        <v>265.0</v>
      </c>
      <c r="B267" s="22" t="s">
        <v>1644</v>
      </c>
      <c r="C267" s="50" t="s">
        <v>1676</v>
      </c>
      <c r="D267" s="50" t="s">
        <v>1677</v>
      </c>
      <c r="E267" s="22" t="s">
        <v>276</v>
      </c>
      <c r="F267" s="50" t="s">
        <v>1678</v>
      </c>
      <c r="G267" s="50" t="s">
        <v>1679</v>
      </c>
      <c r="H267" s="22">
        <v>9.825278653E9</v>
      </c>
      <c r="I267" s="22">
        <v>7.01658661E9</v>
      </c>
      <c r="J267" s="22" t="s">
        <v>1354</v>
      </c>
      <c r="K267" s="22">
        <v>97.0</v>
      </c>
      <c r="L267" s="52">
        <v>46215.0</v>
      </c>
      <c r="M267" s="22" t="s">
        <v>105</v>
      </c>
      <c r="N267" s="23" t="s">
        <v>81</v>
      </c>
      <c r="O267" s="22" t="s">
        <v>48</v>
      </c>
      <c r="P267" s="22" t="s">
        <v>73</v>
      </c>
      <c r="Q267" s="22" t="s">
        <v>1374</v>
      </c>
      <c r="R267" s="24">
        <v>46179.0</v>
      </c>
      <c r="S267" s="22" t="s">
        <v>1680</v>
      </c>
      <c r="T267" s="25"/>
      <c r="U267" s="25"/>
      <c r="V267" s="53">
        <v>714.0</v>
      </c>
      <c r="W267" s="53">
        <v>843.0</v>
      </c>
      <c r="X267" s="22">
        <v>850.0</v>
      </c>
      <c r="Y267" s="22">
        <v>850.0</v>
      </c>
      <c r="Z267" s="42">
        <f t="shared" si="1"/>
        <v>-7</v>
      </c>
      <c r="AA267" s="77"/>
      <c r="AB267" s="22" t="s">
        <v>340</v>
      </c>
      <c r="AC267" s="50" t="s">
        <v>1681</v>
      </c>
      <c r="AD267" s="21" t="s">
        <v>671</v>
      </c>
      <c r="AE267" s="27"/>
      <c r="AF267" s="50" t="s">
        <v>930</v>
      </c>
      <c r="AG267" s="50" t="s">
        <v>475</v>
      </c>
    </row>
    <row r="268" hidden="1">
      <c r="A268" s="21">
        <v>266.0</v>
      </c>
      <c r="B268" s="22" t="s">
        <v>1644</v>
      </c>
      <c r="C268" s="50" t="s">
        <v>1682</v>
      </c>
      <c r="D268" s="50" t="s">
        <v>1683</v>
      </c>
      <c r="E268" s="22" t="s">
        <v>525</v>
      </c>
      <c r="F268" s="50" t="s">
        <v>1027</v>
      </c>
      <c r="G268" s="50" t="s">
        <v>1684</v>
      </c>
      <c r="H268" s="22">
        <v>7.043126026E9</v>
      </c>
      <c r="I268" s="22">
        <v>8.200440595E9</v>
      </c>
      <c r="J268" s="22" t="s">
        <v>1354</v>
      </c>
      <c r="K268" s="22">
        <v>11990.0</v>
      </c>
      <c r="L268" s="53" t="s">
        <v>413</v>
      </c>
      <c r="M268" s="22" t="s">
        <v>265</v>
      </c>
      <c r="N268" s="23" t="s">
        <v>39</v>
      </c>
      <c r="O268" s="22" t="s">
        <v>259</v>
      </c>
      <c r="P268" s="22" t="s">
        <v>41</v>
      </c>
      <c r="Q268" s="22" t="s">
        <v>1374</v>
      </c>
      <c r="R268" s="24">
        <v>46611.0</v>
      </c>
      <c r="S268" s="24">
        <v>46034.0</v>
      </c>
      <c r="T268" s="28">
        <v>47097.0</v>
      </c>
      <c r="U268" s="25"/>
      <c r="V268" s="53">
        <v>30654.0</v>
      </c>
      <c r="W268" s="53">
        <v>32638.0</v>
      </c>
      <c r="X268" s="22">
        <v>29861.0</v>
      </c>
      <c r="Y268" s="29">
        <v>30000.0</v>
      </c>
      <c r="Z268" s="17">
        <f t="shared" si="1"/>
        <v>2638</v>
      </c>
      <c r="AA268" s="17">
        <f t="shared" ref="AA268:AA269" si="14">Y268-X268</f>
        <v>139</v>
      </c>
      <c r="AB268" s="22" t="s">
        <v>42</v>
      </c>
      <c r="AC268" s="50" t="s">
        <v>1685</v>
      </c>
      <c r="AD268" s="21" t="s">
        <v>671</v>
      </c>
      <c r="AE268" s="27"/>
      <c r="AF268" s="50" t="s">
        <v>930</v>
      </c>
      <c r="AG268" s="50" t="s">
        <v>475</v>
      </c>
    </row>
    <row r="269" hidden="1">
      <c r="A269" s="21">
        <v>267.0</v>
      </c>
      <c r="B269" s="22" t="s">
        <v>1644</v>
      </c>
      <c r="C269" s="50" t="s">
        <v>1686</v>
      </c>
      <c r="D269" s="50" t="s">
        <v>1687</v>
      </c>
      <c r="E269" s="22" t="s">
        <v>69</v>
      </c>
      <c r="F269" s="50" t="s">
        <v>1688</v>
      </c>
      <c r="G269" s="50" t="s">
        <v>1689</v>
      </c>
      <c r="H269" s="22">
        <v>9.725416223E9</v>
      </c>
      <c r="I269" s="22">
        <v>9.978699775E9</v>
      </c>
      <c r="J269" s="22" t="s">
        <v>1354</v>
      </c>
      <c r="K269" s="22">
        <v>1462.0</v>
      </c>
      <c r="L269" s="53" t="s">
        <v>1097</v>
      </c>
      <c r="M269" s="22" t="s">
        <v>1648</v>
      </c>
      <c r="N269" s="23" t="s">
        <v>81</v>
      </c>
      <c r="O269" s="22" t="s">
        <v>311</v>
      </c>
      <c r="P269" s="22" t="s">
        <v>73</v>
      </c>
      <c r="Q269" s="22" t="s">
        <v>1374</v>
      </c>
      <c r="R269" s="22" t="s">
        <v>580</v>
      </c>
      <c r="S269" s="22" t="s">
        <v>1396</v>
      </c>
      <c r="T269" s="25"/>
      <c r="U269" s="25"/>
      <c r="V269" s="56">
        <v>3476.0</v>
      </c>
      <c r="W269" s="56">
        <v>4102.0</v>
      </c>
      <c r="X269" s="22">
        <v>4000.0</v>
      </c>
      <c r="Y269" s="22">
        <v>4000.0</v>
      </c>
      <c r="Z269" s="16">
        <f t="shared" si="1"/>
        <v>102</v>
      </c>
      <c r="AA269" s="17">
        <f t="shared" si="14"/>
        <v>0</v>
      </c>
      <c r="AB269" s="22" t="s">
        <v>340</v>
      </c>
      <c r="AC269" s="50" t="s">
        <v>1690</v>
      </c>
      <c r="AD269" s="21" t="s">
        <v>671</v>
      </c>
      <c r="AE269" s="27"/>
      <c r="AF269" s="59">
        <v>45789.0</v>
      </c>
      <c r="AG269" s="50" t="s">
        <v>475</v>
      </c>
    </row>
    <row r="270" hidden="1">
      <c r="A270" s="19">
        <v>268.0</v>
      </c>
      <c r="B270" s="22" t="s">
        <v>1644</v>
      </c>
      <c r="C270" s="50" t="s">
        <v>1691</v>
      </c>
      <c r="D270" s="50" t="s">
        <v>1692</v>
      </c>
      <c r="E270" s="22" t="s">
        <v>157</v>
      </c>
      <c r="F270" s="50" t="s">
        <v>1051</v>
      </c>
      <c r="G270" s="50" t="s">
        <v>1693</v>
      </c>
      <c r="H270" s="22">
        <v>9.0994348E9</v>
      </c>
      <c r="I270" s="22">
        <v>9.106722003E9</v>
      </c>
      <c r="J270" s="22" t="s">
        <v>1354</v>
      </c>
      <c r="K270" s="22">
        <v>2825.0</v>
      </c>
      <c r="L270" s="53" t="s">
        <v>1416</v>
      </c>
      <c r="M270" s="22" t="s">
        <v>38</v>
      </c>
      <c r="N270" s="23" t="s">
        <v>39</v>
      </c>
      <c r="O270" s="22" t="s">
        <v>48</v>
      </c>
      <c r="P270" s="22" t="s">
        <v>57</v>
      </c>
      <c r="Q270" s="22" t="s">
        <v>1374</v>
      </c>
      <c r="R270" s="24">
        <v>45669.0</v>
      </c>
      <c r="S270" s="22" t="s">
        <v>530</v>
      </c>
      <c r="T270" s="25"/>
      <c r="U270" s="25"/>
      <c r="V270" s="56">
        <v>19832.0</v>
      </c>
      <c r="W270" s="56">
        <v>21304.0</v>
      </c>
      <c r="X270" s="22">
        <v>14417.0</v>
      </c>
      <c r="Y270" s="22">
        <v>15500.0</v>
      </c>
      <c r="Z270" s="16">
        <f t="shared" si="1"/>
        <v>5804</v>
      </c>
      <c r="AA270" s="77"/>
      <c r="AB270" s="22" t="s">
        <v>42</v>
      </c>
      <c r="AC270" s="50" t="s">
        <v>1694</v>
      </c>
      <c r="AD270" s="27"/>
      <c r="AE270" s="27"/>
      <c r="AG270" s="50" t="s">
        <v>1695</v>
      </c>
    </row>
    <row r="271" hidden="1">
      <c r="A271" s="21">
        <v>269.0</v>
      </c>
      <c r="B271" s="32" t="s">
        <v>1644</v>
      </c>
      <c r="C271" s="43" t="s">
        <v>1696</v>
      </c>
      <c r="D271" s="43" t="s">
        <v>1697</v>
      </c>
      <c r="E271" s="32" t="s">
        <v>86</v>
      </c>
      <c r="F271" s="43" t="s">
        <v>1698</v>
      </c>
      <c r="G271" s="43" t="s">
        <v>1699</v>
      </c>
      <c r="H271" s="32">
        <v>9.979861378E9</v>
      </c>
      <c r="I271" s="32">
        <v>8.303467586E9</v>
      </c>
      <c r="J271" s="32" t="s">
        <v>1354</v>
      </c>
      <c r="K271" s="32">
        <v>47500.0</v>
      </c>
      <c r="L271" s="46" t="s">
        <v>1416</v>
      </c>
      <c r="M271" s="32" t="s">
        <v>351</v>
      </c>
      <c r="N271" s="33" t="s">
        <v>39</v>
      </c>
      <c r="O271" s="32" t="s">
        <v>140</v>
      </c>
      <c r="P271" s="32" t="s">
        <v>57</v>
      </c>
      <c r="Q271" s="32" t="s">
        <v>1374</v>
      </c>
      <c r="R271" s="32" t="s">
        <v>1700</v>
      </c>
      <c r="S271" s="32" t="s">
        <v>1701</v>
      </c>
      <c r="T271" s="34">
        <v>46183.0</v>
      </c>
      <c r="U271" s="35"/>
      <c r="V271" s="46">
        <v>52357.0</v>
      </c>
      <c r="W271" s="46">
        <v>56030.0</v>
      </c>
      <c r="X271" s="32">
        <v>49105.0</v>
      </c>
      <c r="Y271" s="32">
        <v>49000.0</v>
      </c>
      <c r="Z271" s="42">
        <f t="shared" si="1"/>
        <v>7030</v>
      </c>
      <c r="AA271" s="79"/>
      <c r="AB271" s="32" t="s">
        <v>42</v>
      </c>
      <c r="AC271" s="43" t="s">
        <v>1702</v>
      </c>
      <c r="AD271" s="39"/>
      <c r="AE271" s="39"/>
      <c r="AF271" s="40"/>
      <c r="AG271" s="40"/>
    </row>
    <row r="272" hidden="1">
      <c r="A272" s="21">
        <v>270.0</v>
      </c>
      <c r="B272" s="22" t="s">
        <v>1703</v>
      </c>
      <c r="C272" s="50" t="s">
        <v>1704</v>
      </c>
      <c r="D272" s="50" t="s">
        <v>1705</v>
      </c>
      <c r="E272" s="22" t="s">
        <v>157</v>
      </c>
      <c r="F272" s="50" t="s">
        <v>1706</v>
      </c>
      <c r="G272" s="50" t="s">
        <v>1707</v>
      </c>
      <c r="H272" s="22">
        <v>7.862028528E9</v>
      </c>
      <c r="I272" s="22">
        <v>8.320945159E9</v>
      </c>
      <c r="J272" s="22" t="s">
        <v>1359</v>
      </c>
      <c r="K272" s="22">
        <v>1600.0</v>
      </c>
      <c r="L272" s="62">
        <v>46034.0</v>
      </c>
      <c r="M272" s="22" t="s">
        <v>64</v>
      </c>
      <c r="N272" s="23" t="s">
        <v>39</v>
      </c>
      <c r="O272" s="22" t="s">
        <v>48</v>
      </c>
      <c r="P272" s="22" t="s">
        <v>41</v>
      </c>
      <c r="Q272" s="22" t="s">
        <v>1374</v>
      </c>
      <c r="R272" s="24">
        <v>46399.0</v>
      </c>
      <c r="S272" s="24">
        <v>46179.0</v>
      </c>
      <c r="T272" s="25"/>
      <c r="U272" s="25"/>
      <c r="V272" s="56">
        <v>19649.0</v>
      </c>
      <c r="W272" s="56">
        <v>21100.0</v>
      </c>
      <c r="X272" s="22">
        <v>13721.0</v>
      </c>
      <c r="Y272" s="22">
        <v>13500.0</v>
      </c>
      <c r="Z272" s="16">
        <f t="shared" si="1"/>
        <v>7600</v>
      </c>
      <c r="AA272" s="77"/>
      <c r="AB272" s="22" t="s">
        <v>340</v>
      </c>
      <c r="AC272" s="50" t="s">
        <v>1708</v>
      </c>
      <c r="AD272" s="21" t="s">
        <v>671</v>
      </c>
      <c r="AE272" s="27"/>
      <c r="AF272" s="59">
        <v>45759.0</v>
      </c>
      <c r="AG272" s="50" t="s">
        <v>475</v>
      </c>
    </row>
    <row r="273" hidden="1">
      <c r="A273" s="19">
        <v>271.0</v>
      </c>
      <c r="B273" s="22" t="s">
        <v>1703</v>
      </c>
      <c r="C273" s="50" t="s">
        <v>1709</v>
      </c>
      <c r="D273" s="50" t="s">
        <v>1710</v>
      </c>
      <c r="E273" s="22" t="s">
        <v>53</v>
      </c>
      <c r="F273" s="50" t="s">
        <v>1401</v>
      </c>
      <c r="G273" s="50" t="s">
        <v>1711</v>
      </c>
      <c r="H273" s="22">
        <v>9.265745414E9</v>
      </c>
      <c r="I273" s="22">
        <v>9.512542616E9</v>
      </c>
      <c r="J273" s="22" t="s">
        <v>1354</v>
      </c>
      <c r="K273" s="22">
        <v>812.0</v>
      </c>
      <c r="L273" s="53" t="s">
        <v>1416</v>
      </c>
      <c r="M273" s="22" t="s">
        <v>265</v>
      </c>
      <c r="N273" s="23" t="s">
        <v>39</v>
      </c>
      <c r="O273" s="22" t="s">
        <v>106</v>
      </c>
      <c r="P273" s="22" t="s">
        <v>41</v>
      </c>
      <c r="Q273" s="22" t="s">
        <v>1374</v>
      </c>
      <c r="R273" s="22" t="s">
        <v>1712</v>
      </c>
      <c r="S273" s="22" t="s">
        <v>1713</v>
      </c>
      <c r="T273" s="25"/>
      <c r="U273" s="25"/>
      <c r="V273" s="53">
        <v>6418.0</v>
      </c>
      <c r="W273" s="53">
        <v>7574.0</v>
      </c>
      <c r="X273" s="22">
        <v>6500.0</v>
      </c>
      <c r="Y273" s="22">
        <v>6500.0</v>
      </c>
      <c r="Z273" s="42">
        <f t="shared" si="1"/>
        <v>1074</v>
      </c>
      <c r="AA273" s="17">
        <f>Y273-X273</f>
        <v>0</v>
      </c>
      <c r="AB273" s="22" t="s">
        <v>42</v>
      </c>
      <c r="AC273" s="50" t="s">
        <v>1714</v>
      </c>
      <c r="AD273" s="27"/>
      <c r="AE273" s="27"/>
    </row>
    <row r="274" hidden="1">
      <c r="A274" s="21">
        <v>272.0</v>
      </c>
      <c r="B274" s="22" t="s">
        <v>1703</v>
      </c>
      <c r="C274" s="50" t="s">
        <v>1715</v>
      </c>
      <c r="D274" s="50" t="s">
        <v>1716</v>
      </c>
      <c r="E274" s="22" t="s">
        <v>53</v>
      </c>
      <c r="F274" s="50" t="s">
        <v>1401</v>
      </c>
      <c r="G274" s="50" t="s">
        <v>1717</v>
      </c>
      <c r="H274" s="22">
        <v>9.638474072E9</v>
      </c>
      <c r="I274" s="22">
        <v>9.265242199E9</v>
      </c>
      <c r="J274" s="22" t="s">
        <v>1359</v>
      </c>
      <c r="K274" s="22">
        <v>818.0</v>
      </c>
      <c r="L274" s="53" t="s">
        <v>1416</v>
      </c>
      <c r="M274" s="22" t="s">
        <v>265</v>
      </c>
      <c r="N274" s="23" t="s">
        <v>39</v>
      </c>
      <c r="O274" s="22" t="s">
        <v>48</v>
      </c>
      <c r="P274" s="22" t="s">
        <v>41</v>
      </c>
      <c r="Q274" s="22" t="s">
        <v>1374</v>
      </c>
      <c r="R274" s="24">
        <v>46519.0</v>
      </c>
      <c r="S274" s="22" t="s">
        <v>1718</v>
      </c>
      <c r="T274" s="28">
        <v>47038.0</v>
      </c>
      <c r="U274" s="25"/>
      <c r="V274" s="53">
        <v>6390.0</v>
      </c>
      <c r="W274" s="53">
        <v>7540.0</v>
      </c>
      <c r="X274" s="22">
        <v>6500.0</v>
      </c>
      <c r="Y274" s="22">
        <v>6500.0</v>
      </c>
      <c r="Z274" s="42">
        <f t="shared" si="1"/>
        <v>1040</v>
      </c>
      <c r="AA274" s="77"/>
      <c r="AB274" s="22" t="s">
        <v>42</v>
      </c>
      <c r="AC274" s="50" t="s">
        <v>1719</v>
      </c>
      <c r="AD274" s="27"/>
      <c r="AE274" s="27"/>
      <c r="AG274" s="50" t="s">
        <v>1720</v>
      </c>
    </row>
    <row r="275" hidden="1">
      <c r="A275" s="21">
        <v>273.0</v>
      </c>
      <c r="B275" s="22" t="s">
        <v>1703</v>
      </c>
      <c r="C275" s="50" t="s">
        <v>1721</v>
      </c>
      <c r="D275" s="50" t="s">
        <v>1722</v>
      </c>
      <c r="E275" s="22" t="s">
        <v>157</v>
      </c>
      <c r="F275" s="50" t="s">
        <v>1265</v>
      </c>
      <c r="G275" s="50" t="s">
        <v>1723</v>
      </c>
      <c r="H275" s="22">
        <v>9.328084706E9</v>
      </c>
      <c r="I275" s="25"/>
      <c r="J275" s="22" t="s">
        <v>1354</v>
      </c>
      <c r="K275" s="22">
        <v>2700.0</v>
      </c>
      <c r="L275" s="53" t="s">
        <v>1724</v>
      </c>
      <c r="M275" s="22" t="s">
        <v>38</v>
      </c>
      <c r="N275" s="23" t="s">
        <v>39</v>
      </c>
      <c r="O275" s="22" t="s">
        <v>48</v>
      </c>
      <c r="P275" s="22" t="s">
        <v>41</v>
      </c>
      <c r="Q275" s="22" t="s">
        <v>1374</v>
      </c>
      <c r="R275" s="22" t="s">
        <v>1725</v>
      </c>
      <c r="S275" s="22" t="s">
        <v>1726</v>
      </c>
      <c r="T275" s="25"/>
      <c r="U275" s="25"/>
      <c r="V275" s="56">
        <v>18039.0</v>
      </c>
      <c r="W275" s="56">
        <v>19189.0</v>
      </c>
      <c r="X275" s="22">
        <v>12985.0</v>
      </c>
      <c r="Y275" s="22">
        <v>13000.0</v>
      </c>
      <c r="Z275" s="16">
        <f t="shared" si="1"/>
        <v>6189</v>
      </c>
      <c r="AA275" s="77"/>
      <c r="AB275" s="22" t="s">
        <v>42</v>
      </c>
      <c r="AC275" s="50" t="s">
        <v>1727</v>
      </c>
      <c r="AD275" s="21" t="s">
        <v>671</v>
      </c>
      <c r="AE275" s="27"/>
      <c r="AF275" s="59">
        <v>45669.0</v>
      </c>
      <c r="AG275" s="50" t="s">
        <v>298</v>
      </c>
    </row>
    <row r="276" hidden="1">
      <c r="A276" s="19">
        <v>274.0</v>
      </c>
      <c r="B276" s="22" t="s">
        <v>1703</v>
      </c>
      <c r="C276" s="50" t="s">
        <v>1728</v>
      </c>
      <c r="D276" s="50" t="s">
        <v>1729</v>
      </c>
      <c r="E276" s="22" t="s">
        <v>69</v>
      </c>
      <c r="F276" s="50" t="s">
        <v>247</v>
      </c>
      <c r="G276" s="50" t="s">
        <v>1730</v>
      </c>
      <c r="H276" s="22">
        <v>9.978460453E9</v>
      </c>
      <c r="I276" s="22">
        <v>9.71408091E9</v>
      </c>
      <c r="J276" s="22" t="s">
        <v>1354</v>
      </c>
      <c r="K276" s="22">
        <v>1196.0</v>
      </c>
      <c r="L276" s="53" t="s">
        <v>1724</v>
      </c>
      <c r="M276" s="22" t="s">
        <v>249</v>
      </c>
      <c r="N276" s="23" t="s">
        <v>81</v>
      </c>
      <c r="O276" s="22" t="s">
        <v>48</v>
      </c>
      <c r="P276" s="22" t="s">
        <v>73</v>
      </c>
      <c r="Q276" s="22" t="s">
        <v>1374</v>
      </c>
      <c r="R276" s="22" t="s">
        <v>1731</v>
      </c>
      <c r="S276" s="22" t="s">
        <v>1732</v>
      </c>
      <c r="T276" s="25"/>
      <c r="U276" s="25"/>
      <c r="V276" s="53">
        <v>3476.0</v>
      </c>
      <c r="W276" s="53">
        <v>4101.68</v>
      </c>
      <c r="X276" s="22">
        <v>4000.0</v>
      </c>
      <c r="Y276" s="22">
        <v>4000.0</v>
      </c>
      <c r="Z276" s="42">
        <f t="shared" si="1"/>
        <v>101.68</v>
      </c>
      <c r="AA276" s="77"/>
      <c r="AB276" s="22" t="s">
        <v>42</v>
      </c>
      <c r="AC276" s="50" t="s">
        <v>1733</v>
      </c>
      <c r="AD276" s="21" t="s">
        <v>473</v>
      </c>
      <c r="AE276" s="27"/>
      <c r="AF276" s="59">
        <v>45669.0</v>
      </c>
      <c r="AG276" s="50" t="s">
        <v>298</v>
      </c>
    </row>
    <row r="277" hidden="1">
      <c r="A277" s="21">
        <v>275.0</v>
      </c>
      <c r="B277" s="22" t="s">
        <v>1703</v>
      </c>
      <c r="C277" s="50" t="s">
        <v>1734</v>
      </c>
      <c r="D277" s="51">
        <v>1.000067903E9</v>
      </c>
      <c r="E277" s="22" t="s">
        <v>69</v>
      </c>
      <c r="F277" s="50" t="s">
        <v>1735</v>
      </c>
      <c r="G277" s="50" t="s">
        <v>1736</v>
      </c>
      <c r="H277" s="22" t="s">
        <v>1737</v>
      </c>
      <c r="I277" s="22">
        <v>9.998496814E9</v>
      </c>
      <c r="J277" s="22" t="s">
        <v>1354</v>
      </c>
      <c r="K277" s="22">
        <v>1197.0</v>
      </c>
      <c r="L277" s="53" t="s">
        <v>1097</v>
      </c>
      <c r="M277" s="22" t="s">
        <v>451</v>
      </c>
      <c r="N277" s="23" t="s">
        <v>181</v>
      </c>
      <c r="O277" s="22" t="s">
        <v>311</v>
      </c>
      <c r="P277" s="22" t="s">
        <v>73</v>
      </c>
      <c r="Q277" s="22" t="s">
        <v>1374</v>
      </c>
      <c r="R277" s="24">
        <v>50813.0</v>
      </c>
      <c r="S277" s="24">
        <v>45700.0</v>
      </c>
      <c r="T277" s="25"/>
      <c r="U277" s="25"/>
      <c r="V277" s="53">
        <v>11189.74</v>
      </c>
      <c r="W277" s="56">
        <v>13203.89</v>
      </c>
      <c r="X277" s="22">
        <v>13402.0</v>
      </c>
      <c r="Y277" s="22">
        <v>13402.0</v>
      </c>
      <c r="Z277" s="16">
        <f t="shared" si="1"/>
        <v>-198.11</v>
      </c>
      <c r="AA277" s="17">
        <f t="shared" ref="AA277:AA278" si="15">Y277-X277</f>
        <v>0</v>
      </c>
      <c r="AB277" s="22" t="s">
        <v>42</v>
      </c>
      <c r="AC277" s="50" t="s">
        <v>1738</v>
      </c>
      <c r="AD277" s="27"/>
      <c r="AE277" s="27"/>
      <c r="AG277" s="50" t="s">
        <v>1739</v>
      </c>
    </row>
    <row r="278" hidden="1">
      <c r="A278" s="21">
        <v>276.0</v>
      </c>
      <c r="B278" s="22" t="s">
        <v>1703</v>
      </c>
      <c r="C278" s="50" t="s">
        <v>1740</v>
      </c>
      <c r="D278" s="50" t="s">
        <v>1741</v>
      </c>
      <c r="E278" s="22" t="s">
        <v>69</v>
      </c>
      <c r="F278" s="50" t="s">
        <v>1742</v>
      </c>
      <c r="G278" s="50" t="s">
        <v>1743</v>
      </c>
      <c r="H278" s="22">
        <v>9.638870887E9</v>
      </c>
      <c r="I278" s="22">
        <v>9.328247274E9</v>
      </c>
      <c r="J278" s="22" t="s">
        <v>1354</v>
      </c>
      <c r="K278" s="22">
        <v>1199.0</v>
      </c>
      <c r="L278" s="53" t="s">
        <v>1097</v>
      </c>
      <c r="M278" s="22" t="s">
        <v>153</v>
      </c>
      <c r="N278" s="23" t="s">
        <v>81</v>
      </c>
      <c r="O278" s="22" t="s">
        <v>236</v>
      </c>
      <c r="P278" s="22" t="s">
        <v>73</v>
      </c>
      <c r="Q278" s="22" t="s">
        <v>1374</v>
      </c>
      <c r="R278" s="24">
        <v>49320.0</v>
      </c>
      <c r="S278" s="22" t="s">
        <v>1744</v>
      </c>
      <c r="T278" s="25"/>
      <c r="U278" s="25"/>
      <c r="V278" s="53">
        <v>3416.0</v>
      </c>
      <c r="W278" s="53">
        <v>4030.88</v>
      </c>
      <c r="X278" s="22">
        <v>4000.0</v>
      </c>
      <c r="Y278" s="22">
        <v>4000.0</v>
      </c>
      <c r="Z278" s="42">
        <f t="shared" si="1"/>
        <v>30.88</v>
      </c>
      <c r="AA278" s="17">
        <f t="shared" si="15"/>
        <v>0</v>
      </c>
      <c r="AB278" s="22" t="s">
        <v>42</v>
      </c>
      <c r="AC278" s="50" t="s">
        <v>1745</v>
      </c>
      <c r="AD278" s="21" t="s">
        <v>1746</v>
      </c>
      <c r="AE278" s="27"/>
      <c r="AF278" s="59">
        <v>45820.0</v>
      </c>
      <c r="AG278" s="50" t="s">
        <v>475</v>
      </c>
    </row>
    <row r="279" hidden="1">
      <c r="A279" s="19">
        <v>277.0</v>
      </c>
      <c r="B279" s="22" t="s">
        <v>1703</v>
      </c>
      <c r="C279" s="50" t="s">
        <v>1747</v>
      </c>
      <c r="D279" s="50" t="s">
        <v>1748</v>
      </c>
      <c r="E279" s="22" t="s">
        <v>69</v>
      </c>
      <c r="F279" s="50" t="s">
        <v>1749</v>
      </c>
      <c r="G279" s="50" t="s">
        <v>1750</v>
      </c>
      <c r="H279" s="22" t="s">
        <v>1751</v>
      </c>
      <c r="I279" s="25"/>
      <c r="J279" s="22" t="s">
        <v>1354</v>
      </c>
      <c r="K279" s="22">
        <v>1399.0</v>
      </c>
      <c r="L279" s="53" t="s">
        <v>1724</v>
      </c>
      <c r="M279" s="22" t="s">
        <v>153</v>
      </c>
      <c r="N279" s="23" t="s">
        <v>81</v>
      </c>
      <c r="O279" s="22" t="s">
        <v>48</v>
      </c>
      <c r="P279" s="22" t="s">
        <v>73</v>
      </c>
      <c r="Q279" s="22" t="s">
        <v>1374</v>
      </c>
      <c r="R279" s="24">
        <v>47035.0</v>
      </c>
      <c r="S279" s="28">
        <v>46337.0</v>
      </c>
      <c r="T279" s="25"/>
      <c r="U279" s="25"/>
      <c r="V279" s="53">
        <v>3416.0</v>
      </c>
      <c r="W279" s="53">
        <v>4030.88</v>
      </c>
      <c r="X279" s="22">
        <v>4000.0</v>
      </c>
      <c r="Y279" s="22">
        <v>4000.0</v>
      </c>
      <c r="Z279" s="42">
        <f t="shared" si="1"/>
        <v>30.88</v>
      </c>
      <c r="AA279" s="77"/>
      <c r="AB279" s="22" t="s">
        <v>42</v>
      </c>
      <c r="AC279" s="50" t="s">
        <v>1752</v>
      </c>
      <c r="AD279" s="27"/>
      <c r="AE279" s="27"/>
      <c r="AG279" s="50" t="s">
        <v>1753</v>
      </c>
    </row>
    <row r="280" hidden="1">
      <c r="A280" s="21">
        <v>278.0</v>
      </c>
      <c r="B280" s="22" t="s">
        <v>1703</v>
      </c>
      <c r="C280" s="50" t="s">
        <v>1754</v>
      </c>
      <c r="D280" s="50" t="s">
        <v>1755</v>
      </c>
      <c r="E280" s="22" t="s">
        <v>53</v>
      </c>
      <c r="F280" s="50" t="s">
        <v>1401</v>
      </c>
      <c r="G280" s="50" t="s">
        <v>1756</v>
      </c>
      <c r="H280" s="22">
        <v>9.924388847E9</v>
      </c>
      <c r="I280" s="25"/>
      <c r="J280" s="22" t="s">
        <v>1354</v>
      </c>
      <c r="K280" s="22">
        <v>818.0</v>
      </c>
      <c r="L280" s="53" t="s">
        <v>1416</v>
      </c>
      <c r="M280" s="22" t="s">
        <v>265</v>
      </c>
      <c r="N280" s="23" t="s">
        <v>39</v>
      </c>
      <c r="O280" s="22" t="s">
        <v>259</v>
      </c>
      <c r="P280" s="22" t="s">
        <v>41</v>
      </c>
      <c r="Q280" s="22" t="s">
        <v>1374</v>
      </c>
      <c r="R280" s="22" t="s">
        <v>1757</v>
      </c>
      <c r="S280" s="22" t="s">
        <v>714</v>
      </c>
      <c r="T280" s="28">
        <v>47433.0</v>
      </c>
      <c r="U280" s="25"/>
      <c r="V280" s="53">
        <v>6620.0</v>
      </c>
      <c r="W280" s="53">
        <v>7812.0</v>
      </c>
      <c r="X280" s="22">
        <v>6500.0</v>
      </c>
      <c r="Y280" s="22">
        <v>6000.0</v>
      </c>
      <c r="Z280" s="42">
        <f t="shared" si="1"/>
        <v>1812</v>
      </c>
      <c r="AA280" s="17">
        <f t="shared" ref="AA280:AA282" si="16">Y280-X280</f>
        <v>-500</v>
      </c>
      <c r="AB280" s="22" t="s">
        <v>42</v>
      </c>
      <c r="AC280" s="50" t="s">
        <v>1758</v>
      </c>
      <c r="AD280" s="27"/>
      <c r="AE280" s="27"/>
      <c r="AG280" s="50" t="s">
        <v>1753</v>
      </c>
    </row>
    <row r="281" hidden="1">
      <c r="A281" s="21">
        <v>279.0</v>
      </c>
      <c r="B281" s="22" t="s">
        <v>1703</v>
      </c>
      <c r="C281" s="50" t="s">
        <v>1759</v>
      </c>
      <c r="D281" s="50" t="s">
        <v>1760</v>
      </c>
      <c r="E281" s="22" t="s">
        <v>69</v>
      </c>
      <c r="F281" s="50" t="s">
        <v>1761</v>
      </c>
      <c r="G281" s="50" t="s">
        <v>1762</v>
      </c>
      <c r="H281" s="22">
        <v>6.355850087E9</v>
      </c>
      <c r="I281" s="22">
        <v>8.153853054E9</v>
      </c>
      <c r="J281" s="22" t="s">
        <v>1354</v>
      </c>
      <c r="K281" s="22">
        <v>998.0</v>
      </c>
      <c r="L281" s="62">
        <v>46093.0</v>
      </c>
      <c r="M281" s="22" t="s">
        <v>64</v>
      </c>
      <c r="N281" s="23" t="s">
        <v>181</v>
      </c>
      <c r="O281" s="22" t="s">
        <v>337</v>
      </c>
      <c r="P281" s="22" t="s">
        <v>41</v>
      </c>
      <c r="Q281" s="22" t="s">
        <v>1374</v>
      </c>
      <c r="R281" s="24">
        <v>50841.0</v>
      </c>
      <c r="S281" s="24">
        <v>45728.0</v>
      </c>
      <c r="T281" s="25"/>
      <c r="U281" s="25"/>
      <c r="V281" s="56">
        <v>4957.0</v>
      </c>
      <c r="W281" s="56">
        <v>5849.0</v>
      </c>
      <c r="X281" s="22">
        <v>5967.0</v>
      </c>
      <c r="Y281" s="22">
        <v>6000.0</v>
      </c>
      <c r="Z281" s="16">
        <f t="shared" si="1"/>
        <v>-151</v>
      </c>
      <c r="AA281" s="17">
        <f t="shared" si="16"/>
        <v>33</v>
      </c>
      <c r="AB281" s="22" t="s">
        <v>340</v>
      </c>
      <c r="AC281" s="50" t="s">
        <v>1763</v>
      </c>
      <c r="AD281" s="27"/>
      <c r="AE281" s="27"/>
      <c r="AG281" s="50" t="s">
        <v>1764</v>
      </c>
    </row>
    <row r="282" hidden="1">
      <c r="A282" s="19">
        <v>280.0</v>
      </c>
      <c r="B282" s="22" t="s">
        <v>1703</v>
      </c>
      <c r="C282" s="50" t="s">
        <v>1765</v>
      </c>
      <c r="D282" s="50" t="s">
        <v>1766</v>
      </c>
      <c r="E282" s="22" t="s">
        <v>53</v>
      </c>
      <c r="F282" s="50" t="s">
        <v>1401</v>
      </c>
      <c r="G282" s="50" t="s">
        <v>1767</v>
      </c>
      <c r="H282" s="22">
        <v>7.984409609E9</v>
      </c>
      <c r="I282" s="25"/>
      <c r="J282" s="22" t="s">
        <v>1354</v>
      </c>
      <c r="K282" s="22">
        <v>818.0</v>
      </c>
      <c r="L282" s="53" t="s">
        <v>1416</v>
      </c>
      <c r="M282" s="22" t="s">
        <v>265</v>
      </c>
      <c r="N282" s="23" t="s">
        <v>39</v>
      </c>
      <c r="O282" s="22" t="s">
        <v>236</v>
      </c>
      <c r="P282" s="22" t="s">
        <v>41</v>
      </c>
      <c r="Q282" s="22" t="s">
        <v>1374</v>
      </c>
      <c r="R282" s="22" t="s">
        <v>1267</v>
      </c>
      <c r="S282" s="22" t="s">
        <v>933</v>
      </c>
      <c r="T282" s="24">
        <v>46456.0</v>
      </c>
      <c r="U282" s="25"/>
      <c r="V282" s="53">
        <v>7015.0</v>
      </c>
      <c r="W282" s="53">
        <v>8278.0</v>
      </c>
      <c r="X282" s="22">
        <v>7500.0</v>
      </c>
      <c r="Y282" s="22">
        <v>7500.0</v>
      </c>
      <c r="Z282" s="42">
        <f t="shared" si="1"/>
        <v>778</v>
      </c>
      <c r="AA282" s="17">
        <f t="shared" si="16"/>
        <v>0</v>
      </c>
      <c r="AB282" s="22" t="s">
        <v>42</v>
      </c>
      <c r="AC282" s="50" t="s">
        <v>1768</v>
      </c>
      <c r="AD282" s="21" t="s">
        <v>473</v>
      </c>
      <c r="AE282" s="27"/>
      <c r="AF282" s="59">
        <v>45728.0</v>
      </c>
      <c r="AG282" s="50" t="s">
        <v>475</v>
      </c>
    </row>
    <row r="283" hidden="1">
      <c r="A283" s="21">
        <v>281.0</v>
      </c>
      <c r="B283" s="22" t="s">
        <v>1703</v>
      </c>
      <c r="C283" s="50" t="s">
        <v>1769</v>
      </c>
      <c r="D283" s="50" t="s">
        <v>1770</v>
      </c>
      <c r="E283" s="22" t="s">
        <v>86</v>
      </c>
      <c r="F283" s="50" t="s">
        <v>643</v>
      </c>
      <c r="G283" s="50" t="s">
        <v>1771</v>
      </c>
      <c r="H283" s="22">
        <v>7.98467355E9</v>
      </c>
      <c r="I283" s="25"/>
      <c r="J283" s="22" t="s">
        <v>1354</v>
      </c>
      <c r="K283" s="22">
        <v>28000.0</v>
      </c>
      <c r="L283" s="53" t="s">
        <v>1097</v>
      </c>
      <c r="M283" s="22" t="s">
        <v>38</v>
      </c>
      <c r="N283" s="23" t="s">
        <v>39</v>
      </c>
      <c r="O283" s="22" t="s">
        <v>140</v>
      </c>
      <c r="P283" s="22" t="s">
        <v>41</v>
      </c>
      <c r="Q283" s="22" t="s">
        <v>1374</v>
      </c>
      <c r="R283" s="22" t="s">
        <v>550</v>
      </c>
      <c r="S283" s="24">
        <v>46208.0</v>
      </c>
      <c r="T283" s="24">
        <v>47362.0</v>
      </c>
      <c r="U283" s="25"/>
      <c r="V283" s="56">
        <v>48365.0</v>
      </c>
      <c r="W283" s="56">
        <v>51345.0</v>
      </c>
      <c r="X283" s="22">
        <v>40000.0</v>
      </c>
      <c r="Y283" s="22">
        <v>40000.0</v>
      </c>
      <c r="Z283" s="16">
        <f t="shared" si="1"/>
        <v>11345</v>
      </c>
      <c r="AA283" s="77"/>
      <c r="AB283" s="22" t="s">
        <v>42</v>
      </c>
      <c r="AC283" s="50" t="s">
        <v>1772</v>
      </c>
      <c r="AD283" s="27"/>
      <c r="AE283" s="27"/>
      <c r="AG283" s="50" t="s">
        <v>1773</v>
      </c>
    </row>
    <row r="284" hidden="1">
      <c r="A284" s="21">
        <v>282.0</v>
      </c>
      <c r="B284" s="22" t="s">
        <v>1703</v>
      </c>
      <c r="C284" s="50" t="s">
        <v>1774</v>
      </c>
      <c r="D284" s="50" t="s">
        <v>1775</v>
      </c>
      <c r="E284" s="22" t="s">
        <v>157</v>
      </c>
      <c r="F284" s="50" t="s">
        <v>301</v>
      </c>
      <c r="G284" s="50" t="s">
        <v>1776</v>
      </c>
      <c r="H284" s="22">
        <v>8.320205477E9</v>
      </c>
      <c r="I284" s="22">
        <v>9.099915222E9</v>
      </c>
      <c r="J284" s="22" t="s">
        <v>1354</v>
      </c>
      <c r="K284" s="22">
        <v>3460.0</v>
      </c>
      <c r="L284" s="53" t="s">
        <v>1416</v>
      </c>
      <c r="M284" s="22" t="s">
        <v>38</v>
      </c>
      <c r="N284" s="23" t="s">
        <v>39</v>
      </c>
      <c r="O284" s="22" t="s">
        <v>236</v>
      </c>
      <c r="P284" s="22" t="s">
        <v>41</v>
      </c>
      <c r="Q284" s="22" t="s">
        <v>1374</v>
      </c>
      <c r="R284" s="22" t="s">
        <v>1777</v>
      </c>
      <c r="S284" s="22" t="s">
        <v>1778</v>
      </c>
      <c r="T284" s="22" t="s">
        <v>122</v>
      </c>
      <c r="U284" s="25"/>
      <c r="V284" s="56">
        <v>22153.0</v>
      </c>
      <c r="W284" s="56">
        <v>24042.0</v>
      </c>
      <c r="X284" s="22">
        <v>15180.0</v>
      </c>
      <c r="Y284" s="22">
        <v>14700.0</v>
      </c>
      <c r="Z284" s="16">
        <f t="shared" si="1"/>
        <v>9342</v>
      </c>
      <c r="AA284" s="41">
        <v>0.0</v>
      </c>
      <c r="AB284" s="22" t="s">
        <v>42</v>
      </c>
      <c r="AC284" s="50" t="s">
        <v>1779</v>
      </c>
      <c r="AD284" s="27"/>
      <c r="AE284" s="27"/>
    </row>
    <row r="285" hidden="1">
      <c r="A285" s="19">
        <v>283.0</v>
      </c>
      <c r="B285" s="22" t="s">
        <v>1703</v>
      </c>
      <c r="C285" s="50" t="s">
        <v>1780</v>
      </c>
      <c r="D285" s="50" t="s">
        <v>1781</v>
      </c>
      <c r="E285" s="22" t="s">
        <v>1782</v>
      </c>
      <c r="F285" s="50" t="s">
        <v>1783</v>
      </c>
      <c r="G285" s="50" t="s">
        <v>1784</v>
      </c>
      <c r="H285" s="22">
        <v>8.200679637E9</v>
      </c>
      <c r="I285" s="25"/>
      <c r="J285" s="22" t="s">
        <v>1354</v>
      </c>
      <c r="K285" s="22">
        <v>2956.0</v>
      </c>
      <c r="L285" s="53" t="s">
        <v>1097</v>
      </c>
      <c r="M285" s="22" t="s">
        <v>64</v>
      </c>
      <c r="N285" s="23" t="s">
        <v>81</v>
      </c>
      <c r="O285" s="22" t="s">
        <v>140</v>
      </c>
      <c r="P285" s="22" t="s">
        <v>41</v>
      </c>
      <c r="Q285" s="22" t="s">
        <v>1374</v>
      </c>
      <c r="R285" s="22" t="s">
        <v>1718</v>
      </c>
      <c r="S285" s="24">
        <v>46148.0</v>
      </c>
      <c r="T285" s="25"/>
      <c r="U285" s="25"/>
      <c r="V285" s="56">
        <v>49542.0</v>
      </c>
      <c r="W285" s="56">
        <v>58460.0</v>
      </c>
      <c r="X285" s="22">
        <v>23804.0</v>
      </c>
      <c r="Y285" s="22">
        <v>24124.0</v>
      </c>
      <c r="Z285" s="16">
        <f t="shared" si="1"/>
        <v>34336</v>
      </c>
      <c r="AA285" s="77"/>
      <c r="AB285" s="22" t="s">
        <v>42</v>
      </c>
      <c r="AC285" s="50" t="s">
        <v>1785</v>
      </c>
      <c r="AD285" s="27"/>
      <c r="AE285" s="27"/>
      <c r="AG285" s="50" t="s">
        <v>1786</v>
      </c>
    </row>
    <row r="286" hidden="1">
      <c r="A286" s="21">
        <v>284.0</v>
      </c>
      <c r="B286" s="22" t="s">
        <v>1703</v>
      </c>
      <c r="C286" s="50" t="s">
        <v>1787</v>
      </c>
      <c r="D286" s="50" t="s">
        <v>1788</v>
      </c>
      <c r="E286" s="22" t="s">
        <v>1782</v>
      </c>
      <c r="F286" s="50" t="s">
        <v>1789</v>
      </c>
      <c r="G286" s="50" t="s">
        <v>1790</v>
      </c>
      <c r="H286" s="22">
        <v>8.200679637E9</v>
      </c>
      <c r="I286" s="25"/>
      <c r="J286" s="22" t="s">
        <v>1354</v>
      </c>
      <c r="K286" s="22">
        <v>1180.0</v>
      </c>
      <c r="L286" s="53" t="s">
        <v>1097</v>
      </c>
      <c r="M286" s="22" t="s">
        <v>64</v>
      </c>
      <c r="N286" s="23" t="s">
        <v>81</v>
      </c>
      <c r="O286" s="22" t="s">
        <v>140</v>
      </c>
      <c r="P286" s="22" t="s">
        <v>41</v>
      </c>
      <c r="Q286" s="22" t="s">
        <v>1374</v>
      </c>
      <c r="R286" s="22" t="s">
        <v>1791</v>
      </c>
      <c r="S286" s="24">
        <v>45789.0</v>
      </c>
      <c r="T286" s="25"/>
      <c r="U286" s="25"/>
      <c r="V286" s="56">
        <v>53962.0</v>
      </c>
      <c r="W286" s="56">
        <v>63675.0</v>
      </c>
      <c r="X286" s="22">
        <v>25725.0</v>
      </c>
      <c r="Y286" s="22">
        <v>25725.0</v>
      </c>
      <c r="Z286" s="16">
        <f t="shared" si="1"/>
        <v>37950</v>
      </c>
      <c r="AA286" s="77"/>
      <c r="AB286" s="22" t="s">
        <v>42</v>
      </c>
      <c r="AC286" s="50" t="s">
        <v>1792</v>
      </c>
      <c r="AD286" s="27"/>
      <c r="AE286" s="27"/>
      <c r="AG286" s="50" t="s">
        <v>1786</v>
      </c>
    </row>
    <row r="287" hidden="1">
      <c r="A287" s="21">
        <v>285.0</v>
      </c>
      <c r="B287" s="22" t="s">
        <v>1703</v>
      </c>
      <c r="C287" s="50" t="s">
        <v>1793</v>
      </c>
      <c r="D287" s="50" t="s">
        <v>1794</v>
      </c>
      <c r="E287" s="22" t="s">
        <v>53</v>
      </c>
      <c r="F287" s="50" t="s">
        <v>1401</v>
      </c>
      <c r="G287" s="50" t="s">
        <v>1795</v>
      </c>
      <c r="H287" s="22" t="s">
        <v>1796</v>
      </c>
      <c r="I287" s="25"/>
      <c r="J287" s="22" t="s">
        <v>1354</v>
      </c>
      <c r="K287" s="22">
        <v>818.0</v>
      </c>
      <c r="L287" s="53" t="s">
        <v>1097</v>
      </c>
      <c r="M287" s="22" t="s">
        <v>265</v>
      </c>
      <c r="N287" s="23" t="s">
        <v>39</v>
      </c>
      <c r="O287" s="22" t="s">
        <v>140</v>
      </c>
      <c r="P287" s="22" t="s">
        <v>41</v>
      </c>
      <c r="Q287" s="22" t="s">
        <v>1374</v>
      </c>
      <c r="R287" s="22" t="s">
        <v>990</v>
      </c>
      <c r="S287" s="22" t="s">
        <v>665</v>
      </c>
      <c r="T287" s="24">
        <v>47220.0</v>
      </c>
      <c r="U287" s="25"/>
      <c r="V287" s="53">
        <v>7338.0</v>
      </c>
      <c r="W287" s="53">
        <v>8659.0</v>
      </c>
      <c r="X287" s="22">
        <v>7500.0</v>
      </c>
      <c r="Y287" s="22">
        <v>7500.0</v>
      </c>
      <c r="Z287" s="42">
        <f t="shared" si="1"/>
        <v>1159</v>
      </c>
      <c r="AA287" s="77"/>
      <c r="AB287" s="22" t="s">
        <v>42</v>
      </c>
      <c r="AC287" s="50" t="s">
        <v>1797</v>
      </c>
      <c r="AD287" s="27"/>
      <c r="AE287" s="27"/>
      <c r="AG287" s="50" t="s">
        <v>1798</v>
      </c>
    </row>
    <row r="288" hidden="1">
      <c r="A288" s="19">
        <v>286.0</v>
      </c>
      <c r="B288" s="22" t="s">
        <v>1703</v>
      </c>
      <c r="C288" s="50" t="s">
        <v>1799</v>
      </c>
      <c r="D288" s="50" t="s">
        <v>1800</v>
      </c>
      <c r="E288" s="22" t="s">
        <v>255</v>
      </c>
      <c r="F288" s="50" t="s">
        <v>778</v>
      </c>
      <c r="G288" s="50" t="s">
        <v>1801</v>
      </c>
      <c r="H288" s="22">
        <v>9.879605651E9</v>
      </c>
      <c r="I288" s="22">
        <v>9.998101292E9</v>
      </c>
      <c r="J288" s="22" t="s">
        <v>1354</v>
      </c>
      <c r="K288" s="22">
        <v>995.0</v>
      </c>
      <c r="L288" s="80">
        <v>46154.0</v>
      </c>
      <c r="M288" s="22" t="s">
        <v>167</v>
      </c>
      <c r="N288" s="23" t="s">
        <v>39</v>
      </c>
      <c r="O288" s="22" t="s">
        <v>40</v>
      </c>
      <c r="P288" s="22" t="s">
        <v>41</v>
      </c>
      <c r="Q288" s="22" t="s">
        <v>1374</v>
      </c>
      <c r="R288" s="24">
        <v>46154.0</v>
      </c>
      <c r="S288" s="24">
        <v>45789.0</v>
      </c>
      <c r="T288" s="25"/>
      <c r="U288" s="25"/>
      <c r="V288" s="56">
        <v>6433.26</v>
      </c>
      <c r="W288" s="53">
        <v>7007.0</v>
      </c>
      <c r="X288" s="22">
        <v>6000.0</v>
      </c>
      <c r="Y288" s="22">
        <v>6000.0</v>
      </c>
      <c r="Z288" s="42">
        <f t="shared" si="1"/>
        <v>1007</v>
      </c>
      <c r="AA288" s="17">
        <f>Y288-X288</f>
        <v>0</v>
      </c>
      <c r="AB288" s="22" t="s">
        <v>340</v>
      </c>
      <c r="AC288" s="50" t="s">
        <v>1802</v>
      </c>
      <c r="AD288" s="21" t="s">
        <v>473</v>
      </c>
      <c r="AE288" s="27"/>
      <c r="AF288" s="59">
        <v>45759.0</v>
      </c>
      <c r="AG288" s="50" t="s">
        <v>475</v>
      </c>
    </row>
    <row r="289" hidden="1">
      <c r="A289" s="21">
        <v>287.0</v>
      </c>
      <c r="B289" s="22" t="s">
        <v>1703</v>
      </c>
      <c r="C289" s="50" t="s">
        <v>1803</v>
      </c>
      <c r="D289" s="50" t="s">
        <v>1804</v>
      </c>
      <c r="E289" s="22" t="s">
        <v>157</v>
      </c>
      <c r="F289" s="50" t="s">
        <v>35</v>
      </c>
      <c r="G289" s="50" t="s">
        <v>1805</v>
      </c>
      <c r="H289" s="22">
        <v>9.825510002E9</v>
      </c>
      <c r="I289" s="22">
        <v>9.7259261E9</v>
      </c>
      <c r="J289" s="22" t="s">
        <v>1359</v>
      </c>
      <c r="K289" s="22">
        <v>3490.0</v>
      </c>
      <c r="L289" s="53" t="s">
        <v>1097</v>
      </c>
      <c r="M289" s="22" t="s">
        <v>38</v>
      </c>
      <c r="N289" s="23" t="s">
        <v>39</v>
      </c>
      <c r="O289" s="22" t="s">
        <v>48</v>
      </c>
      <c r="P289" s="22" t="s">
        <v>57</v>
      </c>
      <c r="Q289" s="22" t="s">
        <v>1374</v>
      </c>
      <c r="R289" s="28">
        <v>46430.0</v>
      </c>
      <c r="S289" s="28">
        <v>46065.0</v>
      </c>
      <c r="T289" s="24">
        <v>46946.0</v>
      </c>
      <c r="U289" s="25"/>
      <c r="V289" s="56">
        <v>20502.0</v>
      </c>
      <c r="W289" s="56">
        <v>22089.0</v>
      </c>
      <c r="X289" s="22">
        <v>14913.0</v>
      </c>
      <c r="Y289" s="22">
        <v>16000.0</v>
      </c>
      <c r="Z289" s="16">
        <f t="shared" si="1"/>
        <v>6089</v>
      </c>
      <c r="AA289" s="77"/>
      <c r="AB289" s="22" t="s">
        <v>42</v>
      </c>
      <c r="AC289" s="50" t="s">
        <v>1806</v>
      </c>
      <c r="AD289" s="27"/>
      <c r="AE289" s="27"/>
      <c r="AG289" s="50" t="s">
        <v>1807</v>
      </c>
    </row>
    <row r="290" hidden="1">
      <c r="A290" s="21">
        <v>288.0</v>
      </c>
      <c r="B290" s="22" t="s">
        <v>1703</v>
      </c>
      <c r="C290" s="50" t="s">
        <v>1808</v>
      </c>
      <c r="D290" s="50" t="s">
        <v>1809</v>
      </c>
      <c r="E290" s="22" t="s">
        <v>157</v>
      </c>
      <c r="F290" s="50" t="s">
        <v>1324</v>
      </c>
      <c r="G290" s="50" t="s">
        <v>1810</v>
      </c>
      <c r="H290" s="22">
        <v>9.724743671E9</v>
      </c>
      <c r="I290" s="22">
        <v>9.662081811E9</v>
      </c>
      <c r="J290" s="22" t="s">
        <v>1359</v>
      </c>
      <c r="K290" s="22">
        <v>2825.0</v>
      </c>
      <c r="L290" s="53" t="s">
        <v>1097</v>
      </c>
      <c r="M290" s="22" t="s">
        <v>38</v>
      </c>
      <c r="N290" s="23" t="s">
        <v>39</v>
      </c>
      <c r="O290" s="22" t="s">
        <v>48</v>
      </c>
      <c r="P290" s="22" t="s">
        <v>57</v>
      </c>
      <c r="Q290" s="22" t="s">
        <v>1374</v>
      </c>
      <c r="R290" s="22" t="s">
        <v>1446</v>
      </c>
      <c r="S290" s="24">
        <v>46358.0</v>
      </c>
      <c r="T290" s="25"/>
      <c r="U290" s="25"/>
      <c r="V290" s="56">
        <v>19902.0</v>
      </c>
      <c r="W290" s="56">
        <v>21385.0</v>
      </c>
      <c r="X290" s="22">
        <v>14516.0</v>
      </c>
      <c r="Y290" s="22">
        <v>14500.0</v>
      </c>
      <c r="Z290" s="16">
        <f t="shared" si="1"/>
        <v>6885</v>
      </c>
      <c r="AA290" s="77"/>
      <c r="AB290" s="22" t="s">
        <v>42</v>
      </c>
      <c r="AC290" s="50" t="s">
        <v>1811</v>
      </c>
      <c r="AD290" s="27"/>
      <c r="AE290" s="27"/>
      <c r="AG290" s="50" t="s">
        <v>1812</v>
      </c>
    </row>
    <row r="291" hidden="1">
      <c r="A291" s="19">
        <v>289.0</v>
      </c>
      <c r="B291" s="20">
        <v>45669.0</v>
      </c>
      <c r="C291" s="50" t="s">
        <v>1813</v>
      </c>
      <c r="D291" s="50" t="s">
        <v>1814</v>
      </c>
      <c r="E291" s="22" t="s">
        <v>157</v>
      </c>
      <c r="F291" s="50" t="s">
        <v>398</v>
      </c>
      <c r="G291" s="50" t="s">
        <v>1815</v>
      </c>
      <c r="H291" s="22">
        <v>8.16025738E9</v>
      </c>
      <c r="I291" s="22" t="s">
        <v>1816</v>
      </c>
      <c r="J291" s="22" t="s">
        <v>1354</v>
      </c>
      <c r="K291" s="22">
        <v>2880.0</v>
      </c>
      <c r="L291" s="52">
        <v>46065.0</v>
      </c>
      <c r="M291" s="22" t="s">
        <v>38</v>
      </c>
      <c r="N291" s="23" t="s">
        <v>39</v>
      </c>
      <c r="O291" s="22" t="s">
        <v>223</v>
      </c>
      <c r="P291" s="22" t="s">
        <v>41</v>
      </c>
      <c r="Q291" s="22" t="s">
        <v>1368</v>
      </c>
      <c r="R291" s="22" t="s">
        <v>1817</v>
      </c>
      <c r="S291" s="28">
        <v>46023.0</v>
      </c>
      <c r="T291" s="25"/>
      <c r="U291" s="25"/>
      <c r="V291" s="56">
        <v>17563.0</v>
      </c>
      <c r="W291" s="56">
        <v>18627.0</v>
      </c>
      <c r="X291" s="22">
        <v>11500.0</v>
      </c>
      <c r="Y291" s="22">
        <v>12500.0</v>
      </c>
      <c r="Z291" s="16">
        <f t="shared" si="1"/>
        <v>6127</v>
      </c>
      <c r="AA291" s="17">
        <f t="shared" ref="AA291:AA292" si="17">Y291-X291</f>
        <v>1000</v>
      </c>
      <c r="AB291" s="22" t="s">
        <v>340</v>
      </c>
      <c r="AC291" s="50" t="s">
        <v>1818</v>
      </c>
      <c r="AD291" s="27"/>
      <c r="AE291" s="27"/>
      <c r="AG291" s="50" t="s">
        <v>1819</v>
      </c>
    </row>
    <row r="292" hidden="1">
      <c r="A292" s="21">
        <v>290.0</v>
      </c>
      <c r="B292" s="20">
        <v>45669.0</v>
      </c>
      <c r="C292" s="50" t="s">
        <v>1820</v>
      </c>
      <c r="D292" s="50" t="s">
        <v>1821</v>
      </c>
      <c r="E292" s="22" t="s">
        <v>86</v>
      </c>
      <c r="F292" s="50" t="s">
        <v>1822</v>
      </c>
      <c r="G292" s="50" t="s">
        <v>1823</v>
      </c>
      <c r="H292" s="22">
        <v>9.979738707E9</v>
      </c>
      <c r="I292" s="22">
        <v>9.898000254E9</v>
      </c>
      <c r="J292" s="22" t="s">
        <v>1354</v>
      </c>
      <c r="K292" s="22">
        <v>35000.0</v>
      </c>
      <c r="L292" s="52">
        <v>46065.0</v>
      </c>
      <c r="M292" s="22" t="s">
        <v>38</v>
      </c>
      <c r="N292" s="23" t="s">
        <v>39</v>
      </c>
      <c r="O292" s="22" t="s">
        <v>259</v>
      </c>
      <c r="P292" s="22" t="s">
        <v>41</v>
      </c>
      <c r="Q292" s="22" t="s">
        <v>1374</v>
      </c>
      <c r="R292" s="22" t="s">
        <v>1824</v>
      </c>
      <c r="S292" s="22" t="s">
        <v>1825</v>
      </c>
      <c r="T292" s="24">
        <v>47700.0</v>
      </c>
      <c r="U292" s="25"/>
      <c r="V292" s="56">
        <v>51159.0</v>
      </c>
      <c r="W292" s="56">
        <v>54640.0</v>
      </c>
      <c r="X292" s="22">
        <v>43235.0</v>
      </c>
      <c r="Y292" s="22">
        <v>42000.0</v>
      </c>
      <c r="Z292" s="16">
        <f t="shared" si="1"/>
        <v>12640</v>
      </c>
      <c r="AA292" s="17">
        <f t="shared" si="17"/>
        <v>-1235</v>
      </c>
      <c r="AB292" s="22" t="s">
        <v>340</v>
      </c>
      <c r="AC292" s="50" t="s">
        <v>1826</v>
      </c>
      <c r="AD292" s="27"/>
      <c r="AE292" s="27"/>
      <c r="AG292" s="50" t="s">
        <v>1448</v>
      </c>
    </row>
    <row r="293" hidden="1">
      <c r="A293" s="21">
        <v>291.0</v>
      </c>
      <c r="B293" s="20">
        <v>45669.0</v>
      </c>
      <c r="C293" s="50" t="s">
        <v>1827</v>
      </c>
      <c r="D293" s="50" t="s">
        <v>1828</v>
      </c>
      <c r="E293" s="22" t="s">
        <v>157</v>
      </c>
      <c r="F293" s="50" t="s">
        <v>1829</v>
      </c>
      <c r="G293" s="50" t="s">
        <v>1830</v>
      </c>
      <c r="H293" s="22" t="s">
        <v>1831</v>
      </c>
      <c r="I293" s="25"/>
      <c r="J293" s="22" t="s">
        <v>1354</v>
      </c>
      <c r="K293" s="22">
        <v>2670.0</v>
      </c>
      <c r="L293" s="53" t="s">
        <v>1724</v>
      </c>
      <c r="M293" s="22" t="s">
        <v>265</v>
      </c>
      <c r="N293" s="23" t="s">
        <v>39</v>
      </c>
      <c r="O293" s="22" t="s">
        <v>676</v>
      </c>
      <c r="P293" s="22" t="s">
        <v>41</v>
      </c>
      <c r="Q293" s="22" t="s">
        <v>1374</v>
      </c>
      <c r="R293" s="24">
        <v>45150.0</v>
      </c>
      <c r="S293" s="24">
        <v>44604.0</v>
      </c>
      <c r="T293" s="25"/>
      <c r="U293" s="25"/>
      <c r="V293" s="53">
        <v>17006.0</v>
      </c>
      <c r="W293" s="53">
        <v>17981.0</v>
      </c>
      <c r="X293" s="22">
        <v>12622.0</v>
      </c>
      <c r="Y293" s="22">
        <v>12500.0</v>
      </c>
      <c r="Z293" s="42">
        <f t="shared" si="1"/>
        <v>5481</v>
      </c>
      <c r="AA293" s="77"/>
      <c r="AB293" s="22" t="s">
        <v>42</v>
      </c>
      <c r="AC293" s="50" t="s">
        <v>1832</v>
      </c>
      <c r="AD293" s="27"/>
      <c r="AE293" s="27"/>
    </row>
    <row r="294" hidden="1">
      <c r="A294" s="19">
        <v>292.0</v>
      </c>
      <c r="B294" s="20">
        <v>45669.0</v>
      </c>
      <c r="C294" s="50" t="s">
        <v>1833</v>
      </c>
      <c r="D294" s="50" t="s">
        <v>1834</v>
      </c>
      <c r="E294" s="22" t="s">
        <v>157</v>
      </c>
      <c r="F294" s="50" t="s">
        <v>1835</v>
      </c>
      <c r="G294" s="50" t="s">
        <v>1836</v>
      </c>
      <c r="H294" s="22">
        <v>7.433842589E9</v>
      </c>
      <c r="I294" s="25"/>
      <c r="J294" s="22" t="s">
        <v>1359</v>
      </c>
      <c r="K294" s="22">
        <v>1630.0</v>
      </c>
      <c r="L294" s="53" t="s">
        <v>1097</v>
      </c>
      <c r="M294" s="22" t="s">
        <v>265</v>
      </c>
      <c r="N294" s="23" t="s">
        <v>39</v>
      </c>
      <c r="O294" s="22" t="s">
        <v>259</v>
      </c>
      <c r="P294" s="22" t="s">
        <v>41</v>
      </c>
      <c r="Q294" s="22" t="s">
        <v>1374</v>
      </c>
      <c r="R294" s="22" t="s">
        <v>1446</v>
      </c>
      <c r="S294" s="22" t="s">
        <v>1105</v>
      </c>
      <c r="T294" s="25"/>
      <c r="U294" s="25"/>
      <c r="V294" s="53">
        <v>18191.0</v>
      </c>
      <c r="W294" s="53">
        <v>19379.0</v>
      </c>
      <c r="X294" s="22">
        <v>13245.0</v>
      </c>
      <c r="Y294" s="22">
        <v>13500.0</v>
      </c>
      <c r="Z294" s="42">
        <f t="shared" si="1"/>
        <v>5879</v>
      </c>
      <c r="AA294" s="17">
        <f t="shared" ref="AA294:AA295" si="18">Y294-X294</f>
        <v>255</v>
      </c>
      <c r="AB294" s="22" t="s">
        <v>42</v>
      </c>
      <c r="AC294" s="50" t="s">
        <v>1837</v>
      </c>
      <c r="AD294" s="21" t="s">
        <v>473</v>
      </c>
      <c r="AE294" s="27"/>
      <c r="AF294" s="59">
        <v>45669.0</v>
      </c>
      <c r="AG294" s="50" t="s">
        <v>298</v>
      </c>
    </row>
    <row r="295" hidden="1">
      <c r="A295" s="21">
        <v>293.0</v>
      </c>
      <c r="B295" s="20">
        <v>45669.0</v>
      </c>
      <c r="C295" s="50" t="s">
        <v>1838</v>
      </c>
      <c r="D295" s="50" t="s">
        <v>1839</v>
      </c>
      <c r="E295" s="22" t="s">
        <v>157</v>
      </c>
      <c r="F295" s="50" t="s">
        <v>1051</v>
      </c>
      <c r="G295" s="50" t="s">
        <v>1840</v>
      </c>
      <c r="H295" s="22" t="s">
        <v>1841</v>
      </c>
      <c r="I295" s="22">
        <v>6.353909977E9</v>
      </c>
      <c r="J295" s="22" t="s">
        <v>1354</v>
      </c>
      <c r="K295" s="22">
        <v>2825.0</v>
      </c>
      <c r="L295" s="53" t="s">
        <v>1097</v>
      </c>
      <c r="M295" s="22" t="s">
        <v>38</v>
      </c>
      <c r="N295" s="23" t="s">
        <v>39</v>
      </c>
      <c r="O295" s="22" t="s">
        <v>388</v>
      </c>
      <c r="P295" s="22" t="s">
        <v>41</v>
      </c>
      <c r="Q295" s="22" t="s">
        <v>1374</v>
      </c>
      <c r="R295" s="24">
        <v>46519.0</v>
      </c>
      <c r="S295" s="22" t="s">
        <v>990</v>
      </c>
      <c r="T295" s="25"/>
      <c r="U295" s="25"/>
      <c r="V295" s="56">
        <v>21126.0</v>
      </c>
      <c r="W295" s="56">
        <v>22830.0</v>
      </c>
      <c r="X295" s="22">
        <v>14849.0</v>
      </c>
      <c r="Y295" s="22">
        <v>15500.0</v>
      </c>
      <c r="Z295" s="16">
        <f t="shared" si="1"/>
        <v>7330</v>
      </c>
      <c r="AA295" s="17">
        <f t="shared" si="18"/>
        <v>651</v>
      </c>
      <c r="AB295" s="22" t="s">
        <v>42</v>
      </c>
      <c r="AC295" s="50" t="s">
        <v>1842</v>
      </c>
      <c r="AD295" s="27"/>
      <c r="AE295" s="27"/>
    </row>
    <row r="296" hidden="1">
      <c r="A296" s="21">
        <v>294.0</v>
      </c>
      <c r="B296" s="20">
        <v>45669.0</v>
      </c>
      <c r="C296" s="50" t="s">
        <v>1843</v>
      </c>
      <c r="D296" s="50" t="s">
        <v>1844</v>
      </c>
      <c r="E296" s="22" t="s">
        <v>86</v>
      </c>
      <c r="F296" s="50" t="s">
        <v>1845</v>
      </c>
      <c r="G296" s="50" t="s">
        <v>1846</v>
      </c>
      <c r="H296" s="22">
        <v>9.909502121E9</v>
      </c>
      <c r="I296" s="22">
        <v>9.879783545E9</v>
      </c>
      <c r="J296" s="22" t="s">
        <v>1354</v>
      </c>
      <c r="K296" s="22">
        <v>18500.0</v>
      </c>
      <c r="L296" s="20">
        <v>46065.0</v>
      </c>
      <c r="M296" s="22" t="s">
        <v>64</v>
      </c>
      <c r="N296" s="23" t="s">
        <v>39</v>
      </c>
      <c r="O296" s="22" t="s">
        <v>48</v>
      </c>
      <c r="P296" s="22" t="s">
        <v>57</v>
      </c>
      <c r="Q296" s="22" t="s">
        <v>1374</v>
      </c>
      <c r="R296" s="22" t="s">
        <v>1847</v>
      </c>
      <c r="S296" s="22" t="s">
        <v>1825</v>
      </c>
      <c r="T296" s="28">
        <v>47401.0</v>
      </c>
      <c r="U296" s="25"/>
      <c r="V296" s="56">
        <v>36900.0</v>
      </c>
      <c r="W296" s="56">
        <v>38951.0</v>
      </c>
      <c r="X296" s="22">
        <v>35595.0</v>
      </c>
      <c r="Y296" s="22">
        <v>35500.0</v>
      </c>
      <c r="Z296" s="16">
        <f t="shared" si="1"/>
        <v>3451</v>
      </c>
      <c r="AA296" s="77"/>
      <c r="AB296" s="22" t="s">
        <v>340</v>
      </c>
      <c r="AC296" s="50" t="s">
        <v>1848</v>
      </c>
      <c r="AD296" s="21" t="s">
        <v>671</v>
      </c>
      <c r="AE296" s="27"/>
      <c r="AF296" s="59">
        <v>45669.0</v>
      </c>
      <c r="AG296" s="50" t="s">
        <v>475</v>
      </c>
    </row>
    <row r="297" hidden="1">
      <c r="A297" s="21">
        <v>295.0</v>
      </c>
      <c r="B297" s="20">
        <v>45700.0</v>
      </c>
      <c r="C297" s="50" t="s">
        <v>1849</v>
      </c>
      <c r="D297" s="50" t="s">
        <v>1850</v>
      </c>
      <c r="E297" s="22" t="s">
        <v>525</v>
      </c>
      <c r="F297" s="50" t="s">
        <v>1851</v>
      </c>
      <c r="G297" s="50" t="s">
        <v>1852</v>
      </c>
      <c r="H297" s="22">
        <v>9.913580142E9</v>
      </c>
      <c r="I297" s="22">
        <v>9.624644526E9</v>
      </c>
      <c r="J297" s="22" t="s">
        <v>1354</v>
      </c>
      <c r="K297" s="22">
        <v>11990.0</v>
      </c>
      <c r="L297" s="53" t="s">
        <v>1724</v>
      </c>
      <c r="M297" s="22" t="s">
        <v>265</v>
      </c>
      <c r="N297" s="23" t="s">
        <v>39</v>
      </c>
      <c r="O297" s="22" t="s">
        <v>337</v>
      </c>
      <c r="P297" s="22" t="s">
        <v>41</v>
      </c>
      <c r="Q297" s="22" t="s">
        <v>1374</v>
      </c>
      <c r="R297" s="22" t="s">
        <v>1853</v>
      </c>
      <c r="S297" s="24">
        <v>46034.0</v>
      </c>
      <c r="T297" s="22" t="s">
        <v>1854</v>
      </c>
      <c r="U297" s="25"/>
      <c r="V297" s="53">
        <v>42066.0</v>
      </c>
      <c r="W297" s="53">
        <v>46104.0</v>
      </c>
      <c r="X297" s="22">
        <v>40245.0</v>
      </c>
      <c r="Y297" s="22">
        <v>40000.0</v>
      </c>
      <c r="Z297" s="42">
        <f t="shared" si="1"/>
        <v>6104</v>
      </c>
      <c r="AA297" s="17">
        <f t="shared" ref="AA297:AA299" si="19">Y297-X297</f>
        <v>-245</v>
      </c>
      <c r="AB297" s="22" t="s">
        <v>42</v>
      </c>
      <c r="AC297" s="50" t="s">
        <v>1855</v>
      </c>
      <c r="AD297" s="21" t="s">
        <v>671</v>
      </c>
      <c r="AE297" s="27"/>
      <c r="AF297" s="59">
        <v>45759.0</v>
      </c>
      <c r="AG297" s="50" t="s">
        <v>475</v>
      </c>
    </row>
    <row r="298" hidden="1">
      <c r="A298" s="21">
        <v>296.0</v>
      </c>
      <c r="B298" s="20">
        <v>45700.0</v>
      </c>
      <c r="C298" s="50" t="s">
        <v>1856</v>
      </c>
      <c r="D298" s="50" t="s">
        <v>1857</v>
      </c>
      <c r="E298" s="22" t="s">
        <v>86</v>
      </c>
      <c r="F298" s="50" t="s">
        <v>1858</v>
      </c>
      <c r="G298" s="50" t="s">
        <v>1859</v>
      </c>
      <c r="H298" s="22">
        <v>9.879109999E9</v>
      </c>
      <c r="I298" s="22">
        <v>7.778809783E9</v>
      </c>
      <c r="J298" s="22" t="s">
        <v>1354</v>
      </c>
      <c r="K298" s="22">
        <v>42000.0</v>
      </c>
      <c r="L298" s="52">
        <v>46034.0</v>
      </c>
      <c r="M298" s="22" t="s">
        <v>265</v>
      </c>
      <c r="N298" s="23" t="s">
        <v>39</v>
      </c>
      <c r="O298" s="22" t="s">
        <v>337</v>
      </c>
      <c r="P298" s="22" t="s">
        <v>41</v>
      </c>
      <c r="Q298" s="22" t="s">
        <v>1374</v>
      </c>
      <c r="R298" s="24">
        <v>46093.0</v>
      </c>
      <c r="S298" s="24">
        <v>45728.0</v>
      </c>
      <c r="T298" s="22" t="s">
        <v>1860</v>
      </c>
      <c r="U298" s="22" t="s">
        <v>1861</v>
      </c>
      <c r="V298" s="53">
        <v>49403.0</v>
      </c>
      <c r="W298" s="53">
        <v>52544.0</v>
      </c>
      <c r="X298" s="22">
        <v>44532.0</v>
      </c>
      <c r="Y298" s="22">
        <v>44500.0</v>
      </c>
      <c r="Z298" s="42">
        <f t="shared" si="1"/>
        <v>8044</v>
      </c>
      <c r="AA298" s="17">
        <f t="shared" si="19"/>
        <v>-32</v>
      </c>
      <c r="AB298" s="22" t="s">
        <v>42</v>
      </c>
      <c r="AC298" s="50" t="s">
        <v>1862</v>
      </c>
      <c r="AD298" s="27"/>
      <c r="AE298" s="27"/>
      <c r="AG298" s="50" t="s">
        <v>1863</v>
      </c>
    </row>
    <row r="299" hidden="1">
      <c r="A299" s="21">
        <v>297.0</v>
      </c>
      <c r="B299" s="20">
        <v>45700.0</v>
      </c>
      <c r="C299" s="50" t="s">
        <v>1864</v>
      </c>
      <c r="D299" s="50" t="s">
        <v>1865</v>
      </c>
      <c r="E299" s="22" t="s">
        <v>53</v>
      </c>
      <c r="F299" s="50" t="s">
        <v>54</v>
      </c>
      <c r="G299" s="50" t="s">
        <v>1866</v>
      </c>
      <c r="H299" s="22">
        <v>8.980209817E9</v>
      </c>
      <c r="I299" s="25"/>
      <c r="J299" s="22" t="s">
        <v>1354</v>
      </c>
      <c r="K299" s="22">
        <v>818.0</v>
      </c>
      <c r="L299" s="52">
        <v>46034.0</v>
      </c>
      <c r="M299" s="22" t="s">
        <v>56</v>
      </c>
      <c r="N299" s="23" t="s">
        <v>39</v>
      </c>
      <c r="O299" s="22" t="s">
        <v>106</v>
      </c>
      <c r="P299" s="22" t="s">
        <v>57</v>
      </c>
      <c r="Q299" s="22" t="s">
        <v>1374</v>
      </c>
      <c r="R299" s="24">
        <v>46214.0</v>
      </c>
      <c r="S299" s="24">
        <v>46145.0</v>
      </c>
      <c r="T299" s="22" t="s">
        <v>1867</v>
      </c>
      <c r="U299" s="25"/>
      <c r="V299" s="53">
        <v>6540.0</v>
      </c>
      <c r="W299" s="53">
        <v>7718.0</v>
      </c>
      <c r="X299" s="22">
        <v>6500.0</v>
      </c>
      <c r="Y299" s="22">
        <v>6000.0</v>
      </c>
      <c r="Z299" s="42">
        <f t="shared" si="1"/>
        <v>1718</v>
      </c>
      <c r="AA299" s="17">
        <f t="shared" si="19"/>
        <v>-500</v>
      </c>
      <c r="AB299" s="22" t="s">
        <v>42</v>
      </c>
      <c r="AC299" s="50" t="s">
        <v>1868</v>
      </c>
      <c r="AD299" s="27"/>
      <c r="AE299" s="27"/>
      <c r="AG299" s="50" t="s">
        <v>1869</v>
      </c>
    </row>
    <row r="300" hidden="1">
      <c r="A300" s="21">
        <v>298.0</v>
      </c>
      <c r="B300" s="20">
        <v>45700.0</v>
      </c>
      <c r="C300" s="50" t="s">
        <v>1870</v>
      </c>
      <c r="D300" s="50" t="s">
        <v>1871</v>
      </c>
      <c r="E300" s="22" t="s">
        <v>157</v>
      </c>
      <c r="F300" s="50" t="s">
        <v>1051</v>
      </c>
      <c r="G300" s="50" t="s">
        <v>1872</v>
      </c>
      <c r="H300" s="22" t="s">
        <v>1873</v>
      </c>
      <c r="I300" s="25"/>
      <c r="J300" s="22" t="s">
        <v>1354</v>
      </c>
      <c r="K300" s="22">
        <v>2825.0</v>
      </c>
      <c r="L300" s="53" t="s">
        <v>1874</v>
      </c>
      <c r="M300" s="22" t="s">
        <v>38</v>
      </c>
      <c r="N300" s="23" t="s">
        <v>39</v>
      </c>
      <c r="O300" s="22" t="s">
        <v>140</v>
      </c>
      <c r="P300" s="22" t="s">
        <v>41</v>
      </c>
      <c r="Q300" s="22" t="s">
        <v>1374</v>
      </c>
      <c r="R300" s="24">
        <v>46508.0</v>
      </c>
      <c r="S300" s="22" t="s">
        <v>1847</v>
      </c>
      <c r="T300" s="25"/>
      <c r="U300" s="25"/>
      <c r="V300" s="56">
        <v>21045.0</v>
      </c>
      <c r="W300" s="56">
        <v>22736.0</v>
      </c>
      <c r="X300" s="22">
        <v>15000.0</v>
      </c>
      <c r="Y300" s="22">
        <v>15000.0</v>
      </c>
      <c r="Z300" s="16">
        <f t="shared" si="1"/>
        <v>7736</v>
      </c>
      <c r="AA300" s="77"/>
      <c r="AB300" s="22" t="s">
        <v>340</v>
      </c>
      <c r="AC300" s="50" t="s">
        <v>1875</v>
      </c>
      <c r="AD300" s="21" t="s">
        <v>671</v>
      </c>
      <c r="AE300" s="27"/>
      <c r="AF300" s="59">
        <v>45759.0</v>
      </c>
      <c r="AG300" s="50" t="s">
        <v>475</v>
      </c>
    </row>
    <row r="301" hidden="1">
      <c r="A301" s="21">
        <v>299.0</v>
      </c>
      <c r="B301" s="20">
        <v>45700.0</v>
      </c>
      <c r="C301" s="50" t="s">
        <v>1876</v>
      </c>
      <c r="D301" s="50" t="s">
        <v>1877</v>
      </c>
      <c r="E301" s="22" t="s">
        <v>86</v>
      </c>
      <c r="F301" s="50" t="s">
        <v>643</v>
      </c>
      <c r="G301" s="50" t="s">
        <v>1878</v>
      </c>
      <c r="H301" s="22">
        <v>9.979738707E9</v>
      </c>
      <c r="I301" s="22">
        <v>9.898000254E9</v>
      </c>
      <c r="J301" s="22" t="s">
        <v>1354</v>
      </c>
      <c r="K301" s="22">
        <v>35000.0</v>
      </c>
      <c r="L301" s="52">
        <v>46034.0</v>
      </c>
      <c r="M301" s="22" t="s">
        <v>38</v>
      </c>
      <c r="N301" s="23" t="s">
        <v>39</v>
      </c>
      <c r="O301" s="22" t="s">
        <v>259</v>
      </c>
      <c r="P301" s="22" t="s">
        <v>41</v>
      </c>
      <c r="Q301" s="22" t="s">
        <v>1374</v>
      </c>
      <c r="R301" s="24">
        <v>46093.0</v>
      </c>
      <c r="S301" s="24">
        <v>46028.0</v>
      </c>
      <c r="T301" s="22" t="s">
        <v>1879</v>
      </c>
      <c r="U301" s="25"/>
      <c r="V301" s="56">
        <v>50805.0</v>
      </c>
      <c r="W301" s="56">
        <v>54255.0</v>
      </c>
      <c r="X301" s="22">
        <v>42773.0</v>
      </c>
      <c r="Y301" s="22">
        <v>42000.0</v>
      </c>
      <c r="Z301" s="16">
        <f t="shared" si="1"/>
        <v>12255</v>
      </c>
      <c r="AA301" s="17">
        <f t="shared" ref="AA301:AA302" si="20">Y301-X301</f>
        <v>-773</v>
      </c>
      <c r="AB301" s="22" t="s">
        <v>42</v>
      </c>
      <c r="AC301" s="50" t="s">
        <v>1880</v>
      </c>
      <c r="AD301" s="27"/>
      <c r="AE301" s="27"/>
      <c r="AG301" s="50" t="s">
        <v>1881</v>
      </c>
    </row>
    <row r="302" hidden="1">
      <c r="A302" s="21">
        <v>300.0</v>
      </c>
      <c r="B302" s="20">
        <v>45700.0</v>
      </c>
      <c r="C302" s="50" t="s">
        <v>1882</v>
      </c>
      <c r="D302" s="50" t="s">
        <v>1883</v>
      </c>
      <c r="E302" s="22" t="s">
        <v>69</v>
      </c>
      <c r="F302" s="50" t="s">
        <v>1884</v>
      </c>
      <c r="G302" s="50" t="s">
        <v>1885</v>
      </c>
      <c r="H302" s="22">
        <v>9.879277112E9</v>
      </c>
      <c r="I302" s="22">
        <v>9.712234896E9</v>
      </c>
      <c r="J302" s="22" t="s">
        <v>1354</v>
      </c>
      <c r="K302" s="22">
        <v>796.0</v>
      </c>
      <c r="L302" s="20">
        <v>46093.0</v>
      </c>
      <c r="M302" s="22" t="s">
        <v>329</v>
      </c>
      <c r="N302" s="23" t="s">
        <v>81</v>
      </c>
      <c r="O302" s="22" t="s">
        <v>337</v>
      </c>
      <c r="P302" s="22" t="s">
        <v>57</v>
      </c>
      <c r="Q302" s="22" t="s">
        <v>1374</v>
      </c>
      <c r="R302" s="24">
        <v>48799.0</v>
      </c>
      <c r="S302" s="22" t="s">
        <v>1886</v>
      </c>
      <c r="T302" s="25"/>
      <c r="U302" s="25"/>
      <c r="V302" s="53">
        <v>2425.0</v>
      </c>
      <c r="W302" s="53">
        <v>2861.0</v>
      </c>
      <c r="X302" s="22">
        <v>2800.0</v>
      </c>
      <c r="Y302" s="22">
        <v>2500.0</v>
      </c>
      <c r="Z302" s="42">
        <f t="shared" si="1"/>
        <v>361</v>
      </c>
      <c r="AA302" s="17">
        <f t="shared" si="20"/>
        <v>-300</v>
      </c>
      <c r="AB302" s="22" t="s">
        <v>42</v>
      </c>
      <c r="AC302" s="50" t="s">
        <v>1887</v>
      </c>
      <c r="AD302" s="27"/>
      <c r="AE302" s="27"/>
    </row>
    <row r="303" hidden="1">
      <c r="A303" s="21">
        <v>301.0</v>
      </c>
      <c r="B303" s="20">
        <v>45700.0</v>
      </c>
      <c r="C303" s="50" t="s">
        <v>1888</v>
      </c>
      <c r="D303" s="50" t="s">
        <v>1889</v>
      </c>
      <c r="E303" s="22" t="s">
        <v>86</v>
      </c>
      <c r="F303" s="50" t="s">
        <v>643</v>
      </c>
      <c r="G303" s="50" t="s">
        <v>1890</v>
      </c>
      <c r="H303" s="22">
        <v>9.427222549E9</v>
      </c>
      <c r="I303" s="22">
        <v>9.825404974E9</v>
      </c>
      <c r="J303" s="22" t="s">
        <v>1354</v>
      </c>
      <c r="K303" s="22">
        <v>28000.0</v>
      </c>
      <c r="L303" s="52">
        <v>46065.0</v>
      </c>
      <c r="M303" s="22" t="s">
        <v>38</v>
      </c>
      <c r="N303" s="23" t="s">
        <v>39</v>
      </c>
      <c r="O303" s="22" t="s">
        <v>48</v>
      </c>
      <c r="P303" s="22" t="s">
        <v>41</v>
      </c>
      <c r="Q303" s="22" t="s">
        <v>1374</v>
      </c>
      <c r="R303" s="22" t="s">
        <v>1347</v>
      </c>
      <c r="S303" s="22" t="s">
        <v>1712</v>
      </c>
      <c r="T303" s="22" t="s">
        <v>1891</v>
      </c>
      <c r="U303" s="22" t="s">
        <v>266</v>
      </c>
      <c r="V303" s="56">
        <v>48023.0</v>
      </c>
      <c r="W303" s="56">
        <v>50941.0</v>
      </c>
      <c r="X303" s="22">
        <v>40720.0</v>
      </c>
      <c r="Y303" s="22">
        <v>40000.0</v>
      </c>
      <c r="Z303" s="16">
        <f t="shared" si="1"/>
        <v>10941</v>
      </c>
      <c r="AA303" s="77"/>
      <c r="AB303" s="22" t="s">
        <v>42</v>
      </c>
      <c r="AC303" s="50" t="s">
        <v>1892</v>
      </c>
      <c r="AD303" s="21" t="s">
        <v>671</v>
      </c>
      <c r="AE303" s="27"/>
      <c r="AF303" s="59">
        <v>45728.0</v>
      </c>
      <c r="AG303" s="50" t="s">
        <v>298</v>
      </c>
    </row>
    <row r="304" hidden="1">
      <c r="A304" s="21">
        <v>302.0</v>
      </c>
      <c r="B304" s="20">
        <v>45700.0</v>
      </c>
      <c r="C304" s="50" t="s">
        <v>1893</v>
      </c>
      <c r="D304" s="50" t="s">
        <v>1894</v>
      </c>
      <c r="E304" s="22" t="s">
        <v>157</v>
      </c>
      <c r="F304" s="50" t="s">
        <v>35</v>
      </c>
      <c r="G304" s="50" t="s">
        <v>1895</v>
      </c>
      <c r="H304" s="22">
        <v>9.558937014E9</v>
      </c>
      <c r="I304" s="22">
        <v>7.60078257E9</v>
      </c>
      <c r="J304" s="22" t="s">
        <v>1354</v>
      </c>
      <c r="K304" s="22">
        <v>3490.0</v>
      </c>
      <c r="L304" s="52">
        <v>46034.0</v>
      </c>
      <c r="M304" s="22" t="s">
        <v>38</v>
      </c>
      <c r="N304" s="23" t="s">
        <v>39</v>
      </c>
      <c r="O304" s="22" t="s">
        <v>337</v>
      </c>
      <c r="P304" s="22" t="s">
        <v>41</v>
      </c>
      <c r="Q304" s="22" t="s">
        <v>1374</v>
      </c>
      <c r="R304" s="24">
        <v>46090.0</v>
      </c>
      <c r="S304" s="22" t="s">
        <v>1896</v>
      </c>
      <c r="T304" s="24">
        <v>46396.0</v>
      </c>
      <c r="U304" s="25"/>
      <c r="V304" s="56">
        <v>22249.0</v>
      </c>
      <c r="W304" s="56">
        <v>24157.0</v>
      </c>
      <c r="X304" s="22">
        <v>15427.0</v>
      </c>
      <c r="Y304" s="22">
        <v>16000.0</v>
      </c>
      <c r="Z304" s="16">
        <f t="shared" si="1"/>
        <v>8157</v>
      </c>
      <c r="AA304" s="17">
        <f t="shared" ref="AA304:AA310" si="21">Y304-X304</f>
        <v>573</v>
      </c>
      <c r="AB304" s="22" t="s">
        <v>42</v>
      </c>
      <c r="AC304" s="50" t="s">
        <v>1897</v>
      </c>
      <c r="AD304" s="21" t="s">
        <v>671</v>
      </c>
      <c r="AE304" s="27"/>
      <c r="AF304" s="59">
        <v>45728.0</v>
      </c>
      <c r="AG304" s="50" t="s">
        <v>298</v>
      </c>
    </row>
    <row r="305" hidden="1">
      <c r="A305" s="21">
        <v>303.0</v>
      </c>
      <c r="B305" s="20">
        <v>45700.0</v>
      </c>
      <c r="C305" s="50" t="s">
        <v>1898</v>
      </c>
      <c r="D305" s="50" t="s">
        <v>1899</v>
      </c>
      <c r="E305" s="22" t="s">
        <v>157</v>
      </c>
      <c r="F305" s="50" t="s">
        <v>1900</v>
      </c>
      <c r="G305" s="50" t="s">
        <v>1901</v>
      </c>
      <c r="H305" s="22">
        <v>9.313684401E9</v>
      </c>
      <c r="I305" s="22">
        <v>9.016497575E9</v>
      </c>
      <c r="J305" s="22" t="s">
        <v>1354</v>
      </c>
      <c r="K305" s="22">
        <v>2670.0</v>
      </c>
      <c r="L305" s="52">
        <v>46124.0</v>
      </c>
      <c r="M305" s="22" t="s">
        <v>38</v>
      </c>
      <c r="N305" s="23" t="s">
        <v>39</v>
      </c>
      <c r="O305" s="22" t="s">
        <v>337</v>
      </c>
      <c r="P305" s="22" t="s">
        <v>41</v>
      </c>
      <c r="Q305" s="22" t="s">
        <v>1374</v>
      </c>
      <c r="R305" s="24">
        <v>46274.0</v>
      </c>
      <c r="S305" s="24">
        <v>45909.0</v>
      </c>
      <c r="T305" s="25"/>
      <c r="U305" s="25"/>
      <c r="V305" s="56">
        <v>18097.0</v>
      </c>
      <c r="W305" s="56">
        <v>19257.0</v>
      </c>
      <c r="X305" s="22">
        <v>12905.0</v>
      </c>
      <c r="Y305" s="22">
        <v>13500.0</v>
      </c>
      <c r="Z305" s="16">
        <f t="shared" si="1"/>
        <v>5757</v>
      </c>
      <c r="AA305" s="17">
        <f t="shared" si="21"/>
        <v>595</v>
      </c>
      <c r="AB305" s="22" t="s">
        <v>340</v>
      </c>
      <c r="AC305" s="50" t="s">
        <v>1902</v>
      </c>
      <c r="AD305" s="21" t="s">
        <v>473</v>
      </c>
      <c r="AE305" s="27"/>
      <c r="AF305" s="59">
        <v>45728.0</v>
      </c>
      <c r="AG305" s="50" t="s">
        <v>475</v>
      </c>
    </row>
    <row r="306" hidden="1">
      <c r="A306" s="21">
        <v>304.0</v>
      </c>
      <c r="B306" s="20">
        <v>45700.0</v>
      </c>
      <c r="C306" s="50" t="s">
        <v>1903</v>
      </c>
      <c r="D306" s="50" t="s">
        <v>1904</v>
      </c>
      <c r="E306" s="22" t="s">
        <v>157</v>
      </c>
      <c r="F306" s="50" t="s">
        <v>301</v>
      </c>
      <c r="G306" s="50" t="s">
        <v>1905</v>
      </c>
      <c r="H306" s="22">
        <v>8.511659889E9</v>
      </c>
      <c r="I306" s="22">
        <v>9.537695729E9</v>
      </c>
      <c r="J306" s="22" t="s">
        <v>1354</v>
      </c>
      <c r="K306" s="22">
        <v>3460.0</v>
      </c>
      <c r="L306" s="52">
        <v>46124.0</v>
      </c>
      <c r="M306" s="22" t="s">
        <v>38</v>
      </c>
      <c r="N306" s="23" t="s">
        <v>39</v>
      </c>
      <c r="O306" s="22" t="s">
        <v>388</v>
      </c>
      <c r="P306" s="22" t="s">
        <v>41</v>
      </c>
      <c r="Q306" s="22" t="s">
        <v>1374</v>
      </c>
      <c r="R306" s="24">
        <v>46154.0</v>
      </c>
      <c r="S306" s="24">
        <v>45789.0</v>
      </c>
      <c r="T306" s="22" t="s">
        <v>1486</v>
      </c>
      <c r="U306" s="25"/>
      <c r="V306" s="56">
        <v>21679.0</v>
      </c>
      <c r="W306" s="56">
        <v>23483.0</v>
      </c>
      <c r="X306" s="22">
        <v>15182.0</v>
      </c>
      <c r="Y306" s="22">
        <v>15000.0</v>
      </c>
      <c r="Z306" s="16">
        <f t="shared" si="1"/>
        <v>8483</v>
      </c>
      <c r="AA306" s="17">
        <f t="shared" si="21"/>
        <v>-182</v>
      </c>
      <c r="AB306" s="22" t="s">
        <v>340</v>
      </c>
      <c r="AC306" s="50" t="s">
        <v>1906</v>
      </c>
      <c r="AD306" s="21" t="s">
        <v>473</v>
      </c>
      <c r="AE306" s="27"/>
      <c r="AF306" s="59">
        <v>45759.0</v>
      </c>
      <c r="AG306" s="50" t="s">
        <v>475</v>
      </c>
    </row>
    <row r="307" hidden="1">
      <c r="A307" s="21">
        <v>305.0</v>
      </c>
      <c r="B307" s="30">
        <v>45728.0</v>
      </c>
      <c r="C307" s="31" t="s">
        <v>1907</v>
      </c>
      <c r="D307" s="43" t="s">
        <v>1908</v>
      </c>
      <c r="E307" s="32" t="s">
        <v>157</v>
      </c>
      <c r="F307" s="43" t="s">
        <v>1909</v>
      </c>
      <c r="G307" s="43" t="s">
        <v>1910</v>
      </c>
      <c r="H307" s="32">
        <v>9.974660295E9</v>
      </c>
      <c r="I307" s="32">
        <v>7.041760295E9</v>
      </c>
      <c r="J307" s="32" t="s">
        <v>1354</v>
      </c>
      <c r="K307" s="32">
        <v>3460.0</v>
      </c>
      <c r="L307" s="30">
        <v>46154.0</v>
      </c>
      <c r="M307" s="32" t="s">
        <v>98</v>
      </c>
      <c r="N307" s="33" t="s">
        <v>39</v>
      </c>
      <c r="O307" s="32" t="s">
        <v>337</v>
      </c>
      <c r="P307" s="32" t="s">
        <v>41</v>
      </c>
      <c r="Q307" s="32" t="s">
        <v>1374</v>
      </c>
      <c r="R307" s="32" t="s">
        <v>819</v>
      </c>
      <c r="S307" s="32" t="s">
        <v>1911</v>
      </c>
      <c r="T307" s="34">
        <v>47300.0</v>
      </c>
      <c r="U307" s="35"/>
      <c r="V307" s="44">
        <v>21338.0</v>
      </c>
      <c r="W307" s="44">
        <v>23092.0</v>
      </c>
      <c r="X307" s="32">
        <v>15856.0</v>
      </c>
      <c r="Y307" s="32">
        <v>16000.0</v>
      </c>
      <c r="Z307" s="38">
        <f t="shared" si="1"/>
        <v>7092</v>
      </c>
      <c r="AA307" s="17">
        <f t="shared" si="21"/>
        <v>144</v>
      </c>
      <c r="AB307" s="32" t="s">
        <v>340</v>
      </c>
      <c r="AC307" s="43" t="s">
        <v>1912</v>
      </c>
      <c r="AD307" s="39"/>
      <c r="AE307" s="39"/>
      <c r="AF307" s="40"/>
      <c r="AG307" s="40"/>
    </row>
    <row r="308" hidden="1">
      <c r="A308" s="21">
        <v>306.0</v>
      </c>
      <c r="B308" s="10">
        <v>45728.0</v>
      </c>
      <c r="C308" s="81" t="s">
        <v>1913</v>
      </c>
      <c r="D308" s="81" t="s">
        <v>1914</v>
      </c>
      <c r="E308" s="82" t="s">
        <v>86</v>
      </c>
      <c r="F308" s="81" t="s">
        <v>371</v>
      </c>
      <c r="G308" s="81" t="s">
        <v>1915</v>
      </c>
      <c r="H308" s="82">
        <v>9.723356621E9</v>
      </c>
      <c r="I308" s="82" t="s">
        <v>1354</v>
      </c>
      <c r="J308" s="82" t="s">
        <v>1354</v>
      </c>
      <c r="K308" s="82">
        <v>16200.0</v>
      </c>
      <c r="L308" s="10">
        <v>46093.0</v>
      </c>
      <c r="M308" s="82" t="s">
        <v>98</v>
      </c>
      <c r="N308" s="83" t="s">
        <v>81</v>
      </c>
      <c r="O308" s="82" t="s">
        <v>236</v>
      </c>
      <c r="P308" s="82" t="s">
        <v>187</v>
      </c>
      <c r="Q308" s="81" t="s">
        <v>1374</v>
      </c>
      <c r="R308" s="82" t="s">
        <v>402</v>
      </c>
      <c r="S308" s="82" t="s">
        <v>1916</v>
      </c>
      <c r="T308" s="84">
        <v>46732.0</v>
      </c>
      <c r="U308" s="12" t="s">
        <v>1354</v>
      </c>
      <c r="V308" s="15">
        <v>35413.0</v>
      </c>
      <c r="W308" s="15">
        <v>37197.0</v>
      </c>
      <c r="X308" s="82">
        <v>25000.0</v>
      </c>
      <c r="Y308" s="82">
        <v>24500.0</v>
      </c>
      <c r="Z308" s="15">
        <f t="shared" si="1"/>
        <v>12697</v>
      </c>
      <c r="AA308" s="17">
        <f t="shared" si="21"/>
        <v>-500</v>
      </c>
      <c r="AB308" s="82" t="s">
        <v>42</v>
      </c>
      <c r="AC308" s="81" t="s">
        <v>1917</v>
      </c>
      <c r="AD308" s="11"/>
      <c r="AE308" s="11"/>
      <c r="AF308" s="11"/>
      <c r="AG308" s="11"/>
    </row>
    <row r="309" hidden="1">
      <c r="A309" s="21">
        <v>307.0</v>
      </c>
      <c r="B309" s="20">
        <v>45759.0</v>
      </c>
      <c r="C309" s="50" t="s">
        <v>1918</v>
      </c>
      <c r="D309" s="50" t="s">
        <v>1919</v>
      </c>
      <c r="E309" s="22" t="s">
        <v>69</v>
      </c>
      <c r="F309" s="50" t="s">
        <v>1920</v>
      </c>
      <c r="G309" s="50" t="s">
        <v>1921</v>
      </c>
      <c r="H309" s="22" t="s">
        <v>1501</v>
      </c>
      <c r="I309" s="22">
        <v>9.737089999E9</v>
      </c>
      <c r="J309" s="22" t="s">
        <v>1354</v>
      </c>
      <c r="K309" s="22">
        <v>1248.0</v>
      </c>
      <c r="L309" s="20">
        <v>46093.0</v>
      </c>
      <c r="M309" s="22" t="s">
        <v>153</v>
      </c>
      <c r="N309" s="23" t="s">
        <v>81</v>
      </c>
      <c r="O309" s="22" t="s">
        <v>311</v>
      </c>
      <c r="P309" s="22" t="s">
        <v>73</v>
      </c>
      <c r="Q309" s="22" t="s">
        <v>1374</v>
      </c>
      <c r="R309" s="28">
        <v>48528.0</v>
      </c>
      <c r="S309" s="24">
        <v>46364.0</v>
      </c>
      <c r="T309" s="25"/>
      <c r="U309" s="25"/>
      <c r="V309" s="53">
        <v>3416.0</v>
      </c>
      <c r="W309" s="53">
        <v>4030.88</v>
      </c>
      <c r="X309" s="22">
        <v>4000.0</v>
      </c>
      <c r="Y309" s="22">
        <v>4000.0</v>
      </c>
      <c r="Z309" s="42">
        <f t="shared" si="1"/>
        <v>30.88</v>
      </c>
      <c r="AA309" s="17">
        <f t="shared" si="21"/>
        <v>0</v>
      </c>
      <c r="AB309" s="22" t="s">
        <v>42</v>
      </c>
      <c r="AC309" s="50" t="s">
        <v>1922</v>
      </c>
      <c r="AD309" s="27"/>
      <c r="AE309" s="27"/>
    </row>
    <row r="310" hidden="1">
      <c r="A310" s="21">
        <v>308.0</v>
      </c>
      <c r="B310" s="20">
        <v>45759.0</v>
      </c>
      <c r="C310" s="50" t="s">
        <v>1923</v>
      </c>
      <c r="D310" s="50" t="s">
        <v>1924</v>
      </c>
      <c r="E310" s="22" t="s">
        <v>157</v>
      </c>
      <c r="F310" s="50" t="s">
        <v>1925</v>
      </c>
      <c r="G310" s="50" t="s">
        <v>1926</v>
      </c>
      <c r="H310" s="22">
        <v>9.714187462E9</v>
      </c>
      <c r="I310" s="22">
        <v>8.238525257E9</v>
      </c>
      <c r="J310" s="22" t="s">
        <v>1354</v>
      </c>
      <c r="K310" s="22">
        <v>1550.0</v>
      </c>
      <c r="L310" s="52">
        <v>46124.0</v>
      </c>
      <c r="M310" s="22" t="s">
        <v>105</v>
      </c>
      <c r="N310" s="23" t="s">
        <v>39</v>
      </c>
      <c r="O310" s="22" t="s">
        <v>106</v>
      </c>
      <c r="P310" s="22" t="s">
        <v>57</v>
      </c>
      <c r="Q310" s="22" t="s">
        <v>1368</v>
      </c>
      <c r="R310" s="24">
        <v>44381.0</v>
      </c>
      <c r="S310" s="24">
        <v>46028.0</v>
      </c>
      <c r="T310" s="25"/>
      <c r="U310" s="25"/>
      <c r="V310" s="56">
        <v>17036.0</v>
      </c>
      <c r="W310" s="56">
        <v>18016.0</v>
      </c>
      <c r="X310" s="22">
        <v>10125.0</v>
      </c>
      <c r="Y310" s="22">
        <v>10000.0</v>
      </c>
      <c r="Z310" s="16">
        <f t="shared" si="1"/>
        <v>8016</v>
      </c>
      <c r="AA310" s="17">
        <f t="shared" si="21"/>
        <v>-125</v>
      </c>
      <c r="AB310" s="22" t="s">
        <v>340</v>
      </c>
      <c r="AC310" s="50" t="s">
        <v>1927</v>
      </c>
      <c r="AD310" s="27"/>
      <c r="AE310" s="27"/>
    </row>
    <row r="311" hidden="1">
      <c r="A311" s="21">
        <v>309.0</v>
      </c>
      <c r="B311" s="20">
        <v>45759.0</v>
      </c>
      <c r="C311" s="50" t="s">
        <v>1928</v>
      </c>
      <c r="D311" s="50" t="s">
        <v>1929</v>
      </c>
      <c r="E311" s="22" t="s">
        <v>157</v>
      </c>
      <c r="F311" s="50" t="s">
        <v>1930</v>
      </c>
      <c r="G311" s="50" t="s">
        <v>1931</v>
      </c>
      <c r="H311" s="22">
        <v>9.099915552E9</v>
      </c>
      <c r="I311" s="22">
        <v>6.359081207E9</v>
      </c>
      <c r="J311" s="22" t="s">
        <v>1354</v>
      </c>
      <c r="K311" s="22">
        <v>2960.0</v>
      </c>
      <c r="L311" s="52">
        <v>46154.0</v>
      </c>
      <c r="M311" s="22" t="s">
        <v>38</v>
      </c>
      <c r="N311" s="23" t="s">
        <v>39</v>
      </c>
      <c r="O311" s="22" t="s">
        <v>236</v>
      </c>
      <c r="P311" s="22" t="s">
        <v>41</v>
      </c>
      <c r="Q311" s="22" t="s">
        <v>1374</v>
      </c>
      <c r="R311" s="22" t="s">
        <v>1932</v>
      </c>
      <c r="S311" s="24">
        <v>44933.0</v>
      </c>
      <c r="T311" s="25"/>
      <c r="U311" s="25"/>
      <c r="V311" s="56">
        <v>19192.0</v>
      </c>
      <c r="W311" s="56">
        <v>20548.0</v>
      </c>
      <c r="X311" s="22">
        <v>13550.0</v>
      </c>
      <c r="Y311" s="22">
        <v>13000.0</v>
      </c>
      <c r="Z311" s="16">
        <f t="shared" si="1"/>
        <v>7548</v>
      </c>
      <c r="AA311" s="41">
        <v>0.0</v>
      </c>
      <c r="AB311" s="22" t="s">
        <v>340</v>
      </c>
      <c r="AC311" s="50" t="s">
        <v>1933</v>
      </c>
      <c r="AD311" s="21" t="s">
        <v>671</v>
      </c>
      <c r="AE311" s="27"/>
      <c r="AF311" s="59">
        <v>45789.0</v>
      </c>
      <c r="AG311" s="50" t="s">
        <v>475</v>
      </c>
    </row>
    <row r="312" hidden="1">
      <c r="A312" s="85">
        <v>310.0</v>
      </c>
      <c r="B312" s="86">
        <v>45973.0</v>
      </c>
      <c r="C312" s="18" t="s">
        <v>1934</v>
      </c>
      <c r="D312" s="18" t="s">
        <v>1935</v>
      </c>
      <c r="E312" s="12" t="s">
        <v>591</v>
      </c>
      <c r="F312" s="18" t="s">
        <v>1936</v>
      </c>
      <c r="G312" s="18" t="s">
        <v>1937</v>
      </c>
      <c r="H312" s="12" t="s">
        <v>1938</v>
      </c>
      <c r="I312" s="12" t="s">
        <v>1939</v>
      </c>
      <c r="J312" s="12" t="s">
        <v>1354</v>
      </c>
      <c r="K312" s="12">
        <v>1493.0</v>
      </c>
      <c r="L312" s="87" t="s">
        <v>1940</v>
      </c>
      <c r="M312" s="12" t="s">
        <v>265</v>
      </c>
      <c r="N312" s="83" t="s">
        <v>39</v>
      </c>
      <c r="O312" s="12" t="s">
        <v>40</v>
      </c>
      <c r="P312" s="12" t="s">
        <v>41</v>
      </c>
      <c r="Q312" s="11" t="s">
        <v>1374</v>
      </c>
      <c r="R312" s="12" t="s">
        <v>1941</v>
      </c>
      <c r="S312" s="12" t="s">
        <v>1942</v>
      </c>
      <c r="T312" s="12" t="s">
        <v>1943</v>
      </c>
      <c r="U312" s="12" t="s">
        <v>1354</v>
      </c>
      <c r="V312" s="87">
        <v>27242.0</v>
      </c>
      <c r="W312" s="87">
        <v>32146.0</v>
      </c>
      <c r="X312" s="12">
        <v>28473.0</v>
      </c>
      <c r="Y312" s="12">
        <v>28500.0</v>
      </c>
      <c r="Z312" s="12">
        <f t="shared" si="1"/>
        <v>3646</v>
      </c>
      <c r="AA312" s="41"/>
      <c r="AB312" s="12" t="s">
        <v>340</v>
      </c>
      <c r="AC312" s="18" t="s">
        <v>1944</v>
      </c>
      <c r="AD312" s="11"/>
      <c r="AE312" s="11"/>
      <c r="AF312" s="11"/>
      <c r="AG312" s="11" t="s">
        <v>1945</v>
      </c>
    </row>
    <row r="313">
      <c r="A313" s="27"/>
      <c r="B313" s="25"/>
      <c r="C313" s="27"/>
      <c r="D313" s="27"/>
      <c r="E313" s="25"/>
      <c r="F313" s="27"/>
      <c r="G313" s="27"/>
      <c r="H313" s="25"/>
      <c r="I313" s="25"/>
      <c r="J313" s="25"/>
      <c r="K313" s="25"/>
      <c r="L313" s="25"/>
      <c r="M313" s="25"/>
      <c r="N313" s="23"/>
      <c r="O313" s="25"/>
      <c r="P313" s="25"/>
      <c r="Q313" s="25"/>
      <c r="R313" s="25"/>
      <c r="S313" s="25"/>
      <c r="T313" s="25"/>
      <c r="U313" s="25"/>
      <c r="V313" s="25"/>
      <c r="X313" s="25"/>
      <c r="Y313" s="25"/>
      <c r="Z313" s="25"/>
      <c r="AA313" s="77"/>
      <c r="AB313" s="25"/>
      <c r="AC313" s="27"/>
      <c r="AD313" s="27"/>
      <c r="AE313" s="27"/>
    </row>
    <row r="314">
      <c r="A314" s="27"/>
      <c r="B314" s="25"/>
      <c r="C314" s="27"/>
      <c r="D314" s="27"/>
      <c r="E314" s="25"/>
      <c r="F314" s="27"/>
      <c r="G314" s="27"/>
      <c r="H314" s="25"/>
      <c r="I314" s="25"/>
      <c r="J314" s="25"/>
      <c r="K314" s="25"/>
      <c r="L314" s="25"/>
      <c r="M314" s="25"/>
      <c r="N314" s="23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77"/>
      <c r="AB314" s="25"/>
      <c r="AC314" s="27"/>
      <c r="AD314" s="27"/>
      <c r="AE314" s="27"/>
    </row>
    <row r="315">
      <c r="A315" s="27"/>
      <c r="B315" s="25"/>
      <c r="C315" s="27"/>
      <c r="D315" s="27"/>
      <c r="E315" s="25"/>
      <c r="F315" s="27"/>
      <c r="G315" s="27"/>
      <c r="H315" s="25"/>
      <c r="I315" s="25"/>
      <c r="J315" s="25"/>
      <c r="K315" s="25"/>
      <c r="L315" s="25"/>
      <c r="M315" s="25"/>
      <c r="N315" s="23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77"/>
      <c r="AB315" s="25"/>
      <c r="AC315" s="27"/>
      <c r="AD315" s="27"/>
      <c r="AE315" s="27"/>
    </row>
    <row r="316">
      <c r="A316" s="27"/>
      <c r="B316" s="25"/>
      <c r="C316" s="27"/>
      <c r="D316" s="27"/>
      <c r="E316" s="25"/>
      <c r="F316" s="27"/>
      <c r="G316" s="27"/>
      <c r="H316" s="25"/>
      <c r="I316" s="25"/>
      <c r="J316" s="25"/>
      <c r="K316" s="25"/>
      <c r="L316" s="25"/>
      <c r="M316" s="25"/>
      <c r="N316" s="23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77"/>
      <c r="AB316" s="25"/>
      <c r="AC316" s="27"/>
      <c r="AD316" s="27"/>
      <c r="AE316" s="27"/>
    </row>
    <row r="317">
      <c r="A317" s="27"/>
      <c r="B317" s="25"/>
      <c r="C317" s="27"/>
      <c r="D317" s="27"/>
      <c r="E317" s="25"/>
      <c r="F317" s="27"/>
      <c r="G317" s="27"/>
      <c r="H317" s="25"/>
      <c r="I317" s="25"/>
      <c r="J317" s="25"/>
      <c r="K317" s="25"/>
      <c r="L317" s="25"/>
      <c r="M317" s="25"/>
      <c r="N317" s="23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77"/>
      <c r="AB317" s="25"/>
      <c r="AC317" s="27"/>
      <c r="AD317" s="27"/>
      <c r="AE317" s="27"/>
    </row>
    <row r="318">
      <c r="A318" s="27"/>
      <c r="B318" s="25"/>
      <c r="C318" s="27"/>
      <c r="D318" s="27"/>
      <c r="E318" s="25"/>
      <c r="F318" s="27"/>
      <c r="G318" s="27"/>
      <c r="H318" s="25"/>
      <c r="I318" s="25"/>
      <c r="J318" s="25"/>
      <c r="K318" s="25"/>
      <c r="L318" s="25"/>
      <c r="M318" s="25"/>
      <c r="N318" s="23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77"/>
      <c r="AB318" s="25"/>
      <c r="AC318" s="27"/>
      <c r="AD318" s="27"/>
      <c r="AE318" s="27"/>
    </row>
    <row r="319">
      <c r="A319" s="27"/>
      <c r="B319" s="25"/>
      <c r="C319" s="27"/>
      <c r="D319" s="27"/>
      <c r="E319" s="25"/>
      <c r="F319" s="27"/>
      <c r="G319" s="27"/>
      <c r="H319" s="25"/>
      <c r="I319" s="25"/>
      <c r="J319" s="25"/>
      <c r="K319" s="25"/>
      <c r="L319" s="25"/>
      <c r="M319" s="25"/>
      <c r="N319" s="23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77"/>
      <c r="AB319" s="25"/>
      <c r="AC319" s="27"/>
      <c r="AD319" s="27"/>
      <c r="AE319" s="27"/>
    </row>
    <row r="320">
      <c r="A320" s="27"/>
      <c r="B320" s="25"/>
      <c r="C320" s="27"/>
      <c r="D320" s="27"/>
      <c r="E320" s="25"/>
      <c r="F320" s="27"/>
      <c r="G320" s="27"/>
      <c r="H320" s="25"/>
      <c r="I320" s="25"/>
      <c r="J320" s="25"/>
      <c r="K320" s="25"/>
      <c r="L320" s="25"/>
      <c r="M320" s="25"/>
      <c r="N320" s="23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77"/>
      <c r="AB320" s="25"/>
      <c r="AC320" s="27"/>
      <c r="AD320" s="27"/>
      <c r="AE320" s="27"/>
    </row>
    <row r="321">
      <c r="A321" s="27"/>
      <c r="B321" s="25"/>
      <c r="C321" s="27"/>
      <c r="D321" s="27"/>
      <c r="E321" s="25"/>
      <c r="F321" s="27"/>
      <c r="G321" s="27"/>
      <c r="H321" s="25"/>
      <c r="I321" s="25"/>
      <c r="J321" s="25"/>
      <c r="K321" s="25"/>
      <c r="L321" s="25"/>
      <c r="M321" s="25"/>
      <c r="N321" s="23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77"/>
      <c r="AB321" s="25"/>
      <c r="AC321" s="27"/>
      <c r="AD321" s="27"/>
      <c r="AE321" s="27"/>
    </row>
    <row r="322">
      <c r="A322" s="27"/>
      <c r="B322" s="25"/>
      <c r="C322" s="27"/>
      <c r="D322" s="27"/>
      <c r="E322" s="25"/>
      <c r="F322" s="27"/>
      <c r="G322" s="27"/>
      <c r="H322" s="25"/>
      <c r="I322" s="25"/>
      <c r="J322" s="25"/>
      <c r="K322" s="25"/>
      <c r="L322" s="25"/>
      <c r="M322" s="25"/>
      <c r="N322" s="23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77"/>
      <c r="AB322" s="25"/>
      <c r="AC322" s="27"/>
      <c r="AD322" s="27"/>
      <c r="AE322" s="27"/>
    </row>
    <row r="323">
      <c r="A323" s="27"/>
      <c r="B323" s="25"/>
      <c r="C323" s="27"/>
      <c r="D323" s="27"/>
      <c r="E323" s="25"/>
      <c r="F323" s="27"/>
      <c r="G323" s="27"/>
      <c r="H323" s="25"/>
      <c r="I323" s="25"/>
      <c r="J323" s="25"/>
      <c r="K323" s="25"/>
      <c r="L323" s="25"/>
      <c r="M323" s="25"/>
      <c r="N323" s="23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77"/>
      <c r="AB323" s="25"/>
      <c r="AC323" s="27"/>
      <c r="AD323" s="27"/>
      <c r="AE323" s="27"/>
    </row>
    <row r="324">
      <c r="A324" s="27"/>
      <c r="B324" s="25"/>
      <c r="C324" s="27"/>
      <c r="D324" s="27"/>
      <c r="E324" s="25"/>
      <c r="F324" s="27"/>
      <c r="G324" s="27"/>
      <c r="H324" s="25"/>
      <c r="I324" s="25"/>
      <c r="J324" s="25"/>
      <c r="K324" s="25"/>
      <c r="L324" s="25"/>
      <c r="M324" s="25"/>
      <c r="N324" s="23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77"/>
      <c r="AB324" s="25"/>
      <c r="AC324" s="27"/>
      <c r="AD324" s="27"/>
      <c r="AE324" s="27"/>
    </row>
    <row r="325">
      <c r="A325" s="27"/>
      <c r="B325" s="25"/>
      <c r="C325" s="27"/>
      <c r="D325" s="27"/>
      <c r="E325" s="25"/>
      <c r="F325" s="27"/>
      <c r="G325" s="27"/>
      <c r="H325" s="25"/>
      <c r="I325" s="25"/>
      <c r="J325" s="25"/>
      <c r="K325" s="25"/>
      <c r="L325" s="25"/>
      <c r="M325" s="25"/>
      <c r="N325" s="23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77"/>
      <c r="AB325" s="25"/>
      <c r="AC325" s="27"/>
      <c r="AD325" s="27"/>
      <c r="AE325" s="27"/>
    </row>
    <row r="326">
      <c r="A326" s="27"/>
      <c r="B326" s="25"/>
      <c r="C326" s="27"/>
      <c r="D326" s="27"/>
      <c r="E326" s="25"/>
      <c r="F326" s="27"/>
      <c r="G326" s="27"/>
      <c r="H326" s="25"/>
      <c r="I326" s="25"/>
      <c r="J326" s="25"/>
      <c r="K326" s="25"/>
      <c r="L326" s="25"/>
      <c r="M326" s="25"/>
      <c r="N326" s="23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77"/>
      <c r="AB326" s="25"/>
      <c r="AC326" s="27"/>
      <c r="AD326" s="27"/>
      <c r="AE326" s="27"/>
    </row>
    <row r="327">
      <c r="A327" s="27"/>
      <c r="B327" s="25"/>
      <c r="C327" s="27"/>
      <c r="D327" s="27"/>
      <c r="E327" s="25"/>
      <c r="F327" s="27"/>
      <c r="G327" s="27"/>
      <c r="H327" s="25"/>
      <c r="I327" s="25"/>
      <c r="J327" s="25"/>
      <c r="K327" s="25"/>
      <c r="L327" s="25"/>
      <c r="M327" s="25"/>
      <c r="N327" s="23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77"/>
      <c r="AB327" s="25"/>
      <c r="AC327" s="27"/>
      <c r="AD327" s="27"/>
      <c r="AE327" s="27"/>
    </row>
    <row r="328">
      <c r="A328" s="27"/>
      <c r="B328" s="25"/>
      <c r="C328" s="27"/>
      <c r="D328" s="27"/>
      <c r="E328" s="25"/>
      <c r="F328" s="27"/>
      <c r="G328" s="27"/>
      <c r="H328" s="25"/>
      <c r="I328" s="25"/>
      <c r="J328" s="25"/>
      <c r="K328" s="25"/>
      <c r="L328" s="25"/>
      <c r="M328" s="25"/>
      <c r="N328" s="23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77"/>
      <c r="AB328" s="25"/>
      <c r="AC328" s="27"/>
      <c r="AD328" s="27"/>
      <c r="AE328" s="27"/>
    </row>
    <row r="329">
      <c r="A329" s="27"/>
      <c r="B329" s="25"/>
      <c r="C329" s="27"/>
      <c r="D329" s="27"/>
      <c r="E329" s="25"/>
      <c r="F329" s="27"/>
      <c r="G329" s="27"/>
      <c r="H329" s="25"/>
      <c r="I329" s="25"/>
      <c r="J329" s="25"/>
      <c r="K329" s="25"/>
      <c r="L329" s="25"/>
      <c r="M329" s="25"/>
      <c r="N329" s="23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77"/>
      <c r="AB329" s="25"/>
      <c r="AC329" s="27"/>
      <c r="AD329" s="27"/>
      <c r="AE329" s="27"/>
    </row>
    <row r="330">
      <c r="A330" s="27"/>
      <c r="B330" s="25"/>
      <c r="C330" s="27"/>
      <c r="D330" s="27"/>
      <c r="E330" s="25"/>
      <c r="F330" s="27"/>
      <c r="G330" s="27"/>
      <c r="H330" s="25"/>
      <c r="I330" s="25"/>
      <c r="J330" s="25"/>
      <c r="K330" s="25"/>
      <c r="L330" s="25"/>
      <c r="M330" s="25"/>
      <c r="N330" s="23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77"/>
      <c r="AB330" s="25"/>
      <c r="AC330" s="27"/>
      <c r="AD330" s="27"/>
      <c r="AE330" s="27"/>
    </row>
    <row r="331">
      <c r="A331" s="27"/>
      <c r="B331" s="25"/>
      <c r="C331" s="27"/>
      <c r="D331" s="27"/>
      <c r="E331" s="25"/>
      <c r="F331" s="27"/>
      <c r="G331" s="27"/>
      <c r="H331" s="25"/>
      <c r="I331" s="25"/>
      <c r="J331" s="25"/>
      <c r="K331" s="25"/>
      <c r="L331" s="25"/>
      <c r="M331" s="25"/>
      <c r="N331" s="23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77"/>
      <c r="AB331" s="25"/>
      <c r="AC331" s="27"/>
      <c r="AD331" s="27"/>
      <c r="AE331" s="27"/>
    </row>
    <row r="332">
      <c r="A332" s="27"/>
      <c r="B332" s="25"/>
      <c r="C332" s="27"/>
      <c r="D332" s="27"/>
      <c r="E332" s="25"/>
      <c r="F332" s="27"/>
      <c r="G332" s="27"/>
      <c r="H332" s="25"/>
      <c r="I332" s="25"/>
      <c r="J332" s="25"/>
      <c r="K332" s="25"/>
      <c r="L332" s="25"/>
      <c r="M332" s="25"/>
      <c r="N332" s="23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77"/>
      <c r="AB332" s="25"/>
      <c r="AC332" s="27"/>
      <c r="AD332" s="27"/>
      <c r="AE332" s="27"/>
    </row>
    <row r="333">
      <c r="A333" s="27"/>
      <c r="B333" s="25"/>
      <c r="C333" s="27"/>
      <c r="D333" s="27"/>
      <c r="E333" s="25"/>
      <c r="F333" s="27"/>
      <c r="G333" s="27"/>
      <c r="H333" s="25"/>
      <c r="I333" s="25"/>
      <c r="J333" s="25"/>
      <c r="K333" s="25"/>
      <c r="L333" s="25"/>
      <c r="M333" s="25"/>
      <c r="N333" s="23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77"/>
      <c r="AB333" s="25"/>
      <c r="AC333" s="27"/>
      <c r="AD333" s="27"/>
      <c r="AE333" s="27"/>
    </row>
    <row r="334">
      <c r="A334" s="27"/>
      <c r="B334" s="25"/>
      <c r="C334" s="27"/>
      <c r="D334" s="27"/>
      <c r="E334" s="25"/>
      <c r="F334" s="27"/>
      <c r="G334" s="27"/>
      <c r="H334" s="25"/>
      <c r="I334" s="25"/>
      <c r="J334" s="25"/>
      <c r="K334" s="25"/>
      <c r="L334" s="25"/>
      <c r="M334" s="25"/>
      <c r="N334" s="23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77"/>
      <c r="AB334" s="25"/>
      <c r="AC334" s="27"/>
      <c r="AD334" s="27"/>
      <c r="AE334" s="27"/>
    </row>
    <row r="335">
      <c r="A335" s="27"/>
      <c r="B335" s="25"/>
      <c r="C335" s="27"/>
      <c r="D335" s="27"/>
      <c r="E335" s="25"/>
      <c r="F335" s="27"/>
      <c r="G335" s="27"/>
      <c r="H335" s="25"/>
      <c r="I335" s="25"/>
      <c r="J335" s="25"/>
      <c r="K335" s="25"/>
      <c r="L335" s="25"/>
      <c r="M335" s="25"/>
      <c r="N335" s="23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77"/>
      <c r="AB335" s="25"/>
      <c r="AC335" s="27"/>
      <c r="AD335" s="27"/>
      <c r="AE335" s="27"/>
    </row>
    <row r="336">
      <c r="A336" s="27"/>
      <c r="B336" s="25"/>
      <c r="C336" s="27"/>
      <c r="D336" s="27"/>
      <c r="E336" s="25"/>
      <c r="F336" s="27"/>
      <c r="G336" s="27"/>
      <c r="H336" s="25"/>
      <c r="I336" s="25"/>
      <c r="J336" s="25"/>
      <c r="K336" s="25"/>
      <c r="L336" s="25"/>
      <c r="M336" s="25"/>
      <c r="N336" s="23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77"/>
      <c r="AB336" s="25"/>
      <c r="AC336" s="27"/>
      <c r="AD336" s="27"/>
      <c r="AE336" s="27"/>
    </row>
    <row r="337">
      <c r="A337" s="27"/>
      <c r="B337" s="25"/>
      <c r="C337" s="27"/>
      <c r="D337" s="27"/>
      <c r="E337" s="25"/>
      <c r="F337" s="27"/>
      <c r="G337" s="27"/>
      <c r="H337" s="25"/>
      <c r="I337" s="25"/>
      <c r="J337" s="25"/>
      <c r="K337" s="25"/>
      <c r="L337" s="25"/>
      <c r="M337" s="25"/>
      <c r="N337" s="23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77"/>
      <c r="AB337" s="25"/>
      <c r="AC337" s="27"/>
      <c r="AD337" s="27"/>
      <c r="AE337" s="27"/>
    </row>
    <row r="338">
      <c r="A338" s="27"/>
      <c r="B338" s="25"/>
      <c r="C338" s="27"/>
      <c r="D338" s="27"/>
      <c r="E338" s="25"/>
      <c r="F338" s="27"/>
      <c r="G338" s="27"/>
      <c r="H338" s="25"/>
      <c r="I338" s="25"/>
      <c r="J338" s="25"/>
      <c r="K338" s="25"/>
      <c r="L338" s="25"/>
      <c r="M338" s="25"/>
      <c r="N338" s="23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77"/>
      <c r="AB338" s="25"/>
      <c r="AC338" s="27"/>
      <c r="AD338" s="27"/>
      <c r="AE338" s="27"/>
    </row>
    <row r="339">
      <c r="A339" s="27"/>
      <c r="B339" s="25"/>
      <c r="C339" s="27"/>
      <c r="D339" s="27"/>
      <c r="E339" s="25"/>
      <c r="F339" s="27"/>
      <c r="G339" s="27"/>
      <c r="H339" s="25"/>
      <c r="I339" s="25"/>
      <c r="J339" s="25"/>
      <c r="K339" s="25"/>
      <c r="L339" s="25"/>
      <c r="M339" s="25"/>
      <c r="N339" s="23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77"/>
      <c r="AB339" s="25"/>
      <c r="AC339" s="27"/>
      <c r="AD339" s="27"/>
      <c r="AE339" s="27"/>
    </row>
    <row r="340">
      <c r="A340" s="27"/>
      <c r="B340" s="25"/>
      <c r="C340" s="27"/>
      <c r="D340" s="27"/>
      <c r="E340" s="25"/>
      <c r="F340" s="27"/>
      <c r="G340" s="27"/>
      <c r="H340" s="25"/>
      <c r="I340" s="25"/>
      <c r="J340" s="25"/>
      <c r="K340" s="25"/>
      <c r="L340" s="25"/>
      <c r="M340" s="25"/>
      <c r="N340" s="23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77"/>
      <c r="AB340" s="25"/>
      <c r="AC340" s="27"/>
      <c r="AD340" s="27"/>
      <c r="AE340" s="27"/>
    </row>
    <row r="341">
      <c r="A341" s="27"/>
      <c r="B341" s="25"/>
      <c r="C341" s="27"/>
      <c r="D341" s="27"/>
      <c r="E341" s="25"/>
      <c r="F341" s="27"/>
      <c r="G341" s="27"/>
      <c r="H341" s="25"/>
      <c r="I341" s="25"/>
      <c r="J341" s="25"/>
      <c r="K341" s="25"/>
      <c r="L341" s="25"/>
      <c r="M341" s="25"/>
      <c r="N341" s="23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77"/>
      <c r="AB341" s="25"/>
      <c r="AC341" s="27"/>
      <c r="AD341" s="27"/>
      <c r="AE341" s="27"/>
    </row>
    <row r="342">
      <c r="A342" s="27"/>
      <c r="B342" s="25"/>
      <c r="C342" s="27"/>
      <c r="D342" s="27"/>
      <c r="E342" s="25"/>
      <c r="F342" s="27"/>
      <c r="G342" s="27"/>
      <c r="H342" s="25"/>
      <c r="I342" s="25"/>
      <c r="J342" s="25"/>
      <c r="K342" s="25"/>
      <c r="L342" s="25"/>
      <c r="M342" s="25"/>
      <c r="N342" s="23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77"/>
      <c r="AB342" s="25"/>
      <c r="AC342" s="27"/>
      <c r="AD342" s="27"/>
      <c r="AE342" s="27"/>
    </row>
    <row r="343">
      <c r="A343" s="27"/>
      <c r="B343" s="25"/>
      <c r="C343" s="27"/>
      <c r="D343" s="27"/>
      <c r="E343" s="25"/>
      <c r="F343" s="27"/>
      <c r="G343" s="27"/>
      <c r="H343" s="25"/>
      <c r="I343" s="25"/>
      <c r="J343" s="25"/>
      <c r="K343" s="25"/>
      <c r="L343" s="25"/>
      <c r="M343" s="25"/>
      <c r="N343" s="23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77"/>
      <c r="AB343" s="25"/>
      <c r="AC343" s="27"/>
      <c r="AD343" s="27"/>
      <c r="AE343" s="27"/>
    </row>
    <row r="344">
      <c r="A344" s="27"/>
      <c r="B344" s="25"/>
      <c r="C344" s="27"/>
      <c r="D344" s="27"/>
      <c r="E344" s="25"/>
      <c r="F344" s="27"/>
      <c r="G344" s="27"/>
      <c r="H344" s="25"/>
      <c r="I344" s="25"/>
      <c r="J344" s="25"/>
      <c r="K344" s="25"/>
      <c r="L344" s="25"/>
      <c r="M344" s="25"/>
      <c r="N344" s="23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77"/>
      <c r="AB344" s="25"/>
      <c r="AC344" s="27"/>
      <c r="AD344" s="27"/>
      <c r="AE344" s="27"/>
    </row>
    <row r="345">
      <c r="A345" s="27"/>
      <c r="B345" s="25"/>
      <c r="C345" s="27"/>
      <c r="D345" s="27"/>
      <c r="E345" s="25"/>
      <c r="F345" s="27"/>
      <c r="G345" s="27"/>
      <c r="H345" s="25"/>
      <c r="I345" s="25"/>
      <c r="J345" s="25"/>
      <c r="K345" s="25"/>
      <c r="L345" s="25"/>
      <c r="M345" s="25"/>
      <c r="N345" s="23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77"/>
      <c r="AB345" s="25"/>
      <c r="AC345" s="27"/>
      <c r="AD345" s="27"/>
      <c r="AE345" s="27"/>
    </row>
    <row r="346">
      <c r="A346" s="27"/>
      <c r="B346" s="25"/>
      <c r="C346" s="27"/>
      <c r="D346" s="27"/>
      <c r="E346" s="25"/>
      <c r="F346" s="27"/>
      <c r="G346" s="27"/>
      <c r="H346" s="25"/>
      <c r="I346" s="25"/>
      <c r="J346" s="25"/>
      <c r="K346" s="25"/>
      <c r="L346" s="25"/>
      <c r="M346" s="25"/>
      <c r="N346" s="23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77"/>
      <c r="AB346" s="25"/>
      <c r="AC346" s="27"/>
      <c r="AD346" s="27"/>
      <c r="AE346" s="27"/>
    </row>
    <row r="347">
      <c r="A347" s="27"/>
      <c r="B347" s="25"/>
      <c r="C347" s="27"/>
      <c r="D347" s="27"/>
      <c r="E347" s="25"/>
      <c r="F347" s="27"/>
      <c r="G347" s="27"/>
      <c r="H347" s="25"/>
      <c r="I347" s="25"/>
      <c r="J347" s="25"/>
      <c r="K347" s="25"/>
      <c r="L347" s="25"/>
      <c r="M347" s="25"/>
      <c r="N347" s="23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77"/>
      <c r="AB347" s="25"/>
      <c r="AC347" s="27"/>
      <c r="AD347" s="27"/>
      <c r="AE347" s="27"/>
    </row>
    <row r="348">
      <c r="A348" s="27"/>
      <c r="B348" s="25"/>
      <c r="C348" s="27"/>
      <c r="D348" s="27"/>
      <c r="E348" s="25"/>
      <c r="F348" s="27"/>
      <c r="G348" s="27"/>
      <c r="H348" s="25"/>
      <c r="I348" s="25"/>
      <c r="J348" s="25"/>
      <c r="K348" s="25"/>
      <c r="L348" s="25"/>
      <c r="M348" s="25"/>
      <c r="N348" s="23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77"/>
      <c r="AB348" s="25"/>
      <c r="AC348" s="27"/>
      <c r="AD348" s="27"/>
      <c r="AE348" s="27"/>
    </row>
    <row r="349">
      <c r="A349" s="27"/>
      <c r="B349" s="25"/>
      <c r="C349" s="27"/>
      <c r="D349" s="27"/>
      <c r="E349" s="25"/>
      <c r="F349" s="27"/>
      <c r="G349" s="27"/>
      <c r="H349" s="25"/>
      <c r="I349" s="25"/>
      <c r="J349" s="25"/>
      <c r="K349" s="25"/>
      <c r="L349" s="25"/>
      <c r="M349" s="25"/>
      <c r="N349" s="23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77"/>
      <c r="AB349" s="25"/>
      <c r="AC349" s="27"/>
      <c r="AD349" s="27"/>
      <c r="AE349" s="27"/>
    </row>
    <row r="350">
      <c r="A350" s="27"/>
      <c r="B350" s="25"/>
      <c r="C350" s="27"/>
      <c r="D350" s="27"/>
      <c r="E350" s="25"/>
      <c r="F350" s="27"/>
      <c r="G350" s="27"/>
      <c r="H350" s="25"/>
      <c r="I350" s="25"/>
      <c r="J350" s="25"/>
      <c r="K350" s="25"/>
      <c r="L350" s="25"/>
      <c r="M350" s="25"/>
      <c r="N350" s="23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77"/>
      <c r="AB350" s="25"/>
      <c r="AC350" s="27"/>
      <c r="AD350" s="27"/>
      <c r="AE350" s="27"/>
    </row>
    <row r="351">
      <c r="A351" s="27"/>
      <c r="B351" s="25"/>
      <c r="C351" s="27"/>
      <c r="D351" s="27"/>
      <c r="E351" s="25"/>
      <c r="F351" s="27"/>
      <c r="G351" s="27"/>
      <c r="H351" s="25"/>
      <c r="I351" s="25"/>
      <c r="J351" s="25"/>
      <c r="K351" s="25"/>
      <c r="L351" s="25"/>
      <c r="M351" s="25"/>
      <c r="N351" s="23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77"/>
      <c r="AB351" s="25"/>
      <c r="AC351" s="27"/>
      <c r="AD351" s="27"/>
      <c r="AE351" s="27"/>
    </row>
    <row r="352">
      <c r="A352" s="27"/>
      <c r="B352" s="25"/>
      <c r="C352" s="27"/>
      <c r="D352" s="27"/>
      <c r="E352" s="25"/>
      <c r="F352" s="27"/>
      <c r="G352" s="27"/>
      <c r="H352" s="25"/>
      <c r="I352" s="25"/>
      <c r="J352" s="25"/>
      <c r="K352" s="25"/>
      <c r="L352" s="25"/>
      <c r="M352" s="25"/>
      <c r="N352" s="23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77"/>
      <c r="AB352" s="25"/>
      <c r="AC352" s="27"/>
      <c r="AD352" s="27"/>
      <c r="AE352" s="27"/>
    </row>
    <row r="353">
      <c r="A353" s="27"/>
      <c r="B353" s="25"/>
      <c r="C353" s="27"/>
      <c r="D353" s="27"/>
      <c r="E353" s="25"/>
      <c r="F353" s="27"/>
      <c r="G353" s="27"/>
      <c r="H353" s="25"/>
      <c r="I353" s="25"/>
      <c r="J353" s="25"/>
      <c r="K353" s="25"/>
      <c r="L353" s="25"/>
      <c r="M353" s="25"/>
      <c r="N353" s="23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77"/>
      <c r="AB353" s="25"/>
      <c r="AC353" s="27"/>
      <c r="AD353" s="27"/>
      <c r="AE353" s="27"/>
    </row>
    <row r="354">
      <c r="A354" s="27"/>
      <c r="B354" s="25"/>
      <c r="C354" s="27"/>
      <c r="D354" s="27"/>
      <c r="E354" s="25"/>
      <c r="F354" s="27"/>
      <c r="G354" s="27"/>
      <c r="H354" s="25"/>
      <c r="I354" s="25"/>
      <c r="J354" s="25"/>
      <c r="K354" s="25"/>
      <c r="L354" s="25"/>
      <c r="M354" s="25"/>
      <c r="N354" s="23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77"/>
      <c r="AB354" s="25"/>
      <c r="AC354" s="27"/>
      <c r="AD354" s="27"/>
      <c r="AE354" s="27"/>
    </row>
    <row r="355">
      <c r="A355" s="27"/>
      <c r="B355" s="25"/>
      <c r="C355" s="27"/>
      <c r="D355" s="27"/>
      <c r="E355" s="25"/>
      <c r="F355" s="27"/>
      <c r="G355" s="27"/>
      <c r="H355" s="25"/>
      <c r="I355" s="25"/>
      <c r="J355" s="25"/>
      <c r="K355" s="25"/>
      <c r="L355" s="25"/>
      <c r="M355" s="25"/>
      <c r="N355" s="23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77"/>
      <c r="AB355" s="25"/>
      <c r="AC355" s="27"/>
      <c r="AD355" s="27"/>
      <c r="AE355" s="27"/>
    </row>
    <row r="356">
      <c r="A356" s="27"/>
      <c r="B356" s="25"/>
      <c r="C356" s="27"/>
      <c r="D356" s="27"/>
      <c r="E356" s="25"/>
      <c r="F356" s="27"/>
      <c r="G356" s="27"/>
      <c r="H356" s="25"/>
      <c r="I356" s="25"/>
      <c r="J356" s="25"/>
      <c r="K356" s="25"/>
      <c r="L356" s="25"/>
      <c r="M356" s="25"/>
      <c r="N356" s="23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77"/>
      <c r="AB356" s="25"/>
      <c r="AC356" s="27"/>
      <c r="AD356" s="27"/>
      <c r="AE356" s="27"/>
    </row>
    <row r="357">
      <c r="A357" s="27"/>
      <c r="B357" s="25"/>
      <c r="C357" s="27"/>
      <c r="D357" s="27"/>
      <c r="E357" s="25"/>
      <c r="F357" s="27"/>
      <c r="G357" s="27"/>
      <c r="H357" s="25"/>
      <c r="I357" s="25"/>
      <c r="J357" s="25"/>
      <c r="K357" s="25"/>
      <c r="L357" s="25"/>
      <c r="M357" s="25"/>
      <c r="N357" s="23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77"/>
      <c r="AB357" s="25"/>
      <c r="AC357" s="27"/>
      <c r="AD357" s="27"/>
      <c r="AE357" s="27"/>
    </row>
    <row r="358">
      <c r="A358" s="27"/>
      <c r="B358" s="25"/>
      <c r="C358" s="27"/>
      <c r="D358" s="27"/>
      <c r="E358" s="25"/>
      <c r="F358" s="27"/>
      <c r="G358" s="27"/>
      <c r="H358" s="25"/>
      <c r="I358" s="25"/>
      <c r="J358" s="25"/>
      <c r="K358" s="25"/>
      <c r="L358" s="25"/>
      <c r="M358" s="25"/>
      <c r="N358" s="23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77"/>
      <c r="AB358" s="25"/>
      <c r="AC358" s="27"/>
      <c r="AD358" s="27"/>
      <c r="AE358" s="27"/>
    </row>
    <row r="359">
      <c r="A359" s="27"/>
      <c r="B359" s="25"/>
      <c r="C359" s="27"/>
      <c r="D359" s="27"/>
      <c r="E359" s="25"/>
      <c r="F359" s="27"/>
      <c r="G359" s="27"/>
      <c r="H359" s="25"/>
      <c r="I359" s="25"/>
      <c r="J359" s="25"/>
      <c r="K359" s="25"/>
      <c r="L359" s="25"/>
      <c r="M359" s="25"/>
      <c r="N359" s="23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77"/>
      <c r="AB359" s="25"/>
      <c r="AC359" s="27"/>
      <c r="AD359" s="27"/>
      <c r="AE359" s="27"/>
    </row>
    <row r="360">
      <c r="A360" s="27"/>
      <c r="B360" s="25"/>
      <c r="C360" s="27"/>
      <c r="D360" s="27"/>
      <c r="E360" s="25"/>
      <c r="F360" s="27"/>
      <c r="G360" s="27"/>
      <c r="H360" s="25"/>
      <c r="I360" s="25"/>
      <c r="J360" s="25"/>
      <c r="K360" s="25"/>
      <c r="L360" s="25"/>
      <c r="M360" s="25"/>
      <c r="N360" s="23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77"/>
      <c r="AB360" s="25"/>
      <c r="AC360" s="27"/>
      <c r="AD360" s="27"/>
      <c r="AE360" s="27"/>
    </row>
    <row r="361">
      <c r="A361" s="27"/>
      <c r="B361" s="25"/>
      <c r="C361" s="27"/>
      <c r="D361" s="27"/>
      <c r="E361" s="25"/>
      <c r="F361" s="27"/>
      <c r="G361" s="27"/>
      <c r="H361" s="25"/>
      <c r="I361" s="25"/>
      <c r="J361" s="25"/>
      <c r="K361" s="25"/>
      <c r="L361" s="25"/>
      <c r="M361" s="25"/>
      <c r="N361" s="88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77"/>
      <c r="AB361" s="25"/>
      <c r="AC361" s="27"/>
      <c r="AD361" s="27"/>
      <c r="AE361" s="27"/>
    </row>
    <row r="362">
      <c r="A362" s="27"/>
      <c r="B362" s="25"/>
      <c r="C362" s="27"/>
      <c r="D362" s="27"/>
      <c r="E362" s="25"/>
      <c r="F362" s="27"/>
      <c r="G362" s="27"/>
      <c r="H362" s="25"/>
      <c r="I362" s="25"/>
      <c r="J362" s="25"/>
      <c r="K362" s="25"/>
      <c r="L362" s="25"/>
      <c r="M362" s="25"/>
      <c r="N362" s="88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77"/>
      <c r="AB362" s="25"/>
      <c r="AC362" s="27"/>
      <c r="AD362" s="27"/>
      <c r="AE362" s="27"/>
    </row>
    <row r="363">
      <c r="A363" s="27"/>
      <c r="B363" s="25"/>
      <c r="C363" s="27"/>
      <c r="D363" s="27"/>
      <c r="E363" s="25"/>
      <c r="F363" s="27"/>
      <c r="G363" s="27"/>
      <c r="H363" s="25"/>
      <c r="I363" s="25"/>
      <c r="J363" s="25"/>
      <c r="K363" s="25"/>
      <c r="L363" s="25"/>
      <c r="M363" s="25"/>
      <c r="N363" s="88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77"/>
      <c r="AB363" s="25"/>
      <c r="AC363" s="27"/>
      <c r="AD363" s="27"/>
      <c r="AE363" s="27"/>
    </row>
    <row r="364">
      <c r="A364" s="27"/>
      <c r="B364" s="25"/>
      <c r="C364" s="27"/>
      <c r="D364" s="27"/>
      <c r="E364" s="25"/>
      <c r="F364" s="27"/>
      <c r="G364" s="27"/>
      <c r="H364" s="25"/>
      <c r="I364" s="25"/>
      <c r="J364" s="25"/>
      <c r="K364" s="25"/>
      <c r="L364" s="25"/>
      <c r="M364" s="25"/>
      <c r="N364" s="88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77"/>
      <c r="AB364" s="25"/>
      <c r="AC364" s="27"/>
      <c r="AD364" s="27"/>
      <c r="AE364" s="27"/>
    </row>
    <row r="365">
      <c r="A365" s="27"/>
      <c r="B365" s="25"/>
      <c r="C365" s="27"/>
      <c r="D365" s="27"/>
      <c r="E365" s="25"/>
      <c r="F365" s="27"/>
      <c r="G365" s="27"/>
      <c r="H365" s="25"/>
      <c r="I365" s="25"/>
      <c r="J365" s="25"/>
      <c r="K365" s="25"/>
      <c r="L365" s="25"/>
      <c r="M365" s="25"/>
      <c r="N365" s="88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77"/>
      <c r="AB365" s="25"/>
      <c r="AC365" s="27"/>
      <c r="AD365" s="27"/>
      <c r="AE365" s="27"/>
    </row>
    <row r="366">
      <c r="A366" s="27"/>
      <c r="B366" s="25"/>
      <c r="C366" s="27"/>
      <c r="D366" s="27"/>
      <c r="E366" s="25"/>
      <c r="F366" s="27"/>
      <c r="G366" s="27"/>
      <c r="H366" s="25"/>
      <c r="I366" s="25"/>
      <c r="J366" s="25"/>
      <c r="K366" s="25"/>
      <c r="L366" s="25"/>
      <c r="M366" s="25"/>
      <c r="N366" s="88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77"/>
      <c r="AB366" s="25"/>
      <c r="AC366" s="27"/>
      <c r="AD366" s="27"/>
      <c r="AE366" s="27"/>
    </row>
    <row r="367">
      <c r="A367" s="27"/>
      <c r="B367" s="25"/>
      <c r="C367" s="27"/>
      <c r="D367" s="27"/>
      <c r="E367" s="25"/>
      <c r="F367" s="27"/>
      <c r="G367" s="27"/>
      <c r="H367" s="25"/>
      <c r="I367" s="25"/>
      <c r="J367" s="25"/>
      <c r="K367" s="25"/>
      <c r="L367" s="25"/>
      <c r="M367" s="25"/>
      <c r="N367" s="88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77"/>
      <c r="AB367" s="25"/>
      <c r="AC367" s="27"/>
      <c r="AD367" s="27"/>
      <c r="AE367" s="27"/>
    </row>
    <row r="368">
      <c r="A368" s="27"/>
      <c r="B368" s="25"/>
      <c r="C368" s="27"/>
      <c r="D368" s="27"/>
      <c r="E368" s="25"/>
      <c r="F368" s="27"/>
      <c r="G368" s="27"/>
      <c r="H368" s="25"/>
      <c r="I368" s="25"/>
      <c r="J368" s="25"/>
      <c r="K368" s="25"/>
      <c r="L368" s="25"/>
      <c r="M368" s="25"/>
      <c r="N368" s="88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77"/>
      <c r="AB368" s="25"/>
      <c r="AC368" s="27"/>
      <c r="AD368" s="27"/>
      <c r="AE368" s="27"/>
    </row>
    <row r="369">
      <c r="A369" s="27"/>
      <c r="B369" s="25"/>
      <c r="C369" s="27"/>
      <c r="D369" s="27"/>
      <c r="E369" s="25"/>
      <c r="F369" s="27"/>
      <c r="G369" s="27"/>
      <c r="H369" s="25"/>
      <c r="I369" s="25"/>
      <c r="J369" s="25"/>
      <c r="K369" s="25"/>
      <c r="L369" s="25"/>
      <c r="M369" s="25"/>
      <c r="N369" s="88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77"/>
      <c r="AB369" s="25"/>
      <c r="AC369" s="27"/>
      <c r="AD369" s="27"/>
      <c r="AE369" s="27"/>
    </row>
    <row r="370">
      <c r="A370" s="27"/>
      <c r="B370" s="25"/>
      <c r="C370" s="27"/>
      <c r="D370" s="27"/>
      <c r="E370" s="25"/>
      <c r="F370" s="27"/>
      <c r="G370" s="27"/>
      <c r="H370" s="25"/>
      <c r="I370" s="25"/>
      <c r="J370" s="25"/>
      <c r="K370" s="25"/>
      <c r="L370" s="25"/>
      <c r="M370" s="25"/>
      <c r="N370" s="88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77"/>
      <c r="AB370" s="25"/>
      <c r="AC370" s="27"/>
      <c r="AD370" s="27"/>
      <c r="AE370" s="27"/>
    </row>
    <row r="371">
      <c r="A371" s="27"/>
      <c r="B371" s="25"/>
      <c r="C371" s="27"/>
      <c r="D371" s="27"/>
      <c r="E371" s="25"/>
      <c r="F371" s="27"/>
      <c r="G371" s="27"/>
      <c r="H371" s="25"/>
      <c r="I371" s="25"/>
      <c r="J371" s="25"/>
      <c r="K371" s="25"/>
      <c r="L371" s="25"/>
      <c r="M371" s="25"/>
      <c r="N371" s="88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77"/>
      <c r="AB371" s="25"/>
      <c r="AC371" s="27"/>
      <c r="AD371" s="27"/>
      <c r="AE371" s="27"/>
    </row>
    <row r="372">
      <c r="A372" s="27"/>
      <c r="B372" s="25"/>
      <c r="C372" s="27"/>
      <c r="D372" s="27"/>
      <c r="E372" s="25"/>
      <c r="F372" s="27"/>
      <c r="G372" s="27"/>
      <c r="H372" s="25"/>
      <c r="I372" s="25"/>
      <c r="J372" s="25"/>
      <c r="K372" s="25"/>
      <c r="L372" s="25"/>
      <c r="M372" s="25"/>
      <c r="N372" s="88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77"/>
      <c r="AB372" s="25"/>
      <c r="AC372" s="27"/>
      <c r="AD372" s="27"/>
      <c r="AE372" s="27"/>
    </row>
    <row r="373">
      <c r="A373" s="27"/>
      <c r="B373" s="25"/>
      <c r="C373" s="27"/>
      <c r="D373" s="27"/>
      <c r="E373" s="25"/>
      <c r="F373" s="27"/>
      <c r="G373" s="27"/>
      <c r="H373" s="25"/>
      <c r="I373" s="25"/>
      <c r="J373" s="25"/>
      <c r="K373" s="25"/>
      <c r="L373" s="25"/>
      <c r="M373" s="25"/>
      <c r="N373" s="88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77"/>
      <c r="AB373" s="25"/>
      <c r="AC373" s="27"/>
      <c r="AD373" s="27"/>
      <c r="AE373" s="27"/>
    </row>
    <row r="374">
      <c r="A374" s="27"/>
      <c r="B374" s="25"/>
      <c r="C374" s="27"/>
      <c r="D374" s="27"/>
      <c r="E374" s="25"/>
      <c r="F374" s="27"/>
      <c r="G374" s="27"/>
      <c r="H374" s="25"/>
      <c r="I374" s="25"/>
      <c r="J374" s="25"/>
      <c r="K374" s="25"/>
      <c r="L374" s="25"/>
      <c r="M374" s="25"/>
      <c r="N374" s="88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77"/>
      <c r="AB374" s="25"/>
      <c r="AC374" s="27"/>
      <c r="AD374" s="27"/>
      <c r="AE374" s="27"/>
    </row>
    <row r="375">
      <c r="A375" s="27"/>
      <c r="B375" s="25"/>
      <c r="C375" s="27"/>
      <c r="D375" s="27"/>
      <c r="E375" s="25"/>
      <c r="F375" s="27"/>
      <c r="G375" s="27"/>
      <c r="H375" s="25"/>
      <c r="I375" s="25"/>
      <c r="J375" s="25"/>
      <c r="K375" s="25"/>
      <c r="L375" s="25"/>
      <c r="M375" s="25"/>
      <c r="N375" s="88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77"/>
      <c r="AB375" s="25"/>
      <c r="AC375" s="27"/>
      <c r="AD375" s="27"/>
      <c r="AE375" s="27"/>
    </row>
    <row r="376">
      <c r="A376" s="27"/>
      <c r="B376" s="25"/>
      <c r="C376" s="27"/>
      <c r="D376" s="27"/>
      <c r="E376" s="25"/>
      <c r="F376" s="27"/>
      <c r="G376" s="27"/>
      <c r="H376" s="25"/>
      <c r="I376" s="25"/>
      <c r="J376" s="25"/>
      <c r="K376" s="25"/>
      <c r="L376" s="25"/>
      <c r="M376" s="25"/>
      <c r="N376" s="88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77"/>
      <c r="AB376" s="25"/>
      <c r="AC376" s="27"/>
      <c r="AD376" s="27"/>
      <c r="AE376" s="27"/>
    </row>
    <row r="377">
      <c r="A377" s="27"/>
      <c r="B377" s="25"/>
      <c r="C377" s="27"/>
      <c r="D377" s="27"/>
      <c r="E377" s="25"/>
      <c r="F377" s="27"/>
      <c r="G377" s="27"/>
      <c r="H377" s="25"/>
      <c r="I377" s="25"/>
      <c r="J377" s="25"/>
      <c r="K377" s="25"/>
      <c r="L377" s="25"/>
      <c r="M377" s="25"/>
      <c r="N377" s="88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77"/>
      <c r="AB377" s="25"/>
      <c r="AC377" s="27"/>
      <c r="AD377" s="27"/>
      <c r="AE377" s="27"/>
    </row>
    <row r="378">
      <c r="A378" s="27"/>
      <c r="B378" s="25"/>
      <c r="C378" s="27"/>
      <c r="D378" s="27"/>
      <c r="E378" s="25"/>
      <c r="F378" s="27"/>
      <c r="G378" s="27"/>
      <c r="H378" s="25"/>
      <c r="I378" s="25"/>
      <c r="J378" s="25"/>
      <c r="K378" s="25"/>
      <c r="L378" s="25"/>
      <c r="M378" s="25"/>
      <c r="N378" s="88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77"/>
      <c r="AB378" s="25"/>
      <c r="AC378" s="27"/>
      <c r="AD378" s="27"/>
      <c r="AE378" s="27"/>
    </row>
    <row r="379">
      <c r="A379" s="27"/>
      <c r="B379" s="25"/>
      <c r="C379" s="27"/>
      <c r="D379" s="27"/>
      <c r="E379" s="25"/>
      <c r="F379" s="27"/>
      <c r="G379" s="27"/>
      <c r="H379" s="25"/>
      <c r="I379" s="25"/>
      <c r="J379" s="25"/>
      <c r="K379" s="25"/>
      <c r="L379" s="25"/>
      <c r="M379" s="25"/>
      <c r="N379" s="88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77"/>
      <c r="AB379" s="25"/>
      <c r="AC379" s="27"/>
      <c r="AD379" s="27"/>
      <c r="AE379" s="27"/>
    </row>
    <row r="380">
      <c r="A380" s="27"/>
      <c r="B380" s="25"/>
      <c r="C380" s="27"/>
      <c r="D380" s="27"/>
      <c r="E380" s="25"/>
      <c r="F380" s="27"/>
      <c r="G380" s="27"/>
      <c r="H380" s="25"/>
      <c r="I380" s="25"/>
      <c r="J380" s="25"/>
      <c r="K380" s="25"/>
      <c r="L380" s="25"/>
      <c r="M380" s="25"/>
      <c r="N380" s="88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77"/>
      <c r="AB380" s="25"/>
      <c r="AC380" s="27"/>
      <c r="AD380" s="27"/>
      <c r="AE380" s="27"/>
    </row>
    <row r="381">
      <c r="A381" s="27"/>
      <c r="B381" s="25"/>
      <c r="C381" s="27"/>
      <c r="D381" s="27"/>
      <c r="E381" s="25"/>
      <c r="F381" s="27"/>
      <c r="G381" s="27"/>
      <c r="H381" s="25"/>
      <c r="I381" s="25"/>
      <c r="J381" s="25"/>
      <c r="K381" s="25"/>
      <c r="L381" s="25"/>
      <c r="M381" s="25"/>
      <c r="N381" s="88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77"/>
      <c r="AB381" s="25"/>
      <c r="AC381" s="27"/>
      <c r="AD381" s="27"/>
      <c r="AE381" s="27"/>
    </row>
    <row r="382">
      <c r="A382" s="27"/>
      <c r="B382" s="25"/>
      <c r="C382" s="27"/>
      <c r="D382" s="27"/>
      <c r="E382" s="25"/>
      <c r="F382" s="27"/>
      <c r="G382" s="27"/>
      <c r="H382" s="25"/>
      <c r="I382" s="25"/>
      <c r="J382" s="25"/>
      <c r="K382" s="25"/>
      <c r="L382" s="25"/>
      <c r="M382" s="25"/>
      <c r="N382" s="88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77"/>
      <c r="AB382" s="25"/>
      <c r="AC382" s="27"/>
      <c r="AD382" s="27"/>
      <c r="AE382" s="27"/>
    </row>
    <row r="383">
      <c r="A383" s="27"/>
      <c r="B383" s="25"/>
      <c r="C383" s="27"/>
      <c r="D383" s="27"/>
      <c r="E383" s="25"/>
      <c r="F383" s="27"/>
      <c r="G383" s="27"/>
      <c r="H383" s="25"/>
      <c r="I383" s="25"/>
      <c r="J383" s="25"/>
      <c r="K383" s="25"/>
      <c r="L383" s="25"/>
      <c r="M383" s="25"/>
      <c r="N383" s="88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77"/>
      <c r="AB383" s="25"/>
      <c r="AC383" s="27"/>
      <c r="AD383" s="27"/>
      <c r="AE383" s="27"/>
    </row>
    <row r="384">
      <c r="A384" s="27"/>
      <c r="B384" s="25"/>
      <c r="C384" s="27"/>
      <c r="D384" s="27"/>
      <c r="E384" s="25"/>
      <c r="F384" s="27"/>
      <c r="G384" s="27"/>
      <c r="H384" s="25"/>
      <c r="I384" s="25"/>
      <c r="J384" s="25"/>
      <c r="K384" s="25"/>
      <c r="L384" s="25"/>
      <c r="M384" s="25"/>
      <c r="N384" s="88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77"/>
      <c r="AB384" s="25"/>
      <c r="AC384" s="27"/>
      <c r="AD384" s="27"/>
      <c r="AE384" s="27"/>
    </row>
    <row r="385">
      <c r="A385" s="27"/>
      <c r="B385" s="25"/>
      <c r="C385" s="27"/>
      <c r="D385" s="27"/>
      <c r="E385" s="25"/>
      <c r="F385" s="27"/>
      <c r="G385" s="27"/>
      <c r="H385" s="25"/>
      <c r="I385" s="25"/>
      <c r="J385" s="25"/>
      <c r="K385" s="25"/>
      <c r="L385" s="25"/>
      <c r="M385" s="25"/>
      <c r="N385" s="88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77"/>
      <c r="AB385" s="25"/>
      <c r="AC385" s="27"/>
      <c r="AD385" s="27"/>
      <c r="AE385" s="27"/>
    </row>
    <row r="386">
      <c r="A386" s="27"/>
      <c r="B386" s="25"/>
      <c r="C386" s="27"/>
      <c r="D386" s="27"/>
      <c r="E386" s="25"/>
      <c r="F386" s="27"/>
      <c r="G386" s="27"/>
      <c r="H386" s="25"/>
      <c r="I386" s="25"/>
      <c r="J386" s="25"/>
      <c r="K386" s="25"/>
      <c r="L386" s="25"/>
      <c r="M386" s="25"/>
      <c r="N386" s="88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77"/>
      <c r="AB386" s="25"/>
      <c r="AC386" s="27"/>
      <c r="AD386" s="27"/>
      <c r="AE386" s="27"/>
    </row>
    <row r="387">
      <c r="A387" s="27"/>
      <c r="B387" s="25"/>
      <c r="C387" s="27"/>
      <c r="D387" s="27"/>
      <c r="E387" s="25"/>
      <c r="F387" s="27"/>
      <c r="G387" s="27"/>
      <c r="H387" s="25"/>
      <c r="I387" s="25"/>
      <c r="J387" s="25"/>
      <c r="K387" s="25"/>
      <c r="L387" s="25"/>
      <c r="M387" s="25"/>
      <c r="N387" s="88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77"/>
      <c r="AB387" s="25"/>
      <c r="AC387" s="27"/>
      <c r="AD387" s="27"/>
      <c r="AE387" s="27"/>
    </row>
    <row r="388">
      <c r="A388" s="27"/>
      <c r="B388" s="25"/>
      <c r="C388" s="27"/>
      <c r="D388" s="27"/>
      <c r="E388" s="25"/>
      <c r="F388" s="27"/>
      <c r="G388" s="27"/>
      <c r="H388" s="25"/>
      <c r="I388" s="25"/>
      <c r="J388" s="25"/>
      <c r="K388" s="25"/>
      <c r="L388" s="25"/>
      <c r="M388" s="25"/>
      <c r="N388" s="88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77"/>
      <c r="AB388" s="25"/>
      <c r="AC388" s="27"/>
      <c r="AD388" s="27"/>
      <c r="AE388" s="27"/>
    </row>
    <row r="389">
      <c r="A389" s="27"/>
      <c r="B389" s="25"/>
      <c r="C389" s="27"/>
      <c r="D389" s="27"/>
      <c r="E389" s="25"/>
      <c r="F389" s="27"/>
      <c r="G389" s="27"/>
      <c r="H389" s="25"/>
      <c r="I389" s="25"/>
      <c r="J389" s="25"/>
      <c r="K389" s="25"/>
      <c r="L389" s="25"/>
      <c r="M389" s="25"/>
      <c r="N389" s="88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77"/>
      <c r="AB389" s="25"/>
      <c r="AC389" s="27"/>
      <c r="AD389" s="27"/>
      <c r="AE389" s="27"/>
    </row>
    <row r="390">
      <c r="A390" s="27"/>
      <c r="B390" s="25"/>
      <c r="C390" s="27"/>
      <c r="D390" s="27"/>
      <c r="E390" s="25"/>
      <c r="F390" s="27"/>
      <c r="G390" s="27"/>
      <c r="H390" s="25"/>
      <c r="I390" s="25"/>
      <c r="J390" s="25"/>
      <c r="K390" s="25"/>
      <c r="L390" s="25"/>
      <c r="M390" s="25"/>
      <c r="N390" s="88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77"/>
      <c r="AB390" s="25"/>
      <c r="AC390" s="27"/>
      <c r="AD390" s="27"/>
      <c r="AE390" s="27"/>
    </row>
    <row r="391">
      <c r="A391" s="27"/>
      <c r="B391" s="25"/>
      <c r="C391" s="27"/>
      <c r="D391" s="27"/>
      <c r="E391" s="25"/>
      <c r="F391" s="27"/>
      <c r="G391" s="27"/>
      <c r="H391" s="25"/>
      <c r="I391" s="25"/>
      <c r="J391" s="25"/>
      <c r="K391" s="25"/>
      <c r="L391" s="25"/>
      <c r="M391" s="25"/>
      <c r="N391" s="88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77"/>
      <c r="AB391" s="25"/>
      <c r="AC391" s="27"/>
      <c r="AD391" s="27"/>
      <c r="AE391" s="27"/>
    </row>
    <row r="392">
      <c r="A392" s="27"/>
      <c r="B392" s="25"/>
      <c r="C392" s="27"/>
      <c r="D392" s="27"/>
      <c r="E392" s="25"/>
      <c r="F392" s="27"/>
      <c r="G392" s="27"/>
      <c r="H392" s="25"/>
      <c r="I392" s="25"/>
      <c r="J392" s="25"/>
      <c r="K392" s="25"/>
      <c r="L392" s="25"/>
      <c r="M392" s="25"/>
      <c r="N392" s="88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77"/>
      <c r="AB392" s="25"/>
      <c r="AC392" s="27"/>
      <c r="AD392" s="27"/>
      <c r="AE392" s="27"/>
    </row>
    <row r="393">
      <c r="A393" s="27"/>
      <c r="B393" s="25"/>
      <c r="C393" s="27"/>
      <c r="D393" s="27"/>
      <c r="E393" s="25"/>
      <c r="F393" s="27"/>
      <c r="G393" s="27"/>
      <c r="H393" s="25"/>
      <c r="I393" s="25"/>
      <c r="J393" s="25"/>
      <c r="K393" s="25"/>
      <c r="L393" s="25"/>
      <c r="M393" s="25"/>
      <c r="N393" s="88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77"/>
      <c r="AB393" s="25"/>
      <c r="AC393" s="27"/>
      <c r="AD393" s="27"/>
      <c r="AE393" s="27"/>
    </row>
    <row r="394">
      <c r="A394" s="27"/>
      <c r="B394" s="25"/>
      <c r="C394" s="27"/>
      <c r="D394" s="27"/>
      <c r="E394" s="25"/>
      <c r="F394" s="27"/>
      <c r="G394" s="27"/>
      <c r="H394" s="25"/>
      <c r="I394" s="25"/>
      <c r="J394" s="25"/>
      <c r="K394" s="25"/>
      <c r="L394" s="25"/>
      <c r="M394" s="25"/>
      <c r="N394" s="88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77"/>
      <c r="AB394" s="25"/>
      <c r="AC394" s="27"/>
      <c r="AD394" s="27"/>
      <c r="AE394" s="27"/>
    </row>
    <row r="395">
      <c r="A395" s="27"/>
      <c r="B395" s="25"/>
      <c r="C395" s="27"/>
      <c r="D395" s="27"/>
      <c r="E395" s="25"/>
      <c r="F395" s="27"/>
      <c r="G395" s="27"/>
      <c r="H395" s="25"/>
      <c r="I395" s="25"/>
      <c r="J395" s="25"/>
      <c r="K395" s="25"/>
      <c r="L395" s="25"/>
      <c r="M395" s="25"/>
      <c r="N395" s="88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77"/>
      <c r="AB395" s="25"/>
      <c r="AC395" s="27"/>
      <c r="AD395" s="27"/>
      <c r="AE395" s="27"/>
    </row>
    <row r="396">
      <c r="A396" s="27"/>
      <c r="B396" s="25"/>
      <c r="C396" s="27"/>
      <c r="D396" s="27"/>
      <c r="E396" s="25"/>
      <c r="F396" s="27"/>
      <c r="G396" s="27"/>
      <c r="H396" s="25"/>
      <c r="I396" s="25"/>
      <c r="J396" s="25"/>
      <c r="K396" s="25"/>
      <c r="L396" s="25"/>
      <c r="M396" s="25"/>
      <c r="N396" s="88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77"/>
      <c r="AB396" s="25"/>
      <c r="AC396" s="27"/>
      <c r="AD396" s="27"/>
      <c r="AE396" s="27"/>
    </row>
    <row r="397">
      <c r="A397" s="27"/>
      <c r="B397" s="25"/>
      <c r="C397" s="27"/>
      <c r="D397" s="27"/>
      <c r="E397" s="25"/>
      <c r="F397" s="27"/>
      <c r="G397" s="27"/>
      <c r="H397" s="25"/>
      <c r="I397" s="25"/>
      <c r="J397" s="25"/>
      <c r="K397" s="25"/>
      <c r="L397" s="25"/>
      <c r="M397" s="25"/>
      <c r="N397" s="88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77"/>
      <c r="AB397" s="25"/>
      <c r="AC397" s="27"/>
      <c r="AD397" s="27"/>
      <c r="AE397" s="27"/>
    </row>
  </sheetData>
  <autoFilter ref="$A$2:$AG$312">
    <filterColumn colId="14">
      <filters>
        <filter val="AS"/>
      </filters>
    </filterColumn>
  </autoFilter>
  <dataValidations>
    <dataValidation type="list" allowBlank="1" showErrorMessage="1" sqref="N1:N315">
      <formula1>"TP,FULL,SAOD"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25"/>
  </cols>
  <sheetData>
    <row r="6">
      <c r="A6" s="31">
        <v>147.0</v>
      </c>
      <c r="B6" s="32" t="s">
        <v>1946</v>
      </c>
      <c r="C6" s="31" t="s">
        <v>1947</v>
      </c>
      <c r="D6" s="67" t="s">
        <v>1948</v>
      </c>
      <c r="E6" s="31" t="s">
        <v>86</v>
      </c>
      <c r="F6" s="31" t="s">
        <v>1949</v>
      </c>
      <c r="G6" s="31" t="s">
        <v>1950</v>
      </c>
      <c r="H6" s="89">
        <v>9.725794288E9</v>
      </c>
      <c r="I6" s="89">
        <v>9.727381783E9</v>
      </c>
      <c r="J6" s="31">
        <v>47500.0</v>
      </c>
      <c r="K6" s="89" t="s">
        <v>1951</v>
      </c>
      <c r="L6" s="67" t="s">
        <v>265</v>
      </c>
      <c r="M6" s="33" t="s">
        <v>39</v>
      </c>
      <c r="N6" s="31" t="s">
        <v>140</v>
      </c>
      <c r="O6" s="31" t="s">
        <v>41</v>
      </c>
      <c r="P6" s="35"/>
      <c r="Q6" s="35"/>
      <c r="R6" s="35"/>
      <c r="S6" s="35"/>
      <c r="T6" s="31">
        <v>74159.0</v>
      </c>
      <c r="U6" s="31">
        <v>81757.0</v>
      </c>
      <c r="V6" s="31">
        <v>67252.0</v>
      </c>
      <c r="W6" s="31">
        <v>68000.0</v>
      </c>
      <c r="X6" s="47">
        <f t="shared" ref="X6:X10" si="1">U6-W6</f>
        <v>13757</v>
      </c>
      <c r="Y6" s="47"/>
      <c r="Z6" s="35"/>
      <c r="AA6" s="31" t="s">
        <v>1952</v>
      </c>
      <c r="AB6" s="39"/>
      <c r="AC6" s="39"/>
    </row>
    <row r="7">
      <c r="A7" s="21">
        <v>161.0</v>
      </c>
      <c r="B7" s="22" t="s">
        <v>1953</v>
      </c>
      <c r="C7" s="21" t="s">
        <v>1954</v>
      </c>
      <c r="D7" s="66" t="s">
        <v>1955</v>
      </c>
      <c r="E7" s="21" t="s">
        <v>86</v>
      </c>
      <c r="F7" s="21" t="s">
        <v>1956</v>
      </c>
      <c r="G7" s="21" t="s">
        <v>1957</v>
      </c>
      <c r="H7" s="90">
        <v>7.98467355E9</v>
      </c>
      <c r="I7" s="91"/>
      <c r="J7" s="21">
        <v>42000.0</v>
      </c>
      <c r="K7" s="90" t="s">
        <v>1951</v>
      </c>
      <c r="L7" s="66" t="s">
        <v>265</v>
      </c>
      <c r="M7" s="23" t="s">
        <v>39</v>
      </c>
      <c r="N7" s="21" t="s">
        <v>140</v>
      </c>
      <c r="O7" s="21" t="s">
        <v>41</v>
      </c>
      <c r="P7" s="25"/>
      <c r="Q7" s="25"/>
      <c r="R7" s="25"/>
      <c r="S7" s="25"/>
      <c r="T7" s="21">
        <v>70513.0</v>
      </c>
      <c r="U7" s="21">
        <v>77454.0</v>
      </c>
      <c r="V7" s="21">
        <v>63915.0</v>
      </c>
      <c r="W7" s="21">
        <v>48915.0</v>
      </c>
      <c r="X7" s="42">
        <f t="shared" si="1"/>
        <v>28539</v>
      </c>
      <c r="Y7" s="42"/>
      <c r="Z7" s="25"/>
      <c r="AA7" s="21" t="s">
        <v>1958</v>
      </c>
      <c r="AB7" s="27"/>
      <c r="AC7" s="27"/>
    </row>
    <row r="8">
      <c r="A8" s="21">
        <v>162.0</v>
      </c>
      <c r="B8" s="22" t="s">
        <v>1953</v>
      </c>
      <c r="C8" s="21" t="s">
        <v>1954</v>
      </c>
      <c r="D8" s="66" t="s">
        <v>1959</v>
      </c>
      <c r="E8" s="21" t="s">
        <v>86</v>
      </c>
      <c r="F8" s="21" t="s">
        <v>1956</v>
      </c>
      <c r="G8" s="21" t="s">
        <v>1957</v>
      </c>
      <c r="H8" s="90">
        <v>7.98467355E9</v>
      </c>
      <c r="I8" s="91"/>
      <c r="J8" s="21">
        <v>42000.0</v>
      </c>
      <c r="K8" s="90" t="s">
        <v>1951</v>
      </c>
      <c r="L8" s="66" t="s">
        <v>265</v>
      </c>
      <c r="M8" s="23" t="s">
        <v>39</v>
      </c>
      <c r="N8" s="21" t="s">
        <v>140</v>
      </c>
      <c r="O8" s="21" t="s">
        <v>41</v>
      </c>
      <c r="P8" s="25"/>
      <c r="Q8" s="25"/>
      <c r="R8" s="25"/>
      <c r="S8" s="25"/>
      <c r="T8" s="21">
        <v>70513.0</v>
      </c>
      <c r="U8" s="21">
        <v>77454.0</v>
      </c>
      <c r="V8" s="21">
        <v>63915.0</v>
      </c>
      <c r="W8" s="21">
        <v>48915.0</v>
      </c>
      <c r="X8" s="42">
        <f t="shared" si="1"/>
        <v>28539</v>
      </c>
      <c r="Y8" s="42"/>
      <c r="Z8" s="25"/>
      <c r="AA8" s="21" t="s">
        <v>1958</v>
      </c>
      <c r="AB8" s="27"/>
      <c r="AC8" s="27"/>
    </row>
    <row r="9">
      <c r="A9" s="21">
        <v>163.0</v>
      </c>
      <c r="B9" s="22" t="s">
        <v>1953</v>
      </c>
      <c r="C9" s="21" t="s">
        <v>1954</v>
      </c>
      <c r="D9" s="21" t="s">
        <v>1960</v>
      </c>
      <c r="E9" s="21" t="s">
        <v>86</v>
      </c>
      <c r="F9" s="21" t="s">
        <v>1949</v>
      </c>
      <c r="G9" s="21" t="s">
        <v>1957</v>
      </c>
      <c r="H9" s="90">
        <v>7.98467355E9</v>
      </c>
      <c r="I9" s="91"/>
      <c r="J9" s="21">
        <v>47500.0</v>
      </c>
      <c r="K9" s="90" t="s">
        <v>1951</v>
      </c>
      <c r="L9" s="66" t="s">
        <v>265</v>
      </c>
      <c r="M9" s="23" t="s">
        <v>39</v>
      </c>
      <c r="N9" s="21" t="s">
        <v>140</v>
      </c>
      <c r="O9" s="21" t="s">
        <v>41</v>
      </c>
      <c r="P9" s="25"/>
      <c r="Q9" s="25"/>
      <c r="R9" s="25"/>
      <c r="S9" s="25"/>
      <c r="T9" s="21">
        <v>73176.0</v>
      </c>
      <c r="U9" s="21">
        <v>80596.0</v>
      </c>
      <c r="V9" s="21">
        <v>66338.0</v>
      </c>
      <c r="W9" s="21">
        <v>51338.0</v>
      </c>
      <c r="X9" s="42">
        <f t="shared" si="1"/>
        <v>29258</v>
      </c>
      <c r="Y9" s="42"/>
      <c r="Z9" s="25"/>
      <c r="AA9" s="21" t="s">
        <v>1958</v>
      </c>
      <c r="AB9" s="27"/>
      <c r="AC9" s="27"/>
    </row>
    <row r="10">
      <c r="A10" s="21">
        <v>243.0</v>
      </c>
      <c r="B10" s="22" t="s">
        <v>1961</v>
      </c>
      <c r="C10" s="21" t="s">
        <v>1962</v>
      </c>
      <c r="D10" s="21" t="s">
        <v>1963</v>
      </c>
      <c r="E10" s="21" t="s">
        <v>86</v>
      </c>
      <c r="F10" s="21" t="s">
        <v>1964</v>
      </c>
      <c r="G10" s="21" t="s">
        <v>1965</v>
      </c>
      <c r="H10" s="90">
        <v>9.979130611E9</v>
      </c>
      <c r="I10" s="90">
        <v>9.712212656E9</v>
      </c>
      <c r="J10" s="21">
        <v>35000.0</v>
      </c>
      <c r="K10" s="90" t="s">
        <v>1966</v>
      </c>
      <c r="L10" s="66" t="s">
        <v>249</v>
      </c>
      <c r="M10" s="23" t="s">
        <v>39</v>
      </c>
      <c r="N10" s="21" t="s">
        <v>352</v>
      </c>
      <c r="O10" s="21" t="s">
        <v>187</v>
      </c>
      <c r="P10" s="22" t="s">
        <v>1967</v>
      </c>
      <c r="Q10" s="22" t="s">
        <v>548</v>
      </c>
      <c r="R10" s="25"/>
      <c r="S10" s="25"/>
      <c r="T10" s="92">
        <v>80738.0</v>
      </c>
      <c r="U10" s="92">
        <v>89557.34</v>
      </c>
      <c r="V10" s="21">
        <v>82000.0</v>
      </c>
      <c r="W10" s="21">
        <v>81000.0</v>
      </c>
      <c r="X10" s="16">
        <f t="shared" si="1"/>
        <v>8557.34</v>
      </c>
      <c r="Y10" s="25"/>
      <c r="Z10" s="22" t="s">
        <v>42</v>
      </c>
      <c r="AA10" s="21" t="s">
        <v>1968</v>
      </c>
      <c r="AB10" s="27"/>
      <c r="AC10" s="27"/>
    </row>
    <row r="13">
      <c r="A13" s="93" t="s">
        <v>1969</v>
      </c>
      <c r="C13" s="93" t="s">
        <v>1970</v>
      </c>
      <c r="D13" s="93" t="s">
        <v>1971</v>
      </c>
      <c r="F13" s="50" t="s">
        <v>1972</v>
      </c>
      <c r="G13" s="50" t="s">
        <v>860</v>
      </c>
      <c r="H13" s="50" t="s">
        <v>357</v>
      </c>
    </row>
    <row r="14">
      <c r="A14" s="22" t="s">
        <v>1973</v>
      </c>
      <c r="C14" s="50" t="s">
        <v>1974</v>
      </c>
      <c r="D14" s="50" t="s">
        <v>48</v>
      </c>
      <c r="F14" s="50" t="s">
        <v>1975</v>
      </c>
      <c r="G14" s="50" t="s">
        <v>1976</v>
      </c>
      <c r="H14" s="50" t="s">
        <v>1977</v>
      </c>
    </row>
    <row r="15">
      <c r="C15" s="50" t="s">
        <v>473</v>
      </c>
      <c r="F15" s="50" t="s">
        <v>1978</v>
      </c>
    </row>
    <row r="17">
      <c r="C17" s="50" t="s">
        <v>157</v>
      </c>
      <c r="D17" s="50" t="s">
        <v>276</v>
      </c>
    </row>
    <row r="18">
      <c r="C18" s="50" t="s">
        <v>525</v>
      </c>
      <c r="D18" s="50" t="s">
        <v>1979</v>
      </c>
    </row>
    <row r="19">
      <c r="C19" s="50" t="s">
        <v>86</v>
      </c>
      <c r="D19" s="50" t="s">
        <v>1980</v>
      </c>
    </row>
    <row r="20">
      <c r="D20" s="50" t="s">
        <v>78</v>
      </c>
    </row>
    <row r="22">
      <c r="D22" s="50" t="s">
        <v>1981</v>
      </c>
    </row>
    <row r="24">
      <c r="A24" s="94" t="s">
        <v>1982</v>
      </c>
      <c r="B24" s="94" t="s">
        <v>1983</v>
      </c>
      <c r="C24" s="94" t="s">
        <v>2</v>
      </c>
      <c r="D24" s="94" t="s">
        <v>1984</v>
      </c>
      <c r="E24" s="94" t="s">
        <v>1985</v>
      </c>
    </row>
    <row r="25">
      <c r="A25" s="71">
        <v>1.0</v>
      </c>
      <c r="B25" s="71" t="s">
        <v>923</v>
      </c>
      <c r="C25" s="95" t="s">
        <v>956</v>
      </c>
      <c r="D25" s="96"/>
      <c r="E25" s="95" t="s">
        <v>475</v>
      </c>
      <c r="F25" s="50" t="s">
        <v>671</v>
      </c>
    </row>
    <row r="26">
      <c r="A26" s="71">
        <v>2.0</v>
      </c>
      <c r="B26" s="71" t="s">
        <v>923</v>
      </c>
      <c r="C26" s="97" t="s">
        <v>944</v>
      </c>
      <c r="D26" s="96"/>
      <c r="E26" s="95" t="s">
        <v>475</v>
      </c>
      <c r="F26" s="50" t="s">
        <v>1986</v>
      </c>
    </row>
    <row r="27">
      <c r="A27" s="71">
        <v>3.0</v>
      </c>
      <c r="B27" s="71" t="s">
        <v>733</v>
      </c>
      <c r="C27" s="97" t="s">
        <v>1005</v>
      </c>
      <c r="D27" s="96"/>
      <c r="E27" s="95" t="s">
        <v>475</v>
      </c>
      <c r="F27" s="50" t="s">
        <v>671</v>
      </c>
    </row>
    <row r="28">
      <c r="A28" s="71">
        <v>4.0</v>
      </c>
      <c r="B28" s="71" t="s">
        <v>733</v>
      </c>
      <c r="C28" s="97" t="s">
        <v>993</v>
      </c>
      <c r="D28" s="96"/>
      <c r="E28" s="95" t="s">
        <v>1987</v>
      </c>
      <c r="F28" s="50" t="s">
        <v>671</v>
      </c>
    </row>
    <row r="29">
      <c r="A29" s="71">
        <v>5.0</v>
      </c>
      <c r="B29" s="71" t="s">
        <v>733</v>
      </c>
      <c r="C29" s="97" t="s">
        <v>968</v>
      </c>
      <c r="D29" s="96"/>
      <c r="E29" s="95" t="s">
        <v>475</v>
      </c>
      <c r="F29" s="50" t="s">
        <v>671</v>
      </c>
    </row>
    <row r="30">
      <c r="A30" s="71">
        <v>6.0</v>
      </c>
      <c r="B30" s="71" t="s">
        <v>733</v>
      </c>
      <c r="C30" s="97" t="s">
        <v>977</v>
      </c>
      <c r="D30" s="98"/>
      <c r="E30" s="95" t="s">
        <v>475</v>
      </c>
      <c r="F30" s="50" t="s">
        <v>671</v>
      </c>
    </row>
    <row r="31">
      <c r="A31" s="71">
        <v>7.0</v>
      </c>
      <c r="B31" s="71" t="s">
        <v>1029</v>
      </c>
      <c r="C31" s="95" t="s">
        <v>1079</v>
      </c>
      <c r="D31" s="96"/>
      <c r="E31" s="95" t="s">
        <v>475</v>
      </c>
      <c r="F31" s="50" t="s">
        <v>671</v>
      </c>
    </row>
    <row r="32">
      <c r="A32" s="71">
        <v>8.0</v>
      </c>
      <c r="B32" s="71" t="s">
        <v>1029</v>
      </c>
      <c r="C32" s="99" t="s">
        <v>1074</v>
      </c>
      <c r="D32" s="96"/>
      <c r="E32" s="96"/>
      <c r="F32" s="50" t="s">
        <v>671</v>
      </c>
    </row>
    <row r="39">
      <c r="E39" s="22"/>
    </row>
    <row r="40">
      <c r="E40" s="22"/>
    </row>
    <row r="42">
      <c r="E42" s="22"/>
    </row>
    <row r="43">
      <c r="E43" s="22"/>
    </row>
    <row r="44">
      <c r="E44" s="22"/>
    </row>
    <row r="48">
      <c r="E48" s="22"/>
    </row>
    <row r="49">
      <c r="A49" s="21"/>
      <c r="E49" s="22"/>
    </row>
    <row r="50">
      <c r="A50" s="21"/>
      <c r="E50" s="22"/>
      <c r="G50" s="50">
        <v>1.477758445E9</v>
      </c>
    </row>
    <row r="51">
      <c r="E51" s="22"/>
    </row>
    <row r="52">
      <c r="E52" s="22"/>
    </row>
  </sheetData>
  <dataValidations>
    <dataValidation type="list" allowBlank="1" showErrorMessage="1" sqref="M6:M10">
      <formula1>"TP,FULL,SAOD"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88"/>
    <col customWidth="1" min="4" max="4" width="52.88"/>
  </cols>
  <sheetData>
    <row r="9">
      <c r="A9" s="50" t="s">
        <v>550</v>
      </c>
    </row>
    <row r="11">
      <c r="A11" s="50" t="s">
        <v>1441</v>
      </c>
      <c r="B11" s="50" t="s">
        <v>1988</v>
      </c>
    </row>
    <row r="12">
      <c r="A12" s="50" t="s">
        <v>1371</v>
      </c>
      <c r="B12" s="50" t="s">
        <v>1448</v>
      </c>
    </row>
    <row r="13">
      <c r="A13" s="50" t="s">
        <v>1399</v>
      </c>
      <c r="B13" s="50" t="s">
        <v>1989</v>
      </c>
    </row>
    <row r="14">
      <c r="A14" s="50" t="s">
        <v>1406</v>
      </c>
      <c r="B14" s="50" t="s">
        <v>1448</v>
      </c>
    </row>
    <row r="15">
      <c r="A15" s="50" t="s">
        <v>1431</v>
      </c>
      <c r="B15" s="50" t="s">
        <v>1448</v>
      </c>
    </row>
    <row r="16">
      <c r="A16" s="50" t="s">
        <v>1435</v>
      </c>
      <c r="B16" s="50" t="s">
        <v>1990</v>
      </c>
      <c r="C16" s="22">
        <v>8.141223341E9</v>
      </c>
    </row>
    <row r="17">
      <c r="A17" s="50" t="s">
        <v>1350</v>
      </c>
      <c r="B17" s="50" t="s">
        <v>1991</v>
      </c>
      <c r="C17" s="22">
        <v>9.90493831E9</v>
      </c>
      <c r="D17" s="22">
        <v>9.979082744E9</v>
      </c>
    </row>
    <row r="19">
      <c r="A19" s="50" t="s">
        <v>1377</v>
      </c>
      <c r="B19" s="50" t="s">
        <v>1992</v>
      </c>
      <c r="C19" s="22">
        <v>9.913233141E9</v>
      </c>
    </row>
    <row r="20">
      <c r="A20" s="50" t="s">
        <v>1382</v>
      </c>
      <c r="B20" s="50" t="s">
        <v>1993</v>
      </c>
      <c r="C20" s="22">
        <v>9.016521035E9</v>
      </c>
    </row>
    <row r="21">
      <c r="A21" s="50" t="s">
        <v>1393</v>
      </c>
      <c r="B21" s="50" t="s">
        <v>1994</v>
      </c>
      <c r="C21" s="22">
        <v>9.825278653E9</v>
      </c>
    </row>
    <row r="22">
      <c r="A22" s="50" t="s">
        <v>1423</v>
      </c>
      <c r="B22" s="50" t="s">
        <v>1995</v>
      </c>
      <c r="C22" s="22" t="s">
        <v>1424</v>
      </c>
    </row>
    <row r="23">
      <c r="A23" s="21" t="s">
        <v>612</v>
      </c>
      <c r="B23" s="50" t="s">
        <v>1996</v>
      </c>
      <c r="C23" s="22">
        <v>8.86630903E9</v>
      </c>
    </row>
    <row r="24">
      <c r="A24" s="21" t="s">
        <v>618</v>
      </c>
      <c r="B24" s="50" t="s">
        <v>1996</v>
      </c>
      <c r="C24" s="22">
        <v>8.86630903E9</v>
      </c>
    </row>
    <row r="25">
      <c r="A25" s="50" t="s">
        <v>1356</v>
      </c>
      <c r="B25" s="50" t="s">
        <v>1997</v>
      </c>
      <c r="C25" s="22">
        <v>9.978715751E9</v>
      </c>
    </row>
    <row r="28">
      <c r="A28" s="50" t="s">
        <v>1461</v>
      </c>
      <c r="B28" s="50" t="s">
        <v>1998</v>
      </c>
      <c r="C28" s="22" t="s">
        <v>1465</v>
      </c>
    </row>
    <row r="30">
      <c r="A30" s="50" t="s">
        <v>1362</v>
      </c>
    </row>
    <row r="31">
      <c r="A31" s="50" t="s">
        <v>1457</v>
      </c>
      <c r="B31" s="50" t="s">
        <v>1999</v>
      </c>
      <c r="C31" s="50">
        <v>8.469015106E9</v>
      </c>
    </row>
    <row r="32">
      <c r="A32" s="50" t="s">
        <v>1388</v>
      </c>
      <c r="B32" s="50" t="s">
        <v>1999</v>
      </c>
      <c r="C32" s="50">
        <v>8.469015106E9</v>
      </c>
    </row>
    <row r="33">
      <c r="A33" s="50" t="s">
        <v>1426</v>
      </c>
      <c r="B33" s="50" t="s">
        <v>1999</v>
      </c>
      <c r="C33" s="50">
        <v>8.469015106E9</v>
      </c>
    </row>
    <row r="34">
      <c r="A34" s="50" t="s">
        <v>1411</v>
      </c>
      <c r="B34" s="50" t="s">
        <v>2000</v>
      </c>
      <c r="C34" s="22">
        <v>9.974836396E9</v>
      </c>
    </row>
    <row r="37">
      <c r="A37" s="50" t="s">
        <v>933</v>
      </c>
    </row>
    <row r="39">
      <c r="A39" s="50" t="s">
        <v>1481</v>
      </c>
      <c r="B39" s="50" t="s">
        <v>2001</v>
      </c>
    </row>
  </sheetData>
  <drawing r:id="rId1"/>
</worksheet>
</file>